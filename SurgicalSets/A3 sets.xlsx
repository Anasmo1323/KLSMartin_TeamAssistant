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echnowave\Sales\KLS Martin\UPA\UPA\final A3\فحص الالات\"/>
    </mc:Choice>
  </mc:AlternateContent>
  <xr:revisionPtr revIDLastSave="0" documentId="13_ncr:1_{E79B983A-F322-48D3-AAC4-139602105166}" xr6:coauthVersionLast="47" xr6:coauthVersionMax="47" xr10:uidLastSave="{00000000-0000-0000-0000-000000000000}"/>
  <bookViews>
    <workbookView xWindow="-110" yWindow="-110" windowWidth="19420" windowHeight="10300" tabRatio="903" activeTab="21" xr2:uid="{00000000-000D-0000-FFFF-FFFF00000000}"/>
  </bookViews>
  <sheets>
    <sheet name="Self-Retaining" sheetId="17" r:id="rId1"/>
    <sheet name="Aorta Set" sheetId="44" r:id="rId2"/>
    <sheet name="Hysterectomy" sheetId="45" r:id="rId3"/>
    <sheet name="Caesarean set   " sheetId="46" r:id="rId4"/>
    <sheet name="Vaginal Surgery Set" sheetId="47" r:id="rId5"/>
    <sheet name="Hand Surgery Set " sheetId="48" r:id="rId6"/>
    <sheet name="General Plastic Surgical" sheetId="49" r:id="rId7"/>
    <sheet name="Basic Instruments for Plastic" sheetId="50" r:id="rId8"/>
    <sheet name="Micro Instruments For Micro Sur" sheetId="51" r:id="rId9"/>
    <sheet name="Maxillofacial Surgical Instrume" sheetId="52" r:id="rId10"/>
    <sheet name="Maxillofacial Instrument Sets " sheetId="53" r:id="rId11"/>
    <sheet name="Cleft Lip &amp; Palate Instrument S" sheetId="54" r:id="rId12"/>
    <sheet name="Craniofacial Suspension Set" sheetId="55" r:id="rId13"/>
    <sheet name="Rhinoplasty Set" sheetId="56" r:id="rId14"/>
    <sheet name="NEU Cervical Set" sheetId="57" r:id="rId15"/>
    <sheet name="Set For Septum and Nasal Surger" sheetId="58" r:id="rId16"/>
    <sheet name="Tracheostomy" sheetId="59" r:id="rId17"/>
    <sheet name="Anal Set" sheetId="60" r:id="rId18"/>
    <sheet name="NEU BRAIN SET" sheetId="61" r:id="rId19"/>
    <sheet name="NEU Lumber Set" sheetId="62" r:id="rId20"/>
    <sheet name="Urology Open Set" sheetId="63" r:id="rId21"/>
    <sheet name="Basic Vascular Renal Transplant" sheetId="64" r:id="rId22"/>
  </sheets>
  <definedNames>
    <definedName name="_xlnm._FilterDatabase" localSheetId="17" hidden="1">'Anal Set'!$B$1:$B$416</definedName>
    <definedName name="_xlnm._FilterDatabase" localSheetId="1" hidden="1">'Aorta Set'!$B$1:$B$65</definedName>
    <definedName name="_xlnm._FilterDatabase" localSheetId="7" hidden="1">'Basic Instruments for Plastic'!$B$1:$B$84</definedName>
    <definedName name="_xlnm._FilterDatabase" localSheetId="21" hidden="1">'Basic Vascular Renal Transplant'!$B$1:$B$77</definedName>
    <definedName name="_xlnm._FilterDatabase" localSheetId="3" hidden="1">'Caesarean set   '!$B$1:$B$29</definedName>
    <definedName name="_xlnm._FilterDatabase" localSheetId="11" hidden="1">'Cleft Lip &amp; Palate Instrument S'!$B$1:$B$31</definedName>
    <definedName name="_xlnm._FilterDatabase" localSheetId="12" hidden="1">'Craniofacial Suspension Set'!$B$1:$B$30</definedName>
    <definedName name="_xlnm._FilterDatabase" localSheetId="6" hidden="1">'General Plastic Surgical'!$B$1:$B$77</definedName>
    <definedName name="_xlnm._FilterDatabase" localSheetId="5" hidden="1">'Hand Surgery Set '!$B$1:$B$62</definedName>
    <definedName name="_xlnm._FilterDatabase" localSheetId="2" hidden="1">Hysterectomy!$B$1:$B$38</definedName>
    <definedName name="_xlnm._FilterDatabase" localSheetId="10" hidden="1">'Maxillofacial Instrument Sets '!$B$1:$B$67</definedName>
    <definedName name="_xlnm._FilterDatabase" localSheetId="9" hidden="1">'Maxillofacial Surgical Instrume'!$B$1:$B$69</definedName>
    <definedName name="_xlnm._FilterDatabase" localSheetId="8" hidden="1">'Micro Instruments For Micro Sur'!$B$1:$B$33</definedName>
    <definedName name="_xlnm._FilterDatabase" localSheetId="18" hidden="1">'NEU BRAIN SET'!$B$1:$B$113</definedName>
    <definedName name="_xlnm._FilterDatabase" localSheetId="14" hidden="1">'NEU Cervical Set'!$B$1:$B$81</definedName>
    <definedName name="_xlnm._FilterDatabase" localSheetId="19" hidden="1">'NEU Lumber Set'!$B$1:$B$103</definedName>
    <definedName name="_xlnm._FilterDatabase" localSheetId="13" hidden="1">'Rhinoplasty Set'!$B$1:$B$57</definedName>
    <definedName name="_xlnm._FilterDatabase" localSheetId="0" hidden="1">'Self-Retaining'!$B$1:$B$9</definedName>
    <definedName name="_xlnm._FilterDatabase" localSheetId="15" hidden="1">'Set For Septum and Nasal Surger'!$B$1:$B$55</definedName>
    <definedName name="_xlnm._FilterDatabase" localSheetId="16" hidden="1">Tracheostomy!$B$1:$B$29</definedName>
    <definedName name="_xlnm._FilterDatabase" localSheetId="20" hidden="1">'Urology Open Set'!$B$1:$B$95</definedName>
    <definedName name="_xlnm._FilterDatabase" localSheetId="4" hidden="1">'Vaginal Surgery Set'!$B$1:$B$34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64" l="1"/>
  <c r="G5" i="64"/>
  <c r="G6" i="64"/>
  <c r="G7" i="64"/>
  <c r="G8" i="64"/>
  <c r="G9" i="64"/>
  <c r="G10" i="64"/>
  <c r="G11" i="64"/>
  <c r="G12" i="64"/>
  <c r="G13" i="64"/>
  <c r="G14" i="64"/>
  <c r="G15" i="64"/>
  <c r="G16" i="64"/>
  <c r="G17" i="64"/>
  <c r="G18" i="64"/>
  <c r="G19" i="64"/>
  <c r="G20" i="64"/>
  <c r="G21" i="64"/>
  <c r="G22" i="64"/>
  <c r="G23" i="64"/>
  <c r="G24" i="64"/>
  <c r="G25" i="64"/>
  <c r="G26" i="64"/>
  <c r="G27" i="64"/>
  <c r="G28" i="64"/>
  <c r="G29" i="64"/>
  <c r="G30" i="64"/>
  <c r="G31" i="64"/>
  <c r="G32" i="64"/>
  <c r="G33" i="64"/>
  <c r="G34" i="64"/>
  <c r="G35" i="64"/>
  <c r="G36" i="64"/>
  <c r="G37" i="64"/>
  <c r="G38" i="64"/>
  <c r="G39" i="64"/>
  <c r="G40" i="64"/>
  <c r="G41" i="64"/>
  <c r="G42" i="64"/>
  <c r="G43" i="64"/>
  <c r="G44" i="64"/>
  <c r="G45" i="64"/>
  <c r="G46" i="64"/>
  <c r="G47" i="64"/>
  <c r="G48" i="64"/>
  <c r="G49" i="64"/>
  <c r="G50" i="64"/>
  <c r="G51" i="64"/>
  <c r="G52" i="64"/>
  <c r="G53" i="64"/>
  <c r="G54" i="64"/>
  <c r="G55" i="64"/>
  <c r="G56" i="64"/>
  <c r="G57" i="64"/>
  <c r="G58" i="64"/>
  <c r="G59" i="64"/>
  <c r="G60" i="64"/>
  <c r="G61" i="64"/>
  <c r="G62" i="64"/>
  <c r="G63" i="64"/>
  <c r="G64" i="64"/>
  <c r="G65" i="64"/>
  <c r="G66" i="64"/>
  <c r="G67" i="64"/>
  <c r="G68" i="64"/>
  <c r="G69" i="64"/>
  <c r="G70" i="64"/>
  <c r="G71" i="64"/>
  <c r="G72" i="64"/>
  <c r="G73" i="64"/>
  <c r="G74" i="64"/>
  <c r="G75" i="64"/>
  <c r="G76" i="64"/>
  <c r="G3" i="64"/>
  <c r="G3" i="63"/>
  <c r="G4" i="63"/>
  <c r="G5" i="63"/>
  <c r="G6" i="63"/>
  <c r="G7" i="63"/>
  <c r="G8" i="63"/>
  <c r="G9" i="63"/>
  <c r="G10" i="63"/>
  <c r="G11" i="63"/>
  <c r="G12" i="63"/>
  <c r="G13" i="63"/>
  <c r="G14" i="63"/>
  <c r="G15" i="63"/>
  <c r="G16" i="63"/>
  <c r="G17" i="63"/>
  <c r="G18" i="63"/>
  <c r="G19" i="63"/>
  <c r="G20" i="63"/>
  <c r="G21" i="63"/>
  <c r="G22" i="63"/>
  <c r="G23" i="63"/>
  <c r="G24" i="63"/>
  <c r="G25" i="63"/>
  <c r="G26" i="63"/>
  <c r="G27" i="63"/>
  <c r="G28" i="63"/>
  <c r="G29" i="63"/>
  <c r="G30" i="63"/>
  <c r="G31" i="63"/>
  <c r="G32" i="63"/>
  <c r="G33" i="63"/>
  <c r="G34" i="63"/>
  <c r="G35" i="63"/>
  <c r="G36" i="63"/>
  <c r="G37" i="63"/>
  <c r="G38" i="63"/>
  <c r="G39" i="63"/>
  <c r="G40" i="63"/>
  <c r="G41" i="63"/>
  <c r="G42" i="63"/>
  <c r="G43" i="63"/>
  <c r="G44" i="63"/>
  <c r="G45" i="63"/>
  <c r="G46" i="63"/>
  <c r="G47" i="63"/>
  <c r="G48" i="63"/>
  <c r="G49" i="63"/>
  <c r="G50" i="63"/>
  <c r="G51" i="63"/>
  <c r="G52" i="63"/>
  <c r="G53" i="63"/>
  <c r="G54" i="63"/>
  <c r="G55" i="63"/>
  <c r="G56" i="63"/>
  <c r="G57" i="63"/>
  <c r="G58" i="63"/>
  <c r="G59" i="63"/>
  <c r="G60" i="63"/>
  <c r="G61" i="63"/>
  <c r="G62" i="63"/>
  <c r="G63" i="63"/>
  <c r="G64" i="63"/>
  <c r="G65" i="63"/>
  <c r="G66" i="63"/>
  <c r="G67" i="63"/>
  <c r="G68" i="63"/>
  <c r="G69" i="63"/>
  <c r="G70" i="63"/>
  <c r="G71" i="63"/>
  <c r="G72" i="63"/>
  <c r="G73" i="63"/>
  <c r="G74" i="63"/>
  <c r="G75" i="63"/>
  <c r="G76" i="63"/>
  <c r="G77" i="63"/>
  <c r="G78" i="63"/>
  <c r="G79" i="63"/>
  <c r="G80" i="63"/>
  <c r="G81" i="63"/>
  <c r="G82" i="63"/>
  <c r="G83" i="63"/>
  <c r="G84" i="63"/>
  <c r="G85" i="63"/>
  <c r="G86" i="63"/>
  <c r="G87" i="63"/>
  <c r="G88" i="63"/>
  <c r="G89" i="63"/>
  <c r="G90" i="63"/>
  <c r="G91" i="63"/>
  <c r="G92" i="63"/>
  <c r="G93" i="63"/>
  <c r="G94" i="63"/>
  <c r="G95" i="63"/>
  <c r="G4" i="62"/>
  <c r="G5" i="62"/>
  <c r="G6" i="62"/>
  <c r="G7" i="62"/>
  <c r="G8" i="62"/>
  <c r="G9" i="62"/>
  <c r="G10" i="62"/>
  <c r="G11" i="62"/>
  <c r="G12" i="62"/>
  <c r="G13" i="62"/>
  <c r="G14" i="62"/>
  <c r="G15" i="62"/>
  <c r="G16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36" i="62"/>
  <c r="G37" i="62"/>
  <c r="G38" i="62"/>
  <c r="G39" i="62"/>
  <c r="G40" i="62"/>
  <c r="G41" i="62"/>
  <c r="G42" i="62"/>
  <c r="G43" i="62"/>
  <c r="G44" i="62"/>
  <c r="G45" i="62"/>
  <c r="G46" i="62"/>
  <c r="G47" i="62"/>
  <c r="G48" i="62"/>
  <c r="G49" i="62"/>
  <c r="G50" i="62"/>
  <c r="G51" i="62"/>
  <c r="G52" i="62"/>
  <c r="G53" i="62"/>
  <c r="G54" i="62"/>
  <c r="G55" i="62"/>
  <c r="G56" i="62"/>
  <c r="G57" i="62"/>
  <c r="G58" i="62"/>
  <c r="G59" i="62"/>
  <c r="G60" i="62"/>
  <c r="G61" i="62"/>
  <c r="G62" i="62"/>
  <c r="G63" i="62"/>
  <c r="G64" i="62"/>
  <c r="G65" i="62"/>
  <c r="G66" i="62"/>
  <c r="G67" i="62"/>
  <c r="G68" i="62"/>
  <c r="G69" i="62"/>
  <c r="G70" i="62"/>
  <c r="G71" i="62"/>
  <c r="G72" i="62"/>
  <c r="G73" i="62"/>
  <c r="G74" i="62"/>
  <c r="G75" i="62"/>
  <c r="G76" i="62"/>
  <c r="G77" i="62"/>
  <c r="G78" i="62"/>
  <c r="G79" i="62"/>
  <c r="G80" i="62"/>
  <c r="G81" i="62"/>
  <c r="G82" i="62"/>
  <c r="G83" i="62"/>
  <c r="G84" i="62"/>
  <c r="G85" i="62"/>
  <c r="G86" i="62"/>
  <c r="G87" i="62"/>
  <c r="G88" i="62"/>
  <c r="G89" i="62"/>
  <c r="G90" i="62"/>
  <c r="G91" i="62"/>
  <c r="G92" i="62"/>
  <c r="G93" i="62"/>
  <c r="G94" i="62"/>
  <c r="G95" i="62"/>
  <c r="G96" i="62"/>
  <c r="G97" i="62"/>
  <c r="G98" i="62"/>
  <c r="G99" i="62"/>
  <c r="G100" i="62"/>
  <c r="G101" i="62"/>
  <c r="G102" i="62"/>
  <c r="G103" i="62"/>
  <c r="G3" i="62"/>
  <c r="G4" i="61"/>
  <c r="G5" i="61"/>
  <c r="G6" i="61"/>
  <c r="G7" i="61"/>
  <c r="G8" i="61"/>
  <c r="G9" i="61"/>
  <c r="G10" i="61"/>
  <c r="G11" i="61"/>
  <c r="G12" i="61"/>
  <c r="G13" i="61"/>
  <c r="G14" i="61"/>
  <c r="G15" i="61"/>
  <c r="G16" i="61"/>
  <c r="G17" i="61"/>
  <c r="G18" i="61"/>
  <c r="G19" i="61"/>
  <c r="G20" i="61"/>
  <c r="G21" i="61"/>
  <c r="G22" i="61"/>
  <c r="G23" i="61"/>
  <c r="G24" i="61"/>
  <c r="G25" i="61"/>
  <c r="G26" i="61"/>
  <c r="G27" i="61"/>
  <c r="G28" i="61"/>
  <c r="G29" i="61"/>
  <c r="G30" i="61"/>
  <c r="G31" i="61"/>
  <c r="G32" i="61"/>
  <c r="G33" i="61"/>
  <c r="G34" i="61"/>
  <c r="G35" i="61"/>
  <c r="G36" i="61"/>
  <c r="G37" i="61"/>
  <c r="G38" i="61"/>
  <c r="G39" i="61"/>
  <c r="G40" i="61"/>
  <c r="G41" i="61"/>
  <c r="G42" i="61"/>
  <c r="G43" i="61"/>
  <c r="G44" i="61"/>
  <c r="G45" i="61"/>
  <c r="G46" i="61"/>
  <c r="G47" i="61"/>
  <c r="G48" i="61"/>
  <c r="G49" i="61"/>
  <c r="G50" i="61"/>
  <c r="G51" i="61"/>
  <c r="G52" i="61"/>
  <c r="G53" i="61"/>
  <c r="G54" i="61"/>
  <c r="G55" i="61"/>
  <c r="G56" i="61"/>
  <c r="G57" i="61"/>
  <c r="G58" i="61"/>
  <c r="G59" i="61"/>
  <c r="G60" i="61"/>
  <c r="G61" i="61"/>
  <c r="G62" i="61"/>
  <c r="G63" i="61"/>
  <c r="G64" i="61"/>
  <c r="G65" i="61"/>
  <c r="G66" i="61"/>
  <c r="G67" i="61"/>
  <c r="G68" i="61"/>
  <c r="G69" i="61"/>
  <c r="G70" i="61"/>
  <c r="G71" i="61"/>
  <c r="G72" i="61"/>
  <c r="G73" i="61"/>
  <c r="G74" i="61"/>
  <c r="G75" i="61"/>
  <c r="G76" i="61"/>
  <c r="G77" i="61"/>
  <c r="G78" i="61"/>
  <c r="G79" i="61"/>
  <c r="G80" i="61"/>
  <c r="G81" i="61"/>
  <c r="G82" i="61"/>
  <c r="G83" i="61"/>
  <c r="G84" i="61"/>
  <c r="G85" i="61"/>
  <c r="G86" i="61"/>
  <c r="G87" i="61"/>
  <c r="G88" i="61"/>
  <c r="G89" i="61"/>
  <c r="G90" i="61"/>
  <c r="G91" i="61"/>
  <c r="G92" i="61"/>
  <c r="G93" i="61"/>
  <c r="G94" i="61"/>
  <c r="G95" i="61"/>
  <c r="G96" i="61"/>
  <c r="G97" i="61"/>
  <c r="G98" i="61"/>
  <c r="G99" i="61"/>
  <c r="G100" i="61"/>
  <c r="G101" i="61"/>
  <c r="G102" i="61"/>
  <c r="G103" i="61"/>
  <c r="G104" i="61"/>
  <c r="G105" i="61"/>
  <c r="G106" i="61"/>
  <c r="G107" i="61"/>
  <c r="G108" i="61"/>
  <c r="G109" i="61"/>
  <c r="G110" i="61"/>
  <c r="G111" i="61"/>
  <c r="G112" i="61"/>
  <c r="G113" i="61"/>
  <c r="G3" i="61"/>
  <c r="G4" i="60"/>
  <c r="G5" i="60"/>
  <c r="G6" i="60"/>
  <c r="G7" i="60"/>
  <c r="G8" i="60"/>
  <c r="G9" i="60"/>
  <c r="G10" i="60"/>
  <c r="G11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G32" i="60"/>
  <c r="G33" i="60"/>
  <c r="G34" i="60"/>
  <c r="G35" i="60"/>
  <c r="G36" i="60"/>
  <c r="G37" i="60"/>
  <c r="G38" i="60"/>
  <c r="G39" i="60"/>
  <c r="G40" i="60"/>
  <c r="G41" i="60"/>
  <c r="G42" i="60"/>
  <c r="G43" i="60"/>
  <c r="G44" i="60"/>
  <c r="G45" i="60"/>
  <c r="G46" i="60"/>
  <c r="G47" i="60"/>
  <c r="G48" i="60"/>
  <c r="G49" i="60"/>
  <c r="G50" i="60"/>
  <c r="G51" i="60"/>
  <c r="G52" i="60"/>
  <c r="G53" i="60"/>
  <c r="G54" i="60"/>
  <c r="G55" i="60"/>
  <c r="G56" i="60"/>
  <c r="G57" i="60"/>
  <c r="G58" i="60"/>
  <c r="G59" i="60"/>
  <c r="G60" i="60"/>
  <c r="G61" i="60"/>
  <c r="G62" i="60"/>
  <c r="G63" i="60"/>
  <c r="G64" i="60"/>
  <c r="G65" i="60"/>
  <c r="G66" i="60"/>
  <c r="G67" i="60"/>
  <c r="G68" i="60"/>
  <c r="G69" i="60"/>
  <c r="G70" i="60"/>
  <c r="G71" i="60"/>
  <c r="G72" i="60"/>
  <c r="G73" i="60"/>
  <c r="G74" i="60"/>
  <c r="G75" i="60"/>
  <c r="G76" i="60"/>
  <c r="G77" i="60"/>
  <c r="G78" i="60"/>
  <c r="G79" i="60"/>
  <c r="G80" i="60"/>
  <c r="G81" i="60"/>
  <c r="G82" i="60"/>
  <c r="G83" i="60"/>
  <c r="G84" i="60"/>
  <c r="G85" i="60"/>
  <c r="G86" i="60"/>
  <c r="G87" i="60"/>
  <c r="G88" i="60"/>
  <c r="G89" i="60"/>
  <c r="G90" i="60"/>
  <c r="G91" i="60"/>
  <c r="G92" i="60"/>
  <c r="G93" i="60"/>
  <c r="G94" i="60"/>
  <c r="G95" i="60"/>
  <c r="G96" i="60"/>
  <c r="G97" i="60"/>
  <c r="G98" i="60"/>
  <c r="G99" i="60"/>
  <c r="G100" i="60"/>
  <c r="G101" i="60"/>
  <c r="G102" i="60"/>
  <c r="G103" i="60"/>
  <c r="G104" i="60"/>
  <c r="G105" i="60"/>
  <c r="G106" i="60"/>
  <c r="G107" i="60"/>
  <c r="G108" i="60"/>
  <c r="G109" i="60"/>
  <c r="G110" i="60"/>
  <c r="G111" i="60"/>
  <c r="G112" i="60"/>
  <c r="G113" i="60"/>
  <c r="G114" i="60"/>
  <c r="G115" i="60"/>
  <c r="G116" i="60"/>
  <c r="G117" i="60"/>
  <c r="G118" i="60"/>
  <c r="G119" i="60"/>
  <c r="G120" i="60"/>
  <c r="G121" i="60"/>
  <c r="G122" i="60"/>
  <c r="G123" i="60"/>
  <c r="G124" i="60"/>
  <c r="G125" i="60"/>
  <c r="G126" i="60"/>
  <c r="G127" i="60"/>
  <c r="G128" i="60"/>
  <c r="G129" i="60"/>
  <c r="G130" i="60"/>
  <c r="G131" i="60"/>
  <c r="G132" i="60"/>
  <c r="G133" i="60"/>
  <c r="G134" i="60"/>
  <c r="G135" i="60"/>
  <c r="G136" i="60"/>
  <c r="G137" i="60"/>
  <c r="G138" i="60"/>
  <c r="G139" i="60"/>
  <c r="G140" i="60"/>
  <c r="G141" i="60"/>
  <c r="G142" i="60"/>
  <c r="G143" i="60"/>
  <c r="G144" i="60"/>
  <c r="G145" i="60"/>
  <c r="G146" i="60"/>
  <c r="G147" i="60"/>
  <c r="G148" i="60"/>
  <c r="G149" i="60"/>
  <c r="G150" i="60"/>
  <c r="G151" i="60"/>
  <c r="G152" i="60"/>
  <c r="G153" i="60"/>
  <c r="G154" i="60"/>
  <c r="G155" i="60"/>
  <c r="G156" i="60"/>
  <c r="G157" i="60"/>
  <c r="G158" i="60"/>
  <c r="G159" i="60"/>
  <c r="G160" i="60"/>
  <c r="G161" i="60"/>
  <c r="G162" i="60"/>
  <c r="G163" i="60"/>
  <c r="G164" i="60"/>
  <c r="G165" i="60"/>
  <c r="G166" i="60"/>
  <c r="G167" i="60"/>
  <c r="G168" i="60"/>
  <c r="G169" i="60"/>
  <c r="G170" i="60"/>
  <c r="G171" i="60"/>
  <c r="G172" i="60"/>
  <c r="G173" i="60"/>
  <c r="G174" i="60"/>
  <c r="G175" i="60"/>
  <c r="G176" i="60"/>
  <c r="G177" i="60"/>
  <c r="G178" i="60"/>
  <c r="G179" i="60"/>
  <c r="G180" i="60"/>
  <c r="G181" i="60"/>
  <c r="G182" i="60"/>
  <c r="G183" i="60"/>
  <c r="G184" i="60"/>
  <c r="G185" i="60"/>
  <c r="G186" i="60"/>
  <c r="G187" i="60"/>
  <c r="G188" i="60"/>
  <c r="G189" i="60"/>
  <c r="G190" i="60"/>
  <c r="G191" i="60"/>
  <c r="G192" i="60"/>
  <c r="G193" i="60"/>
  <c r="G194" i="60"/>
  <c r="G195" i="60"/>
  <c r="G196" i="60"/>
  <c r="G197" i="60"/>
  <c r="G198" i="60"/>
  <c r="G199" i="60"/>
  <c r="G200" i="60"/>
  <c r="G201" i="60"/>
  <c r="G202" i="60"/>
  <c r="G203" i="60"/>
  <c r="G204" i="60"/>
  <c r="G205" i="60"/>
  <c r="G206" i="60"/>
  <c r="G207" i="60"/>
  <c r="G208" i="60"/>
  <c r="G209" i="60"/>
  <c r="G210" i="60"/>
  <c r="G211" i="60"/>
  <c r="G212" i="60"/>
  <c r="G213" i="60"/>
  <c r="G214" i="60"/>
  <c r="G215" i="60"/>
  <c r="G216" i="60"/>
  <c r="G217" i="60"/>
  <c r="G218" i="60"/>
  <c r="G219" i="60"/>
  <c r="G220" i="60"/>
  <c r="G221" i="60"/>
  <c r="G222" i="60"/>
  <c r="G223" i="60"/>
  <c r="G224" i="60"/>
  <c r="G225" i="60"/>
  <c r="G226" i="60"/>
  <c r="G227" i="60"/>
  <c r="G228" i="60"/>
  <c r="G229" i="60"/>
  <c r="G230" i="60"/>
  <c r="G231" i="60"/>
  <c r="G232" i="60"/>
  <c r="G233" i="60"/>
  <c r="G234" i="60"/>
  <c r="G235" i="60"/>
  <c r="G236" i="60"/>
  <c r="G237" i="60"/>
  <c r="G238" i="60"/>
  <c r="G239" i="60"/>
  <c r="G240" i="60"/>
  <c r="G241" i="60"/>
  <c r="G242" i="60"/>
  <c r="G243" i="60"/>
  <c r="G244" i="60"/>
  <c r="G245" i="60"/>
  <c r="G246" i="60"/>
  <c r="G247" i="60"/>
  <c r="G248" i="60"/>
  <c r="G249" i="60"/>
  <c r="G250" i="60"/>
  <c r="G251" i="60"/>
  <c r="G252" i="60"/>
  <c r="G253" i="60"/>
  <c r="G254" i="60"/>
  <c r="G255" i="60"/>
  <c r="G256" i="60"/>
  <c r="G257" i="60"/>
  <c r="G258" i="60"/>
  <c r="G259" i="60"/>
  <c r="G260" i="60"/>
  <c r="G261" i="60"/>
  <c r="G262" i="60"/>
  <c r="G263" i="60"/>
  <c r="G264" i="60"/>
  <c r="G265" i="60"/>
  <c r="G266" i="60"/>
  <c r="G267" i="60"/>
  <c r="G268" i="60"/>
  <c r="G269" i="60"/>
  <c r="G270" i="60"/>
  <c r="G271" i="60"/>
  <c r="G272" i="60"/>
  <c r="G273" i="60"/>
  <c r="G274" i="60"/>
  <c r="G275" i="60"/>
  <c r="G276" i="60"/>
  <c r="G277" i="60"/>
  <c r="G278" i="60"/>
  <c r="G279" i="60"/>
  <c r="G280" i="60"/>
  <c r="G281" i="60"/>
  <c r="G282" i="60"/>
  <c r="G283" i="60"/>
  <c r="G284" i="60"/>
  <c r="G285" i="60"/>
  <c r="G286" i="60"/>
  <c r="G287" i="60"/>
  <c r="G288" i="60"/>
  <c r="G289" i="60"/>
  <c r="G290" i="60"/>
  <c r="G291" i="60"/>
  <c r="G292" i="60"/>
  <c r="G293" i="60"/>
  <c r="G294" i="60"/>
  <c r="G295" i="60"/>
  <c r="G296" i="60"/>
  <c r="G297" i="60"/>
  <c r="G298" i="60"/>
  <c r="G299" i="60"/>
  <c r="G300" i="60"/>
  <c r="G301" i="60"/>
  <c r="G302" i="60"/>
  <c r="G303" i="60"/>
  <c r="G304" i="60"/>
  <c r="G305" i="60"/>
  <c r="G306" i="60"/>
  <c r="G307" i="60"/>
  <c r="G308" i="60"/>
  <c r="G309" i="60"/>
  <c r="G310" i="60"/>
  <c r="G311" i="60"/>
  <c r="G312" i="60"/>
  <c r="G313" i="60"/>
  <c r="G314" i="60"/>
  <c r="G315" i="60"/>
  <c r="G316" i="60"/>
  <c r="G317" i="60"/>
  <c r="G318" i="60"/>
  <c r="G319" i="60"/>
  <c r="G320" i="60"/>
  <c r="G321" i="60"/>
  <c r="G322" i="60"/>
  <c r="G323" i="60"/>
  <c r="G324" i="60"/>
  <c r="G325" i="60"/>
  <c r="G326" i="60"/>
  <c r="G327" i="60"/>
  <c r="G328" i="60"/>
  <c r="G329" i="60"/>
  <c r="G330" i="60"/>
  <c r="G331" i="60"/>
  <c r="G332" i="60"/>
  <c r="G333" i="60"/>
  <c r="G334" i="60"/>
  <c r="G335" i="60"/>
  <c r="G336" i="60"/>
  <c r="G337" i="60"/>
  <c r="G338" i="60"/>
  <c r="G339" i="60"/>
  <c r="G340" i="60"/>
  <c r="G341" i="60"/>
  <c r="G342" i="60"/>
  <c r="G343" i="60"/>
  <c r="G344" i="60"/>
  <c r="G345" i="60"/>
  <c r="G346" i="60"/>
  <c r="G347" i="60"/>
  <c r="G348" i="60"/>
  <c r="G349" i="60"/>
  <c r="G350" i="60"/>
  <c r="G351" i="60"/>
  <c r="G352" i="60"/>
  <c r="G353" i="60"/>
  <c r="G354" i="60"/>
  <c r="G355" i="60"/>
  <c r="G356" i="60"/>
  <c r="G357" i="60"/>
  <c r="G358" i="60"/>
  <c r="G359" i="60"/>
  <c r="G360" i="60"/>
  <c r="G361" i="60"/>
  <c r="G362" i="60"/>
  <c r="G363" i="60"/>
  <c r="G364" i="60"/>
  <c r="G365" i="60"/>
  <c r="G366" i="60"/>
  <c r="G367" i="60"/>
  <c r="G368" i="60"/>
  <c r="G369" i="60"/>
  <c r="G370" i="60"/>
  <c r="G371" i="60"/>
  <c r="G372" i="60"/>
  <c r="G373" i="60"/>
  <c r="G374" i="60"/>
  <c r="G375" i="60"/>
  <c r="G376" i="60"/>
  <c r="G377" i="60"/>
  <c r="G378" i="60"/>
  <c r="G379" i="60"/>
  <c r="G380" i="60"/>
  <c r="G381" i="60"/>
  <c r="G382" i="60"/>
  <c r="G383" i="60"/>
  <c r="G384" i="60"/>
  <c r="G385" i="60"/>
  <c r="G386" i="60"/>
  <c r="G387" i="60"/>
  <c r="G388" i="60"/>
  <c r="G389" i="60"/>
  <c r="G390" i="60"/>
  <c r="G391" i="60"/>
  <c r="G392" i="60"/>
  <c r="G393" i="60"/>
  <c r="G394" i="60"/>
  <c r="G395" i="60"/>
  <c r="G396" i="60"/>
  <c r="G397" i="60"/>
  <c r="G398" i="60"/>
  <c r="G399" i="60"/>
  <c r="G400" i="60"/>
  <c r="G401" i="60"/>
  <c r="G402" i="60"/>
  <c r="G403" i="60"/>
  <c r="G404" i="60"/>
  <c r="G405" i="60"/>
  <c r="G406" i="60"/>
  <c r="G407" i="60"/>
  <c r="G408" i="60"/>
  <c r="G409" i="60"/>
  <c r="G410" i="60"/>
  <c r="G411" i="60"/>
  <c r="G412" i="60"/>
  <c r="G413" i="60"/>
  <c r="G414" i="60"/>
  <c r="G3" i="60"/>
  <c r="G4" i="59"/>
  <c r="G5" i="59"/>
  <c r="G6" i="59"/>
  <c r="G7" i="59"/>
  <c r="G8" i="59"/>
  <c r="G9" i="59"/>
  <c r="G10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" i="59"/>
  <c r="G4" i="58"/>
  <c r="G5" i="58"/>
  <c r="G6" i="58"/>
  <c r="G7" i="58"/>
  <c r="G8" i="58"/>
  <c r="G9" i="58"/>
  <c r="G10" i="58"/>
  <c r="G11" i="58"/>
  <c r="G12" i="58"/>
  <c r="G13" i="58"/>
  <c r="G14" i="58"/>
  <c r="G15" i="58"/>
  <c r="G16" i="58"/>
  <c r="G17" i="58"/>
  <c r="G18" i="58"/>
  <c r="G19" i="58"/>
  <c r="G20" i="58"/>
  <c r="G21" i="58"/>
  <c r="G22" i="58"/>
  <c r="G23" i="58"/>
  <c r="G24" i="58"/>
  <c r="G25" i="58"/>
  <c r="G26" i="58"/>
  <c r="G27" i="58"/>
  <c r="G28" i="58"/>
  <c r="G29" i="58"/>
  <c r="G30" i="58"/>
  <c r="G31" i="58"/>
  <c r="G32" i="58"/>
  <c r="G33" i="58"/>
  <c r="G34" i="58"/>
  <c r="G35" i="58"/>
  <c r="G36" i="58"/>
  <c r="G37" i="58"/>
  <c r="G38" i="58"/>
  <c r="G39" i="58"/>
  <c r="G40" i="58"/>
  <c r="G41" i="58"/>
  <c r="G42" i="58"/>
  <c r="G43" i="58"/>
  <c r="G44" i="58"/>
  <c r="G45" i="58"/>
  <c r="G46" i="58"/>
  <c r="G47" i="58"/>
  <c r="G48" i="58"/>
  <c r="G49" i="58"/>
  <c r="G50" i="58"/>
  <c r="G51" i="58"/>
  <c r="G52" i="58"/>
  <c r="G53" i="58"/>
  <c r="G54" i="58"/>
  <c r="G55" i="58"/>
  <c r="G3" i="58"/>
  <c r="G4" i="57"/>
  <c r="G5" i="57"/>
  <c r="G6" i="57"/>
  <c r="G7" i="57"/>
  <c r="G8" i="57"/>
  <c r="G9" i="57"/>
  <c r="G10" i="57"/>
  <c r="G11" i="57"/>
  <c r="G12" i="57"/>
  <c r="G13" i="57"/>
  <c r="G14" i="57"/>
  <c r="G15" i="57"/>
  <c r="G16" i="57"/>
  <c r="G17" i="57"/>
  <c r="G18" i="57"/>
  <c r="G19" i="57"/>
  <c r="G20" i="57"/>
  <c r="G21" i="57"/>
  <c r="G22" i="57"/>
  <c r="G23" i="57"/>
  <c r="G24" i="57"/>
  <c r="G25" i="57"/>
  <c r="G26" i="57"/>
  <c r="G27" i="57"/>
  <c r="G28" i="57"/>
  <c r="G29" i="57"/>
  <c r="G30" i="57"/>
  <c r="G31" i="57"/>
  <c r="G32" i="57"/>
  <c r="G33" i="57"/>
  <c r="G34" i="57"/>
  <c r="G35" i="57"/>
  <c r="G36" i="57"/>
  <c r="G37" i="57"/>
  <c r="G38" i="57"/>
  <c r="G39" i="57"/>
  <c r="G40" i="57"/>
  <c r="G41" i="57"/>
  <c r="G42" i="57"/>
  <c r="G43" i="57"/>
  <c r="G44" i="57"/>
  <c r="G45" i="57"/>
  <c r="G46" i="57"/>
  <c r="G47" i="57"/>
  <c r="G48" i="57"/>
  <c r="G49" i="57"/>
  <c r="G50" i="57"/>
  <c r="G51" i="57"/>
  <c r="G52" i="57"/>
  <c r="G53" i="57"/>
  <c r="G54" i="57"/>
  <c r="G55" i="57"/>
  <c r="G56" i="57"/>
  <c r="G57" i="57"/>
  <c r="G58" i="57"/>
  <c r="G59" i="57"/>
  <c r="G60" i="57"/>
  <c r="G61" i="57"/>
  <c r="G62" i="57"/>
  <c r="G63" i="57"/>
  <c r="G64" i="57"/>
  <c r="G65" i="57"/>
  <c r="G66" i="57"/>
  <c r="G67" i="57"/>
  <c r="G68" i="57"/>
  <c r="G69" i="57"/>
  <c r="G70" i="57"/>
  <c r="G71" i="57"/>
  <c r="G72" i="57"/>
  <c r="G73" i="57"/>
  <c r="G74" i="57"/>
  <c r="G75" i="57"/>
  <c r="G76" i="57"/>
  <c r="G77" i="57"/>
  <c r="G78" i="57"/>
  <c r="G79" i="57"/>
  <c r="G80" i="57"/>
  <c r="G81" i="57"/>
  <c r="G3" i="57"/>
  <c r="G4" i="56"/>
  <c r="G5" i="56"/>
  <c r="G6" i="56"/>
  <c r="G7" i="56"/>
  <c r="G8" i="56"/>
  <c r="G9" i="56"/>
  <c r="G10" i="56"/>
  <c r="G11" i="56"/>
  <c r="G12" i="56"/>
  <c r="G13" i="56"/>
  <c r="G14" i="56"/>
  <c r="G15" i="56"/>
  <c r="G16" i="56"/>
  <c r="G17" i="56"/>
  <c r="G18" i="56"/>
  <c r="G19" i="56"/>
  <c r="G20" i="56"/>
  <c r="G21" i="56"/>
  <c r="G22" i="56"/>
  <c r="G23" i="56"/>
  <c r="G24" i="56"/>
  <c r="G25" i="56"/>
  <c r="G26" i="56"/>
  <c r="G27" i="56"/>
  <c r="G28" i="56"/>
  <c r="G29" i="56"/>
  <c r="G30" i="56"/>
  <c r="G31" i="56"/>
  <c r="G32" i="56"/>
  <c r="G33" i="56"/>
  <c r="G34" i="56"/>
  <c r="G35" i="56"/>
  <c r="G36" i="56"/>
  <c r="G37" i="56"/>
  <c r="G38" i="56"/>
  <c r="G39" i="56"/>
  <c r="G40" i="56"/>
  <c r="G41" i="56"/>
  <c r="G42" i="56"/>
  <c r="G43" i="56"/>
  <c r="G44" i="56"/>
  <c r="G45" i="56"/>
  <c r="G46" i="56"/>
  <c r="G47" i="56"/>
  <c r="G48" i="56"/>
  <c r="G49" i="56"/>
  <c r="G50" i="56"/>
  <c r="G51" i="56"/>
  <c r="G52" i="56"/>
  <c r="G53" i="56"/>
  <c r="G54" i="56"/>
  <c r="G55" i="56"/>
  <c r="G56" i="56"/>
  <c r="G57" i="56"/>
  <c r="G3" i="56"/>
  <c r="G4" i="55"/>
  <c r="G5" i="55"/>
  <c r="G6" i="55"/>
  <c r="G7" i="55"/>
  <c r="G8" i="55"/>
  <c r="G9" i="55"/>
  <c r="G10" i="55"/>
  <c r="G11" i="55"/>
  <c r="G12" i="55"/>
  <c r="G13" i="55"/>
  <c r="G14" i="55"/>
  <c r="G15" i="55"/>
  <c r="G16" i="55"/>
  <c r="G17" i="55"/>
  <c r="G18" i="55"/>
  <c r="G19" i="55"/>
  <c r="G20" i="55"/>
  <c r="G21" i="55"/>
  <c r="G22" i="55"/>
  <c r="G23" i="55"/>
  <c r="G24" i="55"/>
  <c r="G25" i="55"/>
  <c r="G26" i="55"/>
  <c r="G27" i="55"/>
  <c r="G28" i="55"/>
  <c r="G29" i="55"/>
  <c r="G30" i="55"/>
  <c r="G3" i="55"/>
  <c r="G4" i="54"/>
  <c r="G5" i="54"/>
  <c r="G6" i="54"/>
  <c r="G7" i="54"/>
  <c r="G8" i="54"/>
  <c r="G9" i="54"/>
  <c r="G10" i="54"/>
  <c r="G11" i="54"/>
  <c r="G12" i="54"/>
  <c r="G13" i="54"/>
  <c r="G14" i="54"/>
  <c r="G15" i="54"/>
  <c r="G16" i="54"/>
  <c r="G17" i="54"/>
  <c r="G18" i="54"/>
  <c r="G19" i="54"/>
  <c r="G20" i="54"/>
  <c r="G21" i="54"/>
  <c r="G22" i="54"/>
  <c r="G23" i="54"/>
  <c r="G24" i="54"/>
  <c r="G25" i="54"/>
  <c r="G26" i="54"/>
  <c r="G27" i="54"/>
  <c r="G28" i="54"/>
  <c r="G29" i="54"/>
  <c r="G30" i="54"/>
  <c r="G31" i="54"/>
  <c r="G3" i="54"/>
  <c r="G4" i="53"/>
  <c r="G5" i="53"/>
  <c r="G6" i="53"/>
  <c r="G7" i="53"/>
  <c r="G8" i="53"/>
  <c r="G9" i="53"/>
  <c r="G10" i="53"/>
  <c r="G11" i="53"/>
  <c r="G12" i="53"/>
  <c r="G13" i="53"/>
  <c r="G14" i="53"/>
  <c r="G15" i="53"/>
  <c r="G16" i="53"/>
  <c r="G17" i="53"/>
  <c r="G18" i="53"/>
  <c r="G19" i="53"/>
  <c r="G20" i="53"/>
  <c r="G21" i="53"/>
  <c r="G22" i="53"/>
  <c r="G23" i="53"/>
  <c r="G24" i="53"/>
  <c r="G25" i="53"/>
  <c r="G26" i="53"/>
  <c r="G27" i="53"/>
  <c r="G28" i="53"/>
  <c r="G29" i="53"/>
  <c r="G30" i="53"/>
  <c r="G31" i="53"/>
  <c r="G32" i="53"/>
  <c r="G33" i="53"/>
  <c r="G34" i="53"/>
  <c r="G35" i="53"/>
  <c r="G36" i="53"/>
  <c r="G37" i="53"/>
  <c r="G38" i="53"/>
  <c r="G39" i="53"/>
  <c r="G40" i="53"/>
  <c r="G41" i="53"/>
  <c r="G42" i="53"/>
  <c r="G43" i="53"/>
  <c r="G44" i="53"/>
  <c r="G45" i="53"/>
  <c r="G46" i="53"/>
  <c r="G47" i="53"/>
  <c r="G48" i="53"/>
  <c r="G49" i="53"/>
  <c r="G50" i="53"/>
  <c r="G51" i="53"/>
  <c r="G52" i="53"/>
  <c r="G53" i="53"/>
  <c r="G54" i="53"/>
  <c r="G55" i="53"/>
  <c r="G56" i="53"/>
  <c r="G57" i="53"/>
  <c r="G58" i="53"/>
  <c r="G59" i="53"/>
  <c r="G60" i="53"/>
  <c r="G61" i="53"/>
  <c r="G62" i="53"/>
  <c r="G63" i="53"/>
  <c r="G64" i="53"/>
  <c r="G65" i="53"/>
  <c r="G66" i="53"/>
  <c r="G67" i="53"/>
  <c r="G3" i="53"/>
  <c r="G4" i="52"/>
  <c r="G5" i="52"/>
  <c r="G6" i="52"/>
  <c r="G7" i="52"/>
  <c r="G8" i="52"/>
  <c r="G9" i="52"/>
  <c r="G10" i="52"/>
  <c r="G11" i="52"/>
  <c r="G12" i="52"/>
  <c r="G13" i="52"/>
  <c r="G14" i="52"/>
  <c r="G15" i="52"/>
  <c r="G16" i="52"/>
  <c r="G17" i="52"/>
  <c r="G18" i="52"/>
  <c r="G19" i="52"/>
  <c r="G20" i="52"/>
  <c r="G21" i="52"/>
  <c r="G22" i="52"/>
  <c r="G23" i="52"/>
  <c r="G24" i="52"/>
  <c r="G25" i="52"/>
  <c r="G26" i="52"/>
  <c r="G27" i="52"/>
  <c r="G28" i="52"/>
  <c r="G29" i="52"/>
  <c r="G30" i="52"/>
  <c r="G31" i="52"/>
  <c r="G32" i="52"/>
  <c r="G33" i="52"/>
  <c r="G34" i="52"/>
  <c r="G35" i="52"/>
  <c r="G36" i="52"/>
  <c r="G37" i="52"/>
  <c r="G38" i="52"/>
  <c r="G39" i="52"/>
  <c r="G40" i="52"/>
  <c r="G41" i="52"/>
  <c r="G42" i="52"/>
  <c r="G43" i="52"/>
  <c r="G44" i="52"/>
  <c r="G45" i="52"/>
  <c r="G46" i="52"/>
  <c r="G47" i="52"/>
  <c r="G48" i="52"/>
  <c r="G49" i="52"/>
  <c r="G50" i="52"/>
  <c r="G51" i="52"/>
  <c r="G52" i="52"/>
  <c r="G53" i="52"/>
  <c r="G54" i="52"/>
  <c r="G55" i="52"/>
  <c r="G56" i="52"/>
  <c r="G57" i="52"/>
  <c r="G58" i="52"/>
  <c r="G59" i="52"/>
  <c r="G60" i="52"/>
  <c r="G61" i="52"/>
  <c r="G62" i="52"/>
  <c r="G63" i="52"/>
  <c r="G64" i="52"/>
  <c r="G65" i="52"/>
  <c r="G66" i="52"/>
  <c r="G67" i="52"/>
  <c r="G68" i="52"/>
  <c r="G69" i="52"/>
  <c r="G3" i="52"/>
  <c r="G4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25" i="51"/>
  <c r="G26" i="51"/>
  <c r="G27" i="51"/>
  <c r="G28" i="51"/>
  <c r="G29" i="51"/>
  <c r="G30" i="51"/>
  <c r="G31" i="51"/>
  <c r="G32" i="51"/>
  <c r="G33" i="51"/>
  <c r="G3" i="51"/>
  <c r="G4" i="50"/>
  <c r="G5" i="50"/>
  <c r="G6" i="50"/>
  <c r="G7" i="50"/>
  <c r="G8" i="50"/>
  <c r="G9" i="50"/>
  <c r="G10" i="50"/>
  <c r="G11" i="50"/>
  <c r="G12" i="50"/>
  <c r="G13" i="50"/>
  <c r="G14" i="50"/>
  <c r="G15" i="50"/>
  <c r="G16" i="50"/>
  <c r="G17" i="50"/>
  <c r="G18" i="50"/>
  <c r="G19" i="50"/>
  <c r="G20" i="50"/>
  <c r="G21" i="50"/>
  <c r="G22" i="50"/>
  <c r="G23" i="50"/>
  <c r="G24" i="50"/>
  <c r="G25" i="50"/>
  <c r="G26" i="50"/>
  <c r="G27" i="50"/>
  <c r="G28" i="50"/>
  <c r="G29" i="50"/>
  <c r="G30" i="50"/>
  <c r="G31" i="50"/>
  <c r="G32" i="50"/>
  <c r="G33" i="50"/>
  <c r="G34" i="50"/>
  <c r="G35" i="50"/>
  <c r="G36" i="50"/>
  <c r="G37" i="50"/>
  <c r="G38" i="50"/>
  <c r="G39" i="50"/>
  <c r="G40" i="50"/>
  <c r="G41" i="50"/>
  <c r="G42" i="50"/>
  <c r="G43" i="50"/>
  <c r="G44" i="50"/>
  <c r="G45" i="50"/>
  <c r="G46" i="50"/>
  <c r="G47" i="50"/>
  <c r="G48" i="50"/>
  <c r="G49" i="50"/>
  <c r="G50" i="50"/>
  <c r="G51" i="50"/>
  <c r="G52" i="50"/>
  <c r="G53" i="50"/>
  <c r="G54" i="50"/>
  <c r="G55" i="50"/>
  <c r="G56" i="50"/>
  <c r="G57" i="50"/>
  <c r="G58" i="50"/>
  <c r="G59" i="50"/>
  <c r="G60" i="50"/>
  <c r="G61" i="50"/>
  <c r="G62" i="50"/>
  <c r="G63" i="50"/>
  <c r="G64" i="50"/>
  <c r="G65" i="50"/>
  <c r="G66" i="50"/>
  <c r="G67" i="50"/>
  <c r="G68" i="50"/>
  <c r="G69" i="50"/>
  <c r="G70" i="50"/>
  <c r="G71" i="50"/>
  <c r="G72" i="50"/>
  <c r="G73" i="50"/>
  <c r="G74" i="50"/>
  <c r="G75" i="50"/>
  <c r="G76" i="50"/>
  <c r="G77" i="50"/>
  <c r="G78" i="50"/>
  <c r="G79" i="50"/>
  <c r="G80" i="50"/>
  <c r="G81" i="50"/>
  <c r="G82" i="50"/>
  <c r="G83" i="50"/>
  <c r="G84" i="50"/>
  <c r="G3" i="50"/>
  <c r="G4" i="49"/>
  <c r="G5" i="49"/>
  <c r="G6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33" i="49"/>
  <c r="G34" i="49"/>
  <c r="G35" i="49"/>
  <c r="G36" i="49"/>
  <c r="G37" i="49"/>
  <c r="G38" i="49"/>
  <c r="G39" i="49"/>
  <c r="G40" i="49"/>
  <c r="G41" i="49"/>
  <c r="G42" i="49"/>
  <c r="G43" i="49"/>
  <c r="G44" i="49"/>
  <c r="G45" i="49"/>
  <c r="G46" i="49"/>
  <c r="G47" i="49"/>
  <c r="G48" i="49"/>
  <c r="G49" i="49"/>
  <c r="G50" i="49"/>
  <c r="G51" i="49"/>
  <c r="G52" i="49"/>
  <c r="G53" i="49"/>
  <c r="G54" i="49"/>
  <c r="G55" i="49"/>
  <c r="G56" i="49"/>
  <c r="G57" i="49"/>
  <c r="G58" i="49"/>
  <c r="G59" i="49"/>
  <c r="G60" i="49"/>
  <c r="G61" i="49"/>
  <c r="G62" i="49"/>
  <c r="G63" i="49"/>
  <c r="G64" i="49"/>
  <c r="G65" i="49"/>
  <c r="G66" i="49"/>
  <c r="G67" i="49"/>
  <c r="G68" i="49"/>
  <c r="G69" i="49"/>
  <c r="G70" i="49"/>
  <c r="G71" i="49"/>
  <c r="G72" i="49"/>
  <c r="G73" i="49"/>
  <c r="G74" i="49"/>
  <c r="G75" i="49"/>
  <c r="G76" i="49"/>
  <c r="G77" i="49"/>
  <c r="G3" i="49"/>
  <c r="G4" i="48"/>
  <c r="G5" i="48"/>
  <c r="G6" i="48"/>
  <c r="G7" i="48"/>
  <c r="G8" i="48"/>
  <c r="G9" i="48"/>
  <c r="G10" i="48"/>
  <c r="G11" i="48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G31" i="48"/>
  <c r="G32" i="48"/>
  <c r="G33" i="48"/>
  <c r="G34" i="48"/>
  <c r="G35" i="48"/>
  <c r="G36" i="48"/>
  <c r="G37" i="48"/>
  <c r="G38" i="48"/>
  <c r="G39" i="48"/>
  <c r="G40" i="48"/>
  <c r="G41" i="48"/>
  <c r="G42" i="48"/>
  <c r="G43" i="48"/>
  <c r="G44" i="48"/>
  <c r="G45" i="48"/>
  <c r="G46" i="48"/>
  <c r="G47" i="48"/>
  <c r="G48" i="48"/>
  <c r="G49" i="48"/>
  <c r="G50" i="48"/>
  <c r="G51" i="48"/>
  <c r="G52" i="48"/>
  <c r="G53" i="48"/>
  <c r="G54" i="48"/>
  <c r="G55" i="48"/>
  <c r="G56" i="48"/>
  <c r="G57" i="48"/>
  <c r="G58" i="48"/>
  <c r="G59" i="48"/>
  <c r="G60" i="48"/>
  <c r="G61" i="48"/>
  <c r="G62" i="48"/>
  <c r="G3" i="48"/>
  <c r="G4" i="47"/>
  <c r="G5" i="47"/>
  <c r="G6" i="47"/>
  <c r="G7" i="47"/>
  <c r="G8" i="47"/>
  <c r="G9" i="47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33" i="47"/>
  <c r="G34" i="47"/>
  <c r="G3" i="47"/>
  <c r="G4" i="46"/>
  <c r="G5" i="46"/>
  <c r="G6" i="46"/>
  <c r="G7" i="46"/>
  <c r="G8" i="46"/>
  <c r="G9" i="46"/>
  <c r="G10" i="46"/>
  <c r="G11" i="46"/>
  <c r="G12" i="46"/>
  <c r="G13" i="46"/>
  <c r="G14" i="46"/>
  <c r="G15" i="46"/>
  <c r="G16" i="46"/>
  <c r="G17" i="46"/>
  <c r="G18" i="46"/>
  <c r="G19" i="46"/>
  <c r="G20" i="46"/>
  <c r="G21" i="46"/>
  <c r="G22" i="46"/>
  <c r="G23" i="46"/>
  <c r="G24" i="46"/>
  <c r="G25" i="46"/>
  <c r="G26" i="46"/>
  <c r="G27" i="46"/>
  <c r="G28" i="46"/>
  <c r="G29" i="46"/>
  <c r="G3" i="46"/>
  <c r="G4" i="45"/>
  <c r="G5" i="45"/>
  <c r="G6" i="45"/>
  <c r="G7" i="45"/>
  <c r="G8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G32" i="45"/>
  <c r="G33" i="45"/>
  <c r="G34" i="45"/>
  <c r="G35" i="45"/>
  <c r="G36" i="45"/>
  <c r="G37" i="45"/>
  <c r="G38" i="45"/>
  <c r="G3" i="45"/>
  <c r="G4" i="44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39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64" i="44"/>
  <c r="G65" i="44"/>
  <c r="G3" i="44"/>
  <c r="J76" i="64" l="1"/>
  <c r="J75" i="64"/>
  <c r="J74" i="64"/>
  <c r="J73" i="64"/>
  <c r="J72" i="64"/>
  <c r="J71" i="64"/>
  <c r="J70" i="64"/>
  <c r="J69" i="64"/>
  <c r="J68" i="64"/>
  <c r="J67" i="64"/>
  <c r="J66" i="64"/>
  <c r="J65" i="64"/>
  <c r="J64" i="64"/>
  <c r="J63" i="64"/>
  <c r="J62" i="64"/>
  <c r="J61" i="64"/>
  <c r="J60" i="64"/>
  <c r="J59" i="64"/>
  <c r="J58" i="64"/>
  <c r="J57" i="64"/>
  <c r="J56" i="64"/>
  <c r="J55" i="64"/>
  <c r="J54" i="64"/>
  <c r="J53" i="64"/>
  <c r="J52" i="64"/>
  <c r="J51" i="64"/>
  <c r="J50" i="64"/>
  <c r="J49" i="64"/>
  <c r="J48" i="64"/>
  <c r="J47" i="64"/>
  <c r="J46" i="64"/>
  <c r="J45" i="64"/>
  <c r="J44" i="64"/>
  <c r="J43" i="64"/>
  <c r="J42" i="64"/>
  <c r="J41" i="64"/>
  <c r="J40" i="64"/>
  <c r="J39" i="64"/>
  <c r="J38" i="64"/>
  <c r="J37" i="64"/>
  <c r="J36" i="64"/>
  <c r="J35" i="64"/>
  <c r="J34" i="64"/>
  <c r="J33" i="64"/>
  <c r="J32" i="64"/>
  <c r="J31" i="64"/>
  <c r="J30" i="64"/>
  <c r="J29" i="64"/>
  <c r="J28" i="64"/>
  <c r="J27" i="64"/>
  <c r="J26" i="64"/>
  <c r="J25" i="64"/>
  <c r="J24" i="64"/>
  <c r="J23" i="64"/>
  <c r="J22" i="64"/>
  <c r="J21" i="64"/>
  <c r="J20" i="64"/>
  <c r="J19" i="64"/>
  <c r="J18" i="64"/>
  <c r="J17" i="64"/>
  <c r="J16" i="64"/>
  <c r="J15" i="64"/>
  <c r="J14" i="64"/>
  <c r="J13" i="64"/>
  <c r="J12" i="64"/>
  <c r="J11" i="64"/>
  <c r="J10" i="64"/>
  <c r="J9" i="64"/>
  <c r="J8" i="64"/>
  <c r="J7" i="64"/>
  <c r="J6" i="64"/>
  <c r="J5" i="64"/>
  <c r="J4" i="64"/>
  <c r="J3" i="64"/>
  <c r="J95" i="63"/>
  <c r="J94" i="63"/>
  <c r="J93" i="63"/>
  <c r="J92" i="63"/>
  <c r="J91" i="63"/>
  <c r="J90" i="63"/>
  <c r="J89" i="63"/>
  <c r="J88" i="63"/>
  <c r="J87" i="63"/>
  <c r="J86" i="63"/>
  <c r="J85" i="63"/>
  <c r="J84" i="63"/>
  <c r="J83" i="63"/>
  <c r="J82" i="63"/>
  <c r="J81" i="63"/>
  <c r="J80" i="63"/>
  <c r="J79" i="63"/>
  <c r="J78" i="63"/>
  <c r="J77" i="63"/>
  <c r="J76" i="63"/>
  <c r="J75" i="63"/>
  <c r="J74" i="63"/>
  <c r="J73" i="63"/>
  <c r="J72" i="63"/>
  <c r="J71" i="63"/>
  <c r="J70" i="63"/>
  <c r="J69" i="63"/>
  <c r="J68" i="63"/>
  <c r="J67" i="63"/>
  <c r="J66" i="63"/>
  <c r="J65" i="63"/>
  <c r="J64" i="63"/>
  <c r="J63" i="63"/>
  <c r="J62" i="63"/>
  <c r="J61" i="63"/>
  <c r="J60" i="63"/>
  <c r="J59" i="63"/>
  <c r="J58" i="63"/>
  <c r="J57" i="63"/>
  <c r="J56" i="63"/>
  <c r="J55" i="63"/>
  <c r="J54" i="63"/>
  <c r="J53" i="63"/>
  <c r="J52" i="63"/>
  <c r="J51" i="63"/>
  <c r="J50" i="63"/>
  <c r="J49" i="63"/>
  <c r="J48" i="63"/>
  <c r="J47" i="63"/>
  <c r="J46" i="63"/>
  <c r="J45" i="63"/>
  <c r="J44" i="63"/>
  <c r="J43" i="63"/>
  <c r="J42" i="63"/>
  <c r="J41" i="63"/>
  <c r="J40" i="63"/>
  <c r="J39" i="63"/>
  <c r="J38" i="63"/>
  <c r="J37" i="63"/>
  <c r="J36" i="63"/>
  <c r="J35" i="63"/>
  <c r="J34" i="63"/>
  <c r="J33" i="63"/>
  <c r="J32" i="63"/>
  <c r="J31" i="63"/>
  <c r="J30" i="63"/>
  <c r="J29" i="63"/>
  <c r="J28" i="63"/>
  <c r="J27" i="63"/>
  <c r="J26" i="63"/>
  <c r="J25" i="63"/>
  <c r="J24" i="63"/>
  <c r="J23" i="63"/>
  <c r="J22" i="63"/>
  <c r="J21" i="63"/>
  <c r="J20" i="63"/>
  <c r="J19" i="63"/>
  <c r="J18" i="63"/>
  <c r="J17" i="63"/>
  <c r="J16" i="63"/>
  <c r="J15" i="63"/>
  <c r="J14" i="63"/>
  <c r="J13" i="63"/>
  <c r="J12" i="63"/>
  <c r="J11" i="63"/>
  <c r="J10" i="63"/>
  <c r="J9" i="63"/>
  <c r="J8" i="63"/>
  <c r="J7" i="63"/>
  <c r="J6" i="63"/>
  <c r="J5" i="63"/>
  <c r="J4" i="63"/>
  <c r="J3" i="63"/>
  <c r="J103" i="62"/>
  <c r="J102" i="62"/>
  <c r="J101" i="62"/>
  <c r="J100" i="62"/>
  <c r="J99" i="62"/>
  <c r="J98" i="62"/>
  <c r="J97" i="62"/>
  <c r="J96" i="62"/>
  <c r="J95" i="62"/>
  <c r="J94" i="62"/>
  <c r="J93" i="62"/>
  <c r="J92" i="62"/>
  <c r="J91" i="62"/>
  <c r="J90" i="62"/>
  <c r="J89" i="62"/>
  <c r="J88" i="62"/>
  <c r="J87" i="62"/>
  <c r="J86" i="62"/>
  <c r="J85" i="62"/>
  <c r="J84" i="62"/>
  <c r="J83" i="62"/>
  <c r="J82" i="62"/>
  <c r="J81" i="62"/>
  <c r="J80" i="62"/>
  <c r="J79" i="62"/>
  <c r="J78" i="62"/>
  <c r="J77" i="62"/>
  <c r="J76" i="62"/>
  <c r="J75" i="62"/>
  <c r="J74" i="62"/>
  <c r="J73" i="62"/>
  <c r="J72" i="62"/>
  <c r="J71" i="62"/>
  <c r="J70" i="62"/>
  <c r="J69" i="62"/>
  <c r="J68" i="62"/>
  <c r="J67" i="62"/>
  <c r="J66" i="62"/>
  <c r="J65" i="62"/>
  <c r="J64" i="62"/>
  <c r="J63" i="62"/>
  <c r="J62" i="62"/>
  <c r="J61" i="62"/>
  <c r="J60" i="62"/>
  <c r="J59" i="62"/>
  <c r="J58" i="62"/>
  <c r="J57" i="62"/>
  <c r="J56" i="62"/>
  <c r="J55" i="62"/>
  <c r="J54" i="62"/>
  <c r="J53" i="62"/>
  <c r="J52" i="62"/>
  <c r="J51" i="62"/>
  <c r="J50" i="62"/>
  <c r="J49" i="62"/>
  <c r="J48" i="62"/>
  <c r="J47" i="62"/>
  <c r="J46" i="62"/>
  <c r="J45" i="62"/>
  <c r="J44" i="62"/>
  <c r="J43" i="62"/>
  <c r="J42" i="62"/>
  <c r="J41" i="62"/>
  <c r="J40" i="62"/>
  <c r="J39" i="62"/>
  <c r="J38" i="62"/>
  <c r="J37" i="62"/>
  <c r="J36" i="62"/>
  <c r="J35" i="62"/>
  <c r="J34" i="62"/>
  <c r="J33" i="62"/>
  <c r="J32" i="62"/>
  <c r="J31" i="62"/>
  <c r="J30" i="62"/>
  <c r="J29" i="62"/>
  <c r="J28" i="62"/>
  <c r="J27" i="62"/>
  <c r="J26" i="62"/>
  <c r="J25" i="62"/>
  <c r="J24" i="62"/>
  <c r="J23" i="62"/>
  <c r="J22" i="62"/>
  <c r="J21" i="62"/>
  <c r="J20" i="62"/>
  <c r="J19" i="62"/>
  <c r="J18" i="62"/>
  <c r="J17" i="62"/>
  <c r="J16" i="62"/>
  <c r="J15" i="62"/>
  <c r="J14" i="62"/>
  <c r="J13" i="62"/>
  <c r="J12" i="62"/>
  <c r="J11" i="62"/>
  <c r="J10" i="62"/>
  <c r="J9" i="62"/>
  <c r="J8" i="62"/>
  <c r="J7" i="62"/>
  <c r="J6" i="62"/>
  <c r="J5" i="62"/>
  <c r="J4" i="62"/>
  <c r="J3" i="62"/>
  <c r="J113" i="61"/>
  <c r="J112" i="61"/>
  <c r="J111" i="61"/>
  <c r="J110" i="61"/>
  <c r="J109" i="61"/>
  <c r="J108" i="61"/>
  <c r="J107" i="61"/>
  <c r="J106" i="61"/>
  <c r="J105" i="61"/>
  <c r="J104" i="61"/>
  <c r="J103" i="61"/>
  <c r="J102" i="61"/>
  <c r="J101" i="61"/>
  <c r="J100" i="61"/>
  <c r="J99" i="61"/>
  <c r="J98" i="61"/>
  <c r="J97" i="61"/>
  <c r="J96" i="61"/>
  <c r="J95" i="61"/>
  <c r="J94" i="61"/>
  <c r="J93" i="61"/>
  <c r="J92" i="61"/>
  <c r="J91" i="61"/>
  <c r="J90" i="61"/>
  <c r="J89" i="61"/>
  <c r="J88" i="61"/>
  <c r="J87" i="61"/>
  <c r="J86" i="61"/>
  <c r="J85" i="61"/>
  <c r="J84" i="61"/>
  <c r="J83" i="61"/>
  <c r="J82" i="61"/>
  <c r="J81" i="61"/>
  <c r="J80" i="61"/>
  <c r="J79" i="61"/>
  <c r="J78" i="61"/>
  <c r="J77" i="61"/>
  <c r="J76" i="61"/>
  <c r="J75" i="61"/>
  <c r="J74" i="61"/>
  <c r="J73" i="61"/>
  <c r="J72" i="61"/>
  <c r="J71" i="61"/>
  <c r="J70" i="61"/>
  <c r="J69" i="61"/>
  <c r="J68" i="61"/>
  <c r="J67" i="61"/>
  <c r="J66" i="61"/>
  <c r="J65" i="61"/>
  <c r="J64" i="61"/>
  <c r="J63" i="61"/>
  <c r="J62" i="61"/>
  <c r="J61" i="61"/>
  <c r="J60" i="61"/>
  <c r="J59" i="61"/>
  <c r="J58" i="61"/>
  <c r="J57" i="61"/>
  <c r="J56" i="61"/>
  <c r="J55" i="61"/>
  <c r="J54" i="61"/>
  <c r="J53" i="61"/>
  <c r="J52" i="61"/>
  <c r="J51" i="61"/>
  <c r="J50" i="61"/>
  <c r="J49" i="61"/>
  <c r="J48" i="61"/>
  <c r="J47" i="61"/>
  <c r="J46" i="61"/>
  <c r="J45" i="61"/>
  <c r="J44" i="61"/>
  <c r="J43" i="61"/>
  <c r="J42" i="61"/>
  <c r="J41" i="61"/>
  <c r="J40" i="61"/>
  <c r="J39" i="61"/>
  <c r="J38" i="61"/>
  <c r="J37" i="61"/>
  <c r="J36" i="61"/>
  <c r="J35" i="61"/>
  <c r="J34" i="61"/>
  <c r="J33" i="61"/>
  <c r="J32" i="61"/>
  <c r="J31" i="61"/>
  <c r="J30" i="61"/>
  <c r="J29" i="61"/>
  <c r="J28" i="61"/>
  <c r="J27" i="61"/>
  <c r="J26" i="61"/>
  <c r="J25" i="61"/>
  <c r="J24" i="61"/>
  <c r="J23" i="61"/>
  <c r="J22" i="61"/>
  <c r="J21" i="61"/>
  <c r="J20" i="61"/>
  <c r="J19" i="61"/>
  <c r="J18" i="61"/>
  <c r="J17" i="61"/>
  <c r="J16" i="61"/>
  <c r="J15" i="61"/>
  <c r="J14" i="61"/>
  <c r="J13" i="61"/>
  <c r="J12" i="61"/>
  <c r="J11" i="61"/>
  <c r="J10" i="61"/>
  <c r="J9" i="61"/>
  <c r="J8" i="61"/>
  <c r="J7" i="61"/>
  <c r="J6" i="61"/>
  <c r="J5" i="61"/>
  <c r="J4" i="61"/>
  <c r="J3" i="61"/>
  <c r="J414" i="60"/>
  <c r="J413" i="60"/>
  <c r="J412" i="60"/>
  <c r="J411" i="60"/>
  <c r="J410" i="60"/>
  <c r="J409" i="60"/>
  <c r="J408" i="60"/>
  <c r="J407" i="60"/>
  <c r="J406" i="60"/>
  <c r="J405" i="60"/>
  <c r="J404" i="60"/>
  <c r="J403" i="60"/>
  <c r="J402" i="60"/>
  <c r="J401" i="60"/>
  <c r="J400" i="60"/>
  <c r="J399" i="60"/>
  <c r="J398" i="60"/>
  <c r="J397" i="60"/>
  <c r="J396" i="60"/>
  <c r="J395" i="60"/>
  <c r="J394" i="60"/>
  <c r="J393" i="60"/>
  <c r="J392" i="60"/>
  <c r="J391" i="60"/>
  <c r="J390" i="60"/>
  <c r="J389" i="60"/>
  <c r="J388" i="60"/>
  <c r="J387" i="60"/>
  <c r="J386" i="60"/>
  <c r="J385" i="60"/>
  <c r="J384" i="60"/>
  <c r="J383" i="60"/>
  <c r="J382" i="60"/>
  <c r="J381" i="60"/>
  <c r="J380" i="60"/>
  <c r="J379" i="60"/>
  <c r="J378" i="60"/>
  <c r="J377" i="60"/>
  <c r="J376" i="60"/>
  <c r="J375" i="60"/>
  <c r="J374" i="60"/>
  <c r="J373" i="60"/>
  <c r="J372" i="60"/>
  <c r="J371" i="60"/>
  <c r="J370" i="60"/>
  <c r="J369" i="60"/>
  <c r="J368" i="60"/>
  <c r="J367" i="60"/>
  <c r="J366" i="60"/>
  <c r="J365" i="60"/>
  <c r="J364" i="60"/>
  <c r="J363" i="60"/>
  <c r="J362" i="60"/>
  <c r="J361" i="60"/>
  <c r="J360" i="60"/>
  <c r="J359" i="60"/>
  <c r="J358" i="60"/>
  <c r="J357" i="60"/>
  <c r="J356" i="60"/>
  <c r="J355" i="60"/>
  <c r="J354" i="60"/>
  <c r="J353" i="60"/>
  <c r="J352" i="60"/>
  <c r="J351" i="60"/>
  <c r="J350" i="60"/>
  <c r="J349" i="60"/>
  <c r="J348" i="60"/>
  <c r="J347" i="60"/>
  <c r="J346" i="60"/>
  <c r="J345" i="60"/>
  <c r="J344" i="60"/>
  <c r="J343" i="60"/>
  <c r="J342" i="60"/>
  <c r="J341" i="60"/>
  <c r="J339" i="60"/>
  <c r="J338" i="60"/>
  <c r="J337" i="60"/>
  <c r="J336" i="60"/>
  <c r="J335" i="60"/>
  <c r="J334" i="60"/>
  <c r="J333" i="60"/>
  <c r="J332" i="60"/>
  <c r="J331" i="60"/>
  <c r="J330" i="60"/>
  <c r="J329" i="60"/>
  <c r="J328" i="60"/>
  <c r="J327" i="60"/>
  <c r="J326" i="60"/>
  <c r="J325" i="60"/>
  <c r="J324" i="60"/>
  <c r="J323" i="60"/>
  <c r="J322" i="60"/>
  <c r="J321" i="60"/>
  <c r="J320" i="60"/>
  <c r="J319" i="60"/>
  <c r="J318" i="60"/>
  <c r="J317" i="60"/>
  <c r="J316" i="60"/>
  <c r="J315" i="60"/>
  <c r="J314" i="60"/>
  <c r="J313" i="60"/>
  <c r="J312" i="60"/>
  <c r="J311" i="60"/>
  <c r="J310" i="60"/>
  <c r="J309" i="60"/>
  <c r="J308" i="60"/>
  <c r="J307" i="60"/>
  <c r="J306" i="60"/>
  <c r="J305" i="60"/>
  <c r="J304" i="60"/>
  <c r="J303" i="60"/>
  <c r="J302" i="60"/>
  <c r="J301" i="60"/>
  <c r="J300" i="60"/>
  <c r="J299" i="60"/>
  <c r="J298" i="60"/>
  <c r="J297" i="60"/>
  <c r="J296" i="60"/>
  <c r="J295" i="60"/>
  <c r="J294" i="60"/>
  <c r="J293" i="60"/>
  <c r="J292" i="60"/>
  <c r="J291" i="60"/>
  <c r="J290" i="60"/>
  <c r="J289" i="60"/>
  <c r="J288" i="60"/>
  <c r="J287" i="60"/>
  <c r="J286" i="60"/>
  <c r="J285" i="60"/>
  <c r="J284" i="60"/>
  <c r="J283" i="60"/>
  <c r="J282" i="60"/>
  <c r="J281" i="60"/>
  <c r="J280" i="60"/>
  <c r="J279" i="60"/>
  <c r="J278" i="60"/>
  <c r="J277" i="60"/>
  <c r="J276" i="60"/>
  <c r="J275" i="60"/>
  <c r="J274" i="60"/>
  <c r="J273" i="60"/>
  <c r="J272" i="60"/>
  <c r="J271" i="60"/>
  <c r="J270" i="60"/>
  <c r="J269" i="60"/>
  <c r="J268" i="60"/>
  <c r="J267" i="60"/>
  <c r="J266" i="60"/>
  <c r="J265" i="60"/>
  <c r="J264" i="60"/>
  <c r="J263" i="60"/>
  <c r="J262" i="60"/>
  <c r="J261" i="60"/>
  <c r="J260" i="60"/>
  <c r="J259" i="60"/>
  <c r="J258" i="60"/>
  <c r="J257" i="60"/>
  <c r="J256" i="60"/>
  <c r="J255" i="60"/>
  <c r="J254" i="60"/>
  <c r="J253" i="60"/>
  <c r="J252" i="60"/>
  <c r="J251" i="60"/>
  <c r="J250" i="60"/>
  <c r="J249" i="60"/>
  <c r="J248" i="60"/>
  <c r="J247" i="60"/>
  <c r="J245" i="60"/>
  <c r="J244" i="60"/>
  <c r="J243" i="60"/>
  <c r="J242" i="60"/>
  <c r="J241" i="60"/>
  <c r="J240" i="60"/>
  <c r="J239" i="60"/>
  <c r="J238" i="60"/>
  <c r="J237" i="60"/>
  <c r="J236" i="60"/>
  <c r="J235" i="60"/>
  <c r="J234" i="60"/>
  <c r="J233" i="60"/>
  <c r="J232" i="60"/>
  <c r="J231" i="60"/>
  <c r="J230" i="60"/>
  <c r="J229" i="60"/>
  <c r="J228" i="60"/>
  <c r="J227" i="60"/>
  <c r="J226" i="60"/>
  <c r="J225" i="60"/>
  <c r="J224" i="60"/>
  <c r="J223" i="60"/>
  <c r="J222" i="60"/>
  <c r="J221" i="60"/>
  <c r="J220" i="60"/>
  <c r="J219" i="60"/>
  <c r="J218" i="60"/>
  <c r="J217" i="60"/>
  <c r="J216" i="60"/>
  <c r="J215" i="60"/>
  <c r="J214" i="60"/>
  <c r="J213" i="60"/>
  <c r="J212" i="60"/>
  <c r="J211" i="60"/>
  <c r="J210" i="60"/>
  <c r="J209" i="60"/>
  <c r="J208" i="60"/>
  <c r="J207" i="60"/>
  <c r="J206" i="60"/>
  <c r="J205" i="60"/>
  <c r="J204" i="60"/>
  <c r="J203" i="60"/>
  <c r="J202" i="60"/>
  <c r="J201" i="60"/>
  <c r="J200" i="60"/>
  <c r="J199" i="60"/>
  <c r="J198" i="60"/>
  <c r="J197" i="60"/>
  <c r="J196" i="60"/>
  <c r="J195" i="60"/>
  <c r="J194" i="60"/>
  <c r="J193" i="60"/>
  <c r="J192" i="60"/>
  <c r="J191" i="60"/>
  <c r="J190" i="60"/>
  <c r="J189" i="60"/>
  <c r="J188" i="60"/>
  <c r="J187" i="60"/>
  <c r="J186" i="60"/>
  <c r="J185" i="60"/>
  <c r="J184" i="60"/>
  <c r="J183" i="60"/>
  <c r="J182" i="60"/>
  <c r="J181" i="60"/>
  <c r="J180" i="60"/>
  <c r="J179" i="60"/>
  <c r="J178" i="60"/>
  <c r="J177" i="60"/>
  <c r="J176" i="60"/>
  <c r="J175" i="60"/>
  <c r="J174" i="60"/>
  <c r="J173" i="60"/>
  <c r="J172" i="60"/>
  <c r="J171" i="60"/>
  <c r="J170" i="60"/>
  <c r="J169" i="60"/>
  <c r="J168" i="60"/>
  <c r="J167" i="60"/>
  <c r="J166" i="60"/>
  <c r="J165" i="60"/>
  <c r="J164" i="60"/>
  <c r="J163" i="60"/>
  <c r="J162" i="60"/>
  <c r="J161" i="60"/>
  <c r="J160" i="60"/>
  <c r="J159" i="60"/>
  <c r="J158" i="60"/>
  <c r="J157" i="60"/>
  <c r="J156" i="60"/>
  <c r="J155" i="60"/>
  <c r="J154" i="60"/>
  <c r="J153" i="60"/>
  <c r="J152" i="60"/>
  <c r="J151" i="60"/>
  <c r="J150" i="60"/>
  <c r="J149" i="60"/>
  <c r="J148" i="60"/>
  <c r="J147" i="60"/>
  <c r="J146" i="60"/>
  <c r="J145" i="60"/>
  <c r="J143" i="60"/>
  <c r="J142" i="60"/>
  <c r="J141" i="60"/>
  <c r="J140" i="60"/>
  <c r="J139" i="60"/>
  <c r="J138" i="60"/>
  <c r="J137" i="60"/>
  <c r="J136" i="60"/>
  <c r="J135" i="60"/>
  <c r="J134" i="60"/>
  <c r="J133" i="60"/>
  <c r="J132" i="60"/>
  <c r="J131" i="60"/>
  <c r="J130" i="60"/>
  <c r="J129" i="60"/>
  <c r="J128" i="60"/>
  <c r="J127" i="60"/>
  <c r="J126" i="60"/>
  <c r="J125" i="60"/>
  <c r="J124" i="60"/>
  <c r="J123" i="60"/>
  <c r="J122" i="60"/>
  <c r="J121" i="60"/>
  <c r="J120" i="60"/>
  <c r="J119" i="60"/>
  <c r="J118" i="60"/>
  <c r="J117" i="60"/>
  <c r="J116" i="60"/>
  <c r="J115" i="60"/>
  <c r="J114" i="60"/>
  <c r="J113" i="60"/>
  <c r="J112" i="60"/>
  <c r="J111" i="60"/>
  <c r="J110" i="60"/>
  <c r="J109" i="60"/>
  <c r="J108" i="60"/>
  <c r="J107" i="60"/>
  <c r="J106" i="60"/>
  <c r="J105" i="60"/>
  <c r="J104" i="60"/>
  <c r="J103" i="60"/>
  <c r="J102" i="60"/>
  <c r="J101" i="60"/>
  <c r="J100" i="60"/>
  <c r="J99" i="60"/>
  <c r="J98" i="60"/>
  <c r="J97" i="60"/>
  <c r="J96" i="60"/>
  <c r="J95" i="60"/>
  <c r="J94" i="60"/>
  <c r="J93" i="60"/>
  <c r="J92" i="60"/>
  <c r="J91" i="60"/>
  <c r="J90" i="60"/>
  <c r="J89" i="60"/>
  <c r="J88" i="60"/>
  <c r="J87" i="60"/>
  <c r="J86" i="60"/>
  <c r="J85" i="60"/>
  <c r="J84" i="60"/>
  <c r="J83" i="60"/>
  <c r="J82" i="60"/>
  <c r="J81" i="60"/>
  <c r="J80" i="60"/>
  <c r="J79" i="60"/>
  <c r="J78" i="60"/>
  <c r="J77" i="60"/>
  <c r="J76" i="60"/>
  <c r="J75" i="60"/>
  <c r="J74" i="60"/>
  <c r="J73" i="60"/>
  <c r="J72" i="60"/>
  <c r="J71" i="60"/>
  <c r="J70" i="60"/>
  <c r="J69" i="60"/>
  <c r="J68" i="60"/>
  <c r="J67" i="60"/>
  <c r="J66" i="60"/>
  <c r="J65" i="60"/>
  <c r="J64" i="60"/>
  <c r="J63" i="60"/>
  <c r="J62" i="60"/>
  <c r="J61" i="60"/>
  <c r="J60" i="60"/>
  <c r="J59" i="60"/>
  <c r="J58" i="60"/>
  <c r="J57" i="60"/>
  <c r="J56" i="60"/>
  <c r="J55" i="60"/>
  <c r="J54" i="60"/>
  <c r="J53" i="60"/>
  <c r="J52" i="60"/>
  <c r="J51" i="60"/>
  <c r="J50" i="60"/>
  <c r="J49" i="60"/>
  <c r="J48" i="60"/>
  <c r="J47" i="60"/>
  <c r="J46" i="60"/>
  <c r="J45" i="60"/>
  <c r="J44" i="60"/>
  <c r="J43" i="60"/>
  <c r="J42" i="60"/>
  <c r="J41" i="60"/>
  <c r="J40" i="60"/>
  <c r="J39" i="60"/>
  <c r="J38" i="60"/>
  <c r="J37" i="60"/>
  <c r="J36" i="60"/>
  <c r="J35" i="60"/>
  <c r="J34" i="60"/>
  <c r="J33" i="60"/>
  <c r="J31" i="60"/>
  <c r="J30" i="60"/>
  <c r="J29" i="60"/>
  <c r="J28" i="60"/>
  <c r="J27" i="60"/>
  <c r="J26" i="60"/>
  <c r="J25" i="60"/>
  <c r="J24" i="60"/>
  <c r="J23" i="60"/>
  <c r="J22" i="60"/>
  <c r="J21" i="60"/>
  <c r="J20" i="60"/>
  <c r="J19" i="60"/>
  <c r="J18" i="60"/>
  <c r="J17" i="60"/>
  <c r="J16" i="60"/>
  <c r="J15" i="60"/>
  <c r="J14" i="60"/>
  <c r="J13" i="60"/>
  <c r="J12" i="60"/>
  <c r="J11" i="60"/>
  <c r="J10" i="60"/>
  <c r="J9" i="60"/>
  <c r="J8" i="60"/>
  <c r="J7" i="60"/>
  <c r="J6" i="60"/>
  <c r="J5" i="60"/>
  <c r="J4" i="60"/>
  <c r="J3" i="60"/>
  <c r="J29" i="59"/>
  <c r="J28" i="59"/>
  <c r="J27" i="59"/>
  <c r="J26" i="59"/>
  <c r="J25" i="59"/>
  <c r="J24" i="59"/>
  <c r="J23" i="59"/>
  <c r="J22" i="59"/>
  <c r="J21" i="59"/>
  <c r="J20" i="59"/>
  <c r="J19" i="59"/>
  <c r="J18" i="59"/>
  <c r="J17" i="59"/>
  <c r="J16" i="59"/>
  <c r="J15" i="59"/>
  <c r="J14" i="59"/>
  <c r="J13" i="59"/>
  <c r="J12" i="59"/>
  <c r="J11" i="59"/>
  <c r="J10" i="59"/>
  <c r="J9" i="59"/>
  <c r="J8" i="59"/>
  <c r="J7" i="59"/>
  <c r="J6" i="59"/>
  <c r="J5" i="59"/>
  <c r="J4" i="59"/>
  <c r="J3" i="59"/>
  <c r="J55" i="58"/>
  <c r="J54" i="58"/>
  <c r="J53" i="58"/>
  <c r="J52" i="58"/>
  <c r="J51" i="58"/>
  <c r="J50" i="58"/>
  <c r="J49" i="58"/>
  <c r="J48" i="58"/>
  <c r="J47" i="58"/>
  <c r="J46" i="58"/>
  <c r="J45" i="58"/>
  <c r="J44" i="58"/>
  <c r="J43" i="58"/>
  <c r="J42" i="58"/>
  <c r="J41" i="58"/>
  <c r="J40" i="58"/>
  <c r="J39" i="58"/>
  <c r="J38" i="58"/>
  <c r="J37" i="58"/>
  <c r="J36" i="58"/>
  <c r="J35" i="58"/>
  <c r="J34" i="58"/>
  <c r="J33" i="58"/>
  <c r="J32" i="58"/>
  <c r="J31" i="58"/>
  <c r="J30" i="58"/>
  <c r="J29" i="58"/>
  <c r="J28" i="58"/>
  <c r="J27" i="58"/>
  <c r="J26" i="58"/>
  <c r="J25" i="58"/>
  <c r="J24" i="58"/>
  <c r="J23" i="58"/>
  <c r="J22" i="58"/>
  <c r="J21" i="58"/>
  <c r="J20" i="58"/>
  <c r="J19" i="58"/>
  <c r="J18" i="58"/>
  <c r="J17" i="58"/>
  <c r="J16" i="58"/>
  <c r="J15" i="58"/>
  <c r="J14" i="58"/>
  <c r="J13" i="58"/>
  <c r="J12" i="58"/>
  <c r="J11" i="58"/>
  <c r="J10" i="58"/>
  <c r="J9" i="58"/>
  <c r="J8" i="58"/>
  <c r="J7" i="58"/>
  <c r="J6" i="58"/>
  <c r="J5" i="58"/>
  <c r="J4" i="58"/>
  <c r="J3" i="58"/>
  <c r="J81" i="57"/>
  <c r="J80" i="57"/>
  <c r="J79" i="57"/>
  <c r="J78" i="57"/>
  <c r="J77" i="57"/>
  <c r="J76" i="57"/>
  <c r="J75" i="57"/>
  <c r="J74" i="57"/>
  <c r="J73" i="57"/>
  <c r="J72" i="57"/>
  <c r="J71" i="57"/>
  <c r="J70" i="57"/>
  <c r="J69" i="57"/>
  <c r="J68" i="57"/>
  <c r="J67" i="57"/>
  <c r="J66" i="57"/>
  <c r="J65" i="57"/>
  <c r="J64" i="57"/>
  <c r="J63" i="57"/>
  <c r="J62" i="57"/>
  <c r="J61" i="57"/>
  <c r="J60" i="57"/>
  <c r="J59" i="57"/>
  <c r="J58" i="57"/>
  <c r="J57" i="57"/>
  <c r="J56" i="57"/>
  <c r="J55" i="57"/>
  <c r="J54" i="57"/>
  <c r="J53" i="57"/>
  <c r="J52" i="57"/>
  <c r="J51" i="57"/>
  <c r="J50" i="57"/>
  <c r="J49" i="57"/>
  <c r="J48" i="57"/>
  <c r="J47" i="57"/>
  <c r="J46" i="57"/>
  <c r="J45" i="57"/>
  <c r="J44" i="57"/>
  <c r="J43" i="57"/>
  <c r="J42" i="57"/>
  <c r="J41" i="57"/>
  <c r="J40" i="57"/>
  <c r="J39" i="57"/>
  <c r="J38" i="57"/>
  <c r="J37" i="57"/>
  <c r="J36" i="57"/>
  <c r="J35" i="57"/>
  <c r="J34" i="57"/>
  <c r="J33" i="57"/>
  <c r="J32" i="57"/>
  <c r="J31" i="57"/>
  <c r="J30" i="57"/>
  <c r="J29" i="57"/>
  <c r="J28" i="57"/>
  <c r="J27" i="57"/>
  <c r="J26" i="57"/>
  <c r="J25" i="57"/>
  <c r="J24" i="57"/>
  <c r="J23" i="57"/>
  <c r="J22" i="57"/>
  <c r="J21" i="57"/>
  <c r="J20" i="57"/>
  <c r="J19" i="57"/>
  <c r="J18" i="57"/>
  <c r="J17" i="57"/>
  <c r="J16" i="57"/>
  <c r="J15" i="57"/>
  <c r="J14" i="57"/>
  <c r="J13" i="57"/>
  <c r="J12" i="57"/>
  <c r="J11" i="57"/>
  <c r="J10" i="57"/>
  <c r="J9" i="57"/>
  <c r="J8" i="57"/>
  <c r="J7" i="57"/>
  <c r="J6" i="57"/>
  <c r="J5" i="57"/>
  <c r="J4" i="57"/>
  <c r="J3" i="57"/>
  <c r="J57" i="56"/>
  <c r="J56" i="56"/>
  <c r="J55" i="56"/>
  <c r="J54" i="56"/>
  <c r="J53" i="56"/>
  <c r="J52" i="56"/>
  <c r="J51" i="56"/>
  <c r="J50" i="56"/>
  <c r="J49" i="56"/>
  <c r="J48" i="56"/>
  <c r="J47" i="56"/>
  <c r="J46" i="56"/>
  <c r="J45" i="56"/>
  <c r="J44" i="56"/>
  <c r="J43" i="56"/>
  <c r="J42" i="56"/>
  <c r="J41" i="56"/>
  <c r="J40" i="56"/>
  <c r="J39" i="56"/>
  <c r="J38" i="56"/>
  <c r="J37" i="56"/>
  <c r="J36" i="56"/>
  <c r="J35" i="56"/>
  <c r="J34" i="56"/>
  <c r="J33" i="56"/>
  <c r="J32" i="56"/>
  <c r="J31" i="56"/>
  <c r="J30" i="56"/>
  <c r="J29" i="56"/>
  <c r="J28" i="56"/>
  <c r="J27" i="56"/>
  <c r="J26" i="56"/>
  <c r="J25" i="56"/>
  <c r="J24" i="56"/>
  <c r="J23" i="56"/>
  <c r="J22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J4" i="56"/>
  <c r="J3" i="56"/>
  <c r="J30" i="55"/>
  <c r="J29" i="55"/>
  <c r="J28" i="55"/>
  <c r="J27" i="55"/>
  <c r="J26" i="55"/>
  <c r="J25" i="55"/>
  <c r="J24" i="55"/>
  <c r="J23" i="55"/>
  <c r="J22" i="55"/>
  <c r="J21" i="55"/>
  <c r="J20" i="55"/>
  <c r="J19" i="55"/>
  <c r="J18" i="55"/>
  <c r="J17" i="55"/>
  <c r="J16" i="55"/>
  <c r="J15" i="55"/>
  <c r="J14" i="55"/>
  <c r="J13" i="55"/>
  <c r="J12" i="55"/>
  <c r="J11" i="55"/>
  <c r="J10" i="55"/>
  <c r="J9" i="55"/>
  <c r="J8" i="55"/>
  <c r="J7" i="55"/>
  <c r="J6" i="55"/>
  <c r="J5" i="55"/>
  <c r="J4" i="55"/>
  <c r="J3" i="55"/>
  <c r="J31" i="54"/>
  <c r="J30" i="54"/>
  <c r="J29" i="54"/>
  <c r="J28" i="54"/>
  <c r="J27" i="54"/>
  <c r="J26" i="54"/>
  <c r="J25" i="54"/>
  <c r="J24" i="54"/>
  <c r="J23" i="54"/>
  <c r="J22" i="54"/>
  <c r="J21" i="54"/>
  <c r="J20" i="54"/>
  <c r="J19" i="54"/>
  <c r="J18" i="54"/>
  <c r="J17" i="54"/>
  <c r="J16" i="54"/>
  <c r="J15" i="54"/>
  <c r="J14" i="54"/>
  <c r="J13" i="54"/>
  <c r="J12" i="54"/>
  <c r="J11" i="54"/>
  <c r="J10" i="54"/>
  <c r="J9" i="54"/>
  <c r="J8" i="54"/>
  <c r="J7" i="54"/>
  <c r="J6" i="54"/>
  <c r="J5" i="54"/>
  <c r="J4" i="54"/>
  <c r="J3" i="54"/>
  <c r="J67" i="53"/>
  <c r="J66" i="53"/>
  <c r="J65" i="53"/>
  <c r="J64" i="53"/>
  <c r="J63" i="53"/>
  <c r="J62" i="53"/>
  <c r="J61" i="53"/>
  <c r="J60" i="53"/>
  <c r="J59" i="53"/>
  <c r="J58" i="53"/>
  <c r="J57" i="53"/>
  <c r="J56" i="53"/>
  <c r="J55" i="53"/>
  <c r="J54" i="53"/>
  <c r="J53" i="53"/>
  <c r="J52" i="53"/>
  <c r="J51" i="53"/>
  <c r="J50" i="53"/>
  <c r="J49" i="53"/>
  <c r="J48" i="53"/>
  <c r="J47" i="53"/>
  <c r="J46" i="53"/>
  <c r="J45" i="53"/>
  <c r="J44" i="53"/>
  <c r="J43" i="53"/>
  <c r="J42" i="53"/>
  <c r="J41" i="53"/>
  <c r="J40" i="53"/>
  <c r="J39" i="53"/>
  <c r="J38" i="53"/>
  <c r="J37" i="53"/>
  <c r="J36" i="53"/>
  <c r="J35" i="53"/>
  <c r="J34" i="53"/>
  <c r="J33" i="53"/>
  <c r="J32" i="53"/>
  <c r="J31" i="53"/>
  <c r="J30" i="53"/>
  <c r="J29" i="53"/>
  <c r="J28" i="53"/>
  <c r="J27" i="53"/>
  <c r="J26" i="53"/>
  <c r="J25" i="53"/>
  <c r="J24" i="53"/>
  <c r="J23" i="53"/>
  <c r="J22" i="53"/>
  <c r="J21" i="53"/>
  <c r="J20" i="53"/>
  <c r="J19" i="53"/>
  <c r="J18" i="53"/>
  <c r="J17" i="53"/>
  <c r="J16" i="53"/>
  <c r="J15" i="53"/>
  <c r="J14" i="53"/>
  <c r="J13" i="53"/>
  <c r="J12" i="53"/>
  <c r="J11" i="53"/>
  <c r="J10" i="53"/>
  <c r="J9" i="53"/>
  <c r="J8" i="53"/>
  <c r="J7" i="53"/>
  <c r="J6" i="53"/>
  <c r="J5" i="53"/>
  <c r="J4" i="53"/>
  <c r="J3" i="53"/>
  <c r="J69" i="52"/>
  <c r="J68" i="52"/>
  <c r="J67" i="52"/>
  <c r="J66" i="52"/>
  <c r="J65" i="52"/>
  <c r="J64" i="52"/>
  <c r="J63" i="52"/>
  <c r="J62" i="52"/>
  <c r="J61" i="52"/>
  <c r="J60" i="52"/>
  <c r="J59" i="52"/>
  <c r="J58" i="52"/>
  <c r="J57" i="52"/>
  <c r="J56" i="52"/>
  <c r="J55" i="52"/>
  <c r="J54" i="52"/>
  <c r="J53" i="52"/>
  <c r="J52" i="52"/>
  <c r="J51" i="52"/>
  <c r="J50" i="52"/>
  <c r="J49" i="52"/>
  <c r="J48" i="52"/>
  <c r="J47" i="52"/>
  <c r="J46" i="52"/>
  <c r="J45" i="52"/>
  <c r="J44" i="52"/>
  <c r="J43" i="52"/>
  <c r="J42" i="52"/>
  <c r="J41" i="52"/>
  <c r="J40" i="52"/>
  <c r="J39" i="52"/>
  <c r="J38" i="52"/>
  <c r="J37" i="52"/>
  <c r="J36" i="52"/>
  <c r="J35" i="52"/>
  <c r="J34" i="52"/>
  <c r="J33" i="52"/>
  <c r="J32" i="52"/>
  <c r="J31" i="52"/>
  <c r="J30" i="52"/>
  <c r="J29" i="52"/>
  <c r="J28" i="52"/>
  <c r="J27" i="52"/>
  <c r="J26" i="52"/>
  <c r="J25" i="52"/>
  <c r="J24" i="52"/>
  <c r="J23" i="52"/>
  <c r="J22" i="52"/>
  <c r="J21" i="52"/>
  <c r="J20" i="52"/>
  <c r="J19" i="52"/>
  <c r="J18" i="52"/>
  <c r="J17" i="52"/>
  <c r="J16" i="52"/>
  <c r="J15" i="52"/>
  <c r="J14" i="52"/>
  <c r="J13" i="52"/>
  <c r="J12" i="52"/>
  <c r="J11" i="52"/>
  <c r="J10" i="52"/>
  <c r="J9" i="52"/>
  <c r="J8" i="52"/>
  <c r="J7" i="52"/>
  <c r="J6" i="52"/>
  <c r="J5" i="52"/>
  <c r="J4" i="52"/>
  <c r="J3" i="52"/>
  <c r="J33" i="51"/>
  <c r="J32" i="51"/>
  <c r="J31" i="51"/>
  <c r="J30" i="51"/>
  <c r="J29" i="51"/>
  <c r="J28" i="51"/>
  <c r="J27" i="51"/>
  <c r="J26" i="51"/>
  <c r="J25" i="51"/>
  <c r="J24" i="51"/>
  <c r="J23" i="51"/>
  <c r="J22" i="51"/>
  <c r="J21" i="51"/>
  <c r="J20" i="51"/>
  <c r="J19" i="51"/>
  <c r="J18" i="51"/>
  <c r="J17" i="51"/>
  <c r="J16" i="51"/>
  <c r="J15" i="51"/>
  <c r="J14" i="51"/>
  <c r="J13" i="51"/>
  <c r="J12" i="51"/>
  <c r="J11" i="51"/>
  <c r="J10" i="51"/>
  <c r="J9" i="51"/>
  <c r="J8" i="51"/>
  <c r="J7" i="51"/>
  <c r="J6" i="51"/>
  <c r="J5" i="51"/>
  <c r="J4" i="51"/>
  <c r="J3" i="51"/>
  <c r="J84" i="50"/>
  <c r="J83" i="50"/>
  <c r="J82" i="50"/>
  <c r="J81" i="50"/>
  <c r="J80" i="50"/>
  <c r="J79" i="50"/>
  <c r="J78" i="50"/>
  <c r="J77" i="50"/>
  <c r="J76" i="50"/>
  <c r="J75" i="50"/>
  <c r="J74" i="50"/>
  <c r="J73" i="50"/>
  <c r="J72" i="50"/>
  <c r="J71" i="50"/>
  <c r="J70" i="50"/>
  <c r="J69" i="50"/>
  <c r="J68" i="50"/>
  <c r="J67" i="50"/>
  <c r="J66" i="50"/>
  <c r="J65" i="50"/>
  <c r="J64" i="50"/>
  <c r="J63" i="50"/>
  <c r="J62" i="50"/>
  <c r="J61" i="50"/>
  <c r="J60" i="50"/>
  <c r="J59" i="50"/>
  <c r="J58" i="50"/>
  <c r="J57" i="50"/>
  <c r="J56" i="50"/>
  <c r="J55" i="50"/>
  <c r="J54" i="50"/>
  <c r="J53" i="50"/>
  <c r="J52" i="50"/>
  <c r="J51" i="50"/>
  <c r="J50" i="50"/>
  <c r="J49" i="50"/>
  <c r="J48" i="50"/>
  <c r="J47" i="50"/>
  <c r="J46" i="50"/>
  <c r="J45" i="50"/>
  <c r="J44" i="50"/>
  <c r="J43" i="50"/>
  <c r="J42" i="50"/>
  <c r="J41" i="50"/>
  <c r="J40" i="50"/>
  <c r="J39" i="50"/>
  <c r="J38" i="50"/>
  <c r="J37" i="50"/>
  <c r="J36" i="50"/>
  <c r="J35" i="50"/>
  <c r="J34" i="50"/>
  <c r="J33" i="50"/>
  <c r="J32" i="50"/>
  <c r="J31" i="50"/>
  <c r="J30" i="50"/>
  <c r="J29" i="50"/>
  <c r="J28" i="50"/>
  <c r="J27" i="50"/>
  <c r="J26" i="50"/>
  <c r="J25" i="50"/>
  <c r="J24" i="50"/>
  <c r="J23" i="50"/>
  <c r="J22" i="50"/>
  <c r="J21" i="50"/>
  <c r="J20" i="50"/>
  <c r="J19" i="50"/>
  <c r="J18" i="50"/>
  <c r="J17" i="50"/>
  <c r="J16" i="50"/>
  <c r="J15" i="50"/>
  <c r="J14" i="50"/>
  <c r="J13" i="50"/>
  <c r="J12" i="50"/>
  <c r="J11" i="50"/>
  <c r="J10" i="50"/>
  <c r="J9" i="50"/>
  <c r="J8" i="50"/>
  <c r="J7" i="50"/>
  <c r="J6" i="50"/>
  <c r="J5" i="50"/>
  <c r="J4" i="50"/>
  <c r="J3" i="50"/>
  <c r="J77" i="49"/>
  <c r="J76" i="49"/>
  <c r="J75" i="49"/>
  <c r="J74" i="49"/>
  <c r="J73" i="49"/>
  <c r="J72" i="49"/>
  <c r="J71" i="49"/>
  <c r="J70" i="49"/>
  <c r="J69" i="49"/>
  <c r="J68" i="49"/>
  <c r="J67" i="49"/>
  <c r="J66" i="49"/>
  <c r="J65" i="49"/>
  <c r="J64" i="49"/>
  <c r="J63" i="49"/>
  <c r="J62" i="49"/>
  <c r="J61" i="49"/>
  <c r="J60" i="49"/>
  <c r="J59" i="49"/>
  <c r="J58" i="49"/>
  <c r="J57" i="49"/>
  <c r="J56" i="49"/>
  <c r="J55" i="49"/>
  <c r="J54" i="49"/>
  <c r="J53" i="49"/>
  <c r="J52" i="49"/>
  <c r="J51" i="49"/>
  <c r="J50" i="49"/>
  <c r="J49" i="49"/>
  <c r="J48" i="49"/>
  <c r="J47" i="49"/>
  <c r="J46" i="49"/>
  <c r="J45" i="49"/>
  <c r="J44" i="49"/>
  <c r="J43" i="49"/>
  <c r="J42" i="49"/>
  <c r="J41" i="49"/>
  <c r="J40" i="49"/>
  <c r="J39" i="49"/>
  <c r="J38" i="49"/>
  <c r="J37" i="49"/>
  <c r="J36" i="49"/>
  <c r="J35" i="49"/>
  <c r="J34" i="49"/>
  <c r="J33" i="49"/>
  <c r="J32" i="49"/>
  <c r="J31" i="49"/>
  <c r="J30" i="49"/>
  <c r="J29" i="49"/>
  <c r="J28" i="49"/>
  <c r="J27" i="49"/>
  <c r="J26" i="49"/>
  <c r="J25" i="49"/>
  <c r="J24" i="49"/>
  <c r="J23" i="49"/>
  <c r="J22" i="49"/>
  <c r="J21" i="49"/>
  <c r="J20" i="49"/>
  <c r="J19" i="49"/>
  <c r="J18" i="49"/>
  <c r="J17" i="49"/>
  <c r="J16" i="49"/>
  <c r="J15" i="49"/>
  <c r="J14" i="49"/>
  <c r="J13" i="49"/>
  <c r="J12" i="49"/>
  <c r="J11" i="49"/>
  <c r="J10" i="49"/>
  <c r="J9" i="49"/>
  <c r="J8" i="49"/>
  <c r="J7" i="49"/>
  <c r="J6" i="49"/>
  <c r="J5" i="49"/>
  <c r="J4" i="49"/>
  <c r="J3" i="49"/>
  <c r="J62" i="48"/>
  <c r="J61" i="48"/>
  <c r="J60" i="48"/>
  <c r="J59" i="48"/>
  <c r="J58" i="48"/>
  <c r="J57" i="48"/>
  <c r="J56" i="48"/>
  <c r="J55" i="48"/>
  <c r="J54" i="48"/>
  <c r="J53" i="48"/>
  <c r="J52" i="48"/>
  <c r="J51" i="48"/>
  <c r="J50" i="48"/>
  <c r="J49" i="48"/>
  <c r="J48" i="48"/>
  <c r="J47" i="48"/>
  <c r="J46" i="48"/>
  <c r="J45" i="48"/>
  <c r="J44" i="48"/>
  <c r="J43" i="48"/>
  <c r="J42" i="48"/>
  <c r="J41" i="48"/>
  <c r="J40" i="48"/>
  <c r="J39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5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J5" i="48"/>
  <c r="J4" i="48"/>
  <c r="J3" i="48"/>
  <c r="J34" i="47"/>
  <c r="J33" i="47"/>
  <c r="J32" i="47"/>
  <c r="J31" i="47"/>
  <c r="J30" i="47"/>
  <c r="J29" i="47"/>
  <c r="J28" i="47"/>
  <c r="J27" i="47"/>
  <c r="J26" i="47"/>
  <c r="J25" i="47"/>
  <c r="J24" i="47"/>
  <c r="J23" i="47"/>
  <c r="J22" i="47"/>
  <c r="J21" i="47"/>
  <c r="J20" i="47"/>
  <c r="J19" i="47"/>
  <c r="J18" i="47"/>
  <c r="J17" i="47"/>
  <c r="J16" i="47"/>
  <c r="J15" i="47"/>
  <c r="J14" i="47"/>
  <c r="J13" i="47"/>
  <c r="J12" i="47"/>
  <c r="J11" i="47"/>
  <c r="J10" i="47"/>
  <c r="J9" i="47"/>
  <c r="J8" i="47"/>
  <c r="J7" i="47"/>
  <c r="J6" i="47"/>
  <c r="J5" i="47"/>
  <c r="J4" i="47"/>
  <c r="J3" i="47"/>
  <c r="J29" i="46"/>
  <c r="J28" i="46"/>
  <c r="J27" i="46"/>
  <c r="J26" i="46"/>
  <c r="J25" i="46"/>
  <c r="J24" i="46"/>
  <c r="J23" i="46"/>
  <c r="J22" i="46"/>
  <c r="J21" i="46"/>
  <c r="J20" i="46"/>
  <c r="J19" i="46"/>
  <c r="J18" i="46"/>
  <c r="J17" i="46"/>
  <c r="J16" i="46"/>
  <c r="J15" i="46"/>
  <c r="J14" i="46"/>
  <c r="J13" i="46"/>
  <c r="J12" i="46"/>
  <c r="J11" i="46"/>
  <c r="J10" i="46"/>
  <c r="J9" i="46"/>
  <c r="J8" i="46"/>
  <c r="J7" i="46"/>
  <c r="J6" i="46"/>
  <c r="J5" i="46"/>
  <c r="J4" i="46"/>
  <c r="J3" i="46"/>
  <c r="J38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J7" i="45"/>
  <c r="J6" i="45"/>
  <c r="J5" i="45"/>
  <c r="J4" i="45"/>
  <c r="J3" i="45"/>
  <c r="J65" i="44"/>
  <c r="J64" i="44"/>
  <c r="J63" i="44"/>
  <c r="J62" i="44"/>
  <c r="J61" i="44"/>
  <c r="J60" i="44"/>
  <c r="J59" i="44"/>
  <c r="J58" i="44"/>
  <c r="J57" i="44"/>
  <c r="J56" i="44"/>
  <c r="J55" i="44"/>
  <c r="J54" i="44"/>
  <c r="J53" i="44"/>
  <c r="J52" i="44"/>
  <c r="J51" i="44"/>
  <c r="J50" i="44"/>
  <c r="J49" i="44"/>
  <c r="J48" i="44"/>
  <c r="J47" i="44"/>
  <c r="J46" i="44"/>
  <c r="J45" i="44"/>
  <c r="J44" i="44"/>
  <c r="J43" i="44"/>
  <c r="J42" i="44"/>
  <c r="J41" i="44"/>
  <c r="J40" i="44"/>
  <c r="J39" i="44"/>
  <c r="J38" i="44"/>
  <c r="J37" i="44"/>
  <c r="J36" i="44"/>
  <c r="J35" i="44"/>
  <c r="J34" i="44"/>
  <c r="J33" i="44"/>
  <c r="J32" i="44"/>
  <c r="J31" i="44"/>
  <c r="J30" i="44"/>
  <c r="J29" i="44"/>
  <c r="J28" i="44"/>
  <c r="J27" i="44"/>
  <c r="J26" i="44"/>
  <c r="J25" i="44"/>
  <c r="J24" i="44"/>
  <c r="J23" i="44"/>
  <c r="J22" i="44"/>
  <c r="J21" i="44"/>
  <c r="J20" i="44"/>
  <c r="J19" i="44"/>
  <c r="J18" i="44"/>
  <c r="J17" i="44"/>
  <c r="J16" i="44"/>
  <c r="J15" i="44"/>
  <c r="J14" i="44"/>
  <c r="J13" i="44"/>
  <c r="J12" i="44"/>
  <c r="J11" i="44"/>
  <c r="J10" i="44"/>
  <c r="J9" i="44"/>
  <c r="J8" i="44"/>
  <c r="J7" i="44"/>
  <c r="J6" i="44"/>
  <c r="J5" i="44"/>
  <c r="J4" i="44"/>
  <c r="J3" i="44"/>
  <c r="J416" i="60" l="1"/>
  <c r="J4" i="17"/>
  <c r="J5" i="17"/>
  <c r="J6" i="17"/>
  <c r="J7" i="17"/>
  <c r="J8" i="17"/>
  <c r="J9" i="17"/>
  <c r="J3" i="17"/>
</calcChain>
</file>

<file path=xl/sharedStrings.xml><?xml version="1.0" encoding="utf-8"?>
<sst xmlns="http://schemas.openxmlformats.org/spreadsheetml/2006/main" count="6659" uniqueCount="1687">
  <si>
    <t>24-184-10-07</t>
  </si>
  <si>
    <t xml:space="preserve">Frame Multi-Retractor, 230 mm           </t>
  </si>
  <si>
    <t>24-184-12-07</t>
  </si>
  <si>
    <t xml:space="preserve">T-Double fixation blade f. 24-184-10-07 </t>
  </si>
  <si>
    <t>24-184-13-07</t>
  </si>
  <si>
    <t xml:space="preserve">T-Element f. 24-184-12-07               </t>
  </si>
  <si>
    <t>24-187-02-07</t>
  </si>
  <si>
    <t xml:space="preserve">fixation element universal, for Ø 6 mm  </t>
  </si>
  <si>
    <t>24-187-01-07</t>
  </si>
  <si>
    <t xml:space="preserve">Wire Valve, Cooley, small, 35X25 mm     </t>
  </si>
  <si>
    <t>24-187-03-07</t>
  </si>
  <si>
    <t xml:space="preserve">Wire valve, Cooley, medium, 40x36 mm    </t>
  </si>
  <si>
    <t>24-187-05-07</t>
  </si>
  <si>
    <t xml:space="preserve">Malleable blade, 76x25 mm               </t>
  </si>
  <si>
    <t>12-192-18-07</t>
  </si>
  <si>
    <t xml:space="preserve">DRESSING FORCEPS, POTTS-SMITH, 18 CM    </t>
  </si>
  <si>
    <t>12-192-21-07</t>
  </si>
  <si>
    <t xml:space="preserve">DRESSING FORCEPS, POTTS-SMITH, 21 CM    </t>
  </si>
  <si>
    <t>12-192-25-07</t>
  </si>
  <si>
    <t xml:space="preserve">DRESSING FORCEPS, POTTS-SMITH, 25 CM    </t>
  </si>
  <si>
    <t>10-104-41-07</t>
  </si>
  <si>
    <t xml:space="preserve">SCALPEL HANDLE, NO. 4L, LONG, 21 CM     </t>
  </si>
  <si>
    <t>10-130-03-07</t>
  </si>
  <si>
    <t xml:space="preserve">SCALPEL HANDLE, NO. 3, 12 CM            </t>
  </si>
  <si>
    <t>13-331-14-07</t>
  </si>
  <si>
    <t xml:space="preserve">HAEM. FORCEPS, KELLY, CVD., 14 CM       </t>
  </si>
  <si>
    <t>13-414-14-07</t>
  </si>
  <si>
    <t xml:space="preserve">FORCEPS, KOCHER, 1X2 T., STR., 14.5 CM  </t>
  </si>
  <si>
    <t>13-415-14-07</t>
  </si>
  <si>
    <t xml:space="preserve">FORCEPS, KOCHER, 1X2 T., CVD., 14 CM    </t>
  </si>
  <si>
    <t>13-343-14-07</t>
  </si>
  <si>
    <t xml:space="preserve">FORCEPS, CRILE, 1X2 T., CVD., 14.5 CM   </t>
  </si>
  <si>
    <t>15-471-01-07</t>
  </si>
  <si>
    <t xml:space="preserve">RETRACTOR, KOCHER, 78X45 MM, 25 CM      </t>
  </si>
  <si>
    <t>13-881-09-07</t>
  </si>
  <si>
    <t xml:space="preserve">BULLDOG-TOWEL FORCEPS, JONES, 8.5 CM    </t>
  </si>
  <si>
    <t>13-915-08-07</t>
  </si>
  <si>
    <t xml:space="preserve">TOWEL FORCEPS, BACKHAUS, SHARP, 9 CM    </t>
  </si>
  <si>
    <t>13-915-13-07</t>
  </si>
  <si>
    <t xml:space="preserve">TOWEL FORCEPS, BACKHAUS, SHARP, 13 CM   </t>
  </si>
  <si>
    <t>13-341-14-07</t>
  </si>
  <si>
    <t xml:space="preserve">HAEMOST. FORCEPS, CRILE, CVD., 14,5 CM  </t>
  </si>
  <si>
    <t>24-573-02-07</t>
  </si>
  <si>
    <t xml:space="preserve">ATR. FORCEPS, PEDIATRIC, 14 CM          </t>
  </si>
  <si>
    <t>24-573-03-07</t>
  </si>
  <si>
    <t>24-573-04-07</t>
  </si>
  <si>
    <t>24-384-24-07</t>
  </si>
  <si>
    <t xml:space="preserve">ATR. FORCEPS, DE BAKEY, 2.7 MM, 25 CM   </t>
  </si>
  <si>
    <t>24-388-20-07</t>
  </si>
  <si>
    <t xml:space="preserve">ATR. FORCEPS, DE BAKEY, 2 MM, 20 CM     </t>
  </si>
  <si>
    <t>24-433-24-07</t>
  </si>
  <si>
    <t>ATR. AORTA FCPS., BAHNSON, CVD., 24.5 CM</t>
  </si>
  <si>
    <t>24-344-30-07</t>
  </si>
  <si>
    <t xml:space="preserve">ATR. AORTA FORCEPS, DE BAKEY, 30 CM     </t>
  </si>
  <si>
    <t>24-354-32-07</t>
  </si>
  <si>
    <t xml:space="preserve">Atr. aortic forceps, Cooley, 31.5 cm    </t>
  </si>
  <si>
    <t>24-425-20-07</t>
  </si>
  <si>
    <t>ATR. TANGENTIAL FORCEPS, SATINSKY, 22 CM</t>
  </si>
  <si>
    <t>24-425-24-07</t>
  </si>
  <si>
    <t>ATR. TANGENTIAL FORCEPS, SATINSKY, 26 CM</t>
  </si>
  <si>
    <t>24-472-17-07</t>
  </si>
  <si>
    <t>ATR. FORCEPS, COOLEY, SLIGHT ANG.,16,5CM</t>
  </si>
  <si>
    <t>24-472-16-07</t>
  </si>
  <si>
    <t>ATR. FORCEPS, COOLEY, MEDIUM ANG., 16 CM</t>
  </si>
  <si>
    <t>24-471-16-07</t>
  </si>
  <si>
    <t xml:space="preserve">ATR. FORCEPS, COOLEY, DBL. CVD., 16 CM  </t>
  </si>
  <si>
    <t>15-735-20-07</t>
  </si>
  <si>
    <t xml:space="preserve">WOUNDSPREADER, BLUNT, 3X4 T., 20 CM     </t>
  </si>
  <si>
    <t>15-771-20-07</t>
  </si>
  <si>
    <t xml:space="preserve">SPREADER, ADSON, BLUNT, 3X4 T., 21 CM   </t>
  </si>
  <si>
    <t>09-006-63-07</t>
  </si>
  <si>
    <t>Dissect./Ligature fcps, Kantrowitz, 20cm</t>
  </si>
  <si>
    <t>09-006-64-07</t>
  </si>
  <si>
    <t>Dissect./Ligature fcps, Kantrowitz, 24cm</t>
  </si>
  <si>
    <t>11-280-18-07</t>
  </si>
  <si>
    <t>Scissors, diss.,Metzenb.,bl/bl,str.,18cm</t>
  </si>
  <si>
    <t>11-330-18-07</t>
  </si>
  <si>
    <t xml:space="preserve">DISSECTING SCISSORS, FINE, STR., 18 CM  </t>
  </si>
  <si>
    <t>11-280-23-07</t>
  </si>
  <si>
    <t>Scissors, diss.,Metzenb.,bl/bl,str.,23cm</t>
  </si>
  <si>
    <t>11-331-23-07</t>
  </si>
  <si>
    <t xml:space="preserve">DISSECT. SCISSORS, FINE, CVD., 23 CM    </t>
  </si>
  <si>
    <t>11-285-23-07</t>
  </si>
  <si>
    <t xml:space="preserve">DISSECTING SCISSORS, CVD., 23 CM        </t>
  </si>
  <si>
    <t>11-181-17-07</t>
  </si>
  <si>
    <t xml:space="preserve">SCISSORS, MAYO-STILLE, CVD., 17 CM      </t>
  </si>
  <si>
    <t>11-395-19-07</t>
  </si>
  <si>
    <t xml:space="preserve">SCISSORS, ANGLED 25°, 19 CM             </t>
  </si>
  <si>
    <t>11-394-19-07</t>
  </si>
  <si>
    <t xml:space="preserve">SCISSORS, ANGLED 40°, 18.5 CM           </t>
  </si>
  <si>
    <t>11-390-45-07</t>
  </si>
  <si>
    <t xml:space="preserve">VASCULAR SCISSORS, 45°, 16.5 CM         </t>
  </si>
  <si>
    <t>09-006-08-07</t>
  </si>
  <si>
    <t>TC-Needle holder, Crile-Wood, str., 18 c</t>
  </si>
  <si>
    <t>20-646-18-07</t>
  </si>
  <si>
    <t xml:space="preserve">TC-NEEDLEHOLDER, DE BAKEY, 18 CM        </t>
  </si>
  <si>
    <t>20-638-20-07</t>
  </si>
  <si>
    <t xml:space="preserve">TC-NEEDLEHOLDER, CRILE-WOOD, 20.5 CM    </t>
  </si>
  <si>
    <t>20-390-18-07</t>
  </si>
  <si>
    <t xml:space="preserve">NEEDLEHOLDER, MAYO-HEGAR, 18.5 CM       </t>
  </si>
  <si>
    <t>20-654-18-07</t>
  </si>
  <si>
    <t>TC-NEEDLEHOLDER, RYDER-VASCULAR, 17.5 CM</t>
  </si>
  <si>
    <t>20-390-20-07</t>
  </si>
  <si>
    <t xml:space="preserve">NEEDLEHOLDER, MAYO-HEGAR, 20.5 CM       </t>
  </si>
  <si>
    <t>20-654-20-07</t>
  </si>
  <si>
    <t xml:space="preserve">TC-NEEDLEHOLDER, RYDER-VASCULAR, 20 CM  </t>
  </si>
  <si>
    <t>20-408-27-07</t>
  </si>
  <si>
    <t xml:space="preserve">NEEDLEHOLDER, MASSON, HEAVY, 26.5 CM    </t>
  </si>
  <si>
    <t>20-648-27-07</t>
  </si>
  <si>
    <t xml:space="preserve">TC-NEEDLEHOLDER, MASSON, 26.5 CM        </t>
  </si>
  <si>
    <t>20-654-23-07</t>
  </si>
  <si>
    <t>TC-NEEDLEHOLDER, RYDER-VASCULAR, 22.5 CM</t>
  </si>
  <si>
    <t>15-920-10-07</t>
  </si>
  <si>
    <t xml:space="preserve">marTract bracket, operating table       </t>
  </si>
  <si>
    <t>15-920-30-07</t>
  </si>
  <si>
    <t>marTract transverse rod f. 15-920-34-07</t>
  </si>
  <si>
    <t>15-920-34-07</t>
  </si>
  <si>
    <t xml:space="preserve">marTract ball mount for holding arms    </t>
  </si>
  <si>
    <t>15-920-21-07</t>
  </si>
  <si>
    <t xml:space="preserve">marTract holding arm for kidney add-on  </t>
  </si>
  <si>
    <t>15-920-35-07</t>
  </si>
  <si>
    <t xml:space="preserve">marTract fixing clip for retractor      </t>
  </si>
  <si>
    <t>15-920-40-07</t>
  </si>
  <si>
    <t xml:space="preserve">marTract blade holder, fixed            </t>
  </si>
  <si>
    <t>15-920-42-07</t>
  </si>
  <si>
    <t xml:space="preserve">marTract blade holder, movable          </t>
  </si>
  <si>
    <t>15-921-13-07</t>
  </si>
  <si>
    <t xml:space="preserve">marTract blade, flex., 160x75mm         </t>
  </si>
  <si>
    <t>15-921-51-07</t>
  </si>
  <si>
    <t xml:space="preserve">marTract Langenbeck, blade, 150x50mm    </t>
  </si>
  <si>
    <t>15-921-71-07</t>
  </si>
  <si>
    <t xml:space="preserve">marTract Deaver, blade, 200x70mm        </t>
  </si>
  <si>
    <t>55-804-57-01</t>
  </si>
  <si>
    <t xml:space="preserve">marTray, 1/1, 532x251x94 mm             </t>
  </si>
  <si>
    <t>55-805-58-01</t>
  </si>
  <si>
    <t xml:space="preserve">Lid f. tray 1/1, 535x255 mm             </t>
  </si>
  <si>
    <t>10-100-04-07</t>
  </si>
  <si>
    <t xml:space="preserve">SCALPEL HANDLE, NO. 4, 13.5 CM          </t>
  </si>
  <si>
    <t>10-137-71-07</t>
  </si>
  <si>
    <t xml:space="preserve">SCALPEL HANDLE, NO. 7K, SOLID, SHORT    </t>
  </si>
  <si>
    <t>10-137-07-07</t>
  </si>
  <si>
    <t xml:space="preserve">SCALPEL HANDLE, NO. 7, SOLID, 16 CM     </t>
  </si>
  <si>
    <t>10-149-01-07</t>
  </si>
  <si>
    <t xml:space="preserve">Scalpel handle, Landolt, bay., 21 cm    </t>
  </si>
  <si>
    <t>12-170-15-07</t>
  </si>
  <si>
    <t xml:space="preserve">DRESSING FORCEPS, MCINDOE, 15 CM        </t>
  </si>
  <si>
    <t>24-600-40-07</t>
  </si>
  <si>
    <t xml:space="preserve">WIRE SAW, GIGLI, FOURFOLD, 40 CM        </t>
  </si>
  <si>
    <t>24-602-01-01</t>
  </si>
  <si>
    <t xml:space="preserve">HOOK HANDLE, F. WIRE SAWS               </t>
  </si>
  <si>
    <t>12-252-15-07</t>
  </si>
  <si>
    <t>TC-TISSUE FORCEPS, ADSON, 1X2 T., 15 CM</t>
  </si>
  <si>
    <t>12-252-12-07</t>
  </si>
  <si>
    <t>TC-TISSUE FORCEPS, ADSON, 1X2 T., 12 CM</t>
  </si>
  <si>
    <t>24-852-72-07</t>
  </si>
  <si>
    <t>Micro fcps., Yasargil, bay., 1x2T., 18cm</t>
  </si>
  <si>
    <t>37-115-20-07</t>
  </si>
  <si>
    <t>NASAL TAMPON FORCEPS, GRUENWALD, 21.5 CM</t>
  </si>
  <si>
    <t>14-352-20-07</t>
  </si>
  <si>
    <t>FORCEPS, FOERSTER, SERR., STR., 20.5 CM</t>
  </si>
  <si>
    <t>20-338-13-07</t>
  </si>
  <si>
    <t>NEEDLEHOLDER, NEIVERT, GROOVED, 12.5 CM</t>
  </si>
  <si>
    <t>20-390-14-07</t>
  </si>
  <si>
    <t xml:space="preserve">NEEDLEHOLDER, MAYO-HEGAR, 14.5 CM       </t>
  </si>
  <si>
    <t>13-334-16-07</t>
  </si>
  <si>
    <t>HAEM. FORCEPS, KELLY-RANKIN, STR., 16 CM</t>
  </si>
  <si>
    <t>13-355-14-07</t>
  </si>
  <si>
    <t xml:space="preserve">FORCEPS, DANDY, CVD. SIDEW., 14.5 CM    </t>
  </si>
  <si>
    <t>13-310-12-07</t>
  </si>
  <si>
    <t xml:space="preserve">HAEM. FORCEPS, MOSQUITO, STR., 12.5 CM  </t>
  </si>
  <si>
    <t>13-311-12-07</t>
  </si>
  <si>
    <t xml:space="preserve">HAEM. FORCEPS, MOSQUITO, CVD., 12 CM    </t>
  </si>
  <si>
    <t>11-226-16-07</t>
  </si>
  <si>
    <t xml:space="preserve">SCISSORS, KELLY, STR., 16 CM            </t>
  </si>
  <si>
    <t>11-107-14-07</t>
  </si>
  <si>
    <t>OPERATING SCISSORS, SH/BL, CVD., 14.5 CM</t>
  </si>
  <si>
    <t>11-105-16-07</t>
  </si>
  <si>
    <t>OPERATING SCISSORS, BL/BL, CVD., 16.5 CM</t>
  </si>
  <si>
    <t>11-285-18-07</t>
  </si>
  <si>
    <t xml:space="preserve">DISSECTING SCISSORS, CVD., 18 CM        </t>
  </si>
  <si>
    <t>11-227-16-07</t>
  </si>
  <si>
    <t xml:space="preserve">SCISSORS, KELLY, CVD., 16 CM            </t>
  </si>
  <si>
    <t>37-546-18-07</t>
  </si>
  <si>
    <t xml:space="preserve">SEPTUM ELEVATOR, FREER, SH/BL, 18 CM    </t>
  </si>
  <si>
    <t>23-497-20-07</t>
  </si>
  <si>
    <t xml:space="preserve">ELEVATOR, LANGENBECK, 10 MM, 19.5 CM    </t>
  </si>
  <si>
    <t>23-461-15-07</t>
  </si>
  <si>
    <t xml:space="preserve">RASPATORY, LAMBOTTE, 15 MM, 21.5 CM     </t>
  </si>
  <si>
    <t>23-125-12-07</t>
  </si>
  <si>
    <t>Osteotome, Stille, fine, 12 mm, 20.5 cm</t>
  </si>
  <si>
    <t>23-123-15-07</t>
  </si>
  <si>
    <t xml:space="preserve">CHISEL, STILLE, 15 MM, 20.5 CM          </t>
  </si>
  <si>
    <t>23-125-10-07</t>
  </si>
  <si>
    <t>Osteotome, Stille, fine, 10 mm, 20.5 cm</t>
  </si>
  <si>
    <t>23-125-20-07</t>
  </si>
  <si>
    <t>Osteotome, Stille, fine, 20 mm, 20.5 cm</t>
  </si>
  <si>
    <t>24-690-04-07</t>
  </si>
  <si>
    <t xml:space="preserve">Dissector, Penfield, # 4, 20.5 cm       </t>
  </si>
  <si>
    <t>24-690-03-07</t>
  </si>
  <si>
    <t xml:space="preserve">Dissector, Penfield, # 3, 19.5 cm       </t>
  </si>
  <si>
    <t>37-562-22-07</t>
  </si>
  <si>
    <t xml:space="preserve">SEPTUM ELEVATOR, KILLIAN, 23.5 CM       </t>
  </si>
  <si>
    <t>24-824-20-07</t>
  </si>
  <si>
    <t xml:space="preserve">Hook, Adson, sharp, angled, 20 cm       </t>
  </si>
  <si>
    <t>24-823-20-07</t>
  </si>
  <si>
    <t xml:space="preserve">Hook, Adson, blunt, angled, 20 cm       </t>
  </si>
  <si>
    <t>24-744-19-07</t>
  </si>
  <si>
    <t xml:space="preserve">Hook, Cushing, # 2, 19 cm               </t>
  </si>
  <si>
    <t>24-742-19-07</t>
  </si>
  <si>
    <t xml:space="preserve">Hook, Cushing, # 1, 19 cm               </t>
  </si>
  <si>
    <t>15-906-00-07</t>
  </si>
  <si>
    <t xml:space="preserve">LAMINECTOMY RETRACTOR-FRAME, SCOVILLE   </t>
  </si>
  <si>
    <t>15-906-42-07</t>
  </si>
  <si>
    <t xml:space="preserve">HOOK-BLADE, TAYLOR, 4-PR., 64X50 MM     </t>
  </si>
  <si>
    <t>15-902-01-07</t>
  </si>
  <si>
    <t xml:space="preserve">Retractor, lumbar, Caspar, SL           </t>
  </si>
  <si>
    <t>15-902-33-09</t>
  </si>
  <si>
    <t xml:space="preserve">Blade, Caspar, lumbar, 40x45 mm         </t>
  </si>
  <si>
    <t>15-902-34-09</t>
  </si>
  <si>
    <t xml:space="preserve">Blade, Caspar, lumbar, 40x55 mm         </t>
  </si>
  <si>
    <t>15-734-24-07</t>
  </si>
  <si>
    <t xml:space="preserve">Wound spreader, sharp, 3x4 T., 24 cm    </t>
  </si>
  <si>
    <t>15-735-24-07</t>
  </si>
  <si>
    <t xml:space="preserve">Woundspreader, blunt, 3x4 T., 24 cm     </t>
  </si>
  <si>
    <t>15-732-20-07</t>
  </si>
  <si>
    <t>SPREADER, ADSON-ANDERSON, 4X4 T., 19 CM</t>
  </si>
  <si>
    <t>09-008-31-07</t>
  </si>
  <si>
    <t>Spreader, wound, Miskimon, sharp, 22 cm</t>
  </si>
  <si>
    <t>15-902-21-09</t>
  </si>
  <si>
    <t xml:space="preserve">Hook, Hemi-Laminektomie, Caspar, small  </t>
  </si>
  <si>
    <t>15-902-41-09</t>
  </si>
  <si>
    <t xml:space="preserve">Hook, Hemi-Laminektomie, Caspar, large  </t>
  </si>
  <si>
    <t>15-813-40-07</t>
  </si>
  <si>
    <t xml:space="preserve">Discectomy-Speculum lumb., Caspar,4cm   </t>
  </si>
  <si>
    <t>15-813-45-07</t>
  </si>
  <si>
    <t>Discectomy-Speculum lumb., Caspar,4.5cm</t>
  </si>
  <si>
    <t>15-813-50-07</t>
  </si>
  <si>
    <t xml:space="preserve">Discectomy-Speculum lumb., Caspar,5cm   </t>
  </si>
  <si>
    <t>15-813-55-07</t>
  </si>
  <si>
    <t>Discectomy-Speculum lumb., Caspar,5.5cm</t>
  </si>
  <si>
    <t>15-813-60-07</t>
  </si>
  <si>
    <t xml:space="preserve">Discectomy-Speculum lumb., Caspar,6cm   </t>
  </si>
  <si>
    <t>15-813-65-07</t>
  </si>
  <si>
    <t>Discectomy-Speculum lumb., Caspar,6.5cm</t>
  </si>
  <si>
    <t>15-814-10-07</t>
  </si>
  <si>
    <t>Discectomy-counter retract.,lumb.,Caspar</t>
  </si>
  <si>
    <t>15-814-40-07</t>
  </si>
  <si>
    <t xml:space="preserve">Blade, lateral f. 15-814-10-07, 3.5 cm  </t>
  </si>
  <si>
    <t>15-814-41-07</t>
  </si>
  <si>
    <t xml:space="preserve">Blade, lateral f. 15-814-10-07, 4 cm    </t>
  </si>
  <si>
    <t>15-814-42-07</t>
  </si>
  <si>
    <t xml:space="preserve">Blade, lateral f. 15-814-10-07, 4.5 cm  </t>
  </si>
  <si>
    <t>15-814-43-07</t>
  </si>
  <si>
    <t xml:space="preserve">Blade, lateral f. 15-814-10-07, 5 cm    </t>
  </si>
  <si>
    <t>15-814-44-07</t>
  </si>
  <si>
    <t xml:space="preserve">Blade, lateral f. 15-814-10-07, 5.5 cm  </t>
  </si>
  <si>
    <t>15-814-45-07</t>
  </si>
  <si>
    <t xml:space="preserve">Blade, lateral f. 15-814-10-07, 6 cm    </t>
  </si>
  <si>
    <t>15-814-46-07</t>
  </si>
  <si>
    <t xml:space="preserve">Blade, lateral f. 15-814-10-07, 6.5 cm  </t>
  </si>
  <si>
    <t>15-814-99-07</t>
  </si>
  <si>
    <t xml:space="preserve">Forceps f. change of blades             </t>
  </si>
  <si>
    <t>18-524-82-01</t>
  </si>
  <si>
    <t xml:space="preserve">Suct. tube, Fergusson, ø 2,5 mm, 20 cm  </t>
  </si>
  <si>
    <t>18-524-83-01</t>
  </si>
  <si>
    <t xml:space="preserve">Suct. tube, Fergusson, ø 3,0 mm, 20 cm  </t>
  </si>
  <si>
    <t>18-524-84-01</t>
  </si>
  <si>
    <t xml:space="preserve">Suct. tube, Fergusson, ø 4,0 mm, 20 cm  </t>
  </si>
  <si>
    <t>18-523-10-01</t>
  </si>
  <si>
    <t>Suction tube, Frazier, ø 3.3 mm, 19.5 cm</t>
  </si>
  <si>
    <t>18-523-12-01</t>
  </si>
  <si>
    <t>Suction tube, Frazier, ø 4.0 mm, 19.5 cm</t>
  </si>
  <si>
    <t>23-335-02-07</t>
  </si>
  <si>
    <t>BONE CURETTE, BRUNS, OVAL, NO. 2, 23 CM</t>
  </si>
  <si>
    <t>23-907-24-07</t>
  </si>
  <si>
    <t xml:space="preserve">BONE RONGEUR, SLIM, 24.5 CM             </t>
  </si>
  <si>
    <t>23-909-24-07</t>
  </si>
  <si>
    <t xml:space="preserve">BONE RONGEUR, FRYKHOLM, CVD., 24.5CM    </t>
  </si>
  <si>
    <t>23-905-24-07</t>
  </si>
  <si>
    <t xml:space="preserve">BONE RONGEUR, WIDE, 24.5 CM             </t>
  </si>
  <si>
    <t>80-991-23-04</t>
  </si>
  <si>
    <t>NST-RED-FCPS., BAY., STR., 0,6 MM, 23 CM</t>
  </si>
  <si>
    <t>80-992-23-04</t>
  </si>
  <si>
    <t>NST-RED-FCPS., BAY., STR., 1,0 MM, 23 CM</t>
  </si>
  <si>
    <t>80-993-23-04</t>
  </si>
  <si>
    <t>NST-RED-FCPS., BAY., STR., 2,0 MM, 23 CM</t>
  </si>
  <si>
    <t>55-442-15-04</t>
  </si>
  <si>
    <t xml:space="preserve">CONTAINER MS, 60X30X16 CM, HANDLE GREY  </t>
  </si>
  <si>
    <t>55-443-22-04</t>
  </si>
  <si>
    <t xml:space="preserve">Coding label, MS2, w. text, w/o hole    </t>
  </si>
  <si>
    <t>23-951-18-07</t>
  </si>
  <si>
    <t>BONE CUT. FORCEPS, RUSKIN, CVD., 18.5 CM</t>
  </si>
  <si>
    <t>24-981-10-07</t>
  </si>
  <si>
    <t xml:space="preserve">Rongeur, Caspar, str., 3 mm, 18 cm      </t>
  </si>
  <si>
    <t>24-981-30-07</t>
  </si>
  <si>
    <t xml:space="preserve">Rongeur, Caspar, upw., 3 mm, 18 cm      </t>
  </si>
  <si>
    <t>24-981-50-07</t>
  </si>
  <si>
    <t xml:space="preserve">Rongeur, Caspar, downw., 3 mm, 18 cm    </t>
  </si>
  <si>
    <t>24-981-09-07</t>
  </si>
  <si>
    <t xml:space="preserve">Rongeur, Caspar, str., 2 mm, 18 cm      </t>
  </si>
  <si>
    <t>24-981-29-07</t>
  </si>
  <si>
    <t xml:space="preserve">Rongeur, Caspar, upw., 2 mm, 18 cm      </t>
  </si>
  <si>
    <t>24-981-49-07</t>
  </si>
  <si>
    <t xml:space="preserve">Rongeur, Caspar, downw., 2 mm, 18 cm    </t>
  </si>
  <si>
    <t>24-979-35-07</t>
  </si>
  <si>
    <t xml:space="preserve">Punch, 40°, 5mm, slim, 20cm             </t>
  </si>
  <si>
    <t>24-979-19-07</t>
  </si>
  <si>
    <t xml:space="preserve">Punch, 40°, 3mm, slim, 20cm             </t>
  </si>
  <si>
    <t>24-979-27-07</t>
  </si>
  <si>
    <t xml:space="preserve">Punch, 40°, 4mm, slim, 20cm             </t>
  </si>
  <si>
    <t>24-979-11-07</t>
  </si>
  <si>
    <t xml:space="preserve">Punch, 40°, 2mm, slim, 20cm             </t>
  </si>
  <si>
    <t>24-979-09-07</t>
  </si>
  <si>
    <t xml:space="preserve">Punch, 40°, 2mm, slim, 18cm             </t>
  </si>
  <si>
    <t>24-979-17-07</t>
  </si>
  <si>
    <t xml:space="preserve">Punch, 40°, 3mm, slim, 18cm             </t>
  </si>
  <si>
    <t>24-979-20-07</t>
  </si>
  <si>
    <t xml:space="preserve">Punch, 90°, 3mm, slim, 20cm             </t>
  </si>
  <si>
    <t>24-979-28-07</t>
  </si>
  <si>
    <t xml:space="preserve">Punch, 90°, 4mm, slim, 20cm             </t>
  </si>
  <si>
    <t>24-979-18-07</t>
  </si>
  <si>
    <t xml:space="preserve">Punch, 90°, 3mm, slim, 18cm             </t>
  </si>
  <si>
    <t>24-979-26-07</t>
  </si>
  <si>
    <t xml:space="preserve">Punch, 90°, 4mm, slim, 18cm             </t>
  </si>
  <si>
    <t>13-415-18-07</t>
  </si>
  <si>
    <t xml:space="preserve">FORCEPS, KOCHER, 1X2 T., CVD., 18,5 CM  </t>
  </si>
  <si>
    <t>13-411-16-07</t>
  </si>
  <si>
    <t>HAEMOSTATIC FORCEPS, PEAN, CVD., 16,5 CM</t>
  </si>
  <si>
    <t>13-410-18-07</t>
  </si>
  <si>
    <t>HAEMOSTATIC FORCEPS, PEAN, STR., 18.5 CM</t>
  </si>
  <si>
    <t>30-132-15-07</t>
  </si>
  <si>
    <t xml:space="preserve">TISSUE FORCEPS, ALLIS, 4X5 T., 15.5 CM  </t>
  </si>
  <si>
    <t>30-134-19-07</t>
  </si>
  <si>
    <t xml:space="preserve">TISSUE FORCEPS, ALLIS, 5X6 T., 19 CM    </t>
  </si>
  <si>
    <t>15-591-08-07</t>
  </si>
  <si>
    <t xml:space="preserve">RETRACTOR, DEAVER, 50 MM WIDE, 31.5 CM  </t>
  </si>
  <si>
    <t>13-414-20-07</t>
  </si>
  <si>
    <t xml:space="preserve">FORCEPS, KOCHER, 1X2 T., STR., 20,5 CM  </t>
  </si>
  <si>
    <t>13-415-16-07</t>
  </si>
  <si>
    <t xml:space="preserve">FORCEPS, KOCHER, 1X2 T., CVD., 16,5 CM  </t>
  </si>
  <si>
    <t>11-171-17-07</t>
  </si>
  <si>
    <t xml:space="preserve">SCISSORS, MAYO, CVD., 17 CM             </t>
  </si>
  <si>
    <t>13-487-24-07</t>
  </si>
  <si>
    <t xml:space="preserve">FORCEPS, WICKSTROEM, ANGELD, 24.5 CM    </t>
  </si>
  <si>
    <t>13-615-21-07</t>
  </si>
  <si>
    <t>CLAMP FCPS., HEANEY, 2 T., CVD., 21.5 CM</t>
  </si>
  <si>
    <t>15-687-00-07</t>
  </si>
  <si>
    <t xml:space="preserve">RETRACTOR, PARKER-LANG., SET, 21.5 CM   </t>
  </si>
  <si>
    <t>30-192-20-07</t>
  </si>
  <si>
    <t xml:space="preserve">TISSUE FORCEPS, BABCOCK, 21 CM          </t>
  </si>
  <si>
    <t>12-451-18-07</t>
  </si>
  <si>
    <t>TISSUE FORCEPS, BONNEY, 1X2 T., 17.5 CM</t>
  </si>
  <si>
    <t>12-100-20-07</t>
  </si>
  <si>
    <t xml:space="preserve">DRESSING FORCEPS, 20 CM                 </t>
  </si>
  <si>
    <t>12-100-16-07</t>
  </si>
  <si>
    <t xml:space="preserve">DRESSING FORCEPS, 16 CM                 </t>
  </si>
  <si>
    <t>24-386-24-07</t>
  </si>
  <si>
    <t xml:space="preserve">ATR. FORCEPS, DE BAKEY, 1.5 MM, 25 CM   </t>
  </si>
  <si>
    <t>18-543-27-01</t>
  </si>
  <si>
    <t>Suct. tube, Yankauer, compl.,ø9,4mm,31cm</t>
  </si>
  <si>
    <t>56-673-25-01</t>
  </si>
  <si>
    <t xml:space="preserve">KIDNEY DISH, 250X140X40 MM              </t>
  </si>
  <si>
    <t>55-442-13-04</t>
  </si>
  <si>
    <t xml:space="preserve">CONTAINER MS, 60X30X14 CM, HANDLE GREY  </t>
  </si>
  <si>
    <t>32-779-23-07</t>
  </si>
  <si>
    <t>UTERINE ELEV. FCPS., SOMER, CVD., 22.5CM</t>
  </si>
  <si>
    <t>15-852-00-07</t>
  </si>
  <si>
    <t>ABDOMIN. RETRACTOR, BALFOUR, WIRE BLADES</t>
  </si>
  <si>
    <t>15-171-12-07</t>
  </si>
  <si>
    <t xml:space="preserve">HOOKLET, CUSHING, 12 MM, 20.5 CM        </t>
  </si>
  <si>
    <t>12-460-23-07</t>
  </si>
  <si>
    <t xml:space="preserve">FORCEPS, FENESTRATED JAW, 23 CM         </t>
  </si>
  <si>
    <t>30-274-23-07</t>
  </si>
  <si>
    <t>INTESTINAL FORCEPS, DOYEN, STR., 23.5 CM</t>
  </si>
  <si>
    <t>55-804-56-01</t>
  </si>
  <si>
    <t xml:space="preserve">marTray, 1/1, 532x251x64 mm             </t>
  </si>
  <si>
    <t>13-915-11-07</t>
  </si>
  <si>
    <t xml:space="preserve">TOWEL FORCEPS, BACKHAUS, SHARP, 11 CM   </t>
  </si>
  <si>
    <t>13-414-16-07</t>
  </si>
  <si>
    <t xml:space="preserve">FORCEPS, KOCHER, 1X2 T., STR., 16.5 CM  </t>
  </si>
  <si>
    <t>33-300-21-07</t>
  </si>
  <si>
    <t>HAEMOST. FORCEPS, GREEN-ARMYTAGE, 21 CM</t>
  </si>
  <si>
    <t>15-461-25-01</t>
  </si>
  <si>
    <t xml:space="preserve">Retractor, Doyen, 45x88 mm, 24 cm       </t>
  </si>
  <si>
    <t>15-591-07-07</t>
  </si>
  <si>
    <t xml:space="preserve">RETRACTOR, DEAVER, 38 MM WIDE, 32 CM    </t>
  </si>
  <si>
    <t>20-390-16-07</t>
  </si>
  <si>
    <t xml:space="preserve">NEEDLEHOLDER, MAYO-HEGAR, 16 CM         </t>
  </si>
  <si>
    <t>30-192-18-07</t>
  </si>
  <si>
    <t xml:space="preserve">TISSUE FORCEPS, BABCOCK, 17.5 CM        </t>
  </si>
  <si>
    <t>24-384-16-07</t>
  </si>
  <si>
    <t xml:space="preserve">ATR. FORCEPS, DE BAKEY, 2.7 MM, 16 CM   </t>
  </si>
  <si>
    <t>13-451-23-07</t>
  </si>
  <si>
    <t>DISS. FORCEPS, GEMINI, STR. CVD., 23 CM</t>
  </si>
  <si>
    <t>55-804-50-01</t>
  </si>
  <si>
    <t xml:space="preserve">marTray, DIN, 477x251x64 mm             </t>
  </si>
  <si>
    <t>10-149-05-07</t>
  </si>
  <si>
    <t xml:space="preserve">Scalpel handle, bay., 21 cm             </t>
  </si>
  <si>
    <t>12-321-14-07</t>
  </si>
  <si>
    <t xml:space="preserve">TISSUE FORCEPS, 1X2 T., SLIM, 14.5 CM   </t>
  </si>
  <si>
    <t>24-389-20-07</t>
  </si>
  <si>
    <t>ATR. FCPS., DE BAKEY, ANG., 2 MM, 20 CM</t>
  </si>
  <si>
    <t>12-383-17-07</t>
  </si>
  <si>
    <t xml:space="preserve">Diss. forceps, bayon., 1x2 T., 18.5 cm  </t>
  </si>
  <si>
    <t>12-256-18-07</t>
  </si>
  <si>
    <t xml:space="preserve">TC-FORCEPS, CUSHING-TAYLOR, 18.5 CM     </t>
  </si>
  <si>
    <t>20-636-13-07</t>
  </si>
  <si>
    <t xml:space="preserve">TC-NEEDLEHOLDER, HALSEY, SMOOTH, 13 CM  </t>
  </si>
  <si>
    <t>23-124-10-07</t>
  </si>
  <si>
    <t xml:space="preserve">OSTEOTOME, STILLE, 10 MM, 20.5 CM       </t>
  </si>
  <si>
    <t>23-124-20-07</t>
  </si>
  <si>
    <t xml:space="preserve">OSTEOTOME, STILLE, 20 MM, 20.5 CM       </t>
  </si>
  <si>
    <t>24-690-02-07</t>
  </si>
  <si>
    <t xml:space="preserve">Dissector, Penfield, # 2, 19.5 cm       </t>
  </si>
  <si>
    <t>23-527-19-07</t>
  </si>
  <si>
    <t xml:space="preserve">DISSECTOR, MCDONALD, DOUBLE, 18.5 CM    </t>
  </si>
  <si>
    <t>36-743-50-07</t>
  </si>
  <si>
    <t>CURETTE, SHARP, LEMPERT, NO. 5, 21.5 CM</t>
  </si>
  <si>
    <t>09-007-28-07</t>
  </si>
  <si>
    <t>Bone curette, Bruns, cvd., Fig.0000,23cm</t>
  </si>
  <si>
    <t>23-334-30-07</t>
  </si>
  <si>
    <t xml:space="preserve">BONE CUR., BRUNS, OVAL, NO. 000, 23 CM  </t>
  </si>
  <si>
    <t>09-007-20-07</t>
  </si>
  <si>
    <t>Bone curette, Bruns, cvd., Fig.00, 23 cm</t>
  </si>
  <si>
    <t>23-334-10-07</t>
  </si>
  <si>
    <t>BONE CURETTE, BRUNS, OVAL, NO. 0, 23 CM</t>
  </si>
  <si>
    <t>09-007-21-07</t>
  </si>
  <si>
    <t>Bone curette, Bruns, cvd., Fig.0, 23 cm</t>
  </si>
  <si>
    <t>23-335-01-07</t>
  </si>
  <si>
    <t>BONE CURETTE, BRUNS, OVAL, NO. 1, 23 CM</t>
  </si>
  <si>
    <t>09-007-22-07</t>
  </si>
  <si>
    <t>Bone curette, Bruns, cvd., Fig.1, 23 cm</t>
  </si>
  <si>
    <t>23-335-03-07</t>
  </si>
  <si>
    <t>BONE CURETTE, BRUNS, OVAL, NO. 3, 23 CM</t>
  </si>
  <si>
    <t>09-007-24-07</t>
  </si>
  <si>
    <t>Bone curette, Bruns, cvd., Fig.3, 23 cm</t>
  </si>
  <si>
    <t>24-979-01-07</t>
  </si>
  <si>
    <t xml:space="preserve">Punch, 40°, 1mm, slim, 18cm             </t>
  </si>
  <si>
    <t>15-750-13-07</t>
  </si>
  <si>
    <t xml:space="preserve">WOUNDSPREADER, SHARP, 3X4 T., 13.5 CM   </t>
  </si>
  <si>
    <t>15-751-13-07</t>
  </si>
  <si>
    <t xml:space="preserve">WOUNDSPREADER, BLUNT, 3X4 T., 13.5 CM   </t>
  </si>
  <si>
    <t>24-973-16-07</t>
  </si>
  <si>
    <t xml:space="preserve">VERTEBRAL SPREADER, CLOWARD, 16 CM      </t>
  </si>
  <si>
    <t>15-774-25-07</t>
  </si>
  <si>
    <t xml:space="preserve">SPREADER, CLOWARD, ONLY, F. 15-774-00   </t>
  </si>
  <si>
    <t>15-775-40-07</t>
  </si>
  <si>
    <t>BLADE F. SPREAD., CLOWARD, SMOOTH, 40 MM</t>
  </si>
  <si>
    <t>15-774-40-07</t>
  </si>
  <si>
    <t xml:space="preserve">BLADE F. CLOWARD, FENESTRATED, 40 MM    </t>
  </si>
  <si>
    <t>15-774-55-07</t>
  </si>
  <si>
    <t xml:space="preserve">BLADE F. CLOWARD, FENESTRATED, 55 MM    </t>
  </si>
  <si>
    <t>15-775-55-07</t>
  </si>
  <si>
    <t>BLADE F. SPREAD., CLOWARD, SMOOTH, 55 MM</t>
  </si>
  <si>
    <t>15-775-60-07</t>
  </si>
  <si>
    <t>BLADE F. SPREAD., CLOWARD, SMOOTH, 60 MM</t>
  </si>
  <si>
    <t>15-774-60-07</t>
  </si>
  <si>
    <t xml:space="preserve">BLADE F. CLOWARD, FENESTRATED, 60 MM    </t>
  </si>
  <si>
    <t>15-811-10-07</t>
  </si>
  <si>
    <t xml:space="preserve">Distractor, Caspar, right, 11 cm        </t>
  </si>
  <si>
    <t>15-811-31-07</t>
  </si>
  <si>
    <t>Drill guide f. Distractor, Caspar, right</t>
  </si>
  <si>
    <t>15-811-61-07</t>
  </si>
  <si>
    <t xml:space="preserve">Drill, Caspar, Ø 8 mm, 8 mm             </t>
  </si>
  <si>
    <t>15-811-52-07</t>
  </si>
  <si>
    <t xml:space="preserve">Screw f. Distraction, Caspar, 16 mm     </t>
  </si>
  <si>
    <t>15-811-40-07</t>
  </si>
  <si>
    <t xml:space="preserve">Screwdriver f. Distractor, Caspar       </t>
  </si>
  <si>
    <t>55-807-54-04</t>
  </si>
  <si>
    <t xml:space="preserve">SILICONE MAT F. 1/1 TRAY, 524X244 MM    </t>
  </si>
  <si>
    <t>22-152-00-07</t>
  </si>
  <si>
    <t xml:space="preserve">HAND DRILL, HUDSON, COMPLETE, 28 CM     </t>
  </si>
  <si>
    <t>22-152-09-07</t>
  </si>
  <si>
    <t xml:space="preserve">EXTENSION F. HUDSON-DRILL               </t>
  </si>
  <si>
    <t>22-152-01-07</t>
  </si>
  <si>
    <t xml:space="preserve">BURR, CONE SHAPE, HUDSON, NO. 1         </t>
  </si>
  <si>
    <t>22-152-05-07</t>
  </si>
  <si>
    <t xml:space="preserve">BURR, FLAT TYPE, CUSHING, 14 MM WIDE    </t>
  </si>
  <si>
    <t>22-152-02-07</t>
  </si>
  <si>
    <t xml:space="preserve">BURR, CONE SHAPE, HUDSON, NO. 2         </t>
  </si>
  <si>
    <t>22-152-08-07</t>
  </si>
  <si>
    <t xml:space="preserve">DRILL, ERRICO, Ø 16 MM                  </t>
  </si>
  <si>
    <t>24-618-33-07</t>
  </si>
  <si>
    <t xml:space="preserve">WIRE SAW CONDUCTOR, DE MARTEL           </t>
  </si>
  <si>
    <t>12-302-14-07</t>
  </si>
  <si>
    <t xml:space="preserve">TISSUE FORCEPS, 2X3 T., 14.5 CM         </t>
  </si>
  <si>
    <t>12-370-15-07</t>
  </si>
  <si>
    <t>Diss. forceps, Gillies, 1x2 T., 15,5 cm</t>
  </si>
  <si>
    <t>12-120-14-07</t>
  </si>
  <si>
    <t xml:space="preserve">DRESSING FORCEPS, MEDIUM WIDE, 14.5 CM  </t>
  </si>
  <si>
    <t>12-100-14-07</t>
  </si>
  <si>
    <t xml:space="preserve">DRESSING FORCEPS, 14.5 CM               </t>
  </si>
  <si>
    <t>12-406-12-07</t>
  </si>
  <si>
    <t xml:space="preserve">FORCEPS, MICRO-ADSON, 1X2 T., 12 CM     </t>
  </si>
  <si>
    <t>12-402-12-07</t>
  </si>
  <si>
    <t xml:space="preserve">FORCEPS, MINI-ADSON, 1X2 T., 12 CM      </t>
  </si>
  <si>
    <t>12-168-15-07</t>
  </si>
  <si>
    <t xml:space="preserve">DRESSING FORCEPS, ADSON, 15 CM          </t>
  </si>
  <si>
    <t>12-371-20-07</t>
  </si>
  <si>
    <t xml:space="preserve">Diss. forceps, Waugh, 1x2 T., 20 cm     </t>
  </si>
  <si>
    <t>20-632-12-07</t>
  </si>
  <si>
    <t xml:space="preserve">TC-NEEDLEHOLDER, DERF, 12 CM            </t>
  </si>
  <si>
    <t>20-638-15-07</t>
  </si>
  <si>
    <t xml:space="preserve">TC-NEEDLEHOLDER, CRILE-WOOD, 15 CM      </t>
  </si>
  <si>
    <t>24-851-10-07</t>
  </si>
  <si>
    <t>Micro needleh., Yasargil,bay.str., 20cm</t>
  </si>
  <si>
    <t>13-310-14-07</t>
  </si>
  <si>
    <t xml:space="preserve">HAEM. FORCEPS, MOSQUITO, STR., 14.5 CM  </t>
  </si>
  <si>
    <t>13-311-14-07</t>
  </si>
  <si>
    <t xml:space="preserve">HAEM. FORCEPS, MOSQUITO, CVD., 14 CM    </t>
  </si>
  <si>
    <t>13-320-12-07</t>
  </si>
  <si>
    <t xml:space="preserve">FORCEPS MICRO-MOSQUITO, STR., 12 CM     </t>
  </si>
  <si>
    <t>13-321-12-07</t>
  </si>
  <si>
    <t xml:space="preserve">FORCEPS MICRO-MOSQUITO, CVD., 12 CM     </t>
  </si>
  <si>
    <t>13-316-18-07</t>
  </si>
  <si>
    <t xml:space="preserve">HAEM. FORCEPS, MOSQUITO, STR., 18.5 CM  </t>
  </si>
  <si>
    <t>13-317-18-07</t>
  </si>
  <si>
    <t xml:space="preserve">HAEM. FORCEPS, MOSQUITO, CVD., 18 CM    </t>
  </si>
  <si>
    <t>13-357-14-07</t>
  </si>
  <si>
    <t xml:space="preserve">FORCEPS, DANDY, 1X2 T., CVD., 14 CM     </t>
  </si>
  <si>
    <t>24-684-19-07</t>
  </si>
  <si>
    <t>Dissector, Olivecrona, dbl-ended, 20 cm</t>
  </si>
  <si>
    <t>11-826-13-07</t>
  </si>
  <si>
    <t>LIGATURE SCISSORS, SPENCER, STR., 13 CM</t>
  </si>
  <si>
    <t>11-102-14-07</t>
  </si>
  <si>
    <t>OPERATING SCISSORS, SH/BL, STR., 14.5 CM</t>
  </si>
  <si>
    <t>11-100-16-07</t>
  </si>
  <si>
    <t>OPERATING SCISSORS, BL/BL, STR., 16.5 CM</t>
  </si>
  <si>
    <t>11-455-17-07</t>
  </si>
  <si>
    <t xml:space="preserve">Scissor, Schmieden-Taylor, 16.5 cm      </t>
  </si>
  <si>
    <t>11-865-12-07</t>
  </si>
  <si>
    <t>WIRE SCISSORS, UNIVERSAL, ANGLED, 12 CM</t>
  </si>
  <si>
    <t>18-645-15-07</t>
  </si>
  <si>
    <t>Suction tube, Plester, ø 1.5 mm, 19.5 cm</t>
  </si>
  <si>
    <t>18-523-06-01</t>
  </si>
  <si>
    <t>Suction tube, Frazier, ø 2.0 mm, 19.5 cm</t>
  </si>
  <si>
    <t>18-523-08-01</t>
  </si>
  <si>
    <t>Suction tube, Frazier, ø 2.7 mm, 19.5 cm</t>
  </si>
  <si>
    <t>18-524-81-01</t>
  </si>
  <si>
    <t xml:space="preserve">Suct. tube, Fergusson, ø 2,0 mm, 20 cm  </t>
  </si>
  <si>
    <t>09-003-64-99</t>
  </si>
  <si>
    <t xml:space="preserve">Spatula, Olivecr., conc., 7/9 mm        </t>
  </si>
  <si>
    <t>09-003-65-99</t>
  </si>
  <si>
    <t xml:space="preserve">Spatula, Olivecr., conc., 11/13 mm      </t>
  </si>
  <si>
    <t>09-003-66-99</t>
  </si>
  <si>
    <t xml:space="preserve">Spatula, Olivecr., conc., 15/18 mm      </t>
  </si>
  <si>
    <t>09-003-67-99</t>
  </si>
  <si>
    <t xml:space="preserve">Spatula, Olivecr., conc., 18/22 mm      </t>
  </si>
  <si>
    <t>24-720-11-01</t>
  </si>
  <si>
    <t xml:space="preserve">Spatula, Heifetz, malleable, 11x155 mm  </t>
  </si>
  <si>
    <t>15-975-13-01</t>
  </si>
  <si>
    <t>SPATULA, MARTIN, MALLEAB., 13 MM, 20 CM</t>
  </si>
  <si>
    <t>15-975-16-01</t>
  </si>
  <si>
    <t>SPATULA, MARTIN, MALLEAB., 16 MM, 20 CM</t>
  </si>
  <si>
    <t>23-893-23-07</t>
  </si>
  <si>
    <t xml:space="preserve">BONE RONGEUR, RUSKIN, CVD., 24 CM       </t>
  </si>
  <si>
    <t>23-885-20-07</t>
  </si>
  <si>
    <t xml:space="preserve">BONE RONGEUR, MARQUARD, 20.5 CM         </t>
  </si>
  <si>
    <t>23-877-15-07</t>
  </si>
  <si>
    <t xml:space="preserve">BONE RONGEUR, BOEHLER, CVD., 15 CM      </t>
  </si>
  <si>
    <t>24-979-25-07</t>
  </si>
  <si>
    <t xml:space="preserve">Punch, 40°, 4mm, slim, 18cm             </t>
  </si>
  <si>
    <t>23-461-10-07</t>
  </si>
  <si>
    <t xml:space="preserve">RASPATORY, LAMBOTTE, 10 MM, 21.5 CM     </t>
  </si>
  <si>
    <t>18-636-25-07</t>
  </si>
  <si>
    <t>Cannula, puncture, Frazier, ø 2,5mm,10cm</t>
  </si>
  <si>
    <t>18-638-20-07</t>
  </si>
  <si>
    <t xml:space="preserve">Cannula, Dandy, ø 2,0 mm, 9,5 cm        </t>
  </si>
  <si>
    <t>24-702-13-07</t>
  </si>
  <si>
    <t xml:space="preserve">Ball joint clamp for Leyla retractor    </t>
  </si>
  <si>
    <t>24-702-14-07</t>
  </si>
  <si>
    <t xml:space="preserve">Supporting arm for Leyla retractor      </t>
  </si>
  <si>
    <t>24-702-16-07</t>
  </si>
  <si>
    <t xml:space="preserve">Coupling head for 1 flexible arm        </t>
  </si>
  <si>
    <t>24-702-03-07</t>
  </si>
  <si>
    <t xml:space="preserve">Arm, flexible                           </t>
  </si>
  <si>
    <t>24-702-08-07</t>
  </si>
  <si>
    <t xml:space="preserve">Spatula holder for flat spatula         </t>
  </si>
  <si>
    <t>24-702-07-07</t>
  </si>
  <si>
    <t xml:space="preserve">Spatula holder, rd shaft for flex. arm  </t>
  </si>
  <si>
    <t>15-975-06-01</t>
  </si>
  <si>
    <t>SPATULA, MARTIN, MALLEAB., 6.5 MM, 20 CM</t>
  </si>
  <si>
    <t>24-720-08-01</t>
  </si>
  <si>
    <t xml:space="preserve">Spatula, Heifetz, malleable, 8x155 mm   </t>
  </si>
  <si>
    <t>15-975-09-01</t>
  </si>
  <si>
    <t>SPATULA, MARTIN, MALLEAB., 9.5 MM, 20 CM</t>
  </si>
  <si>
    <t>24-720-14-01</t>
  </si>
  <si>
    <t xml:space="preserve">Spatula, Heifetz, malleable, 14x155 mm  </t>
  </si>
  <si>
    <t>24-678-01-07</t>
  </si>
  <si>
    <t>GALEA RETRACTOR, (HOOK) YASARGIL, 30 CM</t>
  </si>
  <si>
    <t>15-220-04-07</t>
  </si>
  <si>
    <t>RETRACTOR, VOLKMANN, SH., 4-PR., 22.5 CM</t>
  </si>
  <si>
    <t>15-221-04-07</t>
  </si>
  <si>
    <t>RETRACTOR, VOLKMANN, BL., 4-PR., 22.5 CM</t>
  </si>
  <si>
    <t>24-676-00-07</t>
  </si>
  <si>
    <t>APPLYING/REMOVAL FORCEPS F. RANEY-CLIPS</t>
  </si>
  <si>
    <t>24-852-60-07</t>
  </si>
  <si>
    <t>Grasp.fcps., Hunt, ang. down, 5 mm, 20cm</t>
  </si>
  <si>
    <t>55-804-15-01</t>
  </si>
  <si>
    <t xml:space="preserve">marTray, mini, 277x172x51 mm            </t>
  </si>
  <si>
    <t>55-804-10-01</t>
  </si>
  <si>
    <t xml:space="preserve">Lid, marTray, mini                      </t>
  </si>
  <si>
    <t>55-009-09-04</t>
  </si>
  <si>
    <t xml:space="preserve">Silicone Mat f. Miniset Tray            </t>
  </si>
  <si>
    <t>13-415-20-07</t>
  </si>
  <si>
    <t xml:space="preserve">FORCEPS, KOCHER, 1X2 T., CVD., 20 CM    </t>
  </si>
  <si>
    <t>13-414-18-07</t>
  </si>
  <si>
    <t xml:space="preserve">FORCEPS, KOCHER, 1X2 T., STR., 18.5 CM  </t>
  </si>
  <si>
    <t>13-410-16-07</t>
  </si>
  <si>
    <t>HAEMOSTATIC FORCEPS, PEAN, STR., 16.5 CM</t>
  </si>
  <si>
    <t>13-411-20-07</t>
  </si>
  <si>
    <t>HAEMOSTATIC FORCEPS, PEAN, CRV., 20.5 CM</t>
  </si>
  <si>
    <t>11-285-20-07</t>
  </si>
  <si>
    <t xml:space="preserve">DISSECTING SCISSORS, CVD., 20.5 CM      </t>
  </si>
  <si>
    <t>24-388-16-07</t>
  </si>
  <si>
    <t xml:space="preserve">ATR. FORCEPS, DE BAKEY, 2 MM, 16 CM     </t>
  </si>
  <si>
    <t>56-231-08-01</t>
  </si>
  <si>
    <t xml:space="preserve">BOWL, METAL, H = 40, Ø 80 MM, 0.14 L    </t>
  </si>
  <si>
    <t>55-804-41-01</t>
  </si>
  <si>
    <t xml:space="preserve">marTray, 3/4, 410x251x25 mm             </t>
  </si>
  <si>
    <t>31-721-14-01</t>
  </si>
  <si>
    <t xml:space="preserve">CATHETER F. WOMEN, CVD., 14 CH, 15 CM   </t>
  </si>
  <si>
    <t>32-628-25-07</t>
  </si>
  <si>
    <t>TENACULUM FORCEPS, BRAUN, 1X1 T., 26 CM</t>
  </si>
  <si>
    <t>32-697-23-07</t>
  </si>
  <si>
    <t>TENAC. FCPS., TEALE, CVD., 4X5 T., 23 CM</t>
  </si>
  <si>
    <t>11-317-14-07</t>
  </si>
  <si>
    <t xml:space="preserve">NASAL SCISSORS, FOMON, CVD., 14 CM      </t>
  </si>
  <si>
    <t>15-802-13-07</t>
  </si>
  <si>
    <t xml:space="preserve">WOUNDSPREADER, GELPI, 1X1 T., 13 CM     </t>
  </si>
  <si>
    <t>32-165-03-07</t>
  </si>
  <si>
    <t xml:space="preserve">VAGINAL SPECULUM, JACKSON, 100X38 MM    </t>
  </si>
  <si>
    <t>32-325-40-07</t>
  </si>
  <si>
    <t xml:space="preserve">VAGINAL RETRACTOR, BREISKY, 160X40 MM   </t>
  </si>
  <si>
    <t>32-324-30-07</t>
  </si>
  <si>
    <t xml:space="preserve">VAGINAL RETRACTOR, BREISKY, 130X30 MM   </t>
  </si>
  <si>
    <t>11-459-17-07</t>
  </si>
  <si>
    <t xml:space="preserve">SCISSORS, TOENNIS-ADSON, CVD., 17.5 CM  </t>
  </si>
  <si>
    <t>09-006-65-07</t>
  </si>
  <si>
    <t>Dissect./Ligature fcps, Kantrowitz, 28cm</t>
  </si>
  <si>
    <t>13-487-21-07</t>
  </si>
  <si>
    <t xml:space="preserve">FORCEPS, WICKSTROEM, ANGELD, 21 CM      </t>
  </si>
  <si>
    <t>13-493-25-07</t>
  </si>
  <si>
    <t xml:space="preserve">FORCEPS, MIXTER, ANG., LONGIT., 26 CM   </t>
  </si>
  <si>
    <t>20-642-18-07</t>
  </si>
  <si>
    <t xml:space="preserve">TC-NEEDLEHOLDER, MAYO-HEGAR, 18.5 CM    </t>
  </si>
  <si>
    <t>20-642-24-07</t>
  </si>
  <si>
    <t xml:space="preserve">TC-NEEDLEHOLDER, MAYO-HEGAR, 24 CM      </t>
  </si>
  <si>
    <t>13-410-14-07</t>
  </si>
  <si>
    <t>HAEMOSTATIC FORCEPS, PEAN, STR., 14.5 CM</t>
  </si>
  <si>
    <t>13-411-14-07</t>
  </si>
  <si>
    <t xml:space="preserve">HAEMOSTATIC FORCEPS, PEAN, CVD., 14 CM  </t>
  </si>
  <si>
    <t>13-411-18-07</t>
  </si>
  <si>
    <t>HAEMOSTATIC FORCEPS, PEAN, CRV., 18.5 CM</t>
  </si>
  <si>
    <t>16-187-16-07</t>
  </si>
  <si>
    <t xml:space="preserve">FISTULA PROBE, SLIGHT CVD., 16.5 CM     </t>
  </si>
  <si>
    <t>09-005-86-07</t>
  </si>
  <si>
    <t>Grooved director, Brodie, 3,5 mm, 20 cm</t>
  </si>
  <si>
    <t>23-406-16-07</t>
  </si>
  <si>
    <t xml:space="preserve">Raspatory, König, 15.5 cm               </t>
  </si>
  <si>
    <t>15-317-02-07</t>
  </si>
  <si>
    <t>RETRACT., KOCHER-LANG., 35X8 MM, 21.5 CM</t>
  </si>
  <si>
    <t>15-317-07-07</t>
  </si>
  <si>
    <t>RETRACT., KOCHER-LANG., 70X14 MM, 21.5CM</t>
  </si>
  <si>
    <t>15-317-09-07</t>
  </si>
  <si>
    <t>RETRACT., KOCHER-LANG., 80X16 MM, 21.5CM</t>
  </si>
  <si>
    <t>09-008-24-07</t>
  </si>
  <si>
    <t xml:space="preserve">Retractor, Morris, 70x50 mm, 24 cm      </t>
  </si>
  <si>
    <t>15-611-02-07</t>
  </si>
  <si>
    <t xml:space="preserve">RETRACTOR, KELLY, 210X57 MM, 28 CM      </t>
  </si>
  <si>
    <t>15-591-09-07</t>
  </si>
  <si>
    <t xml:space="preserve">RETRACTOR, DEAVER, 75 MM WIDE, 31.5 CM  </t>
  </si>
  <si>
    <t>15-846-00-07</t>
  </si>
  <si>
    <t xml:space="preserve">ABDOMINAL RETRACTOR, GOSSET, 18.5 CM    </t>
  </si>
  <si>
    <t>15-858-00-07</t>
  </si>
  <si>
    <t>15-171-14-07</t>
  </si>
  <si>
    <t xml:space="preserve">HOOKLET, CUSHING, 14 MM, 20.5 CM        </t>
  </si>
  <si>
    <t>15-171-18-07</t>
  </si>
  <si>
    <t xml:space="preserve">HOOKLET, CUSHING, 18 MM, 20.5 CM        </t>
  </si>
  <si>
    <t>15-091-12-07</t>
  </si>
  <si>
    <t xml:space="preserve">HOOKLET, DESMARRES, 12 MM, 16 CM        </t>
  </si>
  <si>
    <t>15-611-01-07</t>
  </si>
  <si>
    <t xml:space="preserve">RETRACTOR, KELLY, 205X38 MM, 27.5 CM    </t>
  </si>
  <si>
    <t>15-922-90-07</t>
  </si>
  <si>
    <t>marTract epigastrium, retractor,60x85mm</t>
  </si>
  <si>
    <t>15-922-36-07</t>
  </si>
  <si>
    <t xml:space="preserve">marTract Breisky, blade, 110x35mm       </t>
  </si>
  <si>
    <t>15-922-11-07</t>
  </si>
  <si>
    <t xml:space="preserve">marTract Harringt., blade, 175x65mm     </t>
  </si>
  <si>
    <t>15-921-72-07</t>
  </si>
  <si>
    <t xml:space="preserve">marTract Deaver, blade, 220x100mm       </t>
  </si>
  <si>
    <t>15-174-08-07</t>
  </si>
  <si>
    <t xml:space="preserve">HOOKLET, MALLEABLE SHAFT, 8 MM, 24 CM   </t>
  </si>
  <si>
    <t>15-174-11-07</t>
  </si>
  <si>
    <t xml:space="preserve">HOOKLET, MALLEABLE SHAFT, 11 MM, 24 CM  </t>
  </si>
  <si>
    <t>15-174-15-07</t>
  </si>
  <si>
    <t xml:space="preserve">HOOKLET, MALLEABLE SHAFT, 15 MM, 24 CM  </t>
  </si>
  <si>
    <t>15-174-17-07</t>
  </si>
  <si>
    <t xml:space="preserve">HOOKLET, MALLEABLE SHAFT, 17 MM, 24 CM  </t>
  </si>
  <si>
    <t>24-384-20-07</t>
  </si>
  <si>
    <t xml:space="preserve">ATR. FORCEPS, DE BAKEY, 2.7 MM, 20 CM   </t>
  </si>
  <si>
    <t>24-390-24-07</t>
  </si>
  <si>
    <t xml:space="preserve">ATR. FORCEPS, DE BAKEY, 3.5 MM, 25 CM   </t>
  </si>
  <si>
    <t>12-100-25-07</t>
  </si>
  <si>
    <t xml:space="preserve">DRESSING FORCEPS, 25 CM                 </t>
  </si>
  <si>
    <t>30-142-15-07</t>
  </si>
  <si>
    <t>TISSUE FORCEPS, BOYS-ALL, 5X6 T.15.5 CM</t>
  </si>
  <si>
    <t>30-196-16-07</t>
  </si>
  <si>
    <t xml:space="preserve">ATR. TISSUE FORCEPS, BABCOCK, 16 CM     </t>
  </si>
  <si>
    <t>30-196-20-07</t>
  </si>
  <si>
    <t xml:space="preserve">ATR. TISSUE FORCEPS, BABCOCK, 21 CM     </t>
  </si>
  <si>
    <t>33-328-27-07</t>
  </si>
  <si>
    <t xml:space="preserve">OVUM FORCEPS, SAENGER, STR., 27.5 CM    </t>
  </si>
  <si>
    <t>24-390-30-07</t>
  </si>
  <si>
    <t xml:space="preserve">ATR. FORCEPS, DE BAKEY, 3.5 MM, 30 CM   </t>
  </si>
  <si>
    <t>31-205-20-07</t>
  </si>
  <si>
    <t>GALLSTONE FORCEPS, BLAKE, CVD., 20,5 CM</t>
  </si>
  <si>
    <t>31-101-23-07</t>
  </si>
  <si>
    <t>KIDNEY STONE FCP., RANDALL, NO. 1, 23 CM</t>
  </si>
  <si>
    <t>31-103-22-07</t>
  </si>
  <si>
    <t>KIDNEY STONE FCP., RANDALL, NO. 2, 21 CM</t>
  </si>
  <si>
    <t>31-105-22-07</t>
  </si>
  <si>
    <t>KIDNEY STONE FCP., RANDALL, NO. 3, 19 CM</t>
  </si>
  <si>
    <t>31-107-22-07</t>
  </si>
  <si>
    <t>KIDNEY STONE FCP., RAND., NO. 4, 18.5 CM</t>
  </si>
  <si>
    <t>23-443-17-07</t>
  </si>
  <si>
    <t xml:space="preserve">RIB RASPATORY, DOYEN, L., ADULT, 17 CM  </t>
  </si>
  <si>
    <t>23-441-17-07</t>
  </si>
  <si>
    <t xml:space="preserve">RIB RASPATORY, DOYEN, R., ADULT, 17 CM  </t>
  </si>
  <si>
    <t>23-448-21-07</t>
  </si>
  <si>
    <t xml:space="preserve">RASPATORY, ALEXANDER, DOUBLE, 21 CM     </t>
  </si>
  <si>
    <t>23-952-27-07</t>
  </si>
  <si>
    <t>BONE CUTT. FORCEPS, STILLE-LISTON, 26 CM</t>
  </si>
  <si>
    <t>18-545-01-01</t>
  </si>
  <si>
    <t xml:space="preserve">HANDLE ONLY, F. 18-545-00, 15 CM        </t>
  </si>
  <si>
    <t>18-545-10-01</t>
  </si>
  <si>
    <t>Suct. tube, f. 18-545-00, #0,ø2,5mm,10cm</t>
  </si>
  <si>
    <t>09-009-41-07</t>
  </si>
  <si>
    <t>Fcps., grasp., Heyw-Smith, str., 20.5cm</t>
  </si>
  <si>
    <t>09-009-01-07</t>
  </si>
  <si>
    <t>Dilator,bile duct,Dittel,cvd.,8CH,34.5cm</t>
  </si>
  <si>
    <t>09-009-03-07</t>
  </si>
  <si>
    <t>Dilator,bile duct,Dittel,cvd,10CH,34.5cm</t>
  </si>
  <si>
    <t>09-009-05-07</t>
  </si>
  <si>
    <t>Dilator,bile duct,Dittel,cvd,12CH,34.5cm</t>
  </si>
  <si>
    <t>09-009-07-07</t>
  </si>
  <si>
    <t>Dilator,bile duct,Dittel,cvd,14CH,34.5cm</t>
  </si>
  <si>
    <t>09-009-09-07</t>
  </si>
  <si>
    <t>Dilator,bile duct,Dittel,cvd,16CH,34.5cm</t>
  </si>
  <si>
    <t>09-009-11-07</t>
  </si>
  <si>
    <t>Dilator,bile duct,Dittel,cvd,18CH,34.5cm</t>
  </si>
  <si>
    <t>09-009-13-07</t>
  </si>
  <si>
    <t>Dilator,bile duct,Dittel,cvd,20CH,34.5cm</t>
  </si>
  <si>
    <t>09-009-15-07</t>
  </si>
  <si>
    <t>Dilator,bile duct,Dittel,cvd,22CH,34.5cm</t>
  </si>
  <si>
    <t>09-009-17-07</t>
  </si>
  <si>
    <t>Dilator,bile duct,Dittel,cvd,24CH,34.5cm</t>
  </si>
  <si>
    <t>36-856-02-07</t>
  </si>
  <si>
    <t xml:space="preserve">Speculum, nasal, Killian, 50 mm, #2     </t>
  </si>
  <si>
    <t>36-856-03-07</t>
  </si>
  <si>
    <t xml:space="preserve">Speculum, nasal, Killian, 75 mm, #3     </t>
  </si>
  <si>
    <t>36-856-04-07</t>
  </si>
  <si>
    <t xml:space="preserve">Speculum, nasal, Killian, 90 mm, #4     </t>
  </si>
  <si>
    <t>11-511-10-07</t>
  </si>
  <si>
    <t>Scissor, Nose, Cottle-M., bl., cvd.,10cm</t>
  </si>
  <si>
    <t>11-351-14-07</t>
  </si>
  <si>
    <t xml:space="preserve">SCISSORS, JOSEPH, SH/SH, CVD., 14.5 CM  </t>
  </si>
  <si>
    <t>11-509-13-07</t>
  </si>
  <si>
    <t xml:space="preserve">Scissor, Nose, Fomon, cvd., 12,5 cm     </t>
  </si>
  <si>
    <t>37-227-01-07</t>
  </si>
  <si>
    <t>SEPTUM FCPS., BRUENINGS, NO. 1, 16.5 CM</t>
  </si>
  <si>
    <t>11-511-18-07</t>
  </si>
  <si>
    <t xml:space="preserve">NASAL SCISSORS, HEYMANN, 18 CM          </t>
  </si>
  <si>
    <t>37-606-04-07</t>
  </si>
  <si>
    <t>Osteotome, Cottle, gradu., 4 mm, 18,5 cm</t>
  </si>
  <si>
    <t>37-606-07-07</t>
  </si>
  <si>
    <t>Osteotome, Cottle, gradu., 7 mm, 18.5 cm</t>
  </si>
  <si>
    <t>37-605-16-07</t>
  </si>
  <si>
    <t xml:space="preserve">GOUGE, KILLIAN-CLAUS, 5 MM, 16 CM       </t>
  </si>
  <si>
    <t>23-215-19-07</t>
  </si>
  <si>
    <t xml:space="preserve">MALLET, COTTLE, 300 GR., 19 CM          </t>
  </si>
  <si>
    <t>37-713-15-07</t>
  </si>
  <si>
    <t xml:space="preserve">ALAR RETRACTOR, COTTLE, 14 CM           </t>
  </si>
  <si>
    <t>37-732-10-07</t>
  </si>
  <si>
    <t xml:space="preserve">COLUMELL FORCEPS, COTTLE, 12 MM, 11 CM  </t>
  </si>
  <si>
    <t>37-840-20-01</t>
  </si>
  <si>
    <t>SUCTION RASPATORY, GUILEN, BAYON., 19 CM</t>
  </si>
  <si>
    <t>37-583-21-07</t>
  </si>
  <si>
    <t xml:space="preserve">ELEVATOR, MASING, 2 MM, 19.5 CM         </t>
  </si>
  <si>
    <t>37-579-22-07</t>
  </si>
  <si>
    <t>ELEVATOR, BAYONET-SHAPED, 4 MM, 21.5 CM</t>
  </si>
  <si>
    <t>37-547-20-07</t>
  </si>
  <si>
    <t xml:space="preserve">SEPTUM ELEVATOR, FREER, DOUBLE, 21 CM   </t>
  </si>
  <si>
    <t>12-502-10-07</t>
  </si>
  <si>
    <t xml:space="preserve">DRESSING FORCEPS, FINE, STR., 10 CM     </t>
  </si>
  <si>
    <t>12-512-10-07</t>
  </si>
  <si>
    <t xml:space="preserve">TISSUE FORCEPS, 1X2 T., STR., 10 CM     </t>
  </si>
  <si>
    <t>12-400-12-07</t>
  </si>
  <si>
    <t xml:space="preserve">FORCEPS, ADSON BROWN, 7X7 T., 12 CM     </t>
  </si>
  <si>
    <t>37-255-01-07</t>
  </si>
  <si>
    <t>NASAL CUTT. FCPS., WEIL-BLAKES., 3.0 MM</t>
  </si>
  <si>
    <t>37-255-03-07</t>
  </si>
  <si>
    <t>NASAL CUTT. FCPS., WEIL-BLAKES., 4.5 MM</t>
  </si>
  <si>
    <t>37-129-20-07</t>
  </si>
  <si>
    <t>NASAL TAMPON FCPS., LUBET-BARBON, 18.5CM</t>
  </si>
  <si>
    <t>12-466-23-07</t>
  </si>
  <si>
    <t xml:space="preserve">Forceps, Nelson, 8x7 t., 23 cm          </t>
  </si>
  <si>
    <t>18-523-09-01</t>
  </si>
  <si>
    <t>Suction tube, Frazier, ø 3.0 mm, 19.5 cm</t>
  </si>
  <si>
    <t>80-987-20-04</t>
  </si>
  <si>
    <t xml:space="preserve">NST-RED-FCPS., ANG., BL. 1,0 MM, 20 CM  </t>
  </si>
  <si>
    <t>23-313-02-07</t>
  </si>
  <si>
    <t>BONE CURETTE, SPRATT, OVAL, NO. 2, 17 CM</t>
  </si>
  <si>
    <t>23-828-18-07</t>
  </si>
  <si>
    <t xml:space="preserve">Bone Rongeur, Jansen, S-Shape, 18.5 cm  </t>
  </si>
  <si>
    <t>37-595-15-07</t>
  </si>
  <si>
    <t xml:space="preserve">SEPTUM-GOUGE, FREER, 6 MM, 16 CM        </t>
  </si>
  <si>
    <t>37-742-21-07</t>
  </si>
  <si>
    <t xml:space="preserve">CURETTE, DOUBLE, FAULKNER, 21 CM        </t>
  </si>
  <si>
    <t>38-691-01-07</t>
  </si>
  <si>
    <t xml:space="preserve">ORBITAL RETRACTOR, ROWE, RIGHT, 19 CM   </t>
  </si>
  <si>
    <t>15-100-01-07</t>
  </si>
  <si>
    <t>RETRACTOR, DELIC., SHARP, 1-PR., 16.5 CM</t>
  </si>
  <si>
    <t>15-100-02-07</t>
  </si>
  <si>
    <t>RETRACTOR, DELIC., SHARP, 2-PR., 16.5 CM</t>
  </si>
  <si>
    <t>15-293-02-07</t>
  </si>
  <si>
    <t xml:space="preserve">RETRACTOR, LANGENBECK, 30X14 MM, 22 CM  </t>
  </si>
  <si>
    <t>09-010-58-07</t>
  </si>
  <si>
    <t>Punch,bone,Hajek-Kof.,turnab.,3.5mm,16cm</t>
  </si>
  <si>
    <t>37-342-12-07</t>
  </si>
  <si>
    <t xml:space="preserve">SPHENOIDAL PUNCH, UPW., 3.5X3.5 MM      </t>
  </si>
  <si>
    <t>36-461-17-07</t>
  </si>
  <si>
    <t xml:space="preserve">BONE PUNCH, CITELLI, 3 MM               </t>
  </si>
  <si>
    <t>15-220-03-07</t>
  </si>
  <si>
    <t>RETRACTOR, VOLKMANN, SH., 3-PR., 22.5 CM</t>
  </si>
  <si>
    <t>15-220-01-07</t>
  </si>
  <si>
    <t>RETRACTOR, VOLKMANN, SH., 1-PR., 22.5 CM</t>
  </si>
  <si>
    <t>37-724-01-07</t>
  </si>
  <si>
    <t>SEPTUM STRAIGHTENING FCPS., STR., 23 CM</t>
  </si>
  <si>
    <t>37-724-03-07</t>
  </si>
  <si>
    <t xml:space="preserve">SEPTUM STRAIGHTENING FCPS., R., 23 CM   </t>
  </si>
  <si>
    <t>37-724-02-07</t>
  </si>
  <si>
    <t xml:space="preserve">SEPTUM STRAIGHTENING FCPS., L., 23 CM   </t>
  </si>
  <si>
    <t>56-254-01-01</t>
  </si>
  <si>
    <t xml:space="preserve">MEASURING CUP, GRADUATED, 100 CCM       </t>
  </si>
  <si>
    <t>13-375-13-07</t>
  </si>
  <si>
    <t xml:space="preserve">FORCEPS, PEAN, DELICATE, CVD., 13 CM    </t>
  </si>
  <si>
    <t>13-374-13-07</t>
  </si>
  <si>
    <t xml:space="preserve">FORCEPS, PEAN, DELICATE, STR., 13,5 CM  </t>
  </si>
  <si>
    <t>12-369-12-07</t>
  </si>
  <si>
    <t xml:space="preserve">Forceps, tissue, Adson, 2x3 t., 12 cm   </t>
  </si>
  <si>
    <t>12-172-12-07</t>
  </si>
  <si>
    <t xml:space="preserve">DRESSING FORCEPS, SEMKEN, 12.5 CM       </t>
  </si>
  <si>
    <t>24-386-16-07</t>
  </si>
  <si>
    <t xml:space="preserve">ATR. FORCEPS, DE BAKEY, 1.5 MM, 16 CM   </t>
  </si>
  <si>
    <t>11-259-14-07</t>
  </si>
  <si>
    <t>DISSECT. SCISSORS, SH/SH, CVD., 14.5 CM</t>
  </si>
  <si>
    <t>11-104-16-07</t>
  </si>
  <si>
    <t>OPERATING SCISSORS, SH/SH, STR., 16.5 CM</t>
  </si>
  <si>
    <t>15-293-03-07</t>
  </si>
  <si>
    <t xml:space="preserve">RETRACTOR, LANGENBECK, 30X15 MM, 22 CM  </t>
  </si>
  <si>
    <t>15-665-00-07</t>
  </si>
  <si>
    <t>RETRACTOR, DBL., FARABEUF, SET, 15.5 CM</t>
  </si>
  <si>
    <t>27-155-17-07</t>
  </si>
  <si>
    <t>TRACHEA RETRACTOR, JACKSON, DBL., 18 CM</t>
  </si>
  <si>
    <t>30-134-15-07</t>
  </si>
  <si>
    <t xml:space="preserve">TISSUE FORCEPS, ALLIS, 5X6 T., 15.5 CM  </t>
  </si>
  <si>
    <t>27-113-14-07</t>
  </si>
  <si>
    <t xml:space="preserve">TRACHEAL DILATOR, LABORDE, 14 CM        </t>
  </si>
  <si>
    <t>18-523-11-01</t>
  </si>
  <si>
    <t>Suction tube, Frazier, ø 3.6 mm, 19.5 cm</t>
  </si>
  <si>
    <t>55-804-26-01</t>
  </si>
  <si>
    <t xml:space="preserve">marTray, 1/2, 240x251x64 mm             </t>
  </si>
  <si>
    <t>55-440-13-04</t>
  </si>
  <si>
    <t xml:space="preserve">CONTAINER MS, 30X30X14 CM, HANDLE GREY  </t>
  </si>
  <si>
    <t>13-935-20-07</t>
  </si>
  <si>
    <t xml:space="preserve">TOWEL FORCEPS, LANE, STR., 19.5 CM      </t>
  </si>
  <si>
    <t>10-130-05-07</t>
  </si>
  <si>
    <t xml:space="preserve">SCALPEL HANDLE, NO. 3, CM-SCALE, 12 CM  </t>
  </si>
  <si>
    <t>13-577-19-07</t>
  </si>
  <si>
    <t>DISS. FORCEPS, KELLY, SLIGHT CVD., 19 CM</t>
  </si>
  <si>
    <t>16-108-16-01</t>
  </si>
  <si>
    <t xml:space="preserve">PROBE WITH EYE, Ø 2.0 MM, 16 CM         </t>
  </si>
  <si>
    <t>16-103-20-01</t>
  </si>
  <si>
    <t xml:space="preserve">PROBE, BUTTON END, Ø 1.5/1.5 MM, 20 CM  </t>
  </si>
  <si>
    <t>30-615-15-01</t>
  </si>
  <si>
    <t>CURVAL SPECULUM, SIMS, FENSTR., 70X15 MM</t>
  </si>
  <si>
    <t>30-610-21-07</t>
  </si>
  <si>
    <t xml:space="preserve">CURVAL SPECULUM, CZERNY, 105X23-28 MM   </t>
  </si>
  <si>
    <t>56-231-11-01</t>
  </si>
  <si>
    <t xml:space="preserve">BOWL, METAL, H = 50, Ø 116 MM, 0.25 L   </t>
  </si>
  <si>
    <t>30-192-16-07</t>
  </si>
  <si>
    <t xml:space="preserve">TISSUE FORCEPS, BABCOCK, 15,5 CM        </t>
  </si>
  <si>
    <t>13-328-15-07</t>
  </si>
  <si>
    <t>FORCEPS, LERICHE, 1X2 T., STR., 15.5 CM</t>
  </si>
  <si>
    <t>13-531-22-07</t>
  </si>
  <si>
    <t xml:space="preserve">KIDNEY PEDICLE FORCEPS, GUYON, 21.5 CM  </t>
  </si>
  <si>
    <t>12-301-16-07</t>
  </si>
  <si>
    <t xml:space="preserve">TISSUE FORCEPS, 1X2 T., 16 CM           </t>
  </si>
  <si>
    <t>55-804-25-01</t>
  </si>
  <si>
    <t xml:space="preserve">marTray, 1/2, 240x251x44 mm             </t>
  </si>
  <si>
    <t>55-805-28-01</t>
  </si>
  <si>
    <t xml:space="preserve">Lid f. tray 1/2, 243X255 mm             </t>
  </si>
  <si>
    <t>55-807-24-04</t>
  </si>
  <si>
    <t xml:space="preserve">SILICONE MAT F. 1/2 TRAY, 234x244 MM    </t>
  </si>
  <si>
    <t>38-171-12-07</t>
  </si>
  <si>
    <t xml:space="preserve">MOUTH GAG, DENHART, 13 CM               </t>
  </si>
  <si>
    <t>38-297-02-01</t>
  </si>
  <si>
    <t xml:space="preserve">TONGUE DEPRESSOR, WIEDER, 43 MM, 15 CM  </t>
  </si>
  <si>
    <t>38-297-01-01</t>
  </si>
  <si>
    <t xml:space="preserve">TONGUE DEPRESSOR, WIEDER, 36 MM, 14 CM  </t>
  </si>
  <si>
    <t>38-130-58-07</t>
  </si>
  <si>
    <t xml:space="preserve">MOUTH PROP, MCKESSON, S, F. INFANTS     </t>
  </si>
  <si>
    <t>38-130-56-07</t>
  </si>
  <si>
    <t xml:space="preserve">MOUTH PROP, MCKESSON, S, F. CHILDES     </t>
  </si>
  <si>
    <t>38-130-54-07</t>
  </si>
  <si>
    <t xml:space="preserve">MOUTH PROP, MCKESSON, L, F. ADULTS      </t>
  </si>
  <si>
    <t>38-130-52-07</t>
  </si>
  <si>
    <t xml:space="preserve">MOUTH PROP, MCKESSON, XL, F. ADULTS     </t>
  </si>
  <si>
    <t>11-566-13-07</t>
  </si>
  <si>
    <t>SCISSORS, GOLDM.-FOX, STR., SERR., 13 CM</t>
  </si>
  <si>
    <t>48-121-08-07</t>
  </si>
  <si>
    <t xml:space="preserve">CHANNEL RETR., OBWEGESER, 9 MM, 16.5 CM </t>
  </si>
  <si>
    <t>48-121-10-07</t>
  </si>
  <si>
    <t>CHANNEL RETR., OBWEGESER, 10 MM, 16.5 CM</t>
  </si>
  <si>
    <t>38-607-22-07</t>
  </si>
  <si>
    <t xml:space="preserve">RAMUS RETRACTOR, OBWEGESER, 22 CM       </t>
  </si>
  <si>
    <t>38-711-01-01</t>
  </si>
  <si>
    <t xml:space="preserve">MAXILLARY MOBILIZER, TESSIER, LEFT      </t>
  </si>
  <si>
    <t>38-711-02-01</t>
  </si>
  <si>
    <t xml:space="preserve">MAXILLARY MOBILIZER, TESSIER, RIGHT     </t>
  </si>
  <si>
    <t>48-130-09-07</t>
  </si>
  <si>
    <t xml:space="preserve">RASPATORY, OBWEGESER, 9 MM, 18 CM       </t>
  </si>
  <si>
    <t>48-150-01-07</t>
  </si>
  <si>
    <t xml:space="preserve">RAMUS STRIPPER, OBWEG., 7.5 MM, 17.5 CM </t>
  </si>
  <si>
    <t>23-434-13-07</t>
  </si>
  <si>
    <t xml:space="preserve">Raspatory, str., round, 6 mm, 12.5 cm   </t>
  </si>
  <si>
    <t>35-133-07-07</t>
  </si>
  <si>
    <t xml:space="preserve">CALIPER, CASTROV., STR., 0-20 MM, 8 CM  </t>
  </si>
  <si>
    <t>23-139-04-07</t>
  </si>
  <si>
    <t xml:space="preserve">Osteotome, Lambotte, cvd., 4 mm, 24 cm  </t>
  </si>
  <si>
    <t>23-139-06-07</t>
  </si>
  <si>
    <t xml:space="preserve">Osteotome, Lambotte, cvd., 6 mm, 24 cm  </t>
  </si>
  <si>
    <t>23-139-10-07</t>
  </si>
  <si>
    <t>Osteotome, Lambotte, cvd., 10 mm, 24 cm</t>
  </si>
  <si>
    <t>23-138-04-07</t>
  </si>
  <si>
    <t xml:space="preserve">Osteotome, Lambotte, 4 mm, 24 cm        </t>
  </si>
  <si>
    <t>23-138-06-07</t>
  </si>
  <si>
    <t xml:space="preserve">Osteotome, Lambotte, 6 mm, 24 cm        </t>
  </si>
  <si>
    <t>23-138-10-07</t>
  </si>
  <si>
    <t xml:space="preserve">Osteotome, Lambotte, 10 mm, 24 cm       </t>
  </si>
  <si>
    <t>23-131-05-04</t>
  </si>
  <si>
    <t xml:space="preserve">Spongiosa gouge, str., si., 5mm, 24.5cm </t>
  </si>
  <si>
    <t>48-166-08-07</t>
  </si>
  <si>
    <t xml:space="preserve">OSTEOTOME, OBWEGESER, CVD., 8 MM, 23 CM </t>
  </si>
  <si>
    <t>38-700-02-07</t>
  </si>
  <si>
    <t xml:space="preserve">REPOSITION FORCEPS, ROWE, L., 24 CM     </t>
  </si>
  <si>
    <t>38-701-02-07</t>
  </si>
  <si>
    <t xml:space="preserve">REPOSITION FORCEPS, ROWE, R., 24 CM     </t>
  </si>
  <si>
    <t>38-700-03-07</t>
  </si>
  <si>
    <t xml:space="preserve">REPOSITION FORCEPS, ROWE, L., 24.5 CM   </t>
  </si>
  <si>
    <t>38-701-03-07</t>
  </si>
  <si>
    <t xml:space="preserve">REPOSITION FORCEPS, ROWE, R., 24.5 CM   </t>
  </si>
  <si>
    <t>38-700-01-07</t>
  </si>
  <si>
    <t xml:space="preserve">REPOSITION FORCEPS, ROWE, L., 21.5 CM   </t>
  </si>
  <si>
    <t>38-701-01-07</t>
  </si>
  <si>
    <t xml:space="preserve">REPOSITION FORCEPS, ROWE, R., 21.5 CM   </t>
  </si>
  <si>
    <t>48-117-01-07</t>
  </si>
  <si>
    <t xml:space="preserve">RAMUS FCPS., OBWEG., LARGE, R., 17 CM   </t>
  </si>
  <si>
    <t>48-117-02-07</t>
  </si>
  <si>
    <t xml:space="preserve">RAMUS FCPS., OBWEG., LARGE, L., 17 CM   </t>
  </si>
  <si>
    <t>37-725-23-07</t>
  </si>
  <si>
    <t>SEPTUM STRAIGHT. FORCEPS, ASCH, 22.5 CM</t>
  </si>
  <si>
    <t>38-846-20-07</t>
  </si>
  <si>
    <t xml:space="preserve">RAMUS SEPARATOR, SMITH, 23.5 CM         </t>
  </si>
  <si>
    <t>48-196-14-07</t>
  </si>
  <si>
    <t>TC-WIRE TWISTING FCPS., OBWEGESER, 14 CM</t>
  </si>
  <si>
    <t>22-523-22-07</t>
  </si>
  <si>
    <t xml:space="preserve">TC-SIDE NIPPER, W. TRANSM., 23 CM       </t>
  </si>
  <si>
    <t>38-739-14-07</t>
  </si>
  <si>
    <t>TMJ-CONDYLE RTERACTOR, DOLWICK, 14.5 CM</t>
  </si>
  <si>
    <t>38-501-24-01</t>
  </si>
  <si>
    <t xml:space="preserve">EXTRAORAL RETRACTOR, 9.5X16 MM, 22 CM   </t>
  </si>
  <si>
    <t>38-750-16-07</t>
  </si>
  <si>
    <t>TMJ-SPREADER, CHAMPY-TYPE, 16 CM</t>
  </si>
  <si>
    <t>50-325-11-07</t>
  </si>
  <si>
    <t xml:space="preserve">ECKELT TMJ CLAMP LEFT                   </t>
  </si>
  <si>
    <t>50-325-12-07</t>
  </si>
  <si>
    <t xml:space="preserve">ECKELT TMJ CLAMP RIGHT                  </t>
  </si>
  <si>
    <t>37-684-15-07</t>
  </si>
  <si>
    <t xml:space="preserve">MUCOUS HOOKLET, JOSEPH, SHARP, 15.5 CM  </t>
  </si>
  <si>
    <t>23-362-11-07</t>
  </si>
  <si>
    <t xml:space="preserve">LUCAS-MARTIN BONE CURETTE, FIG. 1/1     </t>
  </si>
  <si>
    <t>23-352-17-07</t>
  </si>
  <si>
    <t xml:space="preserve">BONE CURETTE, VOLKMANN, OV./OV., 17 CM  </t>
  </si>
  <si>
    <t>48-175-15-07</t>
  </si>
  <si>
    <t xml:space="preserve">MANDIBULA-AWL, OBWEGESER, 15 CM         </t>
  </si>
  <si>
    <t>48-175-17-07</t>
  </si>
  <si>
    <t xml:space="preserve">MANDIBULA-AWL, OBWEGESER, 17.5 CM       </t>
  </si>
  <si>
    <t>48-177-24-07</t>
  </si>
  <si>
    <t xml:space="preserve">ZYGOMATIC AWL, OBWEGESER, 24 CM         </t>
  </si>
  <si>
    <t>15-240-01-07</t>
  </si>
  <si>
    <t>RETRACTOR, KOCHER, SHARP, 1-PR., 22.5 CM</t>
  </si>
  <si>
    <t>38-715-19-07</t>
  </si>
  <si>
    <t xml:space="preserve">HOOK, DINGMANN-WILK, SHARP, 20 CM       </t>
  </si>
  <si>
    <t>22-500-15-07</t>
  </si>
  <si>
    <t>TC-WIRE TWISTING FORCEPS, FINE, 15.5 CM</t>
  </si>
  <si>
    <t>22-523-24-07</t>
  </si>
  <si>
    <t xml:space="preserve">TC-SIDE NIPPER, PEAR-LOCK, 23CM         </t>
  </si>
  <si>
    <t>11-878-12-07</t>
  </si>
  <si>
    <t>WIRE SCISSORS, SH/SH, STR., SERR., 12 CM</t>
  </si>
  <si>
    <t>23-433-18-04</t>
  </si>
  <si>
    <t xml:space="preserve">Raspatory, cvd., str., si., 20 CM       </t>
  </si>
  <si>
    <t>23-946-15-07</t>
  </si>
  <si>
    <t>BONE CUTT. FORCEPS, BOEHLER, CVD.,14,5CM</t>
  </si>
  <si>
    <t>23-188-00-07</t>
  </si>
  <si>
    <t xml:space="preserve">BONE BIOPSY-INSTRUMENT, CHAMPY-O.S.U.   </t>
  </si>
  <si>
    <t>15-669-13-01</t>
  </si>
  <si>
    <t xml:space="preserve">RETRACTOR, DOUBLE, BABY-ROUX, 12.5 CM   </t>
  </si>
  <si>
    <t>15-091-16-07</t>
  </si>
  <si>
    <t xml:space="preserve">HOOKLET, DESMARRES, 16 MM, 16 CM        </t>
  </si>
  <si>
    <t>12-564-15-07</t>
  </si>
  <si>
    <t xml:space="preserve">MICRO FORCEPS, STR., 6.0X0.4 MM, 15 CM  </t>
  </si>
  <si>
    <t>12-565-15-07</t>
  </si>
  <si>
    <t xml:space="preserve">MICRO FORCEPS, CVD., 6.0X0.4 MM, 15 CM  </t>
  </si>
  <si>
    <t>12-591-02-07</t>
  </si>
  <si>
    <t xml:space="preserve">MICRO FORCEPS, 45°, 6X0.3 MM, 15 CM     </t>
  </si>
  <si>
    <t>12-561-02-07</t>
  </si>
  <si>
    <t>DILATING-FORCEPS, 10°, 5X0.2 MM, 13.5 CM</t>
  </si>
  <si>
    <t>12-561-03-07</t>
  </si>
  <si>
    <t>DILATING-FORCEPS, 10°, 5X0.3 MM, 13.5 CM</t>
  </si>
  <si>
    <t>11-711-19-07</t>
  </si>
  <si>
    <t xml:space="preserve">MICRO SCISS., BL/BL, CVD., 18 CM        </t>
  </si>
  <si>
    <t>11-710-15-07</t>
  </si>
  <si>
    <t xml:space="preserve">MICRO SCISS., SH/SH, STR., 15 CM        </t>
  </si>
  <si>
    <t>11-711-15-07</t>
  </si>
  <si>
    <t xml:space="preserve">MICRO SCISS., SH/SH, CVD., 15 CM        </t>
  </si>
  <si>
    <t>20-003-15-07</t>
  </si>
  <si>
    <t>MICRO NEEDLEHOLDER, CVD., W. LOCK, 15 CM</t>
  </si>
  <si>
    <t>20-002-15-07</t>
  </si>
  <si>
    <t>MICRO NEEDLEHOLDER, STR., W. LOCK, 15 CM</t>
  </si>
  <si>
    <t>55-302-75-01</t>
  </si>
  <si>
    <t xml:space="preserve">NEEDLE CASE, PERFORATED, 75X25X4.5 MM   </t>
  </si>
  <si>
    <t>55-861-70-04</t>
  </si>
  <si>
    <t>MICROSTOP MINISET CONTAINER 310X189X90MM</t>
  </si>
  <si>
    <t>12-250-12-07</t>
  </si>
  <si>
    <t xml:space="preserve">TC-DRESSING FORCEPS, ADSON, 12 CM       </t>
  </si>
  <si>
    <t>36-395-16-07</t>
  </si>
  <si>
    <t xml:space="preserve">EAR DRESS. FCPS., JANSEN, BAYO., 16 CM  </t>
  </si>
  <si>
    <t>11-631-11-07</t>
  </si>
  <si>
    <t xml:space="preserve">IRIS SCISSORS, SH/SH, CVD., 11.5 CM     </t>
  </si>
  <si>
    <t>11-641-12-07</t>
  </si>
  <si>
    <t xml:space="preserve">IRIS SCISSORS, SH/SH, CVD., 12.5 CM     </t>
  </si>
  <si>
    <t>11-170-14-07</t>
  </si>
  <si>
    <t xml:space="preserve">SCISSORS, MAYO, STR., 14.5 CM           </t>
  </si>
  <si>
    <t>11-510-20-07</t>
  </si>
  <si>
    <t xml:space="preserve">Scissor, Nose, Heymann, angl., 20 cm    </t>
  </si>
  <si>
    <t>11-513-13-07</t>
  </si>
  <si>
    <t>TC-Scissor, Nose, Giunta, cvd., 13,5 cm</t>
  </si>
  <si>
    <t>37-697-19-07</t>
  </si>
  <si>
    <t>NASAL RETRACT., AUFRICHT, 45X11 MM, 19CM</t>
  </si>
  <si>
    <t>37-698-10-07</t>
  </si>
  <si>
    <t xml:space="preserve">ALAR RETRACTOR, KILNER, SHARP, 8 CM     </t>
  </si>
  <si>
    <t>37-632-20-07</t>
  </si>
  <si>
    <t xml:space="preserve">NASAL SAW, JOSEPH, ANGLED LEFT, 17 CM   </t>
  </si>
  <si>
    <t>37-656-01-07</t>
  </si>
  <si>
    <t xml:space="preserve">Rasp, Maltz, draw, 34x7 mm, 17 cm       </t>
  </si>
  <si>
    <t>37-671-21-07</t>
  </si>
  <si>
    <t xml:space="preserve">GLABELLUM RASP, AUFRICHT, PUSH, 21 CM   </t>
  </si>
  <si>
    <t>23-132-04-04</t>
  </si>
  <si>
    <t xml:space="preserve">Osteotome, Mini-Lexer, si., 4 mm, 18 cm </t>
  </si>
  <si>
    <t>23-132-06-04</t>
  </si>
  <si>
    <t xml:space="preserve">Osteotome, Mini-Lexer, si., 6 mm, 18 cm </t>
  </si>
  <si>
    <t>37-620-03-07</t>
  </si>
  <si>
    <t xml:space="preserve">CHISEL, WALTER, 3 MM, 19 CM             </t>
  </si>
  <si>
    <t>37-620-04-07</t>
  </si>
  <si>
    <t xml:space="preserve">CHISEL, WALTER, 4.5 MM, 19 CM           </t>
  </si>
  <si>
    <t>37-608-02-07</t>
  </si>
  <si>
    <t>Osteotome, Cottle, cross-gr., 2mm,18.5cm</t>
  </si>
  <si>
    <t>37-593-16-07</t>
  </si>
  <si>
    <t>SEPTUM CHISEL, FREER, CVD.,4 MM, 16,5 CM</t>
  </si>
  <si>
    <t>23-436-16-07</t>
  </si>
  <si>
    <t xml:space="preserve">RASPATORY, WILLIGER, CVD., 5 MM, 16 CM  </t>
  </si>
  <si>
    <t>37-531-16-07</t>
  </si>
  <si>
    <t xml:space="preserve">SEPTUM ELEVATOR, JOSEPH, 4 MM, 16.5 CM  </t>
  </si>
  <si>
    <t>37-560-18-07</t>
  </si>
  <si>
    <t xml:space="preserve">SEPTUM ELEVATOR, KILLIAN, 4 MM, 18 CM   </t>
  </si>
  <si>
    <t>37-652-00-07</t>
  </si>
  <si>
    <t xml:space="preserve">CARTILAGE CRUSHER, COTTLE, W. CLIP      </t>
  </si>
  <si>
    <t>37-652-02-04</t>
  </si>
  <si>
    <t xml:space="preserve">Cutting block, Teflon, 5,5x8,7x1,2 cm   </t>
  </si>
  <si>
    <t>56-231-06-01</t>
  </si>
  <si>
    <t xml:space="preserve">BOWL, METAL, H = 30, Ø 61 MM, 0.07 L    </t>
  </si>
  <si>
    <t>23-879-18-07</t>
  </si>
  <si>
    <t xml:space="preserve">BONE RONGEUR, BEYER, CVD., 18 CM        </t>
  </si>
  <si>
    <t>37-680-21-07</t>
  </si>
  <si>
    <t>NASAL RASP, FOMON, DOUBLE-ENDED, 20.5 CM</t>
  </si>
  <si>
    <t>37-625-01-07</t>
  </si>
  <si>
    <t xml:space="preserve">OSTEOTOME, NEIVERT-ANDERSON, 7 MM, R.   </t>
  </si>
  <si>
    <t>37-625-02-07</t>
  </si>
  <si>
    <t xml:space="preserve">OSTEOTOME, NEIVERT-ANDERSON, 7 MM, L.   </t>
  </si>
  <si>
    <t>28-207-18-07</t>
  </si>
  <si>
    <t xml:space="preserve">SKIN HOOKLET, GILLIES, NO. 1, 18 CM     </t>
  </si>
  <si>
    <t>37-704-02-07</t>
  </si>
  <si>
    <t>SKIN HOOKLET, JOSEPH, 2-PR., 2 MM, 16 CM</t>
  </si>
  <si>
    <t>37-584-21-07</t>
  </si>
  <si>
    <t xml:space="preserve">ELEVATOR, COTTLE, 4.5 MM, 22 CM         </t>
  </si>
  <si>
    <t>23-419-15-07</t>
  </si>
  <si>
    <t xml:space="preserve">RASPATORY, FARABEUF, CVD., 15.5 CM      </t>
  </si>
  <si>
    <t>15-166-16-07</t>
  </si>
  <si>
    <t xml:space="preserve">HOOKLET, SENN-MUELLER, SHARP, 16 CM     </t>
  </si>
  <si>
    <t>24-691-24-07</t>
  </si>
  <si>
    <t>Dissector, Davis, double-ended, 24.5 cm</t>
  </si>
  <si>
    <t>48-156-06-07</t>
  </si>
  <si>
    <t>SEPTUM OSTEOTOME, OBWEGESER, 6 MM, 19 CM</t>
  </si>
  <si>
    <t>37-627-06-07</t>
  </si>
  <si>
    <t>Osteotome, Fanous, str., ri., 4mm,19,5cm</t>
  </si>
  <si>
    <t>37-627-07-07</t>
  </si>
  <si>
    <t>Osteotome, Fanous, str., le., 4mm,19,5cm</t>
  </si>
  <si>
    <t>37-682-03-07</t>
  </si>
  <si>
    <t xml:space="preserve">TC-NASAL RASP, FOMON, NO. 5/6, 20.5 CM  </t>
  </si>
  <si>
    <t>37-682-05-07</t>
  </si>
  <si>
    <t>TC-NASAL RASP, FOMON, NO. 9/10, 20.5 CM</t>
  </si>
  <si>
    <t>37-581-22-07</t>
  </si>
  <si>
    <t xml:space="preserve">SEPTUM ELEVATOR, COTTLE, 3.7 MM, 23 CM  </t>
  </si>
  <si>
    <t>12-188-17-07</t>
  </si>
  <si>
    <t>DRESSING FORCEPS, CUSHING, STR., 17.5 CM</t>
  </si>
  <si>
    <t>11-497-17-07</t>
  </si>
  <si>
    <t>SCISSORS, DEAN, SERR., ANG. UP., 17.5 CM</t>
  </si>
  <si>
    <t>37-694-17-07</t>
  </si>
  <si>
    <t xml:space="preserve">ALAR RETRACTOR, FOMON, BLUNT, 17 CM     </t>
  </si>
  <si>
    <t>23-452-09-07</t>
  </si>
  <si>
    <t xml:space="preserve">MOLT-PERIOSTEAL ELEVATOR, FIG.9         </t>
  </si>
  <si>
    <t>37-568-21-07</t>
  </si>
  <si>
    <t xml:space="preserve">SEPTUM ELEVATOR, PENNINGTON, 21.5 CM    </t>
  </si>
  <si>
    <t>39-003-18-07</t>
  </si>
  <si>
    <t xml:space="preserve">CLEFT PALATE RETRACTOR, LONG, 18 CM     </t>
  </si>
  <si>
    <t>39-001-18-07</t>
  </si>
  <si>
    <t xml:space="preserve">CLEFT PALATE RETRACTOR, SHORT, 18 CM    </t>
  </si>
  <si>
    <t>39-011-18-07</t>
  </si>
  <si>
    <t xml:space="preserve">DISSECTOR, SALYER, ANG., SHORT, 18 CM   </t>
  </si>
  <si>
    <t>39-013-18-07</t>
  </si>
  <si>
    <t xml:space="preserve">DISSECTOR, SALYER, ANG., LONG, 18 CM    </t>
  </si>
  <si>
    <t>39-021-18-07</t>
  </si>
  <si>
    <t xml:space="preserve">ELEVATOR, SALYER, SLIGHT CVD., 18 CM    </t>
  </si>
  <si>
    <t>12-279-18-07</t>
  </si>
  <si>
    <t>TC-FORCEPS, JABOMA, ANG., 1X2 T., 18 CM</t>
  </si>
  <si>
    <t>12-240-16-07</t>
  </si>
  <si>
    <t xml:space="preserve">TC-FORCEPS, SEMKEN, 1X2 T., 15.5 CM     </t>
  </si>
  <si>
    <t>12-240-18-07</t>
  </si>
  <si>
    <t xml:space="preserve">TC-FORCEPS, SEMKEN, 1X2 T., 17.5 CM     </t>
  </si>
  <si>
    <t>23-449-00-07</t>
  </si>
  <si>
    <t xml:space="preserve">PERIOST.ELEV. WOODSON, 17,5 CM          </t>
  </si>
  <si>
    <t>39-100-17-07</t>
  </si>
  <si>
    <t xml:space="preserve">CLEFT PALATE RASPATORY, JABOMA, 17 CM   </t>
  </si>
  <si>
    <t>38-224-00-07</t>
  </si>
  <si>
    <t xml:space="preserve">MOUTH GAG, DINGMANN, COMPLETE           </t>
  </si>
  <si>
    <t>39-027-18-07</t>
  </si>
  <si>
    <t>ELEVATOR, SALYER, ANGLED, GRADU., 18 CM</t>
  </si>
  <si>
    <t>37-557-22-07</t>
  </si>
  <si>
    <t xml:space="preserve">Elevator, Howarth, 21.5 cm              </t>
  </si>
  <si>
    <t>38-243-11-01</t>
  </si>
  <si>
    <t>CHEEK RETRACTOR, MARTIN-SIMPLEX, 10.5 CM</t>
  </si>
  <si>
    <t>23-199-12-04</t>
  </si>
  <si>
    <t xml:space="preserve">Tamper, Caspar, si., Ø 12 mm, 20 cm     </t>
  </si>
  <si>
    <t>23-190-05-07</t>
  </si>
  <si>
    <t>SPONGIOSA-GRAFT REMOVER, 16 MM, 22.5 CM</t>
  </si>
  <si>
    <t>14-352-25-07</t>
  </si>
  <si>
    <t xml:space="preserve">FORCEPS, FOERSTER, SERR., STR., 25 CM   </t>
  </si>
  <si>
    <t>13-375-16-07</t>
  </si>
  <si>
    <t xml:space="preserve">FORCEPS, PEAN, DELICATE, CVD., 16.5 CM  </t>
  </si>
  <si>
    <t>13-303-02-07</t>
  </si>
  <si>
    <t xml:space="preserve">FORCEPS, MIXTER-BABY, STR. CVD., 13 CM  </t>
  </si>
  <si>
    <t>23-312-30-07</t>
  </si>
  <si>
    <t>BONE CUR., SPRATT, OVAL, NO. 000, 17 CM</t>
  </si>
  <si>
    <t>23-312-20-07</t>
  </si>
  <si>
    <t xml:space="preserve">BONE CUR., SPRATT, OVAL, NO. 00, 17 CM  </t>
  </si>
  <si>
    <t>23-312-10-07</t>
  </si>
  <si>
    <t>BONE CURETTE, SPRATT, OVAL, NO. 0, 17 CM</t>
  </si>
  <si>
    <t>23-313-01-07</t>
  </si>
  <si>
    <t>BONE CURETTE, SPRATT, OVAL, NO. 1, 17 CM</t>
  </si>
  <si>
    <t>23-944-15-07</t>
  </si>
  <si>
    <t>BONE CUTT. FORCEPS, BOEHLER, STR.,14,5CM</t>
  </si>
  <si>
    <t>38-014-00-07</t>
  </si>
  <si>
    <t xml:space="preserve">ELEVATOR, TERRY, 3.0/7.0 MM, 18 CM      </t>
  </si>
  <si>
    <t>23-402-19-07</t>
  </si>
  <si>
    <t xml:space="preserve">RASPATORY, LANGENBECK, CVD., 19 CM      </t>
  </si>
  <si>
    <t>12-168-12-07</t>
  </si>
  <si>
    <t xml:space="preserve">DRESSING FORCEPS, ADSON, 12 CM          </t>
  </si>
  <si>
    <t>12-321-16-07</t>
  </si>
  <si>
    <t xml:space="preserve">TISSUE FORCEPS, 1X2 T., SLIM, 16 CM     </t>
  </si>
  <si>
    <t>23-729-16-07</t>
  </si>
  <si>
    <t>REPOS. FORCEPS, W. THREAD LOCK, 17.5 CM</t>
  </si>
  <si>
    <t>37-704-05-07</t>
  </si>
  <si>
    <t>SKIN HOOKLET, JOSEPH, 2-PR., 5 MM, 16 CM</t>
  </si>
  <si>
    <t>23-198-05-07</t>
  </si>
  <si>
    <t xml:space="preserve">TAMPER, METAL, Ø 5 MM, 15.5 CM          </t>
  </si>
  <si>
    <t>22-519-02-07</t>
  </si>
  <si>
    <t>FLAT NOSE PLIERS, W. CROSS GROOVE, 17 CM</t>
  </si>
  <si>
    <t>20-642-16-07</t>
  </si>
  <si>
    <t xml:space="preserve">TC-NEEDLEHOLDER, MAYO-HEGAR, 16 CM      </t>
  </si>
  <si>
    <t>20-604-13-07</t>
  </si>
  <si>
    <t xml:space="preserve">TC-NEEDLEHOLDER, WEBSTER, 13 CM         </t>
  </si>
  <si>
    <t>23-539-06-07</t>
  </si>
  <si>
    <t xml:space="preserve">BONE LEVER, MINI-HOHMANN, 6 MM, 16 CM   </t>
  </si>
  <si>
    <t>23-539-08-07</t>
  </si>
  <si>
    <t xml:space="preserve">BONE LEVER, MINI-HOHMANN, 8 MM, 16 CM   </t>
  </si>
  <si>
    <t>15-717-10-07</t>
  </si>
  <si>
    <t xml:space="preserve">WOUNDSPREADER, BLUNT, 4X4 T., 10 CM     </t>
  </si>
  <si>
    <t>15-164-14-07</t>
  </si>
  <si>
    <t xml:space="preserve">HOOKLET, DOUBLE, RAGNELL-DAVIS, 15 CM   </t>
  </si>
  <si>
    <t>15-167-16-07</t>
  </si>
  <si>
    <t xml:space="preserve">HOOKLET, SENN-MUELLER, BLUNT, 16 CM     </t>
  </si>
  <si>
    <t>17-412-15-07</t>
  </si>
  <si>
    <t xml:space="preserve">Ruler, mm/inch, 15 cm                   </t>
  </si>
  <si>
    <t>25-420-18-07</t>
  </si>
  <si>
    <t xml:space="preserve">CHAMPY TC-PLATE SHEARS                  </t>
  </si>
  <si>
    <t>15-056-01-07</t>
  </si>
  <si>
    <t xml:space="preserve">Hooklet, Barsky, 1-t., 15 cm            </t>
  </si>
  <si>
    <t>23-359-00-07</t>
  </si>
  <si>
    <t xml:space="preserve">BONE CURETTE, OVAL, NO. 00/00, 16,5 CM  </t>
  </si>
  <si>
    <t>37-545-18-07</t>
  </si>
  <si>
    <t xml:space="preserve">ELEVATOR, FREER, SH/BL, W/O PIN, 18 CM  </t>
  </si>
  <si>
    <t>23-423-07-07</t>
  </si>
  <si>
    <t xml:space="preserve">Raspatory, Key, 16 mm, 20 cm            </t>
  </si>
  <si>
    <t>15-748-10-07</t>
  </si>
  <si>
    <t xml:space="preserve">WOUNDSPREADER, SHARP, 2X3 T., 11 CM     </t>
  </si>
  <si>
    <t>15-749-10-07</t>
  </si>
  <si>
    <t xml:space="preserve">WOUNDSPREADER, BLUNT, 2X3 T., 11 CM     </t>
  </si>
  <si>
    <t>23-836-30-07</t>
  </si>
  <si>
    <t>RONGEUR, MICRO-FRIEDMAN, CVD. 30°,15.5CM</t>
  </si>
  <si>
    <t>23-876-15-07</t>
  </si>
  <si>
    <t xml:space="preserve">BONE RONGEUR, BOEHLER, STR., 15 CM      </t>
  </si>
  <si>
    <t>11-937-11-07</t>
  </si>
  <si>
    <t xml:space="preserve">TC-DISSECTING SCISSORS, CVD., 11.5 CM   </t>
  </si>
  <si>
    <t>11-690-11-07</t>
  </si>
  <si>
    <t>STRABISMUS SCISS., BL/BL, STR., 11.5 CM</t>
  </si>
  <si>
    <t>11-508-12-07</t>
  </si>
  <si>
    <t xml:space="preserve">Scissor, Faden, Littler, 12 cm          </t>
  </si>
  <si>
    <t>11-955-14-07</t>
  </si>
  <si>
    <t xml:space="preserve">TC-DISS. SCISSORS, FINE, CVD., 14.5 CM  </t>
  </si>
  <si>
    <t>11-983-11-07</t>
  </si>
  <si>
    <t xml:space="preserve">TC-IRIS SCISSORS, SH/SH, CVD., 11.5 CM  </t>
  </si>
  <si>
    <t>11-350-14-07</t>
  </si>
  <si>
    <t xml:space="preserve">SCISSORS, JOSEPH, SH/SH, STR., 14.5 CM  </t>
  </si>
  <si>
    <t>21-209-18-01</t>
  </si>
  <si>
    <t xml:space="preserve">BANDAGE SCISSORS, UNIVERSAL, 19 CM      </t>
  </si>
  <si>
    <t>12-100-10-07</t>
  </si>
  <si>
    <t xml:space="preserve">DRESSING FORCEPS, 10,5 CM               </t>
  </si>
  <si>
    <t>36-391-14-07</t>
  </si>
  <si>
    <t>EAR FORCEPS, GRUENWALD, BAYON., 14.5 CM</t>
  </si>
  <si>
    <t>12-166-12-07</t>
  </si>
  <si>
    <t xml:space="preserve">DRESSING FORCEPS, MINI-ADSON, 12 CM     </t>
  </si>
  <si>
    <t>23-715-19-07</t>
  </si>
  <si>
    <t xml:space="preserve">CARTILAGE FORCEPS, DINGMANN, 18.5 CM    </t>
  </si>
  <si>
    <t>12-301-10-07</t>
  </si>
  <si>
    <t xml:space="preserve">TISSUE FORCEPS 1X2 T, 10,5 CM           </t>
  </si>
  <si>
    <t>12-406-15-07</t>
  </si>
  <si>
    <t xml:space="preserve">FORCEPS, MICRO-ADSON, 1X2 T., 15 CM     </t>
  </si>
  <si>
    <t>24-835-13-07</t>
  </si>
  <si>
    <t xml:space="preserve">Hook, Frazier, sharp, 13 cm             </t>
  </si>
  <si>
    <t>20-364-18-07</t>
  </si>
  <si>
    <t>NEEDLEHOLDER, METZENB., FENESTR., 18.5 C</t>
  </si>
  <si>
    <t>15-751-16-07</t>
  </si>
  <si>
    <t xml:space="preserve">WOUNDSPREADER, BLUNT, 3X4 T., 16 CM     </t>
  </si>
  <si>
    <t>23-832-19-07</t>
  </si>
  <si>
    <t xml:space="preserve">BONE RONGEUR, LEMPERT, STR., 19 CM      </t>
  </si>
  <si>
    <t>23-833-19-07</t>
  </si>
  <si>
    <t xml:space="preserve">Bone Rongeur, Lempert, cvd., 19 cm      </t>
  </si>
  <si>
    <t>23-829-18-07</t>
  </si>
  <si>
    <t xml:space="preserve">BONE RONGEUR, JANSEN, CVD., 18 CM       </t>
  </si>
  <si>
    <t>11-965-14-07</t>
  </si>
  <si>
    <t>TC-DISS. SCISSORS, LAHEY, CVD., 14.5 CM</t>
  </si>
  <si>
    <t>11-620-10-07</t>
  </si>
  <si>
    <t xml:space="preserve">IRIS SCISSORS, SH/SH, STR., 10.5 CM     </t>
  </si>
  <si>
    <t>11-621-10-07</t>
  </si>
  <si>
    <t xml:space="preserve">IRIS SCISSORS, SH/SH, CVD., 10.5 CM     </t>
  </si>
  <si>
    <t>11-171-14-07</t>
  </si>
  <si>
    <t xml:space="preserve">SCISSORS, MAYO, CVD., 14.5 CM           </t>
  </si>
  <si>
    <t>11-327-14-07</t>
  </si>
  <si>
    <t xml:space="preserve">DISSECT. SCISSORS, FINE, CVD., 14.5 CM  </t>
  </si>
  <si>
    <t>11-331-18-07</t>
  </si>
  <si>
    <t xml:space="preserve">DISSECT. SCISSORS, FINE, CVD., 18 CM    </t>
  </si>
  <si>
    <t>11-509-16-07</t>
  </si>
  <si>
    <t xml:space="preserve">NASAL SCISSORS, COTTLE, 15.5 CM         </t>
  </si>
  <si>
    <t>11-306-19-07</t>
  </si>
  <si>
    <t xml:space="preserve">SCISSORS, GORNEY, STR., SERR., 19.5 CM  </t>
  </si>
  <si>
    <t>11-307-19-07</t>
  </si>
  <si>
    <t xml:space="preserve">SCISSORS, GORNEY, CVD., SERR., 19.5 CM  </t>
  </si>
  <si>
    <t>11-969-17-07</t>
  </si>
  <si>
    <t>TC-Scissor, Gorney-Freeman, cvd., 17 cm</t>
  </si>
  <si>
    <t>11-364-14-07</t>
  </si>
  <si>
    <t xml:space="preserve">Scissor, Diss., Reynolds, str., 14 cm   </t>
  </si>
  <si>
    <t>11-365-14-07</t>
  </si>
  <si>
    <t xml:space="preserve">Scissor, Diss., Reynolds, cvd., 14 cm   </t>
  </si>
  <si>
    <t>36-859-50-07</t>
  </si>
  <si>
    <t xml:space="preserve">NASAL SPECULUM, COTTLE, 50 MM, NO. 2    </t>
  </si>
  <si>
    <t>36-859-75-07</t>
  </si>
  <si>
    <t xml:space="preserve">NASAL SPECULUM, COTTLE, 75 MM, NO. 3    </t>
  </si>
  <si>
    <t>13-471-14-07</t>
  </si>
  <si>
    <t>DISS. FORCEPS, MIXTER-BABY, CVD., 13 CM</t>
  </si>
  <si>
    <t>13-419-18-07</t>
  </si>
  <si>
    <t>DISS. FORCEPS, BABY-MIXTER, CVD., 18.5CM</t>
  </si>
  <si>
    <t>15-317-01-07</t>
  </si>
  <si>
    <t>RETRACT., KOCHER-LANG., 25X6 MM, 21.5 CM</t>
  </si>
  <si>
    <t>23-676-19-07</t>
  </si>
  <si>
    <t xml:space="preserve">TENDON PULLING FORCEPS, BRAND, 19 CM    </t>
  </si>
  <si>
    <t>23-679-11-07</t>
  </si>
  <si>
    <t xml:space="preserve">TENDON SEIZING FORCEPS, CVD., 11.5 CM   </t>
  </si>
  <si>
    <t>56-231-16-01</t>
  </si>
  <si>
    <t xml:space="preserve">BOWL, METAL, H = 75, Ø 167 MM, 0.9 L    </t>
  </si>
  <si>
    <t>56-231-14-01</t>
  </si>
  <si>
    <t xml:space="preserve">BOWL, METAL, H = 65, Ø 147 MM, 0.50L    </t>
  </si>
  <si>
    <t>13-485-23-07</t>
  </si>
  <si>
    <t>DISS. FORCEPS, MIXTER, STR. CVD., 23 CM</t>
  </si>
  <si>
    <t>21-165-14-07</t>
  </si>
  <si>
    <t xml:space="preserve">BANDAGE SCISSORS, LISTER, 14.5 CM       </t>
  </si>
  <si>
    <t>11-943-18-07</t>
  </si>
  <si>
    <t xml:space="preserve">TC-Dissecting Scissors, cvd., 18 cm     </t>
  </si>
  <si>
    <t>11-942-18-07</t>
  </si>
  <si>
    <t xml:space="preserve">TC-DISSECTING SCISSORS, STR., 18 CM     </t>
  </si>
  <si>
    <t>11-910-14-07</t>
  </si>
  <si>
    <t xml:space="preserve">TC-SCISSORS, MAYO, STR., 14.5 CM        </t>
  </si>
  <si>
    <t>12-368-12-07</t>
  </si>
  <si>
    <t xml:space="preserve">TISSUE FORCEPS, ADSON, 1X2 T., 12 CM    </t>
  </si>
  <si>
    <t>12-404-15-07</t>
  </si>
  <si>
    <t xml:space="preserve">DRESSING FORCEPS, MICRO-ADSON, 15 CM    </t>
  </si>
  <si>
    <t>09-007-84-07</t>
  </si>
  <si>
    <t xml:space="preserve">Forceps, tissue, Adson, 1x2 T., 18 cm   </t>
  </si>
  <si>
    <t>09-006-12-07</t>
  </si>
  <si>
    <t xml:space="preserve">Dressing forceps. Adson, 18 cm          </t>
  </si>
  <si>
    <t>12-392-21-07</t>
  </si>
  <si>
    <t xml:space="preserve">FORCEPS, POTTS-SMITH, 1X2 T., 21 CM     </t>
  </si>
  <si>
    <t>15-072-01-07</t>
  </si>
  <si>
    <t xml:space="preserve">HOOKLET, GUTHRIE, SHARP, 2-PR., 16 CM   </t>
  </si>
  <si>
    <t>37-699-11-07</t>
  </si>
  <si>
    <t xml:space="preserve">RETRACTOR, CONVERSE, 44X11 MM, 10.5 CM  </t>
  </si>
  <si>
    <t>15-293-01-07</t>
  </si>
  <si>
    <t xml:space="preserve">RETRACTOR, LANGENBECK, 30X11 MM, 22 CM  </t>
  </si>
  <si>
    <t>15-293-05-07</t>
  </si>
  <si>
    <t xml:space="preserve">RETRACTOR, LANGENBECK, 50X11 MM, 22 CM  </t>
  </si>
  <si>
    <t>20-668-02-07</t>
  </si>
  <si>
    <t>TC-NEEDLEHOLD., MARTINI, SMOOTH, 17.5 CM</t>
  </si>
  <si>
    <t>20-630-13-07</t>
  </si>
  <si>
    <t>TC-NEEDLEHOLDER, WEBSTER, SMOOTH, 13 CM</t>
  </si>
  <si>
    <t>20-620-00-07</t>
  </si>
  <si>
    <t>TC-MICRO NEEDLEH., STR., W. LOCK,14.5CM</t>
  </si>
  <si>
    <t>20-620-18-07</t>
  </si>
  <si>
    <t>TC-MICRO NEEDELH., STR., W. LOCK, 18 CM</t>
  </si>
  <si>
    <t>13-340-14-07</t>
  </si>
  <si>
    <t xml:space="preserve">HAEMOST. FORCEPS, CRILE, STR., 14.5 CM  </t>
  </si>
  <si>
    <t>13-306-10-07</t>
  </si>
  <si>
    <t xml:space="preserve">HAEM. FORCEPS, HARTMANN, STR., 10 CM    </t>
  </si>
  <si>
    <t>13-307-10-07</t>
  </si>
  <si>
    <t xml:space="preserve">HAEM. FORCEPS, HARTMANN, CVD., 10 CM    </t>
  </si>
  <si>
    <t>36-845-02-07</t>
  </si>
  <si>
    <t xml:space="preserve">NASAL SPECULUM, HARTMANN-HALLE, NO. 2   </t>
  </si>
  <si>
    <t>18-523-07-01</t>
  </si>
  <si>
    <t>Suction tube, Frazier, ø 2.3 mm, 19.5 cm</t>
  </si>
  <si>
    <t>30-130-12-07</t>
  </si>
  <si>
    <t>TISSUE FCPS., ALLIS-BABY, 4X5 T., 13 CM</t>
  </si>
  <si>
    <t>23-662-29-07</t>
  </si>
  <si>
    <t xml:space="preserve">TENDON STRIPPER, 28.5 CM                </t>
  </si>
  <si>
    <t>23-676-15-07</t>
  </si>
  <si>
    <t xml:space="preserve">TENDON PULLING FORCEPS, BRAND, 15 CM    </t>
  </si>
  <si>
    <t>23-676-24-07</t>
  </si>
  <si>
    <t xml:space="preserve">TENDON PULLING FORCEPS, BRAND, 24.5 CM  </t>
  </si>
  <si>
    <t>23-678-01-07</t>
  </si>
  <si>
    <t xml:space="preserve">TENDON PULLING FORCEPS, CVD., 20.5 CM   </t>
  </si>
  <si>
    <t>13-451-13-07</t>
  </si>
  <si>
    <t>DISS. FORCEPS, GEMINI, STR. CVD., 13 CM</t>
  </si>
  <si>
    <t>23-678-00-07</t>
  </si>
  <si>
    <t xml:space="preserve">TENDON PULLING FORCEPS, STR., 21 CM     </t>
  </si>
  <si>
    <t>35-134-09-07</t>
  </si>
  <si>
    <t xml:space="preserve">CALIPER, CASTROV.-EPKER, 0-40 MM, 9 CM  </t>
  </si>
  <si>
    <t>35-134-18-07</t>
  </si>
  <si>
    <t>CALIPER, CASTROV.-EPKER, 0-40 MM, 18 CM</t>
  </si>
  <si>
    <t>17-412-30-07</t>
  </si>
  <si>
    <t xml:space="preserve">Ruler, mm/inch, 30 cm                   </t>
  </si>
  <si>
    <t>10-133-31-07</t>
  </si>
  <si>
    <t xml:space="preserve">SCALPEL HANDLE, NO. 3L, LONG, 21.5 CM   </t>
  </si>
  <si>
    <t>12-301-25-07</t>
  </si>
  <si>
    <t xml:space="preserve">TISSUE FORCEPS, 1X2 T., 25 CM           </t>
  </si>
  <si>
    <t>14-110-16-07</t>
  </si>
  <si>
    <t xml:space="preserve">SINUS FORCEPS, LISTER, STR., 16 CM      </t>
  </si>
  <si>
    <t>14-110-18-07</t>
  </si>
  <si>
    <t xml:space="preserve">SINUS FORCEPS, LISTER, STR., 18.5 CM    </t>
  </si>
  <si>
    <t>14-223-22-07</t>
  </si>
  <si>
    <t xml:space="preserve">FORCEPS, GROSS-MAIER, CVD., 22.5 CM     </t>
  </si>
  <si>
    <t>56-231-04-01</t>
  </si>
  <si>
    <t xml:space="preserve">BOWL, METAL, H = 19, Ø 40 MM, 0.02 L    </t>
  </si>
  <si>
    <t>24-541-20-07</t>
  </si>
  <si>
    <t xml:space="preserve">Hook, Crile, 90°, 20 cm                 </t>
  </si>
  <si>
    <t>23-934-14-07</t>
  </si>
  <si>
    <t>BONE CUTT. FORCEPS, LISTON, STR., 14 CM</t>
  </si>
  <si>
    <t>23-934-17-07</t>
  </si>
  <si>
    <t>BONE CUTT. FORCEPS, LISTON, STR., 17 CM</t>
  </si>
  <si>
    <t>28-100-05-07</t>
  </si>
  <si>
    <t xml:space="preserve">Retractor, breast, 125x30 mm, 27 cm     </t>
  </si>
  <si>
    <t>28-100-06-07</t>
  </si>
  <si>
    <t xml:space="preserve">Retractor, breast, 140x30 mm, 27 cm     </t>
  </si>
  <si>
    <t>28-100-07-07</t>
  </si>
  <si>
    <t>Elevator, Breast, f. Mammaplasty, 28 cm</t>
  </si>
  <si>
    <t>28-100-10-07</t>
  </si>
  <si>
    <t xml:space="preserve">Areola marker, blunt, Ø 36 mm           </t>
  </si>
  <si>
    <t>28-100-11-07</t>
  </si>
  <si>
    <t xml:space="preserve">Areola marker, blunt, Ø 40 mm           </t>
  </si>
  <si>
    <t>11-630-11-07</t>
  </si>
  <si>
    <t xml:space="preserve">IRIS SCISSORS, SH/SH, STR., 11.5 CM     </t>
  </si>
  <si>
    <t>15-683-00-07</t>
  </si>
  <si>
    <t xml:space="preserve">RETRACTOR, MATHIEU, SET, 20 CM          </t>
  </si>
  <si>
    <t>15-734-20-07</t>
  </si>
  <si>
    <t xml:space="preserve">WOUNDSPREADER, SHARP, 3X4 T., 20 CM     </t>
  </si>
  <si>
    <t>11-673-11-07</t>
  </si>
  <si>
    <t xml:space="preserve">SC-Iris Scissors, sh/sh, cvd., 11,5 cm  </t>
  </si>
  <si>
    <t>11-365-15-07</t>
  </si>
  <si>
    <t xml:space="preserve">SCISSORS, REYNOLDS, CVD., 15.5 CM       </t>
  </si>
  <si>
    <t>11-879-12-07</t>
  </si>
  <si>
    <t>WIRE SCISSORS, SH/SH, CVD., SERR., 12 CM</t>
  </si>
  <si>
    <t>11-915-17-07</t>
  </si>
  <si>
    <t xml:space="preserve">TC-Ligature sciss., cvd., serr., 17 cm  </t>
  </si>
  <si>
    <t>12-120-16-07</t>
  </si>
  <si>
    <t xml:space="preserve">DRESSING FORCEPS, MEDIUM WIDE, 16 CM    </t>
  </si>
  <si>
    <t>13-923-10-07</t>
  </si>
  <si>
    <t xml:space="preserve">TOWEL FORCEPS, TOHOKU, BLUNT, 10.5 CM   </t>
  </si>
  <si>
    <t>14-101-27-07</t>
  </si>
  <si>
    <t xml:space="preserve">TAMPON FORCEPS, ULRICH, CVD., 26.5 CM   </t>
  </si>
  <si>
    <t>15-099-16-07</t>
  </si>
  <si>
    <t>RETRACTOR, BLUNT, 2-PR., 14X8 MM, 16 CM</t>
  </si>
  <si>
    <t>15-100-04-07</t>
  </si>
  <si>
    <t>RETRACTOR, DELIC., SHARP, 4-PR., 16.5 CM</t>
  </si>
  <si>
    <t>15-361-02-07</t>
  </si>
  <si>
    <t>RETRACTOR, MIDDELDORPF, 22X22 MM, 23 CM</t>
  </si>
  <si>
    <t>15-971-00-01</t>
  </si>
  <si>
    <t>ABDOM. SPATULA, HABERER, 16/25 MM, 20 CM</t>
  </si>
  <si>
    <t>20-604-15-07</t>
  </si>
  <si>
    <t>39-311-19-07</t>
  </si>
  <si>
    <t>GAUZE PACKER, LUNIATSCHEK, 3 MM, 17.5 CM</t>
  </si>
  <si>
    <t>42-027-00-07</t>
  </si>
  <si>
    <t xml:space="preserve">CRYER ROOT ELEVATOR FIG. 27             </t>
  </si>
  <si>
    <t>42-028-00-07</t>
  </si>
  <si>
    <t xml:space="preserve">CRYER ROOT ELEVATOR FIG. 28             </t>
  </si>
  <si>
    <t>38-405-03-07</t>
  </si>
  <si>
    <t xml:space="preserve">AUSTIN SOFT TISSUE RETRACTOR, LONG      </t>
  </si>
  <si>
    <t>42-415-02-07</t>
  </si>
  <si>
    <t xml:space="preserve">COUPLAND ROOT ELEVATOR, 2,5 MM          </t>
  </si>
  <si>
    <t>42-576-01-07</t>
  </si>
  <si>
    <t xml:space="preserve">WARWICK-JAMES ROOT ELEVATOR, FIG. 1     </t>
  </si>
  <si>
    <t>42-587-02-07</t>
  </si>
  <si>
    <t xml:space="preserve">HEIDEBRINK ROOT TIP TEASER FIG.2        </t>
  </si>
  <si>
    <t>38-130-50-07</t>
  </si>
  <si>
    <t>MOUTH PROP, MCKESSON, XXL, F. TEEHTLESS</t>
  </si>
  <si>
    <t>20-350-15-07</t>
  </si>
  <si>
    <t>NEEDLEHOLDER, CRILE-WOOD, GROOVED, 15 CM</t>
  </si>
  <si>
    <t>11-633-11-07</t>
  </si>
  <si>
    <t>IRIS SCISSORS, SH/SH, CVD. DOWN, 11.5 CM</t>
  </si>
  <si>
    <t>23-491-01-07</t>
  </si>
  <si>
    <t>BONE FILE, CROSS SERRATION, NO. 1, 18 CM</t>
  </si>
  <si>
    <t>23-136-04-07</t>
  </si>
  <si>
    <t>42-746-02-07</t>
  </si>
  <si>
    <t xml:space="preserve">MOUTH MIRROR HANDLE, ROUND              </t>
  </si>
  <si>
    <t>42-702-24-07</t>
  </si>
  <si>
    <t xml:space="preserve">MOUTH MIRROR, PL.F.5   22 MM            </t>
  </si>
  <si>
    <t>43-402-66-07</t>
  </si>
  <si>
    <t xml:space="preserve">EXPLORER, R. HANDLE FIG. 6XL            </t>
  </si>
  <si>
    <t>23-721-14-07</t>
  </si>
  <si>
    <t>REPOSITION FORCEPS, LONG RATCHET, 15 CM</t>
  </si>
  <si>
    <t>38-616-10-07</t>
  </si>
  <si>
    <t xml:space="preserve">OUTER PROGENY RETRACTOR, LAUER, 15 CM   </t>
  </si>
  <si>
    <t>48-125-15-07</t>
  </si>
  <si>
    <t>CHIN RETRACTOR, OBWEGES., 16.5 MM, 16 CM</t>
  </si>
  <si>
    <t>15-095-20-07</t>
  </si>
  <si>
    <t>HOOKLET, MINI-LANGENBECK, 20X6 MM, 16 CM</t>
  </si>
  <si>
    <t>15-299-01-07</t>
  </si>
  <si>
    <t xml:space="preserve">Retract., Langenbeck, 43x13 mm, 21 cm   </t>
  </si>
  <si>
    <t>38-725-03-07</t>
  </si>
  <si>
    <t>RETRACTOR,SUPERI.,DUNN-DAUTREY,8.0X50 MM</t>
  </si>
  <si>
    <t>38-691-02-07</t>
  </si>
  <si>
    <t xml:space="preserve">ORBITAL RETRACTOR, ROWE, LEFT, 19 CM    </t>
  </si>
  <si>
    <t>09-008-43-07</t>
  </si>
  <si>
    <t xml:space="preserve">Elevator, Bristow, 23 cm                </t>
  </si>
  <si>
    <t>23-428-06-04</t>
  </si>
  <si>
    <t xml:space="preserve">Raspatory, str., str., si., 20 cm       </t>
  </si>
  <si>
    <t>23-432-18-04</t>
  </si>
  <si>
    <t xml:space="preserve">Raspatory, cvd., round, si., 20 cm      </t>
  </si>
  <si>
    <t>42-576-02-07</t>
  </si>
  <si>
    <t xml:space="preserve">WARWICK-JAMES ROOT ELEVATOR, FIG. 2L    </t>
  </si>
  <si>
    <t>42-576-03-07</t>
  </si>
  <si>
    <t xml:space="preserve">WARWICK-JAMES ROOT ELEVATOR, FIG. 3R    </t>
  </si>
  <si>
    <t>20-634-13-07</t>
  </si>
  <si>
    <t xml:space="preserve">TC-NEEDLEHOLDER, HEGAR-BAUMGART., 13 CM </t>
  </si>
  <si>
    <t>20-634-14-07</t>
  </si>
  <si>
    <t>TC-NEEDLEHOLDER, HEGAR-BAUMGAR., 14.5 CM</t>
  </si>
  <si>
    <t>20-650-13-07</t>
  </si>
  <si>
    <t xml:space="preserve">TC-NEEDLEHOLDER, RYDER-MARTIN, 12.5 CM  </t>
  </si>
  <si>
    <t>20-650-15-07</t>
  </si>
  <si>
    <t xml:space="preserve">TC-NEEDLEHOLDER, RYDER-MARTIN, 15 CM    </t>
  </si>
  <si>
    <t>11-681-11-07</t>
  </si>
  <si>
    <t xml:space="preserve">TENOTOMY SCISSORS, SH/SH, CVD., 11 CM   </t>
  </si>
  <si>
    <t>11-365-18-07</t>
  </si>
  <si>
    <t xml:space="preserve">SCISSORS, REYNOLDS, CVD., 18 CM         </t>
  </si>
  <si>
    <t>28-203-15-07</t>
  </si>
  <si>
    <t xml:space="preserve">SKIN HOOKLET, KILNER, GRACILE, 14.5 CM  </t>
  </si>
  <si>
    <t>13-321-10-07</t>
  </si>
  <si>
    <t xml:space="preserve">FORCEPS MICRO-MOSQUITO, CVD., 10 CM     </t>
  </si>
  <si>
    <t>13-347-16-07</t>
  </si>
  <si>
    <t xml:space="preserve">FORCEPS, CRILE-RANKIN, CVD., 16 CM      </t>
  </si>
  <si>
    <t>11-819-13-07</t>
  </si>
  <si>
    <t>LIGAT. SCISSORS, NORTHBENT, CVD., 13 CM</t>
  </si>
  <si>
    <t>14-223-27-07</t>
  </si>
  <si>
    <t xml:space="preserve">FORCEPS, GROSS-MAIER, CVD., 26,5 CM     </t>
  </si>
  <si>
    <t>13-924-11-07</t>
  </si>
  <si>
    <t xml:space="preserve">TOWEL FORCEPS F. PAPER DRAPES, 11.5 CM  </t>
  </si>
  <si>
    <t>11-367-14-07</t>
  </si>
  <si>
    <t xml:space="preserve">SCISSORS, JAMESON, CVD., 15.5 CM        </t>
  </si>
  <si>
    <t>11-961-18-07</t>
  </si>
  <si>
    <t xml:space="preserve">TC-DISS. SCISSORS, FINE, CVD., 18 CM    </t>
  </si>
  <si>
    <t>11-943-20-07</t>
  </si>
  <si>
    <t xml:space="preserve">TC-DISSECTING SCISSORS, CVD., 20.5 CM   </t>
  </si>
  <si>
    <t>11-914-18-07</t>
  </si>
  <si>
    <t xml:space="preserve">TC-Ligature sciss., cvd., serr., 18 cm  </t>
  </si>
  <si>
    <t>11-953-16-07</t>
  </si>
  <si>
    <t xml:space="preserve">TC-SCISSORS, MAYO-LEXER, CVD., 16 CM    </t>
  </si>
  <si>
    <t>12-301-14-07</t>
  </si>
  <si>
    <t xml:space="preserve">TISSUE FORCEPS, 1X2 T., 14.5 CM         </t>
  </si>
  <si>
    <t>12-321-20-07</t>
  </si>
  <si>
    <t xml:space="preserve">TISSUE FORCEPS, 1X2 T., SLIM, 20.5 CM   </t>
  </si>
  <si>
    <t>12-282-16-09</t>
  </si>
  <si>
    <t xml:space="preserve">TI-ATRAUMA-FORCEPS, 1.5 MM, 16 CM       </t>
  </si>
  <si>
    <t>12-282-20-09</t>
  </si>
  <si>
    <t xml:space="preserve">TI-ATRAUMA-FORCEPS, 1.5 MM, 20.5 CM     </t>
  </si>
  <si>
    <t>13-384-14-07</t>
  </si>
  <si>
    <t xml:space="preserve">FORCEPS, KOCHER, 1X2 T., STR., 14 CM    </t>
  </si>
  <si>
    <t>13-448-00-07</t>
  </si>
  <si>
    <t xml:space="preserve">FORCEPS, OVERHOLT, FINE, CVD., 21.5 CM  </t>
  </si>
  <si>
    <t>13-443-01-07</t>
  </si>
  <si>
    <t>DISS. FORCEPS, OVERHOLT, NO. 1, 20.5 CM</t>
  </si>
  <si>
    <t>13-443-02-07</t>
  </si>
  <si>
    <t xml:space="preserve">DISS. FORCEPS, OVERHOLT, NO. 2, 20 CM   </t>
  </si>
  <si>
    <t>13-304-14-07</t>
  </si>
  <si>
    <t xml:space="preserve">Hemost. forceps, Micro-Adson, 14 cm     </t>
  </si>
  <si>
    <t>13-451-18-07</t>
  </si>
  <si>
    <t>DISS. FORCEPS, GEMINI, STR. CVD., 18 CM</t>
  </si>
  <si>
    <t>20-642-20-07</t>
  </si>
  <si>
    <t xml:space="preserve">TC-NEEDLEHOLDER, MAYO-HEGAR, 20 CM      </t>
  </si>
  <si>
    <t>20-654-15-07</t>
  </si>
  <si>
    <t>TC-NEEDLEHOLDER, RYDER-VASCULAR, 15.5 CM</t>
  </si>
  <si>
    <t>15-091-14-07</t>
  </si>
  <si>
    <t xml:space="preserve">HOOKLET, DESMARRES, 14 MM, 16 CM        </t>
  </si>
  <si>
    <t>15-655-00-01</t>
  </si>
  <si>
    <t xml:space="preserve">RETRACTOR, ROUX, SET, NO. 1-3, 17 CM    </t>
  </si>
  <si>
    <t>15-293-04-07</t>
  </si>
  <si>
    <t xml:space="preserve">RETRACTOR, LANGENBECK, 40X11 MM, 22 CM  </t>
  </si>
  <si>
    <t>15-317-06-07</t>
  </si>
  <si>
    <t>RETRACT., KOCHER-LANG., 55X11 MM, 21.5CM</t>
  </si>
  <si>
    <t>15-222-04-07</t>
  </si>
  <si>
    <t>RETR., VOLKMANN, SEMISH., 4-PR., 22.5 CM</t>
  </si>
  <si>
    <t>15-171-10-07</t>
  </si>
  <si>
    <t xml:space="preserve">HOOKLET, CUSHING, 10 MM, 20.5 CM        </t>
  </si>
  <si>
    <t>15-777-32-07</t>
  </si>
  <si>
    <t xml:space="preserve">Spreader, Adson, bl., 4X5 T., 33 cm     </t>
  </si>
  <si>
    <t>15-773-13-07</t>
  </si>
  <si>
    <t xml:space="preserve">Spreader, Adson, blunt, 3x4 t., 13cm    </t>
  </si>
  <si>
    <t>24-535-18-07</t>
  </si>
  <si>
    <t xml:space="preserve">INTIMA SPATULA, BLUNT, 3 MM, 18.5 CM    </t>
  </si>
  <si>
    <t>24-687-21-07</t>
  </si>
  <si>
    <t xml:space="preserve">Separator, Davis, semi-sharp, 21.5 cm   </t>
  </si>
  <si>
    <t>16-103-18-01</t>
  </si>
  <si>
    <t xml:space="preserve">PROBE, BUTTON END, Ø 1.5/1.5 MM, 18 CM  </t>
  </si>
  <si>
    <t>18-695-03-07</t>
  </si>
  <si>
    <t>Cannula, Schmid, malleable, ø 3 mm, 15cm</t>
  </si>
  <si>
    <t>13-122-14-07</t>
  </si>
  <si>
    <t xml:space="preserve">ATR. BULLDOG CLAMP, STR., 14 MM         </t>
  </si>
  <si>
    <t>13-123-20-07</t>
  </si>
  <si>
    <t xml:space="preserve">ATR. BULLDOG CLAMP, ANG., 20 MM         </t>
  </si>
  <si>
    <t>13-122-20-07</t>
  </si>
  <si>
    <t xml:space="preserve">ATR. BULLDOG CLAMP, STR., 20 MM         </t>
  </si>
  <si>
    <t>13-125-20-07</t>
  </si>
  <si>
    <t xml:space="preserve">Atr. bulldog clamp, cvd., 20 mm         </t>
  </si>
  <si>
    <t>24-393-07-07</t>
  </si>
  <si>
    <t xml:space="preserve">BULLDOG CLAMP, DE BAKEY, CVD., 8 CM     </t>
  </si>
  <si>
    <t>24-393-08-07</t>
  </si>
  <si>
    <t xml:space="preserve">BULLDOG CLAMP, DE BAKEY, CVD., 9 CM     </t>
  </si>
  <si>
    <t>13-116-65-07</t>
  </si>
  <si>
    <t>BULLDOG CLAMP, JOHNS-HOPKINS CVD., 65 MM</t>
  </si>
  <si>
    <t>13-116-75-07</t>
  </si>
  <si>
    <t>BULLDOG CLAMP, JOHNS-HOPKINS CVD., 75 MM</t>
  </si>
  <si>
    <t>13-116-90-07</t>
  </si>
  <si>
    <t>BULLDOG CLAMP, JOHNS-HOPKINS CVD., 90 MM</t>
  </si>
  <si>
    <t>24-413-18-07</t>
  </si>
  <si>
    <t>ATR. FORCEPS, LELAND-JONES, ANG., 18 CM</t>
  </si>
  <si>
    <t>24-456-18-07</t>
  </si>
  <si>
    <t>ANASTOM. FORCEPS, DERRA, NO. 3, 17.5 CM</t>
  </si>
  <si>
    <t>30-136-16-07</t>
  </si>
  <si>
    <t xml:space="preserve">ATR. TISSUE FORCEPS, ALLIS, 15.5 CM     </t>
  </si>
  <si>
    <t>09-008-13-07</t>
  </si>
  <si>
    <t xml:space="preserve">Fcps., tampon, Pelkmann, cvd., 25cm     </t>
  </si>
  <si>
    <t>16-250-00-01</t>
  </si>
  <si>
    <t xml:space="preserve">VARICOSE VEIN SET, NABATOFF, COMPLETE   </t>
  </si>
  <si>
    <t xml:space="preserve">OSTEOTOME, MINI-LAMBOTTE, 4 MM, 12.5 CM </t>
  </si>
  <si>
    <t>ArtNo</t>
  </si>
  <si>
    <t>CoO</t>
  </si>
  <si>
    <t>HS Code</t>
  </si>
  <si>
    <t>Qty</t>
  </si>
  <si>
    <t>Unit</t>
  </si>
  <si>
    <t>Price unit EUR</t>
  </si>
  <si>
    <t>Price total EUR</t>
  </si>
  <si>
    <t>DISSECT. SCISSORS, FINE, CVD., 23 CM</t>
  </si>
  <si>
    <t>11-329-20-07</t>
  </si>
  <si>
    <t>11-507-15-07</t>
  </si>
  <si>
    <t>11-677-10-07</t>
  </si>
  <si>
    <t>11-171-23-07</t>
  </si>
  <si>
    <t>11-961-28-07</t>
  </si>
  <si>
    <t>Scissor, Diss., fine, sh/sh, cvd., 20cm</t>
  </si>
  <si>
    <t>NASAL SCISSORS, FOMON, KNEE BENT, 14 CM</t>
  </si>
  <si>
    <t>SC-Scissors, Stevens, bl/bl, cvd.,10,5cm</t>
  </si>
  <si>
    <t>SCISSORS, MAYO, CVD., 23.5 CM</t>
  </si>
  <si>
    <t>TC-DISS. SCISSORS, FINE, CVD., 28.5 CM</t>
  </si>
  <si>
    <t xml:space="preserve">DE </t>
  </si>
  <si>
    <t xml:space="preserve">MY </t>
  </si>
  <si>
    <t xml:space="preserve">SE </t>
  </si>
  <si>
    <t xml:space="preserve">US </t>
  </si>
  <si>
    <t xml:space="preserve">PC </t>
  </si>
  <si>
    <t xml:space="preserve">2S </t>
  </si>
  <si>
    <t xml:space="preserve">PR </t>
  </si>
  <si>
    <t>Tray Name/ Description</t>
  </si>
  <si>
    <t>64.442.01</t>
  </si>
  <si>
    <t>VESSEL CLAMP FOR VEINS, APPROXIMATOR LENGTH 11 MM, Ø VESSEL 0,6-1,4 MM CODE: ABB 22V</t>
  </si>
  <si>
    <t>64.452.01</t>
  </si>
  <si>
    <t>VESSEL CLAMP FOR ARTERYS, APPROXIMATOR LENGTH 11 MM, Ø VESSEL 0,6-1,4 MM
CODE: ABB-22A</t>
  </si>
  <si>
    <t>64.443.01</t>
  </si>
  <si>
    <t>VESSEL CLAMP FOR VEINS, APPROXIMATOR LENGTH 16 MM. Ø VESSEL 1,0-2.2 MM
CODE:ABB -33V</t>
  </si>
  <si>
    <t>64.453.01</t>
  </si>
  <si>
    <t>VESSEL CLAMP FOR ARTERYS, APPROXIMATOR LENGTH 16 MM, Ø VESSEL 1,0-2,2 MM CODE: ABB-33A</t>
  </si>
  <si>
    <t>64.444.01</t>
  </si>
  <si>
    <t>VESSEL CLAMP FOR VEINS, APPROXIMATOR LENGTH 25 MM, Ø VESSEL 1,5-3,3 MM
CODE: HD-D 4V</t>
  </si>
  <si>
    <t>64.454.01</t>
  </si>
  <si>
    <t>VESSEL CLAMP FOR ARTERYS, APPROXIMATOR LENGTH 25 MM, Ø VESSEL 1,5-3,3 MM CODE: HD-D 4A</t>
  </si>
  <si>
    <t>64.445.01</t>
  </si>
  <si>
    <t>VESSEL CLAMP FOR VEINS, APPROXIMATOR LENGTH 36 MM, Ø VESSEL 2,0-5,0 MM
CODE: RD-D 5V</t>
  </si>
  <si>
    <t>64.455.01</t>
  </si>
  <si>
    <t>VESSEL CLAMP FOR ARTERYS, APPROXIMATOR LENGTH 36 MM, Ø VESSEL 2,0-5,0 MM
CODE: A RD-D 5A</t>
  </si>
  <si>
    <t>64.402.01</t>
  </si>
  <si>
    <t>VESSEL CLAMP FOR VEINS, SINGLE CLAMP LENGTH 11 MM, Ø VESSEL 0,6-1,4 MM PU = 2
PCS., CODE: B-2V</t>
  </si>
  <si>
    <t>64.412.01</t>
  </si>
  <si>
    <t>VESSEL CLAMP FOR ARTERYS, SINGLE CLAMP LENGTH 11 MM, ØVESSEL 0,6-1,4 MM PU =
2 PCS., CODE: B-2A</t>
  </si>
  <si>
    <t>64.403.01</t>
  </si>
  <si>
    <t>VESSEL CLAMP FOR VEINS, SINGLE CLAMP LENGTH 16 MM, Ø VESSEL 1,0-2,2 MM PU = 2 PCS., CODE: B-3V</t>
  </si>
  <si>
    <t>64.413.01</t>
  </si>
  <si>
    <t>VESSEL CLAMP FOR ARTERYS, SINGLE CLAMP LENGTH 16 MM, Ø VESSEL 1,0-2,2 MM
PU20 PCS.. CODE: B-3A</t>
  </si>
  <si>
    <t>64.404.01</t>
  </si>
  <si>
    <t>VESSEL CLAMP FOR VEINS, SINGLE CLAMP LENGTH 25 MM, ØVESSEL 1,5-3,3 MM PU = 2 PCS., CODE: HD-S 4V</t>
  </si>
  <si>
    <t>64.414.01</t>
  </si>
  <si>
    <t>VESSEL CLAMP FOR ARTERYS, SINGLE CLAMP LENGTH 25 MM, Ø VESSEL 1,5-3,3 MM PU
= 2 PCS., CODE: HD-S4A</t>
  </si>
  <si>
    <t>64.405.01</t>
  </si>
  <si>
    <t>VESSEL CLAMP FOR VEINS, SINGLE CLAMP LENGTH 36 MM, Ø VESSEL 2,0-5,0 MM PU = 2
PCS., CODE: RD-S 5V</t>
  </si>
  <si>
    <t>64.415.01</t>
  </si>
  <si>
    <t>VESSEL CLAMP FOR ARTERYS, SINGLE CLAMP LENGTH 36 MM, Ø VESSEL 2,0-5,0 MM PU
= 2 PCS., CODE: RD-S 5A</t>
  </si>
  <si>
    <t>64.476.01</t>
  </si>
  <si>
    <t>APPLYING FORCEPS WITH LOCK, TOTAL LENGTH 140 MM/5 1/2" STRAIGHT, FOR CLAMP
SIZE 1+2+3</t>
  </si>
  <si>
    <t>Ser</t>
  </si>
  <si>
    <t>Total value of goods EUR</t>
  </si>
  <si>
    <t>1.Self-Retaining Mitral Valve Retractor</t>
  </si>
  <si>
    <t>2.Aorta Set</t>
  </si>
  <si>
    <t>5.Hysterectomy (Laparotomy Set)</t>
  </si>
  <si>
    <t xml:space="preserve">6.Caesarean set   </t>
  </si>
  <si>
    <t>8.Vaginal Surgery Set</t>
  </si>
  <si>
    <t xml:space="preserve">9.Hand Surgery Set </t>
  </si>
  <si>
    <t xml:space="preserve">10.General Plastic Surgical Instruments (Burns &amp; Plastic) </t>
  </si>
  <si>
    <t>11.Basic Instruments for Plastic &amp; Reconstructive Surgery</t>
  </si>
  <si>
    <t>12.Micro Instruments For Micro Surgery</t>
  </si>
  <si>
    <t xml:space="preserve">13.Maxillofacial Surgical Instruments Product </t>
  </si>
  <si>
    <t xml:space="preserve">14.Maxillofacial Instrument Sets </t>
  </si>
  <si>
    <t xml:space="preserve">15.Cleft Lip &amp; Palate Instrument Set </t>
  </si>
  <si>
    <t>16.Craniofacial Suspension Set</t>
  </si>
  <si>
    <t>17.Rhinoplasty Set</t>
  </si>
  <si>
    <t>18.NEU Cervical Set</t>
  </si>
  <si>
    <t xml:space="preserve">19.Set For Septum and Nasal Surgery </t>
  </si>
  <si>
    <t>20.Tracheostomy instruments</t>
  </si>
  <si>
    <t>21.Anal Set</t>
  </si>
  <si>
    <t>22.NEU BRAIN SET</t>
  </si>
  <si>
    <t>23.NEU Lumber Set</t>
  </si>
  <si>
    <t>24.Urology Open Set</t>
  </si>
  <si>
    <t>25.Basic Vascular Renal Transplant Set</t>
  </si>
  <si>
    <t>Unit Qty</t>
  </si>
  <si>
    <t>Unit QTY</t>
  </si>
  <si>
    <t>unit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</si>
</sst>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_€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23F31D6-B132-4B1A-B24E-886ACCEE7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selection activeCell="G13" sqref="G13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1684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1662</v>
      </c>
      <c r="D2" s="11"/>
      <c r="E2" s="12"/>
      <c r="F2" s="12">
        <v>1</v>
      </c>
      <c r="G2" s="12"/>
      <c r="H2" s="12"/>
      <c r="I2" s="2"/>
      <c r="J2" s="2"/>
    </row>
    <row r="3" spans="1:10" x14ac:dyDescent="0.25">
      <c r="A3" s="9">
        <v>1</v>
      </c>
      <c r="B3" s="5" t="s">
        <v>0</v>
      </c>
      <c r="C3" s="5" t="s">
        <v>1</v>
      </c>
      <c r="D3" s="5" t="s">
        <v>1618</v>
      </c>
      <c r="E3" s="6">
        <v>90189084</v>
      </c>
      <c r="F3" s="6">
        <v>1</v>
      </c>
      <c r="G3" s="6">
        <v>1</v>
      </c>
      <c r="H3" s="6" t="s">
        <v>1622</v>
      </c>
      <c r="I3" s="5">
        <v>628.88</v>
      </c>
      <c r="J3" s="5">
        <f>F3*I3</f>
        <v>628.88</v>
      </c>
    </row>
    <row r="4" spans="1:10" x14ac:dyDescent="0.25">
      <c r="A4" s="9">
        <v>2</v>
      </c>
      <c r="B4" s="5" t="s">
        <v>2</v>
      </c>
      <c r="C4" s="5" t="s">
        <v>3</v>
      </c>
      <c r="D4" s="5" t="s">
        <v>1618</v>
      </c>
      <c r="E4" s="6">
        <v>90189084</v>
      </c>
      <c r="F4" s="6">
        <v>2</v>
      </c>
      <c r="G4" s="6">
        <v>2</v>
      </c>
      <c r="H4" s="6" t="s">
        <v>1622</v>
      </c>
      <c r="I4" s="5">
        <v>282.99</v>
      </c>
      <c r="J4" s="5">
        <f t="shared" ref="J4:J9" si="0">F4*I4</f>
        <v>565.98</v>
      </c>
    </row>
    <row r="5" spans="1:10" x14ac:dyDescent="0.25">
      <c r="A5" s="9">
        <v>3</v>
      </c>
      <c r="B5" s="5" t="s">
        <v>4</v>
      </c>
      <c r="C5" s="5" t="s">
        <v>5</v>
      </c>
      <c r="D5" s="5" t="s">
        <v>1618</v>
      </c>
      <c r="E5" s="6">
        <v>90189084</v>
      </c>
      <c r="F5" s="6">
        <v>2</v>
      </c>
      <c r="G5" s="6">
        <v>2</v>
      </c>
      <c r="H5" s="6" t="s">
        <v>1622</v>
      </c>
      <c r="I5" s="5">
        <v>235.83</v>
      </c>
      <c r="J5" s="5">
        <f t="shared" si="0"/>
        <v>471.66</v>
      </c>
    </row>
    <row r="6" spans="1:10" x14ac:dyDescent="0.25">
      <c r="A6" s="9">
        <v>4</v>
      </c>
      <c r="B6" s="5" t="s">
        <v>6</v>
      </c>
      <c r="C6" s="5" t="s">
        <v>7</v>
      </c>
      <c r="D6" s="5" t="s">
        <v>1618</v>
      </c>
      <c r="E6" s="6">
        <v>90189084</v>
      </c>
      <c r="F6" s="6">
        <v>3</v>
      </c>
      <c r="G6" s="6">
        <v>3</v>
      </c>
      <c r="H6" s="6" t="s">
        <v>1622</v>
      </c>
      <c r="I6" s="5">
        <v>245.25</v>
      </c>
      <c r="J6" s="5">
        <f t="shared" si="0"/>
        <v>735.75</v>
      </c>
    </row>
    <row r="7" spans="1:10" x14ac:dyDescent="0.25">
      <c r="A7" s="9">
        <v>5</v>
      </c>
      <c r="B7" s="5" t="s">
        <v>8</v>
      </c>
      <c r="C7" s="5" t="s">
        <v>9</v>
      </c>
      <c r="D7" s="5" t="s">
        <v>1618</v>
      </c>
      <c r="E7" s="6">
        <v>90189084</v>
      </c>
      <c r="F7" s="6">
        <v>1</v>
      </c>
      <c r="G7" s="6">
        <v>1</v>
      </c>
      <c r="H7" s="6" t="s">
        <v>1622</v>
      </c>
      <c r="I7" s="5">
        <v>64.150000000000006</v>
      </c>
      <c r="J7" s="5">
        <f t="shared" si="0"/>
        <v>64.150000000000006</v>
      </c>
    </row>
    <row r="8" spans="1:10" x14ac:dyDescent="0.25">
      <c r="A8" s="9">
        <v>6</v>
      </c>
      <c r="B8" s="5" t="s">
        <v>10</v>
      </c>
      <c r="C8" s="5" t="s">
        <v>11</v>
      </c>
      <c r="D8" s="5" t="s">
        <v>1618</v>
      </c>
      <c r="E8" s="6">
        <v>90189084</v>
      </c>
      <c r="F8" s="6">
        <v>1</v>
      </c>
      <c r="G8" s="6">
        <v>1</v>
      </c>
      <c r="H8" s="6" t="s">
        <v>1622</v>
      </c>
      <c r="I8" s="5">
        <v>64.150000000000006</v>
      </c>
      <c r="J8" s="5">
        <f t="shared" si="0"/>
        <v>64.150000000000006</v>
      </c>
    </row>
    <row r="9" spans="1:10" x14ac:dyDescent="0.25">
      <c r="A9" s="9">
        <v>7</v>
      </c>
      <c r="B9" s="5" t="s">
        <v>12</v>
      </c>
      <c r="C9" s="5" t="s">
        <v>13</v>
      </c>
      <c r="D9" s="5" t="s">
        <v>1618</v>
      </c>
      <c r="E9" s="6">
        <v>90189084</v>
      </c>
      <c r="F9" s="6">
        <v>1</v>
      </c>
      <c r="G9" s="6">
        <v>1</v>
      </c>
      <c r="H9" s="6" t="s">
        <v>1622</v>
      </c>
      <c r="I9" s="5">
        <v>106.91</v>
      </c>
      <c r="J9" s="5">
        <f t="shared" si="0"/>
        <v>106.91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D694-C706-4CC6-893C-052092D5E575}">
  <dimension ref="A1:K65"/>
  <sheetViews>
    <sheetView topLeftCell="A38" workbookViewId="0">
      <selection activeCell="G3" sqref="G3:G65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1663</v>
      </c>
      <c r="D2" s="11"/>
      <c r="E2" s="12"/>
      <c r="F2" s="12">
        <v>9</v>
      </c>
      <c r="G2" s="12"/>
      <c r="H2" s="12"/>
      <c r="I2" s="2"/>
      <c r="J2" s="13"/>
    </row>
    <row r="3" spans="1:10" x14ac:dyDescent="0.25">
      <c r="A3" s="9">
        <v>8</v>
      </c>
      <c r="B3" s="5" t="s">
        <v>14</v>
      </c>
      <c r="C3" s="5" t="s">
        <v>15</v>
      </c>
      <c r="D3" s="5" t="s">
        <v>1618</v>
      </c>
      <c r="E3" s="6">
        <v>90189084</v>
      </c>
      <c r="F3" s="6">
        <v>18</v>
      </c>
      <c r="G3" s="6">
        <f>F3/$F$2</f>
        <v>2</v>
      </c>
      <c r="H3" s="6" t="s">
        <v>1622</v>
      </c>
      <c r="I3" s="5">
        <v>9.56</v>
      </c>
      <c r="J3" s="5">
        <f t="shared" ref="J3:J59" si="0">F3*I3</f>
        <v>172.08</v>
      </c>
    </row>
    <row r="4" spans="1:10" x14ac:dyDescent="0.25">
      <c r="A4" s="9">
        <v>9</v>
      </c>
      <c r="B4" s="5" t="s">
        <v>16</v>
      </c>
      <c r="C4" s="5" t="s">
        <v>17</v>
      </c>
      <c r="D4" s="5" t="s">
        <v>1618</v>
      </c>
      <c r="E4" s="6">
        <v>90189084</v>
      </c>
      <c r="F4" s="6">
        <v>18</v>
      </c>
      <c r="G4" s="6">
        <f t="shared" ref="G4:G65" si="1">F4/$F$2</f>
        <v>2</v>
      </c>
      <c r="H4" s="6" t="s">
        <v>1622</v>
      </c>
      <c r="I4" s="5">
        <v>11.25</v>
      </c>
      <c r="J4" s="5">
        <f t="shared" si="0"/>
        <v>202.5</v>
      </c>
    </row>
    <row r="5" spans="1:10" x14ac:dyDescent="0.25">
      <c r="A5" s="9">
        <v>10</v>
      </c>
      <c r="B5" s="5" t="s">
        <v>18</v>
      </c>
      <c r="C5" s="5" t="s">
        <v>19</v>
      </c>
      <c r="D5" s="5" t="s">
        <v>1618</v>
      </c>
      <c r="E5" s="6">
        <v>90189084</v>
      </c>
      <c r="F5" s="6">
        <v>18</v>
      </c>
      <c r="G5" s="6">
        <f t="shared" si="1"/>
        <v>2</v>
      </c>
      <c r="H5" s="6" t="s">
        <v>1622</v>
      </c>
      <c r="I5" s="5">
        <v>15.57</v>
      </c>
      <c r="J5" s="5">
        <f t="shared" si="0"/>
        <v>280.26</v>
      </c>
    </row>
    <row r="6" spans="1:10" x14ac:dyDescent="0.25">
      <c r="A6" s="9">
        <v>11</v>
      </c>
      <c r="B6" s="5" t="s">
        <v>20</v>
      </c>
      <c r="C6" s="5" t="s">
        <v>21</v>
      </c>
      <c r="D6" s="5" t="s">
        <v>1618</v>
      </c>
      <c r="E6" s="6">
        <v>90189084</v>
      </c>
      <c r="F6" s="6">
        <v>9</v>
      </c>
      <c r="G6" s="6">
        <f t="shared" si="1"/>
        <v>1</v>
      </c>
      <c r="H6" s="6" t="s">
        <v>1622</v>
      </c>
      <c r="I6" s="5">
        <v>9.9700000000000006</v>
      </c>
      <c r="J6" s="5">
        <f t="shared" si="0"/>
        <v>89.73</v>
      </c>
    </row>
    <row r="7" spans="1:10" x14ac:dyDescent="0.25">
      <c r="A7" s="9">
        <v>12</v>
      </c>
      <c r="B7" s="5" t="s">
        <v>22</v>
      </c>
      <c r="C7" s="5" t="s">
        <v>23</v>
      </c>
      <c r="D7" s="5" t="s">
        <v>1618</v>
      </c>
      <c r="E7" s="6">
        <v>90189084</v>
      </c>
      <c r="F7" s="6">
        <v>9</v>
      </c>
      <c r="G7" s="6">
        <f t="shared" si="1"/>
        <v>1</v>
      </c>
      <c r="H7" s="6" t="s">
        <v>1622</v>
      </c>
      <c r="I7" s="5">
        <v>3.7</v>
      </c>
      <c r="J7" s="5">
        <f t="shared" si="0"/>
        <v>33.300000000000004</v>
      </c>
    </row>
    <row r="8" spans="1:10" x14ac:dyDescent="0.25">
      <c r="A8" s="9">
        <v>13</v>
      </c>
      <c r="B8" s="5" t="s">
        <v>24</v>
      </c>
      <c r="C8" s="5" t="s">
        <v>25</v>
      </c>
      <c r="D8" s="5" t="s">
        <v>1619</v>
      </c>
      <c r="E8" s="6">
        <v>90189084</v>
      </c>
      <c r="F8" s="6">
        <v>216</v>
      </c>
      <c r="G8" s="6">
        <f t="shared" si="1"/>
        <v>24</v>
      </c>
      <c r="H8" s="6" t="s">
        <v>1622</v>
      </c>
      <c r="I8" s="5">
        <v>12.16</v>
      </c>
      <c r="J8" s="5">
        <f t="shared" si="0"/>
        <v>2626.56</v>
      </c>
    </row>
    <row r="9" spans="1:10" x14ac:dyDescent="0.25">
      <c r="A9" s="9">
        <v>14</v>
      </c>
      <c r="B9" s="5" t="s">
        <v>26</v>
      </c>
      <c r="C9" s="5" t="s">
        <v>27</v>
      </c>
      <c r="D9" s="5" t="s">
        <v>1619</v>
      </c>
      <c r="E9" s="6">
        <v>90189084</v>
      </c>
      <c r="F9" s="6">
        <v>36</v>
      </c>
      <c r="G9" s="6">
        <f t="shared" si="1"/>
        <v>4</v>
      </c>
      <c r="H9" s="6" t="s">
        <v>1622</v>
      </c>
      <c r="I9" s="5">
        <v>38.979999999999997</v>
      </c>
      <c r="J9" s="5">
        <f t="shared" si="0"/>
        <v>1403.28</v>
      </c>
    </row>
    <row r="10" spans="1:10" x14ac:dyDescent="0.25">
      <c r="A10" s="9">
        <v>15</v>
      </c>
      <c r="B10" s="5" t="s">
        <v>28</v>
      </c>
      <c r="C10" s="5" t="s">
        <v>29</v>
      </c>
      <c r="D10" s="5" t="s">
        <v>1619</v>
      </c>
      <c r="E10" s="6">
        <v>90189084</v>
      </c>
      <c r="F10" s="6">
        <v>36</v>
      </c>
      <c r="G10" s="6">
        <f t="shared" si="1"/>
        <v>4</v>
      </c>
      <c r="H10" s="6" t="s">
        <v>1622</v>
      </c>
      <c r="I10" s="5">
        <v>13.53</v>
      </c>
      <c r="J10" s="5">
        <f t="shared" si="0"/>
        <v>487.08</v>
      </c>
    </row>
    <row r="11" spans="1:10" x14ac:dyDescent="0.25">
      <c r="A11" s="9">
        <v>16</v>
      </c>
      <c r="B11" s="5" t="s">
        <v>30</v>
      </c>
      <c r="C11" s="5" t="s">
        <v>31</v>
      </c>
      <c r="D11" s="5" t="s">
        <v>1618</v>
      </c>
      <c r="E11" s="6">
        <v>90189084</v>
      </c>
      <c r="F11" s="6">
        <v>54</v>
      </c>
      <c r="G11" s="6">
        <f t="shared" si="1"/>
        <v>6</v>
      </c>
      <c r="H11" s="6" t="s">
        <v>1622</v>
      </c>
      <c r="I11" s="5">
        <v>13.47</v>
      </c>
      <c r="J11" s="5">
        <f t="shared" si="0"/>
        <v>727.38</v>
      </c>
    </row>
    <row r="12" spans="1:10" x14ac:dyDescent="0.25">
      <c r="A12" s="9">
        <v>17</v>
      </c>
      <c r="B12" s="5" t="s">
        <v>32</v>
      </c>
      <c r="C12" s="5" t="s">
        <v>33</v>
      </c>
      <c r="D12" s="5" t="s">
        <v>1618</v>
      </c>
      <c r="E12" s="6">
        <v>90189084</v>
      </c>
      <c r="F12" s="6">
        <v>9</v>
      </c>
      <c r="G12" s="6">
        <f t="shared" si="1"/>
        <v>1</v>
      </c>
      <c r="H12" s="6" t="s">
        <v>1622</v>
      </c>
      <c r="I12" s="5">
        <v>60.4</v>
      </c>
      <c r="J12" s="5">
        <f t="shared" si="0"/>
        <v>543.6</v>
      </c>
    </row>
    <row r="13" spans="1:10" x14ac:dyDescent="0.25">
      <c r="A13" s="9">
        <v>18</v>
      </c>
      <c r="B13" s="5" t="s">
        <v>34</v>
      </c>
      <c r="C13" s="5" t="s">
        <v>35</v>
      </c>
      <c r="D13" s="5" t="s">
        <v>1618</v>
      </c>
      <c r="E13" s="6">
        <v>90189084</v>
      </c>
      <c r="F13" s="6">
        <v>27</v>
      </c>
      <c r="G13" s="6">
        <f t="shared" si="1"/>
        <v>3</v>
      </c>
      <c r="H13" s="6" t="s">
        <v>1622</v>
      </c>
      <c r="I13" s="5">
        <v>10.1</v>
      </c>
      <c r="J13" s="5">
        <f t="shared" si="0"/>
        <v>272.7</v>
      </c>
    </row>
    <row r="14" spans="1:10" x14ac:dyDescent="0.25">
      <c r="A14" s="9">
        <v>19</v>
      </c>
      <c r="B14" s="5" t="s">
        <v>36</v>
      </c>
      <c r="C14" s="5" t="s">
        <v>37</v>
      </c>
      <c r="D14" s="5" t="s">
        <v>1619</v>
      </c>
      <c r="E14" s="6">
        <v>90189084</v>
      </c>
      <c r="F14" s="6">
        <v>27</v>
      </c>
      <c r="G14" s="6">
        <f t="shared" si="1"/>
        <v>3</v>
      </c>
      <c r="H14" s="6" t="s">
        <v>1622</v>
      </c>
      <c r="I14" s="5">
        <v>11.64</v>
      </c>
      <c r="J14" s="5">
        <f t="shared" si="0"/>
        <v>314.28000000000003</v>
      </c>
    </row>
    <row r="15" spans="1:10" x14ac:dyDescent="0.25">
      <c r="A15" s="9">
        <v>20</v>
      </c>
      <c r="B15" s="5" t="s">
        <v>38</v>
      </c>
      <c r="C15" s="5" t="s">
        <v>39</v>
      </c>
      <c r="D15" s="5" t="s">
        <v>1619</v>
      </c>
      <c r="E15" s="6">
        <v>90189084</v>
      </c>
      <c r="F15" s="6">
        <v>54</v>
      </c>
      <c r="G15" s="6">
        <f t="shared" si="1"/>
        <v>6</v>
      </c>
      <c r="H15" s="6" t="s">
        <v>1622</v>
      </c>
      <c r="I15" s="5">
        <v>13.03</v>
      </c>
      <c r="J15" s="5">
        <f t="shared" si="0"/>
        <v>703.62</v>
      </c>
    </row>
    <row r="16" spans="1:10" x14ac:dyDescent="0.25">
      <c r="A16" s="9">
        <v>21</v>
      </c>
      <c r="B16" s="5" t="s">
        <v>40</v>
      </c>
      <c r="C16" s="5" t="s">
        <v>41</v>
      </c>
      <c r="D16" s="5" t="s">
        <v>1619</v>
      </c>
      <c r="E16" s="6">
        <v>90189084</v>
      </c>
      <c r="F16" s="6">
        <v>54</v>
      </c>
      <c r="G16" s="6">
        <f t="shared" si="1"/>
        <v>6</v>
      </c>
      <c r="H16" s="6" t="s">
        <v>1622</v>
      </c>
      <c r="I16" s="5">
        <v>12.16</v>
      </c>
      <c r="J16" s="5">
        <f t="shared" si="0"/>
        <v>656.64</v>
      </c>
    </row>
    <row r="17" spans="1:10" x14ac:dyDescent="0.25">
      <c r="A17" s="9">
        <v>22</v>
      </c>
      <c r="B17" s="5" t="s">
        <v>42</v>
      </c>
      <c r="C17" s="5" t="s">
        <v>43</v>
      </c>
      <c r="D17" s="5" t="s">
        <v>1618</v>
      </c>
      <c r="E17" s="6">
        <v>90189084</v>
      </c>
      <c r="F17" s="6">
        <v>18</v>
      </c>
      <c r="G17" s="6">
        <f t="shared" si="1"/>
        <v>2</v>
      </c>
      <c r="H17" s="6" t="s">
        <v>1622</v>
      </c>
      <c r="I17" s="5">
        <v>180.79</v>
      </c>
      <c r="J17" s="5">
        <f t="shared" si="0"/>
        <v>3254.22</v>
      </c>
    </row>
    <row r="18" spans="1:10" x14ac:dyDescent="0.25">
      <c r="A18" s="9">
        <v>23</v>
      </c>
      <c r="B18" s="5" t="s">
        <v>44</v>
      </c>
      <c r="C18" s="5" t="s">
        <v>43</v>
      </c>
      <c r="D18" s="5" t="s">
        <v>1618</v>
      </c>
      <c r="E18" s="6">
        <v>90189084</v>
      </c>
      <c r="F18" s="6">
        <v>18</v>
      </c>
      <c r="G18" s="6">
        <f t="shared" si="1"/>
        <v>2</v>
      </c>
      <c r="H18" s="6" t="s">
        <v>1622</v>
      </c>
      <c r="I18" s="5">
        <v>180.79</v>
      </c>
      <c r="J18" s="5">
        <f t="shared" si="0"/>
        <v>3254.22</v>
      </c>
    </row>
    <row r="19" spans="1:10" x14ac:dyDescent="0.25">
      <c r="A19" s="9">
        <v>24</v>
      </c>
      <c r="B19" s="5" t="s">
        <v>45</v>
      </c>
      <c r="C19" s="5" t="s">
        <v>43</v>
      </c>
      <c r="D19" s="5" t="s">
        <v>1618</v>
      </c>
      <c r="E19" s="6">
        <v>90189084</v>
      </c>
      <c r="F19" s="6">
        <v>18</v>
      </c>
      <c r="G19" s="6">
        <f t="shared" si="1"/>
        <v>2</v>
      </c>
      <c r="H19" s="6" t="s">
        <v>1622</v>
      </c>
      <c r="I19" s="5">
        <v>180.79</v>
      </c>
      <c r="J19" s="5">
        <f t="shared" si="0"/>
        <v>3254.22</v>
      </c>
    </row>
    <row r="20" spans="1:10" x14ac:dyDescent="0.25">
      <c r="A20" s="9">
        <v>25</v>
      </c>
      <c r="B20" s="5" t="s">
        <v>46</v>
      </c>
      <c r="C20" s="5" t="s">
        <v>47</v>
      </c>
      <c r="D20" s="5" t="s">
        <v>1619</v>
      </c>
      <c r="E20" s="6">
        <v>90189084</v>
      </c>
      <c r="F20" s="6">
        <v>18</v>
      </c>
      <c r="G20" s="6">
        <f t="shared" si="1"/>
        <v>2</v>
      </c>
      <c r="H20" s="6" t="s">
        <v>1622</v>
      </c>
      <c r="I20" s="5">
        <v>40.380000000000003</v>
      </c>
      <c r="J20" s="5">
        <f t="shared" si="0"/>
        <v>726.84</v>
      </c>
    </row>
    <row r="21" spans="1:10" x14ac:dyDescent="0.25">
      <c r="A21" s="9">
        <v>26</v>
      </c>
      <c r="B21" s="5" t="s">
        <v>48</v>
      </c>
      <c r="C21" s="5" t="s">
        <v>49</v>
      </c>
      <c r="D21" s="5" t="s">
        <v>1619</v>
      </c>
      <c r="E21" s="6">
        <v>90189084</v>
      </c>
      <c r="F21" s="6">
        <v>18</v>
      </c>
      <c r="G21" s="6">
        <f t="shared" si="1"/>
        <v>2</v>
      </c>
      <c r="H21" s="6" t="s">
        <v>1622</v>
      </c>
      <c r="I21" s="5">
        <v>34.35</v>
      </c>
      <c r="J21" s="5">
        <f t="shared" si="0"/>
        <v>618.30000000000007</v>
      </c>
    </row>
    <row r="22" spans="1:10" x14ac:dyDescent="0.25">
      <c r="A22" s="9">
        <v>27</v>
      </c>
      <c r="B22" s="5" t="s">
        <v>50</v>
      </c>
      <c r="C22" s="5" t="s">
        <v>51</v>
      </c>
      <c r="D22" s="5" t="s">
        <v>1618</v>
      </c>
      <c r="E22" s="6">
        <v>90189084</v>
      </c>
      <c r="F22" s="6">
        <v>18</v>
      </c>
      <c r="G22" s="6">
        <f t="shared" si="1"/>
        <v>2</v>
      </c>
      <c r="H22" s="6" t="s">
        <v>1622</v>
      </c>
      <c r="I22" s="5">
        <v>114.98</v>
      </c>
      <c r="J22" s="5">
        <f t="shared" si="0"/>
        <v>2069.64</v>
      </c>
    </row>
    <row r="23" spans="1:10" x14ac:dyDescent="0.25">
      <c r="A23" s="9">
        <v>28</v>
      </c>
      <c r="B23" s="5" t="s">
        <v>52</v>
      </c>
      <c r="C23" s="5" t="s">
        <v>53</v>
      </c>
      <c r="D23" s="5" t="s">
        <v>1618</v>
      </c>
      <c r="E23" s="6">
        <v>90189084</v>
      </c>
      <c r="F23" s="6">
        <v>18</v>
      </c>
      <c r="G23" s="6">
        <f t="shared" si="1"/>
        <v>2</v>
      </c>
      <c r="H23" s="6" t="s">
        <v>1622</v>
      </c>
      <c r="I23" s="5">
        <v>194.87</v>
      </c>
      <c r="J23" s="5">
        <f t="shared" si="0"/>
        <v>3507.66</v>
      </c>
    </row>
    <row r="24" spans="1:10" x14ac:dyDescent="0.25">
      <c r="A24" s="9">
        <v>29</v>
      </c>
      <c r="B24" s="5" t="s">
        <v>54</v>
      </c>
      <c r="C24" s="5" t="s">
        <v>55</v>
      </c>
      <c r="D24" s="5" t="s">
        <v>1618</v>
      </c>
      <c r="E24" s="6">
        <v>90189084</v>
      </c>
      <c r="F24" s="6">
        <v>18</v>
      </c>
      <c r="G24" s="6">
        <f t="shared" si="1"/>
        <v>2</v>
      </c>
      <c r="H24" s="6" t="s">
        <v>1622</v>
      </c>
      <c r="I24" s="5">
        <v>117.33</v>
      </c>
      <c r="J24" s="5">
        <f t="shared" si="0"/>
        <v>2111.94</v>
      </c>
    </row>
    <row r="25" spans="1:10" x14ac:dyDescent="0.25">
      <c r="A25" s="9">
        <v>30</v>
      </c>
      <c r="B25" s="5" t="s">
        <v>56</v>
      </c>
      <c r="C25" s="5" t="s">
        <v>57</v>
      </c>
      <c r="D25" s="5" t="s">
        <v>1618</v>
      </c>
      <c r="E25" s="6">
        <v>90189084</v>
      </c>
      <c r="F25" s="6">
        <v>9</v>
      </c>
      <c r="G25" s="6">
        <f t="shared" si="1"/>
        <v>1</v>
      </c>
      <c r="H25" s="6" t="s">
        <v>1622</v>
      </c>
      <c r="I25" s="5">
        <v>119.58</v>
      </c>
      <c r="J25" s="5">
        <f t="shared" si="0"/>
        <v>1076.22</v>
      </c>
    </row>
    <row r="26" spans="1:10" x14ac:dyDescent="0.25">
      <c r="A26" s="9">
        <v>31</v>
      </c>
      <c r="B26" s="5" t="s">
        <v>58</v>
      </c>
      <c r="C26" s="5" t="s">
        <v>59</v>
      </c>
      <c r="D26" s="5" t="s">
        <v>1618</v>
      </c>
      <c r="E26" s="6">
        <v>90189084</v>
      </c>
      <c r="F26" s="6">
        <v>18</v>
      </c>
      <c r="G26" s="6">
        <f t="shared" si="1"/>
        <v>2</v>
      </c>
      <c r="H26" s="6" t="s">
        <v>1622</v>
      </c>
      <c r="I26" s="5">
        <v>123.03</v>
      </c>
      <c r="J26" s="5">
        <f t="shared" si="0"/>
        <v>2214.54</v>
      </c>
    </row>
    <row r="27" spans="1:10" x14ac:dyDescent="0.25">
      <c r="A27" s="9">
        <v>32</v>
      </c>
      <c r="B27" s="5" t="s">
        <v>60</v>
      </c>
      <c r="C27" s="5" t="s">
        <v>61</v>
      </c>
      <c r="D27" s="5" t="s">
        <v>1618</v>
      </c>
      <c r="E27" s="6">
        <v>90189084</v>
      </c>
      <c r="F27" s="6">
        <v>18</v>
      </c>
      <c r="G27" s="6">
        <f t="shared" si="1"/>
        <v>2</v>
      </c>
      <c r="H27" s="6" t="s">
        <v>1622</v>
      </c>
      <c r="I27" s="5">
        <v>94.46</v>
      </c>
      <c r="J27" s="5">
        <f t="shared" si="0"/>
        <v>1700.28</v>
      </c>
    </row>
    <row r="28" spans="1:10" x14ac:dyDescent="0.25">
      <c r="A28" s="9">
        <v>33</v>
      </c>
      <c r="B28" s="5" t="s">
        <v>62</v>
      </c>
      <c r="C28" s="5" t="s">
        <v>63</v>
      </c>
      <c r="D28" s="5" t="s">
        <v>1618</v>
      </c>
      <c r="E28" s="6">
        <v>90189084</v>
      </c>
      <c r="F28" s="6">
        <v>9</v>
      </c>
      <c r="G28" s="6">
        <f t="shared" si="1"/>
        <v>1</v>
      </c>
      <c r="H28" s="6" t="s">
        <v>1622</v>
      </c>
      <c r="I28" s="5">
        <v>94.46</v>
      </c>
      <c r="J28" s="5">
        <f t="shared" si="0"/>
        <v>850.14</v>
      </c>
    </row>
    <row r="29" spans="1:10" x14ac:dyDescent="0.25">
      <c r="A29" s="9">
        <v>34</v>
      </c>
      <c r="B29" s="5" t="s">
        <v>64</v>
      </c>
      <c r="C29" s="5" t="s">
        <v>65</v>
      </c>
      <c r="D29" s="5" t="s">
        <v>1618</v>
      </c>
      <c r="E29" s="6">
        <v>90189084</v>
      </c>
      <c r="F29" s="6">
        <v>9</v>
      </c>
      <c r="G29" s="6">
        <f t="shared" si="1"/>
        <v>1</v>
      </c>
      <c r="H29" s="6" t="s">
        <v>1622</v>
      </c>
      <c r="I29" s="5">
        <v>95.29</v>
      </c>
      <c r="J29" s="5">
        <f t="shared" si="0"/>
        <v>857.61</v>
      </c>
    </row>
    <row r="30" spans="1:10" x14ac:dyDescent="0.25">
      <c r="A30" s="9">
        <v>35</v>
      </c>
      <c r="B30" s="5" t="s">
        <v>66</v>
      </c>
      <c r="C30" s="5" t="s">
        <v>67</v>
      </c>
      <c r="D30" s="5" t="s">
        <v>1618</v>
      </c>
      <c r="E30" s="6">
        <v>90189084</v>
      </c>
      <c r="F30" s="6">
        <v>18</v>
      </c>
      <c r="G30" s="6">
        <f t="shared" si="1"/>
        <v>2</v>
      </c>
      <c r="H30" s="6" t="s">
        <v>1622</v>
      </c>
      <c r="I30" s="5">
        <v>105.87</v>
      </c>
      <c r="J30" s="5">
        <f t="shared" si="0"/>
        <v>1905.66</v>
      </c>
    </row>
    <row r="31" spans="1:10" x14ac:dyDescent="0.25">
      <c r="A31" s="9">
        <v>36</v>
      </c>
      <c r="B31" s="5" t="s">
        <v>68</v>
      </c>
      <c r="C31" s="5" t="s">
        <v>69</v>
      </c>
      <c r="D31" s="5" t="s">
        <v>1618</v>
      </c>
      <c r="E31" s="6">
        <v>90189084</v>
      </c>
      <c r="F31" s="6">
        <v>18</v>
      </c>
      <c r="G31" s="6">
        <f t="shared" si="1"/>
        <v>2</v>
      </c>
      <c r="H31" s="6" t="s">
        <v>1622</v>
      </c>
      <c r="I31" s="5">
        <v>145.96</v>
      </c>
      <c r="J31" s="5">
        <f t="shared" si="0"/>
        <v>2627.28</v>
      </c>
    </row>
    <row r="32" spans="1:10" x14ac:dyDescent="0.25">
      <c r="A32" s="9">
        <v>37</v>
      </c>
      <c r="B32" s="5" t="s">
        <v>70</v>
      </c>
      <c r="C32" s="5" t="s">
        <v>71</v>
      </c>
      <c r="D32" s="5" t="s">
        <v>1618</v>
      </c>
      <c r="E32" s="6">
        <v>90189084</v>
      </c>
      <c r="F32" s="6">
        <v>9</v>
      </c>
      <c r="G32" s="6">
        <f t="shared" si="1"/>
        <v>1</v>
      </c>
      <c r="H32" s="6" t="s">
        <v>1622</v>
      </c>
      <c r="I32" s="5">
        <v>102.84</v>
      </c>
      <c r="J32" s="5">
        <f t="shared" si="0"/>
        <v>925.56000000000006</v>
      </c>
    </row>
    <row r="33" spans="1:10" x14ac:dyDescent="0.25">
      <c r="A33" s="9">
        <v>38</v>
      </c>
      <c r="B33" s="5" t="s">
        <v>72</v>
      </c>
      <c r="C33" s="5" t="s">
        <v>73</v>
      </c>
      <c r="D33" s="5" t="s">
        <v>1618</v>
      </c>
      <c r="E33" s="6">
        <v>90189084</v>
      </c>
      <c r="F33" s="6">
        <v>9</v>
      </c>
      <c r="G33" s="6">
        <f t="shared" si="1"/>
        <v>1</v>
      </c>
      <c r="H33" s="6" t="s">
        <v>1622</v>
      </c>
      <c r="I33" s="5">
        <v>115.11</v>
      </c>
      <c r="J33" s="5">
        <f t="shared" si="0"/>
        <v>1035.99</v>
      </c>
    </row>
    <row r="34" spans="1:10" x14ac:dyDescent="0.25">
      <c r="A34" s="9">
        <v>39</v>
      </c>
      <c r="B34" s="5" t="s">
        <v>74</v>
      </c>
      <c r="C34" s="5" t="s">
        <v>75</v>
      </c>
      <c r="D34" s="5" t="s">
        <v>1618</v>
      </c>
      <c r="E34" s="6">
        <v>90189084</v>
      </c>
      <c r="F34" s="6">
        <v>27</v>
      </c>
      <c r="G34" s="6">
        <f t="shared" si="1"/>
        <v>3</v>
      </c>
      <c r="H34" s="6" t="s">
        <v>1622</v>
      </c>
      <c r="I34" s="5">
        <v>12.49</v>
      </c>
      <c r="J34" s="5">
        <f t="shared" si="0"/>
        <v>337.23</v>
      </c>
    </row>
    <row r="35" spans="1:10" x14ac:dyDescent="0.25">
      <c r="A35" s="9">
        <v>40</v>
      </c>
      <c r="B35" s="5" t="s">
        <v>76</v>
      </c>
      <c r="C35" s="5" t="s">
        <v>77</v>
      </c>
      <c r="D35" s="5" t="s">
        <v>1618</v>
      </c>
      <c r="E35" s="6">
        <v>90189084</v>
      </c>
      <c r="F35" s="6">
        <v>27</v>
      </c>
      <c r="G35" s="6">
        <f t="shared" si="1"/>
        <v>3</v>
      </c>
      <c r="H35" s="6" t="s">
        <v>1622</v>
      </c>
      <c r="I35" s="5">
        <v>24.74</v>
      </c>
      <c r="J35" s="5">
        <f t="shared" si="0"/>
        <v>667.9799999999999</v>
      </c>
    </row>
    <row r="36" spans="1:10" x14ac:dyDescent="0.25">
      <c r="A36" s="9">
        <v>41</v>
      </c>
      <c r="B36" s="5" t="s">
        <v>78</v>
      </c>
      <c r="C36" s="5" t="s">
        <v>79</v>
      </c>
      <c r="D36" s="5" t="s">
        <v>1618</v>
      </c>
      <c r="E36" s="6">
        <v>90189084</v>
      </c>
      <c r="F36" s="6">
        <v>27</v>
      </c>
      <c r="G36" s="6">
        <f t="shared" si="1"/>
        <v>3</v>
      </c>
      <c r="H36" s="6" t="s">
        <v>1622</v>
      </c>
      <c r="I36" s="5">
        <v>30.61</v>
      </c>
      <c r="J36" s="5">
        <f t="shared" si="0"/>
        <v>826.47</v>
      </c>
    </row>
    <row r="37" spans="1:10" x14ac:dyDescent="0.25">
      <c r="A37" s="9">
        <v>42</v>
      </c>
      <c r="B37" s="5" t="s">
        <v>80</v>
      </c>
      <c r="C37" s="5" t="s">
        <v>81</v>
      </c>
      <c r="D37" s="5" t="s">
        <v>1618</v>
      </c>
      <c r="E37" s="6">
        <v>90189084</v>
      </c>
      <c r="F37" s="6">
        <v>27</v>
      </c>
      <c r="G37" s="6">
        <f t="shared" si="1"/>
        <v>3</v>
      </c>
      <c r="H37" s="6" t="s">
        <v>1622</v>
      </c>
      <c r="I37" s="5">
        <v>34.76</v>
      </c>
      <c r="J37" s="5">
        <f t="shared" si="0"/>
        <v>938.52</v>
      </c>
    </row>
    <row r="38" spans="1:10" x14ac:dyDescent="0.25">
      <c r="A38" s="9">
        <v>43</v>
      </c>
      <c r="B38" s="5" t="s">
        <v>82</v>
      </c>
      <c r="C38" s="5" t="s">
        <v>83</v>
      </c>
      <c r="D38" s="5" t="s">
        <v>1618</v>
      </c>
      <c r="E38" s="6">
        <v>90189084</v>
      </c>
      <c r="F38" s="6">
        <v>27</v>
      </c>
      <c r="G38" s="6">
        <f t="shared" si="1"/>
        <v>3</v>
      </c>
      <c r="H38" s="6" t="s">
        <v>1622</v>
      </c>
      <c r="I38" s="5">
        <v>32.56</v>
      </c>
      <c r="J38" s="5">
        <f t="shared" si="0"/>
        <v>879.12000000000012</v>
      </c>
    </row>
    <row r="39" spans="1:10" x14ac:dyDescent="0.25">
      <c r="A39" s="9">
        <v>44</v>
      </c>
      <c r="B39" s="5" t="s">
        <v>80</v>
      </c>
      <c r="C39" s="5" t="s">
        <v>81</v>
      </c>
      <c r="D39" s="5" t="s">
        <v>1618</v>
      </c>
      <c r="E39" s="6">
        <v>90189084</v>
      </c>
      <c r="F39" s="6">
        <v>27</v>
      </c>
      <c r="G39" s="6">
        <f t="shared" si="1"/>
        <v>3</v>
      </c>
      <c r="H39" s="6" t="s">
        <v>1622</v>
      </c>
      <c r="I39" s="5">
        <v>34.76</v>
      </c>
      <c r="J39" s="5">
        <f t="shared" si="0"/>
        <v>938.52</v>
      </c>
    </row>
    <row r="40" spans="1:10" x14ac:dyDescent="0.25">
      <c r="A40" s="9">
        <v>45</v>
      </c>
      <c r="B40" s="5" t="s">
        <v>84</v>
      </c>
      <c r="C40" s="5" t="s">
        <v>85</v>
      </c>
      <c r="D40" s="5" t="s">
        <v>1618</v>
      </c>
      <c r="E40" s="6">
        <v>90189084</v>
      </c>
      <c r="F40" s="6">
        <v>18</v>
      </c>
      <c r="G40" s="6">
        <f t="shared" si="1"/>
        <v>2</v>
      </c>
      <c r="H40" s="6" t="s">
        <v>1622</v>
      </c>
      <c r="I40" s="5">
        <v>24.98</v>
      </c>
      <c r="J40" s="5">
        <f t="shared" si="0"/>
        <v>449.64</v>
      </c>
    </row>
    <row r="41" spans="1:10" x14ac:dyDescent="0.25">
      <c r="A41" s="9">
        <v>46</v>
      </c>
      <c r="B41" s="5" t="s">
        <v>86</v>
      </c>
      <c r="C41" s="5" t="s">
        <v>87</v>
      </c>
      <c r="D41" s="5" t="s">
        <v>1618</v>
      </c>
      <c r="E41" s="6">
        <v>90189084</v>
      </c>
      <c r="F41" s="6">
        <v>18</v>
      </c>
      <c r="G41" s="6">
        <f t="shared" si="1"/>
        <v>2</v>
      </c>
      <c r="H41" s="6" t="s">
        <v>1622</v>
      </c>
      <c r="I41" s="5">
        <v>53.11</v>
      </c>
      <c r="J41" s="5">
        <f t="shared" si="0"/>
        <v>955.98</v>
      </c>
    </row>
    <row r="42" spans="1:10" x14ac:dyDescent="0.25">
      <c r="A42" s="9">
        <v>47</v>
      </c>
      <c r="B42" s="5" t="s">
        <v>88</v>
      </c>
      <c r="C42" s="5" t="s">
        <v>89</v>
      </c>
      <c r="D42" s="5" t="s">
        <v>1618</v>
      </c>
      <c r="E42" s="6">
        <v>90189084</v>
      </c>
      <c r="F42" s="6">
        <v>9</v>
      </c>
      <c r="G42" s="6">
        <f t="shared" si="1"/>
        <v>1</v>
      </c>
      <c r="H42" s="6" t="s">
        <v>1622</v>
      </c>
      <c r="I42" s="5">
        <v>53.11</v>
      </c>
      <c r="J42" s="5">
        <f t="shared" si="0"/>
        <v>477.99</v>
      </c>
    </row>
    <row r="43" spans="1:10" x14ac:dyDescent="0.25">
      <c r="A43" s="9">
        <v>48</v>
      </c>
      <c r="B43" s="5" t="s">
        <v>90</v>
      </c>
      <c r="C43" s="5" t="s">
        <v>91</v>
      </c>
      <c r="D43" s="5" t="s">
        <v>1618</v>
      </c>
      <c r="E43" s="6">
        <v>90189084</v>
      </c>
      <c r="F43" s="6">
        <v>9</v>
      </c>
      <c r="G43" s="6">
        <f t="shared" si="1"/>
        <v>1</v>
      </c>
      <c r="H43" s="6" t="s">
        <v>1622</v>
      </c>
      <c r="I43" s="5">
        <v>68.739999999999995</v>
      </c>
      <c r="J43" s="5">
        <f t="shared" si="0"/>
        <v>618.66</v>
      </c>
    </row>
    <row r="44" spans="1:10" x14ac:dyDescent="0.25">
      <c r="A44" s="9">
        <v>49</v>
      </c>
      <c r="B44" s="5" t="s">
        <v>92</v>
      </c>
      <c r="C44" s="5" t="s">
        <v>93</v>
      </c>
      <c r="D44" s="5" t="s">
        <v>1618</v>
      </c>
      <c r="E44" s="6">
        <v>90189084</v>
      </c>
      <c r="F44" s="6">
        <v>18</v>
      </c>
      <c r="G44" s="6">
        <f t="shared" si="1"/>
        <v>2</v>
      </c>
      <c r="H44" s="6" t="s">
        <v>1622</v>
      </c>
      <c r="I44" s="5">
        <v>72.28</v>
      </c>
      <c r="J44" s="5">
        <f t="shared" si="0"/>
        <v>1301.04</v>
      </c>
    </row>
    <row r="45" spans="1:10" x14ac:dyDescent="0.25">
      <c r="A45" s="9">
        <v>50</v>
      </c>
      <c r="B45" s="5" t="s">
        <v>94</v>
      </c>
      <c r="C45" s="5" t="s">
        <v>95</v>
      </c>
      <c r="D45" s="5" t="s">
        <v>1619</v>
      </c>
      <c r="E45" s="6">
        <v>90189084</v>
      </c>
      <c r="F45" s="6">
        <v>18</v>
      </c>
      <c r="G45" s="6">
        <f t="shared" si="1"/>
        <v>2</v>
      </c>
      <c r="H45" s="6" t="s">
        <v>1622</v>
      </c>
      <c r="I45" s="5">
        <v>48.3</v>
      </c>
      <c r="J45" s="5">
        <f t="shared" si="0"/>
        <v>869.4</v>
      </c>
    </row>
    <row r="46" spans="1:10" x14ac:dyDescent="0.25">
      <c r="A46" s="9">
        <v>51</v>
      </c>
      <c r="B46" s="5" t="s">
        <v>96</v>
      </c>
      <c r="C46" s="5" t="s">
        <v>97</v>
      </c>
      <c r="D46" s="5" t="s">
        <v>1618</v>
      </c>
      <c r="E46" s="6">
        <v>90189084</v>
      </c>
      <c r="F46" s="6">
        <v>18</v>
      </c>
      <c r="G46" s="6">
        <f t="shared" si="1"/>
        <v>2</v>
      </c>
      <c r="H46" s="6" t="s">
        <v>1622</v>
      </c>
      <c r="I46" s="5">
        <v>54.35</v>
      </c>
      <c r="J46" s="5">
        <f t="shared" si="0"/>
        <v>978.30000000000007</v>
      </c>
    </row>
    <row r="47" spans="1:10" x14ac:dyDescent="0.25">
      <c r="A47" s="9">
        <v>52</v>
      </c>
      <c r="B47" s="5" t="s">
        <v>98</v>
      </c>
      <c r="C47" s="5" t="s">
        <v>99</v>
      </c>
      <c r="D47" s="5" t="s">
        <v>1619</v>
      </c>
      <c r="E47" s="6">
        <v>90189084</v>
      </c>
      <c r="F47" s="6">
        <v>27</v>
      </c>
      <c r="G47" s="6">
        <f t="shared" si="1"/>
        <v>3</v>
      </c>
      <c r="H47" s="6" t="s">
        <v>1622</v>
      </c>
      <c r="I47" s="5">
        <v>15</v>
      </c>
      <c r="J47" s="5">
        <f t="shared" si="0"/>
        <v>405</v>
      </c>
    </row>
    <row r="48" spans="1:10" x14ac:dyDescent="0.25">
      <c r="A48" s="9">
        <v>53</v>
      </c>
      <c r="B48" s="5" t="s">
        <v>100</v>
      </c>
      <c r="C48" s="5" t="s">
        <v>101</v>
      </c>
      <c r="D48" s="5" t="s">
        <v>1618</v>
      </c>
      <c r="E48" s="6">
        <v>90189084</v>
      </c>
      <c r="F48" s="6">
        <v>18</v>
      </c>
      <c r="G48" s="6">
        <f t="shared" si="1"/>
        <v>2</v>
      </c>
      <c r="H48" s="6" t="s">
        <v>1622</v>
      </c>
      <c r="I48" s="5">
        <v>69.319999999999993</v>
      </c>
      <c r="J48" s="5">
        <f t="shared" si="0"/>
        <v>1247.7599999999998</v>
      </c>
    </row>
    <row r="49" spans="1:10" x14ac:dyDescent="0.25">
      <c r="A49" s="9">
        <v>54</v>
      </c>
      <c r="B49" s="5" t="s">
        <v>102</v>
      </c>
      <c r="C49" s="5" t="s">
        <v>103</v>
      </c>
      <c r="D49" s="5" t="s">
        <v>1619</v>
      </c>
      <c r="E49" s="6">
        <v>90189084</v>
      </c>
      <c r="F49" s="6">
        <v>18</v>
      </c>
      <c r="G49" s="6">
        <f t="shared" si="1"/>
        <v>2</v>
      </c>
      <c r="H49" s="6" t="s">
        <v>1622</v>
      </c>
      <c r="I49" s="5">
        <v>16.100000000000001</v>
      </c>
      <c r="J49" s="5">
        <f t="shared" si="0"/>
        <v>289.8</v>
      </c>
    </row>
    <row r="50" spans="1:10" x14ac:dyDescent="0.25">
      <c r="A50" s="9">
        <v>55</v>
      </c>
      <c r="B50" s="5" t="s">
        <v>104</v>
      </c>
      <c r="C50" s="5" t="s">
        <v>105</v>
      </c>
      <c r="D50" s="5" t="s">
        <v>1618</v>
      </c>
      <c r="E50" s="6">
        <v>90189084</v>
      </c>
      <c r="F50" s="6">
        <v>9</v>
      </c>
      <c r="G50" s="6">
        <f t="shared" si="1"/>
        <v>1</v>
      </c>
      <c r="H50" s="6" t="s">
        <v>1622</v>
      </c>
      <c r="I50" s="5">
        <v>72.400000000000006</v>
      </c>
      <c r="J50" s="5">
        <f t="shared" si="0"/>
        <v>651.6</v>
      </c>
    </row>
    <row r="51" spans="1:10" x14ac:dyDescent="0.25">
      <c r="A51" s="9">
        <v>56</v>
      </c>
      <c r="B51" s="5" t="s">
        <v>106</v>
      </c>
      <c r="C51" s="5" t="s">
        <v>107</v>
      </c>
      <c r="D51" s="5" t="s">
        <v>1619</v>
      </c>
      <c r="E51" s="6">
        <v>90189084</v>
      </c>
      <c r="F51" s="6">
        <v>18</v>
      </c>
      <c r="G51" s="6">
        <f t="shared" si="1"/>
        <v>2</v>
      </c>
      <c r="H51" s="6" t="s">
        <v>1622</v>
      </c>
      <c r="I51" s="5">
        <v>42.75</v>
      </c>
      <c r="J51" s="5">
        <f t="shared" si="0"/>
        <v>769.5</v>
      </c>
    </row>
    <row r="52" spans="1:10" x14ac:dyDescent="0.25">
      <c r="A52" s="9">
        <v>57</v>
      </c>
      <c r="B52" s="5" t="s">
        <v>108</v>
      </c>
      <c r="C52" s="5" t="s">
        <v>109</v>
      </c>
      <c r="D52" s="5" t="s">
        <v>1619</v>
      </c>
      <c r="E52" s="6">
        <v>90189084</v>
      </c>
      <c r="F52" s="6">
        <v>18</v>
      </c>
      <c r="G52" s="6">
        <f t="shared" si="1"/>
        <v>2</v>
      </c>
      <c r="H52" s="6" t="s">
        <v>1622</v>
      </c>
      <c r="I52" s="5">
        <v>68.040000000000006</v>
      </c>
      <c r="J52" s="5">
        <f t="shared" si="0"/>
        <v>1224.72</v>
      </c>
    </row>
    <row r="53" spans="1:10" x14ac:dyDescent="0.25">
      <c r="A53" s="9">
        <v>58</v>
      </c>
      <c r="B53" s="5" t="s">
        <v>110</v>
      </c>
      <c r="C53" s="5" t="s">
        <v>111</v>
      </c>
      <c r="D53" s="5" t="s">
        <v>1619</v>
      </c>
      <c r="E53" s="6">
        <v>90189084</v>
      </c>
      <c r="F53" s="6">
        <v>27</v>
      </c>
      <c r="G53" s="6">
        <f t="shared" si="1"/>
        <v>3</v>
      </c>
      <c r="H53" s="6" t="s">
        <v>1622</v>
      </c>
      <c r="I53" s="5">
        <v>92.52</v>
      </c>
      <c r="J53" s="5">
        <f t="shared" si="0"/>
        <v>2498.04</v>
      </c>
    </row>
    <row r="54" spans="1:10" x14ac:dyDescent="0.25">
      <c r="A54" s="9">
        <v>59</v>
      </c>
      <c r="B54" s="5" t="s">
        <v>112</v>
      </c>
      <c r="C54" s="5" t="s">
        <v>113</v>
      </c>
      <c r="D54" s="5" t="s">
        <v>1618</v>
      </c>
      <c r="E54" s="6">
        <v>73269098</v>
      </c>
      <c r="F54" s="6">
        <v>9</v>
      </c>
      <c r="G54" s="6">
        <f t="shared" si="1"/>
        <v>1</v>
      </c>
      <c r="H54" s="6" t="s">
        <v>1622</v>
      </c>
      <c r="I54" s="5">
        <v>2023.1</v>
      </c>
      <c r="J54" s="5">
        <f t="shared" si="0"/>
        <v>18207.899999999998</v>
      </c>
    </row>
    <row r="55" spans="1:10" x14ac:dyDescent="0.25">
      <c r="A55" s="9">
        <v>60</v>
      </c>
      <c r="B55" s="5" t="s">
        <v>114</v>
      </c>
      <c r="C55" s="5" t="s">
        <v>115</v>
      </c>
      <c r="D55" s="5" t="s">
        <v>1618</v>
      </c>
      <c r="E55" s="6">
        <v>73269098</v>
      </c>
      <c r="F55" s="6">
        <v>9</v>
      </c>
      <c r="G55" s="6">
        <f t="shared" si="1"/>
        <v>1</v>
      </c>
      <c r="H55" s="6" t="s">
        <v>1622</v>
      </c>
      <c r="I55" s="5">
        <v>322.33</v>
      </c>
      <c r="J55" s="5">
        <f t="shared" si="0"/>
        <v>2900.97</v>
      </c>
    </row>
    <row r="56" spans="1:10" x14ac:dyDescent="0.25">
      <c r="A56" s="9">
        <v>61</v>
      </c>
      <c r="B56" s="5" t="s">
        <v>116</v>
      </c>
      <c r="C56" s="5" t="s">
        <v>117</v>
      </c>
      <c r="D56" s="5" t="s">
        <v>1618</v>
      </c>
      <c r="E56" s="6">
        <v>73269098</v>
      </c>
      <c r="F56" s="6">
        <v>9</v>
      </c>
      <c r="G56" s="6">
        <f t="shared" si="1"/>
        <v>1</v>
      </c>
      <c r="H56" s="6" t="s">
        <v>1622</v>
      </c>
      <c r="I56" s="5">
        <v>1506.54</v>
      </c>
      <c r="J56" s="5">
        <f t="shared" si="0"/>
        <v>13558.86</v>
      </c>
    </row>
    <row r="57" spans="1:10" x14ac:dyDescent="0.25">
      <c r="A57" s="9">
        <v>62</v>
      </c>
      <c r="B57" s="5" t="s">
        <v>118</v>
      </c>
      <c r="C57" s="5" t="s">
        <v>119</v>
      </c>
      <c r="D57" s="5" t="s">
        <v>1618</v>
      </c>
      <c r="E57" s="6">
        <v>73269098</v>
      </c>
      <c r="F57" s="6">
        <v>18</v>
      </c>
      <c r="G57" s="6">
        <f t="shared" si="1"/>
        <v>2</v>
      </c>
      <c r="H57" s="6" t="s">
        <v>1622</v>
      </c>
      <c r="I57" s="5">
        <v>644.59</v>
      </c>
      <c r="J57" s="5">
        <f t="shared" si="0"/>
        <v>11602.62</v>
      </c>
    </row>
    <row r="58" spans="1:10" x14ac:dyDescent="0.25">
      <c r="A58" s="9">
        <v>63</v>
      </c>
      <c r="B58" s="5" t="s">
        <v>120</v>
      </c>
      <c r="C58" s="5" t="s">
        <v>121</v>
      </c>
      <c r="D58" s="5" t="s">
        <v>1618</v>
      </c>
      <c r="E58" s="6">
        <v>73269098</v>
      </c>
      <c r="F58" s="6">
        <v>54</v>
      </c>
      <c r="G58" s="6">
        <f t="shared" si="1"/>
        <v>6</v>
      </c>
      <c r="H58" s="6" t="s">
        <v>1622</v>
      </c>
      <c r="I58" s="5">
        <v>576.89</v>
      </c>
      <c r="J58" s="5">
        <f t="shared" si="0"/>
        <v>31152.059999999998</v>
      </c>
    </row>
    <row r="59" spans="1:10" x14ac:dyDescent="0.25">
      <c r="A59" s="9">
        <v>64</v>
      </c>
      <c r="B59" s="5" t="s">
        <v>122</v>
      </c>
      <c r="C59" s="5" t="s">
        <v>123</v>
      </c>
      <c r="D59" s="5" t="s">
        <v>1618</v>
      </c>
      <c r="E59" s="6">
        <v>73269098</v>
      </c>
      <c r="F59" s="6">
        <v>54</v>
      </c>
      <c r="G59" s="6">
        <f t="shared" si="1"/>
        <v>6</v>
      </c>
      <c r="H59" s="6" t="s">
        <v>1622</v>
      </c>
      <c r="I59" s="5">
        <v>122.8</v>
      </c>
      <c r="J59" s="5">
        <f t="shared" si="0"/>
        <v>6631.2</v>
      </c>
    </row>
    <row r="60" spans="1:10" x14ac:dyDescent="0.25">
      <c r="A60" s="9">
        <v>65</v>
      </c>
      <c r="B60" s="5" t="s">
        <v>124</v>
      </c>
      <c r="C60" s="5" t="s">
        <v>125</v>
      </c>
      <c r="D60" s="5" t="s">
        <v>1618</v>
      </c>
      <c r="E60" s="6">
        <v>73269098</v>
      </c>
      <c r="F60" s="6">
        <v>9</v>
      </c>
      <c r="G60" s="6">
        <f t="shared" si="1"/>
        <v>1</v>
      </c>
      <c r="H60" s="6" t="s">
        <v>1622</v>
      </c>
      <c r="I60" s="5">
        <v>365.19</v>
      </c>
      <c r="J60" s="5">
        <f t="shared" ref="J60:J65" si="2">F60*I60</f>
        <v>3286.71</v>
      </c>
    </row>
    <row r="61" spans="1:10" x14ac:dyDescent="0.25">
      <c r="A61" s="9">
        <v>66</v>
      </c>
      <c r="B61" s="5" t="s">
        <v>126</v>
      </c>
      <c r="C61" s="5" t="s">
        <v>127</v>
      </c>
      <c r="D61" s="5" t="s">
        <v>1618</v>
      </c>
      <c r="E61" s="6">
        <v>90189084</v>
      </c>
      <c r="F61" s="6">
        <v>9</v>
      </c>
      <c r="G61" s="6">
        <f t="shared" si="1"/>
        <v>1</v>
      </c>
      <c r="H61" s="6" t="s">
        <v>1622</v>
      </c>
      <c r="I61" s="5">
        <v>127.21</v>
      </c>
      <c r="J61" s="5">
        <f t="shared" si="2"/>
        <v>1144.8899999999999</v>
      </c>
    </row>
    <row r="62" spans="1:10" x14ac:dyDescent="0.25">
      <c r="A62" s="9">
        <v>67</v>
      </c>
      <c r="B62" s="5" t="s">
        <v>128</v>
      </c>
      <c r="C62" s="5" t="s">
        <v>129</v>
      </c>
      <c r="D62" s="5" t="s">
        <v>1618</v>
      </c>
      <c r="E62" s="6">
        <v>90189084</v>
      </c>
      <c r="F62" s="6">
        <v>36</v>
      </c>
      <c r="G62" s="6">
        <f t="shared" si="1"/>
        <v>4</v>
      </c>
      <c r="H62" s="6" t="s">
        <v>1622</v>
      </c>
      <c r="I62" s="5">
        <v>195.95</v>
      </c>
      <c r="J62" s="5">
        <f t="shared" si="2"/>
        <v>7054.2</v>
      </c>
    </row>
    <row r="63" spans="1:10" x14ac:dyDescent="0.25">
      <c r="A63" s="9">
        <v>68</v>
      </c>
      <c r="B63" s="5" t="s">
        <v>130</v>
      </c>
      <c r="C63" s="5" t="s">
        <v>131</v>
      </c>
      <c r="D63" s="5" t="s">
        <v>1618</v>
      </c>
      <c r="E63" s="6">
        <v>90189084</v>
      </c>
      <c r="F63" s="6">
        <v>9</v>
      </c>
      <c r="G63" s="6">
        <f t="shared" si="1"/>
        <v>1</v>
      </c>
      <c r="H63" s="6" t="s">
        <v>1622</v>
      </c>
      <c r="I63" s="5">
        <v>186.66</v>
      </c>
      <c r="J63" s="5">
        <f t="shared" si="2"/>
        <v>1679.94</v>
      </c>
    </row>
    <row r="64" spans="1:10" x14ac:dyDescent="0.25">
      <c r="A64" s="9">
        <v>69</v>
      </c>
      <c r="B64" s="5" t="s">
        <v>132</v>
      </c>
      <c r="C64" s="5" t="s">
        <v>133</v>
      </c>
      <c r="D64" s="5" t="s">
        <v>1618</v>
      </c>
      <c r="E64" s="6">
        <v>73269098</v>
      </c>
      <c r="F64" s="6">
        <v>27</v>
      </c>
      <c r="G64" s="6">
        <f t="shared" si="1"/>
        <v>3</v>
      </c>
      <c r="H64" s="6" t="s">
        <v>1622</v>
      </c>
      <c r="I64" s="5">
        <v>82.27</v>
      </c>
      <c r="J64" s="5">
        <f t="shared" si="2"/>
        <v>2221.29</v>
      </c>
    </row>
    <row r="65" spans="1:10" x14ac:dyDescent="0.25">
      <c r="A65" s="9">
        <v>70</v>
      </c>
      <c r="B65" s="5" t="s">
        <v>134</v>
      </c>
      <c r="C65" s="5" t="s">
        <v>135</v>
      </c>
      <c r="D65" s="5" t="s">
        <v>1618</v>
      </c>
      <c r="E65" s="6">
        <v>73269098</v>
      </c>
      <c r="F65" s="6">
        <v>27</v>
      </c>
      <c r="G65" s="6">
        <f t="shared" si="1"/>
        <v>3</v>
      </c>
      <c r="H65" s="6" t="s">
        <v>1622</v>
      </c>
      <c r="I65" s="5">
        <v>59.01</v>
      </c>
      <c r="J65" s="5">
        <f t="shared" si="2"/>
        <v>1593.27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5501-420E-4712-B5C3-496629F753F0}">
  <dimension ref="A1:K38"/>
  <sheetViews>
    <sheetView topLeftCell="A11" workbookViewId="0">
      <selection activeCell="G3" sqref="G3:G38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1664</v>
      </c>
      <c r="D2" s="11"/>
      <c r="E2" s="12"/>
      <c r="F2" s="12">
        <v>16</v>
      </c>
      <c r="G2" s="12"/>
      <c r="H2" s="12"/>
      <c r="I2" s="2"/>
      <c r="J2" s="13"/>
    </row>
    <row r="3" spans="1:10" x14ac:dyDescent="0.25">
      <c r="A3" s="9">
        <v>71</v>
      </c>
      <c r="B3" s="5" t="s">
        <v>36</v>
      </c>
      <c r="C3" s="5" t="s">
        <v>37</v>
      </c>
      <c r="D3" s="5" t="s">
        <v>1619</v>
      </c>
      <c r="E3" s="6">
        <v>90189084</v>
      </c>
      <c r="F3" s="6">
        <v>64</v>
      </c>
      <c r="G3" s="6">
        <f>F3/$F$2</f>
        <v>4</v>
      </c>
      <c r="H3" s="6" t="s">
        <v>1622</v>
      </c>
      <c r="I3" s="5">
        <v>11.64</v>
      </c>
      <c r="J3" s="5">
        <f t="shared" ref="J3:J38" si="0">F3*I3</f>
        <v>744.96</v>
      </c>
    </row>
    <row r="4" spans="1:10" x14ac:dyDescent="0.25">
      <c r="A4" s="9">
        <v>72</v>
      </c>
      <c r="B4" s="5" t="s">
        <v>136</v>
      </c>
      <c r="C4" s="5" t="s">
        <v>137</v>
      </c>
      <c r="D4" s="5" t="s">
        <v>1618</v>
      </c>
      <c r="E4" s="6">
        <v>90189084</v>
      </c>
      <c r="F4" s="6">
        <v>16</v>
      </c>
      <c r="G4" s="6">
        <f t="shared" ref="G4:G38" si="1">F4/$F$2</f>
        <v>1</v>
      </c>
      <c r="H4" s="6" t="s">
        <v>1622</v>
      </c>
      <c r="I4" s="5">
        <v>3.7</v>
      </c>
      <c r="J4" s="5">
        <f t="shared" si="0"/>
        <v>59.2</v>
      </c>
    </row>
    <row r="5" spans="1:10" x14ac:dyDescent="0.25">
      <c r="A5" s="9">
        <v>73</v>
      </c>
      <c r="B5" s="5" t="s">
        <v>324</v>
      </c>
      <c r="C5" s="5" t="s">
        <v>325</v>
      </c>
      <c r="D5" s="5" t="s">
        <v>1619</v>
      </c>
      <c r="E5" s="6">
        <v>90189084</v>
      </c>
      <c r="F5" s="6">
        <v>32</v>
      </c>
      <c r="G5" s="6">
        <f t="shared" si="1"/>
        <v>2</v>
      </c>
      <c r="H5" s="6" t="s">
        <v>1622</v>
      </c>
      <c r="I5" s="5">
        <v>17.03</v>
      </c>
      <c r="J5" s="5">
        <f t="shared" si="0"/>
        <v>544.96</v>
      </c>
    </row>
    <row r="6" spans="1:10" x14ac:dyDescent="0.25">
      <c r="A6" s="9">
        <v>74</v>
      </c>
      <c r="B6" s="5" t="s">
        <v>326</v>
      </c>
      <c r="C6" s="5" t="s">
        <v>327</v>
      </c>
      <c r="D6" s="5" t="s">
        <v>1619</v>
      </c>
      <c r="E6" s="6">
        <v>90189084</v>
      </c>
      <c r="F6" s="6">
        <v>64</v>
      </c>
      <c r="G6" s="6">
        <f t="shared" si="1"/>
        <v>4</v>
      </c>
      <c r="H6" s="6" t="s">
        <v>1622</v>
      </c>
      <c r="I6" s="5">
        <v>14.54</v>
      </c>
      <c r="J6" s="5">
        <f t="shared" si="0"/>
        <v>930.56</v>
      </c>
    </row>
    <row r="7" spans="1:10" x14ac:dyDescent="0.25">
      <c r="A7" s="9">
        <v>75</v>
      </c>
      <c r="B7" s="5" t="s">
        <v>328</v>
      </c>
      <c r="C7" s="5" t="s">
        <v>329</v>
      </c>
      <c r="D7" s="5" t="s">
        <v>1619</v>
      </c>
      <c r="E7" s="6">
        <v>90189084</v>
      </c>
      <c r="F7" s="6">
        <v>32</v>
      </c>
      <c r="G7" s="6">
        <f t="shared" si="1"/>
        <v>2</v>
      </c>
      <c r="H7" s="6" t="s">
        <v>1622</v>
      </c>
      <c r="I7" s="5">
        <v>16.63</v>
      </c>
      <c r="J7" s="5">
        <f t="shared" si="0"/>
        <v>532.16</v>
      </c>
    </row>
    <row r="8" spans="1:10" x14ac:dyDescent="0.25">
      <c r="A8" s="9">
        <v>76</v>
      </c>
      <c r="B8" s="5" t="s">
        <v>168</v>
      </c>
      <c r="C8" s="5" t="s">
        <v>169</v>
      </c>
      <c r="D8" s="5" t="s">
        <v>1619</v>
      </c>
      <c r="E8" s="6">
        <v>90189084</v>
      </c>
      <c r="F8" s="6">
        <v>32</v>
      </c>
      <c r="G8" s="6">
        <f t="shared" si="1"/>
        <v>2</v>
      </c>
      <c r="H8" s="6" t="s">
        <v>1622</v>
      </c>
      <c r="I8" s="5">
        <v>11.93</v>
      </c>
      <c r="J8" s="5">
        <f t="shared" si="0"/>
        <v>381.76</v>
      </c>
    </row>
    <row r="9" spans="1:10" x14ac:dyDescent="0.25">
      <c r="A9" s="9">
        <v>77</v>
      </c>
      <c r="B9" s="5" t="s">
        <v>330</v>
      </c>
      <c r="C9" s="5" t="s">
        <v>331</v>
      </c>
      <c r="D9" s="5" t="s">
        <v>1619</v>
      </c>
      <c r="E9" s="6">
        <v>90189084</v>
      </c>
      <c r="F9" s="6">
        <v>32</v>
      </c>
      <c r="G9" s="6">
        <f t="shared" si="1"/>
        <v>2</v>
      </c>
      <c r="H9" s="6" t="s">
        <v>1622</v>
      </c>
      <c r="I9" s="5">
        <v>24</v>
      </c>
      <c r="J9" s="5">
        <f t="shared" si="0"/>
        <v>768</v>
      </c>
    </row>
    <row r="10" spans="1:10" x14ac:dyDescent="0.25">
      <c r="A10" s="9">
        <v>78</v>
      </c>
      <c r="B10" s="5" t="s">
        <v>332</v>
      </c>
      <c r="C10" s="5" t="s">
        <v>333</v>
      </c>
      <c r="D10" s="5" t="s">
        <v>1619</v>
      </c>
      <c r="E10" s="6">
        <v>90189084</v>
      </c>
      <c r="F10" s="6">
        <v>32</v>
      </c>
      <c r="G10" s="6">
        <f t="shared" si="1"/>
        <v>2</v>
      </c>
      <c r="H10" s="6" t="s">
        <v>1622</v>
      </c>
      <c r="I10" s="5">
        <v>36.81</v>
      </c>
      <c r="J10" s="5">
        <f t="shared" si="0"/>
        <v>1177.92</v>
      </c>
    </row>
    <row r="11" spans="1:10" x14ac:dyDescent="0.25">
      <c r="A11" s="9">
        <v>79</v>
      </c>
      <c r="B11" s="5" t="s">
        <v>334</v>
      </c>
      <c r="C11" s="5" t="s">
        <v>335</v>
      </c>
      <c r="D11" s="5" t="s">
        <v>1618</v>
      </c>
      <c r="E11" s="6">
        <v>90189084</v>
      </c>
      <c r="F11" s="6">
        <v>16</v>
      </c>
      <c r="G11" s="6">
        <f t="shared" si="1"/>
        <v>1</v>
      </c>
      <c r="H11" s="6" t="s">
        <v>1622</v>
      </c>
      <c r="I11" s="5">
        <v>33.549999999999997</v>
      </c>
      <c r="J11" s="5">
        <f t="shared" si="0"/>
        <v>536.79999999999995</v>
      </c>
    </row>
    <row r="12" spans="1:10" x14ac:dyDescent="0.25">
      <c r="A12" s="9">
        <v>80</v>
      </c>
      <c r="B12" s="5" t="s">
        <v>336</v>
      </c>
      <c r="C12" s="5" t="s">
        <v>337</v>
      </c>
      <c r="D12" s="5" t="s">
        <v>1619</v>
      </c>
      <c r="E12" s="6">
        <v>90189084</v>
      </c>
      <c r="F12" s="6">
        <v>32</v>
      </c>
      <c r="G12" s="6">
        <f t="shared" si="1"/>
        <v>2</v>
      </c>
      <c r="H12" s="6" t="s">
        <v>1622</v>
      </c>
      <c r="I12" s="5">
        <v>20.85</v>
      </c>
      <c r="J12" s="5">
        <f t="shared" si="0"/>
        <v>667.2</v>
      </c>
    </row>
    <row r="13" spans="1:10" x14ac:dyDescent="0.25">
      <c r="A13" s="9">
        <v>81</v>
      </c>
      <c r="B13" s="5" t="s">
        <v>338</v>
      </c>
      <c r="C13" s="5" t="s">
        <v>339</v>
      </c>
      <c r="D13" s="5" t="s">
        <v>1619</v>
      </c>
      <c r="E13" s="6">
        <v>90189084</v>
      </c>
      <c r="F13" s="6">
        <v>32</v>
      </c>
      <c r="G13" s="6">
        <f t="shared" si="1"/>
        <v>2</v>
      </c>
      <c r="H13" s="6" t="s">
        <v>1622</v>
      </c>
      <c r="I13" s="5">
        <v>14.97</v>
      </c>
      <c r="J13" s="5">
        <f t="shared" si="0"/>
        <v>479.04</v>
      </c>
    </row>
    <row r="14" spans="1:10" x14ac:dyDescent="0.25">
      <c r="A14" s="9">
        <v>82</v>
      </c>
      <c r="B14" s="5" t="s">
        <v>98</v>
      </c>
      <c r="C14" s="5" t="s">
        <v>99</v>
      </c>
      <c r="D14" s="5" t="s">
        <v>1619</v>
      </c>
      <c r="E14" s="6">
        <v>90189084</v>
      </c>
      <c r="F14" s="6">
        <v>16</v>
      </c>
      <c r="G14" s="6">
        <f t="shared" si="1"/>
        <v>1</v>
      </c>
      <c r="H14" s="6" t="s">
        <v>1622</v>
      </c>
      <c r="I14" s="5">
        <v>15</v>
      </c>
      <c r="J14" s="5">
        <f t="shared" si="0"/>
        <v>240</v>
      </c>
    </row>
    <row r="15" spans="1:10" x14ac:dyDescent="0.25">
      <c r="A15" s="9">
        <v>83</v>
      </c>
      <c r="B15" s="5" t="s">
        <v>102</v>
      </c>
      <c r="C15" s="5" t="s">
        <v>103</v>
      </c>
      <c r="D15" s="5" t="s">
        <v>1619</v>
      </c>
      <c r="E15" s="6">
        <v>90189084</v>
      </c>
      <c r="F15" s="6">
        <v>16</v>
      </c>
      <c r="G15" s="6">
        <f t="shared" si="1"/>
        <v>1</v>
      </c>
      <c r="H15" s="6" t="s">
        <v>1622</v>
      </c>
      <c r="I15" s="5">
        <v>16.100000000000001</v>
      </c>
      <c r="J15" s="5">
        <f t="shared" si="0"/>
        <v>257.60000000000002</v>
      </c>
    </row>
    <row r="16" spans="1:10" x14ac:dyDescent="0.25">
      <c r="A16" s="9">
        <v>84</v>
      </c>
      <c r="B16" s="5" t="s">
        <v>340</v>
      </c>
      <c r="C16" s="5" t="s">
        <v>341</v>
      </c>
      <c r="D16" s="5" t="s">
        <v>1618</v>
      </c>
      <c r="E16" s="6">
        <v>90189084</v>
      </c>
      <c r="F16" s="6">
        <v>16</v>
      </c>
      <c r="G16" s="6">
        <f t="shared" si="1"/>
        <v>1</v>
      </c>
      <c r="H16" s="6" t="s">
        <v>1622</v>
      </c>
      <c r="I16" s="5">
        <v>12.24</v>
      </c>
      <c r="J16" s="5">
        <f t="shared" si="0"/>
        <v>195.84</v>
      </c>
    </row>
    <row r="17" spans="1:10" x14ac:dyDescent="0.25">
      <c r="A17" s="9">
        <v>85</v>
      </c>
      <c r="B17" s="5" t="s">
        <v>178</v>
      </c>
      <c r="C17" s="5" t="s">
        <v>179</v>
      </c>
      <c r="D17" s="5" t="s">
        <v>1618</v>
      </c>
      <c r="E17" s="6">
        <v>90189084</v>
      </c>
      <c r="F17" s="6">
        <v>16</v>
      </c>
      <c r="G17" s="6">
        <f t="shared" si="1"/>
        <v>1</v>
      </c>
      <c r="H17" s="6" t="s">
        <v>1622</v>
      </c>
      <c r="I17" s="5">
        <v>12.99</v>
      </c>
      <c r="J17" s="5">
        <f t="shared" si="0"/>
        <v>207.84</v>
      </c>
    </row>
    <row r="18" spans="1:10" x14ac:dyDescent="0.25">
      <c r="A18" s="9">
        <v>86</v>
      </c>
      <c r="B18" s="5" t="s">
        <v>1608</v>
      </c>
      <c r="C18" s="5" t="s">
        <v>1613</v>
      </c>
      <c r="D18" s="5" t="s">
        <v>1618</v>
      </c>
      <c r="E18" s="6">
        <v>90189084</v>
      </c>
      <c r="F18" s="6">
        <v>16</v>
      </c>
      <c r="G18" s="6">
        <f t="shared" si="1"/>
        <v>1</v>
      </c>
      <c r="H18" s="6" t="s">
        <v>1622</v>
      </c>
      <c r="I18" s="5">
        <v>31.05</v>
      </c>
      <c r="J18" s="5">
        <f t="shared" si="0"/>
        <v>496.8</v>
      </c>
    </row>
    <row r="19" spans="1:10" x14ac:dyDescent="0.25">
      <c r="A19" s="9">
        <v>87</v>
      </c>
      <c r="B19" s="5" t="s">
        <v>342</v>
      </c>
      <c r="C19" s="5" t="s">
        <v>343</v>
      </c>
      <c r="D19" s="5" t="s">
        <v>1618</v>
      </c>
      <c r="E19" s="6">
        <v>90189084</v>
      </c>
      <c r="F19" s="6">
        <v>32</v>
      </c>
      <c r="G19" s="6">
        <f t="shared" si="1"/>
        <v>2</v>
      </c>
      <c r="H19" s="6" t="s">
        <v>1622</v>
      </c>
      <c r="I19" s="5">
        <v>66.78</v>
      </c>
      <c r="J19" s="5">
        <f t="shared" si="0"/>
        <v>2136.96</v>
      </c>
    </row>
    <row r="20" spans="1:10" x14ac:dyDescent="0.25">
      <c r="A20" s="9">
        <v>88</v>
      </c>
      <c r="B20" s="5" t="s">
        <v>344</v>
      </c>
      <c r="C20" s="5" t="s">
        <v>345</v>
      </c>
      <c r="D20" s="5" t="s">
        <v>1618</v>
      </c>
      <c r="E20" s="6">
        <v>90189084</v>
      </c>
      <c r="F20" s="6">
        <v>32</v>
      </c>
      <c r="G20" s="6">
        <f t="shared" si="1"/>
        <v>2</v>
      </c>
      <c r="H20" s="6" t="s">
        <v>1622</v>
      </c>
      <c r="I20" s="5">
        <v>56.65</v>
      </c>
      <c r="J20" s="5">
        <f t="shared" si="0"/>
        <v>1812.8</v>
      </c>
    </row>
    <row r="21" spans="1:10" x14ac:dyDescent="0.25">
      <c r="A21" s="9">
        <v>89</v>
      </c>
      <c r="B21" s="5" t="s">
        <v>158</v>
      </c>
      <c r="C21" s="5" t="s">
        <v>159</v>
      </c>
      <c r="D21" s="5" t="s">
        <v>1619</v>
      </c>
      <c r="E21" s="6">
        <v>90189084</v>
      </c>
      <c r="F21" s="6">
        <v>16</v>
      </c>
      <c r="G21" s="6">
        <f t="shared" si="1"/>
        <v>1</v>
      </c>
      <c r="H21" s="6" t="s">
        <v>1622</v>
      </c>
      <c r="I21" s="5">
        <v>20.68</v>
      </c>
      <c r="J21" s="5">
        <f t="shared" si="0"/>
        <v>330.88</v>
      </c>
    </row>
    <row r="22" spans="1:10" x14ac:dyDescent="0.25">
      <c r="A22" s="9">
        <v>90</v>
      </c>
      <c r="B22" s="5" t="s">
        <v>346</v>
      </c>
      <c r="C22" s="5" t="s">
        <v>347</v>
      </c>
      <c r="D22" s="5" t="s">
        <v>1618</v>
      </c>
      <c r="E22" s="6">
        <v>90189084</v>
      </c>
      <c r="F22" s="6">
        <v>16</v>
      </c>
      <c r="G22" s="6">
        <f t="shared" si="1"/>
        <v>1</v>
      </c>
      <c r="H22" s="6" t="s">
        <v>1622</v>
      </c>
      <c r="I22" s="5">
        <v>20.440000000000001</v>
      </c>
      <c r="J22" s="5">
        <f t="shared" si="0"/>
        <v>327.04000000000002</v>
      </c>
    </row>
    <row r="23" spans="1:10" x14ac:dyDescent="0.25">
      <c r="A23" s="9">
        <v>91</v>
      </c>
      <c r="B23" s="5" t="s">
        <v>348</v>
      </c>
      <c r="C23" s="5" t="s">
        <v>349</v>
      </c>
      <c r="D23" s="5" t="s">
        <v>1619</v>
      </c>
      <c r="E23" s="6">
        <v>90189084</v>
      </c>
      <c r="F23" s="6">
        <v>16</v>
      </c>
      <c r="G23" s="6">
        <f t="shared" si="1"/>
        <v>1</v>
      </c>
      <c r="H23" s="6" t="s">
        <v>1622</v>
      </c>
      <c r="I23" s="5">
        <v>48.8</v>
      </c>
      <c r="J23" s="5">
        <f t="shared" si="0"/>
        <v>780.8</v>
      </c>
    </row>
    <row r="24" spans="1:10" x14ac:dyDescent="0.25">
      <c r="A24" s="9">
        <v>92</v>
      </c>
      <c r="B24" s="5" t="s">
        <v>350</v>
      </c>
      <c r="C24" s="5" t="s">
        <v>351</v>
      </c>
      <c r="D24" s="5" t="s">
        <v>1618</v>
      </c>
      <c r="E24" s="6">
        <v>90189084</v>
      </c>
      <c r="F24" s="6">
        <v>16</v>
      </c>
      <c r="G24" s="6">
        <f t="shared" si="1"/>
        <v>1</v>
      </c>
      <c r="H24" s="6" t="s">
        <v>1622</v>
      </c>
      <c r="I24" s="5">
        <v>19.760000000000002</v>
      </c>
      <c r="J24" s="5">
        <f t="shared" si="0"/>
        <v>316.16000000000003</v>
      </c>
    </row>
    <row r="25" spans="1:10" x14ac:dyDescent="0.25">
      <c r="A25" s="9">
        <v>93</v>
      </c>
      <c r="B25" s="5" t="s">
        <v>352</v>
      </c>
      <c r="C25" s="5" t="s">
        <v>353</v>
      </c>
      <c r="D25" s="5" t="s">
        <v>1619</v>
      </c>
      <c r="E25" s="6">
        <v>90189084</v>
      </c>
      <c r="F25" s="6">
        <v>16</v>
      </c>
      <c r="G25" s="6">
        <f t="shared" si="1"/>
        <v>1</v>
      </c>
      <c r="H25" s="6" t="s">
        <v>1622</v>
      </c>
      <c r="I25" s="5">
        <v>6.89</v>
      </c>
      <c r="J25" s="5">
        <f t="shared" si="0"/>
        <v>110.24</v>
      </c>
    </row>
    <row r="26" spans="1:10" x14ac:dyDescent="0.25">
      <c r="A26" s="9">
        <v>94</v>
      </c>
      <c r="B26" s="5" t="s">
        <v>354</v>
      </c>
      <c r="C26" s="5" t="s">
        <v>355</v>
      </c>
      <c r="D26" s="5" t="s">
        <v>1619</v>
      </c>
      <c r="E26" s="6">
        <v>90189084</v>
      </c>
      <c r="F26" s="6">
        <v>16</v>
      </c>
      <c r="G26" s="6">
        <f t="shared" si="1"/>
        <v>1</v>
      </c>
      <c r="H26" s="6" t="s">
        <v>1622</v>
      </c>
      <c r="I26" s="5">
        <v>4.76</v>
      </c>
      <c r="J26" s="5">
        <f t="shared" si="0"/>
        <v>76.16</v>
      </c>
    </row>
    <row r="27" spans="1:10" x14ac:dyDescent="0.25">
      <c r="A27" s="9">
        <v>95</v>
      </c>
      <c r="B27" s="5" t="s">
        <v>356</v>
      </c>
      <c r="C27" s="5" t="s">
        <v>357</v>
      </c>
      <c r="D27" s="5" t="s">
        <v>1619</v>
      </c>
      <c r="E27" s="6">
        <v>90189084</v>
      </c>
      <c r="F27" s="6">
        <v>16</v>
      </c>
      <c r="G27" s="6">
        <f t="shared" si="1"/>
        <v>1</v>
      </c>
      <c r="H27" s="6" t="s">
        <v>1622</v>
      </c>
      <c r="I27" s="5">
        <v>47.25</v>
      </c>
      <c r="J27" s="5">
        <f t="shared" si="0"/>
        <v>756</v>
      </c>
    </row>
    <row r="28" spans="1:10" x14ac:dyDescent="0.25">
      <c r="A28" s="9">
        <v>96</v>
      </c>
      <c r="B28" s="5" t="s">
        <v>358</v>
      </c>
      <c r="C28" s="5" t="s">
        <v>359</v>
      </c>
      <c r="D28" s="5" t="s">
        <v>1618</v>
      </c>
      <c r="E28" s="6">
        <v>90189084</v>
      </c>
      <c r="F28" s="6">
        <v>16</v>
      </c>
      <c r="G28" s="6">
        <f t="shared" si="1"/>
        <v>1</v>
      </c>
      <c r="H28" s="6" t="s">
        <v>1622</v>
      </c>
      <c r="I28" s="5">
        <v>23.29</v>
      </c>
      <c r="J28" s="5">
        <f t="shared" si="0"/>
        <v>372.64</v>
      </c>
    </row>
    <row r="29" spans="1:10" x14ac:dyDescent="0.25">
      <c r="A29" s="9">
        <v>97</v>
      </c>
      <c r="B29" s="5" t="s">
        <v>360</v>
      </c>
      <c r="C29" s="5" t="s">
        <v>361</v>
      </c>
      <c r="D29" s="5" t="s">
        <v>1620</v>
      </c>
      <c r="E29" s="6">
        <v>73269098</v>
      </c>
      <c r="F29" s="6">
        <v>16</v>
      </c>
      <c r="G29" s="6">
        <f t="shared" si="1"/>
        <v>1</v>
      </c>
      <c r="H29" s="6" t="s">
        <v>1622</v>
      </c>
      <c r="I29" s="5">
        <v>7.7</v>
      </c>
      <c r="J29" s="5">
        <f t="shared" si="0"/>
        <v>123.2</v>
      </c>
    </row>
    <row r="30" spans="1:10" x14ac:dyDescent="0.25">
      <c r="A30" s="9">
        <v>98</v>
      </c>
      <c r="B30" s="5" t="s">
        <v>362</v>
      </c>
      <c r="C30" s="5" t="s">
        <v>363</v>
      </c>
      <c r="D30" s="5" t="s">
        <v>1618</v>
      </c>
      <c r="E30" s="6">
        <v>76169990</v>
      </c>
      <c r="F30" s="6">
        <v>16</v>
      </c>
      <c r="G30" s="6">
        <f t="shared" si="1"/>
        <v>1</v>
      </c>
      <c r="H30" s="6" t="s">
        <v>1622</v>
      </c>
      <c r="I30" s="5">
        <v>417.23</v>
      </c>
      <c r="J30" s="5">
        <f t="shared" si="0"/>
        <v>6675.68</v>
      </c>
    </row>
    <row r="31" spans="1:10" x14ac:dyDescent="0.25">
      <c r="A31" s="9">
        <v>99</v>
      </c>
      <c r="B31" s="5" t="s">
        <v>288</v>
      </c>
      <c r="C31" s="5" t="s">
        <v>289</v>
      </c>
      <c r="D31" s="5" t="s">
        <v>1618</v>
      </c>
      <c r="E31" s="6">
        <v>39269097</v>
      </c>
      <c r="F31" s="6">
        <v>16</v>
      </c>
      <c r="G31" s="6">
        <f t="shared" si="1"/>
        <v>1</v>
      </c>
      <c r="H31" s="6" t="s">
        <v>1622</v>
      </c>
      <c r="I31" s="5">
        <v>4.0999999999999996</v>
      </c>
      <c r="J31" s="5">
        <f t="shared" si="0"/>
        <v>65.599999999999994</v>
      </c>
    </row>
    <row r="32" spans="1:10" x14ac:dyDescent="0.25">
      <c r="A32" s="9">
        <v>100</v>
      </c>
      <c r="B32" s="5" t="s">
        <v>364</v>
      </c>
      <c r="C32" s="5" t="s">
        <v>365</v>
      </c>
      <c r="D32" s="5" t="s">
        <v>1618</v>
      </c>
      <c r="E32" s="6">
        <v>90189084</v>
      </c>
      <c r="F32" s="6">
        <v>16</v>
      </c>
      <c r="G32" s="6">
        <f t="shared" si="1"/>
        <v>1</v>
      </c>
      <c r="H32" s="6" t="s">
        <v>1622</v>
      </c>
      <c r="I32" s="5">
        <v>70.08</v>
      </c>
      <c r="J32" s="5">
        <f t="shared" si="0"/>
        <v>1121.28</v>
      </c>
    </row>
    <row r="33" spans="1:10" x14ac:dyDescent="0.25">
      <c r="A33" s="9">
        <v>101</v>
      </c>
      <c r="B33" s="5" t="s">
        <v>366</v>
      </c>
      <c r="C33" s="5" t="s">
        <v>367</v>
      </c>
      <c r="D33" s="5" t="s">
        <v>1618</v>
      </c>
      <c r="E33" s="6">
        <v>90189084</v>
      </c>
      <c r="F33" s="6">
        <v>16</v>
      </c>
      <c r="G33" s="6">
        <f t="shared" si="1"/>
        <v>1</v>
      </c>
      <c r="H33" s="6" t="s">
        <v>1622</v>
      </c>
      <c r="I33" s="5">
        <v>206.07</v>
      </c>
      <c r="J33" s="5">
        <f t="shared" si="0"/>
        <v>3297.12</v>
      </c>
    </row>
    <row r="34" spans="1:10" x14ac:dyDescent="0.25">
      <c r="A34" s="9">
        <v>102</v>
      </c>
      <c r="B34" s="5" t="s">
        <v>368</v>
      </c>
      <c r="C34" s="5" t="s">
        <v>369</v>
      </c>
      <c r="D34" s="5" t="s">
        <v>1618</v>
      </c>
      <c r="E34" s="6">
        <v>90189084</v>
      </c>
      <c r="F34" s="6">
        <v>16</v>
      </c>
      <c r="G34" s="6">
        <f t="shared" si="1"/>
        <v>1</v>
      </c>
      <c r="H34" s="6" t="s">
        <v>1622</v>
      </c>
      <c r="I34" s="5">
        <v>27.72</v>
      </c>
      <c r="J34" s="5">
        <f t="shared" si="0"/>
        <v>443.52</v>
      </c>
    </row>
    <row r="35" spans="1:10" x14ac:dyDescent="0.25">
      <c r="A35" s="9">
        <v>103</v>
      </c>
      <c r="B35" s="5" t="s">
        <v>58</v>
      </c>
      <c r="C35" s="5" t="s">
        <v>59</v>
      </c>
      <c r="D35" s="5" t="s">
        <v>1618</v>
      </c>
      <c r="E35" s="6">
        <v>90189084</v>
      </c>
      <c r="F35" s="6">
        <v>16</v>
      </c>
      <c r="G35" s="6">
        <f t="shared" si="1"/>
        <v>1</v>
      </c>
      <c r="H35" s="6" t="s">
        <v>1622</v>
      </c>
      <c r="I35" s="5">
        <v>123.03</v>
      </c>
      <c r="J35" s="5">
        <f t="shared" si="0"/>
        <v>1968.48</v>
      </c>
    </row>
    <row r="36" spans="1:10" x14ac:dyDescent="0.25">
      <c r="A36" s="9">
        <v>104</v>
      </c>
      <c r="B36" s="5" t="s">
        <v>370</v>
      </c>
      <c r="C36" s="5" t="s">
        <v>371</v>
      </c>
      <c r="D36" s="5" t="s">
        <v>1618</v>
      </c>
      <c r="E36" s="6">
        <v>90189084</v>
      </c>
      <c r="F36" s="6">
        <v>16</v>
      </c>
      <c r="G36" s="6">
        <f t="shared" si="1"/>
        <v>1</v>
      </c>
      <c r="H36" s="6" t="s">
        <v>1622</v>
      </c>
      <c r="I36" s="5">
        <v>37.15</v>
      </c>
      <c r="J36" s="5">
        <f t="shared" si="0"/>
        <v>594.4</v>
      </c>
    </row>
    <row r="37" spans="1:10" x14ac:dyDescent="0.25">
      <c r="A37" s="9">
        <v>105</v>
      </c>
      <c r="B37" s="5" t="s">
        <v>372</v>
      </c>
      <c r="C37" s="5" t="s">
        <v>373</v>
      </c>
      <c r="D37" s="5" t="s">
        <v>1618</v>
      </c>
      <c r="E37" s="6">
        <v>90189084</v>
      </c>
      <c r="F37" s="6">
        <v>32</v>
      </c>
      <c r="G37" s="6">
        <f t="shared" si="1"/>
        <v>2</v>
      </c>
      <c r="H37" s="6" t="s">
        <v>1622</v>
      </c>
      <c r="I37" s="5">
        <v>72.94</v>
      </c>
      <c r="J37" s="5">
        <f t="shared" si="0"/>
        <v>2334.08</v>
      </c>
    </row>
    <row r="38" spans="1:10" x14ac:dyDescent="0.25">
      <c r="A38" s="9">
        <v>106</v>
      </c>
      <c r="B38" s="5" t="s">
        <v>374</v>
      </c>
      <c r="C38" s="5" t="s">
        <v>375</v>
      </c>
      <c r="D38" s="5" t="s">
        <v>1618</v>
      </c>
      <c r="E38" s="6">
        <v>73269098</v>
      </c>
      <c r="F38" s="6">
        <v>16</v>
      </c>
      <c r="G38" s="6">
        <f t="shared" si="1"/>
        <v>1</v>
      </c>
      <c r="H38" s="6" t="s">
        <v>1622</v>
      </c>
      <c r="I38" s="5">
        <v>76.72</v>
      </c>
      <c r="J38" s="5">
        <f t="shared" si="0"/>
        <v>1227.52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D800-6188-4513-973E-AA202BD86577}">
  <dimension ref="A1:K29"/>
  <sheetViews>
    <sheetView topLeftCell="A2" workbookViewId="0">
      <selection activeCell="G3" sqref="G3:G29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1665</v>
      </c>
      <c r="D2" s="11"/>
      <c r="E2" s="12"/>
      <c r="F2" s="12">
        <v>17</v>
      </c>
      <c r="G2" s="12"/>
      <c r="H2" s="12"/>
      <c r="I2" s="2"/>
      <c r="J2" s="13"/>
    </row>
    <row r="3" spans="1:10" x14ac:dyDescent="0.25">
      <c r="A3" s="9">
        <v>107</v>
      </c>
      <c r="B3" s="5" t="s">
        <v>376</v>
      </c>
      <c r="C3" s="5" t="s">
        <v>377</v>
      </c>
      <c r="D3" s="5" t="s">
        <v>1619</v>
      </c>
      <c r="E3" s="6">
        <v>90189084</v>
      </c>
      <c r="F3" s="6">
        <v>68</v>
      </c>
      <c r="G3" s="6">
        <f>F3/$F$2</f>
        <v>4</v>
      </c>
      <c r="H3" s="6" t="s">
        <v>1622</v>
      </c>
      <c r="I3" s="5">
        <v>13.03</v>
      </c>
      <c r="J3" s="5">
        <f t="shared" ref="J3:J22" si="0">F3*I3</f>
        <v>886.04</v>
      </c>
    </row>
    <row r="4" spans="1:10" x14ac:dyDescent="0.25">
      <c r="A4" s="9">
        <v>108</v>
      </c>
      <c r="B4" s="5" t="s">
        <v>136</v>
      </c>
      <c r="C4" s="5" t="s">
        <v>137</v>
      </c>
      <c r="D4" s="5" t="s">
        <v>1618</v>
      </c>
      <c r="E4" s="6">
        <v>90189084</v>
      </c>
      <c r="F4" s="6">
        <v>34</v>
      </c>
      <c r="G4" s="6">
        <f t="shared" ref="G4:G29" si="1">F4/$F$2</f>
        <v>2</v>
      </c>
      <c r="H4" s="6" t="s">
        <v>1622</v>
      </c>
      <c r="I4" s="5">
        <v>3.7</v>
      </c>
      <c r="J4" s="5">
        <f t="shared" si="0"/>
        <v>125.80000000000001</v>
      </c>
    </row>
    <row r="5" spans="1:10" x14ac:dyDescent="0.25">
      <c r="A5" s="9">
        <v>109</v>
      </c>
      <c r="B5" s="5" t="s">
        <v>324</v>
      </c>
      <c r="C5" s="5" t="s">
        <v>325</v>
      </c>
      <c r="D5" s="5" t="s">
        <v>1619</v>
      </c>
      <c r="E5" s="6">
        <v>90189084</v>
      </c>
      <c r="F5" s="6">
        <v>34</v>
      </c>
      <c r="G5" s="6">
        <f t="shared" si="1"/>
        <v>2</v>
      </c>
      <c r="H5" s="6" t="s">
        <v>1622</v>
      </c>
      <c r="I5" s="5">
        <v>17.03</v>
      </c>
      <c r="J5" s="5">
        <f t="shared" si="0"/>
        <v>579.02</v>
      </c>
    </row>
    <row r="6" spans="1:10" x14ac:dyDescent="0.25">
      <c r="A6" s="9">
        <v>110</v>
      </c>
      <c r="B6" s="5" t="s">
        <v>378</v>
      </c>
      <c r="C6" s="5" t="s">
        <v>379</v>
      </c>
      <c r="D6" s="5" t="s">
        <v>1619</v>
      </c>
      <c r="E6" s="6">
        <v>90189084</v>
      </c>
      <c r="F6" s="6">
        <v>34</v>
      </c>
      <c r="G6" s="6">
        <f t="shared" si="1"/>
        <v>2</v>
      </c>
      <c r="H6" s="6" t="s">
        <v>1622</v>
      </c>
      <c r="I6" s="5">
        <v>14.14</v>
      </c>
      <c r="J6" s="5">
        <f t="shared" si="0"/>
        <v>480.76</v>
      </c>
    </row>
    <row r="7" spans="1:10" x14ac:dyDescent="0.25">
      <c r="A7" s="9">
        <v>111</v>
      </c>
      <c r="B7" s="5" t="s">
        <v>326</v>
      </c>
      <c r="C7" s="5" t="s">
        <v>327</v>
      </c>
      <c r="D7" s="5" t="s">
        <v>1619</v>
      </c>
      <c r="E7" s="6">
        <v>90189084</v>
      </c>
      <c r="F7" s="6">
        <v>34</v>
      </c>
      <c r="G7" s="6">
        <f t="shared" si="1"/>
        <v>2</v>
      </c>
      <c r="H7" s="6" t="s">
        <v>1622</v>
      </c>
      <c r="I7" s="5">
        <v>14.54</v>
      </c>
      <c r="J7" s="5">
        <f t="shared" si="0"/>
        <v>494.35999999999996</v>
      </c>
    </row>
    <row r="8" spans="1:10" x14ac:dyDescent="0.25">
      <c r="A8" s="9">
        <v>112</v>
      </c>
      <c r="B8" s="5" t="s">
        <v>328</v>
      </c>
      <c r="C8" s="5" t="s">
        <v>329</v>
      </c>
      <c r="D8" s="5" t="s">
        <v>1619</v>
      </c>
      <c r="E8" s="6">
        <v>90189084</v>
      </c>
      <c r="F8" s="6">
        <v>34</v>
      </c>
      <c r="G8" s="6">
        <f t="shared" si="1"/>
        <v>2</v>
      </c>
      <c r="H8" s="6" t="s">
        <v>1622</v>
      </c>
      <c r="I8" s="5">
        <v>16.63</v>
      </c>
      <c r="J8" s="5">
        <f t="shared" si="0"/>
        <v>565.41999999999996</v>
      </c>
    </row>
    <row r="9" spans="1:10" x14ac:dyDescent="0.25">
      <c r="A9" s="9">
        <v>113</v>
      </c>
      <c r="B9" s="5" t="s">
        <v>168</v>
      </c>
      <c r="C9" s="5" t="s">
        <v>169</v>
      </c>
      <c r="D9" s="5" t="s">
        <v>1619</v>
      </c>
      <c r="E9" s="6">
        <v>90189084</v>
      </c>
      <c r="F9" s="6">
        <v>34</v>
      </c>
      <c r="G9" s="6">
        <f t="shared" si="1"/>
        <v>2</v>
      </c>
      <c r="H9" s="6" t="s">
        <v>1622</v>
      </c>
      <c r="I9" s="5">
        <v>11.93</v>
      </c>
      <c r="J9" s="5">
        <f t="shared" si="0"/>
        <v>405.62</v>
      </c>
    </row>
    <row r="10" spans="1:10" x14ac:dyDescent="0.25">
      <c r="A10" s="9">
        <v>114</v>
      </c>
      <c r="B10" s="5" t="s">
        <v>330</v>
      </c>
      <c r="C10" s="5" t="s">
        <v>331</v>
      </c>
      <c r="D10" s="5" t="s">
        <v>1619</v>
      </c>
      <c r="E10" s="6">
        <v>90189084</v>
      </c>
      <c r="F10" s="6">
        <v>34</v>
      </c>
      <c r="G10" s="6">
        <f t="shared" si="1"/>
        <v>2</v>
      </c>
      <c r="H10" s="6" t="s">
        <v>1622</v>
      </c>
      <c r="I10" s="5">
        <v>24</v>
      </c>
      <c r="J10" s="5">
        <f t="shared" si="0"/>
        <v>816</v>
      </c>
    </row>
    <row r="11" spans="1:10" x14ac:dyDescent="0.25">
      <c r="A11" s="9">
        <v>115</v>
      </c>
      <c r="B11" s="5" t="s">
        <v>332</v>
      </c>
      <c r="C11" s="5" t="s">
        <v>333</v>
      </c>
      <c r="D11" s="5" t="s">
        <v>1619</v>
      </c>
      <c r="E11" s="6">
        <v>90189084</v>
      </c>
      <c r="F11" s="6">
        <v>34</v>
      </c>
      <c r="G11" s="6">
        <f t="shared" si="1"/>
        <v>2</v>
      </c>
      <c r="H11" s="6" t="s">
        <v>1622</v>
      </c>
      <c r="I11" s="5">
        <v>36.81</v>
      </c>
      <c r="J11" s="5">
        <f t="shared" si="0"/>
        <v>1251.54</v>
      </c>
    </row>
    <row r="12" spans="1:10" x14ac:dyDescent="0.25">
      <c r="A12" s="9">
        <v>116</v>
      </c>
      <c r="B12" s="5" t="s">
        <v>380</v>
      </c>
      <c r="C12" s="5" t="s">
        <v>381</v>
      </c>
      <c r="D12" s="5" t="s">
        <v>1618</v>
      </c>
      <c r="E12" s="6">
        <v>90189084</v>
      </c>
      <c r="F12" s="6">
        <v>34</v>
      </c>
      <c r="G12" s="6">
        <f t="shared" si="1"/>
        <v>2</v>
      </c>
      <c r="H12" s="6" t="s">
        <v>1622</v>
      </c>
      <c r="I12" s="5">
        <v>87.63</v>
      </c>
      <c r="J12" s="5">
        <f t="shared" si="0"/>
        <v>2979.42</v>
      </c>
    </row>
    <row r="13" spans="1:10" x14ac:dyDescent="0.25">
      <c r="A13" s="9">
        <v>117</v>
      </c>
      <c r="B13" s="5" t="s">
        <v>382</v>
      </c>
      <c r="C13" s="5" t="s">
        <v>383</v>
      </c>
      <c r="D13" s="5" t="s">
        <v>1618</v>
      </c>
      <c r="E13" s="6">
        <v>90189084</v>
      </c>
      <c r="F13" s="6">
        <v>17</v>
      </c>
      <c r="G13" s="6">
        <f t="shared" si="1"/>
        <v>1</v>
      </c>
      <c r="H13" s="6" t="s">
        <v>1622</v>
      </c>
      <c r="I13" s="5">
        <v>48.07</v>
      </c>
      <c r="J13" s="5">
        <f t="shared" si="0"/>
        <v>817.19</v>
      </c>
    </row>
    <row r="14" spans="1:10" x14ac:dyDescent="0.25">
      <c r="A14" s="9">
        <v>118</v>
      </c>
      <c r="B14" s="5" t="s">
        <v>384</v>
      </c>
      <c r="C14" s="5" t="s">
        <v>385</v>
      </c>
      <c r="D14" s="5" t="s">
        <v>1618</v>
      </c>
      <c r="E14" s="6">
        <v>90189084</v>
      </c>
      <c r="F14" s="6">
        <v>17</v>
      </c>
      <c r="G14" s="6">
        <f t="shared" si="1"/>
        <v>1</v>
      </c>
      <c r="H14" s="6" t="s">
        <v>1622</v>
      </c>
      <c r="I14" s="5">
        <v>21.16</v>
      </c>
      <c r="J14" s="5">
        <f t="shared" si="0"/>
        <v>359.72</v>
      </c>
    </row>
    <row r="15" spans="1:10" x14ac:dyDescent="0.25">
      <c r="A15" s="9">
        <v>119</v>
      </c>
      <c r="B15" s="5" t="s">
        <v>386</v>
      </c>
      <c r="C15" s="5" t="s">
        <v>387</v>
      </c>
      <c r="D15" s="5" t="s">
        <v>1619</v>
      </c>
      <c r="E15" s="6">
        <v>90189084</v>
      </c>
      <c r="F15" s="6">
        <v>17</v>
      </c>
      <c r="G15" s="6">
        <f t="shared" si="1"/>
        <v>1</v>
      </c>
      <c r="H15" s="6" t="s">
        <v>1622</v>
      </c>
      <c r="I15" s="5">
        <v>13.5</v>
      </c>
      <c r="J15" s="5">
        <f t="shared" si="0"/>
        <v>229.5</v>
      </c>
    </row>
    <row r="16" spans="1:10" x14ac:dyDescent="0.25">
      <c r="A16" s="9">
        <v>120</v>
      </c>
      <c r="B16" s="5" t="s">
        <v>102</v>
      </c>
      <c r="C16" s="5" t="s">
        <v>103</v>
      </c>
      <c r="D16" s="5" t="s">
        <v>1619</v>
      </c>
      <c r="E16" s="6">
        <v>90189084</v>
      </c>
      <c r="F16" s="6">
        <v>17</v>
      </c>
      <c r="G16" s="6">
        <f t="shared" si="1"/>
        <v>1</v>
      </c>
      <c r="H16" s="6" t="s">
        <v>1622</v>
      </c>
      <c r="I16" s="5">
        <v>16.100000000000001</v>
      </c>
      <c r="J16" s="5">
        <f t="shared" si="0"/>
        <v>273.70000000000005</v>
      </c>
    </row>
    <row r="17" spans="1:10" x14ac:dyDescent="0.25">
      <c r="A17" s="9">
        <v>121</v>
      </c>
      <c r="B17" s="5" t="s">
        <v>340</v>
      </c>
      <c r="C17" s="5" t="s">
        <v>341</v>
      </c>
      <c r="D17" s="5" t="s">
        <v>1618</v>
      </c>
      <c r="E17" s="6">
        <v>90189084</v>
      </c>
      <c r="F17" s="6">
        <v>17</v>
      </c>
      <c r="G17" s="6">
        <f t="shared" si="1"/>
        <v>1</v>
      </c>
      <c r="H17" s="6" t="s">
        <v>1622</v>
      </c>
      <c r="I17" s="5">
        <v>12.24</v>
      </c>
      <c r="J17" s="5">
        <f t="shared" si="0"/>
        <v>208.08</v>
      </c>
    </row>
    <row r="18" spans="1:10" x14ac:dyDescent="0.25">
      <c r="A18" s="9">
        <v>122</v>
      </c>
      <c r="B18" s="5" t="s">
        <v>178</v>
      </c>
      <c r="C18" s="5" t="s">
        <v>179</v>
      </c>
      <c r="D18" s="5" t="s">
        <v>1618</v>
      </c>
      <c r="E18" s="6">
        <v>90189084</v>
      </c>
      <c r="F18" s="6">
        <v>17</v>
      </c>
      <c r="G18" s="6">
        <f t="shared" si="1"/>
        <v>1</v>
      </c>
      <c r="H18" s="6" t="s">
        <v>1622</v>
      </c>
      <c r="I18" s="5">
        <v>12.99</v>
      </c>
      <c r="J18" s="5">
        <f t="shared" si="0"/>
        <v>220.83</v>
      </c>
    </row>
    <row r="19" spans="1:10" x14ac:dyDescent="0.25">
      <c r="A19" s="9">
        <v>123</v>
      </c>
      <c r="B19" s="5" t="s">
        <v>158</v>
      </c>
      <c r="C19" s="5" t="s">
        <v>159</v>
      </c>
      <c r="D19" s="5" t="s">
        <v>1619</v>
      </c>
      <c r="E19" s="6">
        <v>90189084</v>
      </c>
      <c r="F19" s="6">
        <v>17</v>
      </c>
      <c r="G19" s="6">
        <f t="shared" si="1"/>
        <v>1</v>
      </c>
      <c r="H19" s="6" t="s">
        <v>1622</v>
      </c>
      <c r="I19" s="5">
        <v>20.68</v>
      </c>
      <c r="J19" s="5">
        <f t="shared" si="0"/>
        <v>351.56</v>
      </c>
    </row>
    <row r="20" spans="1:10" x14ac:dyDescent="0.25">
      <c r="A20" s="9">
        <v>124</v>
      </c>
      <c r="B20" s="5" t="s">
        <v>346</v>
      </c>
      <c r="C20" s="5" t="s">
        <v>347</v>
      </c>
      <c r="D20" s="5" t="s">
        <v>1618</v>
      </c>
      <c r="E20" s="6">
        <v>90189084</v>
      </c>
      <c r="F20" s="6">
        <v>17</v>
      </c>
      <c r="G20" s="6">
        <f t="shared" si="1"/>
        <v>1</v>
      </c>
      <c r="H20" s="6" t="s">
        <v>1622</v>
      </c>
      <c r="I20" s="5">
        <v>20.440000000000001</v>
      </c>
      <c r="J20" s="5">
        <f t="shared" si="0"/>
        <v>347.48</v>
      </c>
    </row>
    <row r="21" spans="1:10" x14ac:dyDescent="0.25">
      <c r="A21" s="9">
        <v>125</v>
      </c>
      <c r="B21" s="5" t="s">
        <v>388</v>
      </c>
      <c r="C21" s="5" t="s">
        <v>389</v>
      </c>
      <c r="D21" s="5" t="s">
        <v>1618</v>
      </c>
      <c r="E21" s="6">
        <v>90189084</v>
      </c>
      <c r="F21" s="6">
        <v>17</v>
      </c>
      <c r="G21" s="6">
        <f t="shared" si="1"/>
        <v>1</v>
      </c>
      <c r="H21" s="6" t="s">
        <v>1622</v>
      </c>
      <c r="I21" s="5">
        <v>47.6</v>
      </c>
      <c r="J21" s="5">
        <f t="shared" si="0"/>
        <v>809.2</v>
      </c>
    </row>
    <row r="22" spans="1:10" x14ac:dyDescent="0.25">
      <c r="A22" s="9">
        <v>126</v>
      </c>
      <c r="B22" s="5" t="s">
        <v>350</v>
      </c>
      <c r="C22" s="5" t="s">
        <v>351</v>
      </c>
      <c r="D22" s="5" t="s">
        <v>1618</v>
      </c>
      <c r="E22" s="6">
        <v>90189084</v>
      </c>
      <c r="F22" s="6">
        <v>17</v>
      </c>
      <c r="G22" s="6">
        <f t="shared" si="1"/>
        <v>1</v>
      </c>
      <c r="H22" s="6" t="s">
        <v>1622</v>
      </c>
      <c r="I22" s="5">
        <v>19.760000000000002</v>
      </c>
      <c r="J22" s="5">
        <f t="shared" si="0"/>
        <v>335.92</v>
      </c>
    </row>
    <row r="23" spans="1:10" x14ac:dyDescent="0.25">
      <c r="A23" s="9">
        <v>127</v>
      </c>
      <c r="B23" s="5" t="s">
        <v>390</v>
      </c>
      <c r="C23" s="5" t="s">
        <v>391</v>
      </c>
      <c r="D23" s="5" t="s">
        <v>1619</v>
      </c>
      <c r="E23" s="6">
        <v>90189084</v>
      </c>
      <c r="F23" s="6">
        <v>17</v>
      </c>
      <c r="G23" s="6">
        <f t="shared" si="1"/>
        <v>1</v>
      </c>
      <c r="H23" s="6" t="s">
        <v>1622</v>
      </c>
      <c r="I23" s="5">
        <v>36.159999999999997</v>
      </c>
      <c r="J23" s="5">
        <f t="shared" ref="J23:J29" si="2">F23*I23</f>
        <v>614.71999999999991</v>
      </c>
    </row>
    <row r="24" spans="1:10" x14ac:dyDescent="0.25">
      <c r="A24" s="9">
        <v>128</v>
      </c>
      <c r="B24" s="5" t="s">
        <v>358</v>
      </c>
      <c r="C24" s="5" t="s">
        <v>359</v>
      </c>
      <c r="D24" s="5" t="s">
        <v>1618</v>
      </c>
      <c r="E24" s="6">
        <v>90189084</v>
      </c>
      <c r="F24" s="6">
        <v>17</v>
      </c>
      <c r="G24" s="6">
        <f t="shared" si="1"/>
        <v>1</v>
      </c>
      <c r="H24" s="6" t="s">
        <v>1622</v>
      </c>
      <c r="I24" s="5">
        <v>23.29</v>
      </c>
      <c r="J24" s="5">
        <f t="shared" si="2"/>
        <v>395.93</v>
      </c>
    </row>
    <row r="25" spans="1:10" x14ac:dyDescent="0.25">
      <c r="A25" s="9">
        <v>129</v>
      </c>
      <c r="B25" s="5" t="s">
        <v>360</v>
      </c>
      <c r="C25" s="5" t="s">
        <v>361</v>
      </c>
      <c r="D25" s="5" t="s">
        <v>1620</v>
      </c>
      <c r="E25" s="6">
        <v>73269098</v>
      </c>
      <c r="F25" s="6">
        <v>17</v>
      </c>
      <c r="G25" s="6">
        <f t="shared" si="1"/>
        <v>1</v>
      </c>
      <c r="H25" s="6" t="s">
        <v>1622</v>
      </c>
      <c r="I25" s="5">
        <v>7.7</v>
      </c>
      <c r="J25" s="5">
        <f t="shared" si="2"/>
        <v>130.9</v>
      </c>
    </row>
    <row r="26" spans="1:10" x14ac:dyDescent="0.25">
      <c r="A26" s="9">
        <v>130</v>
      </c>
      <c r="B26" s="5" t="s">
        <v>362</v>
      </c>
      <c r="C26" s="5" t="s">
        <v>363</v>
      </c>
      <c r="D26" s="5" t="s">
        <v>1618</v>
      </c>
      <c r="E26" s="6">
        <v>76169990</v>
      </c>
      <c r="F26" s="6">
        <v>17</v>
      </c>
      <c r="G26" s="6">
        <f t="shared" si="1"/>
        <v>1</v>
      </c>
      <c r="H26" s="6" t="s">
        <v>1622</v>
      </c>
      <c r="I26" s="5">
        <v>417.23</v>
      </c>
      <c r="J26" s="5">
        <f t="shared" si="2"/>
        <v>7092.91</v>
      </c>
    </row>
    <row r="27" spans="1:10" x14ac:dyDescent="0.25">
      <c r="A27" s="9">
        <v>131</v>
      </c>
      <c r="B27" s="5" t="s">
        <v>288</v>
      </c>
      <c r="C27" s="5" t="s">
        <v>289</v>
      </c>
      <c r="D27" s="5" t="s">
        <v>1618</v>
      </c>
      <c r="E27" s="6">
        <v>39269097</v>
      </c>
      <c r="F27" s="6">
        <v>17</v>
      </c>
      <c r="G27" s="6">
        <f t="shared" si="1"/>
        <v>1</v>
      </c>
      <c r="H27" s="6" t="s">
        <v>1622</v>
      </c>
      <c r="I27" s="5">
        <v>4.0999999999999996</v>
      </c>
      <c r="J27" s="5">
        <f t="shared" si="2"/>
        <v>69.699999999999989</v>
      </c>
    </row>
    <row r="28" spans="1:10" x14ac:dyDescent="0.25">
      <c r="A28" s="9">
        <v>132</v>
      </c>
      <c r="B28" s="5" t="s">
        <v>392</v>
      </c>
      <c r="C28" s="5" t="s">
        <v>393</v>
      </c>
      <c r="D28" s="5" t="s">
        <v>1618</v>
      </c>
      <c r="E28" s="6">
        <v>90189084</v>
      </c>
      <c r="F28" s="6">
        <v>17</v>
      </c>
      <c r="G28" s="6">
        <f t="shared" si="1"/>
        <v>1</v>
      </c>
      <c r="H28" s="6" t="s">
        <v>1622</v>
      </c>
      <c r="I28" s="5">
        <v>38.28</v>
      </c>
      <c r="J28" s="5">
        <f t="shared" si="2"/>
        <v>650.76</v>
      </c>
    </row>
    <row r="29" spans="1:10" x14ac:dyDescent="0.25">
      <c r="A29" s="9">
        <v>133</v>
      </c>
      <c r="B29" s="5" t="s">
        <v>394</v>
      </c>
      <c r="C29" s="5" t="s">
        <v>395</v>
      </c>
      <c r="D29" s="5" t="s">
        <v>1618</v>
      </c>
      <c r="E29" s="6">
        <v>73269098</v>
      </c>
      <c r="F29" s="6">
        <v>17</v>
      </c>
      <c r="G29" s="6">
        <f t="shared" si="1"/>
        <v>1</v>
      </c>
      <c r="H29" s="6" t="s">
        <v>1622</v>
      </c>
      <c r="I29" s="5">
        <v>64.349999999999994</v>
      </c>
      <c r="J29" s="5">
        <f t="shared" si="2"/>
        <v>1093.9499999999998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D1BE-30A4-4E1F-94D7-E86A083D4BAE}">
  <dimension ref="A1:K34"/>
  <sheetViews>
    <sheetView workbookViewId="0">
      <selection activeCell="G3" sqref="G3:G34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1666</v>
      </c>
      <c r="D2" s="11"/>
      <c r="E2" s="12"/>
      <c r="F2" s="12">
        <v>5</v>
      </c>
      <c r="G2" s="12"/>
      <c r="H2" s="12"/>
      <c r="I2" s="2"/>
      <c r="J2" s="13"/>
    </row>
    <row r="3" spans="1:10" x14ac:dyDescent="0.25">
      <c r="A3" s="9">
        <v>134</v>
      </c>
      <c r="B3" s="5" t="s">
        <v>36</v>
      </c>
      <c r="C3" s="5" t="s">
        <v>37</v>
      </c>
      <c r="D3" s="5" t="s">
        <v>1619</v>
      </c>
      <c r="E3" s="6">
        <v>90189084</v>
      </c>
      <c r="F3" s="6">
        <v>20</v>
      </c>
      <c r="G3" s="6">
        <f>F3/$F$2</f>
        <v>4</v>
      </c>
      <c r="H3" s="6" t="s">
        <v>1622</v>
      </c>
      <c r="I3" s="5">
        <v>11.64</v>
      </c>
      <c r="J3" s="5">
        <f t="shared" ref="J3:J34" si="0">F3*I3</f>
        <v>232.8</v>
      </c>
    </row>
    <row r="4" spans="1:10" x14ac:dyDescent="0.25">
      <c r="A4" s="9">
        <v>135</v>
      </c>
      <c r="B4" s="5" t="s">
        <v>136</v>
      </c>
      <c r="C4" s="5" t="s">
        <v>137</v>
      </c>
      <c r="D4" s="5" t="s">
        <v>1618</v>
      </c>
      <c r="E4" s="6">
        <v>90189084</v>
      </c>
      <c r="F4" s="6">
        <v>10</v>
      </c>
      <c r="G4" s="6">
        <f t="shared" ref="G4:G34" si="1">F4/$F$2</f>
        <v>2</v>
      </c>
      <c r="H4" s="6" t="s">
        <v>1622</v>
      </c>
      <c r="I4" s="5">
        <v>3.7</v>
      </c>
      <c r="J4" s="5">
        <f t="shared" si="0"/>
        <v>37</v>
      </c>
    </row>
    <row r="5" spans="1:10" x14ac:dyDescent="0.25">
      <c r="A5" s="9">
        <v>136</v>
      </c>
      <c r="B5" s="5" t="s">
        <v>604</v>
      </c>
      <c r="C5" s="5" t="s">
        <v>605</v>
      </c>
      <c r="D5" s="5" t="s">
        <v>1619</v>
      </c>
      <c r="E5" s="6">
        <v>90189084</v>
      </c>
      <c r="F5" s="6">
        <v>10</v>
      </c>
      <c r="G5" s="6">
        <f t="shared" si="1"/>
        <v>2</v>
      </c>
      <c r="H5" s="6" t="s">
        <v>1622</v>
      </c>
      <c r="I5" s="5">
        <v>20.58</v>
      </c>
      <c r="J5" s="5">
        <f t="shared" si="0"/>
        <v>205.79999999999998</v>
      </c>
    </row>
    <row r="6" spans="1:10" x14ac:dyDescent="0.25">
      <c r="A6" s="9">
        <v>137</v>
      </c>
      <c r="B6" s="5" t="s">
        <v>606</v>
      </c>
      <c r="C6" s="5" t="s">
        <v>607</v>
      </c>
      <c r="D6" s="5" t="s">
        <v>1619</v>
      </c>
      <c r="E6" s="6">
        <v>90189084</v>
      </c>
      <c r="F6" s="6">
        <v>20</v>
      </c>
      <c r="G6" s="6">
        <f t="shared" si="1"/>
        <v>4</v>
      </c>
      <c r="H6" s="6" t="s">
        <v>1622</v>
      </c>
      <c r="I6" s="5">
        <v>16.100000000000001</v>
      </c>
      <c r="J6" s="5">
        <f t="shared" si="0"/>
        <v>322</v>
      </c>
    </row>
    <row r="7" spans="1:10" x14ac:dyDescent="0.25">
      <c r="A7" s="9">
        <v>138</v>
      </c>
      <c r="B7" s="5" t="s">
        <v>608</v>
      </c>
      <c r="C7" s="5" t="s">
        <v>609</v>
      </c>
      <c r="D7" s="5" t="s">
        <v>1619</v>
      </c>
      <c r="E7" s="6">
        <v>90189084</v>
      </c>
      <c r="F7" s="6">
        <v>10</v>
      </c>
      <c r="G7" s="6">
        <f t="shared" si="1"/>
        <v>2</v>
      </c>
      <c r="H7" s="6" t="s">
        <v>1622</v>
      </c>
      <c r="I7" s="5">
        <v>14.29</v>
      </c>
      <c r="J7" s="5">
        <f t="shared" si="0"/>
        <v>142.89999999999998</v>
      </c>
    </row>
    <row r="8" spans="1:10" x14ac:dyDescent="0.25">
      <c r="A8" s="9">
        <v>139</v>
      </c>
      <c r="B8" s="5" t="s">
        <v>610</v>
      </c>
      <c r="C8" s="5" t="s">
        <v>611</v>
      </c>
      <c r="D8" s="5" t="s">
        <v>1619</v>
      </c>
      <c r="E8" s="6">
        <v>90189084</v>
      </c>
      <c r="F8" s="6">
        <v>10</v>
      </c>
      <c r="G8" s="6">
        <f t="shared" si="1"/>
        <v>2</v>
      </c>
      <c r="H8" s="6" t="s">
        <v>1622</v>
      </c>
      <c r="I8" s="5">
        <v>19.36</v>
      </c>
      <c r="J8" s="5">
        <f t="shared" si="0"/>
        <v>193.6</v>
      </c>
    </row>
    <row r="9" spans="1:10" x14ac:dyDescent="0.25">
      <c r="A9" s="9">
        <v>140</v>
      </c>
      <c r="B9" s="5" t="s">
        <v>330</v>
      </c>
      <c r="C9" s="5" t="s">
        <v>331</v>
      </c>
      <c r="D9" s="5" t="s">
        <v>1619</v>
      </c>
      <c r="E9" s="6">
        <v>90189084</v>
      </c>
      <c r="F9" s="6">
        <v>10</v>
      </c>
      <c r="G9" s="6">
        <f t="shared" si="1"/>
        <v>2</v>
      </c>
      <c r="H9" s="6" t="s">
        <v>1622</v>
      </c>
      <c r="I9" s="5">
        <v>24</v>
      </c>
      <c r="J9" s="5">
        <f t="shared" si="0"/>
        <v>240</v>
      </c>
    </row>
    <row r="10" spans="1:10" x14ac:dyDescent="0.25">
      <c r="A10" s="9">
        <v>141</v>
      </c>
      <c r="B10" s="5" t="s">
        <v>332</v>
      </c>
      <c r="C10" s="5" t="s">
        <v>333</v>
      </c>
      <c r="D10" s="5" t="s">
        <v>1619</v>
      </c>
      <c r="E10" s="6">
        <v>90189084</v>
      </c>
      <c r="F10" s="6">
        <v>10</v>
      </c>
      <c r="G10" s="6">
        <f t="shared" si="1"/>
        <v>2</v>
      </c>
      <c r="H10" s="6" t="s">
        <v>1622</v>
      </c>
      <c r="I10" s="5">
        <v>36.81</v>
      </c>
      <c r="J10" s="5">
        <f t="shared" si="0"/>
        <v>368.1</v>
      </c>
    </row>
    <row r="11" spans="1:10" x14ac:dyDescent="0.25">
      <c r="A11" s="9">
        <v>142</v>
      </c>
      <c r="B11" s="5" t="s">
        <v>102</v>
      </c>
      <c r="C11" s="5" t="s">
        <v>103</v>
      </c>
      <c r="D11" s="5" t="s">
        <v>1619</v>
      </c>
      <c r="E11" s="6">
        <v>90189084</v>
      </c>
      <c r="F11" s="6">
        <v>5</v>
      </c>
      <c r="G11" s="6">
        <f t="shared" si="1"/>
        <v>1</v>
      </c>
      <c r="H11" s="6" t="s">
        <v>1622</v>
      </c>
      <c r="I11" s="5">
        <v>16.100000000000001</v>
      </c>
      <c r="J11" s="5">
        <f t="shared" si="0"/>
        <v>80.5</v>
      </c>
    </row>
    <row r="12" spans="1:10" x14ac:dyDescent="0.25">
      <c r="A12" s="9">
        <v>143</v>
      </c>
      <c r="B12" s="5" t="s">
        <v>386</v>
      </c>
      <c r="C12" s="5" t="s">
        <v>387</v>
      </c>
      <c r="D12" s="5" t="s">
        <v>1619</v>
      </c>
      <c r="E12" s="6">
        <v>90189084</v>
      </c>
      <c r="F12" s="6">
        <v>5</v>
      </c>
      <c r="G12" s="6">
        <f t="shared" si="1"/>
        <v>1</v>
      </c>
      <c r="H12" s="6" t="s">
        <v>1622</v>
      </c>
      <c r="I12" s="5">
        <v>13.5</v>
      </c>
      <c r="J12" s="5">
        <f t="shared" si="0"/>
        <v>67.5</v>
      </c>
    </row>
    <row r="13" spans="1:10" x14ac:dyDescent="0.25">
      <c r="A13" s="9">
        <v>144</v>
      </c>
      <c r="B13" s="5" t="s">
        <v>340</v>
      </c>
      <c r="C13" s="5" t="s">
        <v>341</v>
      </c>
      <c r="D13" s="5" t="s">
        <v>1618</v>
      </c>
      <c r="E13" s="6">
        <v>90189084</v>
      </c>
      <c r="F13" s="6">
        <v>5</v>
      </c>
      <c r="G13" s="6">
        <f t="shared" si="1"/>
        <v>1</v>
      </c>
      <c r="H13" s="6" t="s">
        <v>1622</v>
      </c>
      <c r="I13" s="5">
        <v>12.24</v>
      </c>
      <c r="J13" s="5">
        <f t="shared" si="0"/>
        <v>61.2</v>
      </c>
    </row>
    <row r="14" spans="1:10" x14ac:dyDescent="0.25">
      <c r="A14" s="9">
        <v>145</v>
      </c>
      <c r="B14" s="5" t="s">
        <v>612</v>
      </c>
      <c r="C14" s="5" t="s">
        <v>613</v>
      </c>
      <c r="D14" s="5" t="s">
        <v>1618</v>
      </c>
      <c r="E14" s="6">
        <v>90189084</v>
      </c>
      <c r="F14" s="6">
        <v>5</v>
      </c>
      <c r="G14" s="6">
        <f t="shared" si="1"/>
        <v>1</v>
      </c>
      <c r="H14" s="6" t="s">
        <v>1622</v>
      </c>
      <c r="I14" s="5">
        <v>14.86</v>
      </c>
      <c r="J14" s="5">
        <f t="shared" si="0"/>
        <v>74.3</v>
      </c>
    </row>
    <row r="15" spans="1:10" x14ac:dyDescent="0.25">
      <c r="A15" s="9">
        <v>146</v>
      </c>
      <c r="B15" s="5" t="s">
        <v>392</v>
      </c>
      <c r="C15" s="5" t="s">
        <v>393</v>
      </c>
      <c r="D15" s="5" t="s">
        <v>1618</v>
      </c>
      <c r="E15" s="6">
        <v>90189084</v>
      </c>
      <c r="F15" s="6">
        <v>5</v>
      </c>
      <c r="G15" s="6">
        <f t="shared" si="1"/>
        <v>1</v>
      </c>
      <c r="H15" s="6" t="s">
        <v>1622</v>
      </c>
      <c r="I15" s="5">
        <v>38.28</v>
      </c>
      <c r="J15" s="5">
        <f t="shared" si="0"/>
        <v>191.4</v>
      </c>
    </row>
    <row r="16" spans="1:10" x14ac:dyDescent="0.25">
      <c r="A16" s="9">
        <v>147</v>
      </c>
      <c r="B16" s="5" t="s">
        <v>344</v>
      </c>
      <c r="C16" s="5" t="s">
        <v>345</v>
      </c>
      <c r="D16" s="5" t="s">
        <v>1618</v>
      </c>
      <c r="E16" s="6">
        <v>90189084</v>
      </c>
      <c r="F16" s="6">
        <v>10</v>
      </c>
      <c r="G16" s="6">
        <f t="shared" si="1"/>
        <v>2</v>
      </c>
      <c r="H16" s="6" t="s">
        <v>1622</v>
      </c>
      <c r="I16" s="5">
        <v>56.65</v>
      </c>
      <c r="J16" s="5">
        <f t="shared" si="0"/>
        <v>566.5</v>
      </c>
    </row>
    <row r="17" spans="1:10" x14ac:dyDescent="0.25">
      <c r="A17" s="9">
        <v>148</v>
      </c>
      <c r="B17" s="5" t="s">
        <v>158</v>
      </c>
      <c r="C17" s="5" t="s">
        <v>159</v>
      </c>
      <c r="D17" s="5" t="s">
        <v>1619</v>
      </c>
      <c r="E17" s="6">
        <v>90189084</v>
      </c>
      <c r="F17" s="6">
        <v>10</v>
      </c>
      <c r="G17" s="6">
        <f t="shared" si="1"/>
        <v>2</v>
      </c>
      <c r="H17" s="6" t="s">
        <v>1622</v>
      </c>
      <c r="I17" s="5">
        <v>20.68</v>
      </c>
      <c r="J17" s="5">
        <f t="shared" si="0"/>
        <v>206.8</v>
      </c>
    </row>
    <row r="18" spans="1:10" x14ac:dyDescent="0.25">
      <c r="A18" s="9">
        <v>149</v>
      </c>
      <c r="B18" s="5" t="s">
        <v>350</v>
      </c>
      <c r="C18" s="5" t="s">
        <v>351</v>
      </c>
      <c r="D18" s="5" t="s">
        <v>1618</v>
      </c>
      <c r="E18" s="6">
        <v>90189084</v>
      </c>
      <c r="F18" s="6">
        <v>5</v>
      </c>
      <c r="G18" s="6">
        <f t="shared" si="1"/>
        <v>1</v>
      </c>
      <c r="H18" s="6" t="s">
        <v>1622</v>
      </c>
      <c r="I18" s="5">
        <v>19.760000000000002</v>
      </c>
      <c r="J18" s="5">
        <f t="shared" si="0"/>
        <v>98.800000000000011</v>
      </c>
    </row>
    <row r="19" spans="1:10" x14ac:dyDescent="0.25">
      <c r="A19" s="9">
        <v>150</v>
      </c>
      <c r="B19" s="5" t="s">
        <v>354</v>
      </c>
      <c r="C19" s="5" t="s">
        <v>355</v>
      </c>
      <c r="D19" s="5" t="s">
        <v>1619</v>
      </c>
      <c r="E19" s="6">
        <v>90189084</v>
      </c>
      <c r="F19" s="6">
        <v>5</v>
      </c>
      <c r="G19" s="6">
        <f t="shared" si="1"/>
        <v>1</v>
      </c>
      <c r="H19" s="6" t="s">
        <v>1622</v>
      </c>
      <c r="I19" s="5">
        <v>4.76</v>
      </c>
      <c r="J19" s="5">
        <f t="shared" si="0"/>
        <v>23.799999999999997</v>
      </c>
    </row>
    <row r="20" spans="1:10" x14ac:dyDescent="0.25">
      <c r="A20" s="9">
        <v>151</v>
      </c>
      <c r="B20" s="5" t="s">
        <v>614</v>
      </c>
      <c r="C20" s="5" t="s">
        <v>615</v>
      </c>
      <c r="D20" s="5" t="s">
        <v>1618</v>
      </c>
      <c r="E20" s="6">
        <v>90189084</v>
      </c>
      <c r="F20" s="6">
        <v>5</v>
      </c>
      <c r="G20" s="6">
        <f t="shared" si="1"/>
        <v>1</v>
      </c>
      <c r="H20" s="6" t="s">
        <v>1622</v>
      </c>
      <c r="I20" s="5">
        <v>31.45</v>
      </c>
      <c r="J20" s="5">
        <f t="shared" si="0"/>
        <v>157.25</v>
      </c>
    </row>
    <row r="21" spans="1:10" x14ac:dyDescent="0.25">
      <c r="A21" s="9">
        <v>152</v>
      </c>
      <c r="B21" s="5" t="s">
        <v>360</v>
      </c>
      <c r="C21" s="5" t="s">
        <v>361</v>
      </c>
      <c r="D21" s="5" t="s">
        <v>1620</v>
      </c>
      <c r="E21" s="6">
        <v>73269098</v>
      </c>
      <c r="F21" s="6">
        <v>5</v>
      </c>
      <c r="G21" s="6">
        <f t="shared" si="1"/>
        <v>1</v>
      </c>
      <c r="H21" s="6" t="s">
        <v>1622</v>
      </c>
      <c r="I21" s="5">
        <v>7.7</v>
      </c>
      <c r="J21" s="5">
        <f t="shared" si="0"/>
        <v>38.5</v>
      </c>
    </row>
    <row r="22" spans="1:10" x14ac:dyDescent="0.25">
      <c r="A22" s="9">
        <v>153</v>
      </c>
      <c r="B22" s="5" t="s">
        <v>616</v>
      </c>
      <c r="C22" s="5" t="s">
        <v>617</v>
      </c>
      <c r="D22" s="5" t="s">
        <v>1618</v>
      </c>
      <c r="E22" s="6">
        <v>73249000</v>
      </c>
      <c r="F22" s="6">
        <v>5</v>
      </c>
      <c r="G22" s="6">
        <f t="shared" si="1"/>
        <v>1</v>
      </c>
      <c r="H22" s="6" t="s">
        <v>1622</v>
      </c>
      <c r="I22" s="5">
        <v>6.78</v>
      </c>
      <c r="J22" s="5">
        <f t="shared" si="0"/>
        <v>33.9</v>
      </c>
    </row>
    <row r="23" spans="1:10" x14ac:dyDescent="0.25">
      <c r="A23" s="9">
        <v>154</v>
      </c>
      <c r="B23" s="5" t="s">
        <v>618</v>
      </c>
      <c r="C23" s="5" t="s">
        <v>619</v>
      </c>
      <c r="D23" s="5" t="s">
        <v>1618</v>
      </c>
      <c r="E23" s="6">
        <v>73269098</v>
      </c>
      <c r="F23" s="6">
        <v>5</v>
      </c>
      <c r="G23" s="6">
        <f t="shared" si="1"/>
        <v>1</v>
      </c>
      <c r="H23" s="6" t="s">
        <v>1622</v>
      </c>
      <c r="I23" s="5">
        <v>55.35</v>
      </c>
      <c r="J23" s="5">
        <f t="shared" si="0"/>
        <v>276.75</v>
      </c>
    </row>
    <row r="24" spans="1:10" x14ac:dyDescent="0.25">
      <c r="A24" s="9">
        <v>155</v>
      </c>
      <c r="B24" s="5" t="s">
        <v>620</v>
      </c>
      <c r="C24" s="5" t="s">
        <v>621</v>
      </c>
      <c r="D24" s="5" t="s">
        <v>1618</v>
      </c>
      <c r="E24" s="6">
        <v>90183900</v>
      </c>
      <c r="F24" s="6">
        <v>5</v>
      </c>
      <c r="G24" s="6">
        <f t="shared" si="1"/>
        <v>1</v>
      </c>
      <c r="H24" s="6" t="s">
        <v>1622</v>
      </c>
      <c r="I24" s="5">
        <v>8.57</v>
      </c>
      <c r="J24" s="5">
        <f t="shared" si="0"/>
        <v>42.85</v>
      </c>
    </row>
    <row r="25" spans="1:10" x14ac:dyDescent="0.25">
      <c r="A25" s="9">
        <v>156</v>
      </c>
      <c r="B25" s="5" t="s">
        <v>622</v>
      </c>
      <c r="C25" s="5" t="s">
        <v>623</v>
      </c>
      <c r="D25" s="5" t="s">
        <v>1618</v>
      </c>
      <c r="E25" s="6">
        <v>90189084</v>
      </c>
      <c r="F25" s="6">
        <v>5</v>
      </c>
      <c r="G25" s="6">
        <f t="shared" si="1"/>
        <v>1</v>
      </c>
      <c r="H25" s="6" t="s">
        <v>1622</v>
      </c>
      <c r="I25" s="5">
        <v>29.16</v>
      </c>
      <c r="J25" s="5">
        <f t="shared" si="0"/>
        <v>145.80000000000001</v>
      </c>
    </row>
    <row r="26" spans="1:10" x14ac:dyDescent="0.25">
      <c r="A26" s="9">
        <v>157</v>
      </c>
      <c r="B26" s="5" t="s">
        <v>624</v>
      </c>
      <c r="C26" s="5" t="s">
        <v>625</v>
      </c>
      <c r="D26" s="5" t="s">
        <v>1619</v>
      </c>
      <c r="E26" s="6">
        <v>90189084</v>
      </c>
      <c r="F26" s="6">
        <v>5</v>
      </c>
      <c r="G26" s="6">
        <f t="shared" si="1"/>
        <v>1</v>
      </c>
      <c r="H26" s="6" t="s">
        <v>1622</v>
      </c>
      <c r="I26" s="5">
        <v>71.34</v>
      </c>
      <c r="J26" s="5">
        <f t="shared" si="0"/>
        <v>356.70000000000005</v>
      </c>
    </row>
    <row r="27" spans="1:10" x14ac:dyDescent="0.25">
      <c r="A27" s="9">
        <v>158</v>
      </c>
      <c r="B27" s="5" t="s">
        <v>22</v>
      </c>
      <c r="C27" s="5" t="s">
        <v>23</v>
      </c>
      <c r="D27" s="5" t="s">
        <v>1618</v>
      </c>
      <c r="E27" s="6">
        <v>90189084</v>
      </c>
      <c r="F27" s="6">
        <v>5</v>
      </c>
      <c r="G27" s="6">
        <f t="shared" si="1"/>
        <v>1</v>
      </c>
      <c r="H27" s="6" t="s">
        <v>1622</v>
      </c>
      <c r="I27" s="5">
        <v>3.7</v>
      </c>
      <c r="J27" s="5">
        <f t="shared" si="0"/>
        <v>18.5</v>
      </c>
    </row>
    <row r="28" spans="1:10" x14ac:dyDescent="0.25">
      <c r="A28" s="9">
        <v>159</v>
      </c>
      <c r="B28" s="5" t="s">
        <v>626</v>
      </c>
      <c r="C28" s="5" t="s">
        <v>627</v>
      </c>
      <c r="D28" s="5" t="s">
        <v>1618</v>
      </c>
      <c r="E28" s="6">
        <v>90189084</v>
      </c>
      <c r="F28" s="6">
        <v>5</v>
      </c>
      <c r="G28" s="6">
        <f t="shared" si="1"/>
        <v>1</v>
      </c>
      <c r="H28" s="6" t="s">
        <v>1622</v>
      </c>
      <c r="I28" s="5">
        <v>38.44</v>
      </c>
      <c r="J28" s="5">
        <f t="shared" si="0"/>
        <v>192.2</v>
      </c>
    </row>
    <row r="29" spans="1:10" x14ac:dyDescent="0.25">
      <c r="A29" s="9">
        <v>160</v>
      </c>
      <c r="B29" s="5" t="s">
        <v>628</v>
      </c>
      <c r="C29" s="5" t="s">
        <v>629</v>
      </c>
      <c r="D29" s="5" t="s">
        <v>1619</v>
      </c>
      <c r="E29" s="6">
        <v>90189084</v>
      </c>
      <c r="F29" s="6">
        <v>5</v>
      </c>
      <c r="G29" s="6">
        <f t="shared" si="1"/>
        <v>1</v>
      </c>
      <c r="H29" s="6" t="s">
        <v>1622</v>
      </c>
      <c r="I29" s="5">
        <v>74.77</v>
      </c>
      <c r="J29" s="5">
        <f t="shared" si="0"/>
        <v>373.84999999999997</v>
      </c>
    </row>
    <row r="30" spans="1:10" x14ac:dyDescent="0.25">
      <c r="A30" s="9">
        <v>161</v>
      </c>
      <c r="B30" s="5" t="s">
        <v>630</v>
      </c>
      <c r="C30" s="5" t="s">
        <v>631</v>
      </c>
      <c r="D30" s="5" t="s">
        <v>1618</v>
      </c>
      <c r="E30" s="6">
        <v>90189084</v>
      </c>
      <c r="F30" s="6">
        <v>5</v>
      </c>
      <c r="G30" s="6">
        <f t="shared" si="1"/>
        <v>1</v>
      </c>
      <c r="H30" s="6" t="s">
        <v>1622</v>
      </c>
      <c r="I30" s="5">
        <v>19.41</v>
      </c>
      <c r="J30" s="5">
        <f t="shared" si="0"/>
        <v>97.05</v>
      </c>
    </row>
    <row r="31" spans="1:10" x14ac:dyDescent="0.25">
      <c r="A31" s="9">
        <v>162</v>
      </c>
      <c r="B31" s="5" t="s">
        <v>632</v>
      </c>
      <c r="C31" s="5" t="s">
        <v>633</v>
      </c>
      <c r="D31" s="5" t="s">
        <v>1618</v>
      </c>
      <c r="E31" s="6">
        <v>90189084</v>
      </c>
      <c r="F31" s="6">
        <v>5</v>
      </c>
      <c r="G31" s="6">
        <f t="shared" si="1"/>
        <v>1</v>
      </c>
      <c r="H31" s="6" t="s">
        <v>1622</v>
      </c>
      <c r="I31" s="5">
        <v>70.37</v>
      </c>
      <c r="J31" s="5">
        <f t="shared" si="0"/>
        <v>351.85</v>
      </c>
    </row>
    <row r="32" spans="1:10" x14ac:dyDescent="0.25">
      <c r="A32" s="9">
        <v>163</v>
      </c>
      <c r="B32" s="5" t="s">
        <v>634</v>
      </c>
      <c r="C32" s="5" t="s">
        <v>635</v>
      </c>
      <c r="D32" s="5" t="s">
        <v>1618</v>
      </c>
      <c r="E32" s="6">
        <v>90189084</v>
      </c>
      <c r="F32" s="6">
        <v>5</v>
      </c>
      <c r="G32" s="6">
        <f t="shared" si="1"/>
        <v>1</v>
      </c>
      <c r="H32" s="6" t="s">
        <v>1622</v>
      </c>
      <c r="I32" s="5">
        <v>60.92</v>
      </c>
      <c r="J32" s="5">
        <f t="shared" si="0"/>
        <v>304.60000000000002</v>
      </c>
    </row>
    <row r="33" spans="1:10" x14ac:dyDescent="0.25">
      <c r="A33" s="9">
        <v>164</v>
      </c>
      <c r="B33" s="5" t="s">
        <v>132</v>
      </c>
      <c r="C33" s="5" t="s">
        <v>133</v>
      </c>
      <c r="D33" s="5" t="s">
        <v>1618</v>
      </c>
      <c r="E33" s="6">
        <v>73269098</v>
      </c>
      <c r="F33" s="6">
        <v>5</v>
      </c>
      <c r="G33" s="6">
        <f t="shared" si="1"/>
        <v>1</v>
      </c>
      <c r="H33" s="6" t="s">
        <v>1622</v>
      </c>
      <c r="I33" s="5">
        <v>82.27</v>
      </c>
      <c r="J33" s="5">
        <f t="shared" si="0"/>
        <v>411.34999999999997</v>
      </c>
    </row>
    <row r="34" spans="1:10" x14ac:dyDescent="0.25">
      <c r="A34" s="9">
        <v>165</v>
      </c>
      <c r="B34" s="5" t="s">
        <v>134</v>
      </c>
      <c r="C34" s="5" t="s">
        <v>135</v>
      </c>
      <c r="D34" s="5" t="s">
        <v>1618</v>
      </c>
      <c r="E34" s="6">
        <v>73269098</v>
      </c>
      <c r="F34" s="6">
        <v>5</v>
      </c>
      <c r="G34" s="6">
        <f t="shared" si="1"/>
        <v>1</v>
      </c>
      <c r="H34" s="6" t="s">
        <v>1622</v>
      </c>
      <c r="I34" s="5">
        <v>59.01</v>
      </c>
      <c r="J34" s="5">
        <f t="shared" si="0"/>
        <v>295.05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E1E4-DAF2-48F0-82B0-B220B59B4688}">
  <dimension ref="A1:K62"/>
  <sheetViews>
    <sheetView workbookViewId="0">
      <selection activeCell="G3" sqref="G3:G62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1667</v>
      </c>
      <c r="D2" s="11"/>
      <c r="E2" s="12"/>
      <c r="F2" s="12">
        <v>4</v>
      </c>
      <c r="G2" s="12"/>
      <c r="H2" s="12"/>
      <c r="I2" s="2"/>
      <c r="J2" s="13"/>
    </row>
    <row r="3" spans="1:10" x14ac:dyDescent="0.25">
      <c r="A3" s="9">
        <v>166</v>
      </c>
      <c r="B3" s="5" t="s">
        <v>506</v>
      </c>
      <c r="C3" s="5" t="s">
        <v>507</v>
      </c>
      <c r="D3" s="5" t="s">
        <v>1619</v>
      </c>
      <c r="E3" s="6">
        <v>90189084</v>
      </c>
      <c r="F3" s="6">
        <v>24</v>
      </c>
      <c r="G3" s="6">
        <f>F3/$F$2</f>
        <v>6</v>
      </c>
      <c r="H3" s="6" t="s">
        <v>1622</v>
      </c>
      <c r="I3" s="5">
        <v>16.350000000000001</v>
      </c>
      <c r="J3" s="5">
        <f t="shared" ref="J3:J25" si="0">F3*I3</f>
        <v>392.40000000000003</v>
      </c>
    </row>
    <row r="4" spans="1:10" x14ac:dyDescent="0.25">
      <c r="A4" s="9">
        <v>167</v>
      </c>
      <c r="B4" s="5" t="s">
        <v>508</v>
      </c>
      <c r="C4" s="5" t="s">
        <v>509</v>
      </c>
      <c r="D4" s="5" t="s">
        <v>1619</v>
      </c>
      <c r="E4" s="6">
        <v>90189084</v>
      </c>
      <c r="F4" s="6">
        <v>24</v>
      </c>
      <c r="G4" s="6">
        <f t="shared" ref="G4:G62" si="1">F4/$F$2</f>
        <v>6</v>
      </c>
      <c r="H4" s="6" t="s">
        <v>1622</v>
      </c>
      <c r="I4" s="5">
        <v>19.61</v>
      </c>
      <c r="J4" s="5">
        <f t="shared" si="0"/>
        <v>470.64</v>
      </c>
    </row>
    <row r="5" spans="1:10" x14ac:dyDescent="0.25">
      <c r="A5" s="9">
        <v>168</v>
      </c>
      <c r="B5" s="5" t="s">
        <v>330</v>
      </c>
      <c r="C5" s="5" t="s">
        <v>331</v>
      </c>
      <c r="D5" s="5" t="s">
        <v>1619</v>
      </c>
      <c r="E5" s="6">
        <v>90189084</v>
      </c>
      <c r="F5" s="6">
        <v>24</v>
      </c>
      <c r="G5" s="6">
        <f t="shared" si="1"/>
        <v>6</v>
      </c>
      <c r="H5" s="6" t="s">
        <v>1622</v>
      </c>
      <c r="I5" s="5">
        <v>25.54</v>
      </c>
      <c r="J5" s="5">
        <f t="shared" si="0"/>
        <v>612.96</v>
      </c>
    </row>
    <row r="6" spans="1:10" x14ac:dyDescent="0.25">
      <c r="A6" s="9">
        <v>169</v>
      </c>
      <c r="B6" s="5" t="s">
        <v>606</v>
      </c>
      <c r="C6" s="5" t="s">
        <v>607</v>
      </c>
      <c r="D6" s="5" t="s">
        <v>1619</v>
      </c>
      <c r="E6" s="6">
        <v>90189084</v>
      </c>
      <c r="F6" s="6">
        <v>16</v>
      </c>
      <c r="G6" s="6">
        <f t="shared" si="1"/>
        <v>4</v>
      </c>
      <c r="H6" s="6" t="s">
        <v>1622</v>
      </c>
      <c r="I6" s="5">
        <v>17.14</v>
      </c>
      <c r="J6" s="5">
        <f t="shared" si="0"/>
        <v>274.24</v>
      </c>
    </row>
    <row r="7" spans="1:10" x14ac:dyDescent="0.25">
      <c r="A7" s="9">
        <v>170</v>
      </c>
      <c r="B7" s="5" t="s">
        <v>1167</v>
      </c>
      <c r="C7" s="5" t="s">
        <v>1168</v>
      </c>
      <c r="D7" s="5" t="s">
        <v>1619</v>
      </c>
      <c r="E7" s="6">
        <v>90189084</v>
      </c>
      <c r="F7" s="6">
        <v>16</v>
      </c>
      <c r="G7" s="6">
        <f t="shared" si="1"/>
        <v>4</v>
      </c>
      <c r="H7" s="6" t="s">
        <v>1622</v>
      </c>
      <c r="I7" s="5">
        <v>18.059999999999999</v>
      </c>
      <c r="J7" s="5">
        <f t="shared" si="0"/>
        <v>288.95999999999998</v>
      </c>
    </row>
    <row r="8" spans="1:10" x14ac:dyDescent="0.25">
      <c r="A8" s="9">
        <v>171</v>
      </c>
      <c r="B8" s="5" t="s">
        <v>1169</v>
      </c>
      <c r="C8" s="5" t="s">
        <v>1170</v>
      </c>
      <c r="D8" s="5" t="s">
        <v>1619</v>
      </c>
      <c r="E8" s="6">
        <v>90189084</v>
      </c>
      <c r="F8" s="6">
        <v>16</v>
      </c>
      <c r="G8" s="6">
        <f t="shared" si="1"/>
        <v>4</v>
      </c>
      <c r="H8" s="6" t="s">
        <v>1622</v>
      </c>
      <c r="I8" s="5">
        <v>19.079999999999998</v>
      </c>
      <c r="J8" s="5">
        <f t="shared" si="0"/>
        <v>305.27999999999997</v>
      </c>
    </row>
    <row r="9" spans="1:10" x14ac:dyDescent="0.25">
      <c r="A9" s="9">
        <v>172</v>
      </c>
      <c r="B9" s="5" t="s">
        <v>38</v>
      </c>
      <c r="C9" s="5" t="s">
        <v>39</v>
      </c>
      <c r="D9" s="5" t="s">
        <v>1619</v>
      </c>
      <c r="E9" s="6">
        <v>90189084</v>
      </c>
      <c r="F9" s="6">
        <v>32</v>
      </c>
      <c r="G9" s="6">
        <f t="shared" si="1"/>
        <v>8</v>
      </c>
      <c r="H9" s="6" t="s">
        <v>1622</v>
      </c>
      <c r="I9" s="5">
        <v>13.87</v>
      </c>
      <c r="J9" s="5">
        <f t="shared" si="0"/>
        <v>443.84</v>
      </c>
    </row>
    <row r="10" spans="1:10" x14ac:dyDescent="0.25">
      <c r="A10" s="9">
        <v>173</v>
      </c>
      <c r="B10" s="5" t="s">
        <v>1171</v>
      </c>
      <c r="C10" s="5" t="s">
        <v>1172</v>
      </c>
      <c r="D10" s="5" t="s">
        <v>1619</v>
      </c>
      <c r="E10" s="6">
        <v>90189084</v>
      </c>
      <c r="F10" s="6">
        <v>8</v>
      </c>
      <c r="G10" s="6">
        <f t="shared" si="1"/>
        <v>2</v>
      </c>
      <c r="H10" s="6" t="s">
        <v>1622</v>
      </c>
      <c r="I10" s="5">
        <v>35.049999999999997</v>
      </c>
      <c r="J10" s="5">
        <f t="shared" si="0"/>
        <v>280.39999999999998</v>
      </c>
    </row>
    <row r="11" spans="1:10" x14ac:dyDescent="0.25">
      <c r="A11" s="9">
        <v>174</v>
      </c>
      <c r="B11" s="5" t="s">
        <v>1173</v>
      </c>
      <c r="C11" s="5" t="s">
        <v>1174</v>
      </c>
      <c r="D11" s="5" t="s">
        <v>1618</v>
      </c>
      <c r="E11" s="6">
        <v>90189084</v>
      </c>
      <c r="F11" s="6">
        <v>4</v>
      </c>
      <c r="G11" s="6">
        <f t="shared" si="1"/>
        <v>1</v>
      </c>
      <c r="H11" s="6" t="s">
        <v>1622</v>
      </c>
      <c r="I11" s="5">
        <v>32.06</v>
      </c>
      <c r="J11" s="5">
        <f t="shared" si="0"/>
        <v>128.24</v>
      </c>
    </row>
    <row r="12" spans="1:10" x14ac:dyDescent="0.25">
      <c r="A12" s="9">
        <v>175</v>
      </c>
      <c r="B12" s="5" t="s">
        <v>1175</v>
      </c>
      <c r="C12" s="5" t="s">
        <v>1176</v>
      </c>
      <c r="D12" s="5" t="s">
        <v>1618</v>
      </c>
      <c r="E12" s="6">
        <v>90189084</v>
      </c>
      <c r="F12" s="6">
        <v>4</v>
      </c>
      <c r="G12" s="6">
        <f t="shared" si="1"/>
        <v>1</v>
      </c>
      <c r="H12" s="6" t="s">
        <v>1622</v>
      </c>
      <c r="I12" s="5">
        <v>32.06</v>
      </c>
      <c r="J12" s="5">
        <f t="shared" si="0"/>
        <v>128.24</v>
      </c>
    </row>
    <row r="13" spans="1:10" x14ac:dyDescent="0.25">
      <c r="A13" s="9">
        <v>176</v>
      </c>
      <c r="B13" s="5" t="s">
        <v>1177</v>
      </c>
      <c r="C13" s="5" t="s">
        <v>1178</v>
      </c>
      <c r="D13" s="5" t="s">
        <v>1618</v>
      </c>
      <c r="E13" s="6">
        <v>90189084</v>
      </c>
      <c r="F13" s="6">
        <v>4</v>
      </c>
      <c r="G13" s="6">
        <f t="shared" si="1"/>
        <v>1</v>
      </c>
      <c r="H13" s="6" t="s">
        <v>1622</v>
      </c>
      <c r="I13" s="5">
        <v>32.06</v>
      </c>
      <c r="J13" s="5">
        <f t="shared" si="0"/>
        <v>128.24</v>
      </c>
    </row>
    <row r="14" spans="1:10" x14ac:dyDescent="0.25">
      <c r="A14" s="9">
        <v>177</v>
      </c>
      <c r="B14" s="5" t="s">
        <v>1179</v>
      </c>
      <c r="C14" s="5" t="s">
        <v>1180</v>
      </c>
      <c r="D14" s="5" t="s">
        <v>1618</v>
      </c>
      <c r="E14" s="6">
        <v>90189084</v>
      </c>
      <c r="F14" s="6">
        <v>4</v>
      </c>
      <c r="G14" s="6">
        <f t="shared" si="1"/>
        <v>1</v>
      </c>
      <c r="H14" s="6" t="s">
        <v>1622</v>
      </c>
      <c r="I14" s="5">
        <v>32.06</v>
      </c>
      <c r="J14" s="5">
        <f t="shared" si="0"/>
        <v>128.24</v>
      </c>
    </row>
    <row r="15" spans="1:10" x14ac:dyDescent="0.25">
      <c r="A15" s="9">
        <v>178</v>
      </c>
      <c r="B15" s="5" t="s">
        <v>1181</v>
      </c>
      <c r="C15" s="5" t="s">
        <v>1182</v>
      </c>
      <c r="D15" s="5" t="s">
        <v>1618</v>
      </c>
      <c r="E15" s="6">
        <v>90189084</v>
      </c>
      <c r="F15" s="6">
        <v>4</v>
      </c>
      <c r="G15" s="6">
        <f t="shared" si="1"/>
        <v>1</v>
      </c>
      <c r="H15" s="6" t="s">
        <v>1622</v>
      </c>
      <c r="I15" s="5">
        <v>188.54</v>
      </c>
      <c r="J15" s="5">
        <f t="shared" si="0"/>
        <v>754.16</v>
      </c>
    </row>
    <row r="16" spans="1:10" x14ac:dyDescent="0.25">
      <c r="A16" s="9">
        <v>179</v>
      </c>
      <c r="B16" s="5" t="s">
        <v>196</v>
      </c>
      <c r="C16" s="5" t="s">
        <v>197</v>
      </c>
      <c r="D16" s="5" t="s">
        <v>1618</v>
      </c>
      <c r="E16" s="6">
        <v>90189084</v>
      </c>
      <c r="F16" s="6">
        <v>4</v>
      </c>
      <c r="G16" s="6">
        <f t="shared" si="1"/>
        <v>1</v>
      </c>
      <c r="H16" s="6" t="s">
        <v>1622</v>
      </c>
      <c r="I16" s="5">
        <v>42.31</v>
      </c>
      <c r="J16" s="5">
        <f t="shared" si="0"/>
        <v>169.24</v>
      </c>
    </row>
    <row r="17" spans="1:10" x14ac:dyDescent="0.25">
      <c r="A17" s="9">
        <v>180</v>
      </c>
      <c r="B17" s="5" t="s">
        <v>1083</v>
      </c>
      <c r="C17" s="5" t="s">
        <v>1084</v>
      </c>
      <c r="D17" s="5" t="s">
        <v>1618</v>
      </c>
      <c r="E17" s="6">
        <v>90189084</v>
      </c>
      <c r="F17" s="6">
        <v>4</v>
      </c>
      <c r="G17" s="6">
        <f t="shared" si="1"/>
        <v>1</v>
      </c>
      <c r="H17" s="6" t="s">
        <v>1622</v>
      </c>
      <c r="I17" s="5">
        <v>32.4</v>
      </c>
      <c r="J17" s="5">
        <f t="shared" si="0"/>
        <v>129.6</v>
      </c>
    </row>
    <row r="18" spans="1:10" x14ac:dyDescent="0.25">
      <c r="A18" s="9">
        <v>181</v>
      </c>
      <c r="B18" s="5" t="s">
        <v>1183</v>
      </c>
      <c r="C18" s="5" t="s">
        <v>1184</v>
      </c>
      <c r="D18" s="5" t="s">
        <v>1618</v>
      </c>
      <c r="E18" s="6">
        <v>90189084</v>
      </c>
      <c r="F18" s="6">
        <v>4</v>
      </c>
      <c r="G18" s="6">
        <f t="shared" si="1"/>
        <v>1</v>
      </c>
      <c r="H18" s="6" t="s">
        <v>1622</v>
      </c>
      <c r="I18" s="5">
        <v>36.56</v>
      </c>
      <c r="J18" s="5">
        <f t="shared" si="0"/>
        <v>146.24</v>
      </c>
    </row>
    <row r="19" spans="1:10" x14ac:dyDescent="0.25">
      <c r="A19" s="9">
        <v>182</v>
      </c>
      <c r="B19" s="5" t="s">
        <v>1185</v>
      </c>
      <c r="C19" s="5" t="s">
        <v>1186</v>
      </c>
      <c r="D19" s="5" t="s">
        <v>1618</v>
      </c>
      <c r="E19" s="6">
        <v>90189084</v>
      </c>
      <c r="F19" s="6">
        <v>4</v>
      </c>
      <c r="G19" s="6">
        <f t="shared" si="1"/>
        <v>1</v>
      </c>
      <c r="H19" s="6" t="s">
        <v>1622</v>
      </c>
      <c r="I19" s="5">
        <v>24.96</v>
      </c>
      <c r="J19" s="5">
        <f t="shared" si="0"/>
        <v>99.84</v>
      </c>
    </row>
    <row r="20" spans="1:10" x14ac:dyDescent="0.25">
      <c r="A20" s="9">
        <v>183</v>
      </c>
      <c r="B20" s="5" t="s">
        <v>1187</v>
      </c>
      <c r="C20" s="5" t="s">
        <v>1188</v>
      </c>
      <c r="D20" s="5" t="s">
        <v>1619</v>
      </c>
      <c r="E20" s="6">
        <v>90189084</v>
      </c>
      <c r="F20" s="6">
        <v>4</v>
      </c>
      <c r="G20" s="6">
        <f t="shared" si="1"/>
        <v>1</v>
      </c>
      <c r="H20" s="6" t="s">
        <v>1622</v>
      </c>
      <c r="I20" s="5">
        <v>5.92</v>
      </c>
      <c r="J20" s="5">
        <f t="shared" si="0"/>
        <v>23.68</v>
      </c>
    </row>
    <row r="21" spans="1:10" x14ac:dyDescent="0.25">
      <c r="A21" s="9">
        <v>184</v>
      </c>
      <c r="B21" s="5" t="s">
        <v>897</v>
      </c>
      <c r="C21" s="5" t="s">
        <v>898</v>
      </c>
      <c r="D21" s="5" t="s">
        <v>1619</v>
      </c>
      <c r="E21" s="6">
        <v>90189084</v>
      </c>
      <c r="F21" s="6">
        <v>4</v>
      </c>
      <c r="G21" s="6">
        <f t="shared" si="1"/>
        <v>1</v>
      </c>
      <c r="H21" s="6" t="s">
        <v>1622</v>
      </c>
      <c r="I21" s="5">
        <v>6.4</v>
      </c>
      <c r="J21" s="5">
        <f t="shared" si="0"/>
        <v>25.6</v>
      </c>
    </row>
    <row r="22" spans="1:10" x14ac:dyDescent="0.25">
      <c r="A22" s="9">
        <v>185</v>
      </c>
      <c r="B22" s="5" t="s">
        <v>1189</v>
      </c>
      <c r="C22" s="5" t="s">
        <v>1190</v>
      </c>
      <c r="D22" s="5" t="s">
        <v>1619</v>
      </c>
      <c r="E22" s="6">
        <v>90189084</v>
      </c>
      <c r="F22" s="6">
        <v>4</v>
      </c>
      <c r="G22" s="6">
        <f t="shared" si="1"/>
        <v>1</v>
      </c>
      <c r="H22" s="6" t="s">
        <v>1622</v>
      </c>
      <c r="I22" s="5">
        <v>6.49</v>
      </c>
      <c r="J22" s="5">
        <f t="shared" si="0"/>
        <v>25.96</v>
      </c>
    </row>
    <row r="23" spans="1:10" x14ac:dyDescent="0.25">
      <c r="A23" s="9">
        <v>186</v>
      </c>
      <c r="B23" s="5" t="s">
        <v>1191</v>
      </c>
      <c r="C23" s="5" t="s">
        <v>1192</v>
      </c>
      <c r="D23" s="5" t="s">
        <v>1618</v>
      </c>
      <c r="E23" s="6">
        <v>90189084</v>
      </c>
      <c r="F23" s="6">
        <v>4</v>
      </c>
      <c r="G23" s="6">
        <f t="shared" si="1"/>
        <v>1</v>
      </c>
      <c r="H23" s="6" t="s">
        <v>1622</v>
      </c>
      <c r="I23" s="5">
        <v>34.840000000000003</v>
      </c>
      <c r="J23" s="5">
        <f t="shared" si="0"/>
        <v>139.36000000000001</v>
      </c>
    </row>
    <row r="24" spans="1:10" x14ac:dyDescent="0.25">
      <c r="A24" s="9">
        <v>187</v>
      </c>
      <c r="B24" s="5" t="s">
        <v>1193</v>
      </c>
      <c r="C24" s="5" t="s">
        <v>1194</v>
      </c>
      <c r="D24" s="5" t="s">
        <v>1618</v>
      </c>
      <c r="E24" s="6">
        <v>90189084</v>
      </c>
      <c r="F24" s="6">
        <v>8</v>
      </c>
      <c r="G24" s="6">
        <f t="shared" si="1"/>
        <v>2</v>
      </c>
      <c r="H24" s="6" t="s">
        <v>1622</v>
      </c>
      <c r="I24" s="5">
        <v>24.43</v>
      </c>
      <c r="J24" s="5">
        <f t="shared" si="0"/>
        <v>195.44</v>
      </c>
    </row>
    <row r="25" spans="1:10" x14ac:dyDescent="0.25">
      <c r="A25" s="9">
        <v>188</v>
      </c>
      <c r="B25" s="5" t="s">
        <v>22</v>
      </c>
      <c r="C25" s="5" t="s">
        <v>23</v>
      </c>
      <c r="D25" s="5" t="s">
        <v>1618</v>
      </c>
      <c r="E25" s="6">
        <v>90189084</v>
      </c>
      <c r="F25" s="6">
        <v>4</v>
      </c>
      <c r="G25" s="6">
        <f t="shared" si="1"/>
        <v>1</v>
      </c>
      <c r="H25" s="6" t="s">
        <v>1622</v>
      </c>
      <c r="I25" s="5">
        <v>3.93</v>
      </c>
      <c r="J25" s="5">
        <f t="shared" si="0"/>
        <v>15.72</v>
      </c>
    </row>
    <row r="26" spans="1:10" x14ac:dyDescent="0.25">
      <c r="A26" s="9">
        <v>189</v>
      </c>
      <c r="B26" s="5" t="s">
        <v>136</v>
      </c>
      <c r="C26" s="5" t="s">
        <v>137</v>
      </c>
      <c r="D26" s="5" t="s">
        <v>1618</v>
      </c>
      <c r="E26" s="6">
        <v>90189084</v>
      </c>
      <c r="F26" s="6">
        <v>4</v>
      </c>
      <c r="G26" s="6">
        <f t="shared" si="1"/>
        <v>1</v>
      </c>
      <c r="H26" s="6" t="s">
        <v>1622</v>
      </c>
      <c r="I26" s="5">
        <v>3.93</v>
      </c>
      <c r="J26" s="5">
        <f t="shared" ref="J26:J62" si="2">F26*I26</f>
        <v>15.72</v>
      </c>
    </row>
    <row r="27" spans="1:10" x14ac:dyDescent="0.25">
      <c r="A27" s="9">
        <v>190</v>
      </c>
      <c r="B27" s="5" t="s">
        <v>1195</v>
      </c>
      <c r="C27" s="5" t="s">
        <v>1196</v>
      </c>
      <c r="D27" s="5" t="s">
        <v>1618</v>
      </c>
      <c r="E27" s="6">
        <v>90189084</v>
      </c>
      <c r="F27" s="6">
        <v>4</v>
      </c>
      <c r="G27" s="6">
        <f t="shared" si="1"/>
        <v>1</v>
      </c>
      <c r="H27" s="6" t="s">
        <v>1622</v>
      </c>
      <c r="I27" s="5">
        <v>19.75</v>
      </c>
      <c r="J27" s="5">
        <f t="shared" si="2"/>
        <v>79</v>
      </c>
    </row>
    <row r="28" spans="1:10" x14ac:dyDescent="0.25">
      <c r="A28" s="9">
        <v>191</v>
      </c>
      <c r="B28" s="5" t="s">
        <v>1197</v>
      </c>
      <c r="C28" s="5" t="s">
        <v>1198</v>
      </c>
      <c r="D28" s="5" t="s">
        <v>1618</v>
      </c>
      <c r="E28" s="6">
        <v>90189084</v>
      </c>
      <c r="F28" s="6">
        <v>8</v>
      </c>
      <c r="G28" s="6">
        <f t="shared" si="1"/>
        <v>2</v>
      </c>
      <c r="H28" s="6" t="s">
        <v>1622</v>
      </c>
      <c r="I28" s="5">
        <v>36.56</v>
      </c>
      <c r="J28" s="5">
        <f t="shared" si="2"/>
        <v>292.48</v>
      </c>
    </row>
    <row r="29" spans="1:10" x14ac:dyDescent="0.25">
      <c r="A29" s="9">
        <v>192</v>
      </c>
      <c r="B29" s="5" t="s">
        <v>779</v>
      </c>
      <c r="C29" s="5" t="s">
        <v>780</v>
      </c>
      <c r="D29" s="5" t="s">
        <v>1618</v>
      </c>
      <c r="E29" s="6">
        <v>90189084</v>
      </c>
      <c r="F29" s="6">
        <v>4</v>
      </c>
      <c r="G29" s="6">
        <f t="shared" si="1"/>
        <v>1</v>
      </c>
      <c r="H29" s="6" t="s">
        <v>1622</v>
      </c>
      <c r="I29" s="5">
        <v>76.8</v>
      </c>
      <c r="J29" s="5">
        <f t="shared" si="2"/>
        <v>307.2</v>
      </c>
    </row>
    <row r="30" spans="1:10" x14ac:dyDescent="0.25">
      <c r="A30" s="9">
        <v>193</v>
      </c>
      <c r="B30" s="5" t="s">
        <v>1199</v>
      </c>
      <c r="C30" s="5" t="s">
        <v>1200</v>
      </c>
      <c r="D30" s="5" t="s">
        <v>1619</v>
      </c>
      <c r="E30" s="6">
        <v>90189084</v>
      </c>
      <c r="F30" s="6">
        <v>4</v>
      </c>
      <c r="G30" s="6">
        <f t="shared" si="1"/>
        <v>1</v>
      </c>
      <c r="H30" s="6" t="s">
        <v>1622</v>
      </c>
      <c r="I30" s="5">
        <v>42.38</v>
      </c>
      <c r="J30" s="5">
        <f t="shared" si="2"/>
        <v>169.52</v>
      </c>
    </row>
    <row r="31" spans="1:10" x14ac:dyDescent="0.25">
      <c r="A31" s="9">
        <v>194</v>
      </c>
      <c r="B31" s="5" t="s">
        <v>1201</v>
      </c>
      <c r="C31" s="5" t="s">
        <v>1202</v>
      </c>
      <c r="D31" s="5" t="s">
        <v>1618</v>
      </c>
      <c r="E31" s="6">
        <v>90189084</v>
      </c>
      <c r="F31" s="6">
        <v>4</v>
      </c>
      <c r="G31" s="6">
        <f t="shared" si="1"/>
        <v>1</v>
      </c>
      <c r="H31" s="6" t="s">
        <v>1622</v>
      </c>
      <c r="I31" s="5">
        <v>72.47</v>
      </c>
      <c r="J31" s="5">
        <f t="shared" si="2"/>
        <v>289.88</v>
      </c>
    </row>
    <row r="32" spans="1:10" x14ac:dyDescent="0.25">
      <c r="A32" s="9">
        <v>195</v>
      </c>
      <c r="B32" s="5" t="s">
        <v>1203</v>
      </c>
      <c r="C32" s="5" t="s">
        <v>1204</v>
      </c>
      <c r="D32" s="5" t="s">
        <v>1618</v>
      </c>
      <c r="E32" s="6">
        <v>90189084</v>
      </c>
      <c r="F32" s="6">
        <v>4</v>
      </c>
      <c r="G32" s="6">
        <f t="shared" si="1"/>
        <v>1</v>
      </c>
      <c r="H32" s="6" t="s">
        <v>1622</v>
      </c>
      <c r="I32" s="5">
        <v>24.78</v>
      </c>
      <c r="J32" s="5">
        <f t="shared" si="2"/>
        <v>99.12</v>
      </c>
    </row>
    <row r="33" spans="1:10" x14ac:dyDescent="0.25">
      <c r="A33" s="9">
        <v>196</v>
      </c>
      <c r="B33" s="5" t="s">
        <v>1205</v>
      </c>
      <c r="C33" s="5" t="s">
        <v>1206</v>
      </c>
      <c r="D33" s="5" t="s">
        <v>1618</v>
      </c>
      <c r="E33" s="6">
        <v>90189084</v>
      </c>
      <c r="F33" s="6">
        <v>4</v>
      </c>
      <c r="G33" s="6">
        <f t="shared" si="1"/>
        <v>1</v>
      </c>
      <c r="H33" s="6" t="s">
        <v>1622</v>
      </c>
      <c r="I33" s="5">
        <v>24.78</v>
      </c>
      <c r="J33" s="5">
        <f t="shared" si="2"/>
        <v>99.12</v>
      </c>
    </row>
    <row r="34" spans="1:10" x14ac:dyDescent="0.25">
      <c r="A34" s="9">
        <v>197</v>
      </c>
      <c r="B34" s="5" t="s">
        <v>346</v>
      </c>
      <c r="C34" s="5" t="s">
        <v>347</v>
      </c>
      <c r="D34" s="5" t="s">
        <v>1618</v>
      </c>
      <c r="E34" s="6">
        <v>90189084</v>
      </c>
      <c r="F34" s="6">
        <v>4</v>
      </c>
      <c r="G34" s="6">
        <f t="shared" si="1"/>
        <v>1</v>
      </c>
      <c r="H34" s="6" t="s">
        <v>1622</v>
      </c>
      <c r="I34" s="5">
        <v>21.75</v>
      </c>
      <c r="J34" s="5">
        <f t="shared" si="2"/>
        <v>87</v>
      </c>
    </row>
    <row r="35" spans="1:10" x14ac:dyDescent="0.25">
      <c r="A35" s="9">
        <v>198</v>
      </c>
      <c r="B35" s="5" t="s">
        <v>1207</v>
      </c>
      <c r="C35" s="5" t="s">
        <v>1208</v>
      </c>
      <c r="D35" s="5" t="s">
        <v>1618</v>
      </c>
      <c r="E35" s="6">
        <v>90189084</v>
      </c>
      <c r="F35" s="6">
        <v>4</v>
      </c>
      <c r="G35" s="6">
        <f t="shared" si="1"/>
        <v>1</v>
      </c>
      <c r="H35" s="6" t="s">
        <v>1622</v>
      </c>
      <c r="I35" s="5">
        <v>48.27</v>
      </c>
      <c r="J35" s="5">
        <f t="shared" si="2"/>
        <v>193.08</v>
      </c>
    </row>
    <row r="36" spans="1:10" x14ac:dyDescent="0.25">
      <c r="A36" s="9">
        <v>199</v>
      </c>
      <c r="B36" s="5" t="s">
        <v>1209</v>
      </c>
      <c r="C36" s="5" t="s">
        <v>1210</v>
      </c>
      <c r="D36" s="5" t="s">
        <v>1618</v>
      </c>
      <c r="E36" s="6">
        <v>90189084</v>
      </c>
      <c r="F36" s="6">
        <v>8</v>
      </c>
      <c r="G36" s="6">
        <f t="shared" si="1"/>
        <v>2</v>
      </c>
      <c r="H36" s="6" t="s">
        <v>1622</v>
      </c>
      <c r="I36" s="5">
        <v>20.100000000000001</v>
      </c>
      <c r="J36" s="5">
        <f t="shared" si="2"/>
        <v>160.80000000000001</v>
      </c>
    </row>
    <row r="37" spans="1:10" x14ac:dyDescent="0.25">
      <c r="A37" s="9">
        <v>200</v>
      </c>
      <c r="B37" s="5" t="s">
        <v>1109</v>
      </c>
      <c r="C37" s="5" t="s">
        <v>1110</v>
      </c>
      <c r="D37" s="5" t="s">
        <v>1618</v>
      </c>
      <c r="E37" s="6">
        <v>90189084</v>
      </c>
      <c r="F37" s="6">
        <v>4</v>
      </c>
      <c r="G37" s="6">
        <f t="shared" si="1"/>
        <v>1</v>
      </c>
      <c r="H37" s="6" t="s">
        <v>1622</v>
      </c>
      <c r="I37" s="5">
        <v>14.16</v>
      </c>
      <c r="J37" s="5">
        <f t="shared" si="2"/>
        <v>56.64</v>
      </c>
    </row>
    <row r="38" spans="1:10" x14ac:dyDescent="0.25">
      <c r="A38" s="9">
        <v>201</v>
      </c>
      <c r="B38" s="5" t="s">
        <v>1211</v>
      </c>
      <c r="C38" s="5" t="s">
        <v>1212</v>
      </c>
      <c r="D38" s="5" t="s">
        <v>1618</v>
      </c>
      <c r="E38" s="6">
        <v>90189084</v>
      </c>
      <c r="F38" s="6">
        <v>4</v>
      </c>
      <c r="G38" s="6">
        <f t="shared" si="1"/>
        <v>1</v>
      </c>
      <c r="H38" s="6" t="s">
        <v>1622</v>
      </c>
      <c r="I38" s="5">
        <v>14.16</v>
      </c>
      <c r="J38" s="5">
        <f t="shared" si="2"/>
        <v>56.64</v>
      </c>
    </row>
    <row r="39" spans="1:10" x14ac:dyDescent="0.25">
      <c r="A39" s="9">
        <v>202</v>
      </c>
      <c r="B39" s="5" t="s">
        <v>494</v>
      </c>
      <c r="C39" s="5" t="s">
        <v>495</v>
      </c>
      <c r="D39" s="5" t="s">
        <v>1619</v>
      </c>
      <c r="E39" s="6">
        <v>90189084</v>
      </c>
      <c r="F39" s="6">
        <v>4</v>
      </c>
      <c r="G39" s="6">
        <f t="shared" si="1"/>
        <v>1</v>
      </c>
      <c r="H39" s="6" t="s">
        <v>1622</v>
      </c>
      <c r="I39" s="5">
        <v>11.35</v>
      </c>
      <c r="J39" s="5">
        <f t="shared" si="2"/>
        <v>45.4</v>
      </c>
    </row>
    <row r="40" spans="1:10" x14ac:dyDescent="0.25">
      <c r="A40" s="9">
        <v>203</v>
      </c>
      <c r="B40" s="5" t="s">
        <v>492</v>
      </c>
      <c r="C40" s="5" t="s">
        <v>493</v>
      </c>
      <c r="D40" s="5" t="s">
        <v>1619</v>
      </c>
      <c r="E40" s="6">
        <v>90189084</v>
      </c>
      <c r="F40" s="6">
        <v>4</v>
      </c>
      <c r="G40" s="6">
        <f t="shared" si="1"/>
        <v>1</v>
      </c>
      <c r="H40" s="6" t="s">
        <v>1622</v>
      </c>
      <c r="I40" s="5">
        <v>11.93</v>
      </c>
      <c r="J40" s="5">
        <f t="shared" si="2"/>
        <v>47.72</v>
      </c>
    </row>
    <row r="41" spans="1:10" x14ac:dyDescent="0.25">
      <c r="A41" s="9">
        <v>204</v>
      </c>
      <c r="B41" s="5" t="s">
        <v>1213</v>
      </c>
      <c r="C41" s="5" t="s">
        <v>1214</v>
      </c>
      <c r="D41" s="5" t="s">
        <v>1618</v>
      </c>
      <c r="E41" s="6">
        <v>90178010</v>
      </c>
      <c r="F41" s="6">
        <v>4</v>
      </c>
      <c r="G41" s="6">
        <f t="shared" si="1"/>
        <v>1</v>
      </c>
      <c r="H41" s="6" t="s">
        <v>1622</v>
      </c>
      <c r="I41" s="5">
        <v>1.65</v>
      </c>
      <c r="J41" s="5">
        <f t="shared" si="2"/>
        <v>6.6</v>
      </c>
    </row>
    <row r="42" spans="1:10" x14ac:dyDescent="0.25">
      <c r="A42" s="9">
        <v>205</v>
      </c>
      <c r="B42" s="5" t="s">
        <v>1215</v>
      </c>
      <c r="C42" s="5" t="s">
        <v>1216</v>
      </c>
      <c r="D42" s="5" t="s">
        <v>1618</v>
      </c>
      <c r="E42" s="6">
        <v>90189084</v>
      </c>
      <c r="F42" s="6">
        <v>4</v>
      </c>
      <c r="G42" s="6">
        <f t="shared" si="1"/>
        <v>1</v>
      </c>
      <c r="H42" s="6" t="s">
        <v>1622</v>
      </c>
      <c r="I42" s="5">
        <v>272.2</v>
      </c>
      <c r="J42" s="5">
        <f t="shared" si="2"/>
        <v>1088.8</v>
      </c>
    </row>
    <row r="43" spans="1:10" x14ac:dyDescent="0.25">
      <c r="A43" s="9">
        <v>206</v>
      </c>
      <c r="B43" s="5" t="s">
        <v>1217</v>
      </c>
      <c r="C43" s="5" t="s">
        <v>1218</v>
      </c>
      <c r="D43" s="5" t="s">
        <v>1618</v>
      </c>
      <c r="E43" s="6">
        <v>90189084</v>
      </c>
      <c r="F43" s="6">
        <v>8</v>
      </c>
      <c r="G43" s="6">
        <f t="shared" si="1"/>
        <v>2</v>
      </c>
      <c r="H43" s="6" t="s">
        <v>1622</v>
      </c>
      <c r="I43" s="5">
        <v>9.4600000000000009</v>
      </c>
      <c r="J43" s="5">
        <f t="shared" si="2"/>
        <v>75.680000000000007</v>
      </c>
    </row>
    <row r="44" spans="1:10" x14ac:dyDescent="0.25">
      <c r="A44" s="9">
        <v>207</v>
      </c>
      <c r="B44" s="5" t="s">
        <v>1219</v>
      </c>
      <c r="C44" s="5" t="s">
        <v>1220</v>
      </c>
      <c r="D44" s="5" t="s">
        <v>1618</v>
      </c>
      <c r="E44" s="6">
        <v>90189084</v>
      </c>
      <c r="F44" s="6">
        <v>4</v>
      </c>
      <c r="G44" s="6">
        <f t="shared" si="1"/>
        <v>1</v>
      </c>
      <c r="H44" s="6" t="s">
        <v>1622</v>
      </c>
      <c r="I44" s="5">
        <v>22.91</v>
      </c>
      <c r="J44" s="5">
        <f t="shared" si="2"/>
        <v>91.64</v>
      </c>
    </row>
    <row r="45" spans="1:10" x14ac:dyDescent="0.25">
      <c r="A45" s="9">
        <v>208</v>
      </c>
      <c r="B45" s="5" t="s">
        <v>1221</v>
      </c>
      <c r="C45" s="5" t="s">
        <v>1222</v>
      </c>
      <c r="D45" s="5" t="s">
        <v>1618</v>
      </c>
      <c r="E45" s="6">
        <v>90189084</v>
      </c>
      <c r="F45" s="6">
        <v>4</v>
      </c>
      <c r="G45" s="6">
        <f t="shared" si="1"/>
        <v>1</v>
      </c>
      <c r="H45" s="6" t="s">
        <v>1622</v>
      </c>
      <c r="I45" s="5">
        <v>22.86</v>
      </c>
      <c r="J45" s="5">
        <f t="shared" si="2"/>
        <v>91.44</v>
      </c>
    </row>
    <row r="46" spans="1:10" x14ac:dyDescent="0.25">
      <c r="A46" s="9">
        <v>209</v>
      </c>
      <c r="B46" s="5" t="s">
        <v>1223</v>
      </c>
      <c r="C46" s="5" t="s">
        <v>1224</v>
      </c>
      <c r="D46" s="5" t="s">
        <v>1618</v>
      </c>
      <c r="E46" s="6">
        <v>90189084</v>
      </c>
      <c r="F46" s="6">
        <v>4</v>
      </c>
      <c r="G46" s="6">
        <f t="shared" si="1"/>
        <v>1</v>
      </c>
      <c r="H46" s="6" t="s">
        <v>1622</v>
      </c>
      <c r="I46" s="5">
        <v>37.32</v>
      </c>
      <c r="J46" s="5">
        <f t="shared" si="2"/>
        <v>149.28</v>
      </c>
    </row>
    <row r="47" spans="1:10" x14ac:dyDescent="0.25">
      <c r="A47" s="9">
        <v>210</v>
      </c>
      <c r="B47" s="5" t="s">
        <v>1225</v>
      </c>
      <c r="C47" s="5" t="s">
        <v>1226</v>
      </c>
      <c r="D47" s="5" t="s">
        <v>1619</v>
      </c>
      <c r="E47" s="6">
        <v>90189084</v>
      </c>
      <c r="F47" s="6">
        <v>4</v>
      </c>
      <c r="G47" s="6">
        <f t="shared" si="1"/>
        <v>1</v>
      </c>
      <c r="H47" s="6" t="s">
        <v>1622</v>
      </c>
      <c r="I47" s="5">
        <v>67.790000000000006</v>
      </c>
      <c r="J47" s="5">
        <f t="shared" si="2"/>
        <v>271.16000000000003</v>
      </c>
    </row>
    <row r="48" spans="1:10" x14ac:dyDescent="0.25">
      <c r="A48" s="9">
        <v>211</v>
      </c>
      <c r="B48" s="5" t="s">
        <v>1227</v>
      </c>
      <c r="C48" s="5" t="s">
        <v>1228</v>
      </c>
      <c r="D48" s="5" t="s">
        <v>1619</v>
      </c>
      <c r="E48" s="6">
        <v>90189084</v>
      </c>
      <c r="F48" s="6">
        <v>4</v>
      </c>
      <c r="G48" s="6">
        <f t="shared" si="1"/>
        <v>1</v>
      </c>
      <c r="H48" s="6" t="s">
        <v>1622</v>
      </c>
      <c r="I48" s="5">
        <v>62.2</v>
      </c>
      <c r="J48" s="5">
        <f t="shared" si="2"/>
        <v>248.8</v>
      </c>
    </row>
    <row r="49" spans="1:10" x14ac:dyDescent="0.25">
      <c r="A49" s="9">
        <v>212</v>
      </c>
      <c r="B49" s="5" t="s">
        <v>440</v>
      </c>
      <c r="C49" s="5" t="s">
        <v>441</v>
      </c>
      <c r="D49" s="5" t="s">
        <v>1619</v>
      </c>
      <c r="E49" s="6">
        <v>90189084</v>
      </c>
      <c r="F49" s="6">
        <v>4</v>
      </c>
      <c r="G49" s="6">
        <f t="shared" si="1"/>
        <v>1</v>
      </c>
      <c r="H49" s="6" t="s">
        <v>1622</v>
      </c>
      <c r="I49" s="5">
        <v>64.42</v>
      </c>
      <c r="J49" s="5">
        <f t="shared" si="2"/>
        <v>257.68</v>
      </c>
    </row>
    <row r="50" spans="1:10" x14ac:dyDescent="0.25">
      <c r="A50" s="9">
        <v>213</v>
      </c>
      <c r="B50" s="5" t="s">
        <v>1229</v>
      </c>
      <c r="C50" s="5" t="s">
        <v>1230</v>
      </c>
      <c r="D50" s="5" t="s">
        <v>1618</v>
      </c>
      <c r="E50" s="6">
        <v>90184990</v>
      </c>
      <c r="F50" s="6">
        <v>4</v>
      </c>
      <c r="G50" s="6">
        <f t="shared" si="1"/>
        <v>1</v>
      </c>
      <c r="H50" s="6" t="s">
        <v>1622</v>
      </c>
      <c r="I50" s="5">
        <v>115.37</v>
      </c>
      <c r="J50" s="5">
        <f t="shared" si="2"/>
        <v>461.48</v>
      </c>
    </row>
    <row r="51" spans="1:10" x14ac:dyDescent="0.25">
      <c r="A51" s="9">
        <v>214</v>
      </c>
      <c r="B51" s="5" t="s">
        <v>1231</v>
      </c>
      <c r="C51" s="5" t="s">
        <v>1232</v>
      </c>
      <c r="D51" s="5" t="s">
        <v>1618</v>
      </c>
      <c r="E51" s="6">
        <v>90189084</v>
      </c>
      <c r="F51" s="6">
        <v>4</v>
      </c>
      <c r="G51" s="6">
        <f t="shared" si="1"/>
        <v>1</v>
      </c>
      <c r="H51" s="6" t="s">
        <v>1622</v>
      </c>
      <c r="I51" s="5">
        <v>199.47</v>
      </c>
      <c r="J51" s="5">
        <f t="shared" si="2"/>
        <v>797.88</v>
      </c>
    </row>
    <row r="52" spans="1:10" x14ac:dyDescent="0.25">
      <c r="A52" s="9">
        <v>215</v>
      </c>
      <c r="B52" s="5" t="s">
        <v>524</v>
      </c>
      <c r="C52" s="5" t="s">
        <v>525</v>
      </c>
      <c r="D52" s="5" t="s">
        <v>1618</v>
      </c>
      <c r="E52" s="6">
        <v>90189084</v>
      </c>
      <c r="F52" s="6">
        <v>4</v>
      </c>
      <c r="G52" s="6">
        <f t="shared" si="1"/>
        <v>1</v>
      </c>
      <c r="H52" s="6" t="s">
        <v>1622</v>
      </c>
      <c r="I52" s="5">
        <v>10.74</v>
      </c>
      <c r="J52" s="5">
        <f t="shared" si="2"/>
        <v>42.96</v>
      </c>
    </row>
    <row r="53" spans="1:10" x14ac:dyDescent="0.25">
      <c r="A53" s="9">
        <v>216</v>
      </c>
      <c r="B53" s="5" t="s">
        <v>1233</v>
      </c>
      <c r="C53" s="5" t="s">
        <v>1234</v>
      </c>
      <c r="D53" s="5" t="s">
        <v>1618</v>
      </c>
      <c r="E53" s="6">
        <v>90189084</v>
      </c>
      <c r="F53" s="6">
        <v>4</v>
      </c>
      <c r="G53" s="6">
        <f t="shared" si="1"/>
        <v>1</v>
      </c>
      <c r="H53" s="6" t="s">
        <v>1622</v>
      </c>
      <c r="I53" s="5">
        <v>46.27</v>
      </c>
      <c r="J53" s="5">
        <f t="shared" si="2"/>
        <v>185.08</v>
      </c>
    </row>
    <row r="54" spans="1:10" x14ac:dyDescent="0.25">
      <c r="A54" s="9">
        <v>217</v>
      </c>
      <c r="B54" s="5" t="s">
        <v>1235</v>
      </c>
      <c r="C54" s="5" t="s">
        <v>1236</v>
      </c>
      <c r="D54" s="5" t="s">
        <v>1618</v>
      </c>
      <c r="E54" s="6">
        <v>90189084</v>
      </c>
      <c r="F54" s="6">
        <v>4</v>
      </c>
      <c r="G54" s="6">
        <f t="shared" si="1"/>
        <v>1</v>
      </c>
      <c r="H54" s="6" t="s">
        <v>1622</v>
      </c>
      <c r="I54" s="5">
        <v>48.59</v>
      </c>
      <c r="J54" s="5">
        <f t="shared" si="2"/>
        <v>194.36</v>
      </c>
    </row>
    <row r="55" spans="1:10" x14ac:dyDescent="0.25">
      <c r="A55" s="9">
        <v>218</v>
      </c>
      <c r="B55" s="5" t="s">
        <v>1237</v>
      </c>
      <c r="C55" s="5" t="s">
        <v>1238</v>
      </c>
      <c r="D55" s="5" t="s">
        <v>1618</v>
      </c>
      <c r="E55" s="6">
        <v>90189084</v>
      </c>
      <c r="F55" s="6">
        <v>4</v>
      </c>
      <c r="G55" s="6">
        <f t="shared" si="1"/>
        <v>1</v>
      </c>
      <c r="H55" s="6" t="s">
        <v>1622</v>
      </c>
      <c r="I55" s="5">
        <v>40.520000000000003</v>
      </c>
      <c r="J55" s="5">
        <f t="shared" si="2"/>
        <v>162.08000000000001</v>
      </c>
    </row>
    <row r="56" spans="1:10" x14ac:dyDescent="0.25">
      <c r="A56" s="9">
        <v>219</v>
      </c>
      <c r="B56" s="5" t="s">
        <v>1239</v>
      </c>
      <c r="C56" s="5" t="s">
        <v>1240</v>
      </c>
      <c r="D56" s="5" t="s">
        <v>1618</v>
      </c>
      <c r="E56" s="6">
        <v>90189084</v>
      </c>
      <c r="F56" s="6">
        <v>4</v>
      </c>
      <c r="G56" s="6">
        <f t="shared" si="1"/>
        <v>1</v>
      </c>
      <c r="H56" s="6" t="s">
        <v>1622</v>
      </c>
      <c r="I56" s="5">
        <v>73.16</v>
      </c>
      <c r="J56" s="5">
        <f t="shared" si="2"/>
        <v>292.64</v>
      </c>
    </row>
    <row r="57" spans="1:10" x14ac:dyDescent="0.25">
      <c r="A57" s="9">
        <v>220</v>
      </c>
      <c r="B57" s="5" t="s">
        <v>1241</v>
      </c>
      <c r="C57" s="5" t="s">
        <v>1242</v>
      </c>
      <c r="D57" s="5" t="s">
        <v>1618</v>
      </c>
      <c r="E57" s="6">
        <v>90189084</v>
      </c>
      <c r="F57" s="6">
        <v>4</v>
      </c>
      <c r="G57" s="6">
        <f t="shared" si="1"/>
        <v>1</v>
      </c>
      <c r="H57" s="6" t="s">
        <v>1622</v>
      </c>
      <c r="I57" s="5">
        <v>74.3</v>
      </c>
      <c r="J57" s="5">
        <f t="shared" si="2"/>
        <v>297.2</v>
      </c>
    </row>
    <row r="58" spans="1:10" x14ac:dyDescent="0.25">
      <c r="A58" s="9">
        <v>221</v>
      </c>
      <c r="B58" s="5" t="s">
        <v>1243</v>
      </c>
      <c r="C58" s="5" t="s">
        <v>1244</v>
      </c>
      <c r="D58" s="5" t="s">
        <v>1618</v>
      </c>
      <c r="E58" s="6">
        <v>90189084</v>
      </c>
      <c r="F58" s="6">
        <v>4</v>
      </c>
      <c r="G58" s="6">
        <f t="shared" si="1"/>
        <v>1</v>
      </c>
      <c r="H58" s="6" t="s">
        <v>1622</v>
      </c>
      <c r="I58" s="5">
        <v>62.05</v>
      </c>
      <c r="J58" s="5">
        <f t="shared" si="2"/>
        <v>248.2</v>
      </c>
    </row>
    <row r="59" spans="1:10" x14ac:dyDescent="0.25">
      <c r="A59" s="9">
        <v>222</v>
      </c>
      <c r="B59" s="5" t="s">
        <v>1245</v>
      </c>
      <c r="C59" s="5" t="s">
        <v>1246</v>
      </c>
      <c r="D59" s="5" t="s">
        <v>1618</v>
      </c>
      <c r="E59" s="6">
        <v>90189084</v>
      </c>
      <c r="F59" s="6">
        <v>4</v>
      </c>
      <c r="G59" s="6">
        <f t="shared" si="1"/>
        <v>1</v>
      </c>
      <c r="H59" s="6" t="s">
        <v>1622</v>
      </c>
      <c r="I59" s="5">
        <v>3.64</v>
      </c>
      <c r="J59" s="5">
        <f t="shared" si="2"/>
        <v>14.56</v>
      </c>
    </row>
    <row r="60" spans="1:10" x14ac:dyDescent="0.25">
      <c r="A60" s="9">
        <v>223</v>
      </c>
      <c r="B60" s="5" t="s">
        <v>362</v>
      </c>
      <c r="C60" s="5" t="s">
        <v>363</v>
      </c>
      <c r="D60" s="5" t="s">
        <v>1618</v>
      </c>
      <c r="E60" s="6">
        <v>76169990</v>
      </c>
      <c r="F60" s="6">
        <v>4</v>
      </c>
      <c r="G60" s="6">
        <f t="shared" si="1"/>
        <v>1</v>
      </c>
      <c r="H60" s="6" t="s">
        <v>1622</v>
      </c>
      <c r="I60" s="5">
        <v>444.11</v>
      </c>
      <c r="J60" s="5">
        <f t="shared" si="2"/>
        <v>1776.44</v>
      </c>
    </row>
    <row r="61" spans="1:10" x14ac:dyDescent="0.25">
      <c r="A61" s="9">
        <v>224</v>
      </c>
      <c r="B61" s="5" t="s">
        <v>374</v>
      </c>
      <c r="C61" s="5" t="s">
        <v>375</v>
      </c>
      <c r="D61" s="5" t="s">
        <v>1618</v>
      </c>
      <c r="E61" s="6">
        <v>73269098</v>
      </c>
      <c r="F61" s="6">
        <v>4</v>
      </c>
      <c r="G61" s="6">
        <f t="shared" si="1"/>
        <v>1</v>
      </c>
      <c r="H61" s="6" t="s">
        <v>1622</v>
      </c>
      <c r="I61" s="5">
        <v>81.66</v>
      </c>
      <c r="J61" s="5">
        <f t="shared" si="2"/>
        <v>326.64</v>
      </c>
    </row>
    <row r="62" spans="1:10" x14ac:dyDescent="0.25">
      <c r="A62" s="9">
        <v>225</v>
      </c>
      <c r="B62" s="5" t="s">
        <v>288</v>
      </c>
      <c r="C62" s="5" t="s">
        <v>289</v>
      </c>
      <c r="D62" s="5" t="s">
        <v>1618</v>
      </c>
      <c r="E62" s="6">
        <v>39269097</v>
      </c>
      <c r="F62" s="6">
        <v>4</v>
      </c>
      <c r="G62" s="6">
        <f t="shared" si="1"/>
        <v>1</v>
      </c>
      <c r="H62" s="6" t="s">
        <v>1622</v>
      </c>
      <c r="I62" s="5">
        <v>4.3600000000000003</v>
      </c>
      <c r="J62" s="5">
        <f t="shared" si="2"/>
        <v>17.440000000000001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17B4-9F01-49A7-88E6-453C51F44444}">
  <dimension ref="A1:K77"/>
  <sheetViews>
    <sheetView workbookViewId="0">
      <selection activeCell="G3" sqref="G3:G77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1686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1668</v>
      </c>
      <c r="D2" s="11"/>
      <c r="E2" s="12"/>
      <c r="F2" s="12">
        <v>3</v>
      </c>
      <c r="G2" s="12"/>
      <c r="H2" s="12"/>
      <c r="I2" s="2"/>
      <c r="J2" s="13"/>
    </row>
    <row r="3" spans="1:10" x14ac:dyDescent="0.25">
      <c r="A3" s="9">
        <v>226</v>
      </c>
      <c r="B3" s="5" t="s">
        <v>22</v>
      </c>
      <c r="C3" s="5" t="s">
        <v>23</v>
      </c>
      <c r="D3" s="5" t="s">
        <v>1618</v>
      </c>
      <c r="E3" s="6">
        <v>90189084</v>
      </c>
      <c r="F3" s="6">
        <v>3</v>
      </c>
      <c r="G3" s="6">
        <f>F3/$F$2</f>
        <v>1</v>
      </c>
      <c r="H3" s="6" t="s">
        <v>1622</v>
      </c>
      <c r="I3" s="5">
        <v>3.89</v>
      </c>
      <c r="J3" s="5">
        <f t="shared" ref="J3:J28" si="0">F3*I3</f>
        <v>11.67</v>
      </c>
    </row>
    <row r="4" spans="1:10" x14ac:dyDescent="0.25">
      <c r="A4" s="9">
        <v>227</v>
      </c>
      <c r="B4" s="5" t="s">
        <v>136</v>
      </c>
      <c r="C4" s="5" t="s">
        <v>137</v>
      </c>
      <c r="D4" s="5" t="s">
        <v>1618</v>
      </c>
      <c r="E4" s="6">
        <v>90189084</v>
      </c>
      <c r="F4" s="6">
        <v>3</v>
      </c>
      <c r="G4" s="6">
        <f t="shared" ref="G4:G67" si="1">F4/$F$2</f>
        <v>1</v>
      </c>
      <c r="H4" s="6" t="s">
        <v>1622</v>
      </c>
      <c r="I4" s="5">
        <v>3.89</v>
      </c>
      <c r="J4" s="5">
        <f t="shared" si="0"/>
        <v>11.67</v>
      </c>
    </row>
    <row r="5" spans="1:10" x14ac:dyDescent="0.25">
      <c r="A5" s="9">
        <v>228</v>
      </c>
      <c r="B5" s="5" t="s">
        <v>140</v>
      </c>
      <c r="C5" s="5" t="s">
        <v>141</v>
      </c>
      <c r="D5" s="5" t="s">
        <v>1618</v>
      </c>
      <c r="E5" s="6">
        <v>90189084</v>
      </c>
      <c r="F5" s="6">
        <v>3</v>
      </c>
      <c r="G5" s="6">
        <f t="shared" si="1"/>
        <v>1</v>
      </c>
      <c r="H5" s="6" t="s">
        <v>1622</v>
      </c>
      <c r="I5" s="5">
        <v>9</v>
      </c>
      <c r="J5" s="5">
        <f t="shared" si="0"/>
        <v>27</v>
      </c>
    </row>
    <row r="6" spans="1:10" x14ac:dyDescent="0.25">
      <c r="A6" s="9">
        <v>229</v>
      </c>
      <c r="B6" s="5" t="s">
        <v>793</v>
      </c>
      <c r="C6" s="5" t="s">
        <v>794</v>
      </c>
      <c r="D6" s="5" t="s">
        <v>1618</v>
      </c>
      <c r="E6" s="6">
        <v>90189084</v>
      </c>
      <c r="F6" s="6">
        <v>3</v>
      </c>
      <c r="G6" s="6">
        <f t="shared" si="1"/>
        <v>1</v>
      </c>
      <c r="H6" s="6" t="s">
        <v>1622</v>
      </c>
      <c r="I6" s="5">
        <v>13.02</v>
      </c>
      <c r="J6" s="5">
        <f t="shared" si="0"/>
        <v>39.06</v>
      </c>
    </row>
    <row r="7" spans="1:10" x14ac:dyDescent="0.25">
      <c r="A7" s="9">
        <v>230</v>
      </c>
      <c r="B7" s="5" t="s">
        <v>1247</v>
      </c>
      <c r="C7" s="5" t="s">
        <v>1248</v>
      </c>
      <c r="D7" s="5" t="s">
        <v>1618</v>
      </c>
      <c r="E7" s="6">
        <v>90189084</v>
      </c>
      <c r="F7" s="6">
        <v>3</v>
      </c>
      <c r="G7" s="6">
        <f t="shared" si="1"/>
        <v>1</v>
      </c>
      <c r="H7" s="6" t="s">
        <v>1622</v>
      </c>
      <c r="I7" s="5">
        <v>6.04</v>
      </c>
      <c r="J7" s="5">
        <f t="shared" si="0"/>
        <v>18.12</v>
      </c>
    </row>
    <row r="8" spans="1:10" x14ac:dyDescent="0.25">
      <c r="A8" s="9">
        <v>231</v>
      </c>
      <c r="B8" s="5" t="s">
        <v>1249</v>
      </c>
      <c r="C8" s="5" t="s">
        <v>1250</v>
      </c>
      <c r="D8" s="5" t="s">
        <v>1618</v>
      </c>
      <c r="E8" s="6">
        <v>90189084</v>
      </c>
      <c r="F8" s="6">
        <v>3</v>
      </c>
      <c r="G8" s="6">
        <f t="shared" si="1"/>
        <v>1</v>
      </c>
      <c r="H8" s="6" t="s">
        <v>1622</v>
      </c>
      <c r="I8" s="5">
        <v>11.42</v>
      </c>
      <c r="J8" s="5">
        <f t="shared" si="0"/>
        <v>34.26</v>
      </c>
    </row>
    <row r="9" spans="1:10" x14ac:dyDescent="0.25">
      <c r="A9" s="9">
        <v>232</v>
      </c>
      <c r="B9" s="5" t="s">
        <v>1047</v>
      </c>
      <c r="C9" s="5" t="s">
        <v>1048</v>
      </c>
      <c r="D9" s="5" t="s">
        <v>1619</v>
      </c>
      <c r="E9" s="6">
        <v>90189084</v>
      </c>
      <c r="F9" s="6">
        <v>3</v>
      </c>
      <c r="G9" s="6">
        <f t="shared" si="1"/>
        <v>1</v>
      </c>
      <c r="H9" s="6" t="s">
        <v>1622</v>
      </c>
      <c r="I9" s="5">
        <v>18.059999999999999</v>
      </c>
      <c r="J9" s="5">
        <f t="shared" si="0"/>
        <v>54.179999999999993</v>
      </c>
    </row>
    <row r="10" spans="1:10" x14ac:dyDescent="0.25">
      <c r="A10" s="9">
        <v>233</v>
      </c>
      <c r="B10" s="5" t="s">
        <v>1187</v>
      </c>
      <c r="C10" s="5" t="s">
        <v>1188</v>
      </c>
      <c r="D10" s="5" t="s">
        <v>1619</v>
      </c>
      <c r="E10" s="6">
        <v>90189084</v>
      </c>
      <c r="F10" s="6">
        <v>3</v>
      </c>
      <c r="G10" s="6">
        <f t="shared" si="1"/>
        <v>1</v>
      </c>
      <c r="H10" s="6" t="s">
        <v>1622</v>
      </c>
      <c r="I10" s="5">
        <v>5.86</v>
      </c>
      <c r="J10" s="5">
        <f t="shared" si="0"/>
        <v>17.580000000000002</v>
      </c>
    </row>
    <row r="11" spans="1:10" x14ac:dyDescent="0.25">
      <c r="A11" s="9">
        <v>234</v>
      </c>
      <c r="B11" s="5" t="s">
        <v>1251</v>
      </c>
      <c r="C11" s="5" t="s">
        <v>1252</v>
      </c>
      <c r="D11" s="5" t="s">
        <v>1619</v>
      </c>
      <c r="E11" s="6">
        <v>90189084</v>
      </c>
      <c r="F11" s="6">
        <v>3</v>
      </c>
      <c r="G11" s="6">
        <f t="shared" si="1"/>
        <v>1</v>
      </c>
      <c r="H11" s="6" t="s">
        <v>1622</v>
      </c>
      <c r="I11" s="5">
        <v>12.12</v>
      </c>
      <c r="J11" s="5">
        <f t="shared" si="0"/>
        <v>36.36</v>
      </c>
    </row>
    <row r="12" spans="1:10" x14ac:dyDescent="0.25">
      <c r="A12" s="9">
        <v>235</v>
      </c>
      <c r="B12" s="5" t="s">
        <v>168</v>
      </c>
      <c r="C12" s="5" t="s">
        <v>169</v>
      </c>
      <c r="D12" s="5" t="s">
        <v>1619</v>
      </c>
      <c r="E12" s="6">
        <v>90189084</v>
      </c>
      <c r="F12" s="6">
        <v>18</v>
      </c>
      <c r="G12" s="6">
        <f t="shared" si="1"/>
        <v>6</v>
      </c>
      <c r="H12" s="6" t="s">
        <v>1622</v>
      </c>
      <c r="I12" s="5">
        <v>12.57</v>
      </c>
      <c r="J12" s="5">
        <f t="shared" si="0"/>
        <v>226.26</v>
      </c>
    </row>
    <row r="13" spans="1:10" x14ac:dyDescent="0.25">
      <c r="A13" s="9">
        <v>236</v>
      </c>
      <c r="B13" s="5" t="s">
        <v>170</v>
      </c>
      <c r="C13" s="5" t="s">
        <v>171</v>
      </c>
      <c r="D13" s="5" t="s">
        <v>1619</v>
      </c>
      <c r="E13" s="6">
        <v>90189084</v>
      </c>
      <c r="F13" s="6">
        <v>18</v>
      </c>
      <c r="G13" s="6">
        <f t="shared" si="1"/>
        <v>6</v>
      </c>
      <c r="H13" s="6" t="s">
        <v>1622</v>
      </c>
      <c r="I13" s="5">
        <v>13.54</v>
      </c>
      <c r="J13" s="5">
        <f t="shared" si="0"/>
        <v>243.71999999999997</v>
      </c>
    </row>
    <row r="14" spans="1:10" x14ac:dyDescent="0.25">
      <c r="A14" s="9">
        <v>237</v>
      </c>
      <c r="B14" s="5" t="s">
        <v>1253</v>
      </c>
      <c r="C14" s="5" t="s">
        <v>1254</v>
      </c>
      <c r="D14" s="5" t="s">
        <v>1618</v>
      </c>
      <c r="E14" s="6">
        <v>90189084</v>
      </c>
      <c r="F14" s="6">
        <v>6</v>
      </c>
      <c r="G14" s="6">
        <f t="shared" si="1"/>
        <v>2</v>
      </c>
      <c r="H14" s="6" t="s">
        <v>1622</v>
      </c>
      <c r="I14" s="5">
        <v>80.78</v>
      </c>
      <c r="J14" s="5">
        <f t="shared" si="0"/>
        <v>484.68</v>
      </c>
    </row>
    <row r="15" spans="1:10" x14ac:dyDescent="0.25">
      <c r="A15" s="9">
        <v>238</v>
      </c>
      <c r="B15" s="5" t="s">
        <v>795</v>
      </c>
      <c r="C15" s="5" t="s">
        <v>796</v>
      </c>
      <c r="D15" s="5" t="s">
        <v>1618</v>
      </c>
      <c r="E15" s="6">
        <v>90189084</v>
      </c>
      <c r="F15" s="6">
        <v>3</v>
      </c>
      <c r="G15" s="6">
        <f t="shared" si="1"/>
        <v>1</v>
      </c>
      <c r="H15" s="6" t="s">
        <v>1622</v>
      </c>
      <c r="I15" s="5">
        <v>12.75</v>
      </c>
      <c r="J15" s="5">
        <f t="shared" si="0"/>
        <v>38.25</v>
      </c>
    </row>
    <row r="16" spans="1:10" x14ac:dyDescent="0.25">
      <c r="A16" s="9">
        <v>239</v>
      </c>
      <c r="B16" s="5" t="s">
        <v>1255</v>
      </c>
      <c r="C16" s="5" t="s">
        <v>1256</v>
      </c>
      <c r="D16" s="5" t="s">
        <v>1619</v>
      </c>
      <c r="E16" s="6">
        <v>90189084</v>
      </c>
      <c r="F16" s="6">
        <v>3</v>
      </c>
      <c r="G16" s="6">
        <f t="shared" si="1"/>
        <v>1</v>
      </c>
      <c r="H16" s="6" t="s">
        <v>1622</v>
      </c>
      <c r="I16" s="5">
        <v>4.7300000000000004</v>
      </c>
      <c r="J16" s="5">
        <f t="shared" si="0"/>
        <v>14.190000000000001</v>
      </c>
    </row>
    <row r="17" spans="1:10" x14ac:dyDescent="0.25">
      <c r="A17" s="9">
        <v>240</v>
      </c>
      <c r="B17" s="5" t="s">
        <v>492</v>
      </c>
      <c r="C17" s="5" t="s">
        <v>493</v>
      </c>
      <c r="D17" s="5" t="s">
        <v>1619</v>
      </c>
      <c r="E17" s="6">
        <v>90189084</v>
      </c>
      <c r="F17" s="6">
        <v>3</v>
      </c>
      <c r="G17" s="6">
        <f t="shared" si="1"/>
        <v>1</v>
      </c>
      <c r="H17" s="6" t="s">
        <v>1622</v>
      </c>
      <c r="I17" s="5">
        <v>11.81</v>
      </c>
      <c r="J17" s="5">
        <f t="shared" si="0"/>
        <v>35.43</v>
      </c>
    </row>
    <row r="18" spans="1:10" x14ac:dyDescent="0.25">
      <c r="A18" s="9">
        <v>241</v>
      </c>
      <c r="B18" s="5" t="s">
        <v>494</v>
      </c>
      <c r="C18" s="5" t="s">
        <v>495</v>
      </c>
      <c r="D18" s="5" t="s">
        <v>1619</v>
      </c>
      <c r="E18" s="6">
        <v>90189084</v>
      </c>
      <c r="F18" s="6">
        <v>3</v>
      </c>
      <c r="G18" s="6">
        <f t="shared" si="1"/>
        <v>1</v>
      </c>
      <c r="H18" s="6" t="s">
        <v>1622</v>
      </c>
      <c r="I18" s="5">
        <v>11.24</v>
      </c>
      <c r="J18" s="5">
        <f t="shared" si="0"/>
        <v>33.72</v>
      </c>
    </row>
    <row r="19" spans="1:10" x14ac:dyDescent="0.25">
      <c r="A19" s="9">
        <v>242</v>
      </c>
      <c r="B19" s="5" t="s">
        <v>1257</v>
      </c>
      <c r="C19" s="5" t="s">
        <v>1258</v>
      </c>
      <c r="D19" s="5" t="s">
        <v>1619</v>
      </c>
      <c r="E19" s="6">
        <v>90189084</v>
      </c>
      <c r="F19" s="6">
        <v>3</v>
      </c>
      <c r="G19" s="6">
        <f t="shared" si="1"/>
        <v>1</v>
      </c>
      <c r="H19" s="6" t="s">
        <v>1622</v>
      </c>
      <c r="I19" s="5">
        <v>16.850000000000001</v>
      </c>
      <c r="J19" s="5">
        <f t="shared" si="0"/>
        <v>50.550000000000004</v>
      </c>
    </row>
    <row r="20" spans="1:10" x14ac:dyDescent="0.25">
      <c r="A20" s="9">
        <v>243</v>
      </c>
      <c r="B20" s="5" t="s">
        <v>330</v>
      </c>
      <c r="C20" s="5" t="s">
        <v>331</v>
      </c>
      <c r="D20" s="5" t="s">
        <v>1619</v>
      </c>
      <c r="E20" s="6">
        <v>90189084</v>
      </c>
      <c r="F20" s="6">
        <v>18</v>
      </c>
      <c r="G20" s="6">
        <f t="shared" si="1"/>
        <v>6</v>
      </c>
      <c r="H20" s="6" t="s">
        <v>1622</v>
      </c>
      <c r="I20" s="5">
        <v>25.3</v>
      </c>
      <c r="J20" s="5">
        <f t="shared" si="0"/>
        <v>455.40000000000003</v>
      </c>
    </row>
    <row r="21" spans="1:10" x14ac:dyDescent="0.25">
      <c r="A21" s="9">
        <v>244</v>
      </c>
      <c r="B21" s="5" t="s">
        <v>36</v>
      </c>
      <c r="C21" s="5" t="s">
        <v>37</v>
      </c>
      <c r="D21" s="5" t="s">
        <v>1619</v>
      </c>
      <c r="E21" s="6">
        <v>90189084</v>
      </c>
      <c r="F21" s="6">
        <v>24</v>
      </c>
      <c r="G21" s="6">
        <f t="shared" si="1"/>
        <v>8</v>
      </c>
      <c r="H21" s="6" t="s">
        <v>1622</v>
      </c>
      <c r="I21" s="5">
        <v>12.27</v>
      </c>
      <c r="J21" s="5">
        <f t="shared" si="0"/>
        <v>294.48</v>
      </c>
    </row>
    <row r="22" spans="1:10" x14ac:dyDescent="0.25">
      <c r="A22" s="9">
        <v>245</v>
      </c>
      <c r="B22" s="5" t="s">
        <v>204</v>
      </c>
      <c r="C22" s="5" t="s">
        <v>205</v>
      </c>
      <c r="D22" s="5" t="s">
        <v>1618</v>
      </c>
      <c r="E22" s="6">
        <v>90189084</v>
      </c>
      <c r="F22" s="6">
        <v>3</v>
      </c>
      <c r="G22" s="6">
        <f t="shared" si="1"/>
        <v>1</v>
      </c>
      <c r="H22" s="6" t="s">
        <v>1622</v>
      </c>
      <c r="I22" s="5">
        <v>21.99</v>
      </c>
      <c r="J22" s="5">
        <f t="shared" si="0"/>
        <v>65.97</v>
      </c>
    </row>
    <row r="23" spans="1:10" x14ac:dyDescent="0.25">
      <c r="A23" s="9">
        <v>246</v>
      </c>
      <c r="B23" s="5" t="s">
        <v>1259</v>
      </c>
      <c r="C23" s="5" t="s">
        <v>1260</v>
      </c>
      <c r="D23" s="5" t="s">
        <v>1618</v>
      </c>
      <c r="E23" s="6">
        <v>90189084</v>
      </c>
      <c r="F23" s="6">
        <v>15</v>
      </c>
      <c r="G23" s="6">
        <f t="shared" si="1"/>
        <v>5</v>
      </c>
      <c r="H23" s="6" t="s">
        <v>1622</v>
      </c>
      <c r="I23" s="5">
        <v>16.34</v>
      </c>
      <c r="J23" s="5">
        <f t="shared" si="0"/>
        <v>245.1</v>
      </c>
    </row>
    <row r="24" spans="1:10" x14ac:dyDescent="0.25">
      <c r="A24" s="9">
        <v>247</v>
      </c>
      <c r="B24" s="5" t="s">
        <v>1103</v>
      </c>
      <c r="C24" s="5" t="s">
        <v>1104</v>
      </c>
      <c r="D24" s="5" t="s">
        <v>1618</v>
      </c>
      <c r="E24" s="6">
        <v>90189084</v>
      </c>
      <c r="F24" s="6">
        <v>3</v>
      </c>
      <c r="G24" s="6">
        <f t="shared" si="1"/>
        <v>1</v>
      </c>
      <c r="H24" s="6" t="s">
        <v>1622</v>
      </c>
      <c r="I24" s="5">
        <v>24.19</v>
      </c>
      <c r="J24" s="5">
        <f t="shared" si="0"/>
        <v>72.570000000000007</v>
      </c>
    </row>
    <row r="25" spans="1:10" x14ac:dyDescent="0.25">
      <c r="A25" s="9">
        <v>248</v>
      </c>
      <c r="B25" s="5" t="s">
        <v>1193</v>
      </c>
      <c r="C25" s="5" t="s">
        <v>1194</v>
      </c>
      <c r="D25" s="5" t="s">
        <v>1618</v>
      </c>
      <c r="E25" s="6">
        <v>90189084</v>
      </c>
      <c r="F25" s="6">
        <v>3</v>
      </c>
      <c r="G25" s="6">
        <f t="shared" si="1"/>
        <v>1</v>
      </c>
      <c r="H25" s="6" t="s">
        <v>1622</v>
      </c>
      <c r="I25" s="5">
        <v>24.19</v>
      </c>
      <c r="J25" s="5">
        <f t="shared" si="0"/>
        <v>72.570000000000007</v>
      </c>
    </row>
    <row r="26" spans="1:10" x14ac:dyDescent="0.25">
      <c r="A26" s="9">
        <v>249</v>
      </c>
      <c r="B26" s="5" t="s">
        <v>1061</v>
      </c>
      <c r="C26" s="5" t="s">
        <v>1062</v>
      </c>
      <c r="D26" s="5" t="s">
        <v>1618</v>
      </c>
      <c r="E26" s="6">
        <v>90189084</v>
      </c>
      <c r="F26" s="6">
        <v>3</v>
      </c>
      <c r="G26" s="6">
        <f t="shared" si="1"/>
        <v>1</v>
      </c>
      <c r="H26" s="6" t="s">
        <v>1622</v>
      </c>
      <c r="I26" s="5">
        <v>38.25</v>
      </c>
      <c r="J26" s="5">
        <f t="shared" si="0"/>
        <v>114.75</v>
      </c>
    </row>
    <row r="27" spans="1:10" x14ac:dyDescent="0.25">
      <c r="A27" s="9">
        <v>250</v>
      </c>
      <c r="B27" s="5" t="s">
        <v>1261</v>
      </c>
      <c r="C27" s="5" t="s">
        <v>1262</v>
      </c>
      <c r="D27" s="5" t="s">
        <v>1618</v>
      </c>
      <c r="E27" s="6">
        <v>90189084</v>
      </c>
      <c r="F27" s="6">
        <v>6</v>
      </c>
      <c r="G27" s="6">
        <f t="shared" si="1"/>
        <v>2</v>
      </c>
      <c r="H27" s="6" t="s">
        <v>1622</v>
      </c>
      <c r="I27" s="5">
        <v>69.84</v>
      </c>
      <c r="J27" s="5">
        <f t="shared" si="0"/>
        <v>419.04</v>
      </c>
    </row>
    <row r="28" spans="1:10" x14ac:dyDescent="0.25">
      <c r="A28" s="9">
        <v>251</v>
      </c>
      <c r="B28" s="5" t="s">
        <v>440</v>
      </c>
      <c r="C28" s="5" t="s">
        <v>441</v>
      </c>
      <c r="D28" s="5" t="s">
        <v>1619</v>
      </c>
      <c r="E28" s="6">
        <v>90189084</v>
      </c>
      <c r="F28" s="6">
        <v>3</v>
      </c>
      <c r="G28" s="6">
        <f t="shared" si="1"/>
        <v>1</v>
      </c>
      <c r="H28" s="6" t="s">
        <v>1622</v>
      </c>
      <c r="I28" s="5">
        <v>63.8</v>
      </c>
      <c r="J28" s="5">
        <f t="shared" si="0"/>
        <v>191.39999999999998</v>
      </c>
    </row>
    <row r="29" spans="1:10" x14ac:dyDescent="0.25">
      <c r="A29" s="9">
        <v>252</v>
      </c>
      <c r="B29" s="5" t="s">
        <v>1263</v>
      </c>
      <c r="C29" s="5" t="s">
        <v>1264</v>
      </c>
      <c r="D29" s="5" t="s">
        <v>1619</v>
      </c>
      <c r="E29" s="6">
        <v>90189084</v>
      </c>
      <c r="F29" s="6">
        <v>3</v>
      </c>
      <c r="G29" s="6">
        <f t="shared" si="1"/>
        <v>1</v>
      </c>
      <c r="H29" s="6" t="s">
        <v>1622</v>
      </c>
      <c r="I29" s="5">
        <v>69.5</v>
      </c>
      <c r="J29" s="5">
        <f t="shared" ref="J29:J77" si="2">F29*I29</f>
        <v>208.5</v>
      </c>
    </row>
    <row r="30" spans="1:10" x14ac:dyDescent="0.25">
      <c r="A30" s="9">
        <v>253</v>
      </c>
      <c r="B30" s="5" t="s">
        <v>1227</v>
      </c>
      <c r="C30" s="5" t="s">
        <v>1228</v>
      </c>
      <c r="D30" s="5" t="s">
        <v>1619</v>
      </c>
      <c r="E30" s="6">
        <v>90189084</v>
      </c>
      <c r="F30" s="6">
        <v>3</v>
      </c>
      <c r="G30" s="6">
        <f t="shared" si="1"/>
        <v>1</v>
      </c>
      <c r="H30" s="6" t="s">
        <v>1622</v>
      </c>
      <c r="I30" s="5">
        <v>61.6</v>
      </c>
      <c r="J30" s="5">
        <f t="shared" si="2"/>
        <v>184.8</v>
      </c>
    </row>
    <row r="31" spans="1:10" x14ac:dyDescent="0.25">
      <c r="A31" s="9">
        <v>254</v>
      </c>
      <c r="B31" s="5" t="s">
        <v>1265</v>
      </c>
      <c r="C31" s="5" t="s">
        <v>1266</v>
      </c>
      <c r="D31" s="5" t="s">
        <v>1618</v>
      </c>
      <c r="E31" s="6">
        <v>90189084</v>
      </c>
      <c r="F31" s="6">
        <v>3</v>
      </c>
      <c r="G31" s="6">
        <f t="shared" si="1"/>
        <v>1</v>
      </c>
      <c r="H31" s="6" t="s">
        <v>1622</v>
      </c>
      <c r="I31" s="5">
        <v>100.84</v>
      </c>
      <c r="J31" s="5">
        <f t="shared" si="2"/>
        <v>302.52</v>
      </c>
    </row>
    <row r="32" spans="1:10" x14ac:dyDescent="0.25">
      <c r="A32" s="9">
        <v>255</v>
      </c>
      <c r="B32" s="5" t="s">
        <v>1267</v>
      </c>
      <c r="C32" s="5" t="s">
        <v>1268</v>
      </c>
      <c r="D32" s="5" t="s">
        <v>1618</v>
      </c>
      <c r="E32" s="6">
        <v>90189084</v>
      </c>
      <c r="F32" s="6">
        <v>3</v>
      </c>
      <c r="G32" s="6">
        <f t="shared" si="1"/>
        <v>1</v>
      </c>
      <c r="H32" s="6" t="s">
        <v>1622</v>
      </c>
      <c r="I32" s="5">
        <v>100.84</v>
      </c>
      <c r="J32" s="5">
        <f t="shared" si="2"/>
        <v>302.52</v>
      </c>
    </row>
    <row r="33" spans="1:10" x14ac:dyDescent="0.25">
      <c r="A33" s="9">
        <v>256</v>
      </c>
      <c r="B33" s="5" t="s">
        <v>1269</v>
      </c>
      <c r="C33" s="5" t="s">
        <v>1270</v>
      </c>
      <c r="D33" s="5" t="s">
        <v>1618</v>
      </c>
      <c r="E33" s="6">
        <v>90189084</v>
      </c>
      <c r="F33" s="6">
        <v>3</v>
      </c>
      <c r="G33" s="6">
        <f t="shared" si="1"/>
        <v>1</v>
      </c>
      <c r="H33" s="6" t="s">
        <v>1622</v>
      </c>
      <c r="I33" s="5">
        <v>108.53</v>
      </c>
      <c r="J33" s="5">
        <f t="shared" si="2"/>
        <v>325.59000000000003</v>
      </c>
    </row>
    <row r="34" spans="1:10" x14ac:dyDescent="0.25">
      <c r="A34" s="9">
        <v>257</v>
      </c>
      <c r="B34" s="5" t="s">
        <v>1271</v>
      </c>
      <c r="C34" s="5" t="s">
        <v>1272</v>
      </c>
      <c r="D34" s="5" t="s">
        <v>1618</v>
      </c>
      <c r="E34" s="6">
        <v>90189084</v>
      </c>
      <c r="F34" s="6">
        <v>3</v>
      </c>
      <c r="G34" s="6">
        <f t="shared" si="1"/>
        <v>1</v>
      </c>
      <c r="H34" s="6" t="s">
        <v>1622</v>
      </c>
      <c r="I34" s="5">
        <v>73.63</v>
      </c>
      <c r="J34" s="5">
        <f t="shared" si="2"/>
        <v>220.89</v>
      </c>
    </row>
    <row r="35" spans="1:10" x14ac:dyDescent="0.25">
      <c r="A35" s="9">
        <v>258</v>
      </c>
      <c r="B35" s="5" t="s">
        <v>1273</v>
      </c>
      <c r="C35" s="5" t="s">
        <v>1274</v>
      </c>
      <c r="D35" s="5" t="s">
        <v>1618</v>
      </c>
      <c r="E35" s="6">
        <v>90189084</v>
      </c>
      <c r="F35" s="6">
        <v>3</v>
      </c>
      <c r="G35" s="6">
        <f t="shared" si="1"/>
        <v>1</v>
      </c>
      <c r="H35" s="6" t="s">
        <v>1622</v>
      </c>
      <c r="I35" s="5">
        <v>11.56</v>
      </c>
      <c r="J35" s="5">
        <f t="shared" si="2"/>
        <v>34.68</v>
      </c>
    </row>
    <row r="36" spans="1:10" x14ac:dyDescent="0.25">
      <c r="A36" s="9">
        <v>259</v>
      </c>
      <c r="B36" s="5" t="s">
        <v>1275</v>
      </c>
      <c r="C36" s="5" t="s">
        <v>1276</v>
      </c>
      <c r="D36" s="5" t="s">
        <v>1618</v>
      </c>
      <c r="E36" s="6">
        <v>90189084</v>
      </c>
      <c r="F36" s="6">
        <v>3</v>
      </c>
      <c r="G36" s="6">
        <f t="shared" si="1"/>
        <v>1</v>
      </c>
      <c r="H36" s="6" t="s">
        <v>1622</v>
      </c>
      <c r="I36" s="5">
        <v>12.92</v>
      </c>
      <c r="J36" s="5">
        <f t="shared" si="2"/>
        <v>38.76</v>
      </c>
    </row>
    <row r="37" spans="1:10" x14ac:dyDescent="0.25">
      <c r="A37" s="9">
        <v>260</v>
      </c>
      <c r="B37" s="5" t="s">
        <v>1053</v>
      </c>
      <c r="C37" s="5" t="s">
        <v>1054</v>
      </c>
      <c r="D37" s="5" t="s">
        <v>1618</v>
      </c>
      <c r="E37" s="6">
        <v>90189084</v>
      </c>
      <c r="F37" s="6">
        <v>3</v>
      </c>
      <c r="G37" s="6">
        <f t="shared" si="1"/>
        <v>1</v>
      </c>
      <c r="H37" s="6" t="s">
        <v>1622</v>
      </c>
      <c r="I37" s="5">
        <v>10.08</v>
      </c>
      <c r="J37" s="5">
        <f t="shared" si="2"/>
        <v>30.240000000000002</v>
      </c>
    </row>
    <row r="38" spans="1:10" x14ac:dyDescent="0.25">
      <c r="A38" s="9">
        <v>261</v>
      </c>
      <c r="B38" s="5" t="s">
        <v>1277</v>
      </c>
      <c r="C38" s="5" t="s">
        <v>1278</v>
      </c>
      <c r="D38" s="5" t="s">
        <v>1618</v>
      </c>
      <c r="E38" s="6">
        <v>90189084</v>
      </c>
      <c r="F38" s="6">
        <v>3</v>
      </c>
      <c r="G38" s="6">
        <f t="shared" si="1"/>
        <v>1</v>
      </c>
      <c r="H38" s="6" t="s">
        <v>1622</v>
      </c>
      <c r="I38" s="5">
        <v>11.06</v>
      </c>
      <c r="J38" s="5">
        <f t="shared" si="2"/>
        <v>33.18</v>
      </c>
    </row>
    <row r="39" spans="1:10" x14ac:dyDescent="0.25">
      <c r="A39" s="9">
        <v>262</v>
      </c>
      <c r="B39" s="5" t="s">
        <v>1279</v>
      </c>
      <c r="C39" s="5" t="s">
        <v>1280</v>
      </c>
      <c r="D39" s="5" t="s">
        <v>1618</v>
      </c>
      <c r="E39" s="6">
        <v>90189084</v>
      </c>
      <c r="F39" s="6">
        <v>3</v>
      </c>
      <c r="G39" s="6">
        <f t="shared" si="1"/>
        <v>1</v>
      </c>
      <c r="H39" s="6" t="s">
        <v>1622</v>
      </c>
      <c r="I39" s="5">
        <v>14.24</v>
      </c>
      <c r="J39" s="5">
        <f t="shared" si="2"/>
        <v>42.72</v>
      </c>
    </row>
    <row r="40" spans="1:10" x14ac:dyDescent="0.25">
      <c r="A40" s="9">
        <v>263</v>
      </c>
      <c r="B40" s="5" t="s">
        <v>1281</v>
      </c>
      <c r="C40" s="5" t="s">
        <v>1282</v>
      </c>
      <c r="D40" s="5" t="s">
        <v>1618</v>
      </c>
      <c r="E40" s="6">
        <v>90189084</v>
      </c>
      <c r="F40" s="6">
        <v>3</v>
      </c>
      <c r="G40" s="6">
        <f t="shared" si="1"/>
        <v>1</v>
      </c>
      <c r="H40" s="6" t="s">
        <v>1622</v>
      </c>
      <c r="I40" s="5">
        <v>26.95</v>
      </c>
      <c r="J40" s="5">
        <f t="shared" si="2"/>
        <v>80.849999999999994</v>
      </c>
    </row>
    <row r="41" spans="1:10" x14ac:dyDescent="0.25">
      <c r="A41" s="9">
        <v>264</v>
      </c>
      <c r="B41" s="5" t="s">
        <v>1283</v>
      </c>
      <c r="C41" s="5" t="s">
        <v>1284</v>
      </c>
      <c r="D41" s="5" t="s">
        <v>1618</v>
      </c>
      <c r="E41" s="6">
        <v>90189084</v>
      </c>
      <c r="F41" s="6">
        <v>3</v>
      </c>
      <c r="G41" s="6">
        <f t="shared" si="1"/>
        <v>1</v>
      </c>
      <c r="H41" s="6" t="s">
        <v>1622</v>
      </c>
      <c r="I41" s="5">
        <v>38.520000000000003</v>
      </c>
      <c r="J41" s="5">
        <f t="shared" si="2"/>
        <v>115.56</v>
      </c>
    </row>
    <row r="42" spans="1:10" x14ac:dyDescent="0.25">
      <c r="A42" s="9">
        <v>265</v>
      </c>
      <c r="B42" s="5" t="s">
        <v>1285</v>
      </c>
      <c r="C42" s="5" t="s">
        <v>1286</v>
      </c>
      <c r="D42" s="5" t="s">
        <v>1618</v>
      </c>
      <c r="E42" s="6">
        <v>90189084</v>
      </c>
      <c r="F42" s="6">
        <v>3</v>
      </c>
      <c r="G42" s="6">
        <f t="shared" si="1"/>
        <v>1</v>
      </c>
      <c r="H42" s="6" t="s">
        <v>1622</v>
      </c>
      <c r="I42" s="5">
        <v>32.35</v>
      </c>
      <c r="J42" s="5">
        <f t="shared" si="2"/>
        <v>97.050000000000011</v>
      </c>
    </row>
    <row r="43" spans="1:10" x14ac:dyDescent="0.25">
      <c r="A43" s="9">
        <v>266</v>
      </c>
      <c r="B43" s="5" t="s">
        <v>1287</v>
      </c>
      <c r="C43" s="5" t="s">
        <v>1288</v>
      </c>
      <c r="D43" s="5" t="s">
        <v>1618</v>
      </c>
      <c r="E43" s="6">
        <v>90189084</v>
      </c>
      <c r="F43" s="6">
        <v>3</v>
      </c>
      <c r="G43" s="6">
        <f t="shared" si="1"/>
        <v>1</v>
      </c>
      <c r="H43" s="6" t="s">
        <v>1622</v>
      </c>
      <c r="I43" s="5">
        <v>32.35</v>
      </c>
      <c r="J43" s="5">
        <f t="shared" si="2"/>
        <v>97.050000000000011</v>
      </c>
    </row>
    <row r="44" spans="1:10" x14ac:dyDescent="0.25">
      <c r="A44" s="9">
        <v>267</v>
      </c>
      <c r="B44" s="5" t="s">
        <v>1289</v>
      </c>
      <c r="C44" s="5" t="s">
        <v>1290</v>
      </c>
      <c r="D44" s="5" t="s">
        <v>1618</v>
      </c>
      <c r="E44" s="6">
        <v>90189084</v>
      </c>
      <c r="F44" s="6">
        <v>3</v>
      </c>
      <c r="G44" s="6">
        <f t="shared" si="1"/>
        <v>1</v>
      </c>
      <c r="H44" s="6" t="s">
        <v>1622</v>
      </c>
      <c r="I44" s="5">
        <v>89.17</v>
      </c>
      <c r="J44" s="5">
        <f t="shared" si="2"/>
        <v>267.51</v>
      </c>
    </row>
    <row r="45" spans="1:10" x14ac:dyDescent="0.25">
      <c r="A45" s="9">
        <v>268</v>
      </c>
      <c r="B45" s="5" t="s">
        <v>1291</v>
      </c>
      <c r="C45" s="5" t="s">
        <v>1292</v>
      </c>
      <c r="D45" s="5" t="s">
        <v>1618</v>
      </c>
      <c r="E45" s="6">
        <v>90189084</v>
      </c>
      <c r="F45" s="6">
        <v>3</v>
      </c>
      <c r="G45" s="6">
        <f t="shared" si="1"/>
        <v>1</v>
      </c>
      <c r="H45" s="6" t="s">
        <v>1622</v>
      </c>
      <c r="I45" s="5">
        <v>28.41</v>
      </c>
      <c r="J45" s="5">
        <f t="shared" si="2"/>
        <v>85.23</v>
      </c>
    </row>
    <row r="46" spans="1:10" x14ac:dyDescent="0.25">
      <c r="A46" s="9">
        <v>269</v>
      </c>
      <c r="B46" s="5" t="s">
        <v>1293</v>
      </c>
      <c r="C46" s="5" t="s">
        <v>1294</v>
      </c>
      <c r="D46" s="5" t="s">
        <v>1618</v>
      </c>
      <c r="E46" s="6">
        <v>90189084</v>
      </c>
      <c r="F46" s="6">
        <v>3</v>
      </c>
      <c r="G46" s="6">
        <f t="shared" si="1"/>
        <v>1</v>
      </c>
      <c r="H46" s="6" t="s">
        <v>1622</v>
      </c>
      <c r="I46" s="5">
        <v>29.79</v>
      </c>
      <c r="J46" s="5">
        <f t="shared" si="2"/>
        <v>89.37</v>
      </c>
    </row>
    <row r="47" spans="1:10" x14ac:dyDescent="0.25">
      <c r="A47" s="9">
        <v>270</v>
      </c>
      <c r="B47" s="5" t="s">
        <v>1295</v>
      </c>
      <c r="C47" s="5" t="s">
        <v>1296</v>
      </c>
      <c r="D47" s="5" t="s">
        <v>1619</v>
      </c>
      <c r="E47" s="6">
        <v>90189084</v>
      </c>
      <c r="F47" s="6">
        <v>3</v>
      </c>
      <c r="G47" s="6">
        <f t="shared" si="1"/>
        <v>1</v>
      </c>
      <c r="H47" s="6" t="s">
        <v>1622</v>
      </c>
      <c r="I47" s="5">
        <v>95.96</v>
      </c>
      <c r="J47" s="5">
        <f t="shared" si="2"/>
        <v>287.88</v>
      </c>
    </row>
    <row r="48" spans="1:10" x14ac:dyDescent="0.25">
      <c r="A48" s="9">
        <v>271</v>
      </c>
      <c r="B48" s="5" t="s">
        <v>1297</v>
      </c>
      <c r="C48" s="5" t="s">
        <v>1298</v>
      </c>
      <c r="D48" s="5" t="s">
        <v>1619</v>
      </c>
      <c r="E48" s="6">
        <v>90189084</v>
      </c>
      <c r="F48" s="6">
        <v>3</v>
      </c>
      <c r="G48" s="6">
        <f t="shared" si="1"/>
        <v>1</v>
      </c>
      <c r="H48" s="6" t="s">
        <v>1622</v>
      </c>
      <c r="I48" s="5">
        <v>95.96</v>
      </c>
      <c r="J48" s="5">
        <f t="shared" si="2"/>
        <v>287.88</v>
      </c>
    </row>
    <row r="49" spans="1:10" x14ac:dyDescent="0.25">
      <c r="A49" s="9">
        <v>272</v>
      </c>
      <c r="B49" s="5" t="s">
        <v>538</v>
      </c>
      <c r="C49" s="5" t="s">
        <v>539</v>
      </c>
      <c r="D49" s="5" t="s">
        <v>1619</v>
      </c>
      <c r="E49" s="6">
        <v>90183900</v>
      </c>
      <c r="F49" s="6">
        <v>3</v>
      </c>
      <c r="G49" s="6">
        <f t="shared" si="1"/>
        <v>1</v>
      </c>
      <c r="H49" s="6" t="s">
        <v>1622</v>
      </c>
      <c r="I49" s="5">
        <v>20.94</v>
      </c>
      <c r="J49" s="5">
        <f t="shared" si="2"/>
        <v>62.820000000000007</v>
      </c>
    </row>
    <row r="50" spans="1:10" x14ac:dyDescent="0.25">
      <c r="A50" s="9">
        <v>273</v>
      </c>
      <c r="B50" s="5" t="s">
        <v>262</v>
      </c>
      <c r="C50" s="5" t="s">
        <v>263</v>
      </c>
      <c r="D50" s="5" t="s">
        <v>1619</v>
      </c>
      <c r="E50" s="6">
        <v>90183900</v>
      </c>
      <c r="F50" s="6">
        <v>3</v>
      </c>
      <c r="G50" s="6">
        <f t="shared" si="1"/>
        <v>1</v>
      </c>
      <c r="H50" s="6" t="s">
        <v>1622</v>
      </c>
      <c r="I50" s="5">
        <v>20.94</v>
      </c>
      <c r="J50" s="5">
        <f t="shared" si="2"/>
        <v>62.820000000000007</v>
      </c>
    </row>
    <row r="51" spans="1:10" x14ac:dyDescent="0.25">
      <c r="A51" s="9">
        <v>274</v>
      </c>
      <c r="B51" s="5" t="s">
        <v>264</v>
      </c>
      <c r="C51" s="5" t="s">
        <v>265</v>
      </c>
      <c r="D51" s="5" t="s">
        <v>1619</v>
      </c>
      <c r="E51" s="6">
        <v>90183900</v>
      </c>
      <c r="F51" s="6">
        <v>3</v>
      </c>
      <c r="G51" s="6">
        <f t="shared" si="1"/>
        <v>1</v>
      </c>
      <c r="H51" s="6" t="s">
        <v>1622</v>
      </c>
      <c r="I51" s="5">
        <v>20.94</v>
      </c>
      <c r="J51" s="5">
        <f t="shared" si="2"/>
        <v>62.820000000000007</v>
      </c>
    </row>
    <row r="52" spans="1:10" x14ac:dyDescent="0.25">
      <c r="A52" s="9">
        <v>275</v>
      </c>
      <c r="B52" s="5" t="s">
        <v>1299</v>
      </c>
      <c r="C52" s="5" t="s">
        <v>1300</v>
      </c>
      <c r="D52" s="5" t="s">
        <v>1619</v>
      </c>
      <c r="E52" s="6">
        <v>90189084</v>
      </c>
      <c r="F52" s="6">
        <v>18</v>
      </c>
      <c r="G52" s="6">
        <f t="shared" si="1"/>
        <v>6</v>
      </c>
      <c r="H52" s="6" t="s">
        <v>1622</v>
      </c>
      <c r="I52" s="5">
        <v>33.04</v>
      </c>
      <c r="J52" s="5">
        <f t="shared" si="2"/>
        <v>594.72</v>
      </c>
    </row>
    <row r="53" spans="1:10" x14ac:dyDescent="0.25">
      <c r="A53" s="9">
        <v>276</v>
      </c>
      <c r="B53" s="5" t="s">
        <v>1301</v>
      </c>
      <c r="C53" s="5" t="s">
        <v>1302</v>
      </c>
      <c r="D53" s="5" t="s">
        <v>1618</v>
      </c>
      <c r="E53" s="6">
        <v>90189084</v>
      </c>
      <c r="F53" s="6">
        <v>18</v>
      </c>
      <c r="G53" s="6">
        <f t="shared" si="1"/>
        <v>6</v>
      </c>
      <c r="H53" s="6" t="s">
        <v>1622</v>
      </c>
      <c r="I53" s="5">
        <v>39.479999999999997</v>
      </c>
      <c r="J53" s="5">
        <f t="shared" si="2"/>
        <v>710.64</v>
      </c>
    </row>
    <row r="54" spans="1:10" x14ac:dyDescent="0.25">
      <c r="A54" s="9">
        <v>277</v>
      </c>
      <c r="B54" s="5" t="s">
        <v>1211</v>
      </c>
      <c r="C54" s="5" t="s">
        <v>1212</v>
      </c>
      <c r="D54" s="5" t="s">
        <v>1618</v>
      </c>
      <c r="E54" s="6">
        <v>90189084</v>
      </c>
      <c r="F54" s="6">
        <v>6</v>
      </c>
      <c r="G54" s="6">
        <f t="shared" si="1"/>
        <v>2</v>
      </c>
      <c r="H54" s="6" t="s">
        <v>1622</v>
      </c>
      <c r="I54" s="5">
        <v>14.03</v>
      </c>
      <c r="J54" s="5">
        <f t="shared" si="2"/>
        <v>84.179999999999993</v>
      </c>
    </row>
    <row r="55" spans="1:10" x14ac:dyDescent="0.25">
      <c r="A55" s="9">
        <v>278</v>
      </c>
      <c r="B55" s="5" t="s">
        <v>1303</v>
      </c>
      <c r="C55" s="5" t="s">
        <v>1304</v>
      </c>
      <c r="D55" s="5" t="s">
        <v>1618</v>
      </c>
      <c r="E55" s="6">
        <v>90189084</v>
      </c>
      <c r="F55" s="6">
        <v>6</v>
      </c>
      <c r="G55" s="6">
        <f t="shared" si="1"/>
        <v>2</v>
      </c>
      <c r="H55" s="6" t="s">
        <v>1622</v>
      </c>
      <c r="I55" s="5">
        <v>33.590000000000003</v>
      </c>
      <c r="J55" s="5">
        <f t="shared" si="2"/>
        <v>201.54000000000002</v>
      </c>
    </row>
    <row r="56" spans="1:10" x14ac:dyDescent="0.25">
      <c r="A56" s="9">
        <v>279</v>
      </c>
      <c r="B56" s="5" t="s">
        <v>24</v>
      </c>
      <c r="C56" s="5" t="s">
        <v>25</v>
      </c>
      <c r="D56" s="5" t="s">
        <v>1619</v>
      </c>
      <c r="E56" s="6">
        <v>90189084</v>
      </c>
      <c r="F56" s="6">
        <v>18</v>
      </c>
      <c r="G56" s="6">
        <f t="shared" si="1"/>
        <v>6</v>
      </c>
      <c r="H56" s="6" t="s">
        <v>1622</v>
      </c>
      <c r="I56" s="5">
        <v>12.82</v>
      </c>
      <c r="J56" s="5">
        <f t="shared" si="2"/>
        <v>230.76</v>
      </c>
    </row>
    <row r="57" spans="1:10" x14ac:dyDescent="0.25">
      <c r="A57" s="9">
        <v>280</v>
      </c>
      <c r="B57" s="5" t="s">
        <v>166</v>
      </c>
      <c r="C57" s="5" t="s">
        <v>167</v>
      </c>
      <c r="D57" s="5" t="s">
        <v>1619</v>
      </c>
      <c r="E57" s="6">
        <v>90189084</v>
      </c>
      <c r="F57" s="6">
        <v>18</v>
      </c>
      <c r="G57" s="6">
        <f t="shared" si="1"/>
        <v>6</v>
      </c>
      <c r="H57" s="6" t="s">
        <v>1622</v>
      </c>
      <c r="I57" s="5">
        <v>28.46</v>
      </c>
      <c r="J57" s="5">
        <f t="shared" si="2"/>
        <v>512.28</v>
      </c>
    </row>
    <row r="58" spans="1:10" x14ac:dyDescent="0.25">
      <c r="A58" s="9">
        <v>281</v>
      </c>
      <c r="B58" s="5" t="s">
        <v>362</v>
      </c>
      <c r="C58" s="5" t="s">
        <v>363</v>
      </c>
      <c r="D58" s="5" t="s">
        <v>1618</v>
      </c>
      <c r="E58" s="6">
        <v>76169990</v>
      </c>
      <c r="F58" s="6">
        <v>3</v>
      </c>
      <c r="G58" s="6">
        <f t="shared" si="1"/>
        <v>1</v>
      </c>
      <c r="H58" s="6" t="s">
        <v>1622</v>
      </c>
      <c r="I58" s="5">
        <v>439.8</v>
      </c>
      <c r="J58" s="5">
        <f t="shared" si="2"/>
        <v>1319.4</v>
      </c>
    </row>
    <row r="59" spans="1:10" x14ac:dyDescent="0.25">
      <c r="A59" s="9">
        <v>282</v>
      </c>
      <c r="B59" s="5" t="s">
        <v>374</v>
      </c>
      <c r="C59" s="5" t="s">
        <v>375</v>
      </c>
      <c r="D59" s="5" t="s">
        <v>1618</v>
      </c>
      <c r="E59" s="6">
        <v>73269098</v>
      </c>
      <c r="F59" s="6">
        <v>3</v>
      </c>
      <c r="G59" s="6">
        <f t="shared" si="1"/>
        <v>1</v>
      </c>
      <c r="H59" s="6" t="s">
        <v>1622</v>
      </c>
      <c r="I59" s="5">
        <v>80.87</v>
      </c>
      <c r="J59" s="5">
        <f t="shared" si="2"/>
        <v>242.61</v>
      </c>
    </row>
    <row r="60" spans="1:10" x14ac:dyDescent="0.25">
      <c r="A60" s="9">
        <v>283</v>
      </c>
      <c r="B60" s="5" t="s">
        <v>288</v>
      </c>
      <c r="C60" s="5" t="s">
        <v>289</v>
      </c>
      <c r="D60" s="5" t="s">
        <v>1618</v>
      </c>
      <c r="E60" s="6">
        <v>39269097</v>
      </c>
      <c r="F60" s="6">
        <v>3</v>
      </c>
      <c r="G60" s="6">
        <f t="shared" si="1"/>
        <v>1</v>
      </c>
      <c r="H60" s="6" t="s">
        <v>1622</v>
      </c>
      <c r="I60" s="5">
        <v>4.32</v>
      </c>
      <c r="J60" s="5">
        <f t="shared" si="2"/>
        <v>12.96</v>
      </c>
    </row>
    <row r="61" spans="1:10" x14ac:dyDescent="0.25">
      <c r="A61" s="9">
        <v>284</v>
      </c>
      <c r="B61" s="5" t="s">
        <v>905</v>
      </c>
      <c r="C61" s="5" t="s">
        <v>906</v>
      </c>
      <c r="D61" s="5" t="s">
        <v>1618</v>
      </c>
      <c r="E61" s="6">
        <v>90189084</v>
      </c>
      <c r="F61" s="6">
        <v>3</v>
      </c>
      <c r="G61" s="6">
        <f t="shared" si="1"/>
        <v>1</v>
      </c>
      <c r="H61" s="6" t="s">
        <v>1622</v>
      </c>
      <c r="I61" s="5">
        <v>95.27</v>
      </c>
      <c r="J61" s="5">
        <f t="shared" si="2"/>
        <v>285.81</v>
      </c>
    </row>
    <row r="62" spans="1:10" x14ac:dyDescent="0.25">
      <c r="A62" s="9">
        <v>285</v>
      </c>
      <c r="B62" s="5" t="s">
        <v>384</v>
      </c>
      <c r="C62" s="5" t="s">
        <v>385</v>
      </c>
      <c r="D62" s="5" t="s">
        <v>1618</v>
      </c>
      <c r="E62" s="6">
        <v>90189084</v>
      </c>
      <c r="F62" s="6">
        <v>6</v>
      </c>
      <c r="G62" s="6">
        <f t="shared" si="1"/>
        <v>2</v>
      </c>
      <c r="H62" s="6" t="s">
        <v>1622</v>
      </c>
      <c r="I62" s="5">
        <v>22.3</v>
      </c>
      <c r="J62" s="5">
        <f t="shared" si="2"/>
        <v>133.80000000000001</v>
      </c>
    </row>
    <row r="63" spans="1:10" x14ac:dyDescent="0.25">
      <c r="A63" s="9">
        <v>286</v>
      </c>
      <c r="B63" s="5" t="s">
        <v>334</v>
      </c>
      <c r="C63" s="5" t="s">
        <v>335</v>
      </c>
      <c r="D63" s="5" t="s">
        <v>1618</v>
      </c>
      <c r="E63" s="6">
        <v>90189084</v>
      </c>
      <c r="F63" s="6">
        <v>6</v>
      </c>
      <c r="G63" s="6">
        <f t="shared" si="1"/>
        <v>2</v>
      </c>
      <c r="H63" s="6" t="s">
        <v>1622</v>
      </c>
      <c r="I63" s="5">
        <v>35.369999999999997</v>
      </c>
      <c r="J63" s="5">
        <f t="shared" si="2"/>
        <v>212.21999999999997</v>
      </c>
    </row>
    <row r="64" spans="1:10" x14ac:dyDescent="0.25">
      <c r="A64" s="9">
        <v>287</v>
      </c>
      <c r="B64" s="5" t="s">
        <v>1305</v>
      </c>
      <c r="C64" s="5" t="s">
        <v>1306</v>
      </c>
      <c r="D64" s="5" t="s">
        <v>1618</v>
      </c>
      <c r="E64" s="6">
        <v>90189084</v>
      </c>
      <c r="F64" s="6">
        <v>3</v>
      </c>
      <c r="G64" s="6">
        <f t="shared" si="1"/>
        <v>1</v>
      </c>
      <c r="H64" s="6" t="s">
        <v>1622</v>
      </c>
      <c r="I64" s="5">
        <v>204.88</v>
      </c>
      <c r="J64" s="5">
        <f t="shared" si="2"/>
        <v>614.64</v>
      </c>
    </row>
    <row r="65" spans="1:10" x14ac:dyDescent="0.25">
      <c r="A65" s="9">
        <v>288</v>
      </c>
      <c r="B65" s="5" t="s">
        <v>1307</v>
      </c>
      <c r="C65" s="5" t="s">
        <v>1308</v>
      </c>
      <c r="D65" s="5" t="s">
        <v>1618</v>
      </c>
      <c r="E65" s="6">
        <v>90189084</v>
      </c>
      <c r="F65" s="6">
        <v>3</v>
      </c>
      <c r="G65" s="6">
        <f t="shared" si="1"/>
        <v>1</v>
      </c>
      <c r="H65" s="6" t="s">
        <v>1622</v>
      </c>
      <c r="I65" s="5">
        <v>145.91999999999999</v>
      </c>
      <c r="J65" s="5">
        <f t="shared" si="2"/>
        <v>437.76</v>
      </c>
    </row>
    <row r="66" spans="1:10" x14ac:dyDescent="0.25">
      <c r="A66" s="9">
        <v>289</v>
      </c>
      <c r="B66" s="5" t="s">
        <v>360</v>
      </c>
      <c r="C66" s="5" t="s">
        <v>361</v>
      </c>
      <c r="D66" s="5" t="s">
        <v>1620</v>
      </c>
      <c r="E66" s="6">
        <v>73269098</v>
      </c>
      <c r="F66" s="6">
        <v>6</v>
      </c>
      <c r="G66" s="6">
        <f t="shared" si="1"/>
        <v>2</v>
      </c>
      <c r="H66" s="6" t="s">
        <v>1622</v>
      </c>
      <c r="I66" s="5">
        <v>8.1199999999999992</v>
      </c>
      <c r="J66" s="5">
        <f t="shared" si="2"/>
        <v>48.72</v>
      </c>
    </row>
    <row r="67" spans="1:10" x14ac:dyDescent="0.25">
      <c r="A67" s="9">
        <v>290</v>
      </c>
      <c r="B67" s="5" t="s">
        <v>1309</v>
      </c>
      <c r="C67" s="5" t="s">
        <v>1310</v>
      </c>
      <c r="D67" s="5" t="s">
        <v>1618</v>
      </c>
      <c r="E67" s="6">
        <v>73249000</v>
      </c>
      <c r="F67" s="6">
        <v>6</v>
      </c>
      <c r="G67" s="6">
        <f t="shared" si="1"/>
        <v>2</v>
      </c>
      <c r="H67" s="6" t="s">
        <v>1622</v>
      </c>
      <c r="I67" s="5">
        <v>25.62</v>
      </c>
      <c r="J67" s="5">
        <f t="shared" si="2"/>
        <v>153.72</v>
      </c>
    </row>
    <row r="68" spans="1:10" x14ac:dyDescent="0.25">
      <c r="A68" s="9">
        <v>291</v>
      </c>
      <c r="B68" s="5" t="s">
        <v>1311</v>
      </c>
      <c r="C68" s="5" t="s">
        <v>1312</v>
      </c>
      <c r="D68" s="5" t="s">
        <v>1618</v>
      </c>
      <c r="E68" s="6">
        <v>73249000</v>
      </c>
      <c r="F68" s="6">
        <v>6</v>
      </c>
      <c r="G68" s="6">
        <f t="shared" ref="G68:G77" si="3">F68/$F$2</f>
        <v>2</v>
      </c>
      <c r="H68" s="6" t="s">
        <v>1622</v>
      </c>
      <c r="I68" s="5">
        <v>21.86</v>
      </c>
      <c r="J68" s="5">
        <f t="shared" si="2"/>
        <v>131.16</v>
      </c>
    </row>
    <row r="69" spans="1:10" x14ac:dyDescent="0.25">
      <c r="A69" s="9">
        <v>292</v>
      </c>
      <c r="B69" s="5" t="s">
        <v>158</v>
      </c>
      <c r="C69" s="5" t="s">
        <v>159</v>
      </c>
      <c r="D69" s="5" t="s">
        <v>1619</v>
      </c>
      <c r="E69" s="6">
        <v>90189084</v>
      </c>
      <c r="F69" s="6">
        <v>12</v>
      </c>
      <c r="G69" s="6">
        <f t="shared" si="3"/>
        <v>4</v>
      </c>
      <c r="H69" s="6" t="s">
        <v>1622</v>
      </c>
      <c r="I69" s="5">
        <v>21.79</v>
      </c>
      <c r="J69" s="5">
        <f t="shared" si="2"/>
        <v>261.48</v>
      </c>
    </row>
    <row r="70" spans="1:10" x14ac:dyDescent="0.25">
      <c r="A70" s="9">
        <v>293</v>
      </c>
      <c r="B70" s="5" t="s">
        <v>1313</v>
      </c>
      <c r="C70" s="5" t="s">
        <v>1314</v>
      </c>
      <c r="D70" s="5" t="s">
        <v>1618</v>
      </c>
      <c r="E70" s="6">
        <v>90189084</v>
      </c>
      <c r="F70" s="6">
        <v>3</v>
      </c>
      <c r="G70" s="6">
        <f t="shared" si="3"/>
        <v>1</v>
      </c>
      <c r="H70" s="6" t="s">
        <v>1622</v>
      </c>
      <c r="I70" s="5">
        <v>33.869999999999997</v>
      </c>
      <c r="J70" s="5">
        <f t="shared" si="2"/>
        <v>101.60999999999999</v>
      </c>
    </row>
    <row r="71" spans="1:10" x14ac:dyDescent="0.25">
      <c r="A71" s="9">
        <v>294</v>
      </c>
      <c r="B71" s="5" t="s">
        <v>640</v>
      </c>
      <c r="C71" s="5" t="s">
        <v>641</v>
      </c>
      <c r="D71" s="5" t="s">
        <v>1618</v>
      </c>
      <c r="E71" s="6">
        <v>90189084</v>
      </c>
      <c r="F71" s="6">
        <v>3</v>
      </c>
      <c r="G71" s="6">
        <f t="shared" si="3"/>
        <v>1</v>
      </c>
      <c r="H71" s="6" t="s">
        <v>1622</v>
      </c>
      <c r="I71" s="5">
        <v>55.6</v>
      </c>
      <c r="J71" s="5">
        <f t="shared" si="2"/>
        <v>166.8</v>
      </c>
    </row>
    <row r="72" spans="1:10" x14ac:dyDescent="0.25">
      <c r="A72" s="9">
        <v>295</v>
      </c>
      <c r="B72" s="5" t="s">
        <v>891</v>
      </c>
      <c r="C72" s="5" t="s">
        <v>892</v>
      </c>
      <c r="D72" s="5" t="s">
        <v>1619</v>
      </c>
      <c r="E72" s="6">
        <v>90189084</v>
      </c>
      <c r="F72" s="6">
        <v>12</v>
      </c>
      <c r="G72" s="6">
        <f t="shared" si="3"/>
        <v>4</v>
      </c>
      <c r="H72" s="6" t="s">
        <v>1622</v>
      </c>
      <c r="I72" s="5">
        <v>43.09</v>
      </c>
      <c r="J72" s="5">
        <f t="shared" si="2"/>
        <v>517.08000000000004</v>
      </c>
    </row>
    <row r="73" spans="1:10" x14ac:dyDescent="0.25">
      <c r="A73" s="9">
        <v>296</v>
      </c>
      <c r="B73" s="5" t="s">
        <v>550</v>
      </c>
      <c r="C73" s="5" t="s">
        <v>551</v>
      </c>
      <c r="D73" s="5" t="s">
        <v>1619</v>
      </c>
      <c r="E73" s="6">
        <v>90189084</v>
      </c>
      <c r="F73" s="6">
        <v>3</v>
      </c>
      <c r="G73" s="6">
        <f t="shared" si="3"/>
        <v>1</v>
      </c>
      <c r="H73" s="6" t="s">
        <v>1622</v>
      </c>
      <c r="I73" s="5">
        <v>13.73</v>
      </c>
      <c r="J73" s="5">
        <f t="shared" si="2"/>
        <v>41.19</v>
      </c>
    </row>
    <row r="74" spans="1:10" x14ac:dyDescent="0.25">
      <c r="A74" s="9">
        <v>297</v>
      </c>
      <c r="B74" s="5" t="s">
        <v>584</v>
      </c>
      <c r="C74" s="5" t="s">
        <v>585</v>
      </c>
      <c r="D74" s="5" t="s">
        <v>1619</v>
      </c>
      <c r="E74" s="6">
        <v>90189084</v>
      </c>
      <c r="F74" s="6">
        <v>3</v>
      </c>
      <c r="G74" s="6">
        <f t="shared" si="3"/>
        <v>1</v>
      </c>
      <c r="H74" s="6" t="s">
        <v>1622</v>
      </c>
      <c r="I74" s="5">
        <v>13.73</v>
      </c>
      <c r="J74" s="5">
        <f t="shared" si="2"/>
        <v>41.19</v>
      </c>
    </row>
    <row r="75" spans="1:10" x14ac:dyDescent="0.25">
      <c r="A75" s="9">
        <v>298</v>
      </c>
      <c r="B75" s="5" t="s">
        <v>1315</v>
      </c>
      <c r="C75" s="5" t="s">
        <v>1316</v>
      </c>
      <c r="D75" s="5" t="s">
        <v>1618</v>
      </c>
      <c r="E75" s="6">
        <v>90189084</v>
      </c>
      <c r="F75" s="6">
        <v>6</v>
      </c>
      <c r="G75" s="6">
        <f t="shared" si="3"/>
        <v>2</v>
      </c>
      <c r="H75" s="6" t="s">
        <v>1622</v>
      </c>
      <c r="I75" s="5">
        <v>11.18</v>
      </c>
      <c r="J75" s="5">
        <f t="shared" si="2"/>
        <v>67.08</v>
      </c>
    </row>
    <row r="76" spans="1:10" x14ac:dyDescent="0.25">
      <c r="A76" s="9">
        <v>299</v>
      </c>
      <c r="B76" s="5" t="s">
        <v>1019</v>
      </c>
      <c r="C76" s="5" t="s">
        <v>1020</v>
      </c>
      <c r="D76" s="5" t="s">
        <v>1618</v>
      </c>
      <c r="E76" s="6">
        <v>90189084</v>
      </c>
      <c r="F76" s="6">
        <v>6</v>
      </c>
      <c r="G76" s="6">
        <f t="shared" si="3"/>
        <v>2</v>
      </c>
      <c r="H76" s="6" t="s">
        <v>1622</v>
      </c>
      <c r="I76" s="5">
        <v>24.1</v>
      </c>
      <c r="J76" s="5">
        <f t="shared" si="2"/>
        <v>144.60000000000002</v>
      </c>
    </row>
    <row r="77" spans="1:10" x14ac:dyDescent="0.25">
      <c r="A77" s="9">
        <v>300</v>
      </c>
      <c r="B77" s="5" t="s">
        <v>1105</v>
      </c>
      <c r="C77" s="5" t="s">
        <v>1106</v>
      </c>
      <c r="D77" s="5" t="s">
        <v>1618</v>
      </c>
      <c r="E77" s="6">
        <v>90189084</v>
      </c>
      <c r="F77" s="6">
        <v>3</v>
      </c>
      <c r="G77" s="6">
        <f t="shared" si="3"/>
        <v>1</v>
      </c>
      <c r="H77" s="6" t="s">
        <v>1622</v>
      </c>
      <c r="I77" s="5">
        <v>38.130000000000003</v>
      </c>
      <c r="J77" s="5">
        <f t="shared" si="2"/>
        <v>114.39000000000001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C05A-2DA2-4852-9D64-B4A685A736DF}">
  <dimension ref="A1:K84"/>
  <sheetViews>
    <sheetView workbookViewId="0">
      <selection activeCell="G3" sqref="G3:G84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1684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1669</v>
      </c>
      <c r="D2" s="11"/>
      <c r="E2" s="12"/>
      <c r="F2" s="12">
        <v>3</v>
      </c>
      <c r="G2" s="12"/>
      <c r="H2" s="12"/>
      <c r="I2" s="2"/>
      <c r="J2" s="13"/>
    </row>
    <row r="3" spans="1:10" x14ac:dyDescent="0.25">
      <c r="A3" s="9">
        <v>301</v>
      </c>
      <c r="B3" s="5" t="s">
        <v>22</v>
      </c>
      <c r="C3" s="5" t="s">
        <v>23</v>
      </c>
      <c r="D3" s="5" t="s">
        <v>1618</v>
      </c>
      <c r="E3" s="6">
        <v>90189084</v>
      </c>
      <c r="F3" s="6">
        <v>6</v>
      </c>
      <c r="G3" s="6">
        <f>F3/$F$2</f>
        <v>2</v>
      </c>
      <c r="H3" s="6" t="s">
        <v>1622</v>
      </c>
      <c r="I3" s="5">
        <v>3.81</v>
      </c>
      <c r="J3" s="5">
        <f t="shared" ref="J3:J16" si="0">F3*I3</f>
        <v>22.86</v>
      </c>
    </row>
    <row r="4" spans="1:10" x14ac:dyDescent="0.25">
      <c r="A4" s="9">
        <v>302</v>
      </c>
      <c r="B4" s="5" t="s">
        <v>136</v>
      </c>
      <c r="C4" s="5" t="s">
        <v>137</v>
      </c>
      <c r="D4" s="5" t="s">
        <v>1618</v>
      </c>
      <c r="E4" s="6">
        <v>90189084</v>
      </c>
      <c r="F4" s="6">
        <v>6</v>
      </c>
      <c r="G4" s="6">
        <f t="shared" ref="G4:G67" si="1">F4/$F$2</f>
        <v>2</v>
      </c>
      <c r="H4" s="6" t="s">
        <v>1622</v>
      </c>
      <c r="I4" s="5">
        <v>3.81</v>
      </c>
      <c r="J4" s="5">
        <f t="shared" si="0"/>
        <v>22.86</v>
      </c>
    </row>
    <row r="5" spans="1:10" x14ac:dyDescent="0.25">
      <c r="A5" s="9">
        <v>303</v>
      </c>
      <c r="B5" s="5" t="s">
        <v>1233</v>
      </c>
      <c r="C5" s="5" t="s">
        <v>1234</v>
      </c>
      <c r="D5" s="5" t="s">
        <v>1618</v>
      </c>
      <c r="E5" s="6">
        <v>90189084</v>
      </c>
      <c r="F5" s="6">
        <v>3</v>
      </c>
      <c r="G5" s="6">
        <f t="shared" si="1"/>
        <v>1</v>
      </c>
      <c r="H5" s="6" t="s">
        <v>1622</v>
      </c>
      <c r="I5" s="5">
        <v>44.82</v>
      </c>
      <c r="J5" s="5">
        <f t="shared" si="0"/>
        <v>134.46</v>
      </c>
    </row>
    <row r="6" spans="1:10" x14ac:dyDescent="0.25">
      <c r="A6" s="9">
        <v>304</v>
      </c>
      <c r="B6" s="5" t="s">
        <v>1317</v>
      </c>
      <c r="C6" s="5" t="s">
        <v>1318</v>
      </c>
      <c r="D6" s="5" t="s">
        <v>1618</v>
      </c>
      <c r="E6" s="6">
        <v>90189084</v>
      </c>
      <c r="F6" s="6">
        <v>3</v>
      </c>
      <c r="G6" s="6">
        <f t="shared" si="1"/>
        <v>1</v>
      </c>
      <c r="H6" s="6" t="s">
        <v>1622</v>
      </c>
      <c r="I6" s="5">
        <v>74.209999999999994</v>
      </c>
      <c r="J6" s="5">
        <f t="shared" si="0"/>
        <v>222.63</v>
      </c>
    </row>
    <row r="7" spans="1:10" x14ac:dyDescent="0.25">
      <c r="A7" s="9">
        <v>305</v>
      </c>
      <c r="B7" s="5" t="s">
        <v>1319</v>
      </c>
      <c r="C7" s="5" t="s">
        <v>1320</v>
      </c>
      <c r="D7" s="5" t="s">
        <v>1618</v>
      </c>
      <c r="E7" s="6">
        <v>90189084</v>
      </c>
      <c r="F7" s="6">
        <v>3</v>
      </c>
      <c r="G7" s="6">
        <f t="shared" si="1"/>
        <v>1</v>
      </c>
      <c r="H7" s="6" t="s">
        <v>1622</v>
      </c>
      <c r="I7" s="5">
        <v>67.45</v>
      </c>
      <c r="J7" s="5">
        <f t="shared" si="0"/>
        <v>202.35000000000002</v>
      </c>
    </row>
    <row r="8" spans="1:10" x14ac:dyDescent="0.25">
      <c r="A8" s="9">
        <v>306</v>
      </c>
      <c r="B8" s="5" t="s">
        <v>1321</v>
      </c>
      <c r="C8" s="5" t="s">
        <v>1322</v>
      </c>
      <c r="D8" s="5" t="s">
        <v>1618</v>
      </c>
      <c r="E8" s="6">
        <v>90189084</v>
      </c>
      <c r="F8" s="6">
        <v>3</v>
      </c>
      <c r="G8" s="6">
        <f t="shared" si="1"/>
        <v>1</v>
      </c>
      <c r="H8" s="6" t="s">
        <v>1622</v>
      </c>
      <c r="I8" s="5">
        <v>62.74</v>
      </c>
      <c r="J8" s="5">
        <f t="shared" si="0"/>
        <v>188.22</v>
      </c>
    </row>
    <row r="9" spans="1:10" x14ac:dyDescent="0.25">
      <c r="A9" s="9">
        <v>307</v>
      </c>
      <c r="B9" s="5" t="s">
        <v>1609</v>
      </c>
      <c r="C9" s="5" t="s">
        <v>1614</v>
      </c>
      <c r="D9" s="5" t="s">
        <v>1618</v>
      </c>
      <c r="E9" s="6">
        <v>90189084</v>
      </c>
      <c r="F9" s="6">
        <v>3</v>
      </c>
      <c r="G9" s="6">
        <f t="shared" si="1"/>
        <v>1</v>
      </c>
      <c r="H9" s="6" t="s">
        <v>1622</v>
      </c>
      <c r="I9" s="5">
        <v>44.53</v>
      </c>
      <c r="J9" s="5">
        <f t="shared" si="0"/>
        <v>133.59</v>
      </c>
    </row>
    <row r="10" spans="1:10" x14ac:dyDescent="0.25">
      <c r="A10" s="9">
        <v>308</v>
      </c>
      <c r="B10" s="5" t="s">
        <v>1109</v>
      </c>
      <c r="C10" s="5" t="s">
        <v>1110</v>
      </c>
      <c r="D10" s="5" t="s">
        <v>1618</v>
      </c>
      <c r="E10" s="6">
        <v>90189084</v>
      </c>
      <c r="F10" s="6">
        <v>6</v>
      </c>
      <c r="G10" s="6">
        <f t="shared" si="1"/>
        <v>2</v>
      </c>
      <c r="H10" s="6" t="s">
        <v>1622</v>
      </c>
      <c r="I10" s="5">
        <v>13.72</v>
      </c>
      <c r="J10" s="5">
        <f t="shared" si="0"/>
        <v>82.320000000000007</v>
      </c>
    </row>
    <row r="11" spans="1:10" x14ac:dyDescent="0.25">
      <c r="A11" s="9">
        <v>309</v>
      </c>
      <c r="B11" s="5" t="s">
        <v>1323</v>
      </c>
      <c r="C11" s="5" t="s">
        <v>1324</v>
      </c>
      <c r="D11" s="5" t="s">
        <v>1619</v>
      </c>
      <c r="E11" s="6">
        <v>90189084</v>
      </c>
      <c r="F11" s="6">
        <v>3</v>
      </c>
      <c r="G11" s="6">
        <f t="shared" si="1"/>
        <v>1</v>
      </c>
      <c r="H11" s="6" t="s">
        <v>1622</v>
      </c>
      <c r="I11" s="5">
        <v>7.21</v>
      </c>
      <c r="J11" s="5">
        <f t="shared" si="0"/>
        <v>21.63</v>
      </c>
    </row>
    <row r="12" spans="1:10" x14ac:dyDescent="0.25">
      <c r="A12" s="9">
        <v>310</v>
      </c>
      <c r="B12" s="5" t="s">
        <v>1325</v>
      </c>
      <c r="C12" s="5" t="s">
        <v>1326</v>
      </c>
      <c r="D12" s="5" t="s">
        <v>1619</v>
      </c>
      <c r="E12" s="6">
        <v>90189084</v>
      </c>
      <c r="F12" s="6">
        <v>3</v>
      </c>
      <c r="G12" s="6">
        <f t="shared" si="1"/>
        <v>1</v>
      </c>
      <c r="H12" s="6" t="s">
        <v>1622</v>
      </c>
      <c r="I12" s="5">
        <v>13.32</v>
      </c>
      <c r="J12" s="5">
        <f t="shared" si="0"/>
        <v>39.96</v>
      </c>
    </row>
    <row r="13" spans="1:10" x14ac:dyDescent="0.25">
      <c r="A13" s="9">
        <v>311</v>
      </c>
      <c r="B13" s="5" t="s">
        <v>1327</v>
      </c>
      <c r="C13" s="5" t="s">
        <v>1328</v>
      </c>
      <c r="D13" s="5" t="s">
        <v>1618</v>
      </c>
      <c r="E13" s="6">
        <v>90189084</v>
      </c>
      <c r="F13" s="6">
        <v>3</v>
      </c>
      <c r="G13" s="6">
        <f t="shared" si="1"/>
        <v>1</v>
      </c>
      <c r="H13" s="6" t="s">
        <v>1622</v>
      </c>
      <c r="I13" s="5">
        <v>17.72</v>
      </c>
      <c r="J13" s="5">
        <f t="shared" si="0"/>
        <v>53.16</v>
      </c>
    </row>
    <row r="14" spans="1:10" x14ac:dyDescent="0.25">
      <c r="A14" s="9">
        <v>312</v>
      </c>
      <c r="B14" s="5" t="s">
        <v>1329</v>
      </c>
      <c r="C14" s="5" t="s">
        <v>1330</v>
      </c>
      <c r="D14" s="5" t="s">
        <v>1618</v>
      </c>
      <c r="E14" s="6">
        <v>90189084</v>
      </c>
      <c r="F14" s="6">
        <v>3</v>
      </c>
      <c r="G14" s="6">
        <f t="shared" si="1"/>
        <v>1</v>
      </c>
      <c r="H14" s="6" t="s">
        <v>1622</v>
      </c>
      <c r="I14" s="5">
        <v>17.46</v>
      </c>
      <c r="J14" s="5">
        <f t="shared" si="0"/>
        <v>52.38</v>
      </c>
    </row>
    <row r="15" spans="1:10" x14ac:dyDescent="0.25">
      <c r="A15" s="9">
        <v>313</v>
      </c>
      <c r="B15" s="5" t="s">
        <v>16</v>
      </c>
      <c r="C15" s="5" t="s">
        <v>17</v>
      </c>
      <c r="D15" s="5" t="s">
        <v>1618</v>
      </c>
      <c r="E15" s="6">
        <v>90189084</v>
      </c>
      <c r="F15" s="6">
        <v>3</v>
      </c>
      <c r="G15" s="6">
        <f t="shared" si="1"/>
        <v>1</v>
      </c>
      <c r="H15" s="6" t="s">
        <v>1622</v>
      </c>
      <c r="I15" s="5">
        <v>11.6</v>
      </c>
      <c r="J15" s="5">
        <f t="shared" si="0"/>
        <v>34.799999999999997</v>
      </c>
    </row>
    <row r="16" spans="1:10" x14ac:dyDescent="0.25">
      <c r="A16" s="9">
        <v>314</v>
      </c>
      <c r="B16" s="5" t="s">
        <v>1331</v>
      </c>
      <c r="C16" s="5" t="s">
        <v>1332</v>
      </c>
      <c r="D16" s="5" t="s">
        <v>1619</v>
      </c>
      <c r="E16" s="6">
        <v>90189084</v>
      </c>
      <c r="F16" s="6">
        <v>3</v>
      </c>
      <c r="G16" s="6">
        <f t="shared" si="1"/>
        <v>1</v>
      </c>
      <c r="H16" s="6" t="s">
        <v>1622</v>
      </c>
      <c r="I16" s="5">
        <v>13.69</v>
      </c>
      <c r="J16" s="5">
        <f t="shared" si="0"/>
        <v>41.07</v>
      </c>
    </row>
    <row r="17" spans="1:10" x14ac:dyDescent="0.25">
      <c r="A17" s="9">
        <v>315</v>
      </c>
      <c r="B17" s="5" t="s">
        <v>1101</v>
      </c>
      <c r="C17" s="5" t="s">
        <v>1102</v>
      </c>
      <c r="D17" s="5" t="s">
        <v>1618</v>
      </c>
      <c r="E17" s="6">
        <v>90189084</v>
      </c>
      <c r="F17" s="6">
        <v>6</v>
      </c>
      <c r="G17" s="6">
        <f t="shared" si="1"/>
        <v>2</v>
      </c>
      <c r="H17" s="6" t="s">
        <v>1622</v>
      </c>
      <c r="I17" s="5">
        <v>14.89</v>
      </c>
      <c r="J17" s="5">
        <f t="shared" ref="J17:J80" si="2">F17*I17</f>
        <v>89.34</v>
      </c>
    </row>
    <row r="18" spans="1:10" x14ac:dyDescent="0.25">
      <c r="A18" s="9">
        <v>316</v>
      </c>
      <c r="B18" s="5" t="s">
        <v>1333</v>
      </c>
      <c r="C18" s="5" t="s">
        <v>1334</v>
      </c>
      <c r="D18" s="5" t="s">
        <v>1618</v>
      </c>
      <c r="E18" s="6">
        <v>90189084</v>
      </c>
      <c r="F18" s="6">
        <v>6</v>
      </c>
      <c r="G18" s="6">
        <f t="shared" si="1"/>
        <v>2</v>
      </c>
      <c r="H18" s="6" t="s">
        <v>1622</v>
      </c>
      <c r="I18" s="5">
        <v>47.26</v>
      </c>
      <c r="J18" s="5">
        <f t="shared" si="2"/>
        <v>283.56</v>
      </c>
    </row>
    <row r="19" spans="1:10" x14ac:dyDescent="0.25">
      <c r="A19" s="9">
        <v>317</v>
      </c>
      <c r="B19" s="5" t="s">
        <v>1335</v>
      </c>
      <c r="C19" s="5" t="s">
        <v>1336</v>
      </c>
      <c r="D19" s="5" t="s">
        <v>1618</v>
      </c>
      <c r="E19" s="6">
        <v>90189084</v>
      </c>
      <c r="F19" s="6">
        <v>6</v>
      </c>
      <c r="G19" s="6">
        <f t="shared" si="1"/>
        <v>2</v>
      </c>
      <c r="H19" s="6" t="s">
        <v>1622</v>
      </c>
      <c r="I19" s="5">
        <v>62.78</v>
      </c>
      <c r="J19" s="5">
        <f t="shared" si="2"/>
        <v>376.68</v>
      </c>
    </row>
    <row r="20" spans="1:10" x14ac:dyDescent="0.25">
      <c r="A20" s="9">
        <v>318</v>
      </c>
      <c r="B20" s="5" t="s">
        <v>1337</v>
      </c>
      <c r="C20" s="5" t="s">
        <v>1338</v>
      </c>
      <c r="D20" s="5" t="s">
        <v>1618</v>
      </c>
      <c r="E20" s="6">
        <v>90189084</v>
      </c>
      <c r="F20" s="6">
        <v>6</v>
      </c>
      <c r="G20" s="6">
        <f t="shared" si="1"/>
        <v>2</v>
      </c>
      <c r="H20" s="6" t="s">
        <v>1622</v>
      </c>
      <c r="I20" s="5">
        <v>21.97</v>
      </c>
      <c r="J20" s="5">
        <f t="shared" si="2"/>
        <v>131.82</v>
      </c>
    </row>
    <row r="21" spans="1:10" x14ac:dyDescent="0.25">
      <c r="A21" s="9">
        <v>319</v>
      </c>
      <c r="B21" s="5" t="s">
        <v>859</v>
      </c>
      <c r="C21" s="5" t="s">
        <v>860</v>
      </c>
      <c r="D21" s="5" t="s">
        <v>1618</v>
      </c>
      <c r="E21" s="6">
        <v>90189084</v>
      </c>
      <c r="F21" s="6">
        <v>6</v>
      </c>
      <c r="G21" s="6">
        <f t="shared" si="1"/>
        <v>2</v>
      </c>
      <c r="H21" s="6" t="s">
        <v>1622</v>
      </c>
      <c r="I21" s="5">
        <v>22.93</v>
      </c>
      <c r="J21" s="5">
        <f t="shared" si="2"/>
        <v>137.57999999999998</v>
      </c>
    </row>
    <row r="22" spans="1:10" x14ac:dyDescent="0.25">
      <c r="A22" s="9">
        <v>320</v>
      </c>
      <c r="B22" s="5" t="s">
        <v>1339</v>
      </c>
      <c r="C22" s="5" t="s">
        <v>1340</v>
      </c>
      <c r="D22" s="5" t="s">
        <v>1618</v>
      </c>
      <c r="E22" s="6">
        <v>90189084</v>
      </c>
      <c r="F22" s="6">
        <v>6</v>
      </c>
      <c r="G22" s="6">
        <f t="shared" si="1"/>
        <v>2</v>
      </c>
      <c r="H22" s="6" t="s">
        <v>1622</v>
      </c>
      <c r="I22" s="5">
        <v>32.729999999999997</v>
      </c>
      <c r="J22" s="5">
        <f t="shared" si="2"/>
        <v>196.38</v>
      </c>
    </row>
    <row r="23" spans="1:10" x14ac:dyDescent="0.25">
      <c r="A23" s="9">
        <v>321</v>
      </c>
      <c r="B23" s="5" t="s">
        <v>1341</v>
      </c>
      <c r="C23" s="5" t="s">
        <v>1342</v>
      </c>
      <c r="D23" s="5" t="s">
        <v>1619</v>
      </c>
      <c r="E23" s="6">
        <v>90189084</v>
      </c>
      <c r="F23" s="6">
        <v>3</v>
      </c>
      <c r="G23" s="6">
        <f t="shared" si="1"/>
        <v>1</v>
      </c>
      <c r="H23" s="6" t="s">
        <v>1622</v>
      </c>
      <c r="I23" s="5">
        <v>80.14</v>
      </c>
      <c r="J23" s="5">
        <f t="shared" si="2"/>
        <v>240.42000000000002</v>
      </c>
    </row>
    <row r="24" spans="1:10" x14ac:dyDescent="0.25">
      <c r="A24" s="9">
        <v>322</v>
      </c>
      <c r="B24" s="5" t="s">
        <v>1343</v>
      </c>
      <c r="C24" s="5" t="s">
        <v>1344</v>
      </c>
      <c r="D24" s="5" t="s">
        <v>1619</v>
      </c>
      <c r="E24" s="6">
        <v>90189084</v>
      </c>
      <c r="F24" s="6">
        <v>3</v>
      </c>
      <c r="G24" s="6">
        <f t="shared" si="1"/>
        <v>1</v>
      </c>
      <c r="H24" s="6" t="s">
        <v>1622</v>
      </c>
      <c r="I24" s="5">
        <v>49.65</v>
      </c>
      <c r="J24" s="5">
        <f t="shared" si="2"/>
        <v>148.94999999999999</v>
      </c>
    </row>
    <row r="25" spans="1:10" x14ac:dyDescent="0.25">
      <c r="A25" s="9">
        <v>323</v>
      </c>
      <c r="B25" s="5" t="s">
        <v>1345</v>
      </c>
      <c r="C25" s="5" t="s">
        <v>1346</v>
      </c>
      <c r="D25" s="5" t="s">
        <v>1618</v>
      </c>
      <c r="E25" s="6">
        <v>90189084</v>
      </c>
      <c r="F25" s="6">
        <v>3</v>
      </c>
      <c r="G25" s="6">
        <f t="shared" si="1"/>
        <v>1</v>
      </c>
      <c r="H25" s="6" t="s">
        <v>1622</v>
      </c>
      <c r="I25" s="5">
        <v>180.93</v>
      </c>
      <c r="J25" s="5">
        <f t="shared" si="2"/>
        <v>542.79</v>
      </c>
    </row>
    <row r="26" spans="1:10" x14ac:dyDescent="0.25">
      <c r="A26" s="9">
        <v>324</v>
      </c>
      <c r="B26" s="5" t="s">
        <v>1347</v>
      </c>
      <c r="C26" s="5" t="s">
        <v>1348</v>
      </c>
      <c r="D26" s="5" t="s">
        <v>1618</v>
      </c>
      <c r="E26" s="6">
        <v>90189084</v>
      </c>
      <c r="F26" s="6">
        <v>3</v>
      </c>
      <c r="G26" s="6">
        <f t="shared" si="1"/>
        <v>1</v>
      </c>
      <c r="H26" s="6" t="s">
        <v>1622</v>
      </c>
      <c r="I26" s="5">
        <v>184.71</v>
      </c>
      <c r="J26" s="5">
        <f t="shared" si="2"/>
        <v>554.13</v>
      </c>
    </row>
    <row r="27" spans="1:10" x14ac:dyDescent="0.25">
      <c r="A27" s="9">
        <v>325</v>
      </c>
      <c r="B27" s="5" t="s">
        <v>1349</v>
      </c>
      <c r="C27" s="5" t="s">
        <v>1350</v>
      </c>
      <c r="D27" s="5" t="s">
        <v>1619</v>
      </c>
      <c r="E27" s="6">
        <v>90189084</v>
      </c>
      <c r="F27" s="6">
        <v>18</v>
      </c>
      <c r="G27" s="6">
        <f t="shared" si="1"/>
        <v>6</v>
      </c>
      <c r="H27" s="6" t="s">
        <v>1622</v>
      </c>
      <c r="I27" s="5">
        <v>12.1</v>
      </c>
      <c r="J27" s="5">
        <f t="shared" si="2"/>
        <v>217.79999999999998</v>
      </c>
    </row>
    <row r="28" spans="1:10" x14ac:dyDescent="0.25">
      <c r="A28" s="9">
        <v>326</v>
      </c>
      <c r="B28" s="5" t="s">
        <v>40</v>
      </c>
      <c r="C28" s="5" t="s">
        <v>41</v>
      </c>
      <c r="D28" s="5" t="s">
        <v>1619</v>
      </c>
      <c r="E28" s="6">
        <v>90189084</v>
      </c>
      <c r="F28" s="6">
        <v>18</v>
      </c>
      <c r="G28" s="6">
        <f t="shared" si="1"/>
        <v>6</v>
      </c>
      <c r="H28" s="6" t="s">
        <v>1622</v>
      </c>
      <c r="I28" s="5">
        <v>12.54</v>
      </c>
      <c r="J28" s="5">
        <f t="shared" si="2"/>
        <v>225.71999999999997</v>
      </c>
    </row>
    <row r="29" spans="1:10" x14ac:dyDescent="0.25">
      <c r="A29" s="9">
        <v>327</v>
      </c>
      <c r="B29" s="5" t="s">
        <v>1351</v>
      </c>
      <c r="C29" s="5" t="s">
        <v>1352</v>
      </c>
      <c r="D29" s="5" t="s">
        <v>1619</v>
      </c>
      <c r="E29" s="6">
        <v>90189084</v>
      </c>
      <c r="F29" s="6">
        <v>18</v>
      </c>
      <c r="G29" s="6">
        <f t="shared" si="1"/>
        <v>6</v>
      </c>
      <c r="H29" s="6" t="s">
        <v>1622</v>
      </c>
      <c r="I29" s="5">
        <v>14.75</v>
      </c>
      <c r="J29" s="5">
        <f t="shared" si="2"/>
        <v>265.5</v>
      </c>
    </row>
    <row r="30" spans="1:10" x14ac:dyDescent="0.25">
      <c r="A30" s="9">
        <v>328</v>
      </c>
      <c r="B30" s="5" t="s">
        <v>1353</v>
      </c>
      <c r="C30" s="5" t="s">
        <v>1354</v>
      </c>
      <c r="D30" s="5" t="s">
        <v>1619</v>
      </c>
      <c r="E30" s="6">
        <v>90189084</v>
      </c>
      <c r="F30" s="6">
        <v>18</v>
      </c>
      <c r="G30" s="6">
        <f t="shared" si="1"/>
        <v>6</v>
      </c>
      <c r="H30" s="6" t="s">
        <v>1622</v>
      </c>
      <c r="I30" s="5">
        <v>15.39</v>
      </c>
      <c r="J30" s="5">
        <f t="shared" si="2"/>
        <v>277.02</v>
      </c>
    </row>
    <row r="31" spans="1:10" x14ac:dyDescent="0.25">
      <c r="A31" s="9">
        <v>329</v>
      </c>
      <c r="B31" s="5" t="s">
        <v>1355</v>
      </c>
      <c r="C31" s="5" t="s">
        <v>1356</v>
      </c>
      <c r="D31" s="5" t="s">
        <v>1619</v>
      </c>
      <c r="E31" s="6">
        <v>90189084</v>
      </c>
      <c r="F31" s="6">
        <v>3</v>
      </c>
      <c r="G31" s="6">
        <f t="shared" si="1"/>
        <v>1</v>
      </c>
      <c r="H31" s="6" t="s">
        <v>1622</v>
      </c>
      <c r="I31" s="5">
        <v>60.29</v>
      </c>
      <c r="J31" s="5">
        <f t="shared" si="2"/>
        <v>180.87</v>
      </c>
    </row>
    <row r="32" spans="1:10" x14ac:dyDescent="0.25">
      <c r="A32" s="9">
        <v>330</v>
      </c>
      <c r="B32" s="5" t="s">
        <v>1357</v>
      </c>
      <c r="C32" s="5" t="s">
        <v>1358</v>
      </c>
      <c r="D32" s="5" t="s">
        <v>1619</v>
      </c>
      <c r="E32" s="6">
        <v>90183900</v>
      </c>
      <c r="F32" s="6">
        <v>3</v>
      </c>
      <c r="G32" s="6">
        <f t="shared" si="1"/>
        <v>1</v>
      </c>
      <c r="H32" s="6" t="s">
        <v>1622</v>
      </c>
      <c r="I32" s="5">
        <v>12.75</v>
      </c>
      <c r="J32" s="5">
        <f t="shared" si="2"/>
        <v>38.25</v>
      </c>
    </row>
    <row r="33" spans="1:10" x14ac:dyDescent="0.25">
      <c r="A33" s="9">
        <v>331</v>
      </c>
      <c r="B33" s="5" t="s">
        <v>270</v>
      </c>
      <c r="C33" s="5" t="s">
        <v>271</v>
      </c>
      <c r="D33" s="5" t="s">
        <v>1619</v>
      </c>
      <c r="E33" s="6">
        <v>90183900</v>
      </c>
      <c r="F33" s="6">
        <v>3</v>
      </c>
      <c r="G33" s="6">
        <f t="shared" si="1"/>
        <v>1</v>
      </c>
      <c r="H33" s="6" t="s">
        <v>1622</v>
      </c>
      <c r="I33" s="5">
        <v>12.75</v>
      </c>
      <c r="J33" s="5">
        <f t="shared" si="2"/>
        <v>38.25</v>
      </c>
    </row>
    <row r="34" spans="1:10" x14ac:dyDescent="0.25">
      <c r="A34" s="9">
        <v>332</v>
      </c>
      <c r="B34" s="5" t="s">
        <v>1359</v>
      </c>
      <c r="C34" s="5" t="s">
        <v>1360</v>
      </c>
      <c r="D34" s="5" t="s">
        <v>1618</v>
      </c>
      <c r="E34" s="6">
        <v>90189084</v>
      </c>
      <c r="F34" s="6">
        <v>3</v>
      </c>
      <c r="G34" s="6">
        <f t="shared" si="1"/>
        <v>1</v>
      </c>
      <c r="H34" s="6" t="s">
        <v>1622</v>
      </c>
      <c r="I34" s="5">
        <v>40.700000000000003</v>
      </c>
      <c r="J34" s="5">
        <f t="shared" si="2"/>
        <v>122.10000000000001</v>
      </c>
    </row>
    <row r="35" spans="1:10" x14ac:dyDescent="0.25">
      <c r="A35" s="9">
        <v>333</v>
      </c>
      <c r="B35" s="5" t="s">
        <v>330</v>
      </c>
      <c r="C35" s="5" t="s">
        <v>331</v>
      </c>
      <c r="D35" s="5" t="s">
        <v>1619</v>
      </c>
      <c r="E35" s="6">
        <v>90189084</v>
      </c>
      <c r="F35" s="6">
        <v>3</v>
      </c>
      <c r="G35" s="6">
        <f t="shared" si="1"/>
        <v>1</v>
      </c>
      <c r="H35" s="6" t="s">
        <v>1622</v>
      </c>
      <c r="I35" s="5">
        <v>24.74</v>
      </c>
      <c r="J35" s="5">
        <f t="shared" si="2"/>
        <v>74.22</v>
      </c>
    </row>
    <row r="36" spans="1:10" x14ac:dyDescent="0.25">
      <c r="A36" s="9">
        <v>334</v>
      </c>
      <c r="B36" s="5" t="s">
        <v>1361</v>
      </c>
      <c r="C36" s="5" t="s">
        <v>1362</v>
      </c>
      <c r="D36" s="5" t="s">
        <v>1618</v>
      </c>
      <c r="E36" s="6">
        <v>90189084</v>
      </c>
      <c r="F36" s="6">
        <v>3</v>
      </c>
      <c r="G36" s="6">
        <f t="shared" si="1"/>
        <v>1</v>
      </c>
      <c r="H36" s="6" t="s">
        <v>1622</v>
      </c>
      <c r="I36" s="5">
        <v>107.54</v>
      </c>
      <c r="J36" s="5">
        <f t="shared" si="2"/>
        <v>322.62</v>
      </c>
    </row>
    <row r="37" spans="1:10" x14ac:dyDescent="0.25">
      <c r="A37" s="9">
        <v>335</v>
      </c>
      <c r="B37" s="5" t="s">
        <v>1363</v>
      </c>
      <c r="C37" s="5" t="s">
        <v>1364</v>
      </c>
      <c r="D37" s="5" t="s">
        <v>1618</v>
      </c>
      <c r="E37" s="6">
        <v>90189084</v>
      </c>
      <c r="F37" s="6">
        <v>3</v>
      </c>
      <c r="G37" s="6">
        <f t="shared" si="1"/>
        <v>1</v>
      </c>
      <c r="H37" s="6" t="s">
        <v>1622</v>
      </c>
      <c r="I37" s="5">
        <v>181.88</v>
      </c>
      <c r="J37" s="5">
        <f t="shared" si="2"/>
        <v>545.64</v>
      </c>
    </row>
    <row r="38" spans="1:10" x14ac:dyDescent="0.25">
      <c r="A38" s="9">
        <v>336</v>
      </c>
      <c r="B38" s="5" t="s">
        <v>1305</v>
      </c>
      <c r="C38" s="5" t="s">
        <v>1306</v>
      </c>
      <c r="D38" s="5" t="s">
        <v>1618</v>
      </c>
      <c r="E38" s="6">
        <v>90189084</v>
      </c>
      <c r="F38" s="6">
        <v>3</v>
      </c>
      <c r="G38" s="6">
        <f t="shared" si="1"/>
        <v>1</v>
      </c>
      <c r="H38" s="6" t="s">
        <v>1622</v>
      </c>
      <c r="I38" s="5">
        <v>200.4</v>
      </c>
      <c r="J38" s="5">
        <f t="shared" si="2"/>
        <v>601.20000000000005</v>
      </c>
    </row>
    <row r="39" spans="1:10" x14ac:dyDescent="0.25">
      <c r="A39" s="9">
        <v>337</v>
      </c>
      <c r="B39" s="5" t="s">
        <v>1365</v>
      </c>
      <c r="C39" s="5" t="s">
        <v>1366</v>
      </c>
      <c r="D39" s="5" t="s">
        <v>1618</v>
      </c>
      <c r="E39" s="6">
        <v>90189084</v>
      </c>
      <c r="F39" s="6">
        <v>3</v>
      </c>
      <c r="G39" s="6">
        <f t="shared" si="1"/>
        <v>1</v>
      </c>
      <c r="H39" s="6" t="s">
        <v>1622</v>
      </c>
      <c r="I39" s="5">
        <v>186.68</v>
      </c>
      <c r="J39" s="5">
        <f t="shared" si="2"/>
        <v>560.04</v>
      </c>
    </row>
    <row r="40" spans="1:10" x14ac:dyDescent="0.25">
      <c r="A40" s="9">
        <v>338</v>
      </c>
      <c r="B40" s="5" t="s">
        <v>1367</v>
      </c>
      <c r="C40" s="5" t="s">
        <v>1368</v>
      </c>
      <c r="D40" s="5" t="s">
        <v>1618</v>
      </c>
      <c r="E40" s="6">
        <v>90189084</v>
      </c>
      <c r="F40" s="6">
        <v>3</v>
      </c>
      <c r="G40" s="6">
        <f t="shared" si="1"/>
        <v>1</v>
      </c>
      <c r="H40" s="6" t="s">
        <v>1622</v>
      </c>
      <c r="I40" s="5">
        <v>194.83</v>
      </c>
      <c r="J40" s="5">
        <f t="shared" si="2"/>
        <v>584.49</v>
      </c>
    </row>
    <row r="41" spans="1:10" x14ac:dyDescent="0.25">
      <c r="A41" s="9">
        <v>339</v>
      </c>
      <c r="B41" s="5" t="s">
        <v>1369</v>
      </c>
      <c r="C41" s="5" t="s">
        <v>1370</v>
      </c>
      <c r="D41" s="5" t="s">
        <v>1619</v>
      </c>
      <c r="E41" s="6">
        <v>90189084</v>
      </c>
      <c r="F41" s="6">
        <v>6</v>
      </c>
      <c r="G41" s="6">
        <f t="shared" si="1"/>
        <v>2</v>
      </c>
      <c r="H41" s="6" t="s">
        <v>1622</v>
      </c>
      <c r="I41" s="5">
        <v>23.62</v>
      </c>
      <c r="J41" s="5">
        <f t="shared" si="2"/>
        <v>141.72</v>
      </c>
    </row>
    <row r="42" spans="1:10" x14ac:dyDescent="0.25">
      <c r="A42" s="9">
        <v>340</v>
      </c>
      <c r="B42" s="5" t="s">
        <v>1367</v>
      </c>
      <c r="C42" s="5" t="s">
        <v>1368</v>
      </c>
      <c r="D42" s="5" t="s">
        <v>1618</v>
      </c>
      <c r="E42" s="6">
        <v>90189084</v>
      </c>
      <c r="F42" s="6">
        <v>3</v>
      </c>
      <c r="G42" s="6">
        <f t="shared" si="1"/>
        <v>1</v>
      </c>
      <c r="H42" s="6" t="s">
        <v>1622</v>
      </c>
      <c r="I42" s="5">
        <v>194.83</v>
      </c>
      <c r="J42" s="5">
        <f t="shared" si="2"/>
        <v>584.49</v>
      </c>
    </row>
    <row r="43" spans="1:10" x14ac:dyDescent="0.25">
      <c r="A43" s="9">
        <v>341</v>
      </c>
      <c r="B43" s="5" t="s">
        <v>1371</v>
      </c>
      <c r="C43" s="5" t="s">
        <v>1372</v>
      </c>
      <c r="D43" s="5" t="s">
        <v>1618</v>
      </c>
      <c r="E43" s="6">
        <v>90189084</v>
      </c>
      <c r="F43" s="6">
        <v>3</v>
      </c>
      <c r="G43" s="6">
        <f t="shared" si="1"/>
        <v>1</v>
      </c>
      <c r="H43" s="6" t="s">
        <v>1622</v>
      </c>
      <c r="I43" s="5">
        <v>194.83</v>
      </c>
      <c r="J43" s="5">
        <f t="shared" si="2"/>
        <v>584.49</v>
      </c>
    </row>
    <row r="44" spans="1:10" x14ac:dyDescent="0.25">
      <c r="A44" s="9">
        <v>342</v>
      </c>
      <c r="B44" s="5" t="s">
        <v>1373</v>
      </c>
      <c r="C44" s="5" t="s">
        <v>1374</v>
      </c>
      <c r="D44" s="5" t="s">
        <v>1618</v>
      </c>
      <c r="E44" s="6">
        <v>90189084</v>
      </c>
      <c r="F44" s="6">
        <v>3</v>
      </c>
      <c r="G44" s="6">
        <f t="shared" si="1"/>
        <v>1</v>
      </c>
      <c r="H44" s="6" t="s">
        <v>1622</v>
      </c>
      <c r="I44" s="5">
        <v>146.11000000000001</v>
      </c>
      <c r="J44" s="5">
        <f t="shared" si="2"/>
        <v>438.33000000000004</v>
      </c>
    </row>
    <row r="45" spans="1:10" x14ac:dyDescent="0.25">
      <c r="A45" s="9">
        <v>343</v>
      </c>
      <c r="B45" s="5" t="s">
        <v>1375</v>
      </c>
      <c r="C45" s="5" t="s">
        <v>1376</v>
      </c>
      <c r="D45" s="5" t="s">
        <v>1618</v>
      </c>
      <c r="E45" s="6">
        <v>90189084</v>
      </c>
      <c r="F45" s="6">
        <v>3</v>
      </c>
      <c r="G45" s="6">
        <f t="shared" si="1"/>
        <v>1</v>
      </c>
      <c r="H45" s="6" t="s">
        <v>1622</v>
      </c>
      <c r="I45" s="5">
        <v>208.42</v>
      </c>
      <c r="J45" s="5">
        <f t="shared" si="2"/>
        <v>625.26</v>
      </c>
    </row>
    <row r="46" spans="1:10" x14ac:dyDescent="0.25">
      <c r="A46" s="9">
        <v>344</v>
      </c>
      <c r="B46" s="5" t="s">
        <v>1213</v>
      </c>
      <c r="C46" s="5" t="s">
        <v>1214</v>
      </c>
      <c r="D46" s="5" t="s">
        <v>1618</v>
      </c>
      <c r="E46" s="6">
        <v>90178010</v>
      </c>
      <c r="F46" s="6">
        <v>3</v>
      </c>
      <c r="G46" s="6">
        <f t="shared" si="1"/>
        <v>1</v>
      </c>
      <c r="H46" s="6" t="s">
        <v>1622</v>
      </c>
      <c r="I46" s="5">
        <v>1.59</v>
      </c>
      <c r="J46" s="5">
        <f t="shared" si="2"/>
        <v>4.7700000000000005</v>
      </c>
    </row>
    <row r="47" spans="1:10" x14ac:dyDescent="0.25">
      <c r="A47" s="9">
        <v>345</v>
      </c>
      <c r="B47" s="5" t="s">
        <v>1377</v>
      </c>
      <c r="C47" s="5" t="s">
        <v>1378</v>
      </c>
      <c r="D47" s="5" t="s">
        <v>1618</v>
      </c>
      <c r="E47" s="6">
        <v>90178010</v>
      </c>
      <c r="F47" s="6">
        <v>3</v>
      </c>
      <c r="G47" s="6">
        <f t="shared" si="1"/>
        <v>1</v>
      </c>
      <c r="H47" s="6" t="s">
        <v>1622</v>
      </c>
      <c r="I47" s="5">
        <v>2.19</v>
      </c>
      <c r="J47" s="5">
        <f t="shared" si="2"/>
        <v>6.57</v>
      </c>
    </row>
    <row r="48" spans="1:10" x14ac:dyDescent="0.25">
      <c r="A48" s="9">
        <v>346</v>
      </c>
      <c r="B48" s="5" t="s">
        <v>1379</v>
      </c>
      <c r="C48" s="5" t="s">
        <v>1380</v>
      </c>
      <c r="D48" s="5" t="s">
        <v>1618</v>
      </c>
      <c r="E48" s="6">
        <v>90189084</v>
      </c>
      <c r="F48" s="6">
        <v>3</v>
      </c>
      <c r="G48" s="6">
        <f t="shared" si="1"/>
        <v>1</v>
      </c>
      <c r="H48" s="6" t="s">
        <v>1622</v>
      </c>
      <c r="I48" s="5">
        <v>10.28</v>
      </c>
      <c r="J48" s="5">
        <f t="shared" si="2"/>
        <v>30.839999999999996</v>
      </c>
    </row>
    <row r="49" spans="1:10" x14ac:dyDescent="0.25">
      <c r="A49" s="9">
        <v>347</v>
      </c>
      <c r="B49" s="5" t="s">
        <v>1381</v>
      </c>
      <c r="C49" s="5" t="s">
        <v>1382</v>
      </c>
      <c r="D49" s="5" t="s">
        <v>1619</v>
      </c>
      <c r="E49" s="6">
        <v>90189084</v>
      </c>
      <c r="F49" s="6">
        <v>3</v>
      </c>
      <c r="G49" s="6">
        <f t="shared" si="1"/>
        <v>1</v>
      </c>
      <c r="H49" s="6" t="s">
        <v>1622</v>
      </c>
      <c r="I49" s="5">
        <v>12.3</v>
      </c>
      <c r="J49" s="5">
        <f t="shared" si="2"/>
        <v>36.900000000000006</v>
      </c>
    </row>
    <row r="50" spans="1:10" x14ac:dyDescent="0.25">
      <c r="A50" s="9">
        <v>348</v>
      </c>
      <c r="B50" s="5" t="s">
        <v>703</v>
      </c>
      <c r="C50" s="5" t="s">
        <v>704</v>
      </c>
      <c r="D50" s="5" t="s">
        <v>1619</v>
      </c>
      <c r="E50" s="6">
        <v>90189084</v>
      </c>
      <c r="F50" s="6">
        <v>3</v>
      </c>
      <c r="G50" s="6">
        <f t="shared" si="1"/>
        <v>1</v>
      </c>
      <c r="H50" s="6" t="s">
        <v>1622</v>
      </c>
      <c r="I50" s="5">
        <v>9.2100000000000009</v>
      </c>
      <c r="J50" s="5">
        <f t="shared" si="2"/>
        <v>27.630000000000003</v>
      </c>
    </row>
    <row r="51" spans="1:10" x14ac:dyDescent="0.25">
      <c r="A51" s="9">
        <v>349</v>
      </c>
      <c r="B51" s="5" t="s">
        <v>1159</v>
      </c>
      <c r="C51" s="5" t="s">
        <v>1160</v>
      </c>
      <c r="D51" s="5" t="s">
        <v>1618</v>
      </c>
      <c r="E51" s="6">
        <v>90189084</v>
      </c>
      <c r="F51" s="6">
        <v>3</v>
      </c>
      <c r="G51" s="6">
        <f t="shared" si="1"/>
        <v>1</v>
      </c>
      <c r="H51" s="6" t="s">
        <v>1622</v>
      </c>
      <c r="I51" s="5">
        <v>38.119999999999997</v>
      </c>
      <c r="J51" s="5">
        <f t="shared" si="2"/>
        <v>114.35999999999999</v>
      </c>
    </row>
    <row r="52" spans="1:10" x14ac:dyDescent="0.25">
      <c r="A52" s="9">
        <v>350</v>
      </c>
      <c r="B52" s="5" t="s">
        <v>891</v>
      </c>
      <c r="C52" s="5" t="s">
        <v>892</v>
      </c>
      <c r="D52" s="5" t="s">
        <v>1619</v>
      </c>
      <c r="E52" s="6">
        <v>90189084</v>
      </c>
      <c r="F52" s="6">
        <v>12</v>
      </c>
      <c r="G52" s="6">
        <f t="shared" si="1"/>
        <v>4</v>
      </c>
      <c r="H52" s="6" t="s">
        <v>1622</v>
      </c>
      <c r="I52" s="5">
        <v>42.14</v>
      </c>
      <c r="J52" s="5">
        <f t="shared" si="2"/>
        <v>505.68</v>
      </c>
    </row>
    <row r="53" spans="1:10" x14ac:dyDescent="0.25">
      <c r="A53" s="9">
        <v>351</v>
      </c>
      <c r="B53" s="5" t="s">
        <v>1383</v>
      </c>
      <c r="C53" s="5" t="s">
        <v>1384</v>
      </c>
      <c r="D53" s="5" t="s">
        <v>1618</v>
      </c>
      <c r="E53" s="6">
        <v>90189084</v>
      </c>
      <c r="F53" s="6">
        <v>3</v>
      </c>
      <c r="G53" s="6">
        <f t="shared" si="1"/>
        <v>1</v>
      </c>
      <c r="H53" s="6" t="s">
        <v>1622</v>
      </c>
      <c r="I53" s="5">
        <v>19.399999999999999</v>
      </c>
      <c r="J53" s="5">
        <f t="shared" si="2"/>
        <v>58.199999999999996</v>
      </c>
    </row>
    <row r="54" spans="1:10" x14ac:dyDescent="0.25">
      <c r="A54" s="9">
        <v>352</v>
      </c>
      <c r="B54" s="5" t="s">
        <v>1385</v>
      </c>
      <c r="C54" s="5" t="s">
        <v>1386</v>
      </c>
      <c r="D54" s="5" t="s">
        <v>1618</v>
      </c>
      <c r="E54" s="6">
        <v>90189084</v>
      </c>
      <c r="F54" s="6">
        <v>3</v>
      </c>
      <c r="G54" s="6">
        <f t="shared" si="1"/>
        <v>1</v>
      </c>
      <c r="H54" s="6" t="s">
        <v>1622</v>
      </c>
      <c r="I54" s="5">
        <v>22.41</v>
      </c>
      <c r="J54" s="5">
        <f t="shared" si="2"/>
        <v>67.23</v>
      </c>
    </row>
    <row r="55" spans="1:10" x14ac:dyDescent="0.25">
      <c r="A55" s="9">
        <v>353</v>
      </c>
      <c r="B55" s="5" t="s">
        <v>1387</v>
      </c>
      <c r="C55" s="5" t="s">
        <v>1388</v>
      </c>
      <c r="D55" s="5" t="s">
        <v>1619</v>
      </c>
      <c r="E55" s="6">
        <v>90189084</v>
      </c>
      <c r="F55" s="6">
        <v>12</v>
      </c>
      <c r="G55" s="6">
        <f t="shared" si="1"/>
        <v>4</v>
      </c>
      <c r="H55" s="6" t="s">
        <v>1622</v>
      </c>
      <c r="I55" s="5">
        <v>30.15</v>
      </c>
      <c r="J55" s="5">
        <f t="shared" si="2"/>
        <v>361.79999999999995</v>
      </c>
    </row>
    <row r="56" spans="1:10" x14ac:dyDescent="0.25">
      <c r="A56" s="9">
        <v>354</v>
      </c>
      <c r="B56" s="5" t="s">
        <v>1245</v>
      </c>
      <c r="C56" s="5" t="s">
        <v>1246</v>
      </c>
      <c r="D56" s="5" t="s">
        <v>1618</v>
      </c>
      <c r="E56" s="6">
        <v>90189084</v>
      </c>
      <c r="F56" s="6">
        <v>3</v>
      </c>
      <c r="G56" s="6">
        <f t="shared" si="1"/>
        <v>1</v>
      </c>
      <c r="H56" s="6" t="s">
        <v>1622</v>
      </c>
      <c r="I56" s="5">
        <v>3.53</v>
      </c>
      <c r="J56" s="5">
        <f t="shared" si="2"/>
        <v>10.59</v>
      </c>
    </row>
    <row r="57" spans="1:10" x14ac:dyDescent="0.25">
      <c r="A57" s="9">
        <v>355</v>
      </c>
      <c r="B57" s="5" t="s">
        <v>360</v>
      </c>
      <c r="C57" s="5" t="s">
        <v>361</v>
      </c>
      <c r="D57" s="5" t="s">
        <v>1620</v>
      </c>
      <c r="E57" s="6">
        <v>73269098</v>
      </c>
      <c r="F57" s="6">
        <v>6</v>
      </c>
      <c r="G57" s="6">
        <f t="shared" si="1"/>
        <v>2</v>
      </c>
      <c r="H57" s="6" t="s">
        <v>1622</v>
      </c>
      <c r="I57" s="5">
        <v>7.95</v>
      </c>
      <c r="J57" s="5">
        <f t="shared" si="2"/>
        <v>47.7</v>
      </c>
    </row>
    <row r="58" spans="1:10" x14ac:dyDescent="0.25">
      <c r="A58" s="9">
        <v>356</v>
      </c>
      <c r="B58" s="5" t="s">
        <v>1389</v>
      </c>
      <c r="C58" s="5" t="s">
        <v>1390</v>
      </c>
      <c r="D58" s="5" t="s">
        <v>1620</v>
      </c>
      <c r="E58" s="6">
        <v>73249000</v>
      </c>
      <c r="F58" s="6">
        <v>3</v>
      </c>
      <c r="G58" s="6">
        <f t="shared" si="1"/>
        <v>1</v>
      </c>
      <c r="H58" s="6" t="s">
        <v>1622</v>
      </c>
      <c r="I58" s="5">
        <v>4.42</v>
      </c>
      <c r="J58" s="5">
        <f t="shared" si="2"/>
        <v>13.26</v>
      </c>
    </row>
    <row r="59" spans="1:10" x14ac:dyDescent="0.25">
      <c r="A59" s="9">
        <v>357</v>
      </c>
      <c r="B59" s="5" t="s">
        <v>1091</v>
      </c>
      <c r="C59" s="5" t="s">
        <v>1092</v>
      </c>
      <c r="D59" s="5" t="s">
        <v>1620</v>
      </c>
      <c r="E59" s="6">
        <v>73249000</v>
      </c>
      <c r="F59" s="6">
        <v>3</v>
      </c>
      <c r="G59" s="6">
        <f t="shared" si="1"/>
        <v>1</v>
      </c>
      <c r="H59" s="6" t="s">
        <v>1622</v>
      </c>
      <c r="I59" s="5">
        <v>5.4</v>
      </c>
      <c r="J59" s="5">
        <f t="shared" si="2"/>
        <v>16.200000000000003</v>
      </c>
    </row>
    <row r="60" spans="1:10" x14ac:dyDescent="0.25">
      <c r="A60" s="9">
        <v>358</v>
      </c>
      <c r="B60" s="5" t="s">
        <v>616</v>
      </c>
      <c r="C60" s="5" t="s">
        <v>617</v>
      </c>
      <c r="D60" s="5" t="s">
        <v>1618</v>
      </c>
      <c r="E60" s="6">
        <v>73249000</v>
      </c>
      <c r="F60" s="6">
        <v>3</v>
      </c>
      <c r="G60" s="6">
        <f t="shared" si="1"/>
        <v>1</v>
      </c>
      <c r="H60" s="6" t="s">
        <v>1622</v>
      </c>
      <c r="I60" s="5">
        <v>6.98</v>
      </c>
      <c r="J60" s="5">
        <f t="shared" si="2"/>
        <v>20.94</v>
      </c>
    </row>
    <row r="61" spans="1:10" x14ac:dyDescent="0.25">
      <c r="A61" s="9">
        <v>359</v>
      </c>
      <c r="B61" s="5" t="s">
        <v>1391</v>
      </c>
      <c r="C61" s="5" t="s">
        <v>1392</v>
      </c>
      <c r="D61" s="5" t="s">
        <v>1618</v>
      </c>
      <c r="E61" s="6">
        <v>90189084</v>
      </c>
      <c r="F61" s="6">
        <v>3</v>
      </c>
      <c r="G61" s="6">
        <f t="shared" si="1"/>
        <v>1</v>
      </c>
      <c r="H61" s="6" t="s">
        <v>1622</v>
      </c>
      <c r="I61" s="5">
        <v>21.52</v>
      </c>
      <c r="J61" s="5">
        <f t="shared" si="2"/>
        <v>64.56</v>
      </c>
    </row>
    <row r="62" spans="1:10" x14ac:dyDescent="0.25">
      <c r="A62" s="9">
        <v>360</v>
      </c>
      <c r="B62" s="5" t="s">
        <v>1393</v>
      </c>
      <c r="C62" s="5" t="s">
        <v>1394</v>
      </c>
      <c r="D62" s="5" t="s">
        <v>1618</v>
      </c>
      <c r="E62" s="6">
        <v>90189084</v>
      </c>
      <c r="F62" s="6">
        <v>3</v>
      </c>
      <c r="G62" s="6">
        <f t="shared" si="1"/>
        <v>1</v>
      </c>
      <c r="H62" s="6" t="s">
        <v>1622</v>
      </c>
      <c r="I62" s="5">
        <v>90.5</v>
      </c>
      <c r="J62" s="5">
        <f t="shared" si="2"/>
        <v>271.5</v>
      </c>
    </row>
    <row r="63" spans="1:10" x14ac:dyDescent="0.25">
      <c r="A63" s="9">
        <v>361</v>
      </c>
      <c r="B63" s="5" t="s">
        <v>1395</v>
      </c>
      <c r="C63" s="5" t="s">
        <v>1396</v>
      </c>
      <c r="D63" s="5" t="s">
        <v>1618</v>
      </c>
      <c r="E63" s="6">
        <v>90189084</v>
      </c>
      <c r="F63" s="6">
        <v>3</v>
      </c>
      <c r="G63" s="6">
        <f t="shared" si="1"/>
        <v>1</v>
      </c>
      <c r="H63" s="6" t="s">
        <v>1622</v>
      </c>
      <c r="I63" s="5">
        <v>99.76</v>
      </c>
      <c r="J63" s="5">
        <f t="shared" si="2"/>
        <v>299.28000000000003</v>
      </c>
    </row>
    <row r="64" spans="1:10" x14ac:dyDescent="0.25">
      <c r="A64" s="9">
        <v>362</v>
      </c>
      <c r="B64" s="5" t="s">
        <v>558</v>
      </c>
      <c r="C64" s="5" t="s">
        <v>559</v>
      </c>
      <c r="D64" s="5" t="s">
        <v>1618</v>
      </c>
      <c r="E64" s="6">
        <v>90189084</v>
      </c>
      <c r="F64" s="6">
        <v>3</v>
      </c>
      <c r="G64" s="6">
        <f t="shared" si="1"/>
        <v>1</v>
      </c>
      <c r="H64" s="6" t="s">
        <v>1622</v>
      </c>
      <c r="I64" s="5">
        <v>193.21</v>
      </c>
      <c r="J64" s="5">
        <f t="shared" si="2"/>
        <v>579.63</v>
      </c>
    </row>
    <row r="65" spans="1:10" x14ac:dyDescent="0.25">
      <c r="A65" s="9">
        <v>363</v>
      </c>
      <c r="B65" s="5" t="s">
        <v>556</v>
      </c>
      <c r="C65" s="5" t="s">
        <v>557</v>
      </c>
      <c r="D65" s="5" t="s">
        <v>1618</v>
      </c>
      <c r="E65" s="6">
        <v>90189084</v>
      </c>
      <c r="F65" s="6">
        <v>3</v>
      </c>
      <c r="G65" s="6">
        <f t="shared" si="1"/>
        <v>1</v>
      </c>
      <c r="H65" s="6" t="s">
        <v>1622</v>
      </c>
      <c r="I65" s="5">
        <v>221.67</v>
      </c>
      <c r="J65" s="5">
        <f t="shared" si="2"/>
        <v>665.01</v>
      </c>
    </row>
    <row r="66" spans="1:10" x14ac:dyDescent="0.25">
      <c r="A66" s="9">
        <v>364</v>
      </c>
      <c r="B66" s="5" t="s">
        <v>1397</v>
      </c>
      <c r="C66" s="5" t="s">
        <v>1398</v>
      </c>
      <c r="D66" s="5" t="s">
        <v>1618</v>
      </c>
      <c r="E66" s="6">
        <v>90189084</v>
      </c>
      <c r="F66" s="6">
        <v>3</v>
      </c>
      <c r="G66" s="6">
        <f t="shared" si="1"/>
        <v>1</v>
      </c>
      <c r="H66" s="6" t="s">
        <v>1622</v>
      </c>
      <c r="I66" s="5">
        <v>313.82</v>
      </c>
      <c r="J66" s="5">
        <f t="shared" si="2"/>
        <v>941.46</v>
      </c>
    </row>
    <row r="67" spans="1:10" x14ac:dyDescent="0.25">
      <c r="A67" s="9">
        <v>365</v>
      </c>
      <c r="B67" s="5" t="s">
        <v>1399</v>
      </c>
      <c r="C67" s="5" t="s">
        <v>1400</v>
      </c>
      <c r="D67" s="5" t="s">
        <v>1618</v>
      </c>
      <c r="E67" s="6">
        <v>90189084</v>
      </c>
      <c r="F67" s="6">
        <v>3</v>
      </c>
      <c r="G67" s="6">
        <f t="shared" si="1"/>
        <v>1</v>
      </c>
      <c r="H67" s="6" t="s">
        <v>1622</v>
      </c>
      <c r="I67" s="5">
        <v>313.82</v>
      </c>
      <c r="J67" s="5">
        <f t="shared" si="2"/>
        <v>941.46</v>
      </c>
    </row>
    <row r="68" spans="1:10" x14ac:dyDescent="0.25">
      <c r="A68" s="9">
        <v>366</v>
      </c>
      <c r="B68" s="5" t="s">
        <v>1401</v>
      </c>
      <c r="C68" s="5" t="s">
        <v>1402</v>
      </c>
      <c r="D68" s="5" t="s">
        <v>1618</v>
      </c>
      <c r="E68" s="6">
        <v>90189084</v>
      </c>
      <c r="F68" s="6">
        <v>3</v>
      </c>
      <c r="G68" s="6">
        <f t="shared" ref="G68:G84" si="3">F68/$F$2</f>
        <v>1</v>
      </c>
      <c r="H68" s="6" t="s">
        <v>1622</v>
      </c>
      <c r="I68" s="5">
        <v>405.55</v>
      </c>
      <c r="J68" s="5">
        <f t="shared" si="2"/>
        <v>1216.6500000000001</v>
      </c>
    </row>
    <row r="69" spans="1:10" x14ac:dyDescent="0.25">
      <c r="A69" s="9">
        <v>367</v>
      </c>
      <c r="B69" s="5" t="s">
        <v>1403</v>
      </c>
      <c r="C69" s="5" t="s">
        <v>1404</v>
      </c>
      <c r="D69" s="5" t="s">
        <v>1618</v>
      </c>
      <c r="E69" s="6">
        <v>90189084</v>
      </c>
      <c r="F69" s="6">
        <v>3</v>
      </c>
      <c r="G69" s="6">
        <f t="shared" si="3"/>
        <v>1</v>
      </c>
      <c r="H69" s="6" t="s">
        <v>1622</v>
      </c>
      <c r="I69" s="5">
        <v>33.71</v>
      </c>
      <c r="J69" s="5">
        <f t="shared" si="2"/>
        <v>101.13</v>
      </c>
    </row>
    <row r="70" spans="1:10" x14ac:dyDescent="0.25">
      <c r="A70" s="9">
        <v>368</v>
      </c>
      <c r="B70" s="5" t="s">
        <v>1405</v>
      </c>
      <c r="C70" s="5" t="s">
        <v>1406</v>
      </c>
      <c r="D70" s="5" t="s">
        <v>1618</v>
      </c>
      <c r="E70" s="6">
        <v>90189084</v>
      </c>
      <c r="F70" s="6">
        <v>3</v>
      </c>
      <c r="G70" s="6">
        <f t="shared" si="3"/>
        <v>1</v>
      </c>
      <c r="H70" s="6" t="s">
        <v>1622</v>
      </c>
      <c r="I70" s="5">
        <v>35.18</v>
      </c>
      <c r="J70" s="5">
        <f t="shared" si="2"/>
        <v>105.53999999999999</v>
      </c>
    </row>
    <row r="71" spans="1:10" x14ac:dyDescent="0.25">
      <c r="A71" s="9">
        <v>369</v>
      </c>
      <c r="B71" s="5" t="s">
        <v>1407</v>
      </c>
      <c r="C71" s="5" t="s">
        <v>1408</v>
      </c>
      <c r="D71" s="5" t="s">
        <v>1618</v>
      </c>
      <c r="E71" s="6">
        <v>90189084</v>
      </c>
      <c r="F71" s="6">
        <v>6</v>
      </c>
      <c r="G71" s="6">
        <f t="shared" si="3"/>
        <v>2</v>
      </c>
      <c r="H71" s="6" t="s">
        <v>1622</v>
      </c>
      <c r="I71" s="5">
        <v>25.31</v>
      </c>
      <c r="J71" s="5">
        <f t="shared" si="2"/>
        <v>151.85999999999999</v>
      </c>
    </row>
    <row r="72" spans="1:10" x14ac:dyDescent="0.25">
      <c r="A72" s="9">
        <v>370</v>
      </c>
      <c r="B72" s="5" t="s">
        <v>1409</v>
      </c>
      <c r="C72" s="5" t="s">
        <v>1410</v>
      </c>
      <c r="D72" s="5" t="s">
        <v>1618</v>
      </c>
      <c r="E72" s="6">
        <v>90189084</v>
      </c>
      <c r="F72" s="6">
        <v>6</v>
      </c>
      <c r="G72" s="6">
        <f t="shared" si="3"/>
        <v>2</v>
      </c>
      <c r="H72" s="6" t="s">
        <v>1622</v>
      </c>
      <c r="I72" s="5">
        <v>70.709999999999994</v>
      </c>
      <c r="J72" s="5">
        <f t="shared" si="2"/>
        <v>424.26</v>
      </c>
    </row>
    <row r="73" spans="1:10" x14ac:dyDescent="0.25">
      <c r="A73" s="9">
        <v>371</v>
      </c>
      <c r="B73" s="5" t="s">
        <v>1411</v>
      </c>
      <c r="C73" s="5" t="s">
        <v>1412</v>
      </c>
      <c r="D73" s="5" t="s">
        <v>1618</v>
      </c>
      <c r="E73" s="6">
        <v>90189084</v>
      </c>
      <c r="F73" s="6">
        <v>3</v>
      </c>
      <c r="G73" s="6">
        <f t="shared" si="3"/>
        <v>1</v>
      </c>
      <c r="H73" s="6" t="s">
        <v>1622</v>
      </c>
      <c r="I73" s="5">
        <v>87.69</v>
      </c>
      <c r="J73" s="5">
        <f t="shared" si="2"/>
        <v>263.07</v>
      </c>
    </row>
    <row r="74" spans="1:10" x14ac:dyDescent="0.25">
      <c r="A74" s="9">
        <v>372</v>
      </c>
      <c r="B74" s="5" t="s">
        <v>1213</v>
      </c>
      <c r="C74" s="5" t="s">
        <v>1214</v>
      </c>
      <c r="D74" s="5" t="s">
        <v>1618</v>
      </c>
      <c r="E74" s="6">
        <v>90178010</v>
      </c>
      <c r="F74" s="6">
        <v>3</v>
      </c>
      <c r="G74" s="6">
        <f t="shared" si="3"/>
        <v>1</v>
      </c>
      <c r="H74" s="6" t="s">
        <v>1622</v>
      </c>
      <c r="I74" s="5">
        <v>1.59</v>
      </c>
      <c r="J74" s="5">
        <f t="shared" si="2"/>
        <v>4.7700000000000005</v>
      </c>
    </row>
    <row r="75" spans="1:10" x14ac:dyDescent="0.25">
      <c r="A75" s="9">
        <v>373</v>
      </c>
      <c r="B75" s="5" t="s">
        <v>1377</v>
      </c>
      <c r="C75" s="5" t="s">
        <v>1378</v>
      </c>
      <c r="D75" s="5" t="s">
        <v>1618</v>
      </c>
      <c r="E75" s="6">
        <v>90178010</v>
      </c>
      <c r="F75" s="6">
        <v>3</v>
      </c>
      <c r="G75" s="6">
        <f t="shared" si="3"/>
        <v>1</v>
      </c>
      <c r="H75" s="6" t="s">
        <v>1622</v>
      </c>
      <c r="I75" s="5">
        <v>2.19</v>
      </c>
      <c r="J75" s="5">
        <f t="shared" si="2"/>
        <v>6.57</v>
      </c>
    </row>
    <row r="76" spans="1:10" x14ac:dyDescent="0.25">
      <c r="A76" s="9">
        <v>374</v>
      </c>
      <c r="B76" s="5" t="s">
        <v>492</v>
      </c>
      <c r="C76" s="5" t="s">
        <v>493</v>
      </c>
      <c r="D76" s="5" t="s">
        <v>1619</v>
      </c>
      <c r="E76" s="6">
        <v>90189084</v>
      </c>
      <c r="F76" s="6">
        <v>3</v>
      </c>
      <c r="G76" s="6">
        <f t="shared" si="3"/>
        <v>1</v>
      </c>
      <c r="H76" s="6" t="s">
        <v>1622</v>
      </c>
      <c r="I76" s="5">
        <v>11.56</v>
      </c>
      <c r="J76" s="5">
        <f t="shared" si="2"/>
        <v>34.68</v>
      </c>
    </row>
    <row r="77" spans="1:10" x14ac:dyDescent="0.25">
      <c r="A77" s="9">
        <v>375</v>
      </c>
      <c r="B77" s="5" t="s">
        <v>1187</v>
      </c>
      <c r="C77" s="5" t="s">
        <v>1188</v>
      </c>
      <c r="D77" s="5" t="s">
        <v>1619</v>
      </c>
      <c r="E77" s="6">
        <v>90189084</v>
      </c>
      <c r="F77" s="6">
        <v>3</v>
      </c>
      <c r="G77" s="6">
        <f t="shared" si="3"/>
        <v>1</v>
      </c>
      <c r="H77" s="6" t="s">
        <v>1622</v>
      </c>
      <c r="I77" s="5">
        <v>5.73</v>
      </c>
      <c r="J77" s="5">
        <f t="shared" si="2"/>
        <v>17.190000000000001</v>
      </c>
    </row>
    <row r="78" spans="1:10" x14ac:dyDescent="0.25">
      <c r="A78" s="9">
        <v>376</v>
      </c>
      <c r="B78" s="5" t="s">
        <v>614</v>
      </c>
      <c r="C78" s="5" t="s">
        <v>615</v>
      </c>
      <c r="D78" s="5" t="s">
        <v>1618</v>
      </c>
      <c r="E78" s="6">
        <v>90189084</v>
      </c>
      <c r="F78" s="6">
        <v>3</v>
      </c>
      <c r="G78" s="6">
        <f t="shared" si="3"/>
        <v>1</v>
      </c>
      <c r="H78" s="6" t="s">
        <v>1622</v>
      </c>
      <c r="I78" s="5">
        <v>32.43</v>
      </c>
      <c r="J78" s="5">
        <f t="shared" si="2"/>
        <v>97.289999999999992</v>
      </c>
    </row>
    <row r="79" spans="1:10" x14ac:dyDescent="0.25">
      <c r="A79" s="9">
        <v>377</v>
      </c>
      <c r="B79" s="5" t="s">
        <v>1413</v>
      </c>
      <c r="C79" s="5" t="s">
        <v>1414</v>
      </c>
      <c r="D79" s="5" t="s">
        <v>1618</v>
      </c>
      <c r="E79" s="6">
        <v>90189084</v>
      </c>
      <c r="F79" s="6">
        <v>3</v>
      </c>
      <c r="G79" s="6">
        <f t="shared" si="3"/>
        <v>1</v>
      </c>
      <c r="H79" s="6" t="s">
        <v>1622</v>
      </c>
      <c r="I79" s="5">
        <v>24.73</v>
      </c>
      <c r="J79" s="5">
        <f t="shared" si="2"/>
        <v>74.19</v>
      </c>
    </row>
    <row r="80" spans="1:10" x14ac:dyDescent="0.25">
      <c r="A80" s="9">
        <v>378</v>
      </c>
      <c r="B80" s="5" t="s">
        <v>1610</v>
      </c>
      <c r="C80" s="5" t="s">
        <v>1615</v>
      </c>
      <c r="D80" s="5" t="s">
        <v>1618</v>
      </c>
      <c r="E80" s="6">
        <v>90189084</v>
      </c>
      <c r="F80" s="6">
        <v>3</v>
      </c>
      <c r="G80" s="6">
        <f t="shared" si="3"/>
        <v>1</v>
      </c>
      <c r="H80" s="6" t="s">
        <v>1622</v>
      </c>
      <c r="I80" s="5">
        <v>60.85</v>
      </c>
      <c r="J80" s="5">
        <f t="shared" si="2"/>
        <v>182.55</v>
      </c>
    </row>
    <row r="81" spans="1:10" x14ac:dyDescent="0.25">
      <c r="A81" s="9">
        <v>379</v>
      </c>
      <c r="B81" s="5" t="s">
        <v>536</v>
      </c>
      <c r="C81" s="5" t="s">
        <v>537</v>
      </c>
      <c r="D81" s="5" t="s">
        <v>1619</v>
      </c>
      <c r="E81" s="6">
        <v>90183900</v>
      </c>
      <c r="F81" s="6">
        <v>3</v>
      </c>
      <c r="G81" s="6">
        <f t="shared" si="3"/>
        <v>1</v>
      </c>
      <c r="H81" s="6" t="s">
        <v>1622</v>
      </c>
      <c r="I81" s="5">
        <v>12.75</v>
      </c>
      <c r="J81" s="5">
        <f t="shared" ref="J81:J84" si="4">F81*I81</f>
        <v>38.25</v>
      </c>
    </row>
    <row r="82" spans="1:10" x14ac:dyDescent="0.25">
      <c r="A82" s="9">
        <v>380</v>
      </c>
      <c r="B82" s="5" t="s">
        <v>362</v>
      </c>
      <c r="C82" s="5" t="s">
        <v>363</v>
      </c>
      <c r="D82" s="5" t="s">
        <v>1618</v>
      </c>
      <c r="E82" s="6">
        <v>76169990</v>
      </c>
      <c r="F82" s="6">
        <v>3</v>
      </c>
      <c r="G82" s="6">
        <f t="shared" si="3"/>
        <v>1</v>
      </c>
      <c r="H82" s="6" t="s">
        <v>1622</v>
      </c>
      <c r="I82" s="5">
        <v>430.17</v>
      </c>
      <c r="J82" s="5">
        <f t="shared" si="4"/>
        <v>1290.51</v>
      </c>
    </row>
    <row r="83" spans="1:10" x14ac:dyDescent="0.25">
      <c r="A83" s="9">
        <v>381</v>
      </c>
      <c r="B83" s="5" t="s">
        <v>374</v>
      </c>
      <c r="C83" s="5" t="s">
        <v>375</v>
      </c>
      <c r="D83" s="5" t="s">
        <v>1618</v>
      </c>
      <c r="E83" s="6">
        <v>73269098</v>
      </c>
      <c r="F83" s="6">
        <v>3</v>
      </c>
      <c r="G83" s="6">
        <f t="shared" si="3"/>
        <v>1</v>
      </c>
      <c r="H83" s="6" t="s">
        <v>1622</v>
      </c>
      <c r="I83" s="5">
        <v>79.099999999999994</v>
      </c>
      <c r="J83" s="5">
        <f t="shared" si="4"/>
        <v>237.29999999999998</v>
      </c>
    </row>
    <row r="84" spans="1:10" x14ac:dyDescent="0.25">
      <c r="A84" s="9">
        <v>382</v>
      </c>
      <c r="B84" s="5" t="s">
        <v>288</v>
      </c>
      <c r="C84" s="5" t="s">
        <v>289</v>
      </c>
      <c r="D84" s="5" t="s">
        <v>1618</v>
      </c>
      <c r="E84" s="6">
        <v>39269097</v>
      </c>
      <c r="F84" s="6">
        <v>3</v>
      </c>
      <c r="G84" s="6">
        <f t="shared" si="3"/>
        <v>1</v>
      </c>
      <c r="H84" s="6" t="s">
        <v>1622</v>
      </c>
      <c r="I84" s="5">
        <v>4.22</v>
      </c>
      <c r="J84" s="5">
        <f t="shared" si="4"/>
        <v>12.66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E93E-21EA-4F18-B46E-B32C7ED43598}">
  <dimension ref="A1:K33"/>
  <sheetViews>
    <sheetView workbookViewId="0">
      <selection activeCell="G3" sqref="G3:G33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66.36328125" style="3" bestFit="1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1686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1670</v>
      </c>
      <c r="D2" s="11"/>
      <c r="E2" s="12"/>
      <c r="F2" s="12">
        <v>19</v>
      </c>
      <c r="G2" s="12"/>
      <c r="H2" s="12"/>
      <c r="I2" s="2"/>
      <c r="J2" s="13"/>
    </row>
    <row r="3" spans="1:10" x14ac:dyDescent="0.25">
      <c r="A3" s="9">
        <v>383</v>
      </c>
      <c r="B3" s="5" t="s">
        <v>1626</v>
      </c>
      <c r="C3" s="5" t="s">
        <v>1627</v>
      </c>
      <c r="D3" s="5" t="s">
        <v>1618</v>
      </c>
      <c r="E3" s="6">
        <v>90189084</v>
      </c>
      <c r="F3" s="6">
        <v>19</v>
      </c>
      <c r="G3" s="6">
        <f>F3/$F$2</f>
        <v>1</v>
      </c>
      <c r="H3" s="6" t="s">
        <v>1622</v>
      </c>
      <c r="I3" s="5">
        <v>91.58</v>
      </c>
      <c r="J3" s="5">
        <f t="shared" ref="J3:J33" si="0">F3*I3</f>
        <v>1740.02</v>
      </c>
    </row>
    <row r="4" spans="1:10" ht="21" x14ac:dyDescent="0.25">
      <c r="A4" s="9">
        <v>384</v>
      </c>
      <c r="B4" s="5" t="s">
        <v>1628</v>
      </c>
      <c r="C4" s="8" t="s">
        <v>1629</v>
      </c>
      <c r="D4" s="5" t="s">
        <v>1618</v>
      </c>
      <c r="E4" s="6">
        <v>90189084</v>
      </c>
      <c r="F4" s="6">
        <v>19</v>
      </c>
      <c r="G4" s="6">
        <f t="shared" ref="G4:G33" si="1">F4/$F$2</f>
        <v>1</v>
      </c>
      <c r="H4" s="6" t="s">
        <v>1622</v>
      </c>
      <c r="I4" s="5">
        <v>91.58</v>
      </c>
      <c r="J4" s="5">
        <f t="shared" si="0"/>
        <v>1740.02</v>
      </c>
    </row>
    <row r="5" spans="1:10" ht="21" x14ac:dyDescent="0.25">
      <c r="A5" s="9">
        <v>385</v>
      </c>
      <c r="B5" s="5" t="s">
        <v>1630</v>
      </c>
      <c r="C5" s="8" t="s">
        <v>1631</v>
      </c>
      <c r="D5" s="5" t="s">
        <v>1618</v>
      </c>
      <c r="E5" s="6">
        <v>90189084</v>
      </c>
      <c r="F5" s="6">
        <v>19</v>
      </c>
      <c r="G5" s="6">
        <f t="shared" si="1"/>
        <v>1</v>
      </c>
      <c r="H5" s="6" t="s">
        <v>1622</v>
      </c>
      <c r="I5" s="5">
        <v>91.58</v>
      </c>
      <c r="J5" s="5">
        <f t="shared" si="0"/>
        <v>1740.02</v>
      </c>
    </row>
    <row r="6" spans="1:10" x14ac:dyDescent="0.25">
      <c r="A6" s="9">
        <v>386</v>
      </c>
      <c r="B6" s="5" t="s">
        <v>1632</v>
      </c>
      <c r="C6" s="5" t="s">
        <v>1633</v>
      </c>
      <c r="D6" s="5" t="s">
        <v>1618</v>
      </c>
      <c r="E6" s="6">
        <v>90189084</v>
      </c>
      <c r="F6" s="6">
        <v>19</v>
      </c>
      <c r="G6" s="6">
        <f t="shared" si="1"/>
        <v>1</v>
      </c>
      <c r="H6" s="6" t="s">
        <v>1622</v>
      </c>
      <c r="I6" s="5">
        <v>91.58</v>
      </c>
      <c r="J6" s="5">
        <f t="shared" si="0"/>
        <v>1740.02</v>
      </c>
    </row>
    <row r="7" spans="1:10" ht="21" x14ac:dyDescent="0.25">
      <c r="A7" s="9">
        <v>387</v>
      </c>
      <c r="B7" s="5" t="s">
        <v>1634</v>
      </c>
      <c r="C7" s="8" t="s">
        <v>1635</v>
      </c>
      <c r="D7" s="5" t="s">
        <v>1618</v>
      </c>
      <c r="E7" s="6">
        <v>90189084</v>
      </c>
      <c r="F7" s="6">
        <v>19</v>
      </c>
      <c r="G7" s="6">
        <f t="shared" si="1"/>
        <v>1</v>
      </c>
      <c r="H7" s="6" t="s">
        <v>1622</v>
      </c>
      <c r="I7" s="5">
        <v>96.58</v>
      </c>
      <c r="J7" s="5">
        <f t="shared" si="0"/>
        <v>1835.02</v>
      </c>
    </row>
    <row r="8" spans="1:10" x14ac:dyDescent="0.25">
      <c r="A8" s="9">
        <v>388</v>
      </c>
      <c r="B8" s="5" t="s">
        <v>1636</v>
      </c>
      <c r="C8" s="5" t="s">
        <v>1637</v>
      </c>
      <c r="D8" s="5" t="s">
        <v>1618</v>
      </c>
      <c r="E8" s="6">
        <v>90189084</v>
      </c>
      <c r="F8" s="6">
        <v>19</v>
      </c>
      <c r="G8" s="6">
        <f t="shared" si="1"/>
        <v>1</v>
      </c>
      <c r="H8" s="6" t="s">
        <v>1622</v>
      </c>
      <c r="I8" s="5">
        <v>96.58</v>
      </c>
      <c r="J8" s="5">
        <f t="shared" si="0"/>
        <v>1835.02</v>
      </c>
    </row>
    <row r="9" spans="1:10" ht="21" x14ac:dyDescent="0.25">
      <c r="A9" s="9">
        <v>389</v>
      </c>
      <c r="B9" s="5" t="s">
        <v>1638</v>
      </c>
      <c r="C9" s="8" t="s">
        <v>1639</v>
      </c>
      <c r="D9" s="5" t="s">
        <v>1618</v>
      </c>
      <c r="E9" s="6">
        <v>90189084</v>
      </c>
      <c r="F9" s="6">
        <v>19</v>
      </c>
      <c r="G9" s="6">
        <f t="shared" si="1"/>
        <v>1</v>
      </c>
      <c r="H9" s="6" t="s">
        <v>1622</v>
      </c>
      <c r="I9" s="5">
        <v>99.74</v>
      </c>
      <c r="J9" s="5">
        <f t="shared" si="0"/>
        <v>1895.06</v>
      </c>
    </row>
    <row r="10" spans="1:10" ht="21" x14ac:dyDescent="0.25">
      <c r="A10" s="9">
        <v>390</v>
      </c>
      <c r="B10" s="5" t="s">
        <v>1640</v>
      </c>
      <c r="C10" s="8" t="s">
        <v>1641</v>
      </c>
      <c r="D10" s="5" t="s">
        <v>1618</v>
      </c>
      <c r="E10" s="6">
        <v>90189084</v>
      </c>
      <c r="F10" s="6">
        <v>19</v>
      </c>
      <c r="G10" s="6">
        <f t="shared" si="1"/>
        <v>1</v>
      </c>
      <c r="H10" s="6" t="s">
        <v>1622</v>
      </c>
      <c r="I10" s="5">
        <v>99.74</v>
      </c>
      <c r="J10" s="5">
        <f t="shared" si="0"/>
        <v>1895.06</v>
      </c>
    </row>
    <row r="11" spans="1:10" ht="21" x14ac:dyDescent="0.25">
      <c r="A11" s="9">
        <v>391</v>
      </c>
      <c r="B11" s="5" t="s">
        <v>1642</v>
      </c>
      <c r="C11" s="8" t="s">
        <v>1643</v>
      </c>
      <c r="D11" s="5" t="s">
        <v>1618</v>
      </c>
      <c r="E11" s="6">
        <v>90189084</v>
      </c>
      <c r="F11" s="6">
        <v>38</v>
      </c>
      <c r="G11" s="6">
        <f t="shared" si="1"/>
        <v>2</v>
      </c>
      <c r="H11" s="6" t="s">
        <v>1623</v>
      </c>
      <c r="I11" s="5">
        <v>40.86</v>
      </c>
      <c r="J11" s="5">
        <f t="shared" si="0"/>
        <v>1552.68</v>
      </c>
    </row>
    <row r="12" spans="1:10" ht="21" x14ac:dyDescent="0.25">
      <c r="A12" s="9">
        <v>392</v>
      </c>
      <c r="B12" s="5" t="s">
        <v>1644</v>
      </c>
      <c r="C12" s="8" t="s">
        <v>1645</v>
      </c>
      <c r="D12" s="5" t="s">
        <v>1618</v>
      </c>
      <c r="E12" s="6">
        <v>90189084</v>
      </c>
      <c r="F12" s="6">
        <v>38</v>
      </c>
      <c r="G12" s="6">
        <f t="shared" si="1"/>
        <v>2</v>
      </c>
      <c r="H12" s="6" t="s">
        <v>1623</v>
      </c>
      <c r="I12" s="5">
        <v>40.86</v>
      </c>
      <c r="J12" s="5">
        <f t="shared" si="0"/>
        <v>1552.68</v>
      </c>
    </row>
    <row r="13" spans="1:10" x14ac:dyDescent="0.25">
      <c r="A13" s="9">
        <v>393</v>
      </c>
      <c r="B13" s="5" t="s">
        <v>1646</v>
      </c>
      <c r="C13" s="5" t="s">
        <v>1647</v>
      </c>
      <c r="D13" s="5" t="s">
        <v>1618</v>
      </c>
      <c r="E13" s="6">
        <v>90189084</v>
      </c>
      <c r="F13" s="6">
        <v>38</v>
      </c>
      <c r="G13" s="6">
        <f t="shared" si="1"/>
        <v>2</v>
      </c>
      <c r="H13" s="6" t="s">
        <v>1623</v>
      </c>
      <c r="I13" s="5">
        <v>39.64</v>
      </c>
      <c r="J13" s="5">
        <f t="shared" si="0"/>
        <v>1506.32</v>
      </c>
    </row>
    <row r="14" spans="1:10" ht="21" x14ac:dyDescent="0.25">
      <c r="A14" s="9">
        <v>394</v>
      </c>
      <c r="B14" s="5" t="s">
        <v>1648</v>
      </c>
      <c r="C14" s="8" t="s">
        <v>1649</v>
      </c>
      <c r="D14" s="5" t="s">
        <v>1618</v>
      </c>
      <c r="E14" s="6">
        <v>90189084</v>
      </c>
      <c r="F14" s="6">
        <v>38</v>
      </c>
      <c r="G14" s="6">
        <f t="shared" si="1"/>
        <v>2</v>
      </c>
      <c r="H14" s="6" t="s">
        <v>1623</v>
      </c>
      <c r="I14" s="5">
        <v>39.64</v>
      </c>
      <c r="J14" s="5">
        <f t="shared" si="0"/>
        <v>1506.32</v>
      </c>
    </row>
    <row r="15" spans="1:10" x14ac:dyDescent="0.25">
      <c r="A15" s="9">
        <v>395</v>
      </c>
      <c r="B15" s="5" t="s">
        <v>1650</v>
      </c>
      <c r="C15" s="5" t="s">
        <v>1651</v>
      </c>
      <c r="D15" s="5" t="s">
        <v>1618</v>
      </c>
      <c r="E15" s="6">
        <v>90189084</v>
      </c>
      <c r="F15" s="6">
        <v>38</v>
      </c>
      <c r="G15" s="6">
        <f t="shared" si="1"/>
        <v>2</v>
      </c>
      <c r="H15" s="6" t="s">
        <v>1623</v>
      </c>
      <c r="I15" s="5">
        <v>42.68</v>
      </c>
      <c r="J15" s="5">
        <f t="shared" si="0"/>
        <v>1621.84</v>
      </c>
    </row>
    <row r="16" spans="1:10" ht="21" x14ac:dyDescent="0.25">
      <c r="A16" s="9">
        <v>396</v>
      </c>
      <c r="B16" s="5" t="s">
        <v>1652</v>
      </c>
      <c r="C16" s="8" t="s">
        <v>1653</v>
      </c>
      <c r="D16" s="5" t="s">
        <v>1618</v>
      </c>
      <c r="E16" s="6">
        <v>90189084</v>
      </c>
      <c r="F16" s="6">
        <v>38</v>
      </c>
      <c r="G16" s="6">
        <f t="shared" si="1"/>
        <v>2</v>
      </c>
      <c r="H16" s="6" t="s">
        <v>1623</v>
      </c>
      <c r="I16" s="5">
        <v>42.68</v>
      </c>
      <c r="J16" s="5">
        <f t="shared" si="0"/>
        <v>1621.84</v>
      </c>
    </row>
    <row r="17" spans="1:10" ht="21" x14ac:dyDescent="0.25">
      <c r="A17" s="9">
        <v>397</v>
      </c>
      <c r="B17" s="5" t="s">
        <v>1654</v>
      </c>
      <c r="C17" s="8" t="s">
        <v>1655</v>
      </c>
      <c r="D17" s="5" t="s">
        <v>1618</v>
      </c>
      <c r="E17" s="6">
        <v>90189084</v>
      </c>
      <c r="F17" s="6">
        <v>38</v>
      </c>
      <c r="G17" s="6">
        <f t="shared" si="1"/>
        <v>2</v>
      </c>
      <c r="H17" s="6" t="s">
        <v>1623</v>
      </c>
      <c r="I17" s="5">
        <v>45.12</v>
      </c>
      <c r="J17" s="5">
        <f t="shared" si="0"/>
        <v>1714.56</v>
      </c>
    </row>
    <row r="18" spans="1:10" ht="21" x14ac:dyDescent="0.25">
      <c r="A18" s="9">
        <v>398</v>
      </c>
      <c r="B18" s="5" t="s">
        <v>1656</v>
      </c>
      <c r="C18" s="8" t="s">
        <v>1657</v>
      </c>
      <c r="D18" s="5" t="s">
        <v>1618</v>
      </c>
      <c r="E18" s="6">
        <v>90189084</v>
      </c>
      <c r="F18" s="6">
        <v>38</v>
      </c>
      <c r="G18" s="6">
        <f t="shared" si="1"/>
        <v>2</v>
      </c>
      <c r="H18" s="6" t="s">
        <v>1623</v>
      </c>
      <c r="I18" s="5">
        <v>45.12</v>
      </c>
      <c r="J18" s="5">
        <f t="shared" si="0"/>
        <v>1714.56</v>
      </c>
    </row>
    <row r="19" spans="1:10" ht="21" x14ac:dyDescent="0.25">
      <c r="A19" s="9">
        <v>399</v>
      </c>
      <c r="B19" s="5" t="s">
        <v>1658</v>
      </c>
      <c r="C19" s="8" t="s">
        <v>1659</v>
      </c>
      <c r="D19" s="5" t="s">
        <v>1618</v>
      </c>
      <c r="E19" s="6">
        <v>90189084</v>
      </c>
      <c r="F19" s="6">
        <v>19</v>
      </c>
      <c r="G19" s="6">
        <f t="shared" si="1"/>
        <v>1</v>
      </c>
      <c r="H19" s="6" t="s">
        <v>1622</v>
      </c>
      <c r="I19" s="5">
        <v>64.349999999999994</v>
      </c>
      <c r="J19" s="5">
        <f t="shared" si="0"/>
        <v>1222.6499999999999</v>
      </c>
    </row>
    <row r="20" spans="1:10" x14ac:dyDescent="0.25">
      <c r="A20" s="9">
        <v>400</v>
      </c>
      <c r="B20" s="5" t="s">
        <v>1021</v>
      </c>
      <c r="C20" s="5" t="s">
        <v>1022</v>
      </c>
      <c r="D20" s="5" t="s">
        <v>1618</v>
      </c>
      <c r="E20" s="6">
        <v>90189084</v>
      </c>
      <c r="F20" s="6">
        <v>19</v>
      </c>
      <c r="G20" s="6">
        <f t="shared" si="1"/>
        <v>1</v>
      </c>
      <c r="H20" s="6" t="s">
        <v>1622</v>
      </c>
      <c r="I20" s="5">
        <v>106.1</v>
      </c>
      <c r="J20" s="5">
        <f t="shared" si="0"/>
        <v>2015.8999999999999</v>
      </c>
    </row>
    <row r="21" spans="1:10" x14ac:dyDescent="0.25">
      <c r="A21" s="9">
        <v>401</v>
      </c>
      <c r="B21" s="5" t="s">
        <v>1023</v>
      </c>
      <c r="C21" s="5" t="s">
        <v>1024</v>
      </c>
      <c r="D21" s="5" t="s">
        <v>1618</v>
      </c>
      <c r="E21" s="6">
        <v>90189084</v>
      </c>
      <c r="F21" s="6">
        <v>19</v>
      </c>
      <c r="G21" s="6">
        <f t="shared" si="1"/>
        <v>1</v>
      </c>
      <c r="H21" s="6" t="s">
        <v>1622</v>
      </c>
      <c r="I21" s="5">
        <v>110.47</v>
      </c>
      <c r="J21" s="5">
        <f t="shared" si="0"/>
        <v>2098.9299999999998</v>
      </c>
    </row>
    <row r="22" spans="1:10" x14ac:dyDescent="0.25">
      <c r="A22" s="9">
        <v>402</v>
      </c>
      <c r="B22" s="5" t="s">
        <v>1025</v>
      </c>
      <c r="C22" s="5" t="s">
        <v>1026</v>
      </c>
      <c r="D22" s="5" t="s">
        <v>1618</v>
      </c>
      <c r="E22" s="6">
        <v>90189084</v>
      </c>
      <c r="F22" s="6">
        <v>19</v>
      </c>
      <c r="G22" s="6">
        <f t="shared" si="1"/>
        <v>1</v>
      </c>
      <c r="H22" s="6" t="s">
        <v>1622</v>
      </c>
      <c r="I22" s="5">
        <v>132.63</v>
      </c>
      <c r="J22" s="5">
        <f t="shared" si="0"/>
        <v>2519.9699999999998</v>
      </c>
    </row>
    <row r="23" spans="1:10" x14ac:dyDescent="0.25">
      <c r="A23" s="9">
        <v>403</v>
      </c>
      <c r="B23" s="5" t="s">
        <v>1027</v>
      </c>
      <c r="C23" s="5" t="s">
        <v>1028</v>
      </c>
      <c r="D23" s="5" t="s">
        <v>1618</v>
      </c>
      <c r="E23" s="6">
        <v>90189084</v>
      </c>
      <c r="F23" s="6">
        <v>19</v>
      </c>
      <c r="G23" s="6">
        <f t="shared" si="1"/>
        <v>1</v>
      </c>
      <c r="H23" s="6" t="s">
        <v>1622</v>
      </c>
      <c r="I23" s="5">
        <v>86.65</v>
      </c>
      <c r="J23" s="5">
        <f t="shared" si="0"/>
        <v>1646.3500000000001</v>
      </c>
    </row>
    <row r="24" spans="1:10" x14ac:dyDescent="0.25">
      <c r="A24" s="9">
        <v>404</v>
      </c>
      <c r="B24" s="5" t="s">
        <v>1029</v>
      </c>
      <c r="C24" s="5" t="s">
        <v>1030</v>
      </c>
      <c r="D24" s="5" t="s">
        <v>1618</v>
      </c>
      <c r="E24" s="6">
        <v>90189084</v>
      </c>
      <c r="F24" s="6">
        <v>19</v>
      </c>
      <c r="G24" s="6">
        <f t="shared" si="1"/>
        <v>1</v>
      </c>
      <c r="H24" s="6" t="s">
        <v>1622</v>
      </c>
      <c r="I24" s="5">
        <v>71.13</v>
      </c>
      <c r="J24" s="5">
        <f t="shared" si="0"/>
        <v>1351.4699999999998</v>
      </c>
    </row>
    <row r="25" spans="1:10" x14ac:dyDescent="0.25">
      <c r="A25" s="9">
        <v>405</v>
      </c>
      <c r="B25" s="5" t="s">
        <v>1031</v>
      </c>
      <c r="C25" s="5" t="s">
        <v>1032</v>
      </c>
      <c r="D25" s="5" t="s">
        <v>1618</v>
      </c>
      <c r="E25" s="6">
        <v>90189084</v>
      </c>
      <c r="F25" s="6">
        <v>19</v>
      </c>
      <c r="G25" s="6">
        <f t="shared" si="1"/>
        <v>1</v>
      </c>
      <c r="H25" s="6" t="s">
        <v>1622</v>
      </c>
      <c r="I25" s="5">
        <v>137.79</v>
      </c>
      <c r="J25" s="5">
        <f t="shared" si="0"/>
        <v>2618.0099999999998</v>
      </c>
    </row>
    <row r="26" spans="1:10" x14ac:dyDescent="0.25">
      <c r="A26" s="9">
        <v>406</v>
      </c>
      <c r="B26" s="5" t="s">
        <v>1033</v>
      </c>
      <c r="C26" s="5" t="s">
        <v>1034</v>
      </c>
      <c r="D26" s="5" t="s">
        <v>1618</v>
      </c>
      <c r="E26" s="6">
        <v>90189084</v>
      </c>
      <c r="F26" s="6">
        <v>19</v>
      </c>
      <c r="G26" s="6">
        <f t="shared" si="1"/>
        <v>1</v>
      </c>
      <c r="H26" s="6" t="s">
        <v>1622</v>
      </c>
      <c r="I26" s="5">
        <v>119.99</v>
      </c>
      <c r="J26" s="5">
        <f t="shared" si="0"/>
        <v>2279.81</v>
      </c>
    </row>
    <row r="27" spans="1:10" x14ac:dyDescent="0.25">
      <c r="A27" s="9">
        <v>407</v>
      </c>
      <c r="B27" s="5" t="s">
        <v>1035</v>
      </c>
      <c r="C27" s="5" t="s">
        <v>1036</v>
      </c>
      <c r="D27" s="5" t="s">
        <v>1618</v>
      </c>
      <c r="E27" s="6">
        <v>90189084</v>
      </c>
      <c r="F27" s="6">
        <v>19</v>
      </c>
      <c r="G27" s="6">
        <f t="shared" si="1"/>
        <v>1</v>
      </c>
      <c r="H27" s="6" t="s">
        <v>1622</v>
      </c>
      <c r="I27" s="5">
        <v>130.27000000000001</v>
      </c>
      <c r="J27" s="5">
        <f t="shared" si="0"/>
        <v>2475.13</v>
      </c>
    </row>
    <row r="28" spans="1:10" x14ac:dyDescent="0.25">
      <c r="A28" s="9">
        <v>408</v>
      </c>
      <c r="B28" s="5" t="s">
        <v>1037</v>
      </c>
      <c r="C28" s="5" t="s">
        <v>1038</v>
      </c>
      <c r="D28" s="5" t="s">
        <v>1618</v>
      </c>
      <c r="E28" s="6">
        <v>90189084</v>
      </c>
      <c r="F28" s="6">
        <v>19</v>
      </c>
      <c r="G28" s="6">
        <f t="shared" si="1"/>
        <v>1</v>
      </c>
      <c r="H28" s="6" t="s">
        <v>1622</v>
      </c>
      <c r="I28" s="5">
        <v>173.39</v>
      </c>
      <c r="J28" s="5">
        <f t="shared" si="0"/>
        <v>3294.41</v>
      </c>
    </row>
    <row r="29" spans="1:10" x14ac:dyDescent="0.25">
      <c r="A29" s="9">
        <v>409</v>
      </c>
      <c r="B29" s="5" t="s">
        <v>1039</v>
      </c>
      <c r="C29" s="5" t="s">
        <v>1040</v>
      </c>
      <c r="D29" s="5" t="s">
        <v>1618</v>
      </c>
      <c r="E29" s="6">
        <v>90189084</v>
      </c>
      <c r="F29" s="6">
        <v>19</v>
      </c>
      <c r="G29" s="6">
        <f t="shared" si="1"/>
        <v>1</v>
      </c>
      <c r="H29" s="6" t="s">
        <v>1622</v>
      </c>
      <c r="I29" s="5">
        <v>168.94</v>
      </c>
      <c r="J29" s="5">
        <f t="shared" si="0"/>
        <v>3209.86</v>
      </c>
    </row>
    <row r="30" spans="1:10" x14ac:dyDescent="0.25">
      <c r="A30" s="9">
        <v>410</v>
      </c>
      <c r="B30" s="5" t="s">
        <v>598</v>
      </c>
      <c r="C30" s="5" t="s">
        <v>599</v>
      </c>
      <c r="D30" s="5" t="s">
        <v>1618</v>
      </c>
      <c r="E30" s="6">
        <v>73269098</v>
      </c>
      <c r="F30" s="6">
        <v>19</v>
      </c>
      <c r="G30" s="6">
        <f t="shared" si="1"/>
        <v>1</v>
      </c>
      <c r="H30" s="6" t="s">
        <v>1622</v>
      </c>
      <c r="I30" s="5">
        <v>105.19</v>
      </c>
      <c r="J30" s="5">
        <f t="shared" si="0"/>
        <v>1998.61</v>
      </c>
    </row>
    <row r="31" spans="1:10" x14ac:dyDescent="0.25">
      <c r="A31" s="9">
        <v>411</v>
      </c>
      <c r="B31" s="5" t="s">
        <v>602</v>
      </c>
      <c r="C31" s="5" t="s">
        <v>603</v>
      </c>
      <c r="D31" s="5" t="s">
        <v>1618</v>
      </c>
      <c r="E31" s="6">
        <v>39269097</v>
      </c>
      <c r="F31" s="6">
        <v>19</v>
      </c>
      <c r="G31" s="6">
        <f t="shared" si="1"/>
        <v>1</v>
      </c>
      <c r="H31" s="6" t="s">
        <v>1622</v>
      </c>
      <c r="I31" s="5">
        <v>17.12</v>
      </c>
      <c r="J31" s="5">
        <f t="shared" si="0"/>
        <v>325.28000000000003</v>
      </c>
    </row>
    <row r="32" spans="1:10" x14ac:dyDescent="0.25">
      <c r="A32" s="9">
        <v>412</v>
      </c>
      <c r="B32" s="5" t="s">
        <v>1041</v>
      </c>
      <c r="C32" s="5" t="s">
        <v>1042</v>
      </c>
      <c r="D32" s="5" t="s">
        <v>1618</v>
      </c>
      <c r="E32" s="6">
        <v>73269098</v>
      </c>
      <c r="F32" s="6">
        <v>19</v>
      </c>
      <c r="G32" s="6">
        <f t="shared" si="1"/>
        <v>1</v>
      </c>
      <c r="H32" s="6" t="s">
        <v>1622</v>
      </c>
      <c r="I32" s="5">
        <v>19.77</v>
      </c>
      <c r="J32" s="5">
        <f t="shared" si="0"/>
        <v>375.63</v>
      </c>
    </row>
    <row r="33" spans="1:10" x14ac:dyDescent="0.25">
      <c r="A33" s="9">
        <v>413</v>
      </c>
      <c r="B33" s="5" t="s">
        <v>1043</v>
      </c>
      <c r="C33" s="5" t="s">
        <v>1044</v>
      </c>
      <c r="D33" s="5" t="s">
        <v>1618</v>
      </c>
      <c r="E33" s="6">
        <v>76169990</v>
      </c>
      <c r="F33" s="6">
        <v>19</v>
      </c>
      <c r="G33" s="6">
        <f t="shared" si="1"/>
        <v>1</v>
      </c>
      <c r="H33" s="6" t="s">
        <v>1622</v>
      </c>
      <c r="I33" s="5">
        <v>193.66</v>
      </c>
      <c r="J33" s="5">
        <f t="shared" si="0"/>
        <v>3679.54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5C73-2323-47EB-A64C-2F2FA85069F7}">
  <dimension ref="A1:K69"/>
  <sheetViews>
    <sheetView workbookViewId="0">
      <selection activeCell="G3" sqref="G3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1686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1671</v>
      </c>
      <c r="D2" s="11"/>
      <c r="E2" s="12"/>
      <c r="F2" s="12">
        <v>9</v>
      </c>
      <c r="G2" s="12"/>
      <c r="H2" s="12"/>
      <c r="I2" s="2"/>
      <c r="J2" s="13"/>
    </row>
    <row r="3" spans="1:10" x14ac:dyDescent="0.25">
      <c r="A3" s="9">
        <v>414</v>
      </c>
      <c r="B3" s="5" t="s">
        <v>22</v>
      </c>
      <c r="C3" s="5" t="s">
        <v>23</v>
      </c>
      <c r="D3" s="5" t="s">
        <v>1618</v>
      </c>
      <c r="E3" s="6">
        <v>90189084</v>
      </c>
      <c r="F3" s="6">
        <v>9</v>
      </c>
      <c r="G3" s="6">
        <f>F3/$F$2</f>
        <v>1</v>
      </c>
      <c r="H3" s="6" t="s">
        <v>1622</v>
      </c>
      <c r="I3" s="5">
        <v>4.49</v>
      </c>
      <c r="J3" s="5">
        <f t="shared" ref="J3:J29" si="0">F3*I3</f>
        <v>40.410000000000004</v>
      </c>
    </row>
    <row r="4" spans="1:10" x14ac:dyDescent="0.25">
      <c r="A4" s="9">
        <v>415</v>
      </c>
      <c r="B4" s="5" t="s">
        <v>1159</v>
      </c>
      <c r="C4" s="5" t="s">
        <v>1160</v>
      </c>
      <c r="D4" s="5" t="s">
        <v>1618</v>
      </c>
      <c r="E4" s="6">
        <v>90189084</v>
      </c>
      <c r="F4" s="6">
        <v>9</v>
      </c>
      <c r="G4" s="6">
        <f t="shared" ref="G4:G67" si="1">F4/$F$2</f>
        <v>1</v>
      </c>
      <c r="H4" s="6" t="s">
        <v>1622</v>
      </c>
      <c r="I4" s="5">
        <v>44.9</v>
      </c>
      <c r="J4" s="5">
        <f t="shared" si="0"/>
        <v>404.09999999999997</v>
      </c>
    </row>
    <row r="5" spans="1:10" x14ac:dyDescent="0.25">
      <c r="A5" s="9">
        <v>416</v>
      </c>
      <c r="B5" s="5" t="s">
        <v>1438</v>
      </c>
      <c r="C5" s="5" t="s">
        <v>1439</v>
      </c>
      <c r="D5" s="5" t="s">
        <v>1618</v>
      </c>
      <c r="E5" s="6">
        <v>90184990</v>
      </c>
      <c r="F5" s="6">
        <v>9</v>
      </c>
      <c r="G5" s="6">
        <f t="shared" si="1"/>
        <v>1</v>
      </c>
      <c r="H5" s="6" t="s">
        <v>1622</v>
      </c>
      <c r="I5" s="5">
        <v>34.44</v>
      </c>
      <c r="J5" s="5">
        <f t="shared" si="0"/>
        <v>309.95999999999998</v>
      </c>
    </row>
    <row r="6" spans="1:10" x14ac:dyDescent="0.25">
      <c r="A6" s="9">
        <v>417</v>
      </c>
      <c r="B6" s="5" t="s">
        <v>1440</v>
      </c>
      <c r="C6" s="5" t="s">
        <v>1441</v>
      </c>
      <c r="D6" s="5" t="s">
        <v>1618</v>
      </c>
      <c r="E6" s="6">
        <v>90184990</v>
      </c>
      <c r="F6" s="6">
        <v>9</v>
      </c>
      <c r="G6" s="6">
        <f t="shared" si="1"/>
        <v>1</v>
      </c>
      <c r="H6" s="6" t="s">
        <v>1622</v>
      </c>
      <c r="I6" s="5">
        <v>34.44</v>
      </c>
      <c r="J6" s="5">
        <f t="shared" si="0"/>
        <v>309.95999999999998</v>
      </c>
    </row>
    <row r="7" spans="1:10" x14ac:dyDescent="0.25">
      <c r="A7" s="9">
        <v>418</v>
      </c>
      <c r="B7" s="5" t="s">
        <v>1131</v>
      </c>
      <c r="C7" s="5" t="s">
        <v>1132</v>
      </c>
      <c r="D7" s="5" t="s">
        <v>1618</v>
      </c>
      <c r="E7" s="6">
        <v>90189084</v>
      </c>
      <c r="F7" s="6">
        <v>9</v>
      </c>
      <c r="G7" s="6">
        <f t="shared" si="1"/>
        <v>1</v>
      </c>
      <c r="H7" s="6" t="s">
        <v>1622</v>
      </c>
      <c r="I7" s="5">
        <v>21.54</v>
      </c>
      <c r="J7" s="5">
        <f t="shared" si="0"/>
        <v>193.85999999999999</v>
      </c>
    </row>
    <row r="8" spans="1:10" x14ac:dyDescent="0.25">
      <c r="A8" s="9">
        <v>419</v>
      </c>
      <c r="B8" s="5" t="s">
        <v>1442</v>
      </c>
      <c r="C8" s="5" t="s">
        <v>1443</v>
      </c>
      <c r="D8" s="5" t="s">
        <v>1618</v>
      </c>
      <c r="E8" s="6">
        <v>90189084</v>
      </c>
      <c r="F8" s="6">
        <v>9</v>
      </c>
      <c r="G8" s="6">
        <f t="shared" si="1"/>
        <v>1</v>
      </c>
      <c r="H8" s="6" t="s">
        <v>1622</v>
      </c>
      <c r="I8" s="5">
        <v>21.34</v>
      </c>
      <c r="J8" s="5">
        <f t="shared" si="0"/>
        <v>192.06</v>
      </c>
    </row>
    <row r="9" spans="1:10" x14ac:dyDescent="0.25">
      <c r="A9" s="9">
        <v>420</v>
      </c>
      <c r="B9" s="5" t="s">
        <v>1444</v>
      </c>
      <c r="C9" s="5" t="s">
        <v>1445</v>
      </c>
      <c r="D9" s="5" t="s">
        <v>1618</v>
      </c>
      <c r="E9" s="6">
        <v>90184990</v>
      </c>
      <c r="F9" s="6">
        <v>9</v>
      </c>
      <c r="G9" s="6">
        <f t="shared" si="1"/>
        <v>1</v>
      </c>
      <c r="H9" s="6" t="s">
        <v>1622</v>
      </c>
      <c r="I9" s="5">
        <v>28.48</v>
      </c>
      <c r="J9" s="5">
        <f t="shared" si="0"/>
        <v>256.32</v>
      </c>
    </row>
    <row r="10" spans="1:10" x14ac:dyDescent="0.25">
      <c r="A10" s="9">
        <v>421</v>
      </c>
      <c r="B10" s="5" t="s">
        <v>1446</v>
      </c>
      <c r="C10" s="5" t="s">
        <v>1447</v>
      </c>
      <c r="D10" s="5" t="s">
        <v>1618</v>
      </c>
      <c r="E10" s="6">
        <v>90184990</v>
      </c>
      <c r="F10" s="6">
        <v>9</v>
      </c>
      <c r="G10" s="6">
        <f t="shared" si="1"/>
        <v>1</v>
      </c>
      <c r="H10" s="6" t="s">
        <v>1622</v>
      </c>
      <c r="I10" s="5">
        <v>29.27</v>
      </c>
      <c r="J10" s="5">
        <f t="shared" si="0"/>
        <v>263.43</v>
      </c>
    </row>
    <row r="11" spans="1:10" x14ac:dyDescent="0.25">
      <c r="A11" s="9">
        <v>422</v>
      </c>
      <c r="B11" s="5" t="s">
        <v>1448</v>
      </c>
      <c r="C11" s="5" t="s">
        <v>1449</v>
      </c>
      <c r="D11" s="5" t="s">
        <v>1618</v>
      </c>
      <c r="E11" s="6">
        <v>90184990</v>
      </c>
      <c r="F11" s="6">
        <v>9</v>
      </c>
      <c r="G11" s="6">
        <f t="shared" si="1"/>
        <v>1</v>
      </c>
      <c r="H11" s="6" t="s">
        <v>1622</v>
      </c>
      <c r="I11" s="5">
        <v>34.07</v>
      </c>
      <c r="J11" s="5">
        <f t="shared" si="0"/>
        <v>306.63</v>
      </c>
    </row>
    <row r="12" spans="1:10" x14ac:dyDescent="0.25">
      <c r="A12" s="9">
        <v>423</v>
      </c>
      <c r="B12" s="5" t="s">
        <v>991</v>
      </c>
      <c r="C12" s="5" t="s">
        <v>992</v>
      </c>
      <c r="D12" s="5" t="s">
        <v>1618</v>
      </c>
      <c r="E12" s="6">
        <v>90184990</v>
      </c>
      <c r="F12" s="6">
        <v>9</v>
      </c>
      <c r="G12" s="6">
        <f t="shared" si="1"/>
        <v>1</v>
      </c>
      <c r="H12" s="6" t="s">
        <v>1622</v>
      </c>
      <c r="I12" s="5">
        <v>18.36</v>
      </c>
      <c r="J12" s="5">
        <f t="shared" si="0"/>
        <v>165.24</v>
      </c>
    </row>
    <row r="13" spans="1:10" x14ac:dyDescent="0.25">
      <c r="A13" s="9">
        <v>424</v>
      </c>
      <c r="B13" s="5" t="s">
        <v>913</v>
      </c>
      <c r="C13" s="5" t="s">
        <v>914</v>
      </c>
      <c r="D13" s="5" t="s">
        <v>1618</v>
      </c>
      <c r="E13" s="6">
        <v>90189084</v>
      </c>
      <c r="F13" s="6">
        <v>9</v>
      </c>
      <c r="G13" s="6">
        <f t="shared" si="1"/>
        <v>1</v>
      </c>
      <c r="H13" s="6" t="s">
        <v>1622</v>
      </c>
      <c r="I13" s="5">
        <v>37.020000000000003</v>
      </c>
      <c r="J13" s="5">
        <f t="shared" si="0"/>
        <v>333.18</v>
      </c>
    </row>
    <row r="14" spans="1:10" x14ac:dyDescent="0.25">
      <c r="A14" s="9">
        <v>425</v>
      </c>
      <c r="B14" s="5" t="s">
        <v>915</v>
      </c>
      <c r="C14" s="5" t="s">
        <v>916</v>
      </c>
      <c r="D14" s="5" t="s">
        <v>1618</v>
      </c>
      <c r="E14" s="6">
        <v>90189084</v>
      </c>
      <c r="F14" s="6">
        <v>9</v>
      </c>
      <c r="G14" s="6">
        <f t="shared" si="1"/>
        <v>1</v>
      </c>
      <c r="H14" s="6" t="s">
        <v>1622</v>
      </c>
      <c r="I14" s="5">
        <v>37.020000000000003</v>
      </c>
      <c r="J14" s="5">
        <f t="shared" si="0"/>
        <v>333.18</v>
      </c>
    </row>
    <row r="15" spans="1:10" x14ac:dyDescent="0.25">
      <c r="A15" s="9">
        <v>426</v>
      </c>
      <c r="B15" s="5" t="s">
        <v>1450</v>
      </c>
      <c r="C15" s="5" t="s">
        <v>1451</v>
      </c>
      <c r="D15" s="5" t="s">
        <v>1621</v>
      </c>
      <c r="E15" s="6">
        <v>90189084</v>
      </c>
      <c r="F15" s="6">
        <v>9</v>
      </c>
      <c r="G15" s="6">
        <f t="shared" si="1"/>
        <v>1</v>
      </c>
      <c r="H15" s="6" t="s">
        <v>1622</v>
      </c>
      <c r="I15" s="5">
        <v>37.020000000000003</v>
      </c>
      <c r="J15" s="5">
        <f t="shared" si="0"/>
        <v>333.18</v>
      </c>
    </row>
    <row r="16" spans="1:10" x14ac:dyDescent="0.25">
      <c r="A16" s="9">
        <v>427</v>
      </c>
      <c r="B16" s="5" t="s">
        <v>1452</v>
      </c>
      <c r="C16" s="5" t="s">
        <v>1453</v>
      </c>
      <c r="D16" s="5" t="s">
        <v>1619</v>
      </c>
      <c r="E16" s="6">
        <v>90189084</v>
      </c>
      <c r="F16" s="6">
        <v>9</v>
      </c>
      <c r="G16" s="6">
        <f t="shared" si="1"/>
        <v>1</v>
      </c>
      <c r="H16" s="6" t="s">
        <v>1622</v>
      </c>
      <c r="I16" s="5">
        <v>35.42</v>
      </c>
      <c r="J16" s="5">
        <f t="shared" si="0"/>
        <v>318.78000000000003</v>
      </c>
    </row>
    <row r="17" spans="1:10" x14ac:dyDescent="0.25">
      <c r="A17" s="9">
        <v>428</v>
      </c>
      <c r="B17" s="5" t="s">
        <v>1454</v>
      </c>
      <c r="C17" s="5" t="s">
        <v>1455</v>
      </c>
      <c r="D17" s="5" t="s">
        <v>1618</v>
      </c>
      <c r="E17" s="6">
        <v>90189084</v>
      </c>
      <c r="F17" s="6">
        <v>9</v>
      </c>
      <c r="G17" s="6">
        <f t="shared" si="1"/>
        <v>1</v>
      </c>
      <c r="H17" s="6" t="s">
        <v>1622</v>
      </c>
      <c r="I17" s="5">
        <v>35.229999999999997</v>
      </c>
      <c r="J17" s="5">
        <f t="shared" si="0"/>
        <v>317.07</v>
      </c>
    </row>
    <row r="18" spans="1:10" x14ac:dyDescent="0.25">
      <c r="A18" s="9">
        <v>429</v>
      </c>
      <c r="B18" s="5" t="s">
        <v>1456</v>
      </c>
      <c r="C18" s="5" t="s">
        <v>1457</v>
      </c>
      <c r="D18" s="5" t="s">
        <v>1618</v>
      </c>
      <c r="E18" s="6">
        <v>90189084</v>
      </c>
      <c r="F18" s="6">
        <v>9</v>
      </c>
      <c r="G18" s="6">
        <f t="shared" si="1"/>
        <v>1</v>
      </c>
      <c r="H18" s="6" t="s">
        <v>1622</v>
      </c>
      <c r="I18" s="5">
        <v>45.05</v>
      </c>
      <c r="J18" s="5">
        <f t="shared" si="0"/>
        <v>405.45</v>
      </c>
    </row>
    <row r="19" spans="1:10" x14ac:dyDescent="0.25">
      <c r="A19" s="9">
        <v>430</v>
      </c>
      <c r="B19" s="5" t="s">
        <v>807</v>
      </c>
      <c r="C19" s="5" t="s">
        <v>808</v>
      </c>
      <c r="D19" s="5" t="s">
        <v>1619</v>
      </c>
      <c r="E19" s="6">
        <v>90183900</v>
      </c>
      <c r="F19" s="6">
        <v>9</v>
      </c>
      <c r="G19" s="6">
        <f t="shared" si="1"/>
        <v>1</v>
      </c>
      <c r="H19" s="6" t="s">
        <v>1622</v>
      </c>
      <c r="I19" s="5">
        <v>15.02</v>
      </c>
      <c r="J19" s="5">
        <f t="shared" si="0"/>
        <v>135.18</v>
      </c>
    </row>
    <row r="20" spans="1:10" x14ac:dyDescent="0.25">
      <c r="A20" s="9">
        <v>431</v>
      </c>
      <c r="B20" s="5" t="s">
        <v>1458</v>
      </c>
      <c r="C20" s="5" t="s">
        <v>1599</v>
      </c>
      <c r="D20" s="5" t="s">
        <v>1618</v>
      </c>
      <c r="E20" s="6">
        <v>90189084</v>
      </c>
      <c r="F20" s="6">
        <v>9</v>
      </c>
      <c r="G20" s="6">
        <f t="shared" si="1"/>
        <v>1</v>
      </c>
      <c r="H20" s="6" t="s">
        <v>1622</v>
      </c>
      <c r="I20" s="5">
        <v>18.97</v>
      </c>
      <c r="J20" s="5">
        <f t="shared" si="0"/>
        <v>170.73</v>
      </c>
    </row>
    <row r="21" spans="1:10" x14ac:dyDescent="0.25">
      <c r="A21" s="9">
        <v>432</v>
      </c>
      <c r="B21" s="5" t="s">
        <v>1329</v>
      </c>
      <c r="C21" s="5" t="s">
        <v>1330</v>
      </c>
      <c r="D21" s="5" t="s">
        <v>1618</v>
      </c>
      <c r="E21" s="6">
        <v>90189084</v>
      </c>
      <c r="F21" s="6">
        <v>9</v>
      </c>
      <c r="G21" s="6">
        <f t="shared" si="1"/>
        <v>1</v>
      </c>
      <c r="H21" s="6" t="s">
        <v>1622</v>
      </c>
      <c r="I21" s="5">
        <v>20.57</v>
      </c>
      <c r="J21" s="5">
        <f t="shared" si="0"/>
        <v>185.13</v>
      </c>
    </row>
    <row r="22" spans="1:10" x14ac:dyDescent="0.25">
      <c r="A22" s="9">
        <v>433</v>
      </c>
      <c r="B22" s="5" t="s">
        <v>394</v>
      </c>
      <c r="C22" s="5" t="s">
        <v>395</v>
      </c>
      <c r="D22" s="5" t="s">
        <v>1618</v>
      </c>
      <c r="E22" s="6">
        <v>73269098</v>
      </c>
      <c r="F22" s="6">
        <v>9</v>
      </c>
      <c r="G22" s="6">
        <f t="shared" si="1"/>
        <v>1</v>
      </c>
      <c r="H22" s="6" t="s">
        <v>1622</v>
      </c>
      <c r="I22" s="5">
        <v>78.150000000000006</v>
      </c>
      <c r="J22" s="5">
        <f t="shared" si="0"/>
        <v>703.35</v>
      </c>
    </row>
    <row r="23" spans="1:10" x14ac:dyDescent="0.25">
      <c r="A23" s="9">
        <v>434</v>
      </c>
      <c r="B23" s="5" t="s">
        <v>1459</v>
      </c>
      <c r="C23" s="5" t="s">
        <v>1460</v>
      </c>
      <c r="D23" s="5" t="s">
        <v>1618</v>
      </c>
      <c r="E23" s="6">
        <v>90184990</v>
      </c>
      <c r="F23" s="6">
        <v>9</v>
      </c>
      <c r="G23" s="6">
        <f t="shared" si="1"/>
        <v>1</v>
      </c>
      <c r="H23" s="6" t="s">
        <v>1622</v>
      </c>
      <c r="I23" s="5">
        <v>3.75</v>
      </c>
      <c r="J23" s="5">
        <f t="shared" si="0"/>
        <v>33.75</v>
      </c>
    </row>
    <row r="24" spans="1:10" x14ac:dyDescent="0.25">
      <c r="A24" s="9">
        <v>435</v>
      </c>
      <c r="B24" s="5" t="s">
        <v>1461</v>
      </c>
      <c r="C24" s="5" t="s">
        <v>1462</v>
      </c>
      <c r="D24" s="5" t="s">
        <v>1618</v>
      </c>
      <c r="E24" s="6">
        <v>90184990</v>
      </c>
      <c r="F24" s="6">
        <v>9</v>
      </c>
      <c r="G24" s="6">
        <f t="shared" si="1"/>
        <v>1</v>
      </c>
      <c r="H24" s="6" t="s">
        <v>1622</v>
      </c>
      <c r="I24" s="5">
        <v>1.85</v>
      </c>
      <c r="J24" s="5">
        <f t="shared" si="0"/>
        <v>16.650000000000002</v>
      </c>
    </row>
    <row r="25" spans="1:10" x14ac:dyDescent="0.25">
      <c r="A25" s="9">
        <v>436</v>
      </c>
      <c r="B25" s="5" t="s">
        <v>1463</v>
      </c>
      <c r="C25" s="5" t="s">
        <v>1464</v>
      </c>
      <c r="D25" s="5" t="s">
        <v>1618</v>
      </c>
      <c r="E25" s="6">
        <v>90184990</v>
      </c>
      <c r="F25" s="6">
        <v>9</v>
      </c>
      <c r="G25" s="6">
        <f t="shared" si="1"/>
        <v>1</v>
      </c>
      <c r="H25" s="6" t="s">
        <v>1622</v>
      </c>
      <c r="I25" s="5">
        <v>5.36</v>
      </c>
      <c r="J25" s="5">
        <f t="shared" si="0"/>
        <v>48.24</v>
      </c>
    </row>
    <row r="26" spans="1:10" x14ac:dyDescent="0.25">
      <c r="A26" s="9">
        <v>437</v>
      </c>
      <c r="B26" s="5" t="s">
        <v>955</v>
      </c>
      <c r="C26" s="5" t="s">
        <v>956</v>
      </c>
      <c r="D26" s="5" t="s">
        <v>1618</v>
      </c>
      <c r="E26" s="6">
        <v>90189084</v>
      </c>
      <c r="F26" s="6">
        <v>9</v>
      </c>
      <c r="G26" s="6">
        <f t="shared" si="1"/>
        <v>1</v>
      </c>
      <c r="H26" s="6" t="s">
        <v>1622</v>
      </c>
      <c r="I26" s="5">
        <v>238.35</v>
      </c>
      <c r="J26" s="5">
        <f t="shared" si="0"/>
        <v>2145.15</v>
      </c>
    </row>
    <row r="27" spans="1:10" x14ac:dyDescent="0.25">
      <c r="A27" s="9">
        <v>438</v>
      </c>
      <c r="B27" s="5" t="s">
        <v>957</v>
      </c>
      <c r="C27" s="5" t="s">
        <v>958</v>
      </c>
      <c r="D27" s="5" t="s">
        <v>1618</v>
      </c>
      <c r="E27" s="6">
        <v>90189084</v>
      </c>
      <c r="F27" s="6">
        <v>9</v>
      </c>
      <c r="G27" s="6">
        <f t="shared" si="1"/>
        <v>1</v>
      </c>
      <c r="H27" s="6" t="s">
        <v>1622</v>
      </c>
      <c r="I27" s="5">
        <v>238.35</v>
      </c>
      <c r="J27" s="5">
        <f t="shared" si="0"/>
        <v>2145.15</v>
      </c>
    </row>
    <row r="28" spans="1:10" x14ac:dyDescent="0.25">
      <c r="A28" s="9">
        <v>439</v>
      </c>
      <c r="B28" s="5" t="s">
        <v>1465</v>
      </c>
      <c r="C28" s="5" t="s">
        <v>1466</v>
      </c>
      <c r="D28" s="5" t="s">
        <v>1618</v>
      </c>
      <c r="E28" s="6">
        <v>90189084</v>
      </c>
      <c r="F28" s="6">
        <v>9</v>
      </c>
      <c r="G28" s="6">
        <f t="shared" si="1"/>
        <v>1</v>
      </c>
      <c r="H28" s="6" t="s">
        <v>1622</v>
      </c>
      <c r="I28" s="5">
        <v>107.4</v>
      </c>
      <c r="J28" s="5">
        <f t="shared" si="0"/>
        <v>966.6</v>
      </c>
    </row>
    <row r="29" spans="1:10" x14ac:dyDescent="0.25">
      <c r="A29" s="9">
        <v>440</v>
      </c>
      <c r="B29" s="5" t="s">
        <v>983</v>
      </c>
      <c r="C29" s="5" t="s">
        <v>984</v>
      </c>
      <c r="D29" s="5" t="s">
        <v>1618</v>
      </c>
      <c r="E29" s="6">
        <v>90189084</v>
      </c>
      <c r="F29" s="6">
        <v>9</v>
      </c>
      <c r="G29" s="6">
        <f t="shared" si="1"/>
        <v>1</v>
      </c>
      <c r="H29" s="6" t="s">
        <v>1622</v>
      </c>
      <c r="I29" s="5">
        <v>234.42</v>
      </c>
      <c r="J29" s="5">
        <f t="shared" si="0"/>
        <v>2109.7799999999997</v>
      </c>
    </row>
    <row r="30" spans="1:10" x14ac:dyDescent="0.25">
      <c r="A30" s="9">
        <v>441</v>
      </c>
      <c r="B30" s="5" t="s">
        <v>1103</v>
      </c>
      <c r="C30" s="5" t="s">
        <v>1104</v>
      </c>
      <c r="D30" s="5" t="s">
        <v>1618</v>
      </c>
      <c r="E30" s="6">
        <v>90189084</v>
      </c>
      <c r="F30" s="6">
        <v>9</v>
      </c>
      <c r="G30" s="6">
        <f t="shared" si="1"/>
        <v>1</v>
      </c>
      <c r="H30" s="6" t="s">
        <v>1622</v>
      </c>
      <c r="I30" s="5">
        <v>27.87</v>
      </c>
      <c r="J30" s="5">
        <f t="shared" ref="J30:J69" si="2">F30*I30</f>
        <v>250.83</v>
      </c>
    </row>
    <row r="31" spans="1:10" x14ac:dyDescent="0.25">
      <c r="A31" s="9">
        <v>442</v>
      </c>
      <c r="B31" s="5" t="s">
        <v>1467</v>
      </c>
      <c r="C31" s="5" t="s">
        <v>1468</v>
      </c>
      <c r="D31" s="5" t="s">
        <v>1618</v>
      </c>
      <c r="E31" s="6">
        <v>90189084</v>
      </c>
      <c r="F31" s="6">
        <v>9</v>
      </c>
      <c r="G31" s="6">
        <f t="shared" si="1"/>
        <v>1</v>
      </c>
      <c r="H31" s="6" t="s">
        <v>1622</v>
      </c>
      <c r="I31" s="5">
        <v>117.85</v>
      </c>
      <c r="J31" s="5">
        <f t="shared" si="2"/>
        <v>1060.6499999999999</v>
      </c>
    </row>
    <row r="32" spans="1:10" x14ac:dyDescent="0.25">
      <c r="A32" s="9">
        <v>443</v>
      </c>
      <c r="B32" s="5" t="s">
        <v>1469</v>
      </c>
      <c r="C32" s="5" t="s">
        <v>1470</v>
      </c>
      <c r="D32" s="5" t="s">
        <v>1618</v>
      </c>
      <c r="E32" s="6">
        <v>90189084</v>
      </c>
      <c r="F32" s="6">
        <v>9</v>
      </c>
      <c r="G32" s="6">
        <f t="shared" si="1"/>
        <v>1</v>
      </c>
      <c r="H32" s="6" t="s">
        <v>1622</v>
      </c>
      <c r="I32" s="5">
        <v>82.31</v>
      </c>
      <c r="J32" s="5">
        <f t="shared" si="2"/>
        <v>740.79</v>
      </c>
    </row>
    <row r="33" spans="1:10" x14ac:dyDescent="0.25">
      <c r="A33" s="9">
        <v>444</v>
      </c>
      <c r="B33" s="5" t="s">
        <v>925</v>
      </c>
      <c r="C33" s="5" t="s">
        <v>926</v>
      </c>
      <c r="D33" s="5" t="s">
        <v>1618</v>
      </c>
      <c r="E33" s="6">
        <v>90189084</v>
      </c>
      <c r="F33" s="6">
        <v>9</v>
      </c>
      <c r="G33" s="6">
        <f t="shared" si="1"/>
        <v>1</v>
      </c>
      <c r="H33" s="6" t="s">
        <v>1622</v>
      </c>
      <c r="I33" s="5">
        <v>56.4</v>
      </c>
      <c r="J33" s="5">
        <f t="shared" si="2"/>
        <v>507.59999999999997</v>
      </c>
    </row>
    <row r="34" spans="1:10" x14ac:dyDescent="0.25">
      <c r="A34" s="9">
        <v>445</v>
      </c>
      <c r="B34" s="5" t="s">
        <v>1109</v>
      </c>
      <c r="C34" s="5" t="s">
        <v>1110</v>
      </c>
      <c r="D34" s="5" t="s">
        <v>1618</v>
      </c>
      <c r="E34" s="6">
        <v>90189084</v>
      </c>
      <c r="F34" s="6">
        <v>9</v>
      </c>
      <c r="G34" s="6">
        <f t="shared" si="1"/>
        <v>1</v>
      </c>
      <c r="H34" s="6" t="s">
        <v>1622</v>
      </c>
      <c r="I34" s="5">
        <v>16.16</v>
      </c>
      <c r="J34" s="5">
        <f t="shared" si="2"/>
        <v>145.44</v>
      </c>
    </row>
    <row r="35" spans="1:10" x14ac:dyDescent="0.25">
      <c r="A35" s="9">
        <v>446</v>
      </c>
      <c r="B35" s="5" t="s">
        <v>1442</v>
      </c>
      <c r="C35" s="5" t="s">
        <v>1443</v>
      </c>
      <c r="D35" s="5" t="s">
        <v>1618</v>
      </c>
      <c r="E35" s="6">
        <v>90189084</v>
      </c>
      <c r="F35" s="6">
        <v>9</v>
      </c>
      <c r="G35" s="6">
        <f t="shared" si="1"/>
        <v>1</v>
      </c>
      <c r="H35" s="6" t="s">
        <v>1622</v>
      </c>
      <c r="I35" s="5">
        <v>21.34</v>
      </c>
      <c r="J35" s="5">
        <f t="shared" si="2"/>
        <v>192.06</v>
      </c>
    </row>
    <row r="36" spans="1:10" x14ac:dyDescent="0.25">
      <c r="A36" s="9">
        <v>447</v>
      </c>
      <c r="B36" s="5" t="s">
        <v>1471</v>
      </c>
      <c r="C36" s="5" t="s">
        <v>1472</v>
      </c>
      <c r="D36" s="5" t="s">
        <v>1618</v>
      </c>
      <c r="E36" s="6">
        <v>90189084</v>
      </c>
      <c r="F36" s="6">
        <v>9</v>
      </c>
      <c r="G36" s="6">
        <f t="shared" si="1"/>
        <v>1</v>
      </c>
      <c r="H36" s="6" t="s">
        <v>1622</v>
      </c>
      <c r="I36" s="5">
        <v>32.26</v>
      </c>
      <c r="J36" s="5">
        <f t="shared" si="2"/>
        <v>290.33999999999997</v>
      </c>
    </row>
    <row r="37" spans="1:10" x14ac:dyDescent="0.25">
      <c r="A37" s="9">
        <v>448</v>
      </c>
      <c r="B37" s="5" t="s">
        <v>1337</v>
      </c>
      <c r="C37" s="5" t="s">
        <v>1338</v>
      </c>
      <c r="D37" s="5" t="s">
        <v>1618</v>
      </c>
      <c r="E37" s="6">
        <v>90189084</v>
      </c>
      <c r="F37" s="6">
        <v>9</v>
      </c>
      <c r="G37" s="6">
        <f t="shared" si="1"/>
        <v>1</v>
      </c>
      <c r="H37" s="6" t="s">
        <v>1622</v>
      </c>
      <c r="I37" s="5">
        <v>25.88</v>
      </c>
      <c r="J37" s="5">
        <f t="shared" si="2"/>
        <v>232.92</v>
      </c>
    </row>
    <row r="38" spans="1:10" x14ac:dyDescent="0.25">
      <c r="A38" s="9">
        <v>449</v>
      </c>
      <c r="B38" s="5" t="s">
        <v>1473</v>
      </c>
      <c r="C38" s="5" t="s">
        <v>1474</v>
      </c>
      <c r="D38" s="5" t="s">
        <v>1618</v>
      </c>
      <c r="E38" s="6">
        <v>90189084</v>
      </c>
      <c r="F38" s="6">
        <v>9</v>
      </c>
      <c r="G38" s="6">
        <f t="shared" si="1"/>
        <v>1</v>
      </c>
      <c r="H38" s="6" t="s">
        <v>1622</v>
      </c>
      <c r="I38" s="5">
        <v>35.89</v>
      </c>
      <c r="J38" s="5">
        <f t="shared" si="2"/>
        <v>323.01</v>
      </c>
    </row>
    <row r="39" spans="1:10" x14ac:dyDescent="0.25">
      <c r="A39" s="9">
        <v>450</v>
      </c>
      <c r="B39" s="5" t="s">
        <v>1475</v>
      </c>
      <c r="C39" s="5" t="s">
        <v>1476</v>
      </c>
      <c r="D39" s="5" t="s">
        <v>1618</v>
      </c>
      <c r="E39" s="6">
        <v>90189084</v>
      </c>
      <c r="F39" s="6">
        <v>18</v>
      </c>
      <c r="G39" s="6">
        <f t="shared" si="1"/>
        <v>2</v>
      </c>
      <c r="H39" s="6" t="s">
        <v>1622</v>
      </c>
      <c r="I39" s="5">
        <v>56.21</v>
      </c>
      <c r="J39" s="5">
        <f t="shared" si="2"/>
        <v>1011.78</v>
      </c>
    </row>
    <row r="40" spans="1:10" x14ac:dyDescent="0.25">
      <c r="A40" s="9">
        <v>451</v>
      </c>
      <c r="B40" s="5" t="s">
        <v>819</v>
      </c>
      <c r="C40" s="5" t="s">
        <v>820</v>
      </c>
      <c r="D40" s="5" t="s">
        <v>1618</v>
      </c>
      <c r="E40" s="6">
        <v>90189084</v>
      </c>
      <c r="F40" s="6">
        <v>9</v>
      </c>
      <c r="G40" s="6">
        <f t="shared" si="1"/>
        <v>1</v>
      </c>
      <c r="H40" s="6" t="s">
        <v>1622</v>
      </c>
      <c r="I40" s="5">
        <v>120.86</v>
      </c>
      <c r="J40" s="5">
        <f t="shared" si="2"/>
        <v>1087.74</v>
      </c>
    </row>
    <row r="41" spans="1:10" x14ac:dyDescent="0.25">
      <c r="A41" s="9">
        <v>452</v>
      </c>
      <c r="B41" s="5" t="s">
        <v>1477</v>
      </c>
      <c r="C41" s="5" t="s">
        <v>1478</v>
      </c>
      <c r="D41" s="5" t="s">
        <v>1618</v>
      </c>
      <c r="E41" s="6">
        <v>90189084</v>
      </c>
      <c r="F41" s="6">
        <v>9</v>
      </c>
      <c r="G41" s="6">
        <f t="shared" si="1"/>
        <v>1</v>
      </c>
      <c r="H41" s="6" t="s">
        <v>1622</v>
      </c>
      <c r="I41" s="5">
        <v>120.86</v>
      </c>
      <c r="J41" s="5">
        <f t="shared" si="2"/>
        <v>1087.74</v>
      </c>
    </row>
    <row r="42" spans="1:10" x14ac:dyDescent="0.25">
      <c r="A42" s="9">
        <v>453</v>
      </c>
      <c r="B42" s="5" t="s">
        <v>80</v>
      </c>
      <c r="C42" s="5" t="s">
        <v>1607</v>
      </c>
      <c r="D42" s="5" t="s">
        <v>1618</v>
      </c>
      <c r="E42" s="6">
        <v>90189084</v>
      </c>
      <c r="F42" s="6">
        <v>9</v>
      </c>
      <c r="G42" s="6">
        <f t="shared" si="1"/>
        <v>1</v>
      </c>
      <c r="H42" s="6" t="s">
        <v>1622</v>
      </c>
      <c r="I42" s="5">
        <v>48.52</v>
      </c>
      <c r="J42" s="5">
        <f t="shared" si="2"/>
        <v>436.68</v>
      </c>
    </row>
    <row r="43" spans="1:10" x14ac:dyDescent="0.25">
      <c r="A43" s="9">
        <v>454</v>
      </c>
      <c r="B43" s="5" t="s">
        <v>1479</v>
      </c>
      <c r="C43" s="5" t="s">
        <v>1480</v>
      </c>
      <c r="D43" s="5" t="s">
        <v>1618</v>
      </c>
      <c r="E43" s="6">
        <v>90189084</v>
      </c>
      <c r="F43" s="6">
        <v>9</v>
      </c>
      <c r="G43" s="6">
        <f t="shared" si="1"/>
        <v>1</v>
      </c>
      <c r="H43" s="6" t="s">
        <v>1622</v>
      </c>
      <c r="I43" s="5">
        <v>32.04</v>
      </c>
      <c r="J43" s="5">
        <f t="shared" si="2"/>
        <v>288.36</v>
      </c>
    </row>
    <row r="44" spans="1:10" x14ac:dyDescent="0.25">
      <c r="A44" s="9">
        <v>455</v>
      </c>
      <c r="B44" s="5" t="s">
        <v>1481</v>
      </c>
      <c r="C44" s="5" t="s">
        <v>1482</v>
      </c>
      <c r="D44" s="5" t="s">
        <v>1618</v>
      </c>
      <c r="E44" s="6">
        <v>90189084</v>
      </c>
      <c r="F44" s="6">
        <v>9</v>
      </c>
      <c r="G44" s="6">
        <f t="shared" si="1"/>
        <v>1</v>
      </c>
      <c r="H44" s="6" t="s">
        <v>1622</v>
      </c>
      <c r="I44" s="5">
        <v>76.16</v>
      </c>
      <c r="J44" s="5">
        <f t="shared" si="2"/>
        <v>685.43999999999994</v>
      </c>
    </row>
    <row r="45" spans="1:10" x14ac:dyDescent="0.25">
      <c r="A45" s="9">
        <v>456</v>
      </c>
      <c r="B45" s="5" t="s">
        <v>1483</v>
      </c>
      <c r="C45" s="5" t="s">
        <v>1484</v>
      </c>
      <c r="D45" s="5" t="s">
        <v>1618</v>
      </c>
      <c r="E45" s="6">
        <v>90189084</v>
      </c>
      <c r="F45" s="6">
        <v>9</v>
      </c>
      <c r="G45" s="6">
        <f t="shared" si="1"/>
        <v>1</v>
      </c>
      <c r="H45" s="6" t="s">
        <v>1622</v>
      </c>
      <c r="I45" s="5">
        <v>72.25</v>
      </c>
      <c r="J45" s="5">
        <f t="shared" si="2"/>
        <v>650.25</v>
      </c>
    </row>
    <row r="46" spans="1:10" x14ac:dyDescent="0.25">
      <c r="A46" s="9">
        <v>457</v>
      </c>
      <c r="B46" s="5" t="s">
        <v>1485</v>
      </c>
      <c r="C46" s="5" t="s">
        <v>1486</v>
      </c>
      <c r="D46" s="5" t="s">
        <v>1618</v>
      </c>
      <c r="E46" s="6">
        <v>90184990</v>
      </c>
      <c r="F46" s="6">
        <v>9</v>
      </c>
      <c r="G46" s="6">
        <f t="shared" si="1"/>
        <v>1</v>
      </c>
      <c r="H46" s="6" t="s">
        <v>1622</v>
      </c>
      <c r="I46" s="5">
        <v>29.27</v>
      </c>
      <c r="J46" s="5">
        <f t="shared" si="2"/>
        <v>263.43</v>
      </c>
    </row>
    <row r="47" spans="1:10" x14ac:dyDescent="0.25">
      <c r="A47" s="9">
        <v>458</v>
      </c>
      <c r="B47" s="5" t="s">
        <v>1487</v>
      </c>
      <c r="C47" s="5" t="s">
        <v>1488</v>
      </c>
      <c r="D47" s="5" t="s">
        <v>1618</v>
      </c>
      <c r="E47" s="6">
        <v>90184990</v>
      </c>
      <c r="F47" s="6">
        <v>9</v>
      </c>
      <c r="G47" s="6">
        <f t="shared" si="1"/>
        <v>1</v>
      </c>
      <c r="H47" s="6" t="s">
        <v>1622</v>
      </c>
      <c r="I47" s="5">
        <v>29.27</v>
      </c>
      <c r="J47" s="5">
        <f t="shared" si="2"/>
        <v>263.43</v>
      </c>
    </row>
    <row r="48" spans="1:10" x14ac:dyDescent="0.25">
      <c r="A48" s="9">
        <v>459</v>
      </c>
      <c r="B48" s="5" t="s">
        <v>394</v>
      </c>
      <c r="C48" s="5" t="s">
        <v>395</v>
      </c>
      <c r="D48" s="5" t="s">
        <v>1618</v>
      </c>
      <c r="E48" s="6">
        <v>73269098</v>
      </c>
      <c r="F48" s="6">
        <v>9</v>
      </c>
      <c r="G48" s="6">
        <f t="shared" si="1"/>
        <v>1</v>
      </c>
      <c r="H48" s="6" t="s">
        <v>1622</v>
      </c>
      <c r="I48" s="5">
        <v>78.150000000000006</v>
      </c>
      <c r="J48" s="5">
        <f t="shared" si="2"/>
        <v>703.35</v>
      </c>
    </row>
    <row r="49" spans="1:10" x14ac:dyDescent="0.25">
      <c r="A49" s="9">
        <v>460</v>
      </c>
      <c r="B49" s="5" t="s">
        <v>1101</v>
      </c>
      <c r="C49" s="5" t="s">
        <v>1102</v>
      </c>
      <c r="D49" s="5" t="s">
        <v>1618</v>
      </c>
      <c r="E49" s="6">
        <v>90189084</v>
      </c>
      <c r="F49" s="6">
        <v>18</v>
      </c>
      <c r="G49" s="6">
        <f t="shared" si="1"/>
        <v>2</v>
      </c>
      <c r="H49" s="6" t="s">
        <v>1622</v>
      </c>
      <c r="I49" s="5">
        <v>17.54</v>
      </c>
      <c r="J49" s="5">
        <f t="shared" si="2"/>
        <v>315.71999999999997</v>
      </c>
    </row>
    <row r="50" spans="1:10" x14ac:dyDescent="0.25">
      <c r="A50" s="9">
        <v>461</v>
      </c>
      <c r="B50" s="5" t="s">
        <v>1333</v>
      </c>
      <c r="C50" s="5" t="s">
        <v>1334</v>
      </c>
      <c r="D50" s="5" t="s">
        <v>1618</v>
      </c>
      <c r="E50" s="6">
        <v>90189084</v>
      </c>
      <c r="F50" s="6">
        <v>18</v>
      </c>
      <c r="G50" s="6">
        <f t="shared" si="1"/>
        <v>2</v>
      </c>
      <c r="H50" s="6" t="s">
        <v>1622</v>
      </c>
      <c r="I50" s="5">
        <v>55.66</v>
      </c>
      <c r="J50" s="5">
        <f t="shared" si="2"/>
        <v>1001.8799999999999</v>
      </c>
    </row>
    <row r="51" spans="1:10" x14ac:dyDescent="0.25">
      <c r="A51" s="9">
        <v>462</v>
      </c>
      <c r="B51" s="5" t="s">
        <v>1489</v>
      </c>
      <c r="C51" s="5" t="s">
        <v>1490</v>
      </c>
      <c r="D51" s="5" t="s">
        <v>1619</v>
      </c>
      <c r="E51" s="6">
        <v>90189084</v>
      </c>
      <c r="F51" s="6">
        <v>9</v>
      </c>
      <c r="G51" s="6">
        <f t="shared" si="1"/>
        <v>1</v>
      </c>
      <c r="H51" s="6" t="s">
        <v>1622</v>
      </c>
      <c r="I51" s="5">
        <v>53.2</v>
      </c>
      <c r="J51" s="5">
        <f t="shared" si="2"/>
        <v>478.8</v>
      </c>
    </row>
    <row r="52" spans="1:10" x14ac:dyDescent="0.25">
      <c r="A52" s="9">
        <v>463</v>
      </c>
      <c r="B52" s="5" t="s">
        <v>1491</v>
      </c>
      <c r="C52" s="5" t="s">
        <v>1492</v>
      </c>
      <c r="D52" s="5" t="s">
        <v>1619</v>
      </c>
      <c r="E52" s="6">
        <v>90189084</v>
      </c>
      <c r="F52" s="6">
        <v>9</v>
      </c>
      <c r="G52" s="6">
        <f t="shared" si="1"/>
        <v>1</v>
      </c>
      <c r="H52" s="6" t="s">
        <v>1622</v>
      </c>
      <c r="I52" s="5">
        <v>54.84</v>
      </c>
      <c r="J52" s="5">
        <f t="shared" si="2"/>
        <v>493.56000000000006</v>
      </c>
    </row>
    <row r="53" spans="1:10" x14ac:dyDescent="0.25">
      <c r="A53" s="9">
        <v>464</v>
      </c>
      <c r="B53" s="5" t="s">
        <v>1493</v>
      </c>
      <c r="C53" s="5" t="s">
        <v>1494</v>
      </c>
      <c r="D53" s="5" t="s">
        <v>1618</v>
      </c>
      <c r="E53" s="6">
        <v>90189084</v>
      </c>
      <c r="F53" s="6">
        <v>9</v>
      </c>
      <c r="G53" s="6">
        <f t="shared" si="1"/>
        <v>1</v>
      </c>
      <c r="H53" s="6" t="s">
        <v>1622</v>
      </c>
      <c r="I53" s="5">
        <v>106.45</v>
      </c>
      <c r="J53" s="5">
        <f t="shared" si="2"/>
        <v>958.05000000000007</v>
      </c>
    </row>
    <row r="54" spans="1:10" x14ac:dyDescent="0.25">
      <c r="A54" s="9">
        <v>465</v>
      </c>
      <c r="B54" s="5" t="s">
        <v>1495</v>
      </c>
      <c r="C54" s="5" t="s">
        <v>1496</v>
      </c>
      <c r="D54" s="5" t="s">
        <v>1619</v>
      </c>
      <c r="E54" s="6">
        <v>90189084</v>
      </c>
      <c r="F54" s="6">
        <v>9</v>
      </c>
      <c r="G54" s="6">
        <f t="shared" si="1"/>
        <v>1</v>
      </c>
      <c r="H54" s="6" t="s">
        <v>1622</v>
      </c>
      <c r="I54" s="5">
        <v>73.98</v>
      </c>
      <c r="J54" s="5">
        <f t="shared" si="2"/>
        <v>665.82</v>
      </c>
    </row>
    <row r="55" spans="1:10" x14ac:dyDescent="0.25">
      <c r="A55" s="9">
        <v>466</v>
      </c>
      <c r="B55" s="5" t="s">
        <v>1497</v>
      </c>
      <c r="C55" s="5" t="s">
        <v>1498</v>
      </c>
      <c r="D55" s="5" t="s">
        <v>1618</v>
      </c>
      <c r="E55" s="6">
        <v>90189084</v>
      </c>
      <c r="F55" s="6">
        <v>9</v>
      </c>
      <c r="G55" s="6">
        <f t="shared" si="1"/>
        <v>1</v>
      </c>
      <c r="H55" s="6" t="s">
        <v>1622</v>
      </c>
      <c r="I55" s="5">
        <v>40.700000000000003</v>
      </c>
      <c r="J55" s="5">
        <f t="shared" si="2"/>
        <v>366.3</v>
      </c>
    </row>
    <row r="56" spans="1:10" x14ac:dyDescent="0.25">
      <c r="A56" s="9">
        <v>467</v>
      </c>
      <c r="B56" s="5" t="s">
        <v>1610</v>
      </c>
      <c r="C56" s="5" t="s">
        <v>1615</v>
      </c>
      <c r="D56" s="5" t="s">
        <v>1618</v>
      </c>
      <c r="E56" s="6">
        <v>90189084</v>
      </c>
      <c r="F56" s="6">
        <v>9</v>
      </c>
      <c r="G56" s="6">
        <f t="shared" si="1"/>
        <v>1</v>
      </c>
      <c r="H56" s="6" t="s">
        <v>1622</v>
      </c>
      <c r="I56" s="5">
        <v>54.31</v>
      </c>
      <c r="J56" s="5">
        <f t="shared" si="2"/>
        <v>488.79</v>
      </c>
    </row>
    <row r="57" spans="1:10" x14ac:dyDescent="0.25">
      <c r="A57" s="9">
        <v>468</v>
      </c>
      <c r="B57" s="5" t="s">
        <v>1415</v>
      </c>
      <c r="C57" s="5" t="s">
        <v>1416</v>
      </c>
      <c r="D57" s="5" t="s">
        <v>1618</v>
      </c>
      <c r="E57" s="6">
        <v>90189084</v>
      </c>
      <c r="F57" s="6">
        <v>9</v>
      </c>
      <c r="G57" s="6">
        <f t="shared" si="1"/>
        <v>1</v>
      </c>
      <c r="H57" s="6" t="s">
        <v>1622</v>
      </c>
      <c r="I57" s="5">
        <v>47.13</v>
      </c>
      <c r="J57" s="5">
        <f t="shared" si="2"/>
        <v>424.17</v>
      </c>
    </row>
    <row r="58" spans="1:10" x14ac:dyDescent="0.25">
      <c r="A58" s="9">
        <v>469</v>
      </c>
      <c r="B58" s="5" t="s">
        <v>1499</v>
      </c>
      <c r="C58" s="5" t="s">
        <v>1500</v>
      </c>
      <c r="D58" s="5" t="s">
        <v>1618</v>
      </c>
      <c r="E58" s="6">
        <v>90189084</v>
      </c>
      <c r="F58" s="6">
        <v>9</v>
      </c>
      <c r="G58" s="6">
        <f t="shared" si="1"/>
        <v>1</v>
      </c>
      <c r="H58" s="6" t="s">
        <v>1622</v>
      </c>
      <c r="I58" s="5">
        <v>49.29</v>
      </c>
      <c r="J58" s="5">
        <f t="shared" si="2"/>
        <v>443.61</v>
      </c>
    </row>
    <row r="59" spans="1:10" x14ac:dyDescent="0.25">
      <c r="A59" s="9">
        <v>470</v>
      </c>
      <c r="B59" s="5" t="s">
        <v>1323</v>
      </c>
      <c r="C59" s="5" t="s">
        <v>1324</v>
      </c>
      <c r="D59" s="5" t="s">
        <v>1619</v>
      </c>
      <c r="E59" s="6">
        <v>90189084</v>
      </c>
      <c r="F59" s="6">
        <v>9</v>
      </c>
      <c r="G59" s="6">
        <f t="shared" si="1"/>
        <v>1</v>
      </c>
      <c r="H59" s="6" t="s">
        <v>1622</v>
      </c>
      <c r="I59" s="5">
        <v>8.49</v>
      </c>
      <c r="J59" s="5">
        <f t="shared" si="2"/>
        <v>76.41</v>
      </c>
    </row>
    <row r="60" spans="1:10" x14ac:dyDescent="0.25">
      <c r="A60" s="9">
        <v>471</v>
      </c>
      <c r="B60" s="5" t="s">
        <v>1187</v>
      </c>
      <c r="C60" s="5" t="s">
        <v>1188</v>
      </c>
      <c r="D60" s="5" t="s">
        <v>1619</v>
      </c>
      <c r="E60" s="6">
        <v>90189084</v>
      </c>
      <c r="F60" s="6">
        <v>9</v>
      </c>
      <c r="G60" s="6">
        <f t="shared" si="1"/>
        <v>1</v>
      </c>
      <c r="H60" s="6" t="s">
        <v>1622</v>
      </c>
      <c r="I60" s="5">
        <v>6.76</v>
      </c>
      <c r="J60" s="5">
        <f t="shared" si="2"/>
        <v>60.839999999999996</v>
      </c>
    </row>
    <row r="61" spans="1:10" x14ac:dyDescent="0.25">
      <c r="A61" s="9">
        <v>472</v>
      </c>
      <c r="B61" s="5" t="s">
        <v>1501</v>
      </c>
      <c r="C61" s="5" t="s">
        <v>1502</v>
      </c>
      <c r="D61" s="5" t="s">
        <v>1618</v>
      </c>
      <c r="E61" s="6">
        <v>90189084</v>
      </c>
      <c r="F61" s="6">
        <v>18</v>
      </c>
      <c r="G61" s="6">
        <f t="shared" si="1"/>
        <v>2</v>
      </c>
      <c r="H61" s="6" t="s">
        <v>1622</v>
      </c>
      <c r="I61" s="5">
        <v>17.77</v>
      </c>
      <c r="J61" s="5">
        <f t="shared" si="2"/>
        <v>319.86</v>
      </c>
    </row>
    <row r="62" spans="1:10" x14ac:dyDescent="0.25">
      <c r="A62" s="9">
        <v>473</v>
      </c>
      <c r="B62" s="5" t="s">
        <v>1503</v>
      </c>
      <c r="C62" s="5" t="s">
        <v>1504</v>
      </c>
      <c r="D62" s="5" t="s">
        <v>1619</v>
      </c>
      <c r="E62" s="6">
        <v>90189084</v>
      </c>
      <c r="F62" s="6">
        <v>9</v>
      </c>
      <c r="G62" s="6">
        <f t="shared" si="1"/>
        <v>1</v>
      </c>
      <c r="H62" s="6" t="s">
        <v>1622</v>
      </c>
      <c r="I62" s="5">
        <v>21.54</v>
      </c>
      <c r="J62" s="5">
        <f t="shared" si="2"/>
        <v>193.85999999999999</v>
      </c>
    </row>
    <row r="63" spans="1:10" x14ac:dyDescent="0.25">
      <c r="A63" s="9">
        <v>474</v>
      </c>
      <c r="B63" s="5" t="s">
        <v>170</v>
      </c>
      <c r="C63" s="5" t="s">
        <v>171</v>
      </c>
      <c r="D63" s="5" t="s">
        <v>1619</v>
      </c>
      <c r="E63" s="6">
        <v>90189084</v>
      </c>
      <c r="F63" s="6">
        <v>9</v>
      </c>
      <c r="G63" s="6">
        <f t="shared" si="1"/>
        <v>1</v>
      </c>
      <c r="H63" s="6" t="s">
        <v>1622</v>
      </c>
      <c r="I63" s="5">
        <v>15.6</v>
      </c>
      <c r="J63" s="5">
        <f t="shared" si="2"/>
        <v>140.4</v>
      </c>
    </row>
    <row r="64" spans="1:10" x14ac:dyDescent="0.25">
      <c r="A64" s="9">
        <v>475</v>
      </c>
      <c r="B64" s="5" t="s">
        <v>1505</v>
      </c>
      <c r="C64" s="5" t="s">
        <v>1506</v>
      </c>
      <c r="D64" s="5" t="s">
        <v>1619</v>
      </c>
      <c r="E64" s="6">
        <v>90189084</v>
      </c>
      <c r="F64" s="6">
        <v>9</v>
      </c>
      <c r="G64" s="6">
        <f t="shared" si="1"/>
        <v>1</v>
      </c>
      <c r="H64" s="6" t="s">
        <v>1622</v>
      </c>
      <c r="I64" s="5">
        <v>15.7</v>
      </c>
      <c r="J64" s="5">
        <f t="shared" si="2"/>
        <v>141.29999999999998</v>
      </c>
    </row>
    <row r="65" spans="1:10" x14ac:dyDescent="0.25">
      <c r="A65" s="9">
        <v>476</v>
      </c>
      <c r="B65" s="5" t="s">
        <v>1507</v>
      </c>
      <c r="C65" s="5" t="s">
        <v>1508</v>
      </c>
      <c r="D65" s="5" t="s">
        <v>1618</v>
      </c>
      <c r="E65" s="6">
        <v>90189084</v>
      </c>
      <c r="F65" s="6">
        <v>9</v>
      </c>
      <c r="G65" s="6">
        <f t="shared" si="1"/>
        <v>1</v>
      </c>
      <c r="H65" s="6" t="s">
        <v>1622</v>
      </c>
      <c r="I65" s="5">
        <v>39.31</v>
      </c>
      <c r="J65" s="5">
        <f t="shared" si="2"/>
        <v>353.79</v>
      </c>
    </row>
    <row r="66" spans="1:10" x14ac:dyDescent="0.25">
      <c r="A66" s="9">
        <v>477</v>
      </c>
      <c r="B66" s="5" t="s">
        <v>1454</v>
      </c>
      <c r="C66" s="5" t="s">
        <v>1455</v>
      </c>
      <c r="D66" s="5" t="s">
        <v>1618</v>
      </c>
      <c r="E66" s="6">
        <v>90189084</v>
      </c>
      <c r="F66" s="6">
        <v>9</v>
      </c>
      <c r="G66" s="6">
        <f t="shared" si="1"/>
        <v>1</v>
      </c>
      <c r="H66" s="6" t="s">
        <v>1622</v>
      </c>
      <c r="I66" s="5">
        <v>35.229999999999997</v>
      </c>
      <c r="J66" s="5">
        <f t="shared" si="2"/>
        <v>317.07</v>
      </c>
    </row>
    <row r="67" spans="1:10" x14ac:dyDescent="0.25">
      <c r="A67" s="9">
        <v>478</v>
      </c>
      <c r="B67" s="5" t="s">
        <v>1359</v>
      </c>
      <c r="C67" s="5" t="s">
        <v>1360</v>
      </c>
      <c r="D67" s="5" t="s">
        <v>1618</v>
      </c>
      <c r="E67" s="6">
        <v>90189084</v>
      </c>
      <c r="F67" s="6">
        <v>9</v>
      </c>
      <c r="G67" s="6">
        <f t="shared" si="1"/>
        <v>1</v>
      </c>
      <c r="H67" s="6" t="s">
        <v>1622</v>
      </c>
      <c r="I67" s="5">
        <v>47.93</v>
      </c>
      <c r="J67" s="5">
        <f t="shared" si="2"/>
        <v>431.37</v>
      </c>
    </row>
    <row r="68" spans="1:10" x14ac:dyDescent="0.25">
      <c r="A68" s="9">
        <v>479</v>
      </c>
      <c r="B68" s="5" t="s">
        <v>330</v>
      </c>
      <c r="C68" s="5" t="s">
        <v>331</v>
      </c>
      <c r="D68" s="5" t="s">
        <v>1619</v>
      </c>
      <c r="E68" s="6">
        <v>90189084</v>
      </c>
      <c r="F68" s="6">
        <v>9</v>
      </c>
      <c r="G68" s="6">
        <f t="shared" ref="G68:G69" si="3">F68/$F$2</f>
        <v>1</v>
      </c>
      <c r="H68" s="6" t="s">
        <v>1622</v>
      </c>
      <c r="I68" s="5">
        <v>29.14</v>
      </c>
      <c r="J68" s="5">
        <f t="shared" si="2"/>
        <v>262.26</v>
      </c>
    </row>
    <row r="69" spans="1:10" x14ac:dyDescent="0.25">
      <c r="A69" s="9">
        <v>480</v>
      </c>
      <c r="B69" s="5" t="s">
        <v>394</v>
      </c>
      <c r="C69" s="5" t="s">
        <v>395</v>
      </c>
      <c r="D69" s="5" t="s">
        <v>1618</v>
      </c>
      <c r="E69" s="6">
        <v>73269098</v>
      </c>
      <c r="F69" s="6">
        <v>9</v>
      </c>
      <c r="G69" s="6">
        <f t="shared" si="3"/>
        <v>1</v>
      </c>
      <c r="H69" s="6" t="s">
        <v>1622</v>
      </c>
      <c r="I69" s="5">
        <v>78.150000000000006</v>
      </c>
      <c r="J69" s="5">
        <f t="shared" si="2"/>
        <v>703.35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EF16-52CE-4D7A-8224-6273980F5563}">
  <dimension ref="A1:K67"/>
  <sheetViews>
    <sheetView workbookViewId="0">
      <selection activeCell="G3" sqref="G3:G67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1672</v>
      </c>
      <c r="D2" s="11"/>
      <c r="E2" s="12"/>
      <c r="F2" s="12">
        <v>12</v>
      </c>
      <c r="G2" s="12"/>
      <c r="H2" s="12"/>
      <c r="I2" s="2"/>
      <c r="J2" s="13"/>
    </row>
    <row r="3" spans="1:10" x14ac:dyDescent="0.25">
      <c r="A3" s="9">
        <v>481</v>
      </c>
      <c r="B3" s="5" t="s">
        <v>905</v>
      </c>
      <c r="C3" s="5" t="s">
        <v>906</v>
      </c>
      <c r="D3" s="5" t="s">
        <v>1618</v>
      </c>
      <c r="E3" s="6">
        <v>90189084</v>
      </c>
      <c r="F3" s="6">
        <v>24</v>
      </c>
      <c r="G3" s="6">
        <f>F3/$F$2</f>
        <v>2</v>
      </c>
      <c r="H3" s="6" t="s">
        <v>1622</v>
      </c>
      <c r="I3" s="5">
        <v>100.17</v>
      </c>
      <c r="J3" s="5">
        <f t="shared" ref="J3:J25" si="0">F3*I3</f>
        <v>2404.08</v>
      </c>
    </row>
    <row r="4" spans="1:10" x14ac:dyDescent="0.25">
      <c r="A4" s="9">
        <v>482</v>
      </c>
      <c r="B4" s="5" t="s">
        <v>907</v>
      </c>
      <c r="C4" s="5" t="s">
        <v>908</v>
      </c>
      <c r="D4" s="5" t="s">
        <v>1618</v>
      </c>
      <c r="E4" s="6">
        <v>90189084</v>
      </c>
      <c r="F4" s="6">
        <v>12</v>
      </c>
      <c r="G4" s="6">
        <f t="shared" ref="G4:G67" si="1">F4/$F$2</f>
        <v>1</v>
      </c>
      <c r="H4" s="6" t="s">
        <v>1622</v>
      </c>
      <c r="I4" s="5">
        <v>17.829999999999998</v>
      </c>
      <c r="J4" s="5">
        <f t="shared" si="0"/>
        <v>213.95999999999998</v>
      </c>
    </row>
    <row r="5" spans="1:10" x14ac:dyDescent="0.25">
      <c r="A5" s="9">
        <v>483</v>
      </c>
      <c r="B5" s="5" t="s">
        <v>909</v>
      </c>
      <c r="C5" s="5" t="s">
        <v>910</v>
      </c>
      <c r="D5" s="5" t="s">
        <v>1618</v>
      </c>
      <c r="E5" s="6">
        <v>90189084</v>
      </c>
      <c r="F5" s="6">
        <v>12</v>
      </c>
      <c r="G5" s="6">
        <f t="shared" si="1"/>
        <v>1</v>
      </c>
      <c r="H5" s="6" t="s">
        <v>1622</v>
      </c>
      <c r="I5" s="5">
        <v>17.829999999999998</v>
      </c>
      <c r="J5" s="5">
        <f t="shared" si="0"/>
        <v>213.95999999999998</v>
      </c>
    </row>
    <row r="6" spans="1:10" x14ac:dyDescent="0.25">
      <c r="A6" s="9">
        <v>484</v>
      </c>
      <c r="B6" s="5" t="s">
        <v>911</v>
      </c>
      <c r="C6" s="5" t="s">
        <v>912</v>
      </c>
      <c r="D6" s="5" t="s">
        <v>1621</v>
      </c>
      <c r="E6" s="6">
        <v>90189084</v>
      </c>
      <c r="F6" s="6">
        <v>12</v>
      </c>
      <c r="G6" s="6">
        <f t="shared" si="1"/>
        <v>1</v>
      </c>
      <c r="H6" s="6" t="s">
        <v>1622</v>
      </c>
      <c r="I6" s="5">
        <v>33.79</v>
      </c>
      <c r="J6" s="5">
        <f t="shared" si="0"/>
        <v>405.48</v>
      </c>
    </row>
    <row r="7" spans="1:10" x14ac:dyDescent="0.25">
      <c r="A7" s="9">
        <v>485</v>
      </c>
      <c r="B7" s="5" t="s">
        <v>913</v>
      </c>
      <c r="C7" s="5" t="s">
        <v>914</v>
      </c>
      <c r="D7" s="5" t="s">
        <v>1618</v>
      </c>
      <c r="E7" s="6">
        <v>90189084</v>
      </c>
      <c r="F7" s="6">
        <v>12</v>
      </c>
      <c r="G7" s="6">
        <f t="shared" si="1"/>
        <v>1</v>
      </c>
      <c r="H7" s="6" t="s">
        <v>1622</v>
      </c>
      <c r="I7" s="5">
        <v>33.79</v>
      </c>
      <c r="J7" s="5">
        <f t="shared" si="0"/>
        <v>405.48</v>
      </c>
    </row>
    <row r="8" spans="1:10" x14ac:dyDescent="0.25">
      <c r="A8" s="9">
        <v>486</v>
      </c>
      <c r="B8" s="5" t="s">
        <v>915</v>
      </c>
      <c r="C8" s="5" t="s">
        <v>916</v>
      </c>
      <c r="D8" s="5" t="s">
        <v>1618</v>
      </c>
      <c r="E8" s="6">
        <v>90189084</v>
      </c>
      <c r="F8" s="6">
        <v>12</v>
      </c>
      <c r="G8" s="6">
        <f t="shared" si="1"/>
        <v>1</v>
      </c>
      <c r="H8" s="6" t="s">
        <v>1622</v>
      </c>
      <c r="I8" s="5">
        <v>33.79</v>
      </c>
      <c r="J8" s="5">
        <f t="shared" si="0"/>
        <v>405.48</v>
      </c>
    </row>
    <row r="9" spans="1:10" x14ac:dyDescent="0.25">
      <c r="A9" s="9">
        <v>487</v>
      </c>
      <c r="B9" s="5" t="s">
        <v>917</v>
      </c>
      <c r="C9" s="5" t="s">
        <v>918</v>
      </c>
      <c r="D9" s="5" t="s">
        <v>1618</v>
      </c>
      <c r="E9" s="6">
        <v>90189084</v>
      </c>
      <c r="F9" s="6">
        <v>12</v>
      </c>
      <c r="G9" s="6">
        <f t="shared" si="1"/>
        <v>1</v>
      </c>
      <c r="H9" s="6" t="s">
        <v>1622</v>
      </c>
      <c r="I9" s="5">
        <v>33.79</v>
      </c>
      <c r="J9" s="5">
        <f t="shared" si="0"/>
        <v>405.48</v>
      </c>
    </row>
    <row r="10" spans="1:10" x14ac:dyDescent="0.25">
      <c r="A10" s="9">
        <v>488</v>
      </c>
      <c r="B10" s="5" t="s">
        <v>919</v>
      </c>
      <c r="C10" s="5" t="s">
        <v>920</v>
      </c>
      <c r="D10" s="5" t="s">
        <v>1618</v>
      </c>
      <c r="E10" s="6">
        <v>90189084</v>
      </c>
      <c r="F10" s="6">
        <v>24</v>
      </c>
      <c r="G10" s="6">
        <f t="shared" si="1"/>
        <v>2</v>
      </c>
      <c r="H10" s="6" t="s">
        <v>1622</v>
      </c>
      <c r="I10" s="5">
        <v>20.97</v>
      </c>
      <c r="J10" s="5">
        <f t="shared" si="0"/>
        <v>503.28</v>
      </c>
    </row>
    <row r="11" spans="1:10" x14ac:dyDescent="0.25">
      <c r="A11" s="9">
        <v>489</v>
      </c>
      <c r="B11" s="5" t="s">
        <v>919</v>
      </c>
      <c r="C11" s="5" t="s">
        <v>920</v>
      </c>
      <c r="D11" s="5" t="s">
        <v>1618</v>
      </c>
      <c r="E11" s="6">
        <v>90189084</v>
      </c>
      <c r="F11" s="6">
        <v>24</v>
      </c>
      <c r="G11" s="6">
        <f t="shared" si="1"/>
        <v>2</v>
      </c>
      <c r="H11" s="6" t="s">
        <v>1622</v>
      </c>
      <c r="I11" s="5">
        <v>20.97</v>
      </c>
      <c r="J11" s="5">
        <f t="shared" si="0"/>
        <v>503.28</v>
      </c>
    </row>
    <row r="12" spans="1:10" x14ac:dyDescent="0.25">
      <c r="A12" s="9">
        <v>490</v>
      </c>
      <c r="B12" s="5" t="s">
        <v>921</v>
      </c>
      <c r="C12" s="5" t="s">
        <v>922</v>
      </c>
      <c r="D12" s="5" t="s">
        <v>1618</v>
      </c>
      <c r="E12" s="6">
        <v>90189084</v>
      </c>
      <c r="F12" s="6">
        <v>12</v>
      </c>
      <c r="G12" s="6">
        <f t="shared" si="1"/>
        <v>1</v>
      </c>
      <c r="H12" s="6" t="s">
        <v>1622</v>
      </c>
      <c r="I12" s="5">
        <v>59.95</v>
      </c>
      <c r="J12" s="5">
        <f t="shared" si="0"/>
        <v>719.40000000000009</v>
      </c>
    </row>
    <row r="13" spans="1:10" x14ac:dyDescent="0.25">
      <c r="A13" s="9">
        <v>491</v>
      </c>
      <c r="B13" s="5" t="s">
        <v>923</v>
      </c>
      <c r="C13" s="5" t="s">
        <v>924</v>
      </c>
      <c r="D13" s="5" t="s">
        <v>1618</v>
      </c>
      <c r="E13" s="6">
        <v>90189084</v>
      </c>
      <c r="F13" s="6">
        <v>12</v>
      </c>
      <c r="G13" s="6">
        <f t="shared" si="1"/>
        <v>1</v>
      </c>
      <c r="H13" s="6" t="s">
        <v>1622</v>
      </c>
      <c r="I13" s="5">
        <v>59.95</v>
      </c>
      <c r="J13" s="5">
        <f t="shared" si="0"/>
        <v>719.40000000000009</v>
      </c>
    </row>
    <row r="14" spans="1:10" x14ac:dyDescent="0.25">
      <c r="A14" s="9">
        <v>492</v>
      </c>
      <c r="B14" s="5" t="s">
        <v>925</v>
      </c>
      <c r="C14" s="5" t="s">
        <v>926</v>
      </c>
      <c r="D14" s="5" t="s">
        <v>1618</v>
      </c>
      <c r="E14" s="6">
        <v>90189084</v>
      </c>
      <c r="F14" s="6">
        <v>12</v>
      </c>
      <c r="G14" s="6">
        <f t="shared" si="1"/>
        <v>1</v>
      </c>
      <c r="H14" s="6" t="s">
        <v>1622</v>
      </c>
      <c r="I14" s="5">
        <v>51.48</v>
      </c>
      <c r="J14" s="5">
        <f t="shared" si="0"/>
        <v>617.76</v>
      </c>
    </row>
    <row r="15" spans="1:10" x14ac:dyDescent="0.25">
      <c r="A15" s="9">
        <v>493</v>
      </c>
      <c r="B15" s="5" t="s">
        <v>927</v>
      </c>
      <c r="C15" s="5" t="s">
        <v>928</v>
      </c>
      <c r="D15" s="5" t="s">
        <v>1618</v>
      </c>
      <c r="E15" s="6">
        <v>90189084</v>
      </c>
      <c r="F15" s="6">
        <v>12</v>
      </c>
      <c r="G15" s="6">
        <f t="shared" si="1"/>
        <v>1</v>
      </c>
      <c r="H15" s="6" t="s">
        <v>1622</v>
      </c>
      <c r="I15" s="5">
        <v>57.06</v>
      </c>
      <c r="J15" s="5">
        <f t="shared" si="0"/>
        <v>684.72</v>
      </c>
    </row>
    <row r="16" spans="1:10" x14ac:dyDescent="0.25">
      <c r="A16" s="9">
        <v>494</v>
      </c>
      <c r="B16" s="5" t="s">
        <v>929</v>
      </c>
      <c r="C16" s="5" t="s">
        <v>930</v>
      </c>
      <c r="D16" s="5" t="s">
        <v>1618</v>
      </c>
      <c r="E16" s="6">
        <v>90189084</v>
      </c>
      <c r="F16" s="6">
        <v>12</v>
      </c>
      <c r="G16" s="6">
        <f t="shared" si="1"/>
        <v>1</v>
      </c>
      <c r="H16" s="6" t="s">
        <v>1622</v>
      </c>
      <c r="I16" s="5">
        <v>57.06</v>
      </c>
      <c r="J16" s="5">
        <f t="shared" si="0"/>
        <v>684.72</v>
      </c>
    </row>
    <row r="17" spans="1:10" x14ac:dyDescent="0.25">
      <c r="A17" s="9">
        <v>495</v>
      </c>
      <c r="B17" s="5" t="s">
        <v>931</v>
      </c>
      <c r="C17" s="5" t="s">
        <v>932</v>
      </c>
      <c r="D17" s="5" t="s">
        <v>1618</v>
      </c>
      <c r="E17" s="6">
        <v>90189084</v>
      </c>
      <c r="F17" s="6">
        <v>12</v>
      </c>
      <c r="G17" s="6">
        <f t="shared" si="1"/>
        <v>1</v>
      </c>
      <c r="H17" s="6" t="s">
        <v>1622</v>
      </c>
      <c r="I17" s="5">
        <v>61.94</v>
      </c>
      <c r="J17" s="5">
        <f t="shared" si="0"/>
        <v>743.28</v>
      </c>
    </row>
    <row r="18" spans="1:10" x14ac:dyDescent="0.25">
      <c r="A18" s="9">
        <v>496</v>
      </c>
      <c r="B18" s="5" t="s">
        <v>933</v>
      </c>
      <c r="C18" s="5" t="s">
        <v>934</v>
      </c>
      <c r="D18" s="5" t="s">
        <v>1618</v>
      </c>
      <c r="E18" s="6">
        <v>90189084</v>
      </c>
      <c r="F18" s="6">
        <v>12</v>
      </c>
      <c r="G18" s="6">
        <f t="shared" si="1"/>
        <v>1</v>
      </c>
      <c r="H18" s="6" t="s">
        <v>1622</v>
      </c>
      <c r="I18" s="5">
        <v>59.95</v>
      </c>
      <c r="J18" s="5">
        <f t="shared" si="0"/>
        <v>719.40000000000009</v>
      </c>
    </row>
    <row r="19" spans="1:10" x14ac:dyDescent="0.25">
      <c r="A19" s="9">
        <v>497</v>
      </c>
      <c r="B19" s="5" t="s">
        <v>935</v>
      </c>
      <c r="C19" s="5" t="s">
        <v>936</v>
      </c>
      <c r="D19" s="5" t="s">
        <v>1618</v>
      </c>
      <c r="E19" s="6">
        <v>90189084</v>
      </c>
      <c r="F19" s="6">
        <v>12</v>
      </c>
      <c r="G19" s="6">
        <f t="shared" si="1"/>
        <v>1</v>
      </c>
      <c r="H19" s="6" t="s">
        <v>1622</v>
      </c>
      <c r="I19" s="5">
        <v>23.34</v>
      </c>
      <c r="J19" s="5">
        <f t="shared" si="0"/>
        <v>280.08</v>
      </c>
    </row>
    <row r="20" spans="1:10" x14ac:dyDescent="0.25">
      <c r="A20" s="9">
        <v>498</v>
      </c>
      <c r="B20" s="5" t="s">
        <v>937</v>
      </c>
      <c r="C20" s="5" t="s">
        <v>938</v>
      </c>
      <c r="D20" s="5" t="s">
        <v>1618</v>
      </c>
      <c r="E20" s="6">
        <v>90189084</v>
      </c>
      <c r="F20" s="6">
        <v>12</v>
      </c>
      <c r="G20" s="6">
        <f t="shared" si="1"/>
        <v>1</v>
      </c>
      <c r="H20" s="6" t="s">
        <v>1622</v>
      </c>
      <c r="I20" s="5">
        <v>129.97</v>
      </c>
      <c r="J20" s="5">
        <f t="shared" si="0"/>
        <v>1559.6399999999999</v>
      </c>
    </row>
    <row r="21" spans="1:10" x14ac:dyDescent="0.25">
      <c r="A21" s="9">
        <v>499</v>
      </c>
      <c r="B21" s="5" t="s">
        <v>939</v>
      </c>
      <c r="C21" s="5" t="s">
        <v>940</v>
      </c>
      <c r="D21" s="5" t="s">
        <v>1618</v>
      </c>
      <c r="E21" s="6">
        <v>90189084</v>
      </c>
      <c r="F21" s="6">
        <v>12</v>
      </c>
      <c r="G21" s="6">
        <f t="shared" si="1"/>
        <v>1</v>
      </c>
      <c r="H21" s="6" t="s">
        <v>1622</v>
      </c>
      <c r="I21" s="5">
        <v>41.32</v>
      </c>
      <c r="J21" s="5">
        <f t="shared" si="0"/>
        <v>495.84000000000003</v>
      </c>
    </row>
    <row r="22" spans="1:10" x14ac:dyDescent="0.25">
      <c r="A22" s="9">
        <v>500</v>
      </c>
      <c r="B22" s="5" t="s">
        <v>941</v>
      </c>
      <c r="C22" s="5" t="s">
        <v>942</v>
      </c>
      <c r="D22" s="5" t="s">
        <v>1618</v>
      </c>
      <c r="E22" s="6">
        <v>90189084</v>
      </c>
      <c r="F22" s="6">
        <v>12</v>
      </c>
      <c r="G22" s="6">
        <f t="shared" si="1"/>
        <v>1</v>
      </c>
      <c r="H22" s="6" t="s">
        <v>1622</v>
      </c>
      <c r="I22" s="5">
        <v>41.32</v>
      </c>
      <c r="J22" s="5">
        <f t="shared" si="0"/>
        <v>495.84000000000003</v>
      </c>
    </row>
    <row r="23" spans="1:10" x14ac:dyDescent="0.25">
      <c r="A23" s="9">
        <v>501</v>
      </c>
      <c r="B23" s="5" t="s">
        <v>943</v>
      </c>
      <c r="C23" s="5" t="s">
        <v>944</v>
      </c>
      <c r="D23" s="5" t="s">
        <v>1618</v>
      </c>
      <c r="E23" s="6">
        <v>90189084</v>
      </c>
      <c r="F23" s="6">
        <v>12</v>
      </c>
      <c r="G23" s="6">
        <f t="shared" si="1"/>
        <v>1</v>
      </c>
      <c r="H23" s="6" t="s">
        <v>1622</v>
      </c>
      <c r="I23" s="5">
        <v>41.32</v>
      </c>
      <c r="J23" s="5">
        <f t="shared" si="0"/>
        <v>495.84000000000003</v>
      </c>
    </row>
    <row r="24" spans="1:10" x14ac:dyDescent="0.25">
      <c r="A24" s="9">
        <v>502</v>
      </c>
      <c r="B24" s="5" t="s">
        <v>945</v>
      </c>
      <c r="C24" s="5" t="s">
        <v>946</v>
      </c>
      <c r="D24" s="5" t="s">
        <v>1618</v>
      </c>
      <c r="E24" s="6">
        <v>90189084</v>
      </c>
      <c r="F24" s="6">
        <v>24</v>
      </c>
      <c r="G24" s="6">
        <f t="shared" si="1"/>
        <v>2</v>
      </c>
      <c r="H24" s="6" t="s">
        <v>1622</v>
      </c>
      <c r="I24" s="5">
        <v>42.04</v>
      </c>
      <c r="J24" s="5">
        <f t="shared" si="0"/>
        <v>1008.96</v>
      </c>
    </row>
    <row r="25" spans="1:10" x14ac:dyDescent="0.25">
      <c r="A25" s="9">
        <v>503</v>
      </c>
      <c r="B25" s="5" t="s">
        <v>947</v>
      </c>
      <c r="C25" s="5" t="s">
        <v>948</v>
      </c>
      <c r="D25" s="5" t="s">
        <v>1618</v>
      </c>
      <c r="E25" s="6">
        <v>90189084</v>
      </c>
      <c r="F25" s="6">
        <v>24</v>
      </c>
      <c r="G25" s="6">
        <f t="shared" si="1"/>
        <v>2</v>
      </c>
      <c r="H25" s="6" t="s">
        <v>1622</v>
      </c>
      <c r="I25" s="5">
        <v>42.04</v>
      </c>
      <c r="J25" s="5">
        <f t="shared" si="0"/>
        <v>1008.96</v>
      </c>
    </row>
    <row r="26" spans="1:10" x14ac:dyDescent="0.25">
      <c r="A26" s="9">
        <v>504</v>
      </c>
      <c r="B26" s="5" t="s">
        <v>949</v>
      </c>
      <c r="C26" s="5" t="s">
        <v>950</v>
      </c>
      <c r="D26" s="5" t="s">
        <v>1618</v>
      </c>
      <c r="E26" s="6">
        <v>90189084</v>
      </c>
      <c r="F26" s="6">
        <v>24</v>
      </c>
      <c r="G26" s="6">
        <f t="shared" si="1"/>
        <v>2</v>
      </c>
      <c r="H26" s="6" t="s">
        <v>1622</v>
      </c>
      <c r="I26" s="5">
        <v>40.78</v>
      </c>
      <c r="J26" s="5">
        <f t="shared" ref="J26:J67" si="2">F26*I26</f>
        <v>978.72</v>
      </c>
    </row>
    <row r="27" spans="1:10" x14ac:dyDescent="0.25">
      <c r="A27" s="9">
        <v>505</v>
      </c>
      <c r="B27" s="5" t="s">
        <v>951</v>
      </c>
      <c r="C27" s="5" t="s">
        <v>952</v>
      </c>
      <c r="D27" s="5" t="s">
        <v>1618</v>
      </c>
      <c r="E27" s="6">
        <v>90189084</v>
      </c>
      <c r="F27" s="6">
        <v>12</v>
      </c>
      <c r="G27" s="6">
        <f t="shared" si="1"/>
        <v>1</v>
      </c>
      <c r="H27" s="6" t="s">
        <v>1622</v>
      </c>
      <c r="I27" s="5">
        <v>101.66</v>
      </c>
      <c r="J27" s="5">
        <f t="shared" si="2"/>
        <v>1219.92</v>
      </c>
    </row>
    <row r="28" spans="1:10" x14ac:dyDescent="0.25">
      <c r="A28" s="9">
        <v>506</v>
      </c>
      <c r="B28" s="5" t="s">
        <v>953</v>
      </c>
      <c r="C28" s="5" t="s">
        <v>954</v>
      </c>
      <c r="D28" s="5" t="s">
        <v>1618</v>
      </c>
      <c r="E28" s="6">
        <v>90189084</v>
      </c>
      <c r="F28" s="6">
        <v>24</v>
      </c>
      <c r="G28" s="6">
        <f t="shared" si="1"/>
        <v>2</v>
      </c>
      <c r="H28" s="6" t="s">
        <v>1622</v>
      </c>
      <c r="I28" s="5">
        <v>97.13</v>
      </c>
      <c r="J28" s="5">
        <f t="shared" si="2"/>
        <v>2331.12</v>
      </c>
    </row>
    <row r="29" spans="1:10" x14ac:dyDescent="0.25">
      <c r="A29" s="9">
        <v>507</v>
      </c>
      <c r="B29" s="5" t="s">
        <v>779</v>
      </c>
      <c r="C29" s="5" t="s">
        <v>780</v>
      </c>
      <c r="D29" s="5" t="s">
        <v>1618</v>
      </c>
      <c r="E29" s="6">
        <v>90189084</v>
      </c>
      <c r="F29" s="6">
        <v>12</v>
      </c>
      <c r="G29" s="6">
        <f t="shared" si="1"/>
        <v>1</v>
      </c>
      <c r="H29" s="6" t="s">
        <v>1622</v>
      </c>
      <c r="I29" s="5">
        <v>79.97</v>
      </c>
      <c r="J29" s="5">
        <f t="shared" si="2"/>
        <v>959.64</v>
      </c>
    </row>
    <row r="30" spans="1:10" x14ac:dyDescent="0.25">
      <c r="A30" s="9">
        <v>508</v>
      </c>
      <c r="B30" s="5" t="s">
        <v>955</v>
      </c>
      <c r="C30" s="5" t="s">
        <v>956</v>
      </c>
      <c r="D30" s="5" t="s">
        <v>1618</v>
      </c>
      <c r="E30" s="6">
        <v>90189084</v>
      </c>
      <c r="F30" s="6">
        <v>12</v>
      </c>
      <c r="G30" s="6">
        <f t="shared" si="1"/>
        <v>1</v>
      </c>
      <c r="H30" s="6" t="s">
        <v>1622</v>
      </c>
      <c r="I30" s="5">
        <v>217.53</v>
      </c>
      <c r="J30" s="5">
        <f t="shared" si="2"/>
        <v>2610.36</v>
      </c>
    </row>
    <row r="31" spans="1:10" x14ac:dyDescent="0.25">
      <c r="A31" s="9">
        <v>509</v>
      </c>
      <c r="B31" s="5" t="s">
        <v>957</v>
      </c>
      <c r="C31" s="5" t="s">
        <v>958</v>
      </c>
      <c r="D31" s="5" t="s">
        <v>1618</v>
      </c>
      <c r="E31" s="6">
        <v>90189084</v>
      </c>
      <c r="F31" s="6">
        <v>12</v>
      </c>
      <c r="G31" s="6">
        <f t="shared" si="1"/>
        <v>1</v>
      </c>
      <c r="H31" s="6" t="s">
        <v>1622</v>
      </c>
      <c r="I31" s="5">
        <v>217.53</v>
      </c>
      <c r="J31" s="5">
        <f t="shared" si="2"/>
        <v>2610.36</v>
      </c>
    </row>
    <row r="32" spans="1:10" x14ac:dyDescent="0.25">
      <c r="A32" s="9">
        <v>510</v>
      </c>
      <c r="B32" s="5" t="s">
        <v>959</v>
      </c>
      <c r="C32" s="5" t="s">
        <v>960</v>
      </c>
      <c r="D32" s="5" t="s">
        <v>1618</v>
      </c>
      <c r="E32" s="6">
        <v>90189084</v>
      </c>
      <c r="F32" s="6">
        <v>12</v>
      </c>
      <c r="G32" s="6">
        <f t="shared" si="1"/>
        <v>1</v>
      </c>
      <c r="H32" s="6" t="s">
        <v>1622</v>
      </c>
      <c r="I32" s="5">
        <v>217.53</v>
      </c>
      <c r="J32" s="5">
        <f t="shared" si="2"/>
        <v>2610.36</v>
      </c>
    </row>
    <row r="33" spans="1:10" x14ac:dyDescent="0.25">
      <c r="A33" s="9">
        <v>511</v>
      </c>
      <c r="B33" s="5" t="s">
        <v>961</v>
      </c>
      <c r="C33" s="5" t="s">
        <v>962</v>
      </c>
      <c r="D33" s="5" t="s">
        <v>1618</v>
      </c>
      <c r="E33" s="6">
        <v>90189084</v>
      </c>
      <c r="F33" s="6">
        <v>12</v>
      </c>
      <c r="G33" s="6">
        <f t="shared" si="1"/>
        <v>1</v>
      </c>
      <c r="H33" s="6" t="s">
        <v>1622</v>
      </c>
      <c r="I33" s="5">
        <v>217.53</v>
      </c>
      <c r="J33" s="5">
        <f t="shared" si="2"/>
        <v>2610.36</v>
      </c>
    </row>
    <row r="34" spans="1:10" x14ac:dyDescent="0.25">
      <c r="A34" s="9">
        <v>512</v>
      </c>
      <c r="B34" s="5" t="s">
        <v>963</v>
      </c>
      <c r="C34" s="5" t="s">
        <v>964</v>
      </c>
      <c r="D34" s="5" t="s">
        <v>1618</v>
      </c>
      <c r="E34" s="6">
        <v>90189084</v>
      </c>
      <c r="F34" s="6">
        <v>12</v>
      </c>
      <c r="G34" s="6">
        <f t="shared" si="1"/>
        <v>1</v>
      </c>
      <c r="H34" s="6" t="s">
        <v>1622</v>
      </c>
      <c r="I34" s="5">
        <v>217.53</v>
      </c>
      <c r="J34" s="5">
        <f t="shared" si="2"/>
        <v>2610.36</v>
      </c>
    </row>
    <row r="35" spans="1:10" x14ac:dyDescent="0.25">
      <c r="A35" s="9">
        <v>513</v>
      </c>
      <c r="B35" s="5" t="s">
        <v>965</v>
      </c>
      <c r="C35" s="5" t="s">
        <v>966</v>
      </c>
      <c r="D35" s="5" t="s">
        <v>1618</v>
      </c>
      <c r="E35" s="6">
        <v>90189084</v>
      </c>
      <c r="F35" s="6">
        <v>12</v>
      </c>
      <c r="G35" s="6">
        <f t="shared" si="1"/>
        <v>1</v>
      </c>
      <c r="H35" s="6" t="s">
        <v>1622</v>
      </c>
      <c r="I35" s="5">
        <v>217.53</v>
      </c>
      <c r="J35" s="5">
        <f t="shared" si="2"/>
        <v>2610.36</v>
      </c>
    </row>
    <row r="36" spans="1:10" x14ac:dyDescent="0.25">
      <c r="A36" s="9">
        <v>514</v>
      </c>
      <c r="B36" s="5" t="s">
        <v>967</v>
      </c>
      <c r="C36" s="5" t="s">
        <v>968</v>
      </c>
      <c r="D36" s="5" t="s">
        <v>1618</v>
      </c>
      <c r="E36" s="6">
        <v>90189084</v>
      </c>
      <c r="F36" s="6">
        <v>12</v>
      </c>
      <c r="G36" s="6">
        <f t="shared" si="1"/>
        <v>1</v>
      </c>
      <c r="H36" s="6" t="s">
        <v>1622</v>
      </c>
      <c r="I36" s="5">
        <v>135.04</v>
      </c>
      <c r="J36" s="5">
        <f t="shared" si="2"/>
        <v>1620.48</v>
      </c>
    </row>
    <row r="37" spans="1:10" x14ac:dyDescent="0.25">
      <c r="A37" s="9">
        <v>515</v>
      </c>
      <c r="B37" s="5" t="s">
        <v>969</v>
      </c>
      <c r="C37" s="5" t="s">
        <v>970</v>
      </c>
      <c r="D37" s="5" t="s">
        <v>1618</v>
      </c>
      <c r="E37" s="6">
        <v>90189084</v>
      </c>
      <c r="F37" s="6">
        <v>12</v>
      </c>
      <c r="G37" s="6">
        <f t="shared" si="1"/>
        <v>1</v>
      </c>
      <c r="H37" s="6" t="s">
        <v>1622</v>
      </c>
      <c r="I37" s="5">
        <v>135.04</v>
      </c>
      <c r="J37" s="5">
        <f t="shared" si="2"/>
        <v>1620.48</v>
      </c>
    </row>
    <row r="38" spans="1:10" x14ac:dyDescent="0.25">
      <c r="A38" s="9">
        <v>516</v>
      </c>
      <c r="B38" s="5" t="s">
        <v>837</v>
      </c>
      <c r="C38" s="5" t="s">
        <v>838</v>
      </c>
      <c r="D38" s="5" t="s">
        <v>1618</v>
      </c>
      <c r="E38" s="6">
        <v>90189084</v>
      </c>
      <c r="F38" s="6">
        <v>12</v>
      </c>
      <c r="G38" s="6">
        <f t="shared" si="1"/>
        <v>1</v>
      </c>
      <c r="H38" s="6" t="s">
        <v>1622</v>
      </c>
      <c r="I38" s="5">
        <v>100.29</v>
      </c>
      <c r="J38" s="5">
        <f t="shared" si="2"/>
        <v>1203.48</v>
      </c>
    </row>
    <row r="39" spans="1:10" x14ac:dyDescent="0.25">
      <c r="A39" s="9">
        <v>517</v>
      </c>
      <c r="B39" s="5" t="s">
        <v>971</v>
      </c>
      <c r="C39" s="5" t="s">
        <v>972</v>
      </c>
      <c r="D39" s="5" t="s">
        <v>1618</v>
      </c>
      <c r="E39" s="6">
        <v>90189084</v>
      </c>
      <c r="F39" s="6">
        <v>12</v>
      </c>
      <c r="G39" s="6">
        <f t="shared" si="1"/>
        <v>1</v>
      </c>
      <c r="H39" s="6" t="s">
        <v>1622</v>
      </c>
      <c r="I39" s="5">
        <v>91.43</v>
      </c>
      <c r="J39" s="5">
        <f t="shared" si="2"/>
        <v>1097.1600000000001</v>
      </c>
    </row>
    <row r="40" spans="1:10" x14ac:dyDescent="0.25">
      <c r="A40" s="9">
        <v>518</v>
      </c>
      <c r="B40" s="5" t="s">
        <v>973</v>
      </c>
      <c r="C40" s="5" t="s">
        <v>974</v>
      </c>
      <c r="D40" s="5" t="s">
        <v>1618</v>
      </c>
      <c r="E40" s="6">
        <v>90189084</v>
      </c>
      <c r="F40" s="6">
        <v>24</v>
      </c>
      <c r="G40" s="6">
        <f t="shared" si="1"/>
        <v>2</v>
      </c>
      <c r="H40" s="6" t="s">
        <v>1622</v>
      </c>
      <c r="I40" s="5">
        <v>212.11</v>
      </c>
      <c r="J40" s="5">
        <f t="shared" si="2"/>
        <v>5090.6400000000003</v>
      </c>
    </row>
    <row r="41" spans="1:10" x14ac:dyDescent="0.25">
      <c r="A41" s="9">
        <v>519</v>
      </c>
      <c r="B41" s="5" t="s">
        <v>975</v>
      </c>
      <c r="C41" s="5" t="s">
        <v>976</v>
      </c>
      <c r="D41" s="5" t="s">
        <v>1618</v>
      </c>
      <c r="E41" s="6">
        <v>90189084</v>
      </c>
      <c r="F41" s="6">
        <v>24</v>
      </c>
      <c r="G41" s="6">
        <f t="shared" si="1"/>
        <v>2</v>
      </c>
      <c r="H41" s="6" t="s">
        <v>1622</v>
      </c>
      <c r="I41" s="5">
        <v>67.14</v>
      </c>
      <c r="J41" s="5">
        <f t="shared" si="2"/>
        <v>1611.3600000000001</v>
      </c>
    </row>
    <row r="42" spans="1:10" x14ac:dyDescent="0.25">
      <c r="A42" s="9">
        <v>520</v>
      </c>
      <c r="B42" s="5" t="s">
        <v>977</v>
      </c>
      <c r="C42" s="5" t="s">
        <v>978</v>
      </c>
      <c r="D42" s="5" t="s">
        <v>1618</v>
      </c>
      <c r="E42" s="6">
        <v>90189084</v>
      </c>
      <c r="F42" s="6">
        <v>24</v>
      </c>
      <c r="G42" s="6">
        <f t="shared" si="1"/>
        <v>2</v>
      </c>
      <c r="H42" s="6" t="s">
        <v>1622</v>
      </c>
      <c r="I42" s="5">
        <v>284.12</v>
      </c>
      <c r="J42" s="5">
        <f t="shared" si="2"/>
        <v>6818.88</v>
      </c>
    </row>
    <row r="43" spans="1:10" x14ac:dyDescent="0.25">
      <c r="A43" s="9">
        <v>521</v>
      </c>
      <c r="B43" s="5" t="s">
        <v>979</v>
      </c>
      <c r="C43" s="5" t="s">
        <v>980</v>
      </c>
      <c r="D43" s="5" t="s">
        <v>1618</v>
      </c>
      <c r="E43" s="6">
        <v>90189084</v>
      </c>
      <c r="F43" s="6">
        <v>12</v>
      </c>
      <c r="G43" s="6">
        <f t="shared" si="1"/>
        <v>1</v>
      </c>
      <c r="H43" s="6" t="s">
        <v>1622</v>
      </c>
      <c r="I43" s="5">
        <v>132.19</v>
      </c>
      <c r="J43" s="5">
        <f t="shared" si="2"/>
        <v>1586.28</v>
      </c>
    </row>
    <row r="44" spans="1:10" x14ac:dyDescent="0.25">
      <c r="A44" s="9">
        <v>522</v>
      </c>
      <c r="B44" s="5" t="s">
        <v>981</v>
      </c>
      <c r="C44" s="5" t="s">
        <v>982</v>
      </c>
      <c r="D44" s="5" t="s">
        <v>1618</v>
      </c>
      <c r="E44" s="6">
        <v>90189084</v>
      </c>
      <c r="F44" s="6">
        <v>12</v>
      </c>
      <c r="G44" s="6">
        <f t="shared" si="1"/>
        <v>1</v>
      </c>
      <c r="H44" s="6" t="s">
        <v>1622</v>
      </c>
      <c r="I44" s="5">
        <v>42.79</v>
      </c>
      <c r="J44" s="5">
        <f t="shared" si="2"/>
        <v>513.48</v>
      </c>
    </row>
    <row r="45" spans="1:10" x14ac:dyDescent="0.25">
      <c r="A45" s="9">
        <v>523</v>
      </c>
      <c r="B45" s="5" t="s">
        <v>983</v>
      </c>
      <c r="C45" s="5" t="s">
        <v>984</v>
      </c>
      <c r="D45" s="5" t="s">
        <v>1618</v>
      </c>
      <c r="E45" s="6">
        <v>90189084</v>
      </c>
      <c r="F45" s="6">
        <v>12</v>
      </c>
      <c r="G45" s="6">
        <f t="shared" si="1"/>
        <v>1</v>
      </c>
      <c r="H45" s="6" t="s">
        <v>1622</v>
      </c>
      <c r="I45" s="5">
        <v>213.94</v>
      </c>
      <c r="J45" s="5">
        <f t="shared" si="2"/>
        <v>2567.2799999999997</v>
      </c>
    </row>
    <row r="46" spans="1:10" x14ac:dyDescent="0.25">
      <c r="A46" s="9">
        <v>524</v>
      </c>
      <c r="B46" s="5" t="s">
        <v>985</v>
      </c>
      <c r="C46" s="5" t="s">
        <v>986</v>
      </c>
      <c r="D46" s="5" t="s">
        <v>1618</v>
      </c>
      <c r="E46" s="6">
        <v>90189084</v>
      </c>
      <c r="F46" s="6">
        <v>12</v>
      </c>
      <c r="G46" s="6">
        <f t="shared" si="1"/>
        <v>1</v>
      </c>
      <c r="H46" s="6" t="s">
        <v>1622</v>
      </c>
      <c r="I46" s="5">
        <v>154.30000000000001</v>
      </c>
      <c r="J46" s="5">
        <f t="shared" si="2"/>
        <v>1851.6000000000001</v>
      </c>
    </row>
    <row r="47" spans="1:10" x14ac:dyDescent="0.25">
      <c r="A47" s="9">
        <v>525</v>
      </c>
      <c r="B47" s="5" t="s">
        <v>987</v>
      </c>
      <c r="C47" s="5" t="s">
        <v>988</v>
      </c>
      <c r="D47" s="5" t="s">
        <v>1618</v>
      </c>
      <c r="E47" s="6">
        <v>90189084</v>
      </c>
      <c r="F47" s="6">
        <v>12</v>
      </c>
      <c r="G47" s="6">
        <f t="shared" si="1"/>
        <v>1</v>
      </c>
      <c r="H47" s="6" t="s">
        <v>1622</v>
      </c>
      <c r="I47" s="5">
        <v>154.30000000000001</v>
      </c>
      <c r="J47" s="5">
        <f t="shared" si="2"/>
        <v>1851.6000000000001</v>
      </c>
    </row>
    <row r="48" spans="1:10" x14ac:dyDescent="0.25">
      <c r="A48" s="9">
        <v>526</v>
      </c>
      <c r="B48" s="5" t="s">
        <v>989</v>
      </c>
      <c r="C48" s="5" t="s">
        <v>990</v>
      </c>
      <c r="D48" s="5" t="s">
        <v>1618</v>
      </c>
      <c r="E48" s="6">
        <v>90189084</v>
      </c>
      <c r="F48" s="6">
        <v>60</v>
      </c>
      <c r="G48" s="6">
        <f t="shared" si="1"/>
        <v>5</v>
      </c>
      <c r="H48" s="6" t="s">
        <v>1622</v>
      </c>
      <c r="I48" s="5">
        <v>15.64</v>
      </c>
      <c r="J48" s="5">
        <f t="shared" si="2"/>
        <v>938.40000000000009</v>
      </c>
    </row>
    <row r="49" spans="1:10" x14ac:dyDescent="0.25">
      <c r="A49" s="9">
        <v>527</v>
      </c>
      <c r="B49" s="5" t="s">
        <v>991</v>
      </c>
      <c r="C49" s="5" t="s">
        <v>992</v>
      </c>
      <c r="D49" s="5" t="s">
        <v>1618</v>
      </c>
      <c r="E49" s="6">
        <v>90184990</v>
      </c>
      <c r="F49" s="6">
        <v>24</v>
      </c>
      <c r="G49" s="6">
        <f t="shared" si="1"/>
        <v>2</v>
      </c>
      <c r="H49" s="6" t="s">
        <v>1622</v>
      </c>
      <c r="I49" s="5">
        <v>16.760000000000002</v>
      </c>
      <c r="J49" s="5">
        <f t="shared" si="2"/>
        <v>402.24</v>
      </c>
    </row>
    <row r="50" spans="1:10" x14ac:dyDescent="0.25">
      <c r="A50" s="9">
        <v>528</v>
      </c>
      <c r="B50" s="5" t="s">
        <v>993</v>
      </c>
      <c r="C50" s="5" t="s">
        <v>994</v>
      </c>
      <c r="D50" s="5" t="s">
        <v>1618</v>
      </c>
      <c r="E50" s="6">
        <v>90189084</v>
      </c>
      <c r="F50" s="6">
        <v>24</v>
      </c>
      <c r="G50" s="6">
        <f t="shared" si="1"/>
        <v>2</v>
      </c>
      <c r="H50" s="6" t="s">
        <v>1622</v>
      </c>
      <c r="I50" s="5">
        <v>23.85</v>
      </c>
      <c r="J50" s="5">
        <f t="shared" si="2"/>
        <v>572.40000000000009</v>
      </c>
    </row>
    <row r="51" spans="1:10" x14ac:dyDescent="0.25">
      <c r="A51" s="9">
        <v>529</v>
      </c>
      <c r="B51" s="5" t="s">
        <v>995</v>
      </c>
      <c r="C51" s="5" t="s">
        <v>996</v>
      </c>
      <c r="D51" s="5" t="s">
        <v>1618</v>
      </c>
      <c r="E51" s="6">
        <v>90189084</v>
      </c>
      <c r="F51" s="6">
        <v>24</v>
      </c>
      <c r="G51" s="6">
        <f t="shared" si="1"/>
        <v>2</v>
      </c>
      <c r="H51" s="6" t="s">
        <v>1622</v>
      </c>
      <c r="I51" s="5">
        <v>55.21</v>
      </c>
      <c r="J51" s="5">
        <f t="shared" si="2"/>
        <v>1325.04</v>
      </c>
    </row>
    <row r="52" spans="1:10" x14ac:dyDescent="0.25">
      <c r="A52" s="9">
        <v>530</v>
      </c>
      <c r="B52" s="5" t="s">
        <v>995</v>
      </c>
      <c r="C52" s="5" t="s">
        <v>996</v>
      </c>
      <c r="D52" s="5" t="s">
        <v>1618</v>
      </c>
      <c r="E52" s="6">
        <v>90189084</v>
      </c>
      <c r="F52" s="6">
        <v>24</v>
      </c>
      <c r="G52" s="6">
        <f t="shared" si="1"/>
        <v>2</v>
      </c>
      <c r="H52" s="6" t="s">
        <v>1622</v>
      </c>
      <c r="I52" s="5">
        <v>55.21</v>
      </c>
      <c r="J52" s="5">
        <f t="shared" si="2"/>
        <v>1325.04</v>
      </c>
    </row>
    <row r="53" spans="1:10" x14ac:dyDescent="0.25">
      <c r="A53" s="9">
        <v>531</v>
      </c>
      <c r="B53" s="5" t="s">
        <v>997</v>
      </c>
      <c r="C53" s="5" t="s">
        <v>998</v>
      </c>
      <c r="D53" s="5" t="s">
        <v>1618</v>
      </c>
      <c r="E53" s="6">
        <v>90189084</v>
      </c>
      <c r="F53" s="6">
        <v>12</v>
      </c>
      <c r="G53" s="6">
        <f t="shared" si="1"/>
        <v>1</v>
      </c>
      <c r="H53" s="6" t="s">
        <v>1622</v>
      </c>
      <c r="I53" s="5">
        <v>58.13</v>
      </c>
      <c r="J53" s="5">
        <f t="shared" si="2"/>
        <v>697.56000000000006</v>
      </c>
    </row>
    <row r="54" spans="1:10" x14ac:dyDescent="0.25">
      <c r="A54" s="9">
        <v>532</v>
      </c>
      <c r="B54" s="5" t="s">
        <v>999</v>
      </c>
      <c r="C54" s="5" t="s">
        <v>1000</v>
      </c>
      <c r="D54" s="5" t="s">
        <v>1618</v>
      </c>
      <c r="E54" s="6">
        <v>90189084</v>
      </c>
      <c r="F54" s="6">
        <v>24</v>
      </c>
      <c r="G54" s="6">
        <f t="shared" si="1"/>
        <v>2</v>
      </c>
      <c r="H54" s="6" t="s">
        <v>1622</v>
      </c>
      <c r="I54" s="5">
        <v>59.95</v>
      </c>
      <c r="J54" s="5">
        <f t="shared" si="2"/>
        <v>1438.8000000000002</v>
      </c>
    </row>
    <row r="55" spans="1:10" x14ac:dyDescent="0.25">
      <c r="A55" s="9">
        <v>533</v>
      </c>
      <c r="B55" s="5" t="s">
        <v>1001</v>
      </c>
      <c r="C55" s="5" t="s">
        <v>1002</v>
      </c>
      <c r="D55" s="5" t="s">
        <v>1618</v>
      </c>
      <c r="E55" s="6">
        <v>90189084</v>
      </c>
      <c r="F55" s="6">
        <v>24</v>
      </c>
      <c r="G55" s="6">
        <f t="shared" si="1"/>
        <v>2</v>
      </c>
      <c r="H55" s="6" t="s">
        <v>1622</v>
      </c>
      <c r="I55" s="5">
        <v>32.67</v>
      </c>
      <c r="J55" s="5">
        <f t="shared" si="2"/>
        <v>784.08</v>
      </c>
    </row>
    <row r="56" spans="1:10" x14ac:dyDescent="0.25">
      <c r="A56" s="9">
        <v>534</v>
      </c>
      <c r="B56" s="5" t="s">
        <v>1003</v>
      </c>
      <c r="C56" s="5" t="s">
        <v>1004</v>
      </c>
      <c r="D56" s="5" t="s">
        <v>1618</v>
      </c>
      <c r="E56" s="6">
        <v>90189084</v>
      </c>
      <c r="F56" s="6">
        <v>24</v>
      </c>
      <c r="G56" s="6">
        <f t="shared" si="1"/>
        <v>2</v>
      </c>
      <c r="H56" s="6" t="s">
        <v>1622</v>
      </c>
      <c r="I56" s="5">
        <v>56.13</v>
      </c>
      <c r="J56" s="5">
        <f t="shared" si="2"/>
        <v>1347.1200000000001</v>
      </c>
    </row>
    <row r="57" spans="1:10" x14ac:dyDescent="0.25">
      <c r="A57" s="9">
        <v>535</v>
      </c>
      <c r="B57" s="5" t="s">
        <v>1005</v>
      </c>
      <c r="C57" s="5" t="s">
        <v>1006</v>
      </c>
      <c r="D57" s="5" t="s">
        <v>1618</v>
      </c>
      <c r="E57" s="6">
        <v>90189084</v>
      </c>
      <c r="F57" s="6">
        <v>24</v>
      </c>
      <c r="G57" s="6">
        <f t="shared" si="1"/>
        <v>2</v>
      </c>
      <c r="H57" s="6" t="s">
        <v>1622</v>
      </c>
      <c r="I57" s="5">
        <v>54.34</v>
      </c>
      <c r="J57" s="5">
        <f t="shared" si="2"/>
        <v>1304.1600000000001</v>
      </c>
    </row>
    <row r="58" spans="1:10" x14ac:dyDescent="0.25">
      <c r="A58" s="9">
        <v>536</v>
      </c>
      <c r="B58" s="5" t="s">
        <v>1007</v>
      </c>
      <c r="C58" s="5" t="s">
        <v>1008</v>
      </c>
      <c r="D58" s="5" t="s">
        <v>1618</v>
      </c>
      <c r="E58" s="6">
        <v>90189084</v>
      </c>
      <c r="F58" s="6">
        <v>24</v>
      </c>
      <c r="G58" s="6">
        <f t="shared" si="1"/>
        <v>2</v>
      </c>
      <c r="H58" s="6" t="s">
        <v>1622</v>
      </c>
      <c r="I58" s="5">
        <v>291.56</v>
      </c>
      <c r="J58" s="5">
        <f t="shared" si="2"/>
        <v>6997.4400000000005</v>
      </c>
    </row>
    <row r="59" spans="1:10" x14ac:dyDescent="0.25">
      <c r="A59" s="9">
        <v>537</v>
      </c>
      <c r="B59" s="5" t="s">
        <v>1009</v>
      </c>
      <c r="C59" s="5" t="s">
        <v>1010</v>
      </c>
      <c r="D59" s="5" t="s">
        <v>1618</v>
      </c>
      <c r="E59" s="6">
        <v>90189084</v>
      </c>
      <c r="F59" s="6">
        <v>24</v>
      </c>
      <c r="G59" s="6">
        <f t="shared" si="1"/>
        <v>2</v>
      </c>
      <c r="H59" s="6" t="s">
        <v>1622</v>
      </c>
      <c r="I59" s="5">
        <v>19.489999999999998</v>
      </c>
      <c r="J59" s="5">
        <f t="shared" si="2"/>
        <v>467.76</v>
      </c>
    </row>
    <row r="60" spans="1:10" x14ac:dyDescent="0.25">
      <c r="A60" s="9">
        <v>538</v>
      </c>
      <c r="B60" s="5" t="s">
        <v>899</v>
      </c>
      <c r="C60" s="5" t="s">
        <v>900</v>
      </c>
      <c r="D60" s="5" t="s">
        <v>1618</v>
      </c>
      <c r="E60" s="6">
        <v>73269098</v>
      </c>
      <c r="F60" s="6">
        <v>12</v>
      </c>
      <c r="G60" s="6">
        <f t="shared" si="1"/>
        <v>1</v>
      </c>
      <c r="H60" s="6" t="s">
        <v>1622</v>
      </c>
      <c r="I60" s="5">
        <v>48.93</v>
      </c>
      <c r="J60" s="5">
        <f t="shared" si="2"/>
        <v>587.16</v>
      </c>
    </row>
    <row r="61" spans="1:10" x14ac:dyDescent="0.25">
      <c r="A61" s="9">
        <v>539</v>
      </c>
      <c r="B61" s="5" t="s">
        <v>903</v>
      </c>
      <c r="C61" s="5" t="s">
        <v>904</v>
      </c>
      <c r="D61" s="5" t="s">
        <v>1618</v>
      </c>
      <c r="E61" s="6">
        <v>39269097</v>
      </c>
      <c r="F61" s="6">
        <v>12</v>
      </c>
      <c r="G61" s="6">
        <f t="shared" si="1"/>
        <v>1</v>
      </c>
      <c r="H61" s="6" t="s">
        <v>1622</v>
      </c>
      <c r="I61" s="5">
        <v>18.39</v>
      </c>
      <c r="J61" s="5">
        <f t="shared" si="2"/>
        <v>220.68</v>
      </c>
    </row>
    <row r="62" spans="1:10" x14ac:dyDescent="0.25">
      <c r="A62" s="9">
        <v>540</v>
      </c>
      <c r="B62" s="5" t="s">
        <v>1011</v>
      </c>
      <c r="C62" s="5" t="s">
        <v>1012</v>
      </c>
      <c r="D62" s="5" t="s">
        <v>1618</v>
      </c>
      <c r="E62" s="6">
        <v>90189084</v>
      </c>
      <c r="F62" s="6">
        <v>12</v>
      </c>
      <c r="G62" s="6">
        <f t="shared" si="1"/>
        <v>1</v>
      </c>
      <c r="H62" s="6" t="s">
        <v>1622</v>
      </c>
      <c r="I62" s="5">
        <v>69.510000000000005</v>
      </c>
      <c r="J62" s="5">
        <f t="shared" si="2"/>
        <v>834.12000000000012</v>
      </c>
    </row>
    <row r="63" spans="1:10" x14ac:dyDescent="0.25">
      <c r="A63" s="9">
        <v>541</v>
      </c>
      <c r="B63" s="5" t="s">
        <v>1013</v>
      </c>
      <c r="C63" s="5" t="s">
        <v>1014</v>
      </c>
      <c r="D63" s="5" t="s">
        <v>1618</v>
      </c>
      <c r="E63" s="6">
        <v>90189084</v>
      </c>
      <c r="F63" s="6">
        <v>12</v>
      </c>
      <c r="G63" s="6">
        <f t="shared" si="1"/>
        <v>1</v>
      </c>
      <c r="H63" s="6" t="s">
        <v>1622</v>
      </c>
      <c r="I63" s="5">
        <v>196.31</v>
      </c>
      <c r="J63" s="5">
        <f t="shared" si="2"/>
        <v>2355.7200000000003</v>
      </c>
    </row>
    <row r="64" spans="1:10" x14ac:dyDescent="0.25">
      <c r="A64" s="9">
        <v>542</v>
      </c>
      <c r="B64" s="5" t="s">
        <v>558</v>
      </c>
      <c r="C64" s="5" t="s">
        <v>559</v>
      </c>
      <c r="D64" s="5" t="s">
        <v>1618</v>
      </c>
      <c r="E64" s="6">
        <v>90189084</v>
      </c>
      <c r="F64" s="6">
        <v>12</v>
      </c>
      <c r="G64" s="6">
        <f t="shared" si="1"/>
        <v>1</v>
      </c>
      <c r="H64" s="6" t="s">
        <v>1622</v>
      </c>
      <c r="I64" s="5">
        <v>207.7</v>
      </c>
      <c r="J64" s="5">
        <f t="shared" si="2"/>
        <v>2492.3999999999996</v>
      </c>
    </row>
    <row r="65" spans="1:10" x14ac:dyDescent="0.25">
      <c r="A65" s="9">
        <v>543</v>
      </c>
      <c r="B65" s="5" t="s">
        <v>1015</v>
      </c>
      <c r="C65" s="5" t="s">
        <v>1016</v>
      </c>
      <c r="D65" s="5" t="s">
        <v>1618</v>
      </c>
      <c r="E65" s="6">
        <v>90189084</v>
      </c>
      <c r="F65" s="6">
        <v>12</v>
      </c>
      <c r="G65" s="6">
        <f t="shared" si="1"/>
        <v>1</v>
      </c>
      <c r="H65" s="6" t="s">
        <v>1622</v>
      </c>
      <c r="I65" s="5">
        <v>305.07</v>
      </c>
      <c r="J65" s="5">
        <f t="shared" si="2"/>
        <v>3660.84</v>
      </c>
    </row>
    <row r="66" spans="1:10" x14ac:dyDescent="0.25">
      <c r="A66" s="9">
        <v>544</v>
      </c>
      <c r="B66" s="5" t="s">
        <v>1017</v>
      </c>
      <c r="C66" s="5" t="s">
        <v>1018</v>
      </c>
      <c r="D66" s="5" t="s">
        <v>1618</v>
      </c>
      <c r="E66" s="6">
        <v>90189084</v>
      </c>
      <c r="F66" s="6">
        <v>24</v>
      </c>
      <c r="G66" s="6">
        <f t="shared" si="1"/>
        <v>2</v>
      </c>
      <c r="H66" s="6" t="s">
        <v>1622</v>
      </c>
      <c r="I66" s="5">
        <v>10.89</v>
      </c>
      <c r="J66" s="5">
        <f t="shared" si="2"/>
        <v>261.36</v>
      </c>
    </row>
    <row r="67" spans="1:10" x14ac:dyDescent="0.25">
      <c r="A67" s="9">
        <v>545</v>
      </c>
      <c r="B67" s="5" t="s">
        <v>1019</v>
      </c>
      <c r="C67" s="5" t="s">
        <v>1020</v>
      </c>
      <c r="D67" s="5" t="s">
        <v>1618</v>
      </c>
      <c r="E67" s="6">
        <v>90189084</v>
      </c>
      <c r="F67" s="6">
        <v>12</v>
      </c>
      <c r="G67" s="6">
        <f t="shared" si="1"/>
        <v>1</v>
      </c>
      <c r="H67" s="6" t="s">
        <v>1622</v>
      </c>
      <c r="I67" s="5">
        <v>25.34</v>
      </c>
      <c r="J67" s="5">
        <f t="shared" si="2"/>
        <v>304.08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CF08-DE8C-464F-8F0A-FEA5D674F7BB}">
  <dimension ref="A1:K31"/>
  <sheetViews>
    <sheetView workbookViewId="0">
      <selection activeCell="G3" sqref="G3:G31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1684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1673</v>
      </c>
      <c r="D2" s="11"/>
      <c r="E2" s="12"/>
      <c r="F2" s="12">
        <v>9</v>
      </c>
      <c r="G2" s="12"/>
      <c r="H2" s="12"/>
      <c r="I2" s="2"/>
      <c r="J2" s="13"/>
    </row>
    <row r="3" spans="1:10" x14ac:dyDescent="0.25">
      <c r="A3" s="9">
        <v>546</v>
      </c>
      <c r="B3" s="5" t="s">
        <v>1123</v>
      </c>
      <c r="C3" s="5" t="s">
        <v>1124</v>
      </c>
      <c r="D3" s="5" t="s">
        <v>1618</v>
      </c>
      <c r="E3" s="6">
        <v>90189084</v>
      </c>
      <c r="F3" s="6">
        <v>18</v>
      </c>
      <c r="G3" s="6">
        <f>F3/$F$2</f>
        <v>2</v>
      </c>
      <c r="H3" s="6" t="s">
        <v>1622</v>
      </c>
      <c r="I3" s="5">
        <v>38.97</v>
      </c>
      <c r="J3" s="5">
        <f t="shared" ref="J3:J23" si="0">F3*I3</f>
        <v>701.46</v>
      </c>
    </row>
    <row r="4" spans="1:10" x14ac:dyDescent="0.25">
      <c r="A4" s="9">
        <v>547</v>
      </c>
      <c r="B4" s="5" t="s">
        <v>1125</v>
      </c>
      <c r="C4" s="5" t="s">
        <v>1126</v>
      </c>
      <c r="D4" s="5" t="s">
        <v>1619</v>
      </c>
      <c r="E4" s="6">
        <v>90189084</v>
      </c>
      <c r="F4" s="6">
        <v>18</v>
      </c>
      <c r="G4" s="6">
        <f t="shared" ref="G4:G31" si="1">F4/$F$2</f>
        <v>2</v>
      </c>
      <c r="H4" s="6" t="s">
        <v>1622</v>
      </c>
      <c r="I4" s="5">
        <v>11.34</v>
      </c>
      <c r="J4" s="5">
        <f t="shared" si="0"/>
        <v>204.12</v>
      </c>
    </row>
    <row r="5" spans="1:10" x14ac:dyDescent="0.25">
      <c r="A5" s="9">
        <v>548</v>
      </c>
      <c r="B5" s="5" t="s">
        <v>1127</v>
      </c>
      <c r="C5" s="5" t="s">
        <v>1128</v>
      </c>
      <c r="D5" s="5" t="s">
        <v>1618</v>
      </c>
      <c r="E5" s="6">
        <v>90189084</v>
      </c>
      <c r="F5" s="6">
        <v>18</v>
      </c>
      <c r="G5" s="6">
        <f t="shared" si="1"/>
        <v>2</v>
      </c>
      <c r="H5" s="6" t="s">
        <v>1622</v>
      </c>
      <c r="I5" s="5">
        <v>43.86</v>
      </c>
      <c r="J5" s="5">
        <f t="shared" si="0"/>
        <v>789.48</v>
      </c>
    </row>
    <row r="6" spans="1:10" x14ac:dyDescent="0.25">
      <c r="A6" s="9">
        <v>549</v>
      </c>
      <c r="B6" s="5" t="s">
        <v>626</v>
      </c>
      <c r="C6" s="5" t="s">
        <v>627</v>
      </c>
      <c r="D6" s="5" t="s">
        <v>1618</v>
      </c>
      <c r="E6" s="6">
        <v>90189084</v>
      </c>
      <c r="F6" s="6">
        <v>9</v>
      </c>
      <c r="G6" s="6">
        <f t="shared" si="1"/>
        <v>1</v>
      </c>
      <c r="H6" s="6" t="s">
        <v>1622</v>
      </c>
      <c r="I6" s="5">
        <v>41.19</v>
      </c>
      <c r="J6" s="5">
        <f t="shared" si="0"/>
        <v>370.71</v>
      </c>
    </row>
    <row r="7" spans="1:10" x14ac:dyDescent="0.25">
      <c r="A7" s="9">
        <v>550</v>
      </c>
      <c r="B7" s="5" t="s">
        <v>1129</v>
      </c>
      <c r="C7" s="5" t="s">
        <v>1130</v>
      </c>
      <c r="D7" s="5" t="s">
        <v>1618</v>
      </c>
      <c r="E7" s="6">
        <v>90189084</v>
      </c>
      <c r="F7" s="6">
        <v>9</v>
      </c>
      <c r="G7" s="6">
        <f t="shared" si="1"/>
        <v>1</v>
      </c>
      <c r="H7" s="6" t="s">
        <v>1622</v>
      </c>
      <c r="I7" s="5">
        <v>25.88</v>
      </c>
      <c r="J7" s="5">
        <f t="shared" si="0"/>
        <v>232.92</v>
      </c>
    </row>
    <row r="8" spans="1:10" x14ac:dyDescent="0.25">
      <c r="A8" s="9">
        <v>551</v>
      </c>
      <c r="B8" s="5" t="s">
        <v>1101</v>
      </c>
      <c r="C8" s="5" t="s">
        <v>1102</v>
      </c>
      <c r="D8" s="5" t="s">
        <v>1618</v>
      </c>
      <c r="E8" s="6">
        <v>90189084</v>
      </c>
      <c r="F8" s="6">
        <v>45</v>
      </c>
      <c r="G8" s="6">
        <f t="shared" si="1"/>
        <v>5</v>
      </c>
      <c r="H8" s="6" t="s">
        <v>1622</v>
      </c>
      <c r="I8" s="5">
        <v>15.47</v>
      </c>
      <c r="J8" s="5">
        <f t="shared" si="0"/>
        <v>696.15</v>
      </c>
    </row>
    <row r="9" spans="1:10" x14ac:dyDescent="0.25">
      <c r="A9" s="9">
        <v>552</v>
      </c>
      <c r="B9" s="5" t="s">
        <v>1131</v>
      </c>
      <c r="C9" s="5" t="s">
        <v>1132</v>
      </c>
      <c r="D9" s="5" t="s">
        <v>1618</v>
      </c>
      <c r="E9" s="6">
        <v>90189084</v>
      </c>
      <c r="F9" s="6">
        <v>18</v>
      </c>
      <c r="G9" s="6">
        <f t="shared" si="1"/>
        <v>2</v>
      </c>
      <c r="H9" s="6" t="s">
        <v>1622</v>
      </c>
      <c r="I9" s="5">
        <v>19</v>
      </c>
      <c r="J9" s="5">
        <f t="shared" si="0"/>
        <v>342</v>
      </c>
    </row>
    <row r="10" spans="1:10" x14ac:dyDescent="0.25">
      <c r="A10" s="9">
        <v>553</v>
      </c>
      <c r="B10" s="5" t="s">
        <v>1133</v>
      </c>
      <c r="C10" s="5" t="s">
        <v>1134</v>
      </c>
      <c r="D10" s="5" t="s">
        <v>1618</v>
      </c>
      <c r="E10" s="6">
        <v>90189084</v>
      </c>
      <c r="F10" s="6">
        <v>18</v>
      </c>
      <c r="G10" s="6">
        <f t="shared" si="1"/>
        <v>2</v>
      </c>
      <c r="H10" s="6" t="s">
        <v>1622</v>
      </c>
      <c r="I10" s="5">
        <v>33.97</v>
      </c>
      <c r="J10" s="5">
        <f t="shared" si="0"/>
        <v>611.46</v>
      </c>
    </row>
    <row r="11" spans="1:10" x14ac:dyDescent="0.25">
      <c r="A11" s="9">
        <v>554</v>
      </c>
      <c r="B11" s="5" t="s">
        <v>1135</v>
      </c>
      <c r="C11" s="5" t="s">
        <v>1136</v>
      </c>
      <c r="D11" s="5" t="s">
        <v>1618</v>
      </c>
      <c r="E11" s="6">
        <v>90189084</v>
      </c>
      <c r="F11" s="6">
        <v>18</v>
      </c>
      <c r="G11" s="6">
        <f t="shared" si="1"/>
        <v>2</v>
      </c>
      <c r="H11" s="6" t="s">
        <v>1622</v>
      </c>
      <c r="I11" s="5">
        <v>37.07</v>
      </c>
      <c r="J11" s="5">
        <f t="shared" si="0"/>
        <v>667.26</v>
      </c>
    </row>
    <row r="12" spans="1:10" x14ac:dyDescent="0.25">
      <c r="A12" s="9">
        <v>555</v>
      </c>
      <c r="B12" s="5" t="s">
        <v>1137</v>
      </c>
      <c r="C12" s="5" t="s">
        <v>1138</v>
      </c>
      <c r="D12" s="5" t="s">
        <v>1618</v>
      </c>
      <c r="E12" s="6">
        <v>90189084</v>
      </c>
      <c r="F12" s="6">
        <v>18</v>
      </c>
      <c r="G12" s="6">
        <f t="shared" si="1"/>
        <v>2</v>
      </c>
      <c r="H12" s="6" t="s">
        <v>1622</v>
      </c>
      <c r="I12" s="5">
        <v>37.07</v>
      </c>
      <c r="J12" s="5">
        <f t="shared" si="0"/>
        <v>667.26</v>
      </c>
    </row>
    <row r="13" spans="1:10" x14ac:dyDescent="0.25">
      <c r="A13" s="9">
        <v>556</v>
      </c>
      <c r="B13" s="5" t="s">
        <v>1139</v>
      </c>
      <c r="C13" s="5" t="s">
        <v>1140</v>
      </c>
      <c r="D13" s="5" t="s">
        <v>1618</v>
      </c>
      <c r="E13" s="6">
        <v>90189084</v>
      </c>
      <c r="F13" s="6">
        <v>18</v>
      </c>
      <c r="G13" s="6">
        <f t="shared" si="1"/>
        <v>2</v>
      </c>
      <c r="H13" s="6" t="s">
        <v>1622</v>
      </c>
      <c r="I13" s="5">
        <v>37.07</v>
      </c>
      <c r="J13" s="5">
        <f t="shared" si="0"/>
        <v>667.26</v>
      </c>
    </row>
    <row r="14" spans="1:10" x14ac:dyDescent="0.25">
      <c r="A14" s="9">
        <v>557</v>
      </c>
      <c r="B14" s="5" t="s">
        <v>1141</v>
      </c>
      <c r="C14" s="5" t="s">
        <v>1142</v>
      </c>
      <c r="D14" s="5" t="s">
        <v>1618</v>
      </c>
      <c r="E14" s="6">
        <v>90189084</v>
      </c>
      <c r="F14" s="6">
        <v>18</v>
      </c>
      <c r="G14" s="6">
        <f t="shared" si="1"/>
        <v>2</v>
      </c>
      <c r="H14" s="6" t="s">
        <v>1622</v>
      </c>
      <c r="I14" s="5">
        <v>37.07</v>
      </c>
      <c r="J14" s="5">
        <f t="shared" si="0"/>
        <v>667.26</v>
      </c>
    </row>
    <row r="15" spans="1:10" x14ac:dyDescent="0.25">
      <c r="A15" s="9">
        <v>558</v>
      </c>
      <c r="B15" s="5" t="s">
        <v>1143</v>
      </c>
      <c r="C15" s="5" t="s">
        <v>1144</v>
      </c>
      <c r="D15" s="5" t="s">
        <v>1618</v>
      </c>
      <c r="E15" s="6">
        <v>90189084</v>
      </c>
      <c r="F15" s="6">
        <v>18</v>
      </c>
      <c r="G15" s="6">
        <f t="shared" si="1"/>
        <v>2</v>
      </c>
      <c r="H15" s="6" t="s">
        <v>1622</v>
      </c>
      <c r="I15" s="5">
        <v>38.97</v>
      </c>
      <c r="J15" s="5">
        <f t="shared" si="0"/>
        <v>701.46</v>
      </c>
    </row>
    <row r="16" spans="1:10" x14ac:dyDescent="0.25">
      <c r="A16" s="9">
        <v>559</v>
      </c>
      <c r="B16" s="5" t="s">
        <v>140</v>
      </c>
      <c r="C16" s="5" t="s">
        <v>141</v>
      </c>
      <c r="D16" s="5" t="s">
        <v>1618</v>
      </c>
      <c r="E16" s="6">
        <v>90189084</v>
      </c>
      <c r="F16" s="6">
        <v>18</v>
      </c>
      <c r="G16" s="6">
        <f t="shared" si="1"/>
        <v>2</v>
      </c>
      <c r="H16" s="6" t="s">
        <v>1622</v>
      </c>
      <c r="I16" s="5">
        <v>9.15</v>
      </c>
      <c r="J16" s="5">
        <f t="shared" si="0"/>
        <v>164.70000000000002</v>
      </c>
    </row>
    <row r="17" spans="1:10" x14ac:dyDescent="0.25">
      <c r="A17" s="9">
        <v>560</v>
      </c>
      <c r="B17" s="5" t="s">
        <v>502</v>
      </c>
      <c r="C17" s="5" t="s">
        <v>503</v>
      </c>
      <c r="D17" s="5" t="s">
        <v>1619</v>
      </c>
      <c r="E17" s="6">
        <v>90189084</v>
      </c>
      <c r="F17" s="6">
        <v>18</v>
      </c>
      <c r="G17" s="6">
        <f t="shared" si="1"/>
        <v>2</v>
      </c>
      <c r="H17" s="6" t="s">
        <v>1622</v>
      </c>
      <c r="I17" s="5">
        <v>34.47</v>
      </c>
      <c r="J17" s="5">
        <f t="shared" si="0"/>
        <v>620.46</v>
      </c>
    </row>
    <row r="18" spans="1:10" x14ac:dyDescent="0.25">
      <c r="A18" s="9">
        <v>561</v>
      </c>
      <c r="B18" s="5" t="s">
        <v>406</v>
      </c>
      <c r="C18" s="5" t="s">
        <v>407</v>
      </c>
      <c r="D18" s="5" t="s">
        <v>1618</v>
      </c>
      <c r="E18" s="6">
        <v>90189084</v>
      </c>
      <c r="F18" s="6">
        <v>18</v>
      </c>
      <c r="G18" s="6">
        <f t="shared" si="1"/>
        <v>2</v>
      </c>
      <c r="H18" s="6" t="s">
        <v>1622</v>
      </c>
      <c r="I18" s="5">
        <v>44.49</v>
      </c>
      <c r="J18" s="5">
        <f t="shared" si="0"/>
        <v>800.82</v>
      </c>
    </row>
    <row r="19" spans="1:10" x14ac:dyDescent="0.25">
      <c r="A19" s="9">
        <v>562</v>
      </c>
      <c r="B19" s="5" t="s">
        <v>1145</v>
      </c>
      <c r="C19" s="5" t="s">
        <v>1146</v>
      </c>
      <c r="D19" s="5" t="s">
        <v>1618</v>
      </c>
      <c r="E19" s="6">
        <v>90189084</v>
      </c>
      <c r="F19" s="6">
        <v>18</v>
      </c>
      <c r="G19" s="6">
        <f t="shared" si="1"/>
        <v>2</v>
      </c>
      <c r="H19" s="6" t="s">
        <v>1622</v>
      </c>
      <c r="I19" s="5">
        <v>94.8</v>
      </c>
      <c r="J19" s="5">
        <f t="shared" si="0"/>
        <v>1706.3999999999999</v>
      </c>
    </row>
    <row r="20" spans="1:10" x14ac:dyDescent="0.25">
      <c r="A20" s="9">
        <v>563</v>
      </c>
      <c r="B20" s="5" t="s">
        <v>1147</v>
      </c>
      <c r="C20" s="5" t="s">
        <v>1148</v>
      </c>
      <c r="D20" s="5" t="s">
        <v>1618</v>
      </c>
      <c r="E20" s="6">
        <v>90189084</v>
      </c>
      <c r="F20" s="6">
        <v>18</v>
      </c>
      <c r="G20" s="6">
        <f t="shared" si="1"/>
        <v>2</v>
      </c>
      <c r="H20" s="6" t="s">
        <v>1622</v>
      </c>
      <c r="I20" s="5">
        <v>57.09</v>
      </c>
      <c r="J20" s="5">
        <f t="shared" si="0"/>
        <v>1027.6200000000001</v>
      </c>
    </row>
    <row r="21" spans="1:10" x14ac:dyDescent="0.25">
      <c r="A21" s="9">
        <v>564</v>
      </c>
      <c r="B21" s="5" t="s">
        <v>1149</v>
      </c>
      <c r="C21" s="5" t="s">
        <v>1150</v>
      </c>
      <c r="D21" s="5" t="s">
        <v>1619</v>
      </c>
      <c r="E21" s="6">
        <v>90189084</v>
      </c>
      <c r="F21" s="6">
        <v>18</v>
      </c>
      <c r="G21" s="6">
        <f t="shared" si="1"/>
        <v>2</v>
      </c>
      <c r="H21" s="6" t="s">
        <v>1622</v>
      </c>
      <c r="I21" s="5">
        <v>60.17</v>
      </c>
      <c r="J21" s="5">
        <f t="shared" si="0"/>
        <v>1083.06</v>
      </c>
    </row>
    <row r="22" spans="1:10" x14ac:dyDescent="0.25">
      <c r="A22" s="9">
        <v>565</v>
      </c>
      <c r="B22" s="5" t="s">
        <v>1151</v>
      </c>
      <c r="C22" s="5" t="s">
        <v>1152</v>
      </c>
      <c r="D22" s="5" t="s">
        <v>1618</v>
      </c>
      <c r="E22" s="6">
        <v>90189084</v>
      </c>
      <c r="F22" s="6">
        <v>18</v>
      </c>
      <c r="G22" s="6">
        <f t="shared" si="1"/>
        <v>2</v>
      </c>
      <c r="H22" s="6" t="s">
        <v>1622</v>
      </c>
      <c r="I22" s="5">
        <v>17.39</v>
      </c>
      <c r="J22" s="5">
        <f t="shared" si="0"/>
        <v>313.02</v>
      </c>
    </row>
    <row r="23" spans="1:10" x14ac:dyDescent="0.25">
      <c r="A23" s="9">
        <v>566</v>
      </c>
      <c r="B23" s="5" t="s">
        <v>1153</v>
      </c>
      <c r="C23" s="5" t="s">
        <v>1154</v>
      </c>
      <c r="D23" s="5" t="s">
        <v>1618</v>
      </c>
      <c r="E23" s="6">
        <v>90189084</v>
      </c>
      <c r="F23" s="6">
        <v>9</v>
      </c>
      <c r="G23" s="6">
        <f t="shared" si="1"/>
        <v>1</v>
      </c>
      <c r="H23" s="6" t="s">
        <v>1622</v>
      </c>
      <c r="I23" s="5">
        <v>54.64</v>
      </c>
      <c r="J23" s="5">
        <f t="shared" si="0"/>
        <v>491.76</v>
      </c>
    </row>
    <row r="24" spans="1:10" x14ac:dyDescent="0.25">
      <c r="A24" s="9">
        <v>567</v>
      </c>
      <c r="B24" s="5" t="s">
        <v>1155</v>
      </c>
      <c r="C24" s="5" t="s">
        <v>1156</v>
      </c>
      <c r="D24" s="5" t="s">
        <v>1618</v>
      </c>
      <c r="E24" s="6">
        <v>90189084</v>
      </c>
      <c r="F24" s="6">
        <v>9</v>
      </c>
      <c r="G24" s="6">
        <f t="shared" si="1"/>
        <v>1</v>
      </c>
      <c r="H24" s="6" t="s">
        <v>1622</v>
      </c>
      <c r="I24" s="5">
        <v>579.64</v>
      </c>
      <c r="J24" s="5">
        <f t="shared" ref="J24:J31" si="2">F24*I24</f>
        <v>5216.76</v>
      </c>
    </row>
    <row r="25" spans="1:10" x14ac:dyDescent="0.25">
      <c r="A25" s="9">
        <v>568</v>
      </c>
      <c r="B25" s="5" t="s">
        <v>1157</v>
      </c>
      <c r="C25" s="5" t="s">
        <v>1158</v>
      </c>
      <c r="D25" s="5" t="s">
        <v>1618</v>
      </c>
      <c r="E25" s="6">
        <v>90189084</v>
      </c>
      <c r="F25" s="6">
        <v>9</v>
      </c>
      <c r="G25" s="6">
        <f t="shared" si="1"/>
        <v>1</v>
      </c>
      <c r="H25" s="6" t="s">
        <v>1622</v>
      </c>
      <c r="I25" s="5">
        <v>38.97</v>
      </c>
      <c r="J25" s="5">
        <f t="shared" si="2"/>
        <v>350.73</v>
      </c>
    </row>
    <row r="26" spans="1:10" x14ac:dyDescent="0.25">
      <c r="A26" s="9">
        <v>569</v>
      </c>
      <c r="B26" s="5" t="s">
        <v>1135</v>
      </c>
      <c r="C26" s="5" t="s">
        <v>1136</v>
      </c>
      <c r="D26" s="5" t="s">
        <v>1618</v>
      </c>
      <c r="E26" s="6">
        <v>90189084</v>
      </c>
      <c r="F26" s="6">
        <v>9</v>
      </c>
      <c r="G26" s="6">
        <f t="shared" si="1"/>
        <v>1</v>
      </c>
      <c r="H26" s="6" t="s">
        <v>1622</v>
      </c>
      <c r="I26" s="5">
        <v>37.07</v>
      </c>
      <c r="J26" s="5">
        <f t="shared" si="2"/>
        <v>333.63</v>
      </c>
    </row>
    <row r="27" spans="1:10" x14ac:dyDescent="0.25">
      <c r="A27" s="9">
        <v>570</v>
      </c>
      <c r="B27" s="5" t="s">
        <v>1159</v>
      </c>
      <c r="C27" s="5" t="s">
        <v>1160</v>
      </c>
      <c r="D27" s="5" t="s">
        <v>1618</v>
      </c>
      <c r="E27" s="6">
        <v>90189084</v>
      </c>
      <c r="F27" s="6">
        <v>9</v>
      </c>
      <c r="G27" s="6">
        <f t="shared" si="1"/>
        <v>1</v>
      </c>
      <c r="H27" s="6" t="s">
        <v>1622</v>
      </c>
      <c r="I27" s="5">
        <v>39.619999999999997</v>
      </c>
      <c r="J27" s="5">
        <f t="shared" si="2"/>
        <v>356.58</v>
      </c>
    </row>
    <row r="28" spans="1:10" x14ac:dyDescent="0.25">
      <c r="A28" s="9">
        <v>571</v>
      </c>
      <c r="B28" s="5" t="s">
        <v>1161</v>
      </c>
      <c r="C28" s="5" t="s">
        <v>1162</v>
      </c>
      <c r="D28" s="5" t="s">
        <v>1619</v>
      </c>
      <c r="E28" s="6">
        <v>90189084</v>
      </c>
      <c r="F28" s="6">
        <v>9</v>
      </c>
      <c r="G28" s="6">
        <f t="shared" si="1"/>
        <v>1</v>
      </c>
      <c r="H28" s="6" t="s">
        <v>1622</v>
      </c>
      <c r="I28" s="5">
        <v>12.56</v>
      </c>
      <c r="J28" s="5">
        <f t="shared" si="2"/>
        <v>113.04</v>
      </c>
    </row>
    <row r="29" spans="1:10" x14ac:dyDescent="0.25">
      <c r="A29" s="9">
        <v>572</v>
      </c>
      <c r="B29" s="5" t="s">
        <v>1163</v>
      </c>
      <c r="C29" s="5" t="s">
        <v>1164</v>
      </c>
      <c r="D29" s="5" t="s">
        <v>1618</v>
      </c>
      <c r="E29" s="6">
        <v>90189084</v>
      </c>
      <c r="F29" s="6">
        <v>9</v>
      </c>
      <c r="G29" s="6">
        <f t="shared" si="1"/>
        <v>1</v>
      </c>
      <c r="H29" s="6" t="s">
        <v>1622</v>
      </c>
      <c r="I29" s="5">
        <v>61.63</v>
      </c>
      <c r="J29" s="5">
        <f t="shared" si="2"/>
        <v>554.67000000000007</v>
      </c>
    </row>
    <row r="30" spans="1:10" x14ac:dyDescent="0.25">
      <c r="A30" s="9">
        <v>573</v>
      </c>
      <c r="B30" s="5" t="s">
        <v>1165</v>
      </c>
      <c r="C30" s="5" t="s">
        <v>1166</v>
      </c>
      <c r="D30" s="5" t="s">
        <v>1618</v>
      </c>
      <c r="E30" s="6">
        <v>90189084</v>
      </c>
      <c r="F30" s="6">
        <v>9</v>
      </c>
      <c r="G30" s="6">
        <f t="shared" si="1"/>
        <v>1</v>
      </c>
      <c r="H30" s="6" t="s">
        <v>1622</v>
      </c>
      <c r="I30" s="5">
        <v>358.76</v>
      </c>
      <c r="J30" s="5">
        <f t="shared" si="2"/>
        <v>3228.84</v>
      </c>
    </row>
    <row r="31" spans="1:10" x14ac:dyDescent="0.25">
      <c r="A31" s="9">
        <v>574</v>
      </c>
      <c r="B31" s="5" t="s">
        <v>394</v>
      </c>
      <c r="C31" s="5" t="s">
        <v>395</v>
      </c>
      <c r="D31" s="5" t="s">
        <v>1618</v>
      </c>
      <c r="E31" s="6">
        <v>73269098</v>
      </c>
      <c r="F31" s="6">
        <v>9</v>
      </c>
      <c r="G31" s="6">
        <f t="shared" si="1"/>
        <v>1</v>
      </c>
      <c r="H31" s="6" t="s">
        <v>1622</v>
      </c>
      <c r="I31" s="5">
        <v>68.97</v>
      </c>
      <c r="J31" s="5">
        <f t="shared" si="2"/>
        <v>620.73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FE82-A0D3-4F60-B337-C71AE9288639}">
  <dimension ref="A1:K30"/>
  <sheetViews>
    <sheetView workbookViewId="0">
      <selection activeCell="G3" sqref="G3:G30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1674</v>
      </c>
      <c r="D2" s="11"/>
      <c r="E2" s="12"/>
      <c r="F2" s="12">
        <v>2</v>
      </c>
      <c r="G2" s="12"/>
      <c r="H2" s="12"/>
      <c r="I2" s="2"/>
      <c r="J2" s="13"/>
    </row>
    <row r="3" spans="1:10" x14ac:dyDescent="0.25">
      <c r="A3" s="9">
        <v>575</v>
      </c>
      <c r="B3" s="5" t="s">
        <v>22</v>
      </c>
      <c r="C3" s="5" t="s">
        <v>23</v>
      </c>
      <c r="D3" s="5" t="s">
        <v>1618</v>
      </c>
      <c r="E3" s="6">
        <v>90189084</v>
      </c>
      <c r="F3" s="6">
        <v>4</v>
      </c>
      <c r="G3" s="6">
        <f>F3/$F$2</f>
        <v>2</v>
      </c>
      <c r="H3" s="6" t="s">
        <v>1622</v>
      </c>
      <c r="I3" s="5">
        <v>3.7</v>
      </c>
      <c r="J3" s="5">
        <f t="shared" ref="J3:J30" si="0">F3*I3</f>
        <v>14.8</v>
      </c>
    </row>
    <row r="4" spans="1:10" x14ac:dyDescent="0.25">
      <c r="A4" s="9">
        <v>576</v>
      </c>
      <c r="B4" s="5" t="s">
        <v>1415</v>
      </c>
      <c r="C4" s="5" t="s">
        <v>1416</v>
      </c>
      <c r="D4" s="5" t="s">
        <v>1618</v>
      </c>
      <c r="E4" s="6">
        <v>90189084</v>
      </c>
      <c r="F4" s="6">
        <v>2</v>
      </c>
      <c r="G4" s="6">
        <f t="shared" ref="G4:G30" si="1">F4/$F$2</f>
        <v>1</v>
      </c>
      <c r="H4" s="6" t="s">
        <v>1622</v>
      </c>
      <c r="I4" s="5">
        <v>38.81</v>
      </c>
      <c r="J4" s="5">
        <f t="shared" si="0"/>
        <v>77.62</v>
      </c>
    </row>
    <row r="5" spans="1:10" x14ac:dyDescent="0.25">
      <c r="A5" s="9">
        <v>577</v>
      </c>
      <c r="B5" s="5" t="s">
        <v>1417</v>
      </c>
      <c r="C5" s="5" t="s">
        <v>1418</v>
      </c>
      <c r="D5" s="5" t="s">
        <v>1618</v>
      </c>
      <c r="E5" s="6">
        <v>90189084</v>
      </c>
      <c r="F5" s="6">
        <v>2</v>
      </c>
      <c r="G5" s="6">
        <f t="shared" si="1"/>
        <v>1</v>
      </c>
      <c r="H5" s="6" t="s">
        <v>1622</v>
      </c>
      <c r="I5" s="5">
        <v>16.760000000000002</v>
      </c>
      <c r="J5" s="5">
        <f t="shared" si="0"/>
        <v>33.520000000000003</v>
      </c>
    </row>
    <row r="6" spans="1:10" x14ac:dyDescent="0.25">
      <c r="A6" s="9">
        <v>578</v>
      </c>
      <c r="B6" s="5" t="s">
        <v>1419</v>
      </c>
      <c r="C6" s="5" t="s">
        <v>1420</v>
      </c>
      <c r="D6" s="5" t="s">
        <v>1618</v>
      </c>
      <c r="E6" s="6">
        <v>90189084</v>
      </c>
      <c r="F6" s="6">
        <v>2</v>
      </c>
      <c r="G6" s="6">
        <f t="shared" si="1"/>
        <v>1</v>
      </c>
      <c r="H6" s="6" t="s">
        <v>1622</v>
      </c>
      <c r="I6" s="5">
        <v>74.58</v>
      </c>
      <c r="J6" s="5">
        <f t="shared" si="0"/>
        <v>149.16</v>
      </c>
    </row>
    <row r="7" spans="1:10" x14ac:dyDescent="0.25">
      <c r="A7" s="9">
        <v>579</v>
      </c>
      <c r="B7" s="5" t="s">
        <v>1421</v>
      </c>
      <c r="C7" s="5" t="s">
        <v>1422</v>
      </c>
      <c r="D7" s="5" t="s">
        <v>1619</v>
      </c>
      <c r="E7" s="6">
        <v>90189084</v>
      </c>
      <c r="F7" s="6">
        <v>2</v>
      </c>
      <c r="G7" s="6">
        <f t="shared" si="1"/>
        <v>1</v>
      </c>
      <c r="H7" s="6" t="s">
        <v>1622</v>
      </c>
      <c r="I7" s="5">
        <v>5.23</v>
      </c>
      <c r="J7" s="5">
        <f t="shared" si="0"/>
        <v>10.46</v>
      </c>
    </row>
    <row r="8" spans="1:10" x14ac:dyDescent="0.25">
      <c r="A8" s="9">
        <v>580</v>
      </c>
      <c r="B8" s="5" t="s">
        <v>486</v>
      </c>
      <c r="C8" s="5" t="s">
        <v>487</v>
      </c>
      <c r="D8" s="5" t="s">
        <v>1618</v>
      </c>
      <c r="E8" s="6">
        <v>90189084</v>
      </c>
      <c r="F8" s="6">
        <v>4</v>
      </c>
      <c r="G8" s="6">
        <f t="shared" si="1"/>
        <v>2</v>
      </c>
      <c r="H8" s="6" t="s">
        <v>1622</v>
      </c>
      <c r="I8" s="5">
        <v>10.73</v>
      </c>
      <c r="J8" s="5">
        <f t="shared" si="0"/>
        <v>42.92</v>
      </c>
    </row>
    <row r="9" spans="1:10" x14ac:dyDescent="0.25">
      <c r="A9" s="9">
        <v>581</v>
      </c>
      <c r="B9" s="5" t="s">
        <v>492</v>
      </c>
      <c r="C9" s="5" t="s">
        <v>493</v>
      </c>
      <c r="D9" s="5" t="s">
        <v>1619</v>
      </c>
      <c r="E9" s="6">
        <v>90189084</v>
      </c>
      <c r="F9" s="6">
        <v>2</v>
      </c>
      <c r="G9" s="6">
        <f t="shared" si="1"/>
        <v>1</v>
      </c>
      <c r="H9" s="6" t="s">
        <v>1622</v>
      </c>
      <c r="I9" s="5">
        <v>11.21</v>
      </c>
      <c r="J9" s="5">
        <f t="shared" si="0"/>
        <v>22.42</v>
      </c>
    </row>
    <row r="10" spans="1:10" x14ac:dyDescent="0.25">
      <c r="A10" s="9">
        <v>582</v>
      </c>
      <c r="B10" s="5" t="s">
        <v>1423</v>
      </c>
      <c r="C10" s="5" t="s">
        <v>1424</v>
      </c>
      <c r="D10" s="5" t="s">
        <v>1618</v>
      </c>
      <c r="E10" s="6">
        <v>90189084</v>
      </c>
      <c r="F10" s="6">
        <v>8</v>
      </c>
      <c r="G10" s="6">
        <f t="shared" si="1"/>
        <v>4</v>
      </c>
      <c r="H10" s="6" t="s">
        <v>1622</v>
      </c>
      <c r="I10" s="5">
        <v>12</v>
      </c>
      <c r="J10" s="5">
        <f t="shared" si="0"/>
        <v>96</v>
      </c>
    </row>
    <row r="11" spans="1:10" x14ac:dyDescent="0.25">
      <c r="A11" s="9">
        <v>583</v>
      </c>
      <c r="B11" s="5" t="s">
        <v>1425</v>
      </c>
      <c r="C11" s="5" t="s">
        <v>1426</v>
      </c>
      <c r="D11" s="5" t="s">
        <v>1618</v>
      </c>
      <c r="E11" s="6">
        <v>90189084</v>
      </c>
      <c r="F11" s="6">
        <v>2</v>
      </c>
      <c r="G11" s="6">
        <f t="shared" si="1"/>
        <v>1</v>
      </c>
      <c r="H11" s="6" t="s">
        <v>1622</v>
      </c>
      <c r="I11" s="5">
        <v>28.63</v>
      </c>
      <c r="J11" s="5">
        <f t="shared" si="0"/>
        <v>57.26</v>
      </c>
    </row>
    <row r="12" spans="1:10" x14ac:dyDescent="0.25">
      <c r="A12" s="9">
        <v>584</v>
      </c>
      <c r="B12" s="5" t="s">
        <v>1427</v>
      </c>
      <c r="C12" s="5" t="s">
        <v>1428</v>
      </c>
      <c r="D12" s="5" t="s">
        <v>1618</v>
      </c>
      <c r="E12" s="6">
        <v>90189084</v>
      </c>
      <c r="F12" s="6">
        <v>4</v>
      </c>
      <c r="G12" s="6">
        <f t="shared" si="1"/>
        <v>2</v>
      </c>
      <c r="H12" s="6" t="s">
        <v>1622</v>
      </c>
      <c r="I12" s="5">
        <v>28.01</v>
      </c>
      <c r="J12" s="5">
        <f t="shared" si="0"/>
        <v>112.04</v>
      </c>
    </row>
    <row r="13" spans="1:10" x14ac:dyDescent="0.25">
      <c r="A13" s="9">
        <v>585</v>
      </c>
      <c r="B13" s="5" t="s">
        <v>821</v>
      </c>
      <c r="C13" s="5" t="s">
        <v>822</v>
      </c>
      <c r="D13" s="5" t="s">
        <v>1618</v>
      </c>
      <c r="E13" s="6">
        <v>90189084</v>
      </c>
      <c r="F13" s="6">
        <v>2</v>
      </c>
      <c r="G13" s="6">
        <f t="shared" si="1"/>
        <v>1</v>
      </c>
      <c r="H13" s="6" t="s">
        <v>1622</v>
      </c>
      <c r="I13" s="5">
        <v>10.88</v>
      </c>
      <c r="J13" s="5">
        <f t="shared" si="0"/>
        <v>21.76</v>
      </c>
    </row>
    <row r="14" spans="1:10" x14ac:dyDescent="0.25">
      <c r="A14" s="9">
        <v>586</v>
      </c>
      <c r="B14" s="5" t="s">
        <v>1429</v>
      </c>
      <c r="C14" s="5" t="s">
        <v>1430</v>
      </c>
      <c r="D14" s="5" t="s">
        <v>1618</v>
      </c>
      <c r="E14" s="6">
        <v>90189084</v>
      </c>
      <c r="F14" s="6">
        <v>4</v>
      </c>
      <c r="G14" s="6">
        <f t="shared" si="1"/>
        <v>2</v>
      </c>
      <c r="H14" s="6" t="s">
        <v>1622</v>
      </c>
      <c r="I14" s="5">
        <v>18.760000000000002</v>
      </c>
      <c r="J14" s="5">
        <f t="shared" si="0"/>
        <v>75.040000000000006</v>
      </c>
    </row>
    <row r="15" spans="1:10" x14ac:dyDescent="0.25">
      <c r="A15" s="9">
        <v>587</v>
      </c>
      <c r="B15" s="5" t="s">
        <v>835</v>
      </c>
      <c r="C15" s="5" t="s">
        <v>836</v>
      </c>
      <c r="D15" s="5" t="s">
        <v>1618</v>
      </c>
      <c r="E15" s="6">
        <v>90189084</v>
      </c>
      <c r="F15" s="6">
        <v>2</v>
      </c>
      <c r="G15" s="6">
        <f t="shared" si="1"/>
        <v>1</v>
      </c>
      <c r="H15" s="6" t="s">
        <v>1622</v>
      </c>
      <c r="I15" s="5">
        <v>23.57</v>
      </c>
      <c r="J15" s="5">
        <f t="shared" si="0"/>
        <v>47.14</v>
      </c>
    </row>
    <row r="16" spans="1:10" x14ac:dyDescent="0.25">
      <c r="A16" s="9">
        <v>588</v>
      </c>
      <c r="B16" s="5" t="s">
        <v>1001</v>
      </c>
      <c r="C16" s="5" t="s">
        <v>1002</v>
      </c>
      <c r="D16" s="5" t="s">
        <v>1618</v>
      </c>
      <c r="E16" s="6">
        <v>90189084</v>
      </c>
      <c r="F16" s="6">
        <v>4</v>
      </c>
      <c r="G16" s="6">
        <f t="shared" si="1"/>
        <v>2</v>
      </c>
      <c r="H16" s="6" t="s">
        <v>1622</v>
      </c>
      <c r="I16" s="5">
        <v>29.48</v>
      </c>
      <c r="J16" s="5">
        <f t="shared" si="0"/>
        <v>117.92</v>
      </c>
    </row>
    <row r="17" spans="1:10" x14ac:dyDescent="0.25">
      <c r="A17" s="9">
        <v>589</v>
      </c>
      <c r="B17" s="5" t="s">
        <v>662</v>
      </c>
      <c r="C17" s="5" t="s">
        <v>663</v>
      </c>
      <c r="D17" s="5" t="s">
        <v>1618</v>
      </c>
      <c r="E17" s="6">
        <v>90189084</v>
      </c>
      <c r="F17" s="6">
        <v>2</v>
      </c>
      <c r="G17" s="6">
        <f t="shared" si="1"/>
        <v>1</v>
      </c>
      <c r="H17" s="6" t="s">
        <v>1622</v>
      </c>
      <c r="I17" s="5">
        <v>40.1</v>
      </c>
      <c r="J17" s="5">
        <f t="shared" si="0"/>
        <v>80.2</v>
      </c>
    </row>
    <row r="18" spans="1:10" x14ac:dyDescent="0.25">
      <c r="A18" s="9">
        <v>590</v>
      </c>
      <c r="B18" s="5" t="s">
        <v>1431</v>
      </c>
      <c r="C18" s="5" t="s">
        <v>1432</v>
      </c>
      <c r="D18" s="5" t="s">
        <v>1618</v>
      </c>
      <c r="E18" s="6">
        <v>90189084</v>
      </c>
      <c r="F18" s="6">
        <v>2</v>
      </c>
      <c r="G18" s="6">
        <f t="shared" si="1"/>
        <v>1</v>
      </c>
      <c r="H18" s="6" t="s">
        <v>1622</v>
      </c>
      <c r="I18" s="5">
        <v>33.950000000000003</v>
      </c>
      <c r="J18" s="5">
        <f t="shared" si="0"/>
        <v>67.900000000000006</v>
      </c>
    </row>
    <row r="19" spans="1:10" x14ac:dyDescent="0.25">
      <c r="A19" s="9">
        <v>591</v>
      </c>
      <c r="B19" s="5" t="s">
        <v>1433</v>
      </c>
      <c r="C19" s="5" t="s">
        <v>1434</v>
      </c>
      <c r="D19" s="5" t="s">
        <v>1618</v>
      </c>
      <c r="E19" s="6">
        <v>90189084</v>
      </c>
      <c r="F19" s="6">
        <v>4</v>
      </c>
      <c r="G19" s="6">
        <f t="shared" si="1"/>
        <v>2</v>
      </c>
      <c r="H19" s="6" t="s">
        <v>1622</v>
      </c>
      <c r="I19" s="5">
        <v>14.32</v>
      </c>
      <c r="J19" s="5">
        <f t="shared" si="0"/>
        <v>57.28</v>
      </c>
    </row>
    <row r="20" spans="1:10" x14ac:dyDescent="0.25">
      <c r="A20" s="9">
        <v>592</v>
      </c>
      <c r="B20" s="5" t="s">
        <v>268</v>
      </c>
      <c r="C20" s="5" t="s">
        <v>269</v>
      </c>
      <c r="D20" s="5" t="s">
        <v>1619</v>
      </c>
      <c r="E20" s="6">
        <v>90183900</v>
      </c>
      <c r="F20" s="6">
        <v>2</v>
      </c>
      <c r="G20" s="6">
        <f t="shared" si="1"/>
        <v>1</v>
      </c>
      <c r="H20" s="6" t="s">
        <v>1622</v>
      </c>
      <c r="I20" s="5">
        <v>12.37</v>
      </c>
      <c r="J20" s="5">
        <f t="shared" si="0"/>
        <v>24.74</v>
      </c>
    </row>
    <row r="21" spans="1:10" x14ac:dyDescent="0.25">
      <c r="A21" s="9">
        <v>593</v>
      </c>
      <c r="B21" s="5" t="s">
        <v>1435</v>
      </c>
      <c r="C21" s="5" t="s">
        <v>503</v>
      </c>
      <c r="D21" s="5" t="s">
        <v>1618</v>
      </c>
      <c r="E21" s="6">
        <v>90189084</v>
      </c>
      <c r="F21" s="6">
        <v>2</v>
      </c>
      <c r="G21" s="6">
        <f t="shared" si="1"/>
        <v>1</v>
      </c>
      <c r="H21" s="6" t="s">
        <v>1622</v>
      </c>
      <c r="I21" s="5">
        <v>79.569999999999993</v>
      </c>
      <c r="J21" s="5">
        <f t="shared" si="0"/>
        <v>159.13999999999999</v>
      </c>
    </row>
    <row r="22" spans="1:10" x14ac:dyDescent="0.25">
      <c r="A22" s="9">
        <v>594</v>
      </c>
      <c r="B22" s="5" t="s">
        <v>1081</v>
      </c>
      <c r="C22" s="5" t="s">
        <v>1082</v>
      </c>
      <c r="D22" s="5" t="s">
        <v>1618</v>
      </c>
      <c r="E22" s="6">
        <v>90189084</v>
      </c>
      <c r="F22" s="6">
        <v>2</v>
      </c>
      <c r="G22" s="6">
        <f t="shared" si="1"/>
        <v>1</v>
      </c>
      <c r="H22" s="6" t="s">
        <v>1622</v>
      </c>
      <c r="I22" s="5">
        <v>20.47</v>
      </c>
      <c r="J22" s="5">
        <f t="shared" si="0"/>
        <v>40.94</v>
      </c>
    </row>
    <row r="23" spans="1:10" x14ac:dyDescent="0.25">
      <c r="A23" s="9">
        <v>595</v>
      </c>
      <c r="B23" s="5" t="s">
        <v>1221</v>
      </c>
      <c r="C23" s="5" t="s">
        <v>1222</v>
      </c>
      <c r="D23" s="5" t="s">
        <v>1618</v>
      </c>
      <c r="E23" s="6">
        <v>90189084</v>
      </c>
      <c r="F23" s="6">
        <v>2</v>
      </c>
      <c r="G23" s="6">
        <f t="shared" si="1"/>
        <v>1</v>
      </c>
      <c r="H23" s="6" t="s">
        <v>1622</v>
      </c>
      <c r="I23" s="5">
        <v>21.47</v>
      </c>
      <c r="J23" s="5">
        <f t="shared" si="0"/>
        <v>42.94</v>
      </c>
    </row>
    <row r="24" spans="1:10" x14ac:dyDescent="0.25">
      <c r="A24" s="9">
        <v>596</v>
      </c>
      <c r="B24" s="5" t="s">
        <v>1436</v>
      </c>
      <c r="C24" s="5" t="s">
        <v>1437</v>
      </c>
      <c r="D24" s="5" t="s">
        <v>1618</v>
      </c>
      <c r="E24" s="6">
        <v>90189084</v>
      </c>
      <c r="F24" s="6">
        <v>4</v>
      </c>
      <c r="G24" s="6">
        <f t="shared" si="1"/>
        <v>2</v>
      </c>
      <c r="H24" s="6" t="s">
        <v>1622</v>
      </c>
      <c r="I24" s="5">
        <v>10.73</v>
      </c>
      <c r="J24" s="5">
        <f t="shared" si="0"/>
        <v>42.92</v>
      </c>
    </row>
    <row r="25" spans="1:10" x14ac:dyDescent="0.25">
      <c r="A25" s="9">
        <v>597</v>
      </c>
      <c r="B25" s="5" t="s">
        <v>873</v>
      </c>
      <c r="C25" s="5" t="s">
        <v>874</v>
      </c>
      <c r="D25" s="5" t="s">
        <v>1618</v>
      </c>
      <c r="E25" s="6">
        <v>76169990</v>
      </c>
      <c r="F25" s="6">
        <v>2</v>
      </c>
      <c r="G25" s="6">
        <f t="shared" si="1"/>
        <v>1</v>
      </c>
      <c r="H25" s="6" t="s">
        <v>1622</v>
      </c>
      <c r="I25" s="5">
        <v>303.89999999999998</v>
      </c>
      <c r="J25" s="5">
        <f t="shared" si="0"/>
        <v>607.79999999999995</v>
      </c>
    </row>
    <row r="26" spans="1:10" x14ac:dyDescent="0.25">
      <c r="A26" s="9">
        <v>598</v>
      </c>
      <c r="B26" s="5" t="s">
        <v>871</v>
      </c>
      <c r="C26" s="5" t="s">
        <v>872</v>
      </c>
      <c r="D26" s="5" t="s">
        <v>1618</v>
      </c>
      <c r="E26" s="6">
        <v>73269098</v>
      </c>
      <c r="F26" s="6">
        <v>2</v>
      </c>
      <c r="G26" s="6">
        <f t="shared" si="1"/>
        <v>1</v>
      </c>
      <c r="H26" s="6" t="s">
        <v>1622</v>
      </c>
      <c r="I26" s="5">
        <v>48.76</v>
      </c>
      <c r="J26" s="5">
        <f t="shared" si="0"/>
        <v>97.52</v>
      </c>
    </row>
    <row r="27" spans="1:10" x14ac:dyDescent="0.25">
      <c r="A27" s="9">
        <v>599</v>
      </c>
      <c r="B27" s="5" t="s">
        <v>288</v>
      </c>
      <c r="C27" s="5" t="s">
        <v>289</v>
      </c>
      <c r="D27" s="5" t="s">
        <v>1618</v>
      </c>
      <c r="E27" s="6">
        <v>39269097</v>
      </c>
      <c r="F27" s="6">
        <v>4</v>
      </c>
      <c r="G27" s="6">
        <f t="shared" si="1"/>
        <v>2</v>
      </c>
      <c r="H27" s="6" t="s">
        <v>1622</v>
      </c>
      <c r="I27" s="5">
        <v>4.0999999999999996</v>
      </c>
      <c r="J27" s="5">
        <f t="shared" si="0"/>
        <v>16.399999999999999</v>
      </c>
    </row>
    <row r="28" spans="1:10" x14ac:dyDescent="0.25">
      <c r="A28" s="9">
        <v>600</v>
      </c>
      <c r="B28" s="5" t="s">
        <v>510</v>
      </c>
      <c r="C28" s="5" t="s">
        <v>511</v>
      </c>
      <c r="D28" s="5" t="s">
        <v>1619</v>
      </c>
      <c r="E28" s="6">
        <v>90189084</v>
      </c>
      <c r="F28" s="6">
        <v>30</v>
      </c>
      <c r="G28" s="6">
        <f t="shared" si="1"/>
        <v>15</v>
      </c>
      <c r="H28" s="6" t="s">
        <v>1622</v>
      </c>
      <c r="I28" s="5">
        <v>14.49</v>
      </c>
      <c r="J28" s="5">
        <f t="shared" si="0"/>
        <v>434.7</v>
      </c>
    </row>
    <row r="29" spans="1:10" x14ac:dyDescent="0.25">
      <c r="A29" s="9">
        <v>601</v>
      </c>
      <c r="B29" s="5" t="s">
        <v>512</v>
      </c>
      <c r="C29" s="5" t="s">
        <v>513</v>
      </c>
      <c r="D29" s="5" t="s">
        <v>1619</v>
      </c>
      <c r="E29" s="6">
        <v>90189084</v>
      </c>
      <c r="F29" s="6">
        <v>30</v>
      </c>
      <c r="G29" s="6">
        <f t="shared" si="1"/>
        <v>15</v>
      </c>
      <c r="H29" s="6" t="s">
        <v>1622</v>
      </c>
      <c r="I29" s="5">
        <v>15.12</v>
      </c>
      <c r="J29" s="5">
        <f t="shared" si="0"/>
        <v>453.59999999999997</v>
      </c>
    </row>
    <row r="30" spans="1:10" x14ac:dyDescent="0.25">
      <c r="A30" s="9">
        <v>602</v>
      </c>
      <c r="B30" s="5" t="s">
        <v>408</v>
      </c>
      <c r="C30" s="5" t="s">
        <v>409</v>
      </c>
      <c r="D30" s="5" t="s">
        <v>1618</v>
      </c>
      <c r="E30" s="6">
        <v>90189084</v>
      </c>
      <c r="F30" s="6">
        <v>4</v>
      </c>
      <c r="G30" s="6">
        <f t="shared" si="1"/>
        <v>2</v>
      </c>
      <c r="H30" s="6" t="s">
        <v>1622</v>
      </c>
      <c r="I30" s="5">
        <v>41.21</v>
      </c>
      <c r="J30" s="5">
        <f t="shared" si="0"/>
        <v>164.84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2474-940C-4871-A090-B2C042F4A42F}">
  <dimension ref="A1:K57"/>
  <sheetViews>
    <sheetView workbookViewId="0">
      <selection activeCell="G3" sqref="G3:G57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1675</v>
      </c>
      <c r="D2" s="11"/>
      <c r="E2" s="12"/>
      <c r="F2" s="12">
        <v>4</v>
      </c>
      <c r="G2" s="12"/>
      <c r="H2" s="12"/>
      <c r="I2" s="2"/>
      <c r="J2" s="13"/>
    </row>
    <row r="3" spans="1:10" x14ac:dyDescent="0.25">
      <c r="A3" s="9">
        <v>603</v>
      </c>
      <c r="B3" s="5" t="s">
        <v>22</v>
      </c>
      <c r="C3" s="5" t="s">
        <v>23</v>
      </c>
      <c r="D3" s="5" t="s">
        <v>1618</v>
      </c>
      <c r="E3" s="6">
        <v>90189084</v>
      </c>
      <c r="F3" s="6">
        <v>4</v>
      </c>
      <c r="G3" s="6">
        <f>F3/$F$2</f>
        <v>1</v>
      </c>
      <c r="H3" s="6" t="s">
        <v>1622</v>
      </c>
      <c r="I3" s="5">
        <v>3.63</v>
      </c>
      <c r="J3" s="5">
        <f t="shared" ref="J3:J28" si="0">F3*I3</f>
        <v>14.52</v>
      </c>
    </row>
    <row r="4" spans="1:10" x14ac:dyDescent="0.25">
      <c r="A4" s="9">
        <v>604</v>
      </c>
      <c r="B4" s="5" t="s">
        <v>937</v>
      </c>
      <c r="C4" s="5" t="s">
        <v>938</v>
      </c>
      <c r="D4" s="5" t="s">
        <v>1618</v>
      </c>
      <c r="E4" s="6">
        <v>90189084</v>
      </c>
      <c r="F4" s="6">
        <v>8</v>
      </c>
      <c r="G4" s="6">
        <f t="shared" ref="G4:G57" si="1">F4/$F$2</f>
        <v>2</v>
      </c>
      <c r="H4" s="6" t="s">
        <v>1622</v>
      </c>
      <c r="I4" s="5">
        <v>115.21</v>
      </c>
      <c r="J4" s="5">
        <f t="shared" si="0"/>
        <v>921.68</v>
      </c>
    </row>
    <row r="5" spans="1:10" x14ac:dyDescent="0.25">
      <c r="A5" s="9">
        <v>605</v>
      </c>
      <c r="B5" s="5" t="s">
        <v>510</v>
      </c>
      <c r="C5" s="5" t="s">
        <v>511</v>
      </c>
      <c r="D5" s="5" t="s">
        <v>1619</v>
      </c>
      <c r="E5" s="6">
        <v>90189084</v>
      </c>
      <c r="F5" s="6">
        <v>24</v>
      </c>
      <c r="G5" s="6">
        <f t="shared" si="1"/>
        <v>6</v>
      </c>
      <c r="H5" s="6" t="s">
        <v>1622</v>
      </c>
      <c r="I5" s="5">
        <v>14.24</v>
      </c>
      <c r="J5" s="5">
        <f t="shared" si="0"/>
        <v>341.76</v>
      </c>
    </row>
    <row r="6" spans="1:10" x14ac:dyDescent="0.25">
      <c r="A6" s="9">
        <v>606</v>
      </c>
      <c r="B6" s="5" t="s">
        <v>512</v>
      </c>
      <c r="C6" s="5" t="s">
        <v>513</v>
      </c>
      <c r="D6" s="5" t="s">
        <v>1619</v>
      </c>
      <c r="E6" s="6">
        <v>90189084</v>
      </c>
      <c r="F6" s="6">
        <v>24</v>
      </c>
      <c r="G6" s="6">
        <f t="shared" si="1"/>
        <v>6</v>
      </c>
      <c r="H6" s="6" t="s">
        <v>1622</v>
      </c>
      <c r="I6" s="5">
        <v>14.86</v>
      </c>
      <c r="J6" s="5">
        <f t="shared" si="0"/>
        <v>356.64</v>
      </c>
    </row>
    <row r="7" spans="1:10" x14ac:dyDescent="0.25">
      <c r="A7" s="9">
        <v>607</v>
      </c>
      <c r="B7" s="5" t="s">
        <v>1045</v>
      </c>
      <c r="C7" s="5" t="s">
        <v>1046</v>
      </c>
      <c r="D7" s="5" t="s">
        <v>1619</v>
      </c>
      <c r="E7" s="6">
        <v>90189084</v>
      </c>
      <c r="F7" s="6">
        <v>4</v>
      </c>
      <c r="G7" s="6">
        <f t="shared" si="1"/>
        <v>1</v>
      </c>
      <c r="H7" s="6" t="s">
        <v>1622</v>
      </c>
      <c r="I7" s="5">
        <v>36.270000000000003</v>
      </c>
      <c r="J7" s="5">
        <f t="shared" si="0"/>
        <v>145.08000000000001</v>
      </c>
    </row>
    <row r="8" spans="1:10" x14ac:dyDescent="0.25">
      <c r="A8" s="9">
        <v>608</v>
      </c>
      <c r="B8" s="5" t="s">
        <v>797</v>
      </c>
      <c r="C8" s="5" t="s">
        <v>798</v>
      </c>
      <c r="D8" s="5" t="s">
        <v>1619</v>
      </c>
      <c r="E8" s="6">
        <v>90189084</v>
      </c>
      <c r="F8" s="6">
        <v>4</v>
      </c>
      <c r="G8" s="6">
        <f t="shared" si="1"/>
        <v>1</v>
      </c>
      <c r="H8" s="6" t="s">
        <v>1622</v>
      </c>
      <c r="I8" s="5">
        <v>16</v>
      </c>
      <c r="J8" s="5">
        <f t="shared" si="0"/>
        <v>64</v>
      </c>
    </row>
    <row r="9" spans="1:10" x14ac:dyDescent="0.25">
      <c r="A9" s="9">
        <v>609</v>
      </c>
      <c r="B9" s="5" t="s">
        <v>1047</v>
      </c>
      <c r="C9" s="5" t="s">
        <v>1048</v>
      </c>
      <c r="D9" s="5" t="s">
        <v>1619</v>
      </c>
      <c r="E9" s="6">
        <v>90189084</v>
      </c>
      <c r="F9" s="6">
        <v>4</v>
      </c>
      <c r="G9" s="6">
        <f t="shared" si="1"/>
        <v>1</v>
      </c>
      <c r="H9" s="6" t="s">
        <v>1622</v>
      </c>
      <c r="I9" s="5">
        <v>16.829999999999998</v>
      </c>
      <c r="J9" s="5">
        <f t="shared" si="0"/>
        <v>67.319999999999993</v>
      </c>
    </row>
    <row r="10" spans="1:10" x14ac:dyDescent="0.25">
      <c r="A10" s="9">
        <v>610</v>
      </c>
      <c r="B10" s="5" t="s">
        <v>178</v>
      </c>
      <c r="C10" s="5" t="s">
        <v>179</v>
      </c>
      <c r="D10" s="5" t="s">
        <v>1618</v>
      </c>
      <c r="E10" s="6">
        <v>90189084</v>
      </c>
      <c r="F10" s="6">
        <v>4</v>
      </c>
      <c r="G10" s="6">
        <f t="shared" si="1"/>
        <v>1</v>
      </c>
      <c r="H10" s="6" t="s">
        <v>1622</v>
      </c>
      <c r="I10" s="5">
        <v>12.77</v>
      </c>
      <c r="J10" s="5">
        <f t="shared" si="0"/>
        <v>51.08</v>
      </c>
    </row>
    <row r="11" spans="1:10" x14ac:dyDescent="0.25">
      <c r="A11" s="9">
        <v>611</v>
      </c>
      <c r="B11" s="5" t="s">
        <v>1049</v>
      </c>
      <c r="C11" s="5" t="s">
        <v>1050</v>
      </c>
      <c r="D11" s="5" t="s">
        <v>1618</v>
      </c>
      <c r="E11" s="6">
        <v>90189084</v>
      </c>
      <c r="F11" s="6">
        <v>4</v>
      </c>
      <c r="G11" s="6">
        <f t="shared" si="1"/>
        <v>1</v>
      </c>
      <c r="H11" s="6" t="s">
        <v>1622</v>
      </c>
      <c r="I11" s="5">
        <v>25.45</v>
      </c>
      <c r="J11" s="5">
        <f t="shared" si="0"/>
        <v>101.8</v>
      </c>
    </row>
    <row r="12" spans="1:10" x14ac:dyDescent="0.25">
      <c r="A12" s="9">
        <v>612</v>
      </c>
      <c r="B12" s="5" t="s">
        <v>1051</v>
      </c>
      <c r="C12" s="5" t="s">
        <v>1052</v>
      </c>
      <c r="D12" s="5" t="s">
        <v>1618</v>
      </c>
      <c r="E12" s="6">
        <v>90189084</v>
      </c>
      <c r="F12" s="6">
        <v>4</v>
      </c>
      <c r="G12" s="6">
        <f t="shared" si="1"/>
        <v>1</v>
      </c>
      <c r="H12" s="6" t="s">
        <v>1622</v>
      </c>
      <c r="I12" s="5">
        <v>18.739999999999998</v>
      </c>
      <c r="J12" s="5">
        <f t="shared" si="0"/>
        <v>74.959999999999994</v>
      </c>
    </row>
    <row r="13" spans="1:10" x14ac:dyDescent="0.25">
      <c r="A13" s="9">
        <v>613</v>
      </c>
      <c r="B13" s="5" t="s">
        <v>340</v>
      </c>
      <c r="C13" s="5" t="s">
        <v>341</v>
      </c>
      <c r="D13" s="5" t="s">
        <v>1618</v>
      </c>
      <c r="E13" s="6">
        <v>90189084</v>
      </c>
      <c r="F13" s="6">
        <v>4</v>
      </c>
      <c r="G13" s="6">
        <f t="shared" si="1"/>
        <v>1</v>
      </c>
      <c r="H13" s="6" t="s">
        <v>1622</v>
      </c>
      <c r="I13" s="5">
        <v>12.03</v>
      </c>
      <c r="J13" s="5">
        <f t="shared" si="0"/>
        <v>48.12</v>
      </c>
    </row>
    <row r="14" spans="1:10" x14ac:dyDescent="0.25">
      <c r="A14" s="9">
        <v>614</v>
      </c>
      <c r="B14" s="5" t="s">
        <v>1053</v>
      </c>
      <c r="C14" s="5" t="s">
        <v>1054</v>
      </c>
      <c r="D14" s="5" t="s">
        <v>1618</v>
      </c>
      <c r="E14" s="6">
        <v>90189084</v>
      </c>
      <c r="F14" s="6">
        <v>4</v>
      </c>
      <c r="G14" s="6">
        <f t="shared" si="1"/>
        <v>1</v>
      </c>
      <c r="H14" s="6" t="s">
        <v>1622</v>
      </c>
      <c r="I14" s="5">
        <v>9.39</v>
      </c>
      <c r="J14" s="5">
        <f t="shared" si="0"/>
        <v>37.56</v>
      </c>
    </row>
    <row r="15" spans="1:10" x14ac:dyDescent="0.25">
      <c r="A15" s="9">
        <v>615</v>
      </c>
      <c r="B15" s="5" t="s">
        <v>1055</v>
      </c>
      <c r="C15" s="5" t="s">
        <v>1056</v>
      </c>
      <c r="D15" s="5" t="s">
        <v>1618</v>
      </c>
      <c r="E15" s="6">
        <v>90189084</v>
      </c>
      <c r="F15" s="6">
        <v>4</v>
      </c>
      <c r="G15" s="6">
        <f t="shared" si="1"/>
        <v>1</v>
      </c>
      <c r="H15" s="6" t="s">
        <v>1622</v>
      </c>
      <c r="I15" s="5">
        <v>54.19</v>
      </c>
      <c r="J15" s="5">
        <f t="shared" si="0"/>
        <v>216.76</v>
      </c>
    </row>
    <row r="16" spans="1:10" x14ac:dyDescent="0.25">
      <c r="A16" s="9">
        <v>616</v>
      </c>
      <c r="B16" s="5" t="s">
        <v>1057</v>
      </c>
      <c r="C16" s="5" t="s">
        <v>1058</v>
      </c>
      <c r="D16" s="5" t="s">
        <v>1618</v>
      </c>
      <c r="E16" s="6">
        <v>90189084</v>
      </c>
      <c r="F16" s="6">
        <v>4</v>
      </c>
      <c r="G16" s="6">
        <f t="shared" si="1"/>
        <v>1</v>
      </c>
      <c r="H16" s="6" t="s">
        <v>1622</v>
      </c>
      <c r="I16" s="5">
        <v>91.54</v>
      </c>
      <c r="J16" s="5">
        <f t="shared" si="0"/>
        <v>366.16</v>
      </c>
    </row>
    <row r="17" spans="1:10" x14ac:dyDescent="0.25">
      <c r="A17" s="9">
        <v>617</v>
      </c>
      <c r="B17" s="5" t="s">
        <v>771</v>
      </c>
      <c r="C17" s="5" t="s">
        <v>772</v>
      </c>
      <c r="D17" s="5" t="s">
        <v>1618</v>
      </c>
      <c r="E17" s="6">
        <v>90189084</v>
      </c>
      <c r="F17" s="6">
        <v>4</v>
      </c>
      <c r="G17" s="6">
        <f t="shared" si="1"/>
        <v>1</v>
      </c>
      <c r="H17" s="6" t="s">
        <v>1622</v>
      </c>
      <c r="I17" s="5">
        <v>34.46</v>
      </c>
      <c r="J17" s="5">
        <f t="shared" si="0"/>
        <v>137.84</v>
      </c>
    </row>
    <row r="18" spans="1:10" x14ac:dyDescent="0.25">
      <c r="A18" s="9">
        <v>618</v>
      </c>
      <c r="B18" s="5" t="s">
        <v>502</v>
      </c>
      <c r="C18" s="5" t="s">
        <v>503</v>
      </c>
      <c r="D18" s="5" t="s">
        <v>1619</v>
      </c>
      <c r="E18" s="6">
        <v>90189084</v>
      </c>
      <c r="F18" s="6">
        <v>4</v>
      </c>
      <c r="G18" s="6">
        <f t="shared" si="1"/>
        <v>1</v>
      </c>
      <c r="H18" s="6" t="s">
        <v>1622</v>
      </c>
      <c r="I18" s="5">
        <v>31.61</v>
      </c>
      <c r="J18" s="5">
        <f t="shared" si="0"/>
        <v>126.44</v>
      </c>
    </row>
    <row r="19" spans="1:10" x14ac:dyDescent="0.25">
      <c r="A19" s="9">
        <v>619</v>
      </c>
      <c r="B19" s="5" t="s">
        <v>761</v>
      </c>
      <c r="C19" s="5" t="s">
        <v>762</v>
      </c>
      <c r="D19" s="5" t="s">
        <v>1618</v>
      </c>
      <c r="E19" s="6">
        <v>90189084</v>
      </c>
      <c r="F19" s="6">
        <v>4</v>
      </c>
      <c r="G19" s="6">
        <f t="shared" si="1"/>
        <v>1</v>
      </c>
      <c r="H19" s="6" t="s">
        <v>1622</v>
      </c>
      <c r="I19" s="5">
        <v>72.489999999999995</v>
      </c>
      <c r="J19" s="5">
        <f t="shared" si="0"/>
        <v>289.95999999999998</v>
      </c>
    </row>
    <row r="20" spans="1:10" x14ac:dyDescent="0.25">
      <c r="A20" s="9">
        <v>620</v>
      </c>
      <c r="B20" s="5" t="s">
        <v>757</v>
      </c>
      <c r="C20" s="5" t="s">
        <v>758</v>
      </c>
      <c r="D20" s="5" t="s">
        <v>1618</v>
      </c>
      <c r="E20" s="6">
        <v>90189084</v>
      </c>
      <c r="F20" s="6">
        <v>4</v>
      </c>
      <c r="G20" s="6">
        <f t="shared" si="1"/>
        <v>1</v>
      </c>
      <c r="H20" s="6" t="s">
        <v>1622</v>
      </c>
      <c r="I20" s="5">
        <v>72.489999999999995</v>
      </c>
      <c r="J20" s="5">
        <f t="shared" si="0"/>
        <v>289.95999999999998</v>
      </c>
    </row>
    <row r="21" spans="1:10" x14ac:dyDescent="0.25">
      <c r="A21" s="9">
        <v>621</v>
      </c>
      <c r="B21" s="5" t="s">
        <v>1059</v>
      </c>
      <c r="C21" s="5" t="s">
        <v>1060</v>
      </c>
      <c r="D21" s="5" t="s">
        <v>1618</v>
      </c>
      <c r="E21" s="6">
        <v>90189084</v>
      </c>
      <c r="F21" s="6">
        <v>4</v>
      </c>
      <c r="G21" s="6">
        <f t="shared" si="1"/>
        <v>1</v>
      </c>
      <c r="H21" s="6" t="s">
        <v>1622</v>
      </c>
      <c r="I21" s="5">
        <v>37.93</v>
      </c>
      <c r="J21" s="5">
        <f t="shared" si="0"/>
        <v>151.72</v>
      </c>
    </row>
    <row r="22" spans="1:10" x14ac:dyDescent="0.25">
      <c r="A22" s="9">
        <v>622</v>
      </c>
      <c r="B22" s="5" t="s">
        <v>1061</v>
      </c>
      <c r="C22" s="5" t="s">
        <v>1062</v>
      </c>
      <c r="D22" s="5" t="s">
        <v>1618</v>
      </c>
      <c r="E22" s="6">
        <v>90189084</v>
      </c>
      <c r="F22" s="6">
        <v>4</v>
      </c>
      <c r="G22" s="6">
        <f t="shared" si="1"/>
        <v>1</v>
      </c>
      <c r="H22" s="6" t="s">
        <v>1622</v>
      </c>
      <c r="I22" s="5">
        <v>35.65</v>
      </c>
      <c r="J22" s="5">
        <f t="shared" si="0"/>
        <v>142.6</v>
      </c>
    </row>
    <row r="23" spans="1:10" x14ac:dyDescent="0.25">
      <c r="A23" s="9">
        <v>623</v>
      </c>
      <c r="B23" s="5" t="s">
        <v>1063</v>
      </c>
      <c r="C23" s="5" t="s">
        <v>1064</v>
      </c>
      <c r="D23" s="5" t="s">
        <v>1618</v>
      </c>
      <c r="E23" s="6">
        <v>90189084</v>
      </c>
      <c r="F23" s="6">
        <v>8</v>
      </c>
      <c r="G23" s="6">
        <f t="shared" si="1"/>
        <v>2</v>
      </c>
      <c r="H23" s="6" t="s">
        <v>1622</v>
      </c>
      <c r="I23" s="5">
        <v>41.59</v>
      </c>
      <c r="J23" s="5">
        <f t="shared" si="0"/>
        <v>332.72</v>
      </c>
    </row>
    <row r="24" spans="1:10" x14ac:dyDescent="0.25">
      <c r="A24" s="9">
        <v>624</v>
      </c>
      <c r="B24" s="5" t="s">
        <v>1065</v>
      </c>
      <c r="C24" s="5" t="s">
        <v>1066</v>
      </c>
      <c r="D24" s="5" t="s">
        <v>1618</v>
      </c>
      <c r="E24" s="6">
        <v>90189084</v>
      </c>
      <c r="F24" s="6">
        <v>8</v>
      </c>
      <c r="G24" s="6">
        <f t="shared" si="1"/>
        <v>2</v>
      </c>
      <c r="H24" s="6" t="s">
        <v>1622</v>
      </c>
      <c r="I24" s="5">
        <v>46.54</v>
      </c>
      <c r="J24" s="5">
        <f t="shared" si="0"/>
        <v>372.32</v>
      </c>
    </row>
    <row r="25" spans="1:10" x14ac:dyDescent="0.25">
      <c r="A25" s="9">
        <v>625</v>
      </c>
      <c r="B25" s="5" t="s">
        <v>1067</v>
      </c>
      <c r="C25" s="5" t="s">
        <v>1068</v>
      </c>
      <c r="D25" s="5" t="s">
        <v>1618</v>
      </c>
      <c r="E25" s="6">
        <v>90189084</v>
      </c>
      <c r="F25" s="6">
        <v>4</v>
      </c>
      <c r="G25" s="6">
        <f t="shared" si="1"/>
        <v>1</v>
      </c>
      <c r="H25" s="6" t="s">
        <v>1622</v>
      </c>
      <c r="I25" s="5">
        <v>44.53</v>
      </c>
      <c r="J25" s="5">
        <f t="shared" si="0"/>
        <v>178.12</v>
      </c>
    </row>
    <row r="26" spans="1:10" x14ac:dyDescent="0.25">
      <c r="A26" s="9">
        <v>626</v>
      </c>
      <c r="B26" s="5" t="s">
        <v>779</v>
      </c>
      <c r="C26" s="5" t="s">
        <v>780</v>
      </c>
      <c r="D26" s="5" t="s">
        <v>1618</v>
      </c>
      <c r="E26" s="6">
        <v>90189084</v>
      </c>
      <c r="F26" s="6">
        <v>4</v>
      </c>
      <c r="G26" s="6">
        <f t="shared" si="1"/>
        <v>1</v>
      </c>
      <c r="H26" s="6" t="s">
        <v>1622</v>
      </c>
      <c r="I26" s="5">
        <v>70.89</v>
      </c>
      <c r="J26" s="5">
        <f t="shared" si="0"/>
        <v>283.56</v>
      </c>
    </row>
    <row r="27" spans="1:10" x14ac:dyDescent="0.25">
      <c r="A27" s="9">
        <v>627</v>
      </c>
      <c r="B27" s="5" t="s">
        <v>773</v>
      </c>
      <c r="C27" s="5" t="s">
        <v>774</v>
      </c>
      <c r="D27" s="5" t="s">
        <v>1618</v>
      </c>
      <c r="E27" s="6">
        <v>90189084</v>
      </c>
      <c r="F27" s="6">
        <v>8</v>
      </c>
      <c r="G27" s="6">
        <f t="shared" si="1"/>
        <v>2</v>
      </c>
      <c r="H27" s="6" t="s">
        <v>1622</v>
      </c>
      <c r="I27" s="5">
        <v>19.54</v>
      </c>
      <c r="J27" s="5">
        <f t="shared" si="0"/>
        <v>156.32</v>
      </c>
    </row>
    <row r="28" spans="1:10" x14ac:dyDescent="0.25">
      <c r="A28" s="9">
        <v>628</v>
      </c>
      <c r="B28" s="5" t="s">
        <v>1069</v>
      </c>
      <c r="C28" s="5" t="s">
        <v>1070</v>
      </c>
      <c r="D28" s="5" t="s">
        <v>1618</v>
      </c>
      <c r="E28" s="6">
        <v>90189084</v>
      </c>
      <c r="F28" s="6">
        <v>4</v>
      </c>
      <c r="G28" s="6">
        <f t="shared" si="1"/>
        <v>1</v>
      </c>
      <c r="H28" s="6" t="s">
        <v>1622</v>
      </c>
      <c r="I28" s="5">
        <v>87.04</v>
      </c>
      <c r="J28" s="5">
        <f t="shared" si="0"/>
        <v>348.16</v>
      </c>
    </row>
    <row r="29" spans="1:10" x14ac:dyDescent="0.25">
      <c r="A29" s="9">
        <v>629</v>
      </c>
      <c r="B29" s="5" t="s">
        <v>1071</v>
      </c>
      <c r="C29" s="5" t="s">
        <v>1072</v>
      </c>
      <c r="D29" s="5" t="s">
        <v>1618</v>
      </c>
      <c r="E29" s="6">
        <v>90189084</v>
      </c>
      <c r="F29" s="6">
        <v>4</v>
      </c>
      <c r="G29" s="6">
        <f t="shared" si="1"/>
        <v>1</v>
      </c>
      <c r="H29" s="6" t="s">
        <v>1622</v>
      </c>
      <c r="I29" s="5">
        <v>87.04</v>
      </c>
      <c r="J29" s="5">
        <f t="shared" ref="J29:J57" si="2">F29*I29</f>
        <v>348.16</v>
      </c>
    </row>
    <row r="30" spans="1:10" x14ac:dyDescent="0.25">
      <c r="A30" s="9">
        <v>630</v>
      </c>
      <c r="B30" s="5" t="s">
        <v>1073</v>
      </c>
      <c r="C30" s="5" t="s">
        <v>1074</v>
      </c>
      <c r="D30" s="5" t="s">
        <v>1618</v>
      </c>
      <c r="E30" s="6">
        <v>90189084</v>
      </c>
      <c r="F30" s="6">
        <v>4</v>
      </c>
      <c r="G30" s="6">
        <f t="shared" si="1"/>
        <v>1</v>
      </c>
      <c r="H30" s="6" t="s">
        <v>1622</v>
      </c>
      <c r="I30" s="5">
        <v>49.31</v>
      </c>
      <c r="J30" s="5">
        <f t="shared" si="2"/>
        <v>197.24</v>
      </c>
    </row>
    <row r="31" spans="1:10" x14ac:dyDescent="0.25">
      <c r="A31" s="9">
        <v>631</v>
      </c>
      <c r="B31" s="5" t="s">
        <v>1075</v>
      </c>
      <c r="C31" s="5" t="s">
        <v>1076</v>
      </c>
      <c r="D31" s="5" t="s">
        <v>1618</v>
      </c>
      <c r="E31" s="6">
        <v>90189084</v>
      </c>
      <c r="F31" s="6">
        <v>4</v>
      </c>
      <c r="G31" s="6">
        <f t="shared" si="1"/>
        <v>1</v>
      </c>
      <c r="H31" s="6" t="s">
        <v>1622</v>
      </c>
      <c r="I31" s="5">
        <v>49.31</v>
      </c>
      <c r="J31" s="5">
        <f t="shared" si="2"/>
        <v>197.24</v>
      </c>
    </row>
    <row r="32" spans="1:10" x14ac:dyDescent="0.25">
      <c r="A32" s="9">
        <v>632</v>
      </c>
      <c r="B32" s="5" t="s">
        <v>1077</v>
      </c>
      <c r="C32" s="5" t="s">
        <v>1078</v>
      </c>
      <c r="D32" s="5" t="s">
        <v>1618</v>
      </c>
      <c r="E32" s="6">
        <v>90189084</v>
      </c>
      <c r="F32" s="6">
        <v>4</v>
      </c>
      <c r="G32" s="6">
        <f t="shared" si="1"/>
        <v>1</v>
      </c>
      <c r="H32" s="6" t="s">
        <v>1622</v>
      </c>
      <c r="I32" s="5">
        <v>35.97</v>
      </c>
      <c r="J32" s="5">
        <f t="shared" si="2"/>
        <v>143.88</v>
      </c>
    </row>
    <row r="33" spans="1:10" x14ac:dyDescent="0.25">
      <c r="A33" s="9">
        <v>633</v>
      </c>
      <c r="B33" s="5" t="s">
        <v>1079</v>
      </c>
      <c r="C33" s="5" t="s">
        <v>1080</v>
      </c>
      <c r="D33" s="5" t="s">
        <v>1618</v>
      </c>
      <c r="E33" s="6">
        <v>90189084</v>
      </c>
      <c r="F33" s="6">
        <v>4</v>
      </c>
      <c r="G33" s="6">
        <f t="shared" si="1"/>
        <v>1</v>
      </c>
      <c r="H33" s="6" t="s">
        <v>1622</v>
      </c>
      <c r="I33" s="5">
        <v>16.11</v>
      </c>
      <c r="J33" s="5">
        <f t="shared" si="2"/>
        <v>64.44</v>
      </c>
    </row>
    <row r="34" spans="1:10" x14ac:dyDescent="0.25">
      <c r="A34" s="9">
        <v>634</v>
      </c>
      <c r="B34" s="5" t="s">
        <v>1081</v>
      </c>
      <c r="C34" s="5" t="s">
        <v>1082</v>
      </c>
      <c r="D34" s="5" t="s">
        <v>1618</v>
      </c>
      <c r="E34" s="6">
        <v>90189084</v>
      </c>
      <c r="F34" s="6">
        <v>8</v>
      </c>
      <c r="G34" s="6">
        <f t="shared" si="1"/>
        <v>2</v>
      </c>
      <c r="H34" s="6" t="s">
        <v>1622</v>
      </c>
      <c r="I34" s="5">
        <v>20.11</v>
      </c>
      <c r="J34" s="5">
        <f t="shared" si="2"/>
        <v>160.88</v>
      </c>
    </row>
    <row r="35" spans="1:10" x14ac:dyDescent="0.25">
      <c r="A35" s="9">
        <v>635</v>
      </c>
      <c r="B35" s="5" t="s">
        <v>1083</v>
      </c>
      <c r="C35" s="5" t="s">
        <v>1084</v>
      </c>
      <c r="D35" s="5" t="s">
        <v>1618</v>
      </c>
      <c r="E35" s="6">
        <v>90189084</v>
      </c>
      <c r="F35" s="6">
        <v>4</v>
      </c>
      <c r="G35" s="6">
        <f t="shared" si="1"/>
        <v>1</v>
      </c>
      <c r="H35" s="6" t="s">
        <v>1622</v>
      </c>
      <c r="I35" s="5">
        <v>29.9</v>
      </c>
      <c r="J35" s="5">
        <f t="shared" si="2"/>
        <v>119.6</v>
      </c>
    </row>
    <row r="36" spans="1:10" x14ac:dyDescent="0.25">
      <c r="A36" s="9">
        <v>636</v>
      </c>
      <c r="B36" s="5" t="s">
        <v>1085</v>
      </c>
      <c r="C36" s="5" t="s">
        <v>1086</v>
      </c>
      <c r="D36" s="5" t="s">
        <v>1618</v>
      </c>
      <c r="E36" s="6">
        <v>90189084</v>
      </c>
      <c r="F36" s="6">
        <v>8</v>
      </c>
      <c r="G36" s="6">
        <f t="shared" si="1"/>
        <v>2</v>
      </c>
      <c r="H36" s="6" t="s">
        <v>1622</v>
      </c>
      <c r="I36" s="5">
        <v>24.77</v>
      </c>
      <c r="J36" s="5">
        <f t="shared" si="2"/>
        <v>198.16</v>
      </c>
    </row>
    <row r="37" spans="1:10" x14ac:dyDescent="0.25">
      <c r="A37" s="9">
        <v>637</v>
      </c>
      <c r="B37" s="5" t="s">
        <v>1087</v>
      </c>
      <c r="C37" s="5" t="s">
        <v>1088</v>
      </c>
      <c r="D37" s="5" t="s">
        <v>1618</v>
      </c>
      <c r="E37" s="6">
        <v>90189084</v>
      </c>
      <c r="F37" s="6">
        <v>4</v>
      </c>
      <c r="G37" s="6">
        <f t="shared" si="1"/>
        <v>1</v>
      </c>
      <c r="H37" s="6" t="s">
        <v>1622</v>
      </c>
      <c r="I37" s="5">
        <v>63.2</v>
      </c>
      <c r="J37" s="5">
        <f t="shared" si="2"/>
        <v>252.8</v>
      </c>
    </row>
    <row r="38" spans="1:10" x14ac:dyDescent="0.25">
      <c r="A38" s="9">
        <v>638</v>
      </c>
      <c r="B38" s="5" t="s">
        <v>1089</v>
      </c>
      <c r="C38" s="5" t="s">
        <v>1090</v>
      </c>
      <c r="D38" s="5" t="s">
        <v>1618</v>
      </c>
      <c r="E38" s="6">
        <v>90189084</v>
      </c>
      <c r="F38" s="6">
        <v>4</v>
      </c>
      <c r="G38" s="6">
        <f t="shared" si="1"/>
        <v>1</v>
      </c>
      <c r="H38" s="6" t="s">
        <v>1622</v>
      </c>
      <c r="I38" s="5">
        <v>37.78</v>
      </c>
      <c r="J38" s="5">
        <f t="shared" si="2"/>
        <v>151.12</v>
      </c>
    </row>
    <row r="39" spans="1:10" x14ac:dyDescent="0.25">
      <c r="A39" s="9">
        <v>639</v>
      </c>
      <c r="B39" s="5" t="s">
        <v>616</v>
      </c>
      <c r="C39" s="5" t="s">
        <v>617</v>
      </c>
      <c r="D39" s="5" t="s">
        <v>1618</v>
      </c>
      <c r="E39" s="6">
        <v>73249000</v>
      </c>
      <c r="F39" s="6">
        <v>4</v>
      </c>
      <c r="G39" s="6">
        <f t="shared" si="1"/>
        <v>1</v>
      </c>
      <c r="H39" s="6" t="s">
        <v>1622</v>
      </c>
      <c r="I39" s="5">
        <v>6.66</v>
      </c>
      <c r="J39" s="5">
        <f t="shared" si="2"/>
        <v>26.64</v>
      </c>
    </row>
    <row r="40" spans="1:10" x14ac:dyDescent="0.25">
      <c r="A40" s="9">
        <v>640</v>
      </c>
      <c r="B40" s="5" t="s">
        <v>1091</v>
      </c>
      <c r="C40" s="5" t="s">
        <v>1092</v>
      </c>
      <c r="D40" s="5" t="s">
        <v>1620</v>
      </c>
      <c r="E40" s="6">
        <v>73249000</v>
      </c>
      <c r="F40" s="6">
        <v>4</v>
      </c>
      <c r="G40" s="6">
        <f t="shared" si="1"/>
        <v>1</v>
      </c>
      <c r="H40" s="6" t="s">
        <v>1622</v>
      </c>
      <c r="I40" s="5">
        <v>5.15</v>
      </c>
      <c r="J40" s="5">
        <f t="shared" si="2"/>
        <v>20.6</v>
      </c>
    </row>
    <row r="41" spans="1:10" x14ac:dyDescent="0.25">
      <c r="A41" s="9">
        <v>641</v>
      </c>
      <c r="B41" s="5" t="s">
        <v>1093</v>
      </c>
      <c r="C41" s="5" t="s">
        <v>1094</v>
      </c>
      <c r="D41" s="5" t="s">
        <v>1618</v>
      </c>
      <c r="E41" s="6">
        <v>90189084</v>
      </c>
      <c r="F41" s="6">
        <v>8</v>
      </c>
      <c r="G41" s="6">
        <f t="shared" si="1"/>
        <v>2</v>
      </c>
      <c r="H41" s="6" t="s">
        <v>1622</v>
      </c>
      <c r="I41" s="5">
        <v>193.41</v>
      </c>
      <c r="J41" s="5">
        <f t="shared" si="2"/>
        <v>1547.28</v>
      </c>
    </row>
    <row r="42" spans="1:10" x14ac:dyDescent="0.25">
      <c r="A42" s="9">
        <v>642</v>
      </c>
      <c r="B42" s="5" t="s">
        <v>1095</v>
      </c>
      <c r="C42" s="5" t="s">
        <v>1096</v>
      </c>
      <c r="D42" s="5" t="s">
        <v>1618</v>
      </c>
      <c r="E42" s="6">
        <v>90189084</v>
      </c>
      <c r="F42" s="6">
        <v>4</v>
      </c>
      <c r="G42" s="6">
        <f t="shared" si="1"/>
        <v>1</v>
      </c>
      <c r="H42" s="6" t="s">
        <v>1622</v>
      </c>
      <c r="I42" s="5">
        <v>48.48</v>
      </c>
      <c r="J42" s="5">
        <f t="shared" si="2"/>
        <v>193.92</v>
      </c>
    </row>
    <row r="43" spans="1:10" x14ac:dyDescent="0.25">
      <c r="A43" s="9">
        <v>643</v>
      </c>
      <c r="B43" s="5" t="s">
        <v>1097</v>
      </c>
      <c r="C43" s="5" t="s">
        <v>1098</v>
      </c>
      <c r="D43" s="5" t="s">
        <v>1618</v>
      </c>
      <c r="E43" s="6">
        <v>90189084</v>
      </c>
      <c r="F43" s="6">
        <v>4</v>
      </c>
      <c r="G43" s="6">
        <f t="shared" si="1"/>
        <v>1</v>
      </c>
      <c r="H43" s="6" t="s">
        <v>1622</v>
      </c>
      <c r="I43" s="5">
        <v>53.59</v>
      </c>
      <c r="J43" s="5">
        <f t="shared" si="2"/>
        <v>214.36</v>
      </c>
    </row>
    <row r="44" spans="1:10" x14ac:dyDescent="0.25">
      <c r="A44" s="9">
        <v>644</v>
      </c>
      <c r="B44" s="5" t="s">
        <v>1099</v>
      </c>
      <c r="C44" s="5" t="s">
        <v>1100</v>
      </c>
      <c r="D44" s="5" t="s">
        <v>1618</v>
      </c>
      <c r="E44" s="6">
        <v>90189084</v>
      </c>
      <c r="F44" s="6">
        <v>4</v>
      </c>
      <c r="G44" s="6">
        <f t="shared" si="1"/>
        <v>1</v>
      </c>
      <c r="H44" s="6" t="s">
        <v>1622</v>
      </c>
      <c r="I44" s="5">
        <v>53.59</v>
      </c>
      <c r="J44" s="5">
        <f t="shared" si="2"/>
        <v>214.36</v>
      </c>
    </row>
    <row r="45" spans="1:10" x14ac:dyDescent="0.25">
      <c r="A45" s="9">
        <v>645</v>
      </c>
      <c r="B45" s="5" t="s">
        <v>1101</v>
      </c>
      <c r="C45" s="5" t="s">
        <v>1102</v>
      </c>
      <c r="D45" s="5" t="s">
        <v>1618</v>
      </c>
      <c r="E45" s="6">
        <v>90189084</v>
      </c>
      <c r="F45" s="6">
        <v>4</v>
      </c>
      <c r="G45" s="6">
        <f t="shared" si="1"/>
        <v>1</v>
      </c>
      <c r="H45" s="6" t="s">
        <v>1622</v>
      </c>
      <c r="I45" s="5">
        <v>14.19</v>
      </c>
      <c r="J45" s="5">
        <f t="shared" si="2"/>
        <v>56.76</v>
      </c>
    </row>
    <row r="46" spans="1:10" x14ac:dyDescent="0.25">
      <c r="A46" s="9">
        <v>646</v>
      </c>
      <c r="B46" s="5" t="s">
        <v>1101</v>
      </c>
      <c r="C46" s="5" t="s">
        <v>1102</v>
      </c>
      <c r="D46" s="5" t="s">
        <v>1618</v>
      </c>
      <c r="E46" s="6">
        <v>90189084</v>
      </c>
      <c r="F46" s="6">
        <v>4</v>
      </c>
      <c r="G46" s="6">
        <f t="shared" si="1"/>
        <v>1</v>
      </c>
      <c r="H46" s="6" t="s">
        <v>1622</v>
      </c>
      <c r="I46" s="5">
        <v>14.19</v>
      </c>
      <c r="J46" s="5">
        <f t="shared" si="2"/>
        <v>56.76</v>
      </c>
    </row>
    <row r="47" spans="1:10" x14ac:dyDescent="0.25">
      <c r="A47" s="9">
        <v>647</v>
      </c>
      <c r="B47" s="5" t="s">
        <v>1103</v>
      </c>
      <c r="C47" s="5" t="s">
        <v>1104</v>
      </c>
      <c r="D47" s="5" t="s">
        <v>1618</v>
      </c>
      <c r="E47" s="6">
        <v>90189084</v>
      </c>
      <c r="F47" s="6">
        <v>4</v>
      </c>
      <c r="G47" s="6">
        <f t="shared" si="1"/>
        <v>1</v>
      </c>
      <c r="H47" s="6" t="s">
        <v>1622</v>
      </c>
      <c r="I47" s="5">
        <v>22.55</v>
      </c>
      <c r="J47" s="5">
        <f t="shared" si="2"/>
        <v>90.2</v>
      </c>
    </row>
    <row r="48" spans="1:10" x14ac:dyDescent="0.25">
      <c r="A48" s="9">
        <v>648</v>
      </c>
      <c r="B48" s="5" t="s">
        <v>1105</v>
      </c>
      <c r="C48" s="5" t="s">
        <v>1106</v>
      </c>
      <c r="D48" s="5" t="s">
        <v>1618</v>
      </c>
      <c r="E48" s="6">
        <v>90189084</v>
      </c>
      <c r="F48" s="6">
        <v>4</v>
      </c>
      <c r="G48" s="6">
        <f t="shared" si="1"/>
        <v>1</v>
      </c>
      <c r="H48" s="6" t="s">
        <v>1622</v>
      </c>
      <c r="I48" s="5">
        <v>35.54</v>
      </c>
      <c r="J48" s="5">
        <f t="shared" si="2"/>
        <v>142.16</v>
      </c>
    </row>
    <row r="49" spans="1:10" x14ac:dyDescent="0.25">
      <c r="A49" s="9">
        <v>649</v>
      </c>
      <c r="B49" s="5" t="s">
        <v>1107</v>
      </c>
      <c r="C49" s="5" t="s">
        <v>1108</v>
      </c>
      <c r="D49" s="5" t="s">
        <v>1618</v>
      </c>
      <c r="E49" s="6">
        <v>90189084</v>
      </c>
      <c r="F49" s="6">
        <v>4</v>
      </c>
      <c r="G49" s="6">
        <f t="shared" si="1"/>
        <v>1</v>
      </c>
      <c r="H49" s="6" t="s">
        <v>1622</v>
      </c>
      <c r="I49" s="5">
        <v>32.96</v>
      </c>
      <c r="J49" s="5">
        <f t="shared" si="2"/>
        <v>131.84</v>
      </c>
    </row>
    <row r="50" spans="1:10" x14ac:dyDescent="0.25">
      <c r="A50" s="9">
        <v>650</v>
      </c>
      <c r="B50" s="5" t="s">
        <v>1109</v>
      </c>
      <c r="C50" s="5" t="s">
        <v>1110</v>
      </c>
      <c r="D50" s="5" t="s">
        <v>1618</v>
      </c>
      <c r="E50" s="6">
        <v>90189084</v>
      </c>
      <c r="F50" s="6">
        <v>4</v>
      </c>
      <c r="G50" s="6">
        <f t="shared" si="1"/>
        <v>1</v>
      </c>
      <c r="H50" s="6" t="s">
        <v>1622</v>
      </c>
      <c r="I50" s="5">
        <v>13.07</v>
      </c>
      <c r="J50" s="5">
        <f t="shared" si="2"/>
        <v>52.28</v>
      </c>
    </row>
    <row r="51" spans="1:10" x14ac:dyDescent="0.25">
      <c r="A51" s="9">
        <v>651</v>
      </c>
      <c r="B51" s="5" t="s">
        <v>1111</v>
      </c>
      <c r="C51" s="5" t="s">
        <v>1112</v>
      </c>
      <c r="D51" s="5" t="s">
        <v>1618</v>
      </c>
      <c r="E51" s="6">
        <v>90189084</v>
      </c>
      <c r="F51" s="6">
        <v>4</v>
      </c>
      <c r="G51" s="6">
        <f t="shared" si="1"/>
        <v>1</v>
      </c>
      <c r="H51" s="6" t="s">
        <v>1622</v>
      </c>
      <c r="I51" s="5">
        <v>28.79</v>
      </c>
      <c r="J51" s="5">
        <f t="shared" si="2"/>
        <v>115.16</v>
      </c>
    </row>
    <row r="52" spans="1:10" x14ac:dyDescent="0.25">
      <c r="A52" s="9">
        <v>652</v>
      </c>
      <c r="B52" s="5" t="s">
        <v>1113</v>
      </c>
      <c r="C52" s="5" t="s">
        <v>1114</v>
      </c>
      <c r="D52" s="5" t="s">
        <v>1618</v>
      </c>
      <c r="E52" s="6">
        <v>90189084</v>
      </c>
      <c r="F52" s="6">
        <v>4</v>
      </c>
      <c r="G52" s="6">
        <f t="shared" si="1"/>
        <v>1</v>
      </c>
      <c r="H52" s="6" t="s">
        <v>1622</v>
      </c>
      <c r="I52" s="5">
        <v>111.36</v>
      </c>
      <c r="J52" s="5">
        <f t="shared" si="2"/>
        <v>445.44</v>
      </c>
    </row>
    <row r="53" spans="1:10" x14ac:dyDescent="0.25">
      <c r="A53" s="9">
        <v>653</v>
      </c>
      <c r="B53" s="5" t="s">
        <v>1115</v>
      </c>
      <c r="C53" s="5" t="s">
        <v>1116</v>
      </c>
      <c r="D53" s="5" t="s">
        <v>1618</v>
      </c>
      <c r="E53" s="6">
        <v>90189084</v>
      </c>
      <c r="F53" s="6">
        <v>4</v>
      </c>
      <c r="G53" s="6">
        <f t="shared" si="1"/>
        <v>1</v>
      </c>
      <c r="H53" s="6" t="s">
        <v>1622</v>
      </c>
      <c r="I53" s="5">
        <v>98.22</v>
      </c>
      <c r="J53" s="5">
        <f t="shared" si="2"/>
        <v>392.88</v>
      </c>
    </row>
    <row r="54" spans="1:10" x14ac:dyDescent="0.25">
      <c r="A54" s="9">
        <v>654</v>
      </c>
      <c r="B54" s="5" t="s">
        <v>1117</v>
      </c>
      <c r="C54" s="5" t="s">
        <v>1118</v>
      </c>
      <c r="D54" s="5" t="s">
        <v>1618</v>
      </c>
      <c r="E54" s="6">
        <v>90189084</v>
      </c>
      <c r="F54" s="6">
        <v>4</v>
      </c>
      <c r="G54" s="6">
        <f t="shared" si="1"/>
        <v>1</v>
      </c>
      <c r="H54" s="6" t="s">
        <v>1622</v>
      </c>
      <c r="I54" s="5">
        <v>98.22</v>
      </c>
      <c r="J54" s="5">
        <f t="shared" si="2"/>
        <v>392.88</v>
      </c>
    </row>
    <row r="55" spans="1:10" x14ac:dyDescent="0.25">
      <c r="A55" s="9">
        <v>655</v>
      </c>
      <c r="B55" s="5" t="s">
        <v>1119</v>
      </c>
      <c r="C55" s="5" t="s">
        <v>1120</v>
      </c>
      <c r="D55" s="5" t="s">
        <v>1618</v>
      </c>
      <c r="E55" s="6">
        <v>90189084</v>
      </c>
      <c r="F55" s="6">
        <v>4</v>
      </c>
      <c r="G55" s="6">
        <f t="shared" si="1"/>
        <v>1</v>
      </c>
      <c r="H55" s="6" t="s">
        <v>1622</v>
      </c>
      <c r="I55" s="5">
        <v>92.81</v>
      </c>
      <c r="J55" s="5">
        <f t="shared" si="2"/>
        <v>371.24</v>
      </c>
    </row>
    <row r="56" spans="1:10" x14ac:dyDescent="0.25">
      <c r="A56" s="9">
        <v>656</v>
      </c>
      <c r="B56" s="5" t="s">
        <v>1121</v>
      </c>
      <c r="C56" s="5" t="s">
        <v>1122</v>
      </c>
      <c r="D56" s="5" t="s">
        <v>1618</v>
      </c>
      <c r="E56" s="6">
        <v>90189084</v>
      </c>
      <c r="F56" s="6">
        <v>4</v>
      </c>
      <c r="G56" s="6">
        <f t="shared" si="1"/>
        <v>1</v>
      </c>
      <c r="H56" s="6" t="s">
        <v>1622</v>
      </c>
      <c r="I56" s="5">
        <v>92.81</v>
      </c>
      <c r="J56" s="5">
        <f t="shared" si="2"/>
        <v>371.24</v>
      </c>
    </row>
    <row r="57" spans="1:10" x14ac:dyDescent="0.25">
      <c r="A57" s="9">
        <v>657</v>
      </c>
      <c r="B57" s="5" t="s">
        <v>394</v>
      </c>
      <c r="C57" s="5" t="s">
        <v>395</v>
      </c>
      <c r="D57" s="5" t="s">
        <v>1618</v>
      </c>
      <c r="E57" s="6">
        <v>73269098</v>
      </c>
      <c r="F57" s="6">
        <v>4</v>
      </c>
      <c r="G57" s="6">
        <f t="shared" si="1"/>
        <v>1</v>
      </c>
      <c r="H57" s="6" t="s">
        <v>1622</v>
      </c>
      <c r="I57" s="5">
        <v>63.22</v>
      </c>
      <c r="J57" s="5">
        <f t="shared" si="2"/>
        <v>252.88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90BF-E7A9-443D-8B3C-D7FACCC4067F}">
  <dimension ref="A1:K81"/>
  <sheetViews>
    <sheetView workbookViewId="0">
      <selection activeCell="G3" sqref="G3:G81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1684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1676</v>
      </c>
      <c r="D2" s="11"/>
      <c r="E2" s="12"/>
      <c r="F2" s="12">
        <v>13</v>
      </c>
      <c r="G2" s="12"/>
      <c r="H2" s="12"/>
      <c r="I2" s="2"/>
      <c r="J2" s="13"/>
    </row>
    <row r="3" spans="1:10" x14ac:dyDescent="0.25">
      <c r="A3" s="9">
        <v>658</v>
      </c>
      <c r="B3" s="5" t="s">
        <v>22</v>
      </c>
      <c r="C3" s="5" t="s">
        <v>23</v>
      </c>
      <c r="D3" s="5" t="s">
        <v>1618</v>
      </c>
      <c r="E3" s="6">
        <v>90189084</v>
      </c>
      <c r="F3" s="6">
        <v>13</v>
      </c>
      <c r="G3" s="6">
        <f>F3/$F$2</f>
        <v>1</v>
      </c>
      <c r="H3" s="6" t="s">
        <v>1622</v>
      </c>
      <c r="I3" s="5">
        <v>3.71</v>
      </c>
      <c r="J3" s="5">
        <f t="shared" ref="J3:J36" si="0">F3*I3</f>
        <v>48.23</v>
      </c>
    </row>
    <row r="4" spans="1:10" x14ac:dyDescent="0.25">
      <c r="A4" s="9">
        <v>659</v>
      </c>
      <c r="B4" s="5" t="s">
        <v>138</v>
      </c>
      <c r="C4" s="5" t="s">
        <v>139</v>
      </c>
      <c r="D4" s="5" t="s">
        <v>1618</v>
      </c>
      <c r="E4" s="6">
        <v>90189084</v>
      </c>
      <c r="F4" s="6">
        <v>13</v>
      </c>
      <c r="G4" s="6">
        <f t="shared" ref="G4:G67" si="1">F4/$F$2</f>
        <v>1</v>
      </c>
      <c r="H4" s="6" t="s">
        <v>1622</v>
      </c>
      <c r="I4" s="5">
        <v>7.83</v>
      </c>
      <c r="J4" s="5">
        <f t="shared" si="0"/>
        <v>101.79</v>
      </c>
    </row>
    <row r="5" spans="1:10" x14ac:dyDescent="0.25">
      <c r="A5" s="9">
        <v>660</v>
      </c>
      <c r="B5" s="5" t="s">
        <v>140</v>
      </c>
      <c r="C5" s="5" t="s">
        <v>141</v>
      </c>
      <c r="D5" s="5" t="s">
        <v>1618</v>
      </c>
      <c r="E5" s="6">
        <v>90189084</v>
      </c>
      <c r="F5" s="6">
        <v>13</v>
      </c>
      <c r="G5" s="6">
        <f t="shared" si="1"/>
        <v>1</v>
      </c>
      <c r="H5" s="6" t="s">
        <v>1622</v>
      </c>
      <c r="I5" s="5">
        <v>8.57</v>
      </c>
      <c r="J5" s="5">
        <f t="shared" si="0"/>
        <v>111.41</v>
      </c>
    </row>
    <row r="6" spans="1:10" x14ac:dyDescent="0.25">
      <c r="A6" s="9">
        <v>661</v>
      </c>
      <c r="B6" s="5" t="s">
        <v>396</v>
      </c>
      <c r="C6" s="5" t="s">
        <v>397</v>
      </c>
      <c r="D6" s="5" t="s">
        <v>1618</v>
      </c>
      <c r="E6" s="6">
        <v>90189084</v>
      </c>
      <c r="F6" s="6">
        <v>13</v>
      </c>
      <c r="G6" s="6">
        <f t="shared" si="1"/>
        <v>1</v>
      </c>
      <c r="H6" s="6" t="s">
        <v>1622</v>
      </c>
      <c r="I6" s="5">
        <v>6.48</v>
      </c>
      <c r="J6" s="5">
        <f t="shared" si="0"/>
        <v>84.240000000000009</v>
      </c>
    </row>
    <row r="7" spans="1:10" x14ac:dyDescent="0.25">
      <c r="A7" s="9">
        <v>662</v>
      </c>
      <c r="B7" s="5" t="s">
        <v>144</v>
      </c>
      <c r="C7" s="5" t="s">
        <v>145</v>
      </c>
      <c r="D7" s="5" t="s">
        <v>1619</v>
      </c>
      <c r="E7" s="6">
        <v>90189084</v>
      </c>
      <c r="F7" s="6">
        <v>13</v>
      </c>
      <c r="G7" s="6">
        <f t="shared" si="1"/>
        <v>1</v>
      </c>
      <c r="H7" s="6" t="s">
        <v>1622</v>
      </c>
      <c r="I7" s="5">
        <v>16.510000000000002</v>
      </c>
      <c r="J7" s="5">
        <f t="shared" si="0"/>
        <v>214.63000000000002</v>
      </c>
    </row>
    <row r="8" spans="1:10" x14ac:dyDescent="0.25">
      <c r="A8" s="9">
        <v>663</v>
      </c>
      <c r="B8" s="5" t="s">
        <v>146</v>
      </c>
      <c r="C8" s="5" t="s">
        <v>147</v>
      </c>
      <c r="D8" s="5" t="s">
        <v>1618</v>
      </c>
      <c r="E8" s="6">
        <v>90189084</v>
      </c>
      <c r="F8" s="6">
        <v>130</v>
      </c>
      <c r="G8" s="6">
        <f t="shared" si="1"/>
        <v>10</v>
      </c>
      <c r="H8" s="6" t="s">
        <v>1622</v>
      </c>
      <c r="I8" s="5">
        <v>5.51</v>
      </c>
      <c r="J8" s="5">
        <f t="shared" si="0"/>
        <v>716.3</v>
      </c>
    </row>
    <row r="9" spans="1:10" x14ac:dyDescent="0.25">
      <c r="A9" s="9">
        <v>664</v>
      </c>
      <c r="B9" s="5" t="s">
        <v>148</v>
      </c>
      <c r="C9" s="5" t="s">
        <v>149</v>
      </c>
      <c r="D9" s="5" t="s">
        <v>1618</v>
      </c>
      <c r="E9" s="6">
        <v>90189084</v>
      </c>
      <c r="F9" s="6">
        <v>26</v>
      </c>
      <c r="G9" s="6">
        <f t="shared" si="1"/>
        <v>2</v>
      </c>
      <c r="H9" s="6" t="s">
        <v>1622</v>
      </c>
      <c r="I9" s="5">
        <v>38.729999999999997</v>
      </c>
      <c r="J9" s="5">
        <f t="shared" si="0"/>
        <v>1006.9799999999999</v>
      </c>
    </row>
    <row r="10" spans="1:10" x14ac:dyDescent="0.25">
      <c r="A10" s="9">
        <v>665</v>
      </c>
      <c r="B10" s="5" t="s">
        <v>398</v>
      </c>
      <c r="C10" s="5" t="s">
        <v>399</v>
      </c>
      <c r="D10" s="5" t="s">
        <v>1619</v>
      </c>
      <c r="E10" s="6">
        <v>90189084</v>
      </c>
      <c r="F10" s="6">
        <v>26</v>
      </c>
      <c r="G10" s="6">
        <f t="shared" si="1"/>
        <v>2</v>
      </c>
      <c r="H10" s="6" t="s">
        <v>1622</v>
      </c>
      <c r="I10" s="5">
        <v>5.36</v>
      </c>
      <c r="J10" s="5">
        <f t="shared" si="0"/>
        <v>139.36000000000001</v>
      </c>
    </row>
    <row r="11" spans="1:10" x14ac:dyDescent="0.25">
      <c r="A11" s="9">
        <v>666</v>
      </c>
      <c r="B11" s="5" t="s">
        <v>48</v>
      </c>
      <c r="C11" s="5" t="s">
        <v>49</v>
      </c>
      <c r="D11" s="5" t="s">
        <v>1619</v>
      </c>
      <c r="E11" s="6">
        <v>90189084</v>
      </c>
      <c r="F11" s="6">
        <v>13</v>
      </c>
      <c r="G11" s="6">
        <f t="shared" si="1"/>
        <v>1</v>
      </c>
      <c r="H11" s="6" t="s">
        <v>1622</v>
      </c>
      <c r="I11" s="5">
        <v>34.47</v>
      </c>
      <c r="J11" s="5">
        <f t="shared" si="0"/>
        <v>448.11</v>
      </c>
    </row>
    <row r="12" spans="1:10" x14ac:dyDescent="0.25">
      <c r="A12" s="9">
        <v>667</v>
      </c>
      <c r="B12" s="5" t="s">
        <v>400</v>
      </c>
      <c r="C12" s="5" t="s">
        <v>401</v>
      </c>
      <c r="D12" s="5" t="s">
        <v>1618</v>
      </c>
      <c r="E12" s="6">
        <v>90189084</v>
      </c>
      <c r="F12" s="6">
        <v>13</v>
      </c>
      <c r="G12" s="6">
        <f t="shared" si="1"/>
        <v>1</v>
      </c>
      <c r="H12" s="6" t="s">
        <v>1622</v>
      </c>
      <c r="I12" s="5">
        <v>42.14</v>
      </c>
      <c r="J12" s="5">
        <f t="shared" si="0"/>
        <v>547.82000000000005</v>
      </c>
    </row>
    <row r="13" spans="1:10" x14ac:dyDescent="0.25">
      <c r="A13" s="9">
        <v>668</v>
      </c>
      <c r="B13" s="5" t="s">
        <v>402</v>
      </c>
      <c r="C13" s="5" t="s">
        <v>403</v>
      </c>
      <c r="D13" s="5" t="s">
        <v>1618</v>
      </c>
      <c r="E13" s="6">
        <v>90189084</v>
      </c>
      <c r="F13" s="6">
        <v>13</v>
      </c>
      <c r="G13" s="6">
        <f t="shared" si="1"/>
        <v>1</v>
      </c>
      <c r="H13" s="6" t="s">
        <v>1622</v>
      </c>
      <c r="I13" s="5">
        <v>25.39</v>
      </c>
      <c r="J13" s="5">
        <f t="shared" si="0"/>
        <v>330.07</v>
      </c>
    </row>
    <row r="14" spans="1:10" x14ac:dyDescent="0.25">
      <c r="A14" s="9">
        <v>669</v>
      </c>
      <c r="B14" s="5" t="s">
        <v>404</v>
      </c>
      <c r="C14" s="5" t="s">
        <v>405</v>
      </c>
      <c r="D14" s="5" t="s">
        <v>1618</v>
      </c>
      <c r="E14" s="6">
        <v>90189084</v>
      </c>
      <c r="F14" s="6">
        <v>13</v>
      </c>
      <c r="G14" s="6">
        <f t="shared" si="1"/>
        <v>1</v>
      </c>
      <c r="H14" s="6" t="s">
        <v>1622</v>
      </c>
      <c r="I14" s="5">
        <v>50.31</v>
      </c>
      <c r="J14" s="5">
        <f t="shared" si="0"/>
        <v>654.03</v>
      </c>
    </row>
    <row r="15" spans="1:10" x14ac:dyDescent="0.25">
      <c r="A15" s="9">
        <v>670</v>
      </c>
      <c r="B15" s="5" t="s">
        <v>158</v>
      </c>
      <c r="C15" s="5" t="s">
        <v>159</v>
      </c>
      <c r="D15" s="5" t="s">
        <v>1619</v>
      </c>
      <c r="E15" s="6">
        <v>90189084</v>
      </c>
      <c r="F15" s="6">
        <v>13</v>
      </c>
      <c r="G15" s="6">
        <f t="shared" si="1"/>
        <v>1</v>
      </c>
      <c r="H15" s="6" t="s">
        <v>1622</v>
      </c>
      <c r="I15" s="5">
        <v>20.75</v>
      </c>
      <c r="J15" s="5">
        <f t="shared" si="0"/>
        <v>269.75</v>
      </c>
    </row>
    <row r="16" spans="1:10" x14ac:dyDescent="0.25">
      <c r="A16" s="9">
        <v>671</v>
      </c>
      <c r="B16" s="5" t="s">
        <v>406</v>
      </c>
      <c r="C16" s="5" t="s">
        <v>407</v>
      </c>
      <c r="D16" s="5" t="s">
        <v>1618</v>
      </c>
      <c r="E16" s="6">
        <v>90189084</v>
      </c>
      <c r="F16" s="6">
        <v>13</v>
      </c>
      <c r="G16" s="6">
        <f t="shared" si="1"/>
        <v>1</v>
      </c>
      <c r="H16" s="6" t="s">
        <v>1622</v>
      </c>
      <c r="I16" s="5">
        <v>41.65</v>
      </c>
      <c r="J16" s="5">
        <f t="shared" si="0"/>
        <v>541.44999999999993</v>
      </c>
    </row>
    <row r="17" spans="1:10" x14ac:dyDescent="0.25">
      <c r="A17" s="9">
        <v>672</v>
      </c>
      <c r="B17" s="5" t="s">
        <v>162</v>
      </c>
      <c r="C17" s="5" t="s">
        <v>163</v>
      </c>
      <c r="D17" s="5" t="s">
        <v>1619</v>
      </c>
      <c r="E17" s="6">
        <v>90189084</v>
      </c>
      <c r="F17" s="6">
        <v>13</v>
      </c>
      <c r="G17" s="6">
        <f t="shared" si="1"/>
        <v>1</v>
      </c>
      <c r="H17" s="6" t="s">
        <v>1622</v>
      </c>
      <c r="I17" s="5">
        <v>21.7</v>
      </c>
      <c r="J17" s="5">
        <f t="shared" si="0"/>
        <v>282.09999999999997</v>
      </c>
    </row>
    <row r="18" spans="1:10" x14ac:dyDescent="0.25">
      <c r="A18" s="9">
        <v>673</v>
      </c>
      <c r="B18" s="5" t="s">
        <v>102</v>
      </c>
      <c r="C18" s="5" t="s">
        <v>103</v>
      </c>
      <c r="D18" s="5" t="s">
        <v>1619</v>
      </c>
      <c r="E18" s="6">
        <v>90189084</v>
      </c>
      <c r="F18" s="6">
        <v>13</v>
      </c>
      <c r="G18" s="6">
        <f t="shared" si="1"/>
        <v>1</v>
      </c>
      <c r="H18" s="6" t="s">
        <v>1622</v>
      </c>
      <c r="I18" s="5">
        <v>16.16</v>
      </c>
      <c r="J18" s="5">
        <f t="shared" si="0"/>
        <v>210.08</v>
      </c>
    </row>
    <row r="19" spans="1:10" x14ac:dyDescent="0.25">
      <c r="A19" s="9">
        <v>674</v>
      </c>
      <c r="B19" s="5" t="s">
        <v>164</v>
      </c>
      <c r="C19" s="5" t="s">
        <v>165</v>
      </c>
      <c r="D19" s="5" t="s">
        <v>1619</v>
      </c>
      <c r="E19" s="6">
        <v>90189084</v>
      </c>
      <c r="F19" s="6">
        <v>39</v>
      </c>
      <c r="G19" s="6">
        <f t="shared" si="1"/>
        <v>3</v>
      </c>
      <c r="H19" s="6" t="s">
        <v>1622</v>
      </c>
      <c r="I19" s="5">
        <v>12.4</v>
      </c>
      <c r="J19" s="5">
        <f t="shared" si="0"/>
        <v>483.6</v>
      </c>
    </row>
    <row r="20" spans="1:10" x14ac:dyDescent="0.25">
      <c r="A20" s="9">
        <v>675</v>
      </c>
      <c r="B20" s="5" t="s">
        <v>166</v>
      </c>
      <c r="C20" s="5" t="s">
        <v>167</v>
      </c>
      <c r="D20" s="5" t="s">
        <v>1619</v>
      </c>
      <c r="E20" s="6">
        <v>90189084</v>
      </c>
      <c r="F20" s="6">
        <v>39</v>
      </c>
      <c r="G20" s="6">
        <f t="shared" si="1"/>
        <v>3</v>
      </c>
      <c r="H20" s="6" t="s">
        <v>1622</v>
      </c>
      <c r="I20" s="5">
        <v>27.09</v>
      </c>
      <c r="J20" s="5">
        <f t="shared" si="0"/>
        <v>1056.51</v>
      </c>
    </row>
    <row r="21" spans="1:10" x14ac:dyDescent="0.25">
      <c r="A21" s="9">
        <v>676</v>
      </c>
      <c r="B21" s="5" t="s">
        <v>168</v>
      </c>
      <c r="C21" s="5" t="s">
        <v>169</v>
      </c>
      <c r="D21" s="5" t="s">
        <v>1619</v>
      </c>
      <c r="E21" s="6">
        <v>90189084</v>
      </c>
      <c r="F21" s="6">
        <v>130</v>
      </c>
      <c r="G21" s="6">
        <f t="shared" si="1"/>
        <v>10</v>
      </c>
      <c r="H21" s="6" t="s">
        <v>1622</v>
      </c>
      <c r="I21" s="5">
        <v>11.97</v>
      </c>
      <c r="J21" s="5">
        <f t="shared" si="0"/>
        <v>1556.1000000000001</v>
      </c>
    </row>
    <row r="22" spans="1:10" x14ac:dyDescent="0.25">
      <c r="A22" s="9">
        <v>677</v>
      </c>
      <c r="B22" s="5" t="s">
        <v>170</v>
      </c>
      <c r="C22" s="5" t="s">
        <v>171</v>
      </c>
      <c r="D22" s="5" t="s">
        <v>1619</v>
      </c>
      <c r="E22" s="6">
        <v>90189084</v>
      </c>
      <c r="F22" s="6">
        <v>130</v>
      </c>
      <c r="G22" s="6">
        <f t="shared" si="1"/>
        <v>10</v>
      </c>
      <c r="H22" s="6" t="s">
        <v>1622</v>
      </c>
      <c r="I22" s="5">
        <v>12.89</v>
      </c>
      <c r="J22" s="5">
        <f t="shared" si="0"/>
        <v>1675.7</v>
      </c>
    </row>
    <row r="23" spans="1:10" x14ac:dyDescent="0.25">
      <c r="A23" s="9">
        <v>678</v>
      </c>
      <c r="B23" s="5" t="s">
        <v>38</v>
      </c>
      <c r="C23" s="5" t="s">
        <v>39</v>
      </c>
      <c r="D23" s="5" t="s">
        <v>1619</v>
      </c>
      <c r="E23" s="6">
        <v>90189084</v>
      </c>
      <c r="F23" s="6">
        <v>130</v>
      </c>
      <c r="G23" s="6">
        <f t="shared" si="1"/>
        <v>10</v>
      </c>
      <c r="H23" s="6" t="s">
        <v>1622</v>
      </c>
      <c r="I23" s="5">
        <v>13.08</v>
      </c>
      <c r="J23" s="5">
        <f t="shared" si="0"/>
        <v>1700.4</v>
      </c>
    </row>
    <row r="24" spans="1:10" x14ac:dyDescent="0.25">
      <c r="A24" s="9">
        <v>679</v>
      </c>
      <c r="B24" s="5" t="s">
        <v>172</v>
      </c>
      <c r="C24" s="5" t="s">
        <v>173</v>
      </c>
      <c r="D24" s="5" t="s">
        <v>1618</v>
      </c>
      <c r="E24" s="6">
        <v>90189084</v>
      </c>
      <c r="F24" s="6">
        <v>26</v>
      </c>
      <c r="G24" s="6">
        <f t="shared" si="1"/>
        <v>2</v>
      </c>
      <c r="H24" s="6" t="s">
        <v>1622</v>
      </c>
      <c r="I24" s="5">
        <v>26.46</v>
      </c>
      <c r="J24" s="5">
        <f t="shared" si="0"/>
        <v>687.96</v>
      </c>
    </row>
    <row r="25" spans="1:10" x14ac:dyDescent="0.25">
      <c r="A25" s="9">
        <v>680</v>
      </c>
      <c r="B25" s="5" t="s">
        <v>174</v>
      </c>
      <c r="C25" s="5" t="s">
        <v>175</v>
      </c>
      <c r="D25" s="5" t="s">
        <v>1618</v>
      </c>
      <c r="E25" s="6">
        <v>90189084</v>
      </c>
      <c r="F25" s="6">
        <v>13</v>
      </c>
      <c r="G25" s="6">
        <f t="shared" si="1"/>
        <v>1</v>
      </c>
      <c r="H25" s="6" t="s">
        <v>1622</v>
      </c>
      <c r="I25" s="5">
        <v>11.07</v>
      </c>
      <c r="J25" s="5">
        <f t="shared" si="0"/>
        <v>143.91</v>
      </c>
    </row>
    <row r="26" spans="1:10" x14ac:dyDescent="0.25">
      <c r="A26" s="9">
        <v>681</v>
      </c>
      <c r="B26" s="5" t="s">
        <v>176</v>
      </c>
      <c r="C26" s="5" t="s">
        <v>177</v>
      </c>
      <c r="D26" s="5" t="s">
        <v>1618</v>
      </c>
      <c r="E26" s="6">
        <v>90189084</v>
      </c>
      <c r="F26" s="6">
        <v>13</v>
      </c>
      <c r="G26" s="6">
        <f t="shared" si="1"/>
        <v>1</v>
      </c>
      <c r="H26" s="6" t="s">
        <v>1622</v>
      </c>
      <c r="I26" s="5">
        <v>11.67</v>
      </c>
      <c r="J26" s="5">
        <f t="shared" si="0"/>
        <v>151.71</v>
      </c>
    </row>
    <row r="27" spans="1:10" x14ac:dyDescent="0.25">
      <c r="A27" s="9">
        <v>682</v>
      </c>
      <c r="B27" s="5" t="s">
        <v>178</v>
      </c>
      <c r="C27" s="5" t="s">
        <v>179</v>
      </c>
      <c r="D27" s="5" t="s">
        <v>1618</v>
      </c>
      <c r="E27" s="6">
        <v>90189084</v>
      </c>
      <c r="F27" s="6">
        <v>26</v>
      </c>
      <c r="G27" s="6">
        <f t="shared" si="1"/>
        <v>2</v>
      </c>
      <c r="H27" s="6" t="s">
        <v>1622</v>
      </c>
      <c r="I27" s="5">
        <v>13.04</v>
      </c>
      <c r="J27" s="5">
        <f t="shared" si="0"/>
        <v>339.03999999999996</v>
      </c>
    </row>
    <row r="28" spans="1:10" x14ac:dyDescent="0.25">
      <c r="A28" s="9">
        <v>683</v>
      </c>
      <c r="B28" s="5" t="s">
        <v>172</v>
      </c>
      <c r="C28" s="5" t="s">
        <v>173</v>
      </c>
      <c r="D28" s="5" t="s">
        <v>1618</v>
      </c>
      <c r="E28" s="6">
        <v>90189084</v>
      </c>
      <c r="F28" s="6">
        <v>13</v>
      </c>
      <c r="G28" s="6">
        <f t="shared" si="1"/>
        <v>1</v>
      </c>
      <c r="H28" s="6" t="s">
        <v>1622</v>
      </c>
      <c r="I28" s="5">
        <v>26.46</v>
      </c>
      <c r="J28" s="5">
        <f t="shared" si="0"/>
        <v>343.98</v>
      </c>
    </row>
    <row r="29" spans="1:10" x14ac:dyDescent="0.25">
      <c r="A29" s="9">
        <v>684</v>
      </c>
      <c r="B29" s="5" t="s">
        <v>408</v>
      </c>
      <c r="C29" s="5" t="s">
        <v>409</v>
      </c>
      <c r="D29" s="5" t="s">
        <v>1618</v>
      </c>
      <c r="E29" s="6">
        <v>90189084</v>
      </c>
      <c r="F29" s="6">
        <v>13</v>
      </c>
      <c r="G29" s="6">
        <f t="shared" si="1"/>
        <v>1</v>
      </c>
      <c r="H29" s="6" t="s">
        <v>1622</v>
      </c>
      <c r="I29" s="5">
        <v>41.35</v>
      </c>
      <c r="J29" s="5">
        <f t="shared" si="0"/>
        <v>537.55000000000007</v>
      </c>
    </row>
    <row r="30" spans="1:10" x14ac:dyDescent="0.25">
      <c r="A30" s="9">
        <v>685</v>
      </c>
      <c r="B30" s="5" t="s">
        <v>410</v>
      </c>
      <c r="C30" s="5" t="s">
        <v>411</v>
      </c>
      <c r="D30" s="5" t="s">
        <v>1618</v>
      </c>
      <c r="E30" s="6">
        <v>90189084</v>
      </c>
      <c r="F30" s="6">
        <v>13</v>
      </c>
      <c r="G30" s="6">
        <f t="shared" si="1"/>
        <v>1</v>
      </c>
      <c r="H30" s="6" t="s">
        <v>1622</v>
      </c>
      <c r="I30" s="5">
        <v>41.35</v>
      </c>
      <c r="J30" s="5">
        <f t="shared" si="0"/>
        <v>537.55000000000007</v>
      </c>
    </row>
    <row r="31" spans="1:10" x14ac:dyDescent="0.25">
      <c r="A31" s="9">
        <v>686</v>
      </c>
      <c r="B31" s="5" t="s">
        <v>196</v>
      </c>
      <c r="C31" s="5" t="s">
        <v>197</v>
      </c>
      <c r="D31" s="5" t="s">
        <v>1618</v>
      </c>
      <c r="E31" s="6">
        <v>90189084</v>
      </c>
      <c r="F31" s="6">
        <v>13</v>
      </c>
      <c r="G31" s="6">
        <f t="shared" si="1"/>
        <v>1</v>
      </c>
      <c r="H31" s="6" t="s">
        <v>1622</v>
      </c>
      <c r="I31" s="5">
        <v>39.880000000000003</v>
      </c>
      <c r="J31" s="5">
        <f t="shared" si="0"/>
        <v>518.44000000000005</v>
      </c>
    </row>
    <row r="32" spans="1:10" x14ac:dyDescent="0.25">
      <c r="A32" s="9">
        <v>687</v>
      </c>
      <c r="B32" s="5" t="s">
        <v>412</v>
      </c>
      <c r="C32" s="5" t="s">
        <v>413</v>
      </c>
      <c r="D32" s="5" t="s">
        <v>1618</v>
      </c>
      <c r="E32" s="6">
        <v>90189084</v>
      </c>
      <c r="F32" s="6">
        <v>13</v>
      </c>
      <c r="G32" s="6">
        <f t="shared" si="1"/>
        <v>1</v>
      </c>
      <c r="H32" s="6" t="s">
        <v>1622</v>
      </c>
      <c r="I32" s="5">
        <v>63.22</v>
      </c>
      <c r="J32" s="5">
        <f t="shared" si="0"/>
        <v>821.86</v>
      </c>
    </row>
    <row r="33" spans="1:10" x14ac:dyDescent="0.25">
      <c r="A33" s="9">
        <v>688</v>
      </c>
      <c r="B33" s="5" t="s">
        <v>414</v>
      </c>
      <c r="C33" s="5" t="s">
        <v>415</v>
      </c>
      <c r="D33" s="5" t="s">
        <v>1618</v>
      </c>
      <c r="E33" s="6">
        <v>90189084</v>
      </c>
      <c r="F33" s="6">
        <v>13</v>
      </c>
      <c r="G33" s="6">
        <f t="shared" si="1"/>
        <v>1</v>
      </c>
      <c r="H33" s="6" t="s">
        <v>1622</v>
      </c>
      <c r="I33" s="5">
        <v>25.03</v>
      </c>
      <c r="J33" s="5">
        <f t="shared" si="0"/>
        <v>325.39</v>
      </c>
    </row>
    <row r="34" spans="1:10" x14ac:dyDescent="0.25">
      <c r="A34" s="9">
        <v>689</v>
      </c>
      <c r="B34" s="5" t="s">
        <v>202</v>
      </c>
      <c r="C34" s="5" t="s">
        <v>203</v>
      </c>
      <c r="D34" s="5" t="s">
        <v>1618</v>
      </c>
      <c r="E34" s="6">
        <v>90189084</v>
      </c>
      <c r="F34" s="6">
        <v>26</v>
      </c>
      <c r="G34" s="6">
        <f t="shared" si="1"/>
        <v>2</v>
      </c>
      <c r="H34" s="6" t="s">
        <v>1622</v>
      </c>
      <c r="I34" s="5">
        <v>19.61</v>
      </c>
      <c r="J34" s="5">
        <f t="shared" si="0"/>
        <v>509.86</v>
      </c>
    </row>
    <row r="35" spans="1:10" x14ac:dyDescent="0.25">
      <c r="A35" s="9">
        <v>690</v>
      </c>
      <c r="B35" s="5" t="s">
        <v>204</v>
      </c>
      <c r="C35" s="5" t="s">
        <v>205</v>
      </c>
      <c r="D35" s="5" t="s">
        <v>1618</v>
      </c>
      <c r="E35" s="6">
        <v>90189084</v>
      </c>
      <c r="F35" s="6">
        <v>26</v>
      </c>
      <c r="G35" s="6">
        <f t="shared" si="1"/>
        <v>2</v>
      </c>
      <c r="H35" s="6" t="s">
        <v>1622</v>
      </c>
      <c r="I35" s="5">
        <v>20.93</v>
      </c>
      <c r="J35" s="5">
        <f t="shared" si="0"/>
        <v>544.17999999999995</v>
      </c>
    </row>
    <row r="36" spans="1:10" x14ac:dyDescent="0.25">
      <c r="A36" s="9">
        <v>691</v>
      </c>
      <c r="B36" s="5" t="s">
        <v>262</v>
      </c>
      <c r="C36" s="5" t="s">
        <v>263</v>
      </c>
      <c r="D36" s="5" t="s">
        <v>1619</v>
      </c>
      <c r="E36" s="6">
        <v>90183900</v>
      </c>
      <c r="F36" s="6">
        <v>13</v>
      </c>
      <c r="G36" s="6">
        <f t="shared" si="1"/>
        <v>1</v>
      </c>
      <c r="H36" s="6" t="s">
        <v>1622</v>
      </c>
      <c r="I36" s="5">
        <v>19.940000000000001</v>
      </c>
      <c r="J36" s="5">
        <f t="shared" si="0"/>
        <v>259.22000000000003</v>
      </c>
    </row>
    <row r="37" spans="1:10" x14ac:dyDescent="0.25">
      <c r="A37" s="9">
        <v>692</v>
      </c>
      <c r="B37" s="5" t="s">
        <v>264</v>
      </c>
      <c r="C37" s="5" t="s">
        <v>265</v>
      </c>
      <c r="D37" s="5" t="s">
        <v>1619</v>
      </c>
      <c r="E37" s="6">
        <v>90183900</v>
      </c>
      <c r="F37" s="6">
        <v>13</v>
      </c>
      <c r="G37" s="6">
        <f t="shared" si="1"/>
        <v>1</v>
      </c>
      <c r="H37" s="6" t="s">
        <v>1622</v>
      </c>
      <c r="I37" s="5">
        <v>19.940000000000001</v>
      </c>
      <c r="J37" s="5">
        <f t="shared" ref="J37:J81" si="2">F37*I37</f>
        <v>259.22000000000003</v>
      </c>
    </row>
    <row r="38" spans="1:10" x14ac:dyDescent="0.25">
      <c r="A38" s="9">
        <v>693</v>
      </c>
      <c r="B38" s="5" t="s">
        <v>270</v>
      </c>
      <c r="C38" s="5" t="s">
        <v>271</v>
      </c>
      <c r="D38" s="5" t="s">
        <v>1619</v>
      </c>
      <c r="E38" s="6">
        <v>90183900</v>
      </c>
      <c r="F38" s="6">
        <v>13</v>
      </c>
      <c r="G38" s="6">
        <f t="shared" si="1"/>
        <v>1</v>
      </c>
      <c r="H38" s="6" t="s">
        <v>1622</v>
      </c>
      <c r="I38" s="5">
        <v>12.41</v>
      </c>
      <c r="J38" s="5">
        <f t="shared" si="2"/>
        <v>161.33000000000001</v>
      </c>
    </row>
    <row r="39" spans="1:10" x14ac:dyDescent="0.25">
      <c r="A39" s="9">
        <v>694</v>
      </c>
      <c r="B39" s="5" t="s">
        <v>268</v>
      </c>
      <c r="C39" s="5" t="s">
        <v>269</v>
      </c>
      <c r="D39" s="5" t="s">
        <v>1619</v>
      </c>
      <c r="E39" s="6">
        <v>90183900</v>
      </c>
      <c r="F39" s="6">
        <v>13</v>
      </c>
      <c r="G39" s="6">
        <f t="shared" si="1"/>
        <v>1</v>
      </c>
      <c r="H39" s="6" t="s">
        <v>1622</v>
      </c>
      <c r="I39" s="5">
        <v>12.41</v>
      </c>
      <c r="J39" s="5">
        <f t="shared" si="2"/>
        <v>161.33000000000001</v>
      </c>
    </row>
    <row r="40" spans="1:10" x14ac:dyDescent="0.25">
      <c r="A40" s="9">
        <v>695</v>
      </c>
      <c r="B40" s="5" t="s">
        <v>416</v>
      </c>
      <c r="C40" s="5" t="s">
        <v>417</v>
      </c>
      <c r="D40" s="5" t="s">
        <v>1618</v>
      </c>
      <c r="E40" s="6">
        <v>90189084</v>
      </c>
      <c r="F40" s="6">
        <v>13</v>
      </c>
      <c r="G40" s="6">
        <f t="shared" si="1"/>
        <v>1</v>
      </c>
      <c r="H40" s="6" t="s">
        <v>1622</v>
      </c>
      <c r="I40" s="5">
        <v>29.4</v>
      </c>
      <c r="J40" s="5">
        <f t="shared" si="2"/>
        <v>382.2</v>
      </c>
    </row>
    <row r="41" spans="1:10" x14ac:dyDescent="0.25">
      <c r="A41" s="9">
        <v>696</v>
      </c>
      <c r="B41" s="5" t="s">
        <v>418</v>
      </c>
      <c r="C41" s="5" t="s">
        <v>419</v>
      </c>
      <c r="D41" s="5" t="s">
        <v>1618</v>
      </c>
      <c r="E41" s="6">
        <v>90189084</v>
      </c>
      <c r="F41" s="6">
        <v>13</v>
      </c>
      <c r="G41" s="6">
        <f t="shared" si="1"/>
        <v>1</v>
      </c>
      <c r="H41" s="6" t="s">
        <v>1622</v>
      </c>
      <c r="I41" s="5">
        <v>38.909999999999997</v>
      </c>
      <c r="J41" s="5">
        <f t="shared" si="2"/>
        <v>505.82999999999993</v>
      </c>
    </row>
    <row r="42" spans="1:10" x14ac:dyDescent="0.25">
      <c r="A42" s="9">
        <v>697</v>
      </c>
      <c r="B42" s="5" t="s">
        <v>420</v>
      </c>
      <c r="C42" s="5" t="s">
        <v>421</v>
      </c>
      <c r="D42" s="5" t="s">
        <v>1618</v>
      </c>
      <c r="E42" s="6">
        <v>90189084</v>
      </c>
      <c r="F42" s="6">
        <v>13</v>
      </c>
      <c r="G42" s="6">
        <f t="shared" si="1"/>
        <v>1</v>
      </c>
      <c r="H42" s="6" t="s">
        <v>1622</v>
      </c>
      <c r="I42" s="5">
        <v>38.07</v>
      </c>
      <c r="J42" s="5">
        <f t="shared" si="2"/>
        <v>494.91</v>
      </c>
    </row>
    <row r="43" spans="1:10" x14ac:dyDescent="0.25">
      <c r="A43" s="9">
        <v>698</v>
      </c>
      <c r="B43" s="5" t="s">
        <v>422</v>
      </c>
      <c r="C43" s="5" t="s">
        <v>423</v>
      </c>
      <c r="D43" s="5" t="s">
        <v>1618</v>
      </c>
      <c r="E43" s="6">
        <v>90189084</v>
      </c>
      <c r="F43" s="6">
        <v>13</v>
      </c>
      <c r="G43" s="6">
        <f t="shared" si="1"/>
        <v>1</v>
      </c>
      <c r="H43" s="6" t="s">
        <v>1622</v>
      </c>
      <c r="I43" s="5">
        <v>30.78</v>
      </c>
      <c r="J43" s="5">
        <f t="shared" si="2"/>
        <v>400.14</v>
      </c>
    </row>
    <row r="44" spans="1:10" x14ac:dyDescent="0.25">
      <c r="A44" s="9">
        <v>699</v>
      </c>
      <c r="B44" s="5" t="s">
        <v>424</v>
      </c>
      <c r="C44" s="5" t="s">
        <v>425</v>
      </c>
      <c r="D44" s="5" t="s">
        <v>1618</v>
      </c>
      <c r="E44" s="6">
        <v>90189084</v>
      </c>
      <c r="F44" s="6">
        <v>13</v>
      </c>
      <c r="G44" s="6">
        <f t="shared" si="1"/>
        <v>1</v>
      </c>
      <c r="H44" s="6" t="s">
        <v>1622</v>
      </c>
      <c r="I44" s="5">
        <v>38.07</v>
      </c>
      <c r="J44" s="5">
        <f t="shared" si="2"/>
        <v>494.91</v>
      </c>
    </row>
    <row r="45" spans="1:10" x14ac:dyDescent="0.25">
      <c r="A45" s="9">
        <v>700</v>
      </c>
      <c r="B45" s="5" t="s">
        <v>426</v>
      </c>
      <c r="C45" s="5" t="s">
        <v>427</v>
      </c>
      <c r="D45" s="5" t="s">
        <v>1618</v>
      </c>
      <c r="E45" s="6">
        <v>90189084</v>
      </c>
      <c r="F45" s="6">
        <v>13</v>
      </c>
      <c r="G45" s="6">
        <f t="shared" si="1"/>
        <v>1</v>
      </c>
      <c r="H45" s="6" t="s">
        <v>1622</v>
      </c>
      <c r="I45" s="5">
        <v>30.78</v>
      </c>
      <c r="J45" s="5">
        <f t="shared" si="2"/>
        <v>400.14</v>
      </c>
    </row>
    <row r="46" spans="1:10" x14ac:dyDescent="0.25">
      <c r="A46" s="9">
        <v>701</v>
      </c>
      <c r="B46" s="5" t="s">
        <v>428</v>
      </c>
      <c r="C46" s="5" t="s">
        <v>429</v>
      </c>
      <c r="D46" s="5" t="s">
        <v>1618</v>
      </c>
      <c r="E46" s="6">
        <v>90189084</v>
      </c>
      <c r="F46" s="6">
        <v>13</v>
      </c>
      <c r="G46" s="6">
        <f t="shared" si="1"/>
        <v>1</v>
      </c>
      <c r="H46" s="6" t="s">
        <v>1622</v>
      </c>
      <c r="I46" s="5">
        <v>38.07</v>
      </c>
      <c r="J46" s="5">
        <f t="shared" si="2"/>
        <v>494.91</v>
      </c>
    </row>
    <row r="47" spans="1:10" x14ac:dyDescent="0.25">
      <c r="A47" s="9">
        <v>702</v>
      </c>
      <c r="B47" s="5" t="s">
        <v>430</v>
      </c>
      <c r="C47" s="5" t="s">
        <v>431</v>
      </c>
      <c r="D47" s="5" t="s">
        <v>1618</v>
      </c>
      <c r="E47" s="6">
        <v>90189084</v>
      </c>
      <c r="F47" s="6">
        <v>13</v>
      </c>
      <c r="G47" s="6">
        <f t="shared" si="1"/>
        <v>1</v>
      </c>
      <c r="H47" s="6" t="s">
        <v>1622</v>
      </c>
      <c r="I47" s="5">
        <v>30.78</v>
      </c>
      <c r="J47" s="5">
        <f t="shared" si="2"/>
        <v>400.14</v>
      </c>
    </row>
    <row r="48" spans="1:10" x14ac:dyDescent="0.25">
      <c r="A48" s="9">
        <v>703</v>
      </c>
      <c r="B48" s="5" t="s">
        <v>432</v>
      </c>
      <c r="C48" s="5" t="s">
        <v>433</v>
      </c>
      <c r="D48" s="5" t="s">
        <v>1618</v>
      </c>
      <c r="E48" s="6">
        <v>90189084</v>
      </c>
      <c r="F48" s="6">
        <v>13</v>
      </c>
      <c r="G48" s="6">
        <f t="shared" si="1"/>
        <v>1</v>
      </c>
      <c r="H48" s="6" t="s">
        <v>1622</v>
      </c>
      <c r="I48" s="5">
        <v>38.07</v>
      </c>
      <c r="J48" s="5">
        <f t="shared" si="2"/>
        <v>494.91</v>
      </c>
    </row>
    <row r="49" spans="1:10" x14ac:dyDescent="0.25">
      <c r="A49" s="9">
        <v>704</v>
      </c>
      <c r="B49" s="5" t="s">
        <v>434</v>
      </c>
      <c r="C49" s="5" t="s">
        <v>435</v>
      </c>
      <c r="D49" s="5" t="s">
        <v>1618</v>
      </c>
      <c r="E49" s="6">
        <v>90189084</v>
      </c>
      <c r="F49" s="6">
        <v>13</v>
      </c>
      <c r="G49" s="6">
        <f t="shared" si="1"/>
        <v>1</v>
      </c>
      <c r="H49" s="6" t="s">
        <v>1622</v>
      </c>
      <c r="I49" s="5">
        <v>30.78</v>
      </c>
      <c r="J49" s="5">
        <f t="shared" si="2"/>
        <v>400.14</v>
      </c>
    </row>
    <row r="50" spans="1:10" x14ac:dyDescent="0.25">
      <c r="A50" s="9">
        <v>705</v>
      </c>
      <c r="B50" s="5" t="s">
        <v>276</v>
      </c>
      <c r="C50" s="5" t="s">
        <v>277</v>
      </c>
      <c r="D50" s="5" t="s">
        <v>1618</v>
      </c>
      <c r="E50" s="6">
        <v>90189084</v>
      </c>
      <c r="F50" s="6">
        <v>13</v>
      </c>
      <c r="G50" s="6">
        <f t="shared" si="1"/>
        <v>1</v>
      </c>
      <c r="H50" s="6" t="s">
        <v>1622</v>
      </c>
      <c r="I50" s="5">
        <v>245.98</v>
      </c>
      <c r="J50" s="5">
        <f t="shared" si="2"/>
        <v>3197.74</v>
      </c>
    </row>
    <row r="51" spans="1:10" x14ac:dyDescent="0.25">
      <c r="A51" s="9">
        <v>706</v>
      </c>
      <c r="B51" s="5" t="s">
        <v>292</v>
      </c>
      <c r="C51" s="5" t="s">
        <v>293</v>
      </c>
      <c r="D51" s="5" t="s">
        <v>1618</v>
      </c>
      <c r="E51" s="6">
        <v>90189084</v>
      </c>
      <c r="F51" s="6">
        <v>13</v>
      </c>
      <c r="G51" s="6">
        <f t="shared" si="1"/>
        <v>1</v>
      </c>
      <c r="H51" s="6" t="s">
        <v>1622</v>
      </c>
      <c r="I51" s="5">
        <v>197.02</v>
      </c>
      <c r="J51" s="5">
        <f t="shared" si="2"/>
        <v>2561.2600000000002</v>
      </c>
    </row>
    <row r="52" spans="1:10" x14ac:dyDescent="0.25">
      <c r="A52" s="9">
        <v>707</v>
      </c>
      <c r="B52" s="5" t="s">
        <v>298</v>
      </c>
      <c r="C52" s="5" t="s">
        <v>299</v>
      </c>
      <c r="D52" s="5" t="s">
        <v>1618</v>
      </c>
      <c r="E52" s="6">
        <v>90189084</v>
      </c>
      <c r="F52" s="6">
        <v>13</v>
      </c>
      <c r="G52" s="6">
        <f t="shared" si="1"/>
        <v>1</v>
      </c>
      <c r="H52" s="6" t="s">
        <v>1622</v>
      </c>
      <c r="I52" s="5">
        <v>197.02</v>
      </c>
      <c r="J52" s="5">
        <f t="shared" si="2"/>
        <v>2561.2600000000002</v>
      </c>
    </row>
    <row r="53" spans="1:10" x14ac:dyDescent="0.25">
      <c r="A53" s="9">
        <v>708</v>
      </c>
      <c r="B53" s="5" t="s">
        <v>300</v>
      </c>
      <c r="C53" s="5" t="s">
        <v>301</v>
      </c>
      <c r="D53" s="5" t="s">
        <v>1618</v>
      </c>
      <c r="E53" s="6">
        <v>90189084</v>
      </c>
      <c r="F53" s="6">
        <v>13</v>
      </c>
      <c r="G53" s="6">
        <f t="shared" si="1"/>
        <v>1</v>
      </c>
      <c r="H53" s="6" t="s">
        <v>1622</v>
      </c>
      <c r="I53" s="5">
        <v>197.02</v>
      </c>
      <c r="J53" s="5">
        <f t="shared" si="2"/>
        <v>2561.2600000000002</v>
      </c>
    </row>
    <row r="54" spans="1:10" x14ac:dyDescent="0.25">
      <c r="A54" s="9">
        <v>709</v>
      </c>
      <c r="B54" s="5" t="s">
        <v>302</v>
      </c>
      <c r="C54" s="5" t="s">
        <v>303</v>
      </c>
      <c r="D54" s="5" t="s">
        <v>1618</v>
      </c>
      <c r="E54" s="6">
        <v>90189084</v>
      </c>
      <c r="F54" s="6">
        <v>13</v>
      </c>
      <c r="G54" s="6">
        <f t="shared" si="1"/>
        <v>1</v>
      </c>
      <c r="H54" s="6" t="s">
        <v>1622</v>
      </c>
      <c r="I54" s="5">
        <v>197.02</v>
      </c>
      <c r="J54" s="5">
        <f t="shared" si="2"/>
        <v>2561.2600000000002</v>
      </c>
    </row>
    <row r="55" spans="1:10" x14ac:dyDescent="0.25">
      <c r="A55" s="9">
        <v>710</v>
      </c>
      <c r="B55" s="5" t="s">
        <v>306</v>
      </c>
      <c r="C55" s="5" t="s">
        <v>307</v>
      </c>
      <c r="D55" s="5" t="s">
        <v>1618</v>
      </c>
      <c r="E55" s="6">
        <v>90189084</v>
      </c>
      <c r="F55" s="6">
        <v>13</v>
      </c>
      <c r="G55" s="6">
        <f t="shared" si="1"/>
        <v>1</v>
      </c>
      <c r="H55" s="6" t="s">
        <v>1622</v>
      </c>
      <c r="I55" s="5">
        <v>209.94</v>
      </c>
      <c r="J55" s="5">
        <f t="shared" si="2"/>
        <v>2729.22</v>
      </c>
    </row>
    <row r="56" spans="1:10" x14ac:dyDescent="0.25">
      <c r="A56" s="9">
        <v>711</v>
      </c>
      <c r="B56" s="5" t="s">
        <v>310</v>
      </c>
      <c r="C56" s="5" t="s">
        <v>311</v>
      </c>
      <c r="D56" s="5" t="s">
        <v>1618</v>
      </c>
      <c r="E56" s="6">
        <v>90189084</v>
      </c>
      <c r="F56" s="6">
        <v>13</v>
      </c>
      <c r="G56" s="6">
        <f t="shared" si="1"/>
        <v>1</v>
      </c>
      <c r="H56" s="6" t="s">
        <v>1622</v>
      </c>
      <c r="I56" s="5">
        <v>209.94</v>
      </c>
      <c r="J56" s="5">
        <f t="shared" si="2"/>
        <v>2729.22</v>
      </c>
    </row>
    <row r="57" spans="1:10" x14ac:dyDescent="0.25">
      <c r="A57" s="9">
        <v>712</v>
      </c>
      <c r="B57" s="5" t="s">
        <v>436</v>
      </c>
      <c r="C57" s="5" t="s">
        <v>437</v>
      </c>
      <c r="D57" s="5" t="s">
        <v>1618</v>
      </c>
      <c r="E57" s="6">
        <v>90189084</v>
      </c>
      <c r="F57" s="6">
        <v>13</v>
      </c>
      <c r="G57" s="6">
        <f t="shared" si="1"/>
        <v>1</v>
      </c>
      <c r="H57" s="6" t="s">
        <v>1622</v>
      </c>
      <c r="I57" s="5">
        <v>216.71</v>
      </c>
      <c r="J57" s="5">
        <f t="shared" si="2"/>
        <v>2817.23</v>
      </c>
    </row>
    <row r="58" spans="1:10" x14ac:dyDescent="0.25">
      <c r="A58" s="9">
        <v>713</v>
      </c>
      <c r="B58" s="5" t="s">
        <v>312</v>
      </c>
      <c r="C58" s="5" t="s">
        <v>313</v>
      </c>
      <c r="D58" s="5" t="s">
        <v>1618</v>
      </c>
      <c r="E58" s="6">
        <v>90189084</v>
      </c>
      <c r="F58" s="6">
        <v>13</v>
      </c>
      <c r="G58" s="6">
        <f t="shared" si="1"/>
        <v>1</v>
      </c>
      <c r="H58" s="6" t="s">
        <v>1622</v>
      </c>
      <c r="I58" s="5">
        <v>209.94</v>
      </c>
      <c r="J58" s="5">
        <f t="shared" si="2"/>
        <v>2729.22</v>
      </c>
    </row>
    <row r="59" spans="1:10" x14ac:dyDescent="0.25">
      <c r="A59" s="9">
        <v>714</v>
      </c>
      <c r="B59" s="5" t="s">
        <v>314</v>
      </c>
      <c r="C59" s="5" t="s">
        <v>315</v>
      </c>
      <c r="D59" s="5" t="s">
        <v>1618</v>
      </c>
      <c r="E59" s="6">
        <v>90189084</v>
      </c>
      <c r="F59" s="6">
        <v>13</v>
      </c>
      <c r="G59" s="6">
        <f t="shared" si="1"/>
        <v>1</v>
      </c>
      <c r="H59" s="6" t="s">
        <v>1622</v>
      </c>
      <c r="I59" s="5">
        <v>209.94</v>
      </c>
      <c r="J59" s="5">
        <f t="shared" si="2"/>
        <v>2729.22</v>
      </c>
    </row>
    <row r="60" spans="1:10" x14ac:dyDescent="0.25">
      <c r="A60" s="9">
        <v>715</v>
      </c>
      <c r="B60" s="5" t="s">
        <v>438</v>
      </c>
      <c r="C60" s="5" t="s">
        <v>439</v>
      </c>
      <c r="D60" s="5" t="s">
        <v>1619</v>
      </c>
      <c r="E60" s="6">
        <v>90189084</v>
      </c>
      <c r="F60" s="6">
        <v>13</v>
      </c>
      <c r="G60" s="6">
        <f t="shared" si="1"/>
        <v>1</v>
      </c>
      <c r="H60" s="6" t="s">
        <v>1622</v>
      </c>
      <c r="I60" s="5">
        <v>65.319999999999993</v>
      </c>
      <c r="J60" s="5">
        <f t="shared" si="2"/>
        <v>849.15999999999985</v>
      </c>
    </row>
    <row r="61" spans="1:10" x14ac:dyDescent="0.25">
      <c r="A61" s="9">
        <v>716</v>
      </c>
      <c r="B61" s="5" t="s">
        <v>440</v>
      </c>
      <c r="C61" s="5" t="s">
        <v>441</v>
      </c>
      <c r="D61" s="5" t="s">
        <v>1619</v>
      </c>
      <c r="E61" s="6">
        <v>90189084</v>
      </c>
      <c r="F61" s="6">
        <v>13</v>
      </c>
      <c r="G61" s="6">
        <f t="shared" si="1"/>
        <v>1</v>
      </c>
      <c r="H61" s="6" t="s">
        <v>1622</v>
      </c>
      <c r="I61" s="5">
        <v>60.73</v>
      </c>
      <c r="J61" s="5">
        <f t="shared" si="2"/>
        <v>789.49</v>
      </c>
    </row>
    <row r="62" spans="1:10" x14ac:dyDescent="0.25">
      <c r="A62" s="9">
        <v>717</v>
      </c>
      <c r="B62" s="5" t="s">
        <v>66</v>
      </c>
      <c r="C62" s="5" t="s">
        <v>67</v>
      </c>
      <c r="D62" s="5" t="s">
        <v>1618</v>
      </c>
      <c r="E62" s="6">
        <v>90189084</v>
      </c>
      <c r="F62" s="6">
        <v>13</v>
      </c>
      <c r="G62" s="6">
        <f t="shared" si="1"/>
        <v>1</v>
      </c>
      <c r="H62" s="6" t="s">
        <v>1622</v>
      </c>
      <c r="I62" s="5">
        <v>106.24</v>
      </c>
      <c r="J62" s="5">
        <f t="shared" si="2"/>
        <v>1381.12</v>
      </c>
    </row>
    <row r="63" spans="1:10" x14ac:dyDescent="0.25">
      <c r="A63" s="9">
        <v>718</v>
      </c>
      <c r="B63" s="5" t="s">
        <v>442</v>
      </c>
      <c r="C63" s="5" t="s">
        <v>443</v>
      </c>
      <c r="D63" s="5" t="s">
        <v>1618</v>
      </c>
      <c r="E63" s="6">
        <v>90189084</v>
      </c>
      <c r="F63" s="6">
        <v>26</v>
      </c>
      <c r="G63" s="6">
        <f t="shared" si="1"/>
        <v>2</v>
      </c>
      <c r="H63" s="6" t="s">
        <v>1622</v>
      </c>
      <c r="I63" s="5">
        <v>133.53</v>
      </c>
      <c r="J63" s="5">
        <f t="shared" si="2"/>
        <v>3471.78</v>
      </c>
    </row>
    <row r="64" spans="1:10" x14ac:dyDescent="0.25">
      <c r="A64" s="9">
        <v>719</v>
      </c>
      <c r="B64" s="5" t="s">
        <v>444</v>
      </c>
      <c r="C64" s="5" t="s">
        <v>445</v>
      </c>
      <c r="D64" s="5" t="s">
        <v>1618</v>
      </c>
      <c r="E64" s="6">
        <v>90189084</v>
      </c>
      <c r="F64" s="6">
        <v>26</v>
      </c>
      <c r="G64" s="6">
        <f t="shared" si="1"/>
        <v>2</v>
      </c>
      <c r="H64" s="6" t="s">
        <v>1622</v>
      </c>
      <c r="I64" s="5">
        <v>182.42</v>
      </c>
      <c r="J64" s="5">
        <f t="shared" si="2"/>
        <v>4742.92</v>
      </c>
    </row>
    <row r="65" spans="1:10" x14ac:dyDescent="0.25">
      <c r="A65" s="9">
        <v>720</v>
      </c>
      <c r="B65" s="5" t="s">
        <v>446</v>
      </c>
      <c r="C65" s="5" t="s">
        <v>447</v>
      </c>
      <c r="D65" s="5" t="s">
        <v>1618</v>
      </c>
      <c r="E65" s="6">
        <v>90189084</v>
      </c>
      <c r="F65" s="6">
        <v>26</v>
      </c>
      <c r="G65" s="6">
        <f t="shared" si="1"/>
        <v>2</v>
      </c>
      <c r="H65" s="6" t="s">
        <v>1624</v>
      </c>
      <c r="I65" s="5">
        <v>42.67</v>
      </c>
      <c r="J65" s="5">
        <f t="shared" si="2"/>
        <v>1109.42</v>
      </c>
    </row>
    <row r="66" spans="1:10" x14ac:dyDescent="0.25">
      <c r="A66" s="9">
        <v>721</v>
      </c>
      <c r="B66" s="5" t="s">
        <v>448</v>
      </c>
      <c r="C66" s="5" t="s">
        <v>449</v>
      </c>
      <c r="D66" s="5" t="s">
        <v>1618</v>
      </c>
      <c r="E66" s="6">
        <v>90189084</v>
      </c>
      <c r="F66" s="6">
        <v>26</v>
      </c>
      <c r="G66" s="6">
        <f t="shared" si="1"/>
        <v>2</v>
      </c>
      <c r="H66" s="6" t="s">
        <v>1624</v>
      </c>
      <c r="I66" s="5">
        <v>46.33</v>
      </c>
      <c r="J66" s="5">
        <f t="shared" si="2"/>
        <v>1204.58</v>
      </c>
    </row>
    <row r="67" spans="1:10" x14ac:dyDescent="0.25">
      <c r="A67" s="9">
        <v>722</v>
      </c>
      <c r="B67" s="5" t="s">
        <v>450</v>
      </c>
      <c r="C67" s="5" t="s">
        <v>451</v>
      </c>
      <c r="D67" s="5" t="s">
        <v>1618</v>
      </c>
      <c r="E67" s="6">
        <v>90189084</v>
      </c>
      <c r="F67" s="6">
        <v>26</v>
      </c>
      <c r="G67" s="6">
        <f t="shared" si="1"/>
        <v>2</v>
      </c>
      <c r="H67" s="6" t="s">
        <v>1624</v>
      </c>
      <c r="I67" s="5">
        <v>46.33</v>
      </c>
      <c r="J67" s="5">
        <f t="shared" si="2"/>
        <v>1204.58</v>
      </c>
    </row>
    <row r="68" spans="1:10" x14ac:dyDescent="0.25">
      <c r="A68" s="9">
        <v>723</v>
      </c>
      <c r="B68" s="5" t="s">
        <v>452</v>
      </c>
      <c r="C68" s="5" t="s">
        <v>453</v>
      </c>
      <c r="D68" s="5" t="s">
        <v>1618</v>
      </c>
      <c r="E68" s="6">
        <v>90189084</v>
      </c>
      <c r="F68" s="6">
        <v>26</v>
      </c>
      <c r="G68" s="6">
        <f t="shared" ref="G68:G81" si="3">F68/$F$2</f>
        <v>2</v>
      </c>
      <c r="H68" s="6" t="s">
        <v>1624</v>
      </c>
      <c r="I68" s="5">
        <v>42.67</v>
      </c>
      <c r="J68" s="5">
        <f t="shared" si="2"/>
        <v>1109.42</v>
      </c>
    </row>
    <row r="69" spans="1:10" x14ac:dyDescent="0.25">
      <c r="A69" s="9">
        <v>724</v>
      </c>
      <c r="B69" s="5" t="s">
        <v>454</v>
      </c>
      <c r="C69" s="5" t="s">
        <v>455</v>
      </c>
      <c r="D69" s="5" t="s">
        <v>1618</v>
      </c>
      <c r="E69" s="6">
        <v>90189084</v>
      </c>
      <c r="F69" s="6">
        <v>26</v>
      </c>
      <c r="G69" s="6">
        <f t="shared" si="3"/>
        <v>2</v>
      </c>
      <c r="H69" s="6" t="s">
        <v>1624</v>
      </c>
      <c r="I69" s="5">
        <v>42.67</v>
      </c>
      <c r="J69" s="5">
        <f t="shared" si="2"/>
        <v>1109.42</v>
      </c>
    </row>
    <row r="70" spans="1:10" x14ac:dyDescent="0.25">
      <c r="A70" s="9">
        <v>725</v>
      </c>
      <c r="B70" s="5" t="s">
        <v>456</v>
      </c>
      <c r="C70" s="5" t="s">
        <v>457</v>
      </c>
      <c r="D70" s="5" t="s">
        <v>1618</v>
      </c>
      <c r="E70" s="6">
        <v>90189084</v>
      </c>
      <c r="F70" s="6">
        <v>26</v>
      </c>
      <c r="G70" s="6">
        <f t="shared" si="3"/>
        <v>2</v>
      </c>
      <c r="H70" s="6" t="s">
        <v>1624</v>
      </c>
      <c r="I70" s="5">
        <v>46.33</v>
      </c>
      <c r="J70" s="5">
        <f t="shared" si="2"/>
        <v>1204.58</v>
      </c>
    </row>
    <row r="71" spans="1:10" x14ac:dyDescent="0.25">
      <c r="A71" s="9">
        <v>726</v>
      </c>
      <c r="B71" s="5" t="s">
        <v>458</v>
      </c>
      <c r="C71" s="5" t="s">
        <v>459</v>
      </c>
      <c r="D71" s="5" t="s">
        <v>1618</v>
      </c>
      <c r="E71" s="6">
        <v>90189084</v>
      </c>
      <c r="F71" s="6">
        <v>13</v>
      </c>
      <c r="G71" s="6">
        <f t="shared" si="3"/>
        <v>1</v>
      </c>
      <c r="H71" s="6" t="s">
        <v>1622</v>
      </c>
      <c r="I71" s="5">
        <v>211.79</v>
      </c>
      <c r="J71" s="5">
        <f t="shared" si="2"/>
        <v>2753.27</v>
      </c>
    </row>
    <row r="72" spans="1:10" x14ac:dyDescent="0.25">
      <c r="A72" s="9">
        <v>727</v>
      </c>
      <c r="B72" s="5" t="s">
        <v>460</v>
      </c>
      <c r="C72" s="5" t="s">
        <v>461</v>
      </c>
      <c r="D72" s="5" t="s">
        <v>1618</v>
      </c>
      <c r="E72" s="6">
        <v>90189084</v>
      </c>
      <c r="F72" s="6">
        <v>13</v>
      </c>
      <c r="G72" s="6">
        <f t="shared" si="3"/>
        <v>1</v>
      </c>
      <c r="H72" s="6" t="s">
        <v>1622</v>
      </c>
      <c r="I72" s="5">
        <v>129.51</v>
      </c>
      <c r="J72" s="5">
        <f t="shared" si="2"/>
        <v>1683.6299999999999</v>
      </c>
    </row>
    <row r="73" spans="1:10" x14ac:dyDescent="0.25">
      <c r="A73" s="9">
        <v>728</v>
      </c>
      <c r="B73" s="5" t="s">
        <v>462</v>
      </c>
      <c r="C73" s="5" t="s">
        <v>463</v>
      </c>
      <c r="D73" s="5" t="s">
        <v>1618</v>
      </c>
      <c r="E73" s="6">
        <v>90189084</v>
      </c>
      <c r="F73" s="6">
        <v>13</v>
      </c>
      <c r="G73" s="6">
        <f t="shared" si="3"/>
        <v>1</v>
      </c>
      <c r="H73" s="6" t="s">
        <v>1622</v>
      </c>
      <c r="I73" s="5">
        <v>33</v>
      </c>
      <c r="J73" s="5">
        <f t="shared" si="2"/>
        <v>429</v>
      </c>
    </row>
    <row r="74" spans="1:10" x14ac:dyDescent="0.25">
      <c r="A74" s="9">
        <v>729</v>
      </c>
      <c r="B74" s="5" t="s">
        <v>464</v>
      </c>
      <c r="C74" s="5" t="s">
        <v>465</v>
      </c>
      <c r="D74" s="5" t="s">
        <v>1618</v>
      </c>
      <c r="E74" s="6">
        <v>90189084</v>
      </c>
      <c r="F74" s="6">
        <v>26</v>
      </c>
      <c r="G74" s="6">
        <f t="shared" si="3"/>
        <v>2</v>
      </c>
      <c r="H74" s="6" t="s">
        <v>1622</v>
      </c>
      <c r="I74" s="5">
        <v>12.73</v>
      </c>
      <c r="J74" s="5">
        <f t="shared" si="2"/>
        <v>330.98</v>
      </c>
    </row>
    <row r="75" spans="1:10" x14ac:dyDescent="0.25">
      <c r="A75" s="9">
        <v>730</v>
      </c>
      <c r="B75" s="5" t="s">
        <v>466</v>
      </c>
      <c r="C75" s="5" t="s">
        <v>467</v>
      </c>
      <c r="D75" s="5" t="s">
        <v>1618</v>
      </c>
      <c r="E75" s="6">
        <v>90189084</v>
      </c>
      <c r="F75" s="6">
        <v>13</v>
      </c>
      <c r="G75" s="6">
        <f t="shared" si="3"/>
        <v>1</v>
      </c>
      <c r="H75" s="6" t="s">
        <v>1622</v>
      </c>
      <c r="I75" s="5">
        <v>90.56</v>
      </c>
      <c r="J75" s="5">
        <f t="shared" si="2"/>
        <v>1177.28</v>
      </c>
    </row>
    <row r="76" spans="1:10" x14ac:dyDescent="0.25">
      <c r="A76" s="9">
        <v>731</v>
      </c>
      <c r="B76" s="5" t="s">
        <v>280</v>
      </c>
      <c r="C76" s="5" t="s">
        <v>281</v>
      </c>
      <c r="D76" s="5" t="s">
        <v>1618</v>
      </c>
      <c r="E76" s="6">
        <v>90189084</v>
      </c>
      <c r="F76" s="6">
        <v>13</v>
      </c>
      <c r="G76" s="6">
        <f t="shared" si="3"/>
        <v>1</v>
      </c>
      <c r="H76" s="6" t="s">
        <v>1622</v>
      </c>
      <c r="I76" s="5">
        <v>245.22</v>
      </c>
      <c r="J76" s="5">
        <f t="shared" si="2"/>
        <v>3187.86</v>
      </c>
    </row>
    <row r="77" spans="1:10" x14ac:dyDescent="0.25">
      <c r="A77" s="9">
        <v>732</v>
      </c>
      <c r="B77" s="5" t="s">
        <v>282</v>
      </c>
      <c r="C77" s="5" t="s">
        <v>283</v>
      </c>
      <c r="D77" s="5" t="s">
        <v>1618</v>
      </c>
      <c r="E77" s="6">
        <v>90189084</v>
      </c>
      <c r="F77" s="6">
        <v>13</v>
      </c>
      <c r="G77" s="6">
        <f t="shared" si="3"/>
        <v>1</v>
      </c>
      <c r="H77" s="6" t="s">
        <v>1622</v>
      </c>
      <c r="I77" s="5">
        <v>241.85</v>
      </c>
      <c r="J77" s="5">
        <f t="shared" si="2"/>
        <v>3144.0499999999997</v>
      </c>
    </row>
    <row r="78" spans="1:10" x14ac:dyDescent="0.25">
      <c r="A78" s="9">
        <v>733</v>
      </c>
      <c r="B78" s="5" t="s">
        <v>284</v>
      </c>
      <c r="C78" s="5" t="s">
        <v>285</v>
      </c>
      <c r="D78" s="5" t="s">
        <v>1618</v>
      </c>
      <c r="E78" s="6">
        <v>90189084</v>
      </c>
      <c r="F78" s="6">
        <v>13</v>
      </c>
      <c r="G78" s="6">
        <f t="shared" si="3"/>
        <v>1</v>
      </c>
      <c r="H78" s="6" t="s">
        <v>1622</v>
      </c>
      <c r="I78" s="5">
        <v>241.85</v>
      </c>
      <c r="J78" s="5">
        <f t="shared" si="2"/>
        <v>3144.0499999999997</v>
      </c>
    </row>
    <row r="79" spans="1:10" x14ac:dyDescent="0.25">
      <c r="A79" s="9">
        <v>734</v>
      </c>
      <c r="B79" s="5" t="s">
        <v>374</v>
      </c>
      <c r="C79" s="5" t="s">
        <v>375</v>
      </c>
      <c r="D79" s="5" t="s">
        <v>1618</v>
      </c>
      <c r="E79" s="6">
        <v>73269098</v>
      </c>
      <c r="F79" s="6">
        <v>13</v>
      </c>
      <c r="G79" s="6">
        <f t="shared" si="3"/>
        <v>1</v>
      </c>
      <c r="H79" s="6" t="s">
        <v>1622</v>
      </c>
      <c r="I79" s="5">
        <v>76.98</v>
      </c>
      <c r="J79" s="5">
        <f t="shared" si="2"/>
        <v>1000.74</v>
      </c>
    </row>
    <row r="80" spans="1:10" x14ac:dyDescent="0.25">
      <c r="A80" s="9">
        <v>735</v>
      </c>
      <c r="B80" s="5" t="s">
        <v>134</v>
      </c>
      <c r="C80" s="5" t="s">
        <v>135</v>
      </c>
      <c r="D80" s="5" t="s">
        <v>1618</v>
      </c>
      <c r="E80" s="6">
        <v>73269098</v>
      </c>
      <c r="F80" s="6">
        <v>13</v>
      </c>
      <c r="G80" s="6">
        <f t="shared" si="3"/>
        <v>1</v>
      </c>
      <c r="H80" s="6" t="s">
        <v>1622</v>
      </c>
      <c r="I80" s="5">
        <v>59.22</v>
      </c>
      <c r="J80" s="5">
        <f t="shared" si="2"/>
        <v>769.86</v>
      </c>
    </row>
    <row r="81" spans="1:10" x14ac:dyDescent="0.25">
      <c r="A81" s="9">
        <v>736</v>
      </c>
      <c r="B81" s="5" t="s">
        <v>468</v>
      </c>
      <c r="C81" s="5" t="s">
        <v>469</v>
      </c>
      <c r="D81" s="5" t="s">
        <v>1618</v>
      </c>
      <c r="E81" s="6">
        <v>39269097</v>
      </c>
      <c r="F81" s="6">
        <v>13</v>
      </c>
      <c r="G81" s="6">
        <f t="shared" si="3"/>
        <v>1</v>
      </c>
      <c r="H81" s="6" t="s">
        <v>1622</v>
      </c>
      <c r="I81" s="5">
        <v>32.58</v>
      </c>
      <c r="J81" s="5">
        <f t="shared" si="2"/>
        <v>423.53999999999996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2B79-2492-499F-BE21-F747DAF33A2A}">
  <dimension ref="A1:K55"/>
  <sheetViews>
    <sheetView workbookViewId="0">
      <selection activeCell="G3" sqref="G3:G55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1677</v>
      </c>
      <c r="D2" s="11"/>
      <c r="E2" s="12"/>
      <c r="F2" s="12">
        <v>6</v>
      </c>
      <c r="G2" s="12"/>
      <c r="H2" s="12"/>
      <c r="I2" s="2"/>
      <c r="J2" s="13"/>
    </row>
    <row r="3" spans="1:10" x14ac:dyDescent="0.25">
      <c r="A3" s="9">
        <v>737</v>
      </c>
      <c r="B3" s="5" t="s">
        <v>757</v>
      </c>
      <c r="C3" s="5" t="s">
        <v>758</v>
      </c>
      <c r="D3" s="5" t="s">
        <v>1618</v>
      </c>
      <c r="E3" s="6">
        <v>90189084</v>
      </c>
      <c r="F3" s="6">
        <v>6</v>
      </c>
      <c r="G3" s="6">
        <f>F3/$F$2</f>
        <v>1</v>
      </c>
      <c r="H3" s="6" t="s">
        <v>1622</v>
      </c>
      <c r="I3" s="5">
        <v>80.459999999999994</v>
      </c>
      <c r="J3" s="5">
        <f t="shared" ref="J3:J20" si="0">F3*I3</f>
        <v>482.76</v>
      </c>
    </row>
    <row r="4" spans="1:10" x14ac:dyDescent="0.25">
      <c r="A4" s="9">
        <v>738</v>
      </c>
      <c r="B4" s="5" t="s">
        <v>757</v>
      </c>
      <c r="C4" s="5" t="s">
        <v>758</v>
      </c>
      <c r="D4" s="5" t="s">
        <v>1618</v>
      </c>
      <c r="E4" s="6">
        <v>90189084</v>
      </c>
      <c r="F4" s="6">
        <v>6</v>
      </c>
      <c r="G4" s="6">
        <f t="shared" ref="G4:G55" si="1">F4/$F$2</f>
        <v>1</v>
      </c>
      <c r="H4" s="6" t="s">
        <v>1622</v>
      </c>
      <c r="I4" s="5">
        <v>80.459999999999994</v>
      </c>
      <c r="J4" s="5">
        <f t="shared" si="0"/>
        <v>482.76</v>
      </c>
    </row>
    <row r="5" spans="1:10" x14ac:dyDescent="0.25">
      <c r="A5" s="9">
        <v>739</v>
      </c>
      <c r="B5" s="5" t="s">
        <v>759</v>
      </c>
      <c r="C5" s="5" t="s">
        <v>760</v>
      </c>
      <c r="D5" s="5" t="s">
        <v>1618</v>
      </c>
      <c r="E5" s="6">
        <v>90189084</v>
      </c>
      <c r="F5" s="6">
        <v>6</v>
      </c>
      <c r="G5" s="6">
        <f t="shared" si="1"/>
        <v>1</v>
      </c>
      <c r="H5" s="6" t="s">
        <v>1622</v>
      </c>
      <c r="I5" s="5">
        <v>80.459999999999994</v>
      </c>
      <c r="J5" s="5">
        <f t="shared" si="0"/>
        <v>482.76</v>
      </c>
    </row>
    <row r="6" spans="1:10" x14ac:dyDescent="0.25">
      <c r="A6" s="9">
        <v>740</v>
      </c>
      <c r="B6" s="5" t="s">
        <v>761</v>
      </c>
      <c r="C6" s="5" t="s">
        <v>762</v>
      </c>
      <c r="D6" s="5" t="s">
        <v>1618</v>
      </c>
      <c r="E6" s="6">
        <v>90189084</v>
      </c>
      <c r="F6" s="6">
        <v>6</v>
      </c>
      <c r="G6" s="6">
        <f t="shared" si="1"/>
        <v>1</v>
      </c>
      <c r="H6" s="6" t="s">
        <v>1622</v>
      </c>
      <c r="I6" s="5">
        <v>80.459999999999994</v>
      </c>
      <c r="J6" s="5">
        <f t="shared" si="0"/>
        <v>482.76</v>
      </c>
    </row>
    <row r="7" spans="1:10" x14ac:dyDescent="0.25">
      <c r="A7" s="9">
        <v>741</v>
      </c>
      <c r="B7" s="5" t="s">
        <v>136</v>
      </c>
      <c r="C7" s="5" t="s">
        <v>137</v>
      </c>
      <c r="D7" s="5" t="s">
        <v>1618</v>
      </c>
      <c r="E7" s="6">
        <v>90189084</v>
      </c>
      <c r="F7" s="6">
        <v>6</v>
      </c>
      <c r="G7" s="6">
        <f t="shared" si="1"/>
        <v>1</v>
      </c>
      <c r="H7" s="6" t="s">
        <v>1622</v>
      </c>
      <c r="I7" s="5">
        <v>4.03</v>
      </c>
      <c r="J7" s="5">
        <f t="shared" si="0"/>
        <v>24.18</v>
      </c>
    </row>
    <row r="8" spans="1:10" x14ac:dyDescent="0.25">
      <c r="A8" s="9">
        <v>742</v>
      </c>
      <c r="B8" s="5" t="s">
        <v>763</v>
      </c>
      <c r="C8" s="5" t="s">
        <v>764</v>
      </c>
      <c r="D8" s="5" t="s">
        <v>1618</v>
      </c>
      <c r="E8" s="6">
        <v>90189084</v>
      </c>
      <c r="F8" s="6">
        <v>12</v>
      </c>
      <c r="G8" s="6">
        <f t="shared" si="1"/>
        <v>2</v>
      </c>
      <c r="H8" s="6" t="s">
        <v>1622</v>
      </c>
      <c r="I8" s="5">
        <v>17.350000000000001</v>
      </c>
      <c r="J8" s="5">
        <f t="shared" si="0"/>
        <v>208.20000000000002</v>
      </c>
    </row>
    <row r="9" spans="1:10" x14ac:dyDescent="0.25">
      <c r="A9" s="9">
        <v>743</v>
      </c>
      <c r="B9" s="5" t="s">
        <v>765</v>
      </c>
      <c r="C9" s="5" t="s">
        <v>766</v>
      </c>
      <c r="D9" s="5" t="s">
        <v>1618</v>
      </c>
      <c r="E9" s="6">
        <v>90189084</v>
      </c>
      <c r="F9" s="6">
        <v>12</v>
      </c>
      <c r="G9" s="6">
        <f t="shared" si="1"/>
        <v>2</v>
      </c>
      <c r="H9" s="6" t="s">
        <v>1622</v>
      </c>
      <c r="I9" s="5">
        <v>29.71</v>
      </c>
      <c r="J9" s="5">
        <f t="shared" si="0"/>
        <v>356.52</v>
      </c>
    </row>
    <row r="10" spans="1:10" x14ac:dyDescent="0.25">
      <c r="A10" s="9">
        <v>744</v>
      </c>
      <c r="B10" s="5" t="s">
        <v>767</v>
      </c>
      <c r="C10" s="5" t="s">
        <v>768</v>
      </c>
      <c r="D10" s="5" t="s">
        <v>1618</v>
      </c>
      <c r="E10" s="6">
        <v>90189084</v>
      </c>
      <c r="F10" s="6">
        <v>12</v>
      </c>
      <c r="G10" s="6">
        <f t="shared" si="1"/>
        <v>2</v>
      </c>
      <c r="H10" s="6" t="s">
        <v>1622</v>
      </c>
      <c r="I10" s="5">
        <v>24.23</v>
      </c>
      <c r="J10" s="5">
        <f t="shared" si="0"/>
        <v>290.76</v>
      </c>
    </row>
    <row r="11" spans="1:10" x14ac:dyDescent="0.25">
      <c r="A11" s="9">
        <v>745</v>
      </c>
      <c r="B11" s="5" t="s">
        <v>769</v>
      </c>
      <c r="C11" s="5" t="s">
        <v>770</v>
      </c>
      <c r="D11" s="5" t="s">
        <v>1618</v>
      </c>
      <c r="E11" s="6">
        <v>90189084</v>
      </c>
      <c r="F11" s="6">
        <v>6</v>
      </c>
      <c r="G11" s="6">
        <f t="shared" si="1"/>
        <v>1</v>
      </c>
      <c r="H11" s="6" t="s">
        <v>1622</v>
      </c>
      <c r="I11" s="5">
        <v>124.49</v>
      </c>
      <c r="J11" s="5">
        <f t="shared" si="0"/>
        <v>746.93999999999994</v>
      </c>
    </row>
    <row r="12" spans="1:10" x14ac:dyDescent="0.25">
      <c r="A12" s="9">
        <v>746</v>
      </c>
      <c r="B12" s="5" t="s">
        <v>771</v>
      </c>
      <c r="C12" s="5" t="s">
        <v>772</v>
      </c>
      <c r="D12" s="5" t="s">
        <v>1618</v>
      </c>
      <c r="E12" s="6">
        <v>90189084</v>
      </c>
      <c r="F12" s="6">
        <v>6</v>
      </c>
      <c r="G12" s="6">
        <f t="shared" si="1"/>
        <v>1</v>
      </c>
      <c r="H12" s="6" t="s">
        <v>1622</v>
      </c>
      <c r="I12" s="5">
        <v>38.24</v>
      </c>
      <c r="J12" s="5">
        <f t="shared" si="0"/>
        <v>229.44</v>
      </c>
    </row>
    <row r="13" spans="1:10" x14ac:dyDescent="0.25">
      <c r="A13" s="9">
        <v>747</v>
      </c>
      <c r="B13" s="5" t="s">
        <v>773</v>
      </c>
      <c r="C13" s="5" t="s">
        <v>774</v>
      </c>
      <c r="D13" s="5" t="s">
        <v>1618</v>
      </c>
      <c r="E13" s="6">
        <v>90189084</v>
      </c>
      <c r="F13" s="6">
        <v>6</v>
      </c>
      <c r="G13" s="6">
        <f t="shared" si="1"/>
        <v>1</v>
      </c>
      <c r="H13" s="6" t="s">
        <v>1622</v>
      </c>
      <c r="I13" s="5">
        <v>21.69</v>
      </c>
      <c r="J13" s="5">
        <f t="shared" si="0"/>
        <v>130.14000000000001</v>
      </c>
    </row>
    <row r="14" spans="1:10" x14ac:dyDescent="0.25">
      <c r="A14" s="9">
        <v>748</v>
      </c>
      <c r="B14" s="5" t="s">
        <v>775</v>
      </c>
      <c r="C14" s="5" t="s">
        <v>776</v>
      </c>
      <c r="D14" s="5" t="s">
        <v>1618</v>
      </c>
      <c r="E14" s="6">
        <v>90189084</v>
      </c>
      <c r="F14" s="6">
        <v>6</v>
      </c>
      <c r="G14" s="6">
        <f t="shared" si="1"/>
        <v>1</v>
      </c>
      <c r="H14" s="6" t="s">
        <v>1622</v>
      </c>
      <c r="I14" s="5">
        <v>21.69</v>
      </c>
      <c r="J14" s="5">
        <f t="shared" si="0"/>
        <v>130.14000000000001</v>
      </c>
    </row>
    <row r="15" spans="1:10" x14ac:dyDescent="0.25">
      <c r="A15" s="9">
        <v>749</v>
      </c>
      <c r="B15" s="5" t="s">
        <v>777</v>
      </c>
      <c r="C15" s="5" t="s">
        <v>778</v>
      </c>
      <c r="D15" s="5" t="s">
        <v>1618</v>
      </c>
      <c r="E15" s="6">
        <v>90189084</v>
      </c>
      <c r="F15" s="6">
        <v>6</v>
      </c>
      <c r="G15" s="6">
        <f t="shared" si="1"/>
        <v>1</v>
      </c>
      <c r="H15" s="6" t="s">
        <v>1622</v>
      </c>
      <c r="I15" s="5">
        <v>30.92</v>
      </c>
      <c r="J15" s="5">
        <f t="shared" si="0"/>
        <v>185.52</v>
      </c>
    </row>
    <row r="16" spans="1:10" x14ac:dyDescent="0.25">
      <c r="A16" s="9">
        <v>750</v>
      </c>
      <c r="B16" s="5" t="s">
        <v>779</v>
      </c>
      <c r="C16" s="5" t="s">
        <v>780</v>
      </c>
      <c r="D16" s="5" t="s">
        <v>1618</v>
      </c>
      <c r="E16" s="6">
        <v>90189084</v>
      </c>
      <c r="F16" s="6">
        <v>6</v>
      </c>
      <c r="G16" s="6">
        <f t="shared" si="1"/>
        <v>1</v>
      </c>
      <c r="H16" s="6" t="s">
        <v>1622</v>
      </c>
      <c r="I16" s="5">
        <v>78.67</v>
      </c>
      <c r="J16" s="5">
        <f t="shared" si="0"/>
        <v>472.02</v>
      </c>
    </row>
    <row r="17" spans="1:10" x14ac:dyDescent="0.25">
      <c r="A17" s="9">
        <v>751</v>
      </c>
      <c r="B17" s="5" t="s">
        <v>781</v>
      </c>
      <c r="C17" s="5" t="s">
        <v>782</v>
      </c>
      <c r="D17" s="5" t="s">
        <v>1618</v>
      </c>
      <c r="E17" s="6">
        <v>90189084</v>
      </c>
      <c r="F17" s="6">
        <v>6</v>
      </c>
      <c r="G17" s="6">
        <f t="shared" si="1"/>
        <v>1</v>
      </c>
      <c r="H17" s="6" t="s">
        <v>1622</v>
      </c>
      <c r="I17" s="5">
        <v>41.6</v>
      </c>
      <c r="J17" s="5">
        <f t="shared" si="0"/>
        <v>249.60000000000002</v>
      </c>
    </row>
    <row r="18" spans="1:10" x14ac:dyDescent="0.25">
      <c r="A18" s="9">
        <v>752</v>
      </c>
      <c r="B18" s="5" t="s">
        <v>783</v>
      </c>
      <c r="C18" s="5" t="s">
        <v>784</v>
      </c>
      <c r="D18" s="5" t="s">
        <v>1618</v>
      </c>
      <c r="E18" s="6">
        <v>90189084</v>
      </c>
      <c r="F18" s="6">
        <v>6</v>
      </c>
      <c r="G18" s="6">
        <f t="shared" si="1"/>
        <v>1</v>
      </c>
      <c r="H18" s="6" t="s">
        <v>1622</v>
      </c>
      <c r="I18" s="5">
        <v>62.07</v>
      </c>
      <c r="J18" s="5">
        <f t="shared" si="0"/>
        <v>372.42</v>
      </c>
    </row>
    <row r="19" spans="1:10" x14ac:dyDescent="0.25">
      <c r="A19" s="9">
        <v>753</v>
      </c>
      <c r="B19" s="5" t="s">
        <v>785</v>
      </c>
      <c r="C19" s="5" t="s">
        <v>786</v>
      </c>
      <c r="D19" s="5" t="s">
        <v>1618</v>
      </c>
      <c r="E19" s="6">
        <v>90189084</v>
      </c>
      <c r="F19" s="6">
        <v>12</v>
      </c>
      <c r="G19" s="6">
        <f t="shared" si="1"/>
        <v>2</v>
      </c>
      <c r="H19" s="6" t="s">
        <v>1622</v>
      </c>
      <c r="I19" s="5">
        <v>80.459999999999994</v>
      </c>
      <c r="J19" s="5">
        <f t="shared" si="0"/>
        <v>965.52</v>
      </c>
    </row>
    <row r="20" spans="1:10" x14ac:dyDescent="0.25">
      <c r="A20" s="9">
        <v>754</v>
      </c>
      <c r="B20" s="5" t="s">
        <v>787</v>
      </c>
      <c r="C20" s="5" t="s">
        <v>788</v>
      </c>
      <c r="D20" s="5" t="s">
        <v>1618</v>
      </c>
      <c r="E20" s="6">
        <v>90189084</v>
      </c>
      <c r="F20" s="6">
        <v>6</v>
      </c>
      <c r="G20" s="6">
        <f t="shared" si="1"/>
        <v>1</v>
      </c>
      <c r="H20" s="6" t="s">
        <v>1622</v>
      </c>
      <c r="I20" s="5">
        <v>38.29</v>
      </c>
      <c r="J20" s="5">
        <f t="shared" si="0"/>
        <v>229.74</v>
      </c>
    </row>
    <row r="21" spans="1:10" x14ac:dyDescent="0.25">
      <c r="A21" s="9">
        <v>755</v>
      </c>
      <c r="B21" s="5" t="s">
        <v>789</v>
      </c>
      <c r="C21" s="5" t="s">
        <v>790</v>
      </c>
      <c r="D21" s="5" t="s">
        <v>1618</v>
      </c>
      <c r="E21" s="6">
        <v>90189084</v>
      </c>
      <c r="F21" s="6">
        <v>6</v>
      </c>
      <c r="G21" s="6">
        <f t="shared" si="1"/>
        <v>1</v>
      </c>
      <c r="H21" s="6" t="s">
        <v>1622</v>
      </c>
      <c r="I21" s="5">
        <v>44.65</v>
      </c>
      <c r="J21" s="5">
        <f t="shared" ref="J21:J55" si="2">F21*I21</f>
        <v>267.89999999999998</v>
      </c>
    </row>
    <row r="22" spans="1:10" x14ac:dyDescent="0.25">
      <c r="A22" s="9">
        <v>756</v>
      </c>
      <c r="B22" s="5" t="s">
        <v>791</v>
      </c>
      <c r="C22" s="5" t="s">
        <v>792</v>
      </c>
      <c r="D22" s="5" t="s">
        <v>1618</v>
      </c>
      <c r="E22" s="6">
        <v>90189084</v>
      </c>
      <c r="F22" s="6">
        <v>6</v>
      </c>
      <c r="G22" s="6">
        <f t="shared" si="1"/>
        <v>1</v>
      </c>
      <c r="H22" s="6" t="s">
        <v>1622</v>
      </c>
      <c r="I22" s="5">
        <v>26.43</v>
      </c>
      <c r="J22" s="5">
        <f t="shared" si="2"/>
        <v>158.57999999999998</v>
      </c>
    </row>
    <row r="23" spans="1:10" x14ac:dyDescent="0.25">
      <c r="A23" s="9">
        <v>757</v>
      </c>
      <c r="B23" s="5" t="s">
        <v>793</v>
      </c>
      <c r="C23" s="5" t="s">
        <v>794</v>
      </c>
      <c r="D23" s="5" t="s">
        <v>1618</v>
      </c>
      <c r="E23" s="6">
        <v>90189084</v>
      </c>
      <c r="F23" s="6">
        <v>6</v>
      </c>
      <c r="G23" s="6">
        <f t="shared" si="1"/>
        <v>1</v>
      </c>
      <c r="H23" s="6" t="s">
        <v>1622</v>
      </c>
      <c r="I23" s="5">
        <v>13.48</v>
      </c>
      <c r="J23" s="5">
        <f t="shared" si="2"/>
        <v>80.88</v>
      </c>
    </row>
    <row r="24" spans="1:10" x14ac:dyDescent="0.25">
      <c r="A24" s="9">
        <v>758</v>
      </c>
      <c r="B24" s="5" t="s">
        <v>795</v>
      </c>
      <c r="C24" s="5" t="s">
        <v>796</v>
      </c>
      <c r="D24" s="5" t="s">
        <v>1618</v>
      </c>
      <c r="E24" s="6">
        <v>90189084</v>
      </c>
      <c r="F24" s="6">
        <v>6</v>
      </c>
      <c r="G24" s="6">
        <f t="shared" si="1"/>
        <v>1</v>
      </c>
      <c r="H24" s="6" t="s">
        <v>1622</v>
      </c>
      <c r="I24" s="5">
        <v>13.19</v>
      </c>
      <c r="J24" s="5">
        <f t="shared" si="2"/>
        <v>79.14</v>
      </c>
    </row>
    <row r="25" spans="1:10" x14ac:dyDescent="0.25">
      <c r="A25" s="9">
        <v>759</v>
      </c>
      <c r="B25" s="5" t="s">
        <v>797</v>
      </c>
      <c r="C25" s="5" t="s">
        <v>798</v>
      </c>
      <c r="D25" s="5" t="s">
        <v>1619</v>
      </c>
      <c r="E25" s="6">
        <v>90189084</v>
      </c>
      <c r="F25" s="6">
        <v>12</v>
      </c>
      <c r="G25" s="6">
        <f t="shared" si="1"/>
        <v>2</v>
      </c>
      <c r="H25" s="6" t="s">
        <v>1622</v>
      </c>
      <c r="I25" s="5">
        <v>17.760000000000002</v>
      </c>
      <c r="J25" s="5">
        <f t="shared" si="2"/>
        <v>213.12</v>
      </c>
    </row>
    <row r="26" spans="1:10" x14ac:dyDescent="0.25">
      <c r="A26" s="9">
        <v>760</v>
      </c>
      <c r="B26" s="5" t="s">
        <v>376</v>
      </c>
      <c r="C26" s="5" t="s">
        <v>377</v>
      </c>
      <c r="D26" s="5" t="s">
        <v>1619</v>
      </c>
      <c r="E26" s="6">
        <v>90189084</v>
      </c>
      <c r="F26" s="6">
        <v>36</v>
      </c>
      <c r="G26" s="6">
        <f t="shared" si="1"/>
        <v>6</v>
      </c>
      <c r="H26" s="6" t="s">
        <v>1622</v>
      </c>
      <c r="I26" s="5">
        <v>14.21</v>
      </c>
      <c r="J26" s="5">
        <f t="shared" si="2"/>
        <v>511.56000000000006</v>
      </c>
    </row>
    <row r="27" spans="1:10" x14ac:dyDescent="0.25">
      <c r="A27" s="9">
        <v>761</v>
      </c>
      <c r="B27" s="5" t="s">
        <v>799</v>
      </c>
      <c r="C27" s="5" t="s">
        <v>800</v>
      </c>
      <c r="D27" s="5" t="s">
        <v>1618</v>
      </c>
      <c r="E27" s="6">
        <v>90189084</v>
      </c>
      <c r="F27" s="6">
        <v>6</v>
      </c>
      <c r="G27" s="6">
        <f t="shared" si="1"/>
        <v>1</v>
      </c>
      <c r="H27" s="6" t="s">
        <v>1622</v>
      </c>
      <c r="I27" s="5">
        <v>137.94999999999999</v>
      </c>
      <c r="J27" s="5">
        <f t="shared" si="2"/>
        <v>827.69999999999993</v>
      </c>
    </row>
    <row r="28" spans="1:10" x14ac:dyDescent="0.25">
      <c r="A28" s="9">
        <v>762</v>
      </c>
      <c r="B28" s="5" t="s">
        <v>801</v>
      </c>
      <c r="C28" s="5" t="s">
        <v>802</v>
      </c>
      <c r="D28" s="5" t="s">
        <v>1618</v>
      </c>
      <c r="E28" s="6">
        <v>90189084</v>
      </c>
      <c r="F28" s="6">
        <v>6</v>
      </c>
      <c r="G28" s="6">
        <f t="shared" si="1"/>
        <v>1</v>
      </c>
      <c r="H28" s="6" t="s">
        <v>1622</v>
      </c>
      <c r="I28" s="5">
        <v>133.94</v>
      </c>
      <c r="J28" s="5">
        <f t="shared" si="2"/>
        <v>803.64</v>
      </c>
    </row>
    <row r="29" spans="1:10" x14ac:dyDescent="0.25">
      <c r="A29" s="9">
        <v>763</v>
      </c>
      <c r="B29" s="5" t="s">
        <v>803</v>
      </c>
      <c r="C29" s="5" t="s">
        <v>804</v>
      </c>
      <c r="D29" s="5" t="s">
        <v>1618</v>
      </c>
      <c r="E29" s="6">
        <v>90189084</v>
      </c>
      <c r="F29" s="6">
        <v>6</v>
      </c>
      <c r="G29" s="6">
        <f t="shared" si="1"/>
        <v>1</v>
      </c>
      <c r="H29" s="6" t="s">
        <v>1622</v>
      </c>
      <c r="I29" s="5">
        <v>58.77</v>
      </c>
      <c r="J29" s="5">
        <f t="shared" si="2"/>
        <v>352.62</v>
      </c>
    </row>
    <row r="30" spans="1:10" x14ac:dyDescent="0.25">
      <c r="A30" s="9">
        <v>764</v>
      </c>
      <c r="B30" s="5" t="s">
        <v>805</v>
      </c>
      <c r="C30" s="5" t="s">
        <v>806</v>
      </c>
      <c r="D30" s="5" t="s">
        <v>1618</v>
      </c>
      <c r="E30" s="6">
        <v>90189084</v>
      </c>
      <c r="F30" s="6">
        <v>6</v>
      </c>
      <c r="G30" s="6">
        <f t="shared" si="1"/>
        <v>1</v>
      </c>
      <c r="H30" s="6" t="s">
        <v>1622</v>
      </c>
      <c r="I30" s="5">
        <v>40.57</v>
      </c>
      <c r="J30" s="5">
        <f t="shared" si="2"/>
        <v>243.42000000000002</v>
      </c>
    </row>
    <row r="31" spans="1:10" x14ac:dyDescent="0.25">
      <c r="A31" s="9">
        <v>765</v>
      </c>
      <c r="B31" s="5" t="s">
        <v>174</v>
      </c>
      <c r="C31" s="5" t="s">
        <v>175</v>
      </c>
      <c r="D31" s="5" t="s">
        <v>1618</v>
      </c>
      <c r="E31" s="6">
        <v>90189084</v>
      </c>
      <c r="F31" s="6">
        <v>6</v>
      </c>
      <c r="G31" s="6">
        <f t="shared" si="1"/>
        <v>1</v>
      </c>
      <c r="H31" s="6" t="s">
        <v>1622</v>
      </c>
      <c r="I31" s="5">
        <v>12.02</v>
      </c>
      <c r="J31" s="5">
        <f t="shared" si="2"/>
        <v>72.12</v>
      </c>
    </row>
    <row r="32" spans="1:10" x14ac:dyDescent="0.25">
      <c r="A32" s="9">
        <v>766</v>
      </c>
      <c r="B32" s="5" t="s">
        <v>534</v>
      </c>
      <c r="C32" s="5" t="s">
        <v>535</v>
      </c>
      <c r="D32" s="5" t="s">
        <v>1619</v>
      </c>
      <c r="E32" s="6">
        <v>90183900</v>
      </c>
      <c r="F32" s="6">
        <v>6</v>
      </c>
      <c r="G32" s="6">
        <f t="shared" si="1"/>
        <v>1</v>
      </c>
      <c r="H32" s="6" t="s">
        <v>1622</v>
      </c>
      <c r="I32" s="5">
        <v>13.49</v>
      </c>
      <c r="J32" s="5">
        <f t="shared" si="2"/>
        <v>80.94</v>
      </c>
    </row>
    <row r="33" spans="1:10" x14ac:dyDescent="0.25">
      <c r="A33" s="9">
        <v>767</v>
      </c>
      <c r="B33" s="5" t="s">
        <v>807</v>
      </c>
      <c r="C33" s="5" t="s">
        <v>808</v>
      </c>
      <c r="D33" s="5" t="s">
        <v>1619</v>
      </c>
      <c r="E33" s="6">
        <v>90183900</v>
      </c>
      <c r="F33" s="6">
        <v>6</v>
      </c>
      <c r="G33" s="6">
        <f t="shared" si="1"/>
        <v>1</v>
      </c>
      <c r="H33" s="6" t="s">
        <v>1622</v>
      </c>
      <c r="I33" s="5">
        <v>13.49</v>
      </c>
      <c r="J33" s="5">
        <f t="shared" si="2"/>
        <v>80.94</v>
      </c>
    </row>
    <row r="34" spans="1:10" x14ac:dyDescent="0.25">
      <c r="A34" s="9">
        <v>768</v>
      </c>
      <c r="B34" s="5" t="s">
        <v>809</v>
      </c>
      <c r="C34" s="5" t="s">
        <v>810</v>
      </c>
      <c r="D34" s="5" t="s">
        <v>1618</v>
      </c>
      <c r="E34" s="6">
        <v>90189084</v>
      </c>
      <c r="F34" s="6">
        <v>6</v>
      </c>
      <c r="G34" s="6">
        <f t="shared" si="1"/>
        <v>1</v>
      </c>
      <c r="H34" s="6" t="s">
        <v>1622</v>
      </c>
      <c r="I34" s="5">
        <v>219.64</v>
      </c>
      <c r="J34" s="5">
        <f t="shared" si="2"/>
        <v>1317.84</v>
      </c>
    </row>
    <row r="35" spans="1:10" x14ac:dyDescent="0.25">
      <c r="A35" s="9">
        <v>769</v>
      </c>
      <c r="B35" s="5" t="s">
        <v>811</v>
      </c>
      <c r="C35" s="5" t="s">
        <v>812</v>
      </c>
      <c r="D35" s="5" t="s">
        <v>1618</v>
      </c>
      <c r="E35" s="6">
        <v>90189084</v>
      </c>
      <c r="F35" s="6">
        <v>6</v>
      </c>
      <c r="G35" s="6">
        <f t="shared" si="1"/>
        <v>1</v>
      </c>
      <c r="H35" s="6" t="s">
        <v>1622</v>
      </c>
      <c r="I35" s="5">
        <v>32.83</v>
      </c>
      <c r="J35" s="5">
        <f t="shared" si="2"/>
        <v>196.98</v>
      </c>
    </row>
    <row r="36" spans="1:10" x14ac:dyDescent="0.25">
      <c r="A36" s="9">
        <v>770</v>
      </c>
      <c r="B36" s="5" t="s">
        <v>813</v>
      </c>
      <c r="C36" s="5" t="s">
        <v>814</v>
      </c>
      <c r="D36" s="5" t="s">
        <v>1618</v>
      </c>
      <c r="E36" s="6">
        <v>90189084</v>
      </c>
      <c r="F36" s="6">
        <v>6</v>
      </c>
      <c r="G36" s="6">
        <f t="shared" si="1"/>
        <v>1</v>
      </c>
      <c r="H36" s="6" t="s">
        <v>1622</v>
      </c>
      <c r="I36" s="5">
        <v>118.08</v>
      </c>
      <c r="J36" s="5">
        <f t="shared" si="2"/>
        <v>708.48</v>
      </c>
    </row>
    <row r="37" spans="1:10" x14ac:dyDescent="0.25">
      <c r="A37" s="9">
        <v>771</v>
      </c>
      <c r="B37" s="5" t="s">
        <v>815</v>
      </c>
      <c r="C37" s="5" t="s">
        <v>816</v>
      </c>
      <c r="D37" s="5" t="s">
        <v>1618</v>
      </c>
      <c r="E37" s="6">
        <v>90189084</v>
      </c>
      <c r="F37" s="6">
        <v>6</v>
      </c>
      <c r="G37" s="6">
        <f t="shared" si="1"/>
        <v>1</v>
      </c>
      <c r="H37" s="6" t="s">
        <v>1622</v>
      </c>
      <c r="I37" s="5">
        <v>33.369999999999997</v>
      </c>
      <c r="J37" s="5">
        <f t="shared" si="2"/>
        <v>200.21999999999997</v>
      </c>
    </row>
    <row r="38" spans="1:10" x14ac:dyDescent="0.25">
      <c r="A38" s="9">
        <v>772</v>
      </c>
      <c r="B38" s="5" t="s">
        <v>817</v>
      </c>
      <c r="C38" s="5" t="s">
        <v>818</v>
      </c>
      <c r="D38" s="5" t="s">
        <v>1618</v>
      </c>
      <c r="E38" s="6">
        <v>90189084</v>
      </c>
      <c r="F38" s="6">
        <v>6</v>
      </c>
      <c r="G38" s="6">
        <f t="shared" si="1"/>
        <v>1</v>
      </c>
      <c r="H38" s="6" t="s">
        <v>1622</v>
      </c>
      <c r="I38" s="5">
        <v>13.95</v>
      </c>
      <c r="J38" s="5">
        <f t="shared" si="2"/>
        <v>83.699999999999989</v>
      </c>
    </row>
    <row r="39" spans="1:10" x14ac:dyDescent="0.25">
      <c r="A39" s="9">
        <v>773</v>
      </c>
      <c r="B39" s="5" t="s">
        <v>819</v>
      </c>
      <c r="C39" s="5" t="s">
        <v>820</v>
      </c>
      <c r="D39" s="5" t="s">
        <v>1618</v>
      </c>
      <c r="E39" s="6">
        <v>90189084</v>
      </c>
      <c r="F39" s="6">
        <v>6</v>
      </c>
      <c r="G39" s="6">
        <f t="shared" si="1"/>
        <v>1</v>
      </c>
      <c r="H39" s="6" t="s">
        <v>1622</v>
      </c>
      <c r="I39" s="5">
        <v>108.52</v>
      </c>
      <c r="J39" s="5">
        <f t="shared" si="2"/>
        <v>651.12</v>
      </c>
    </row>
    <row r="40" spans="1:10" x14ac:dyDescent="0.25">
      <c r="A40" s="9">
        <v>774</v>
      </c>
      <c r="B40" s="5" t="s">
        <v>821</v>
      </c>
      <c r="C40" s="5" t="s">
        <v>822</v>
      </c>
      <c r="D40" s="5" t="s">
        <v>1618</v>
      </c>
      <c r="E40" s="6">
        <v>90189084</v>
      </c>
      <c r="F40" s="6">
        <v>6</v>
      </c>
      <c r="G40" s="6">
        <f t="shared" si="1"/>
        <v>1</v>
      </c>
      <c r="H40" s="6" t="s">
        <v>1622</v>
      </c>
      <c r="I40" s="5">
        <v>11.86</v>
      </c>
      <c r="J40" s="5">
        <f t="shared" si="2"/>
        <v>71.16</v>
      </c>
    </row>
    <row r="41" spans="1:10" x14ac:dyDescent="0.25">
      <c r="A41" s="9">
        <v>775</v>
      </c>
      <c r="B41" s="5" t="s">
        <v>823</v>
      </c>
      <c r="C41" s="5" t="s">
        <v>824</v>
      </c>
      <c r="D41" s="5" t="s">
        <v>1618</v>
      </c>
      <c r="E41" s="6">
        <v>90189084</v>
      </c>
      <c r="F41" s="6">
        <v>6</v>
      </c>
      <c r="G41" s="6">
        <f t="shared" si="1"/>
        <v>1</v>
      </c>
      <c r="H41" s="6" t="s">
        <v>1622</v>
      </c>
      <c r="I41" s="5">
        <v>14.83</v>
      </c>
      <c r="J41" s="5">
        <f t="shared" si="2"/>
        <v>88.98</v>
      </c>
    </row>
    <row r="42" spans="1:10" x14ac:dyDescent="0.25">
      <c r="A42" s="9">
        <v>776</v>
      </c>
      <c r="B42" s="5" t="s">
        <v>825</v>
      </c>
      <c r="C42" s="5" t="s">
        <v>826</v>
      </c>
      <c r="D42" s="5" t="s">
        <v>1618</v>
      </c>
      <c r="E42" s="6">
        <v>90189084</v>
      </c>
      <c r="F42" s="6">
        <v>6</v>
      </c>
      <c r="G42" s="6">
        <f t="shared" si="1"/>
        <v>1</v>
      </c>
      <c r="H42" s="6" t="s">
        <v>1622</v>
      </c>
      <c r="I42" s="5">
        <v>23.24</v>
      </c>
      <c r="J42" s="5">
        <f t="shared" si="2"/>
        <v>139.44</v>
      </c>
    </row>
    <row r="43" spans="1:10" x14ac:dyDescent="0.25">
      <c r="A43" s="9">
        <v>777</v>
      </c>
      <c r="B43" s="5" t="s">
        <v>827</v>
      </c>
      <c r="C43" s="5" t="s">
        <v>828</v>
      </c>
      <c r="D43" s="5" t="s">
        <v>1618</v>
      </c>
      <c r="E43" s="6">
        <v>90189084</v>
      </c>
      <c r="F43" s="6">
        <v>6</v>
      </c>
      <c r="G43" s="6">
        <f t="shared" si="1"/>
        <v>1</v>
      </c>
      <c r="H43" s="6" t="s">
        <v>1622</v>
      </c>
      <c r="I43" s="5">
        <v>588.74</v>
      </c>
      <c r="J43" s="5">
        <f t="shared" si="2"/>
        <v>3532.44</v>
      </c>
    </row>
    <row r="44" spans="1:10" x14ac:dyDescent="0.25">
      <c r="A44" s="9">
        <v>778</v>
      </c>
      <c r="B44" s="5" t="s">
        <v>829</v>
      </c>
      <c r="C44" s="5" t="s">
        <v>830</v>
      </c>
      <c r="D44" s="5" t="s">
        <v>1618</v>
      </c>
      <c r="E44" s="6">
        <v>90189084</v>
      </c>
      <c r="F44" s="6">
        <v>6</v>
      </c>
      <c r="G44" s="6">
        <f t="shared" si="1"/>
        <v>1</v>
      </c>
      <c r="H44" s="6" t="s">
        <v>1622</v>
      </c>
      <c r="I44" s="5">
        <v>241.39</v>
      </c>
      <c r="J44" s="5">
        <f t="shared" si="2"/>
        <v>1448.34</v>
      </c>
    </row>
    <row r="45" spans="1:10" x14ac:dyDescent="0.25">
      <c r="A45" s="9">
        <v>779</v>
      </c>
      <c r="B45" s="5" t="s">
        <v>831</v>
      </c>
      <c r="C45" s="5" t="s">
        <v>832</v>
      </c>
      <c r="D45" s="5" t="s">
        <v>1618</v>
      </c>
      <c r="E45" s="6">
        <v>90189084</v>
      </c>
      <c r="F45" s="6">
        <v>6</v>
      </c>
      <c r="G45" s="6">
        <f t="shared" si="1"/>
        <v>1</v>
      </c>
      <c r="H45" s="6" t="s">
        <v>1622</v>
      </c>
      <c r="I45" s="5">
        <v>263.81</v>
      </c>
      <c r="J45" s="5">
        <f t="shared" si="2"/>
        <v>1582.8600000000001</v>
      </c>
    </row>
    <row r="46" spans="1:10" x14ac:dyDescent="0.25">
      <c r="A46" s="9">
        <v>780</v>
      </c>
      <c r="B46" s="5" t="s">
        <v>168</v>
      </c>
      <c r="C46" s="5" t="s">
        <v>169</v>
      </c>
      <c r="D46" s="5" t="s">
        <v>1619</v>
      </c>
      <c r="E46" s="6">
        <v>90189084</v>
      </c>
      <c r="F46" s="6">
        <v>36</v>
      </c>
      <c r="G46" s="6">
        <f t="shared" si="1"/>
        <v>6</v>
      </c>
      <c r="H46" s="6" t="s">
        <v>1622</v>
      </c>
      <c r="I46" s="5">
        <v>13.01</v>
      </c>
      <c r="J46" s="5">
        <f t="shared" si="2"/>
        <v>468.36</v>
      </c>
    </row>
    <row r="47" spans="1:10" x14ac:dyDescent="0.25">
      <c r="A47" s="9">
        <v>781</v>
      </c>
      <c r="B47" s="5" t="s">
        <v>833</v>
      </c>
      <c r="C47" s="5" t="s">
        <v>834</v>
      </c>
      <c r="D47" s="5" t="s">
        <v>1618</v>
      </c>
      <c r="E47" s="6">
        <v>90189084</v>
      </c>
      <c r="F47" s="6">
        <v>6</v>
      </c>
      <c r="G47" s="6">
        <f t="shared" si="1"/>
        <v>1</v>
      </c>
      <c r="H47" s="6" t="s">
        <v>1622</v>
      </c>
      <c r="I47" s="5">
        <v>28.63</v>
      </c>
      <c r="J47" s="5">
        <f t="shared" si="2"/>
        <v>171.78</v>
      </c>
    </row>
    <row r="48" spans="1:10" x14ac:dyDescent="0.25">
      <c r="A48" s="9">
        <v>782</v>
      </c>
      <c r="B48" s="5" t="s">
        <v>835</v>
      </c>
      <c r="C48" s="5" t="s">
        <v>836</v>
      </c>
      <c r="D48" s="5" t="s">
        <v>1618</v>
      </c>
      <c r="E48" s="6">
        <v>90189084</v>
      </c>
      <c r="F48" s="6">
        <v>6</v>
      </c>
      <c r="G48" s="6">
        <f t="shared" si="1"/>
        <v>1</v>
      </c>
      <c r="H48" s="6" t="s">
        <v>1622</v>
      </c>
      <c r="I48" s="5">
        <v>25.7</v>
      </c>
      <c r="J48" s="5">
        <f t="shared" si="2"/>
        <v>154.19999999999999</v>
      </c>
    </row>
    <row r="49" spans="1:10" x14ac:dyDescent="0.25">
      <c r="A49" s="9">
        <v>783</v>
      </c>
      <c r="B49" s="5" t="s">
        <v>837</v>
      </c>
      <c r="C49" s="5" t="s">
        <v>838</v>
      </c>
      <c r="D49" s="5" t="s">
        <v>1618</v>
      </c>
      <c r="E49" s="6">
        <v>90189084</v>
      </c>
      <c r="F49" s="6">
        <v>6</v>
      </c>
      <c r="G49" s="6">
        <f t="shared" si="1"/>
        <v>1</v>
      </c>
      <c r="H49" s="6" t="s">
        <v>1622</v>
      </c>
      <c r="I49" s="5">
        <v>98.67</v>
      </c>
      <c r="J49" s="5">
        <f t="shared" si="2"/>
        <v>592.02</v>
      </c>
    </row>
    <row r="50" spans="1:10" x14ac:dyDescent="0.25">
      <c r="A50" s="9">
        <v>784</v>
      </c>
      <c r="B50" s="5" t="s">
        <v>839</v>
      </c>
      <c r="C50" s="5" t="s">
        <v>840</v>
      </c>
      <c r="D50" s="5" t="s">
        <v>1618</v>
      </c>
      <c r="E50" s="6">
        <v>90189084</v>
      </c>
      <c r="F50" s="6">
        <v>6</v>
      </c>
      <c r="G50" s="6">
        <f t="shared" si="1"/>
        <v>1</v>
      </c>
      <c r="H50" s="6" t="s">
        <v>1622</v>
      </c>
      <c r="I50" s="5">
        <v>105.77</v>
      </c>
      <c r="J50" s="5">
        <f t="shared" si="2"/>
        <v>634.62</v>
      </c>
    </row>
    <row r="51" spans="1:10" x14ac:dyDescent="0.25">
      <c r="A51" s="9">
        <v>785</v>
      </c>
      <c r="B51" s="5" t="s">
        <v>841</v>
      </c>
      <c r="C51" s="5" t="s">
        <v>842</v>
      </c>
      <c r="D51" s="5" t="s">
        <v>1618</v>
      </c>
      <c r="E51" s="6">
        <v>90189084</v>
      </c>
      <c r="F51" s="6">
        <v>6</v>
      </c>
      <c r="G51" s="6">
        <f t="shared" si="1"/>
        <v>1</v>
      </c>
      <c r="H51" s="6" t="s">
        <v>1622</v>
      </c>
      <c r="I51" s="5">
        <v>105.71</v>
      </c>
      <c r="J51" s="5">
        <f t="shared" si="2"/>
        <v>634.26</v>
      </c>
    </row>
    <row r="52" spans="1:10" x14ac:dyDescent="0.25">
      <c r="A52" s="9">
        <v>786</v>
      </c>
      <c r="B52" s="5" t="s">
        <v>843</v>
      </c>
      <c r="C52" s="5" t="s">
        <v>844</v>
      </c>
      <c r="D52" s="5" t="s">
        <v>1618</v>
      </c>
      <c r="E52" s="6">
        <v>73239300</v>
      </c>
      <c r="F52" s="6">
        <v>6</v>
      </c>
      <c r="G52" s="6">
        <f t="shared" si="1"/>
        <v>1</v>
      </c>
      <c r="H52" s="6" t="s">
        <v>1622</v>
      </c>
      <c r="I52" s="5">
        <v>8.4700000000000006</v>
      </c>
      <c r="J52" s="5">
        <f t="shared" si="2"/>
        <v>50.820000000000007</v>
      </c>
    </row>
    <row r="53" spans="1:10" x14ac:dyDescent="0.25">
      <c r="A53" s="9">
        <v>787</v>
      </c>
      <c r="B53" s="5" t="s">
        <v>394</v>
      </c>
      <c r="C53" s="5" t="s">
        <v>395</v>
      </c>
      <c r="D53" s="5" t="s">
        <v>1618</v>
      </c>
      <c r="E53" s="6">
        <v>73269098</v>
      </c>
      <c r="F53" s="6">
        <v>6</v>
      </c>
      <c r="G53" s="6">
        <f t="shared" si="1"/>
        <v>1</v>
      </c>
      <c r="H53" s="6" t="s">
        <v>1622</v>
      </c>
      <c r="I53" s="5">
        <v>70.16</v>
      </c>
      <c r="J53" s="5">
        <f t="shared" si="2"/>
        <v>420.96</v>
      </c>
    </row>
    <row r="54" spans="1:10" x14ac:dyDescent="0.25">
      <c r="A54" s="9">
        <v>788</v>
      </c>
      <c r="B54" s="5" t="s">
        <v>362</v>
      </c>
      <c r="C54" s="5" t="s">
        <v>363</v>
      </c>
      <c r="D54" s="5" t="s">
        <v>1618</v>
      </c>
      <c r="E54" s="6">
        <v>76169990</v>
      </c>
      <c r="F54" s="6">
        <v>6</v>
      </c>
      <c r="G54" s="6">
        <f t="shared" si="1"/>
        <v>1</v>
      </c>
      <c r="H54" s="6" t="s">
        <v>1622</v>
      </c>
      <c r="I54" s="5">
        <v>454.94</v>
      </c>
      <c r="J54" s="5">
        <f t="shared" si="2"/>
        <v>2729.64</v>
      </c>
    </row>
    <row r="55" spans="1:10" x14ac:dyDescent="0.25">
      <c r="A55" s="9">
        <v>789</v>
      </c>
      <c r="B55" s="5" t="s">
        <v>288</v>
      </c>
      <c r="C55" s="5" t="s">
        <v>289</v>
      </c>
      <c r="D55" s="5" t="s">
        <v>1618</v>
      </c>
      <c r="E55" s="6">
        <v>39269097</v>
      </c>
      <c r="F55" s="6">
        <v>6</v>
      </c>
      <c r="G55" s="6">
        <f t="shared" si="1"/>
        <v>1</v>
      </c>
      <c r="H55" s="6" t="s">
        <v>1622</v>
      </c>
      <c r="I55" s="5">
        <v>4.47</v>
      </c>
      <c r="J55" s="5">
        <f t="shared" si="2"/>
        <v>26.82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FCB7-B746-4168-BBE4-05BC158F5656}">
  <dimension ref="A1:K29"/>
  <sheetViews>
    <sheetView workbookViewId="0">
      <selection activeCell="G3" sqref="G3:G29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1678</v>
      </c>
      <c r="D2" s="11"/>
      <c r="E2" s="12"/>
      <c r="F2" s="12">
        <v>2</v>
      </c>
      <c r="G2" s="12"/>
      <c r="H2" s="12"/>
      <c r="I2" s="2"/>
      <c r="J2" s="13"/>
    </row>
    <row r="3" spans="1:10" x14ac:dyDescent="0.25">
      <c r="A3" s="9">
        <v>790</v>
      </c>
      <c r="B3" s="5" t="s">
        <v>136</v>
      </c>
      <c r="C3" s="5" t="s">
        <v>137</v>
      </c>
      <c r="D3" s="5" t="s">
        <v>1618</v>
      </c>
      <c r="E3" s="6">
        <v>90189084</v>
      </c>
      <c r="F3" s="6">
        <v>2</v>
      </c>
      <c r="G3" s="6">
        <f>F3/$F$2</f>
        <v>1</v>
      </c>
      <c r="H3" s="6" t="s">
        <v>1622</v>
      </c>
      <c r="I3" s="5">
        <v>3.7</v>
      </c>
      <c r="J3" s="5">
        <f t="shared" ref="J3:J29" si="0">F3*I3</f>
        <v>7.4</v>
      </c>
    </row>
    <row r="4" spans="1:10" x14ac:dyDescent="0.25">
      <c r="A4" s="9">
        <v>791</v>
      </c>
      <c r="B4" s="5" t="s">
        <v>22</v>
      </c>
      <c r="C4" s="5" t="s">
        <v>23</v>
      </c>
      <c r="D4" s="5" t="s">
        <v>1618</v>
      </c>
      <c r="E4" s="6">
        <v>90189084</v>
      </c>
      <c r="F4" s="6">
        <v>2</v>
      </c>
      <c r="G4" s="6">
        <f t="shared" ref="G4:G29" si="1">F4/$F$2</f>
        <v>1</v>
      </c>
      <c r="H4" s="6" t="s">
        <v>1622</v>
      </c>
      <c r="I4" s="5">
        <v>3.7</v>
      </c>
      <c r="J4" s="5">
        <f t="shared" si="0"/>
        <v>7.4</v>
      </c>
    </row>
    <row r="5" spans="1:10" x14ac:dyDescent="0.25">
      <c r="A5" s="9">
        <v>792</v>
      </c>
      <c r="B5" s="5" t="s">
        <v>512</v>
      </c>
      <c r="C5" s="5" t="s">
        <v>513</v>
      </c>
      <c r="D5" s="5" t="s">
        <v>1619</v>
      </c>
      <c r="E5" s="6">
        <v>90189084</v>
      </c>
      <c r="F5" s="6">
        <v>4</v>
      </c>
      <c r="G5" s="6">
        <f t="shared" si="1"/>
        <v>2</v>
      </c>
      <c r="H5" s="6" t="s">
        <v>1622</v>
      </c>
      <c r="I5" s="5">
        <v>15.12</v>
      </c>
      <c r="J5" s="5">
        <f t="shared" si="0"/>
        <v>60.48</v>
      </c>
    </row>
    <row r="6" spans="1:10" x14ac:dyDescent="0.25">
      <c r="A6" s="9">
        <v>793</v>
      </c>
      <c r="B6" s="5" t="s">
        <v>510</v>
      </c>
      <c r="C6" s="5" t="s">
        <v>511</v>
      </c>
      <c r="D6" s="5" t="s">
        <v>1619</v>
      </c>
      <c r="E6" s="6">
        <v>90189084</v>
      </c>
      <c r="F6" s="6">
        <v>4</v>
      </c>
      <c r="G6" s="6">
        <f t="shared" si="1"/>
        <v>2</v>
      </c>
      <c r="H6" s="6" t="s">
        <v>1622</v>
      </c>
      <c r="I6" s="5">
        <v>14.5</v>
      </c>
      <c r="J6" s="5">
        <f t="shared" si="0"/>
        <v>58</v>
      </c>
    </row>
    <row r="7" spans="1:10" x14ac:dyDescent="0.25">
      <c r="A7" s="9">
        <v>794</v>
      </c>
      <c r="B7" s="5" t="s">
        <v>845</v>
      </c>
      <c r="C7" s="5" t="s">
        <v>846</v>
      </c>
      <c r="D7" s="5" t="s">
        <v>1619</v>
      </c>
      <c r="E7" s="6">
        <v>90189084</v>
      </c>
      <c r="F7" s="6">
        <v>4</v>
      </c>
      <c r="G7" s="6">
        <f t="shared" si="1"/>
        <v>2</v>
      </c>
      <c r="H7" s="6" t="s">
        <v>1622</v>
      </c>
      <c r="I7" s="5">
        <v>13.55</v>
      </c>
      <c r="J7" s="5">
        <f t="shared" si="0"/>
        <v>54.2</v>
      </c>
    </row>
    <row r="8" spans="1:10" x14ac:dyDescent="0.25">
      <c r="A8" s="9">
        <v>795</v>
      </c>
      <c r="B8" s="5" t="s">
        <v>847</v>
      </c>
      <c r="C8" s="5" t="s">
        <v>848</v>
      </c>
      <c r="D8" s="5" t="s">
        <v>1619</v>
      </c>
      <c r="E8" s="6">
        <v>90189084</v>
      </c>
      <c r="F8" s="6">
        <v>4</v>
      </c>
      <c r="G8" s="6">
        <f t="shared" si="1"/>
        <v>2</v>
      </c>
      <c r="H8" s="6" t="s">
        <v>1622</v>
      </c>
      <c r="I8" s="5">
        <v>13.33</v>
      </c>
      <c r="J8" s="5">
        <f t="shared" si="0"/>
        <v>53.32</v>
      </c>
    </row>
    <row r="9" spans="1:10" x14ac:dyDescent="0.25">
      <c r="A9" s="9">
        <v>796</v>
      </c>
      <c r="B9" s="5" t="s">
        <v>849</v>
      </c>
      <c r="C9" s="5" t="s">
        <v>850</v>
      </c>
      <c r="D9" s="5" t="s">
        <v>1619</v>
      </c>
      <c r="E9" s="6">
        <v>90189084</v>
      </c>
      <c r="F9" s="6">
        <v>4</v>
      </c>
      <c r="G9" s="6">
        <f t="shared" si="1"/>
        <v>2</v>
      </c>
      <c r="H9" s="6" t="s">
        <v>1622</v>
      </c>
      <c r="I9" s="5">
        <v>20.79</v>
      </c>
      <c r="J9" s="5">
        <f t="shared" si="0"/>
        <v>83.16</v>
      </c>
    </row>
    <row r="10" spans="1:10" x14ac:dyDescent="0.25">
      <c r="A10" s="9">
        <v>797</v>
      </c>
      <c r="B10" s="5" t="s">
        <v>851</v>
      </c>
      <c r="C10" s="5" t="s">
        <v>852</v>
      </c>
      <c r="D10" s="5" t="s">
        <v>1618</v>
      </c>
      <c r="E10" s="6">
        <v>90189084</v>
      </c>
      <c r="F10" s="6">
        <v>4</v>
      </c>
      <c r="G10" s="6">
        <f t="shared" si="1"/>
        <v>2</v>
      </c>
      <c r="H10" s="6" t="s">
        <v>1622</v>
      </c>
      <c r="I10" s="5">
        <v>5.49</v>
      </c>
      <c r="J10" s="5">
        <f t="shared" si="0"/>
        <v>21.96</v>
      </c>
    </row>
    <row r="11" spans="1:10" x14ac:dyDescent="0.25">
      <c r="A11" s="9">
        <v>798</v>
      </c>
      <c r="B11" s="5" t="s">
        <v>797</v>
      </c>
      <c r="C11" s="5" t="s">
        <v>798</v>
      </c>
      <c r="D11" s="5" t="s">
        <v>1619</v>
      </c>
      <c r="E11" s="6">
        <v>90189084</v>
      </c>
      <c r="F11" s="6">
        <v>2</v>
      </c>
      <c r="G11" s="6">
        <f t="shared" si="1"/>
        <v>1</v>
      </c>
      <c r="H11" s="6" t="s">
        <v>1622</v>
      </c>
      <c r="I11" s="5">
        <v>16.29</v>
      </c>
      <c r="J11" s="5">
        <f t="shared" si="0"/>
        <v>32.58</v>
      </c>
    </row>
    <row r="12" spans="1:10" x14ac:dyDescent="0.25">
      <c r="A12" s="9">
        <v>799</v>
      </c>
      <c r="B12" s="5" t="s">
        <v>853</v>
      </c>
      <c r="C12" s="5" t="s">
        <v>854</v>
      </c>
      <c r="D12" s="5" t="s">
        <v>1619</v>
      </c>
      <c r="E12" s="6">
        <v>90189084</v>
      </c>
      <c r="F12" s="6">
        <v>2</v>
      </c>
      <c r="G12" s="6">
        <f t="shared" si="1"/>
        <v>1</v>
      </c>
      <c r="H12" s="6" t="s">
        <v>1622</v>
      </c>
      <c r="I12" s="5">
        <v>37.81</v>
      </c>
      <c r="J12" s="5">
        <f t="shared" si="0"/>
        <v>75.62</v>
      </c>
    </row>
    <row r="13" spans="1:10" x14ac:dyDescent="0.25">
      <c r="A13" s="9">
        <v>800</v>
      </c>
      <c r="B13" s="5" t="s">
        <v>855</v>
      </c>
      <c r="C13" s="5" t="s">
        <v>856</v>
      </c>
      <c r="D13" s="5" t="s">
        <v>1618</v>
      </c>
      <c r="E13" s="6">
        <v>90189084</v>
      </c>
      <c r="F13" s="6">
        <v>2</v>
      </c>
      <c r="G13" s="6">
        <f t="shared" si="1"/>
        <v>1</v>
      </c>
      <c r="H13" s="6" t="s">
        <v>1622</v>
      </c>
      <c r="I13" s="5">
        <v>19.89</v>
      </c>
      <c r="J13" s="5">
        <f t="shared" si="0"/>
        <v>39.78</v>
      </c>
    </row>
    <row r="14" spans="1:10" x14ac:dyDescent="0.25">
      <c r="A14" s="9">
        <v>801</v>
      </c>
      <c r="B14" s="5" t="s">
        <v>857</v>
      </c>
      <c r="C14" s="5" t="s">
        <v>858</v>
      </c>
      <c r="D14" s="5" t="s">
        <v>1618</v>
      </c>
      <c r="E14" s="6">
        <v>90189084</v>
      </c>
      <c r="F14" s="6">
        <v>2</v>
      </c>
      <c r="G14" s="6">
        <f t="shared" si="1"/>
        <v>1</v>
      </c>
      <c r="H14" s="6" t="s">
        <v>1622</v>
      </c>
      <c r="I14" s="5">
        <v>11.53</v>
      </c>
      <c r="J14" s="5">
        <f t="shared" si="0"/>
        <v>23.06</v>
      </c>
    </row>
    <row r="15" spans="1:10" x14ac:dyDescent="0.25">
      <c r="A15" s="9">
        <v>802</v>
      </c>
      <c r="B15" s="5" t="s">
        <v>859</v>
      </c>
      <c r="C15" s="5" t="s">
        <v>860</v>
      </c>
      <c r="D15" s="5" t="s">
        <v>1618</v>
      </c>
      <c r="E15" s="6">
        <v>90189084</v>
      </c>
      <c r="F15" s="6">
        <v>4</v>
      </c>
      <c r="G15" s="6">
        <f t="shared" si="1"/>
        <v>2</v>
      </c>
      <c r="H15" s="6" t="s">
        <v>1622</v>
      </c>
      <c r="I15" s="5">
        <v>22.24</v>
      </c>
      <c r="J15" s="5">
        <f t="shared" si="0"/>
        <v>88.96</v>
      </c>
    </row>
    <row r="16" spans="1:10" x14ac:dyDescent="0.25">
      <c r="A16" s="9">
        <v>803</v>
      </c>
      <c r="B16" s="5" t="s">
        <v>825</v>
      </c>
      <c r="C16" s="5" t="s">
        <v>826</v>
      </c>
      <c r="D16" s="5" t="s">
        <v>1618</v>
      </c>
      <c r="E16" s="6">
        <v>90189084</v>
      </c>
      <c r="F16" s="6">
        <v>4</v>
      </c>
      <c r="G16" s="6">
        <f t="shared" si="1"/>
        <v>2</v>
      </c>
      <c r="H16" s="6" t="s">
        <v>1622</v>
      </c>
      <c r="I16" s="5">
        <v>21.31</v>
      </c>
      <c r="J16" s="5">
        <f t="shared" si="0"/>
        <v>85.24</v>
      </c>
    </row>
    <row r="17" spans="1:10" x14ac:dyDescent="0.25">
      <c r="A17" s="9">
        <v>804</v>
      </c>
      <c r="B17" s="5" t="s">
        <v>861</v>
      </c>
      <c r="C17" s="5" t="s">
        <v>862</v>
      </c>
      <c r="D17" s="5" t="s">
        <v>1618</v>
      </c>
      <c r="E17" s="6">
        <v>90189084</v>
      </c>
      <c r="F17" s="6">
        <v>4</v>
      </c>
      <c r="G17" s="6">
        <f t="shared" si="1"/>
        <v>2</v>
      </c>
      <c r="H17" s="6" t="s">
        <v>1622</v>
      </c>
      <c r="I17" s="5">
        <v>15.53</v>
      </c>
      <c r="J17" s="5">
        <f t="shared" si="0"/>
        <v>62.12</v>
      </c>
    </row>
    <row r="18" spans="1:10" x14ac:dyDescent="0.25">
      <c r="A18" s="9">
        <v>805</v>
      </c>
      <c r="B18" s="5" t="s">
        <v>823</v>
      </c>
      <c r="C18" s="5" t="s">
        <v>824</v>
      </c>
      <c r="D18" s="5" t="s">
        <v>1618</v>
      </c>
      <c r="E18" s="6">
        <v>90189084</v>
      </c>
      <c r="F18" s="6">
        <v>4</v>
      </c>
      <c r="G18" s="6">
        <f t="shared" si="1"/>
        <v>2</v>
      </c>
      <c r="H18" s="6" t="s">
        <v>1622</v>
      </c>
      <c r="I18" s="5">
        <v>13.59</v>
      </c>
      <c r="J18" s="5">
        <f t="shared" si="0"/>
        <v>54.36</v>
      </c>
    </row>
    <row r="19" spans="1:10" x14ac:dyDescent="0.25">
      <c r="A19" s="9">
        <v>806</v>
      </c>
      <c r="B19" s="5" t="s">
        <v>863</v>
      </c>
      <c r="C19" s="5" t="s">
        <v>864</v>
      </c>
      <c r="D19" s="5" t="s">
        <v>1618</v>
      </c>
      <c r="E19" s="6">
        <v>90189084</v>
      </c>
      <c r="F19" s="6">
        <v>4</v>
      </c>
      <c r="G19" s="6">
        <f t="shared" si="1"/>
        <v>2</v>
      </c>
      <c r="H19" s="6" t="s">
        <v>1622</v>
      </c>
      <c r="I19" s="5">
        <v>26.64</v>
      </c>
      <c r="J19" s="5">
        <f t="shared" si="0"/>
        <v>106.56</v>
      </c>
    </row>
    <row r="20" spans="1:10" x14ac:dyDescent="0.25">
      <c r="A20" s="9">
        <v>807</v>
      </c>
      <c r="B20" s="5" t="s">
        <v>865</v>
      </c>
      <c r="C20" s="5" t="s">
        <v>866</v>
      </c>
      <c r="D20" s="5" t="s">
        <v>1619</v>
      </c>
      <c r="E20" s="6">
        <v>90189084</v>
      </c>
      <c r="F20" s="6">
        <v>6</v>
      </c>
      <c r="G20" s="6">
        <f t="shared" si="1"/>
        <v>3</v>
      </c>
      <c r="H20" s="6" t="s">
        <v>1622</v>
      </c>
      <c r="I20" s="5">
        <v>24.73</v>
      </c>
      <c r="J20" s="5">
        <f t="shared" si="0"/>
        <v>148.38</v>
      </c>
    </row>
    <row r="21" spans="1:10" x14ac:dyDescent="0.25">
      <c r="A21" s="9">
        <v>808</v>
      </c>
      <c r="B21" s="5" t="s">
        <v>162</v>
      </c>
      <c r="C21" s="5" t="s">
        <v>163</v>
      </c>
      <c r="D21" s="5" t="s">
        <v>1619</v>
      </c>
      <c r="E21" s="6">
        <v>90189084</v>
      </c>
      <c r="F21" s="6">
        <v>2</v>
      </c>
      <c r="G21" s="6">
        <f t="shared" si="1"/>
        <v>1</v>
      </c>
      <c r="H21" s="6" t="s">
        <v>1622</v>
      </c>
      <c r="I21" s="5">
        <v>21.63</v>
      </c>
      <c r="J21" s="5">
        <f t="shared" si="0"/>
        <v>43.26</v>
      </c>
    </row>
    <row r="22" spans="1:10" x14ac:dyDescent="0.25">
      <c r="A22" s="9">
        <v>809</v>
      </c>
      <c r="B22" s="5" t="s">
        <v>386</v>
      </c>
      <c r="C22" s="5" t="s">
        <v>387</v>
      </c>
      <c r="D22" s="5" t="s">
        <v>1619</v>
      </c>
      <c r="E22" s="6">
        <v>90189084</v>
      </c>
      <c r="F22" s="6">
        <v>2</v>
      </c>
      <c r="G22" s="6">
        <f t="shared" si="1"/>
        <v>1</v>
      </c>
      <c r="H22" s="6" t="s">
        <v>1622</v>
      </c>
      <c r="I22" s="5">
        <v>13.5</v>
      </c>
      <c r="J22" s="5">
        <f t="shared" si="0"/>
        <v>27</v>
      </c>
    </row>
    <row r="23" spans="1:10" x14ac:dyDescent="0.25">
      <c r="A23" s="9">
        <v>810</v>
      </c>
      <c r="B23" s="5" t="s">
        <v>867</v>
      </c>
      <c r="C23" s="5" t="s">
        <v>868</v>
      </c>
      <c r="D23" s="5" t="s">
        <v>1618</v>
      </c>
      <c r="E23" s="6">
        <v>90189084</v>
      </c>
      <c r="F23" s="6">
        <v>2</v>
      </c>
      <c r="G23" s="6">
        <f t="shared" si="1"/>
        <v>1</v>
      </c>
      <c r="H23" s="6" t="s">
        <v>1622</v>
      </c>
      <c r="I23" s="5">
        <v>147.43</v>
      </c>
      <c r="J23" s="5">
        <f t="shared" si="0"/>
        <v>294.86</v>
      </c>
    </row>
    <row r="24" spans="1:10" x14ac:dyDescent="0.25">
      <c r="A24" s="9">
        <v>811</v>
      </c>
      <c r="B24" s="5" t="s">
        <v>268</v>
      </c>
      <c r="C24" s="5" t="s">
        <v>269</v>
      </c>
      <c r="D24" s="5" t="s">
        <v>1619</v>
      </c>
      <c r="E24" s="6">
        <v>90183900</v>
      </c>
      <c r="F24" s="6">
        <v>2</v>
      </c>
      <c r="G24" s="6">
        <f t="shared" si="1"/>
        <v>1</v>
      </c>
      <c r="H24" s="6" t="s">
        <v>1622</v>
      </c>
      <c r="I24" s="5">
        <v>12.37</v>
      </c>
      <c r="J24" s="5">
        <f t="shared" si="0"/>
        <v>24.74</v>
      </c>
    </row>
    <row r="25" spans="1:10" x14ac:dyDescent="0.25">
      <c r="A25" s="9">
        <v>812</v>
      </c>
      <c r="B25" s="5" t="s">
        <v>869</v>
      </c>
      <c r="C25" s="5" t="s">
        <v>870</v>
      </c>
      <c r="D25" s="5" t="s">
        <v>1619</v>
      </c>
      <c r="E25" s="6">
        <v>90183900</v>
      </c>
      <c r="F25" s="6">
        <v>2</v>
      </c>
      <c r="G25" s="6">
        <f t="shared" si="1"/>
        <v>1</v>
      </c>
      <c r="H25" s="6" t="s">
        <v>1622</v>
      </c>
      <c r="I25" s="5">
        <v>12.37</v>
      </c>
      <c r="J25" s="5">
        <f t="shared" si="0"/>
        <v>24.74</v>
      </c>
    </row>
    <row r="26" spans="1:10" x14ac:dyDescent="0.25">
      <c r="A26" s="9">
        <v>813</v>
      </c>
      <c r="B26" s="5" t="s">
        <v>270</v>
      </c>
      <c r="C26" s="5" t="s">
        <v>271</v>
      </c>
      <c r="D26" s="5" t="s">
        <v>1619</v>
      </c>
      <c r="E26" s="6">
        <v>90183900</v>
      </c>
      <c r="F26" s="6">
        <v>2</v>
      </c>
      <c r="G26" s="6">
        <f t="shared" si="1"/>
        <v>1</v>
      </c>
      <c r="H26" s="6" t="s">
        <v>1622</v>
      </c>
      <c r="I26" s="5">
        <v>12.37</v>
      </c>
      <c r="J26" s="5">
        <f t="shared" si="0"/>
        <v>24.74</v>
      </c>
    </row>
    <row r="27" spans="1:10" x14ac:dyDescent="0.25">
      <c r="A27" s="9">
        <v>814</v>
      </c>
      <c r="B27" s="5" t="s">
        <v>871</v>
      </c>
      <c r="C27" s="5" t="s">
        <v>872</v>
      </c>
      <c r="D27" s="5" t="s">
        <v>1618</v>
      </c>
      <c r="E27" s="6">
        <v>73269098</v>
      </c>
      <c r="F27" s="6">
        <v>2</v>
      </c>
      <c r="G27" s="6">
        <f t="shared" si="1"/>
        <v>1</v>
      </c>
      <c r="H27" s="6" t="s">
        <v>1622</v>
      </c>
      <c r="I27" s="5">
        <v>48.76</v>
      </c>
      <c r="J27" s="5">
        <f t="shared" si="0"/>
        <v>97.52</v>
      </c>
    </row>
    <row r="28" spans="1:10" x14ac:dyDescent="0.25">
      <c r="A28" s="9">
        <v>815</v>
      </c>
      <c r="B28" s="5" t="s">
        <v>873</v>
      </c>
      <c r="C28" s="5" t="s">
        <v>874</v>
      </c>
      <c r="D28" s="5" t="s">
        <v>1618</v>
      </c>
      <c r="E28" s="6">
        <v>76169990</v>
      </c>
      <c r="F28" s="6">
        <v>2</v>
      </c>
      <c r="G28" s="6">
        <f t="shared" si="1"/>
        <v>1</v>
      </c>
      <c r="H28" s="6" t="s">
        <v>1622</v>
      </c>
      <c r="I28" s="5">
        <v>303.89999999999998</v>
      </c>
      <c r="J28" s="5">
        <f t="shared" si="0"/>
        <v>607.79999999999995</v>
      </c>
    </row>
    <row r="29" spans="1:10" x14ac:dyDescent="0.25">
      <c r="A29" s="9">
        <v>816</v>
      </c>
      <c r="B29" s="5" t="s">
        <v>288</v>
      </c>
      <c r="C29" s="5" t="s">
        <v>289</v>
      </c>
      <c r="D29" s="5" t="s">
        <v>1618</v>
      </c>
      <c r="E29" s="6">
        <v>39269097</v>
      </c>
      <c r="F29" s="6">
        <v>2</v>
      </c>
      <c r="G29" s="6">
        <f t="shared" si="1"/>
        <v>1</v>
      </c>
      <c r="H29" s="6" t="s">
        <v>1622</v>
      </c>
      <c r="I29" s="5">
        <v>4.0999999999999996</v>
      </c>
      <c r="J29" s="5">
        <f t="shared" si="0"/>
        <v>8.1999999999999993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E59E-1117-4405-BED6-E3F4815F8043}">
  <dimension ref="A1:K416"/>
  <sheetViews>
    <sheetView workbookViewId="0">
      <selection activeCell="G3" sqref="G3:G414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1679</v>
      </c>
      <c r="D2" s="11"/>
      <c r="E2" s="12"/>
      <c r="F2" s="12">
        <v>4</v>
      </c>
      <c r="G2" s="12"/>
      <c r="H2" s="12"/>
      <c r="I2" s="2"/>
      <c r="J2" s="13"/>
    </row>
    <row r="3" spans="1:10" x14ac:dyDescent="0.25">
      <c r="A3" s="9">
        <v>817</v>
      </c>
      <c r="B3" s="5" t="s">
        <v>38</v>
      </c>
      <c r="C3" s="5" t="s">
        <v>39</v>
      </c>
      <c r="D3" s="5" t="s">
        <v>1619</v>
      </c>
      <c r="E3" s="6">
        <v>90189084</v>
      </c>
      <c r="F3" s="6">
        <v>16</v>
      </c>
      <c r="G3" s="6">
        <f>F3/$F$2</f>
        <v>4</v>
      </c>
      <c r="H3" s="6" t="s">
        <v>1622</v>
      </c>
      <c r="I3" s="5">
        <v>13.03</v>
      </c>
      <c r="J3" s="5">
        <f t="shared" ref="J3:J66" si="0">F3*I3</f>
        <v>208.48</v>
      </c>
    </row>
    <row r="4" spans="1:10" x14ac:dyDescent="0.25">
      <c r="A4" s="9">
        <v>818</v>
      </c>
      <c r="B4" s="5" t="s">
        <v>875</v>
      </c>
      <c r="C4" s="5" t="s">
        <v>876</v>
      </c>
      <c r="D4" s="5" t="s">
        <v>1619</v>
      </c>
      <c r="E4" s="6">
        <v>90189084</v>
      </c>
      <c r="F4" s="6">
        <v>4</v>
      </c>
      <c r="G4" s="6">
        <f t="shared" ref="G4:G67" si="1">F4/$F$2</f>
        <v>1</v>
      </c>
      <c r="H4" s="6" t="s">
        <v>1622</v>
      </c>
      <c r="I4" s="5">
        <v>20.93</v>
      </c>
      <c r="J4" s="5">
        <f t="shared" si="0"/>
        <v>83.72</v>
      </c>
    </row>
    <row r="5" spans="1:10" x14ac:dyDescent="0.25">
      <c r="A5" s="9">
        <v>819</v>
      </c>
      <c r="B5" s="5" t="s">
        <v>136</v>
      </c>
      <c r="C5" s="5" t="s">
        <v>137</v>
      </c>
      <c r="D5" s="5" t="s">
        <v>1618</v>
      </c>
      <c r="E5" s="6">
        <v>90189084</v>
      </c>
      <c r="F5" s="6">
        <v>4</v>
      </c>
      <c r="G5" s="6">
        <f t="shared" si="1"/>
        <v>1</v>
      </c>
      <c r="H5" s="6" t="s">
        <v>1622</v>
      </c>
      <c r="I5" s="5">
        <v>3.7</v>
      </c>
      <c r="J5" s="5">
        <f t="shared" si="0"/>
        <v>14.8</v>
      </c>
    </row>
    <row r="6" spans="1:10" x14ac:dyDescent="0.25">
      <c r="A6" s="9">
        <v>820</v>
      </c>
      <c r="B6" s="5" t="s">
        <v>877</v>
      </c>
      <c r="C6" s="5" t="s">
        <v>878</v>
      </c>
      <c r="D6" s="5" t="s">
        <v>1618</v>
      </c>
      <c r="E6" s="6">
        <v>90189084</v>
      </c>
      <c r="F6" s="6">
        <v>4</v>
      </c>
      <c r="G6" s="6">
        <f t="shared" si="1"/>
        <v>1</v>
      </c>
      <c r="H6" s="6" t="s">
        <v>1622</v>
      </c>
      <c r="I6" s="5">
        <v>4</v>
      </c>
      <c r="J6" s="5">
        <f t="shared" si="0"/>
        <v>16</v>
      </c>
    </row>
    <row r="7" spans="1:10" x14ac:dyDescent="0.25">
      <c r="A7" s="9">
        <v>821</v>
      </c>
      <c r="B7" s="5" t="s">
        <v>512</v>
      </c>
      <c r="C7" s="5" t="s">
        <v>513</v>
      </c>
      <c r="D7" s="5" t="s">
        <v>1619</v>
      </c>
      <c r="E7" s="6">
        <v>90189084</v>
      </c>
      <c r="F7" s="6">
        <v>24</v>
      </c>
      <c r="G7" s="6">
        <f t="shared" si="1"/>
        <v>6</v>
      </c>
      <c r="H7" s="6" t="s">
        <v>1622</v>
      </c>
      <c r="I7" s="5">
        <v>15.12</v>
      </c>
      <c r="J7" s="5">
        <f t="shared" si="0"/>
        <v>362.88</v>
      </c>
    </row>
    <row r="8" spans="1:10" x14ac:dyDescent="0.25">
      <c r="A8" s="9">
        <v>822</v>
      </c>
      <c r="B8" s="5" t="s">
        <v>879</v>
      </c>
      <c r="C8" s="5" t="s">
        <v>880</v>
      </c>
      <c r="D8" s="5" t="s">
        <v>1619</v>
      </c>
      <c r="E8" s="6">
        <v>90189084</v>
      </c>
      <c r="F8" s="6">
        <v>24</v>
      </c>
      <c r="G8" s="6">
        <f t="shared" si="1"/>
        <v>6</v>
      </c>
      <c r="H8" s="6" t="s">
        <v>1622</v>
      </c>
      <c r="I8" s="5">
        <v>39.58</v>
      </c>
      <c r="J8" s="5">
        <f t="shared" si="0"/>
        <v>949.92</v>
      </c>
    </row>
    <row r="9" spans="1:10" x14ac:dyDescent="0.25">
      <c r="A9" s="9">
        <v>823</v>
      </c>
      <c r="B9" s="5" t="s">
        <v>390</v>
      </c>
      <c r="C9" s="5" t="s">
        <v>391</v>
      </c>
      <c r="D9" s="5" t="s">
        <v>1619</v>
      </c>
      <c r="E9" s="6">
        <v>90189084</v>
      </c>
      <c r="F9" s="6">
        <v>4</v>
      </c>
      <c r="G9" s="6">
        <f t="shared" si="1"/>
        <v>1</v>
      </c>
      <c r="H9" s="6" t="s">
        <v>1622</v>
      </c>
      <c r="I9" s="5">
        <v>36.159999999999997</v>
      </c>
      <c r="J9" s="5">
        <f t="shared" si="0"/>
        <v>144.63999999999999</v>
      </c>
    </row>
    <row r="10" spans="1:10" x14ac:dyDescent="0.25">
      <c r="A10" s="9">
        <v>824</v>
      </c>
      <c r="B10" s="5" t="s">
        <v>699</v>
      </c>
      <c r="C10" s="5" t="s">
        <v>700</v>
      </c>
      <c r="D10" s="5" t="s">
        <v>1619</v>
      </c>
      <c r="E10" s="6">
        <v>90189084</v>
      </c>
      <c r="F10" s="6">
        <v>4</v>
      </c>
      <c r="G10" s="6">
        <f t="shared" si="1"/>
        <v>1</v>
      </c>
      <c r="H10" s="6" t="s">
        <v>1622</v>
      </c>
      <c r="I10" s="5">
        <v>37.81</v>
      </c>
      <c r="J10" s="5">
        <f t="shared" si="0"/>
        <v>151.24</v>
      </c>
    </row>
    <row r="11" spans="1:10" x14ac:dyDescent="0.25">
      <c r="A11" s="9">
        <v>825</v>
      </c>
      <c r="B11" s="5" t="s">
        <v>98</v>
      </c>
      <c r="C11" s="5" t="s">
        <v>99</v>
      </c>
      <c r="D11" s="5" t="s">
        <v>1619</v>
      </c>
      <c r="E11" s="6">
        <v>90189084</v>
      </c>
      <c r="F11" s="6">
        <v>4</v>
      </c>
      <c r="G11" s="6">
        <f t="shared" si="1"/>
        <v>1</v>
      </c>
      <c r="H11" s="6" t="s">
        <v>1622</v>
      </c>
      <c r="I11" s="5">
        <v>15</v>
      </c>
      <c r="J11" s="5">
        <f t="shared" si="0"/>
        <v>60</v>
      </c>
    </row>
    <row r="12" spans="1:10" x14ac:dyDescent="0.25">
      <c r="A12" s="9">
        <v>826</v>
      </c>
      <c r="B12" s="5" t="s">
        <v>881</v>
      </c>
      <c r="C12" s="5" t="s">
        <v>882</v>
      </c>
      <c r="D12" s="5" t="s">
        <v>1618</v>
      </c>
      <c r="E12" s="6">
        <v>90189084</v>
      </c>
      <c r="F12" s="6">
        <v>4</v>
      </c>
      <c r="G12" s="6">
        <f t="shared" si="1"/>
        <v>1</v>
      </c>
      <c r="H12" s="6" t="s">
        <v>1622</v>
      </c>
      <c r="I12" s="5">
        <v>10.57</v>
      </c>
      <c r="J12" s="5">
        <f t="shared" si="0"/>
        <v>42.28</v>
      </c>
    </row>
    <row r="13" spans="1:10" x14ac:dyDescent="0.25">
      <c r="A13" s="9">
        <v>827</v>
      </c>
      <c r="B13" s="5" t="s">
        <v>883</v>
      </c>
      <c r="C13" s="5" t="s">
        <v>884</v>
      </c>
      <c r="D13" s="5" t="s">
        <v>1618</v>
      </c>
      <c r="E13" s="6">
        <v>90189084</v>
      </c>
      <c r="F13" s="6">
        <v>4</v>
      </c>
      <c r="G13" s="6">
        <f t="shared" si="1"/>
        <v>1</v>
      </c>
      <c r="H13" s="6" t="s">
        <v>1622</v>
      </c>
      <c r="I13" s="5">
        <v>5.59</v>
      </c>
      <c r="J13" s="5">
        <f t="shared" si="0"/>
        <v>22.36</v>
      </c>
    </row>
    <row r="14" spans="1:10" x14ac:dyDescent="0.25">
      <c r="A14" s="9">
        <v>828</v>
      </c>
      <c r="B14" s="5" t="s">
        <v>885</v>
      </c>
      <c r="C14" s="5" t="s">
        <v>886</v>
      </c>
      <c r="D14" s="5" t="s">
        <v>1618</v>
      </c>
      <c r="E14" s="6">
        <v>90189084</v>
      </c>
      <c r="F14" s="6">
        <v>4</v>
      </c>
      <c r="G14" s="6">
        <f t="shared" si="1"/>
        <v>1</v>
      </c>
      <c r="H14" s="6" t="s">
        <v>1622</v>
      </c>
      <c r="I14" s="5">
        <v>113.35</v>
      </c>
      <c r="J14" s="5">
        <f t="shared" si="0"/>
        <v>453.4</v>
      </c>
    </row>
    <row r="15" spans="1:10" x14ac:dyDescent="0.25">
      <c r="A15" s="9">
        <v>829</v>
      </c>
      <c r="B15" s="5" t="s">
        <v>887</v>
      </c>
      <c r="C15" s="5" t="s">
        <v>888</v>
      </c>
      <c r="D15" s="5" t="s">
        <v>1618</v>
      </c>
      <c r="E15" s="6">
        <v>90189084</v>
      </c>
      <c r="F15" s="6">
        <v>4</v>
      </c>
      <c r="G15" s="6">
        <f t="shared" si="1"/>
        <v>1</v>
      </c>
      <c r="H15" s="6" t="s">
        <v>1622</v>
      </c>
      <c r="I15" s="5">
        <v>53.69</v>
      </c>
      <c r="J15" s="5">
        <f t="shared" si="0"/>
        <v>214.76</v>
      </c>
    </row>
    <row r="16" spans="1:10" x14ac:dyDescent="0.25">
      <c r="A16" s="9">
        <v>830</v>
      </c>
      <c r="B16" s="5" t="s">
        <v>889</v>
      </c>
      <c r="C16" s="5" t="s">
        <v>890</v>
      </c>
      <c r="D16" s="5" t="s">
        <v>1618</v>
      </c>
      <c r="E16" s="6">
        <v>73249000</v>
      </c>
      <c r="F16" s="6">
        <v>4</v>
      </c>
      <c r="G16" s="6">
        <f t="shared" si="1"/>
        <v>1</v>
      </c>
      <c r="H16" s="6" t="s">
        <v>1622</v>
      </c>
      <c r="I16" s="5">
        <v>16.57</v>
      </c>
      <c r="J16" s="5">
        <f t="shared" si="0"/>
        <v>66.28</v>
      </c>
    </row>
    <row r="17" spans="1:10" x14ac:dyDescent="0.25">
      <c r="A17" s="9">
        <v>831</v>
      </c>
      <c r="B17" s="5" t="s">
        <v>360</v>
      </c>
      <c r="C17" s="5" t="s">
        <v>361</v>
      </c>
      <c r="D17" s="5" t="s">
        <v>1620</v>
      </c>
      <c r="E17" s="6">
        <v>73269098</v>
      </c>
      <c r="F17" s="6">
        <v>4</v>
      </c>
      <c r="G17" s="6">
        <f t="shared" si="1"/>
        <v>1</v>
      </c>
      <c r="H17" s="6" t="s">
        <v>1622</v>
      </c>
      <c r="I17" s="5">
        <v>7.7</v>
      </c>
      <c r="J17" s="5">
        <f t="shared" si="0"/>
        <v>30.8</v>
      </c>
    </row>
    <row r="18" spans="1:10" x14ac:dyDescent="0.25">
      <c r="A18" s="9">
        <v>832</v>
      </c>
      <c r="B18" s="5" t="s">
        <v>636</v>
      </c>
      <c r="C18" s="5" t="s">
        <v>637</v>
      </c>
      <c r="D18" s="5" t="s">
        <v>1618</v>
      </c>
      <c r="E18" s="6">
        <v>90189084</v>
      </c>
      <c r="F18" s="6">
        <v>4</v>
      </c>
      <c r="G18" s="6">
        <f t="shared" si="1"/>
        <v>1</v>
      </c>
      <c r="H18" s="6" t="s">
        <v>1622</v>
      </c>
      <c r="I18" s="5">
        <v>29.25</v>
      </c>
      <c r="J18" s="5">
        <f t="shared" si="0"/>
        <v>117</v>
      </c>
    </row>
    <row r="19" spans="1:10" x14ac:dyDescent="0.25">
      <c r="A19" s="9">
        <v>833</v>
      </c>
      <c r="B19" s="5" t="s">
        <v>178</v>
      </c>
      <c r="C19" s="5" t="s">
        <v>179</v>
      </c>
      <c r="D19" s="5" t="s">
        <v>1618</v>
      </c>
      <c r="E19" s="6">
        <v>90189084</v>
      </c>
      <c r="F19" s="6">
        <v>4</v>
      </c>
      <c r="G19" s="6">
        <f t="shared" si="1"/>
        <v>1</v>
      </c>
      <c r="H19" s="6" t="s">
        <v>1622</v>
      </c>
      <c r="I19" s="5">
        <v>12.99</v>
      </c>
      <c r="J19" s="5">
        <f t="shared" si="0"/>
        <v>51.96</v>
      </c>
    </row>
    <row r="20" spans="1:10" x14ac:dyDescent="0.25">
      <c r="A20" s="9">
        <v>834</v>
      </c>
      <c r="B20" s="5" t="s">
        <v>891</v>
      </c>
      <c r="C20" s="5" t="s">
        <v>892</v>
      </c>
      <c r="D20" s="5" t="s">
        <v>1619</v>
      </c>
      <c r="E20" s="6">
        <v>90189084</v>
      </c>
      <c r="F20" s="6">
        <v>8</v>
      </c>
      <c r="G20" s="6">
        <f t="shared" si="1"/>
        <v>2</v>
      </c>
      <c r="H20" s="6" t="s">
        <v>1622</v>
      </c>
      <c r="I20" s="5">
        <v>40.880000000000003</v>
      </c>
      <c r="J20" s="5">
        <f t="shared" si="0"/>
        <v>327.04000000000002</v>
      </c>
    </row>
    <row r="21" spans="1:10" x14ac:dyDescent="0.25">
      <c r="A21" s="9">
        <v>835</v>
      </c>
      <c r="B21" s="5" t="s">
        <v>332</v>
      </c>
      <c r="C21" s="5" t="s">
        <v>333</v>
      </c>
      <c r="D21" s="5" t="s">
        <v>1619</v>
      </c>
      <c r="E21" s="6">
        <v>90189084</v>
      </c>
      <c r="F21" s="6">
        <v>16</v>
      </c>
      <c r="G21" s="6">
        <f t="shared" si="1"/>
        <v>4</v>
      </c>
      <c r="H21" s="6" t="s">
        <v>1622</v>
      </c>
      <c r="I21" s="5">
        <v>36.81</v>
      </c>
      <c r="J21" s="5">
        <f t="shared" si="0"/>
        <v>588.96</v>
      </c>
    </row>
    <row r="22" spans="1:10" x14ac:dyDescent="0.25">
      <c r="A22" s="9">
        <v>836</v>
      </c>
      <c r="B22" s="5" t="s">
        <v>893</v>
      </c>
      <c r="C22" s="5" t="s">
        <v>894</v>
      </c>
      <c r="D22" s="5" t="s">
        <v>1618</v>
      </c>
      <c r="E22" s="6">
        <v>90189084</v>
      </c>
      <c r="F22" s="6">
        <v>8</v>
      </c>
      <c r="G22" s="6">
        <f t="shared" si="1"/>
        <v>2</v>
      </c>
      <c r="H22" s="6" t="s">
        <v>1622</v>
      </c>
      <c r="I22" s="5">
        <v>21.08</v>
      </c>
      <c r="J22" s="5">
        <f t="shared" si="0"/>
        <v>168.64</v>
      </c>
    </row>
    <row r="23" spans="1:10" x14ac:dyDescent="0.25">
      <c r="A23" s="9">
        <v>837</v>
      </c>
      <c r="B23" s="5" t="s">
        <v>354</v>
      </c>
      <c r="C23" s="5" t="s">
        <v>355</v>
      </c>
      <c r="D23" s="5" t="s">
        <v>1619</v>
      </c>
      <c r="E23" s="6">
        <v>90189084</v>
      </c>
      <c r="F23" s="6">
        <v>4</v>
      </c>
      <c r="G23" s="6">
        <f t="shared" si="1"/>
        <v>1</v>
      </c>
      <c r="H23" s="6" t="s">
        <v>1622</v>
      </c>
      <c r="I23" s="5">
        <v>4.76</v>
      </c>
      <c r="J23" s="5">
        <f t="shared" si="0"/>
        <v>19.04</v>
      </c>
    </row>
    <row r="24" spans="1:10" x14ac:dyDescent="0.25">
      <c r="A24" s="9">
        <v>838</v>
      </c>
      <c r="B24" s="5" t="s">
        <v>324</v>
      </c>
      <c r="C24" s="5" t="s">
        <v>325</v>
      </c>
      <c r="D24" s="5" t="s">
        <v>1619</v>
      </c>
      <c r="E24" s="6">
        <v>90189084</v>
      </c>
      <c r="F24" s="6">
        <v>8</v>
      </c>
      <c r="G24" s="6">
        <f t="shared" si="1"/>
        <v>2</v>
      </c>
      <c r="H24" s="6" t="s">
        <v>1622</v>
      </c>
      <c r="I24" s="5">
        <v>17.03</v>
      </c>
      <c r="J24" s="5">
        <f t="shared" si="0"/>
        <v>136.24</v>
      </c>
    </row>
    <row r="25" spans="1:10" x14ac:dyDescent="0.25">
      <c r="A25" s="9">
        <v>839</v>
      </c>
      <c r="B25" s="5" t="s">
        <v>606</v>
      </c>
      <c r="C25" s="5" t="s">
        <v>607</v>
      </c>
      <c r="D25" s="5" t="s">
        <v>1619</v>
      </c>
      <c r="E25" s="6">
        <v>90189084</v>
      </c>
      <c r="F25" s="6">
        <v>8</v>
      </c>
      <c r="G25" s="6">
        <f t="shared" si="1"/>
        <v>2</v>
      </c>
      <c r="H25" s="6" t="s">
        <v>1622</v>
      </c>
      <c r="I25" s="5">
        <v>16.100000000000001</v>
      </c>
      <c r="J25" s="5">
        <f t="shared" si="0"/>
        <v>128.80000000000001</v>
      </c>
    </row>
    <row r="26" spans="1:10" x14ac:dyDescent="0.25">
      <c r="A26" s="9">
        <v>840</v>
      </c>
      <c r="B26" s="5" t="s">
        <v>895</v>
      </c>
      <c r="C26" s="5" t="s">
        <v>896</v>
      </c>
      <c r="D26" s="5" t="s">
        <v>1618</v>
      </c>
      <c r="E26" s="6">
        <v>90189084</v>
      </c>
      <c r="F26" s="6">
        <v>4</v>
      </c>
      <c r="G26" s="6">
        <f t="shared" si="1"/>
        <v>1</v>
      </c>
      <c r="H26" s="6" t="s">
        <v>1622</v>
      </c>
      <c r="I26" s="5">
        <v>125.44</v>
      </c>
      <c r="J26" s="5">
        <f t="shared" si="0"/>
        <v>501.76</v>
      </c>
    </row>
    <row r="27" spans="1:10" x14ac:dyDescent="0.25">
      <c r="A27" s="9">
        <v>841</v>
      </c>
      <c r="B27" s="5" t="s">
        <v>354</v>
      </c>
      <c r="C27" s="5" t="s">
        <v>355</v>
      </c>
      <c r="D27" s="5" t="s">
        <v>1619</v>
      </c>
      <c r="E27" s="6">
        <v>90189084</v>
      </c>
      <c r="F27" s="6">
        <v>4</v>
      </c>
      <c r="G27" s="6">
        <f t="shared" si="1"/>
        <v>1</v>
      </c>
      <c r="H27" s="6" t="s">
        <v>1622</v>
      </c>
      <c r="I27" s="5">
        <v>4.76</v>
      </c>
      <c r="J27" s="5">
        <f t="shared" si="0"/>
        <v>19.04</v>
      </c>
    </row>
    <row r="28" spans="1:10" x14ac:dyDescent="0.25">
      <c r="A28" s="9">
        <v>842</v>
      </c>
      <c r="B28" s="5" t="s">
        <v>897</v>
      </c>
      <c r="C28" s="5" t="s">
        <v>898</v>
      </c>
      <c r="D28" s="5" t="s">
        <v>1619</v>
      </c>
      <c r="E28" s="6">
        <v>90189084</v>
      </c>
      <c r="F28" s="6">
        <v>4</v>
      </c>
      <c r="G28" s="6">
        <f t="shared" si="1"/>
        <v>1</v>
      </c>
      <c r="H28" s="6" t="s">
        <v>1622</v>
      </c>
      <c r="I28" s="5">
        <v>6.02</v>
      </c>
      <c r="J28" s="5">
        <f t="shared" si="0"/>
        <v>24.08</v>
      </c>
    </row>
    <row r="29" spans="1:10" x14ac:dyDescent="0.25">
      <c r="A29" s="9">
        <v>843</v>
      </c>
      <c r="B29" s="5" t="s">
        <v>899</v>
      </c>
      <c r="C29" s="5" t="s">
        <v>900</v>
      </c>
      <c r="D29" s="5" t="s">
        <v>1618</v>
      </c>
      <c r="E29" s="6">
        <v>73269098</v>
      </c>
      <c r="F29" s="6">
        <v>4</v>
      </c>
      <c r="G29" s="6">
        <f t="shared" si="1"/>
        <v>1</v>
      </c>
      <c r="H29" s="6" t="s">
        <v>1622</v>
      </c>
      <c r="I29" s="5">
        <v>44.15</v>
      </c>
      <c r="J29" s="5">
        <f t="shared" si="0"/>
        <v>176.6</v>
      </c>
    </row>
    <row r="30" spans="1:10" x14ac:dyDescent="0.25">
      <c r="A30" s="9">
        <v>844</v>
      </c>
      <c r="B30" s="5" t="s">
        <v>901</v>
      </c>
      <c r="C30" s="5" t="s">
        <v>902</v>
      </c>
      <c r="D30" s="5" t="s">
        <v>1618</v>
      </c>
      <c r="E30" s="6">
        <v>73269098</v>
      </c>
      <c r="F30" s="6">
        <v>4</v>
      </c>
      <c r="G30" s="6">
        <f t="shared" si="1"/>
        <v>1</v>
      </c>
      <c r="H30" s="6" t="s">
        <v>1622</v>
      </c>
      <c r="I30" s="5">
        <v>34.33</v>
      </c>
      <c r="J30" s="5">
        <f t="shared" si="0"/>
        <v>137.32</v>
      </c>
    </row>
    <row r="31" spans="1:10" x14ac:dyDescent="0.25">
      <c r="A31" s="9">
        <v>845</v>
      </c>
      <c r="B31" s="5" t="s">
        <v>903</v>
      </c>
      <c r="C31" s="5" t="s">
        <v>904</v>
      </c>
      <c r="D31" s="5" t="s">
        <v>1618</v>
      </c>
      <c r="E31" s="6">
        <v>39269097</v>
      </c>
      <c r="F31" s="6">
        <v>4</v>
      </c>
      <c r="G31" s="6">
        <f t="shared" si="1"/>
        <v>1</v>
      </c>
      <c r="H31" s="6" t="s">
        <v>1622</v>
      </c>
      <c r="I31" s="5">
        <v>16.59</v>
      </c>
      <c r="J31" s="5">
        <f t="shared" si="0"/>
        <v>66.36</v>
      </c>
    </row>
    <row r="32" spans="1:10" x14ac:dyDescent="0.25">
      <c r="A32" s="10"/>
      <c r="B32" s="11"/>
      <c r="C32" s="11" t="s">
        <v>1680</v>
      </c>
      <c r="D32" s="11"/>
      <c r="E32" s="12"/>
      <c r="F32" s="12">
        <v>8</v>
      </c>
      <c r="G32" s="6">
        <f t="shared" si="1"/>
        <v>2</v>
      </c>
      <c r="H32" s="12"/>
      <c r="I32" s="2"/>
      <c r="J32" s="13"/>
    </row>
    <row r="33" spans="1:10" x14ac:dyDescent="0.25">
      <c r="A33" s="9">
        <v>846</v>
      </c>
      <c r="B33" s="5" t="s">
        <v>470</v>
      </c>
      <c r="C33" s="5" t="s">
        <v>471</v>
      </c>
      <c r="D33" s="5" t="s">
        <v>1618</v>
      </c>
      <c r="E33" s="6">
        <v>90189084</v>
      </c>
      <c r="F33" s="6">
        <v>8</v>
      </c>
      <c r="G33" s="6">
        <f t="shared" si="1"/>
        <v>2</v>
      </c>
      <c r="H33" s="6" t="s">
        <v>1622</v>
      </c>
      <c r="I33" s="5">
        <v>487.4</v>
      </c>
      <c r="J33" s="5">
        <f t="shared" si="0"/>
        <v>3899.2</v>
      </c>
    </row>
    <row r="34" spans="1:10" x14ac:dyDescent="0.25">
      <c r="A34" s="9">
        <v>847</v>
      </c>
      <c r="B34" s="5" t="s">
        <v>472</v>
      </c>
      <c r="C34" s="5" t="s">
        <v>473</v>
      </c>
      <c r="D34" s="5" t="s">
        <v>1618</v>
      </c>
      <c r="E34" s="6">
        <v>90189084</v>
      </c>
      <c r="F34" s="6">
        <v>8</v>
      </c>
      <c r="G34" s="6">
        <f t="shared" si="1"/>
        <v>2</v>
      </c>
      <c r="H34" s="6" t="s">
        <v>1622</v>
      </c>
      <c r="I34" s="5">
        <v>38.65</v>
      </c>
      <c r="J34" s="5">
        <f t="shared" si="0"/>
        <v>309.2</v>
      </c>
    </row>
    <row r="35" spans="1:10" x14ac:dyDescent="0.25">
      <c r="A35" s="9">
        <v>848</v>
      </c>
      <c r="B35" s="5" t="s">
        <v>474</v>
      </c>
      <c r="C35" s="5" t="s">
        <v>475</v>
      </c>
      <c r="D35" s="5" t="s">
        <v>1618</v>
      </c>
      <c r="E35" s="6">
        <v>90189084</v>
      </c>
      <c r="F35" s="6">
        <v>8</v>
      </c>
      <c r="G35" s="6">
        <f t="shared" si="1"/>
        <v>2</v>
      </c>
      <c r="H35" s="6" t="s">
        <v>1622</v>
      </c>
      <c r="I35" s="5">
        <v>69.78</v>
      </c>
      <c r="J35" s="5">
        <f t="shared" si="0"/>
        <v>558.24</v>
      </c>
    </row>
    <row r="36" spans="1:10" x14ac:dyDescent="0.25">
      <c r="A36" s="9">
        <v>849</v>
      </c>
      <c r="B36" s="5" t="s">
        <v>476</v>
      </c>
      <c r="C36" s="5" t="s">
        <v>477</v>
      </c>
      <c r="D36" s="5" t="s">
        <v>1618</v>
      </c>
      <c r="E36" s="6">
        <v>90189084</v>
      </c>
      <c r="F36" s="6">
        <v>8</v>
      </c>
      <c r="G36" s="6">
        <f t="shared" si="1"/>
        <v>2</v>
      </c>
      <c r="H36" s="6" t="s">
        <v>1622</v>
      </c>
      <c r="I36" s="5">
        <v>49.98</v>
      </c>
      <c r="J36" s="5">
        <f t="shared" si="0"/>
        <v>399.84</v>
      </c>
    </row>
    <row r="37" spans="1:10" x14ac:dyDescent="0.25">
      <c r="A37" s="9">
        <v>850</v>
      </c>
      <c r="B37" s="5" t="s">
        <v>478</v>
      </c>
      <c r="C37" s="5" t="s">
        <v>479</v>
      </c>
      <c r="D37" s="5" t="s">
        <v>1618</v>
      </c>
      <c r="E37" s="6">
        <v>90189084</v>
      </c>
      <c r="F37" s="6">
        <v>8</v>
      </c>
      <c r="G37" s="6">
        <f t="shared" si="1"/>
        <v>2</v>
      </c>
      <c r="H37" s="6" t="s">
        <v>1622</v>
      </c>
      <c r="I37" s="5">
        <v>50.49</v>
      </c>
      <c r="J37" s="5">
        <f t="shared" si="0"/>
        <v>403.92</v>
      </c>
    </row>
    <row r="38" spans="1:10" x14ac:dyDescent="0.25">
      <c r="A38" s="9">
        <v>851</v>
      </c>
      <c r="B38" s="5" t="s">
        <v>480</v>
      </c>
      <c r="C38" s="5" t="s">
        <v>481</v>
      </c>
      <c r="D38" s="5" t="s">
        <v>1618</v>
      </c>
      <c r="E38" s="6">
        <v>90189084</v>
      </c>
      <c r="F38" s="6">
        <v>8</v>
      </c>
      <c r="G38" s="6">
        <f t="shared" si="1"/>
        <v>2</v>
      </c>
      <c r="H38" s="6" t="s">
        <v>1622</v>
      </c>
      <c r="I38" s="5">
        <v>83.15</v>
      </c>
      <c r="J38" s="5">
        <f t="shared" si="0"/>
        <v>665.2</v>
      </c>
    </row>
    <row r="39" spans="1:10" x14ac:dyDescent="0.25">
      <c r="A39" s="9">
        <v>852</v>
      </c>
      <c r="B39" s="5" t="s">
        <v>146</v>
      </c>
      <c r="C39" s="5" t="s">
        <v>147</v>
      </c>
      <c r="D39" s="5" t="s">
        <v>1618</v>
      </c>
      <c r="E39" s="6">
        <v>90189084</v>
      </c>
      <c r="F39" s="6">
        <v>80</v>
      </c>
      <c r="G39" s="6">
        <f t="shared" si="1"/>
        <v>20</v>
      </c>
      <c r="H39" s="6" t="s">
        <v>1622</v>
      </c>
      <c r="I39" s="5">
        <v>5.86</v>
      </c>
      <c r="J39" s="5">
        <f t="shared" si="0"/>
        <v>468.8</v>
      </c>
    </row>
    <row r="40" spans="1:10" x14ac:dyDescent="0.25">
      <c r="A40" s="9">
        <v>853</v>
      </c>
      <c r="B40" s="5" t="s">
        <v>148</v>
      </c>
      <c r="C40" s="5" t="s">
        <v>149</v>
      </c>
      <c r="D40" s="5" t="s">
        <v>1618</v>
      </c>
      <c r="E40" s="6">
        <v>90189084</v>
      </c>
      <c r="F40" s="6">
        <v>16</v>
      </c>
      <c r="G40" s="6">
        <f t="shared" si="1"/>
        <v>4</v>
      </c>
      <c r="H40" s="6" t="s">
        <v>1622</v>
      </c>
      <c r="I40" s="5">
        <v>41.25</v>
      </c>
      <c r="J40" s="5">
        <f t="shared" si="0"/>
        <v>660</v>
      </c>
    </row>
    <row r="41" spans="1:10" x14ac:dyDescent="0.25">
      <c r="A41" s="9">
        <v>854</v>
      </c>
      <c r="B41" s="5" t="s">
        <v>482</v>
      </c>
      <c r="C41" s="5" t="s">
        <v>483</v>
      </c>
      <c r="D41" s="5" t="s">
        <v>1618</v>
      </c>
      <c r="E41" s="6">
        <v>90189084</v>
      </c>
      <c r="F41" s="6">
        <v>16</v>
      </c>
      <c r="G41" s="6">
        <f t="shared" si="1"/>
        <v>4</v>
      </c>
      <c r="H41" s="6" t="s">
        <v>1622</v>
      </c>
      <c r="I41" s="5">
        <v>26.73</v>
      </c>
      <c r="J41" s="5">
        <f t="shared" si="0"/>
        <v>427.68</v>
      </c>
    </row>
    <row r="42" spans="1:10" x14ac:dyDescent="0.25">
      <c r="A42" s="9">
        <v>855</v>
      </c>
      <c r="B42" s="5" t="s">
        <v>22</v>
      </c>
      <c r="C42" s="5" t="s">
        <v>23</v>
      </c>
      <c r="D42" s="5" t="s">
        <v>1618</v>
      </c>
      <c r="E42" s="6">
        <v>90189084</v>
      </c>
      <c r="F42" s="6">
        <v>8</v>
      </c>
      <c r="G42" s="6">
        <f t="shared" si="1"/>
        <v>2</v>
      </c>
      <c r="H42" s="6" t="s">
        <v>1622</v>
      </c>
      <c r="I42" s="5">
        <v>3.95</v>
      </c>
      <c r="J42" s="5">
        <f t="shared" si="0"/>
        <v>31.6</v>
      </c>
    </row>
    <row r="43" spans="1:10" x14ac:dyDescent="0.25">
      <c r="A43" s="9">
        <v>856</v>
      </c>
      <c r="B43" s="5" t="s">
        <v>138</v>
      </c>
      <c r="C43" s="5" t="s">
        <v>139</v>
      </c>
      <c r="D43" s="5" t="s">
        <v>1618</v>
      </c>
      <c r="E43" s="6">
        <v>90189084</v>
      </c>
      <c r="F43" s="6">
        <v>8</v>
      </c>
      <c r="G43" s="6">
        <f t="shared" si="1"/>
        <v>2</v>
      </c>
      <c r="H43" s="6" t="s">
        <v>1622</v>
      </c>
      <c r="I43" s="5">
        <v>8.34</v>
      </c>
      <c r="J43" s="5">
        <f t="shared" si="0"/>
        <v>66.72</v>
      </c>
    </row>
    <row r="44" spans="1:10" x14ac:dyDescent="0.25">
      <c r="A44" s="9">
        <v>857</v>
      </c>
      <c r="B44" s="5" t="s">
        <v>140</v>
      </c>
      <c r="C44" s="5" t="s">
        <v>141</v>
      </c>
      <c r="D44" s="5" t="s">
        <v>1618</v>
      </c>
      <c r="E44" s="6">
        <v>90189084</v>
      </c>
      <c r="F44" s="6">
        <v>8</v>
      </c>
      <c r="G44" s="6">
        <f t="shared" si="1"/>
        <v>2</v>
      </c>
      <c r="H44" s="6" t="s">
        <v>1622</v>
      </c>
      <c r="I44" s="5">
        <v>9.1199999999999992</v>
      </c>
      <c r="J44" s="5">
        <f t="shared" si="0"/>
        <v>72.959999999999994</v>
      </c>
    </row>
    <row r="45" spans="1:10" x14ac:dyDescent="0.25">
      <c r="A45" s="9">
        <v>858</v>
      </c>
      <c r="B45" s="5" t="s">
        <v>484</v>
      </c>
      <c r="C45" s="5" t="s">
        <v>485</v>
      </c>
      <c r="D45" s="5" t="s">
        <v>1619</v>
      </c>
      <c r="E45" s="6">
        <v>90189084</v>
      </c>
      <c r="F45" s="6">
        <v>8</v>
      </c>
      <c r="G45" s="6">
        <f t="shared" si="1"/>
        <v>2</v>
      </c>
      <c r="H45" s="6" t="s">
        <v>1622</v>
      </c>
      <c r="I45" s="5">
        <v>11.12</v>
      </c>
      <c r="J45" s="5">
        <f t="shared" si="0"/>
        <v>88.96</v>
      </c>
    </row>
    <row r="46" spans="1:10" x14ac:dyDescent="0.25">
      <c r="A46" s="9">
        <v>859</v>
      </c>
      <c r="B46" s="5" t="s">
        <v>486</v>
      </c>
      <c r="C46" s="5" t="s">
        <v>487</v>
      </c>
      <c r="D46" s="5" t="s">
        <v>1618</v>
      </c>
      <c r="E46" s="6">
        <v>90189084</v>
      </c>
      <c r="F46" s="6">
        <v>8</v>
      </c>
      <c r="G46" s="6">
        <f t="shared" si="1"/>
        <v>2</v>
      </c>
      <c r="H46" s="6" t="s">
        <v>1622</v>
      </c>
      <c r="I46" s="5">
        <v>11.47</v>
      </c>
      <c r="J46" s="5">
        <f t="shared" si="0"/>
        <v>91.76</v>
      </c>
    </row>
    <row r="47" spans="1:10" x14ac:dyDescent="0.25">
      <c r="A47" s="9">
        <v>860</v>
      </c>
      <c r="B47" s="5" t="s">
        <v>144</v>
      </c>
      <c r="C47" s="5" t="s">
        <v>145</v>
      </c>
      <c r="D47" s="5" t="s">
        <v>1619</v>
      </c>
      <c r="E47" s="6">
        <v>90189084</v>
      </c>
      <c r="F47" s="6">
        <v>8</v>
      </c>
      <c r="G47" s="6">
        <f t="shared" si="1"/>
        <v>2</v>
      </c>
      <c r="H47" s="6" t="s">
        <v>1622</v>
      </c>
      <c r="I47" s="5">
        <v>17.59</v>
      </c>
      <c r="J47" s="5">
        <f t="shared" si="0"/>
        <v>140.72</v>
      </c>
    </row>
    <row r="48" spans="1:10" x14ac:dyDescent="0.25">
      <c r="A48" s="9">
        <v>861</v>
      </c>
      <c r="B48" s="5" t="s">
        <v>488</v>
      </c>
      <c r="C48" s="5" t="s">
        <v>489</v>
      </c>
      <c r="D48" s="5" t="s">
        <v>1619</v>
      </c>
      <c r="E48" s="6">
        <v>90189084</v>
      </c>
      <c r="F48" s="6">
        <v>8</v>
      </c>
      <c r="G48" s="6">
        <f t="shared" si="1"/>
        <v>2</v>
      </c>
      <c r="H48" s="6" t="s">
        <v>1622</v>
      </c>
      <c r="I48" s="5">
        <v>5.81</v>
      </c>
      <c r="J48" s="5">
        <f t="shared" si="0"/>
        <v>46.48</v>
      </c>
    </row>
    <row r="49" spans="1:10" x14ac:dyDescent="0.25">
      <c r="A49" s="9">
        <v>862</v>
      </c>
      <c r="B49" s="5" t="s">
        <v>490</v>
      </c>
      <c r="C49" s="5" t="s">
        <v>491</v>
      </c>
      <c r="D49" s="5" t="s">
        <v>1619</v>
      </c>
      <c r="E49" s="6">
        <v>90189084</v>
      </c>
      <c r="F49" s="6">
        <v>8</v>
      </c>
      <c r="G49" s="6">
        <f t="shared" si="1"/>
        <v>2</v>
      </c>
      <c r="H49" s="6" t="s">
        <v>1622</v>
      </c>
      <c r="I49" s="5">
        <v>5.81</v>
      </c>
      <c r="J49" s="5">
        <f t="shared" si="0"/>
        <v>46.48</v>
      </c>
    </row>
    <row r="50" spans="1:10" x14ac:dyDescent="0.25">
      <c r="A50" s="9">
        <v>863</v>
      </c>
      <c r="B50" s="5" t="s">
        <v>492</v>
      </c>
      <c r="C50" s="5" t="s">
        <v>493</v>
      </c>
      <c r="D50" s="5" t="s">
        <v>1619</v>
      </c>
      <c r="E50" s="6">
        <v>90189084</v>
      </c>
      <c r="F50" s="6">
        <v>8</v>
      </c>
      <c r="G50" s="6">
        <f t="shared" si="1"/>
        <v>2</v>
      </c>
      <c r="H50" s="6" t="s">
        <v>1622</v>
      </c>
      <c r="I50" s="5">
        <v>11.98</v>
      </c>
      <c r="J50" s="5">
        <f t="shared" si="0"/>
        <v>95.84</v>
      </c>
    </row>
    <row r="51" spans="1:10" x14ac:dyDescent="0.25">
      <c r="A51" s="9">
        <v>864</v>
      </c>
      <c r="B51" s="5" t="s">
        <v>494</v>
      </c>
      <c r="C51" s="5" t="s">
        <v>495</v>
      </c>
      <c r="D51" s="5" t="s">
        <v>1619</v>
      </c>
      <c r="E51" s="6">
        <v>90189084</v>
      </c>
      <c r="F51" s="6">
        <v>8</v>
      </c>
      <c r="G51" s="6">
        <f t="shared" si="1"/>
        <v>2</v>
      </c>
      <c r="H51" s="6" t="s">
        <v>1622</v>
      </c>
      <c r="I51" s="5">
        <v>11.39</v>
      </c>
      <c r="J51" s="5">
        <f t="shared" si="0"/>
        <v>91.12</v>
      </c>
    </row>
    <row r="52" spans="1:10" x14ac:dyDescent="0.25">
      <c r="A52" s="9">
        <v>865</v>
      </c>
      <c r="B52" s="5" t="s">
        <v>496</v>
      </c>
      <c r="C52" s="5" t="s">
        <v>497</v>
      </c>
      <c r="D52" s="5" t="s">
        <v>1619</v>
      </c>
      <c r="E52" s="6">
        <v>90189084</v>
      </c>
      <c r="F52" s="6">
        <v>8</v>
      </c>
      <c r="G52" s="6">
        <f t="shared" si="1"/>
        <v>2</v>
      </c>
      <c r="H52" s="6" t="s">
        <v>1622</v>
      </c>
      <c r="I52" s="5">
        <v>14.94</v>
      </c>
      <c r="J52" s="5">
        <f t="shared" si="0"/>
        <v>119.52</v>
      </c>
    </row>
    <row r="53" spans="1:10" x14ac:dyDescent="0.25">
      <c r="A53" s="9">
        <v>866</v>
      </c>
      <c r="B53" s="5" t="s">
        <v>498</v>
      </c>
      <c r="C53" s="5" t="s">
        <v>499</v>
      </c>
      <c r="D53" s="5" t="s">
        <v>1618</v>
      </c>
      <c r="E53" s="6">
        <v>90189084</v>
      </c>
      <c r="F53" s="6">
        <v>8</v>
      </c>
      <c r="G53" s="6">
        <f t="shared" si="1"/>
        <v>2</v>
      </c>
      <c r="H53" s="6" t="s">
        <v>1622</v>
      </c>
      <c r="I53" s="5">
        <v>14.7</v>
      </c>
      <c r="J53" s="5">
        <f t="shared" si="0"/>
        <v>117.6</v>
      </c>
    </row>
    <row r="54" spans="1:10" x14ac:dyDescent="0.25">
      <c r="A54" s="9">
        <v>867</v>
      </c>
      <c r="B54" s="5" t="s">
        <v>158</v>
      </c>
      <c r="C54" s="5" t="s">
        <v>159</v>
      </c>
      <c r="D54" s="5" t="s">
        <v>1619</v>
      </c>
      <c r="E54" s="6">
        <v>90189084</v>
      </c>
      <c r="F54" s="6">
        <v>16</v>
      </c>
      <c r="G54" s="6">
        <f t="shared" si="1"/>
        <v>4</v>
      </c>
      <c r="H54" s="6" t="s">
        <v>1622</v>
      </c>
      <c r="I54" s="5">
        <v>22.1</v>
      </c>
      <c r="J54" s="5">
        <f t="shared" si="0"/>
        <v>353.6</v>
      </c>
    </row>
    <row r="55" spans="1:10" x14ac:dyDescent="0.25">
      <c r="A55" s="9">
        <v>868</v>
      </c>
      <c r="B55" s="5" t="s">
        <v>156</v>
      </c>
      <c r="C55" s="5" t="s">
        <v>157</v>
      </c>
      <c r="D55" s="5" t="s">
        <v>1618</v>
      </c>
      <c r="E55" s="6">
        <v>90189084</v>
      </c>
      <c r="F55" s="6">
        <v>8</v>
      </c>
      <c r="G55" s="6">
        <f t="shared" si="1"/>
        <v>2</v>
      </c>
      <c r="H55" s="6" t="s">
        <v>1622</v>
      </c>
      <c r="I55" s="5">
        <v>28.39</v>
      </c>
      <c r="J55" s="5">
        <f t="shared" si="0"/>
        <v>227.12</v>
      </c>
    </row>
    <row r="56" spans="1:10" x14ac:dyDescent="0.25">
      <c r="A56" s="9">
        <v>869</v>
      </c>
      <c r="B56" s="5" t="s">
        <v>500</v>
      </c>
      <c r="C56" s="5" t="s">
        <v>501</v>
      </c>
      <c r="D56" s="5" t="s">
        <v>1619</v>
      </c>
      <c r="E56" s="6">
        <v>90189084</v>
      </c>
      <c r="F56" s="6">
        <v>16</v>
      </c>
      <c r="G56" s="6">
        <f t="shared" si="1"/>
        <v>4</v>
      </c>
      <c r="H56" s="6" t="s">
        <v>1622</v>
      </c>
      <c r="I56" s="5">
        <v>62.66</v>
      </c>
      <c r="J56" s="5">
        <f t="shared" si="0"/>
        <v>1002.56</v>
      </c>
    </row>
    <row r="57" spans="1:10" x14ac:dyDescent="0.25">
      <c r="A57" s="9">
        <v>870</v>
      </c>
      <c r="B57" s="5" t="s">
        <v>502</v>
      </c>
      <c r="C57" s="5" t="s">
        <v>503</v>
      </c>
      <c r="D57" s="5" t="s">
        <v>1619</v>
      </c>
      <c r="E57" s="6">
        <v>90189084</v>
      </c>
      <c r="F57" s="6">
        <v>24</v>
      </c>
      <c r="G57" s="6">
        <f t="shared" si="1"/>
        <v>6</v>
      </c>
      <c r="H57" s="6" t="s">
        <v>1622</v>
      </c>
      <c r="I57" s="5">
        <v>34.380000000000003</v>
      </c>
      <c r="J57" s="5">
        <f t="shared" si="0"/>
        <v>825.12000000000012</v>
      </c>
    </row>
    <row r="58" spans="1:10" x14ac:dyDescent="0.25">
      <c r="A58" s="9">
        <v>871</v>
      </c>
      <c r="B58" s="5" t="s">
        <v>96</v>
      </c>
      <c r="C58" s="5" t="s">
        <v>97</v>
      </c>
      <c r="D58" s="5" t="s">
        <v>1618</v>
      </c>
      <c r="E58" s="6">
        <v>90189084</v>
      </c>
      <c r="F58" s="6">
        <v>16</v>
      </c>
      <c r="G58" s="6">
        <f t="shared" si="1"/>
        <v>4</v>
      </c>
      <c r="H58" s="6" t="s">
        <v>1622</v>
      </c>
      <c r="I58" s="5">
        <v>58.08</v>
      </c>
      <c r="J58" s="5">
        <f t="shared" si="0"/>
        <v>929.28</v>
      </c>
    </row>
    <row r="59" spans="1:10" x14ac:dyDescent="0.25">
      <c r="A59" s="9">
        <v>872</v>
      </c>
      <c r="B59" s="5" t="s">
        <v>504</v>
      </c>
      <c r="C59" s="5" t="s">
        <v>505</v>
      </c>
      <c r="D59" s="5" t="s">
        <v>1618</v>
      </c>
      <c r="E59" s="6">
        <v>90189084</v>
      </c>
      <c r="F59" s="6">
        <v>8</v>
      </c>
      <c r="G59" s="6">
        <f t="shared" si="1"/>
        <v>2</v>
      </c>
      <c r="H59" s="6" t="s">
        <v>1622</v>
      </c>
      <c r="I59" s="5">
        <v>133.21</v>
      </c>
      <c r="J59" s="5">
        <f t="shared" si="0"/>
        <v>1065.68</v>
      </c>
    </row>
    <row r="60" spans="1:10" x14ac:dyDescent="0.25">
      <c r="A60" s="9">
        <v>873</v>
      </c>
      <c r="B60" s="5" t="s">
        <v>506</v>
      </c>
      <c r="C60" s="5" t="s">
        <v>507</v>
      </c>
      <c r="D60" s="5" t="s">
        <v>1619</v>
      </c>
      <c r="E60" s="6">
        <v>90189084</v>
      </c>
      <c r="F60" s="6">
        <v>80</v>
      </c>
      <c r="G60" s="6">
        <f t="shared" si="1"/>
        <v>20</v>
      </c>
      <c r="H60" s="6" t="s">
        <v>1622</v>
      </c>
      <c r="I60" s="5">
        <v>16.420000000000002</v>
      </c>
      <c r="J60" s="5">
        <f t="shared" si="0"/>
        <v>1313.6000000000001</v>
      </c>
    </row>
    <row r="61" spans="1:10" x14ac:dyDescent="0.25">
      <c r="A61" s="9">
        <v>874</v>
      </c>
      <c r="B61" s="5" t="s">
        <v>508</v>
      </c>
      <c r="C61" s="5" t="s">
        <v>509</v>
      </c>
      <c r="D61" s="5" t="s">
        <v>1619</v>
      </c>
      <c r="E61" s="6">
        <v>90189084</v>
      </c>
      <c r="F61" s="6">
        <v>80</v>
      </c>
      <c r="G61" s="6">
        <f t="shared" si="1"/>
        <v>20</v>
      </c>
      <c r="H61" s="6" t="s">
        <v>1622</v>
      </c>
      <c r="I61" s="5">
        <v>19.690000000000001</v>
      </c>
      <c r="J61" s="5">
        <f t="shared" si="0"/>
        <v>1575.2</v>
      </c>
    </row>
    <row r="62" spans="1:10" x14ac:dyDescent="0.25">
      <c r="A62" s="9">
        <v>875</v>
      </c>
      <c r="B62" s="5" t="s">
        <v>510</v>
      </c>
      <c r="C62" s="5" t="s">
        <v>511</v>
      </c>
      <c r="D62" s="5" t="s">
        <v>1619</v>
      </c>
      <c r="E62" s="6">
        <v>90189084</v>
      </c>
      <c r="F62" s="6">
        <v>40</v>
      </c>
      <c r="G62" s="6">
        <f t="shared" si="1"/>
        <v>10</v>
      </c>
      <c r="H62" s="6" t="s">
        <v>1622</v>
      </c>
      <c r="I62" s="5">
        <v>15.49</v>
      </c>
      <c r="J62" s="5">
        <f t="shared" si="0"/>
        <v>619.6</v>
      </c>
    </row>
    <row r="63" spans="1:10" x14ac:dyDescent="0.25">
      <c r="A63" s="9">
        <v>876</v>
      </c>
      <c r="B63" s="5" t="s">
        <v>512</v>
      </c>
      <c r="C63" s="5" t="s">
        <v>513</v>
      </c>
      <c r="D63" s="5" t="s">
        <v>1619</v>
      </c>
      <c r="E63" s="6">
        <v>90189084</v>
      </c>
      <c r="F63" s="6">
        <v>40</v>
      </c>
      <c r="G63" s="6">
        <f t="shared" si="1"/>
        <v>10</v>
      </c>
      <c r="H63" s="6" t="s">
        <v>1622</v>
      </c>
      <c r="I63" s="5">
        <v>16.16</v>
      </c>
      <c r="J63" s="5">
        <f t="shared" si="0"/>
        <v>646.4</v>
      </c>
    </row>
    <row r="64" spans="1:10" x14ac:dyDescent="0.25">
      <c r="A64" s="9">
        <v>877</v>
      </c>
      <c r="B64" s="5" t="s">
        <v>376</v>
      </c>
      <c r="C64" s="5" t="s">
        <v>377</v>
      </c>
      <c r="D64" s="5" t="s">
        <v>1619</v>
      </c>
      <c r="E64" s="6">
        <v>90189084</v>
      </c>
      <c r="F64" s="6">
        <v>40</v>
      </c>
      <c r="G64" s="6">
        <f t="shared" si="1"/>
        <v>10</v>
      </c>
      <c r="H64" s="6" t="s">
        <v>1622</v>
      </c>
      <c r="I64" s="5">
        <v>13.93</v>
      </c>
      <c r="J64" s="5">
        <f t="shared" si="0"/>
        <v>557.20000000000005</v>
      </c>
    </row>
    <row r="65" spans="1:10" x14ac:dyDescent="0.25">
      <c r="A65" s="9">
        <v>878</v>
      </c>
      <c r="B65" s="5" t="s">
        <v>38</v>
      </c>
      <c r="C65" s="5" t="s">
        <v>39</v>
      </c>
      <c r="D65" s="5" t="s">
        <v>1619</v>
      </c>
      <c r="E65" s="6">
        <v>90189084</v>
      </c>
      <c r="F65" s="6">
        <v>40</v>
      </c>
      <c r="G65" s="6">
        <f t="shared" si="1"/>
        <v>10</v>
      </c>
      <c r="H65" s="6" t="s">
        <v>1622</v>
      </c>
      <c r="I65" s="5">
        <v>13.93</v>
      </c>
      <c r="J65" s="5">
        <f t="shared" si="0"/>
        <v>557.20000000000005</v>
      </c>
    </row>
    <row r="66" spans="1:10" x14ac:dyDescent="0.25">
      <c r="A66" s="9">
        <v>879</v>
      </c>
      <c r="B66" s="5" t="s">
        <v>514</v>
      </c>
      <c r="C66" s="5" t="s">
        <v>515</v>
      </c>
      <c r="D66" s="5" t="s">
        <v>1618</v>
      </c>
      <c r="E66" s="6">
        <v>90189084</v>
      </c>
      <c r="F66" s="6">
        <v>8</v>
      </c>
      <c r="G66" s="6">
        <f t="shared" si="1"/>
        <v>2</v>
      </c>
      <c r="H66" s="6" t="s">
        <v>1622</v>
      </c>
      <c r="I66" s="5">
        <v>24.18</v>
      </c>
      <c r="J66" s="5">
        <f t="shared" si="0"/>
        <v>193.44</v>
      </c>
    </row>
    <row r="67" spans="1:10" x14ac:dyDescent="0.25">
      <c r="A67" s="9">
        <v>880</v>
      </c>
      <c r="B67" s="5" t="s">
        <v>516</v>
      </c>
      <c r="C67" s="5" t="s">
        <v>517</v>
      </c>
      <c r="D67" s="5" t="s">
        <v>1618</v>
      </c>
      <c r="E67" s="6">
        <v>90189084</v>
      </c>
      <c r="F67" s="6">
        <v>8</v>
      </c>
      <c r="G67" s="6">
        <f t="shared" si="1"/>
        <v>2</v>
      </c>
      <c r="H67" s="6" t="s">
        <v>1622</v>
      </c>
      <c r="I67" s="5">
        <v>25.46</v>
      </c>
      <c r="J67" s="5">
        <f t="shared" ref="J67:J130" si="2">F67*I67</f>
        <v>203.68</v>
      </c>
    </row>
    <row r="68" spans="1:10" x14ac:dyDescent="0.25">
      <c r="A68" s="9">
        <v>881</v>
      </c>
      <c r="B68" s="5" t="s">
        <v>166</v>
      </c>
      <c r="C68" s="5" t="s">
        <v>167</v>
      </c>
      <c r="D68" s="5" t="s">
        <v>1619</v>
      </c>
      <c r="E68" s="6">
        <v>90189084</v>
      </c>
      <c r="F68" s="6">
        <v>8</v>
      </c>
      <c r="G68" s="6">
        <f t="shared" ref="G68:G131" si="3">F68/$F$2</f>
        <v>2</v>
      </c>
      <c r="H68" s="6" t="s">
        <v>1622</v>
      </c>
      <c r="I68" s="5">
        <v>28.85</v>
      </c>
      <c r="J68" s="5">
        <f t="shared" si="2"/>
        <v>230.8</v>
      </c>
    </row>
    <row r="69" spans="1:10" x14ac:dyDescent="0.25">
      <c r="A69" s="9">
        <v>882</v>
      </c>
      <c r="B69" s="5" t="s">
        <v>518</v>
      </c>
      <c r="C69" s="5" t="s">
        <v>519</v>
      </c>
      <c r="D69" s="5" t="s">
        <v>1618</v>
      </c>
      <c r="E69" s="6">
        <v>90189084</v>
      </c>
      <c r="F69" s="6">
        <v>8</v>
      </c>
      <c r="G69" s="6">
        <f t="shared" si="3"/>
        <v>2</v>
      </c>
      <c r="H69" s="6" t="s">
        <v>1622</v>
      </c>
      <c r="I69" s="5">
        <v>36.08</v>
      </c>
      <c r="J69" s="5">
        <f t="shared" si="2"/>
        <v>288.64</v>
      </c>
    </row>
    <row r="70" spans="1:10" x14ac:dyDescent="0.25">
      <c r="A70" s="9">
        <v>883</v>
      </c>
      <c r="B70" s="5" t="s">
        <v>196</v>
      </c>
      <c r="C70" s="5" t="s">
        <v>197</v>
      </c>
      <c r="D70" s="5" t="s">
        <v>1618</v>
      </c>
      <c r="E70" s="6">
        <v>90189084</v>
      </c>
      <c r="F70" s="6">
        <v>8</v>
      </c>
      <c r="G70" s="6">
        <f t="shared" si="3"/>
        <v>2</v>
      </c>
      <c r="H70" s="6" t="s">
        <v>1622</v>
      </c>
      <c r="I70" s="5">
        <v>42.47</v>
      </c>
      <c r="J70" s="5">
        <f t="shared" si="2"/>
        <v>339.76</v>
      </c>
    </row>
    <row r="71" spans="1:10" x14ac:dyDescent="0.25">
      <c r="A71" s="9">
        <v>884</v>
      </c>
      <c r="B71" s="5" t="s">
        <v>520</v>
      </c>
      <c r="C71" s="5" t="s">
        <v>521</v>
      </c>
      <c r="D71" s="5" t="s">
        <v>1618</v>
      </c>
      <c r="E71" s="6">
        <v>90189084</v>
      </c>
      <c r="F71" s="6">
        <v>8</v>
      </c>
      <c r="G71" s="6">
        <f t="shared" si="3"/>
        <v>2</v>
      </c>
      <c r="H71" s="6" t="s">
        <v>1622</v>
      </c>
      <c r="I71" s="5">
        <v>44.04</v>
      </c>
      <c r="J71" s="5">
        <f t="shared" si="2"/>
        <v>352.32</v>
      </c>
    </row>
    <row r="72" spans="1:10" x14ac:dyDescent="0.25">
      <c r="A72" s="9">
        <v>885</v>
      </c>
      <c r="B72" s="5" t="s">
        <v>414</v>
      </c>
      <c r="C72" s="5" t="s">
        <v>415</v>
      </c>
      <c r="D72" s="5" t="s">
        <v>1618</v>
      </c>
      <c r="E72" s="6">
        <v>90189084</v>
      </c>
      <c r="F72" s="6">
        <v>16</v>
      </c>
      <c r="G72" s="6">
        <f t="shared" si="3"/>
        <v>4</v>
      </c>
      <c r="H72" s="6" t="s">
        <v>1622</v>
      </c>
      <c r="I72" s="5">
        <v>26.66</v>
      </c>
      <c r="J72" s="5">
        <f t="shared" si="2"/>
        <v>426.56</v>
      </c>
    </row>
    <row r="73" spans="1:10" x14ac:dyDescent="0.25">
      <c r="A73" s="9">
        <v>886</v>
      </c>
      <c r="B73" s="5" t="s">
        <v>200</v>
      </c>
      <c r="C73" s="5" t="s">
        <v>201</v>
      </c>
      <c r="D73" s="5" t="s">
        <v>1618</v>
      </c>
      <c r="E73" s="6">
        <v>90189084</v>
      </c>
      <c r="F73" s="6">
        <v>8</v>
      </c>
      <c r="G73" s="6">
        <f t="shared" si="3"/>
        <v>2</v>
      </c>
      <c r="H73" s="6" t="s">
        <v>1622</v>
      </c>
      <c r="I73" s="5">
        <v>33.049999999999997</v>
      </c>
      <c r="J73" s="5">
        <f t="shared" si="2"/>
        <v>264.39999999999998</v>
      </c>
    </row>
    <row r="74" spans="1:10" x14ac:dyDescent="0.25">
      <c r="A74" s="9">
        <v>887</v>
      </c>
      <c r="B74" s="5" t="s">
        <v>522</v>
      </c>
      <c r="C74" s="5" t="s">
        <v>523</v>
      </c>
      <c r="D74" s="5" t="s">
        <v>1618</v>
      </c>
      <c r="E74" s="6">
        <v>90189084</v>
      </c>
      <c r="F74" s="6">
        <v>16</v>
      </c>
      <c r="G74" s="6">
        <f t="shared" si="3"/>
        <v>4</v>
      </c>
      <c r="H74" s="6" t="s">
        <v>1622</v>
      </c>
      <c r="I74" s="5">
        <v>25.3</v>
      </c>
      <c r="J74" s="5">
        <f t="shared" si="2"/>
        <v>404.8</v>
      </c>
    </row>
    <row r="75" spans="1:10" x14ac:dyDescent="0.25">
      <c r="A75" s="9">
        <v>888</v>
      </c>
      <c r="B75" s="5" t="s">
        <v>172</v>
      </c>
      <c r="C75" s="5" t="s">
        <v>173</v>
      </c>
      <c r="D75" s="5" t="s">
        <v>1618</v>
      </c>
      <c r="E75" s="6">
        <v>90189084</v>
      </c>
      <c r="F75" s="6">
        <v>16</v>
      </c>
      <c r="G75" s="6">
        <f t="shared" si="3"/>
        <v>4</v>
      </c>
      <c r="H75" s="6" t="s">
        <v>1622</v>
      </c>
      <c r="I75" s="5">
        <v>28.18</v>
      </c>
      <c r="J75" s="5">
        <f t="shared" si="2"/>
        <v>450.88</v>
      </c>
    </row>
    <row r="76" spans="1:10" x14ac:dyDescent="0.25">
      <c r="A76" s="9">
        <v>889</v>
      </c>
      <c r="B76" s="5" t="s">
        <v>524</v>
      </c>
      <c r="C76" s="5" t="s">
        <v>525</v>
      </c>
      <c r="D76" s="5" t="s">
        <v>1618</v>
      </c>
      <c r="E76" s="6">
        <v>90189084</v>
      </c>
      <c r="F76" s="6">
        <v>8</v>
      </c>
      <c r="G76" s="6">
        <f t="shared" si="3"/>
        <v>2</v>
      </c>
      <c r="H76" s="6" t="s">
        <v>1622</v>
      </c>
      <c r="I76" s="5">
        <v>10.78</v>
      </c>
      <c r="J76" s="5">
        <f t="shared" si="2"/>
        <v>86.24</v>
      </c>
    </row>
    <row r="77" spans="1:10" x14ac:dyDescent="0.25">
      <c r="A77" s="9">
        <v>890</v>
      </c>
      <c r="B77" s="5" t="s">
        <v>526</v>
      </c>
      <c r="C77" s="5" t="s">
        <v>527</v>
      </c>
      <c r="D77" s="5" t="s">
        <v>1618</v>
      </c>
      <c r="E77" s="6">
        <v>90189084</v>
      </c>
      <c r="F77" s="6">
        <v>8</v>
      </c>
      <c r="G77" s="6">
        <f t="shared" si="3"/>
        <v>2</v>
      </c>
      <c r="H77" s="6" t="s">
        <v>1622</v>
      </c>
      <c r="I77" s="5">
        <v>11.37</v>
      </c>
      <c r="J77" s="5">
        <f t="shared" si="2"/>
        <v>90.96</v>
      </c>
    </row>
    <row r="78" spans="1:10" x14ac:dyDescent="0.25">
      <c r="A78" s="9">
        <v>891</v>
      </c>
      <c r="B78" s="5" t="s">
        <v>178</v>
      </c>
      <c r="C78" s="5" t="s">
        <v>179</v>
      </c>
      <c r="D78" s="5" t="s">
        <v>1618</v>
      </c>
      <c r="E78" s="6">
        <v>90189084</v>
      </c>
      <c r="F78" s="6">
        <v>16</v>
      </c>
      <c r="G78" s="6">
        <f t="shared" si="3"/>
        <v>4</v>
      </c>
      <c r="H78" s="6" t="s">
        <v>1622</v>
      </c>
      <c r="I78" s="5">
        <v>13.89</v>
      </c>
      <c r="J78" s="5">
        <f t="shared" si="2"/>
        <v>222.24</v>
      </c>
    </row>
    <row r="79" spans="1:10" x14ac:dyDescent="0.25">
      <c r="A79" s="9">
        <v>892</v>
      </c>
      <c r="B79" s="5" t="s">
        <v>172</v>
      </c>
      <c r="C79" s="5" t="s">
        <v>173</v>
      </c>
      <c r="D79" s="5" t="s">
        <v>1618</v>
      </c>
      <c r="E79" s="6">
        <v>90189084</v>
      </c>
      <c r="F79" s="6">
        <v>16</v>
      </c>
      <c r="G79" s="6">
        <f t="shared" si="3"/>
        <v>4</v>
      </c>
      <c r="H79" s="6" t="s">
        <v>1622</v>
      </c>
      <c r="I79" s="5">
        <v>28.18</v>
      </c>
      <c r="J79" s="5">
        <f t="shared" si="2"/>
        <v>450.88</v>
      </c>
    </row>
    <row r="80" spans="1:10" x14ac:dyDescent="0.25">
      <c r="A80" s="9">
        <v>893</v>
      </c>
      <c r="B80" s="5" t="s">
        <v>528</v>
      </c>
      <c r="C80" s="5" t="s">
        <v>529</v>
      </c>
      <c r="D80" s="5" t="s">
        <v>1618</v>
      </c>
      <c r="E80" s="6">
        <v>90189084</v>
      </c>
      <c r="F80" s="6">
        <v>16</v>
      </c>
      <c r="G80" s="6">
        <f t="shared" si="3"/>
        <v>4</v>
      </c>
      <c r="H80" s="6" t="s">
        <v>1622</v>
      </c>
      <c r="I80" s="5">
        <v>48.5</v>
      </c>
      <c r="J80" s="5">
        <f t="shared" si="2"/>
        <v>776</v>
      </c>
    </row>
    <row r="81" spans="1:10" x14ac:dyDescent="0.25">
      <c r="A81" s="9">
        <v>894</v>
      </c>
      <c r="B81" s="5" t="s">
        <v>530</v>
      </c>
      <c r="C81" s="5" t="s">
        <v>531</v>
      </c>
      <c r="D81" s="5" t="s">
        <v>1618</v>
      </c>
      <c r="E81" s="6">
        <v>90189084</v>
      </c>
      <c r="F81" s="6">
        <v>8</v>
      </c>
      <c r="G81" s="6">
        <f t="shared" si="3"/>
        <v>2</v>
      </c>
      <c r="H81" s="6" t="s">
        <v>1622</v>
      </c>
      <c r="I81" s="5">
        <v>23.85</v>
      </c>
      <c r="J81" s="5">
        <f t="shared" si="2"/>
        <v>190.8</v>
      </c>
    </row>
    <row r="82" spans="1:10" x14ac:dyDescent="0.25">
      <c r="A82" s="9">
        <v>895</v>
      </c>
      <c r="B82" s="5" t="s">
        <v>532</v>
      </c>
      <c r="C82" s="5" t="s">
        <v>533</v>
      </c>
      <c r="D82" s="5" t="s">
        <v>1618</v>
      </c>
      <c r="E82" s="6">
        <v>90183900</v>
      </c>
      <c r="F82" s="6">
        <v>16</v>
      </c>
      <c r="G82" s="6">
        <f t="shared" si="3"/>
        <v>4</v>
      </c>
      <c r="H82" s="6" t="s">
        <v>1622</v>
      </c>
      <c r="I82" s="5">
        <v>16.600000000000001</v>
      </c>
      <c r="J82" s="5">
        <f t="shared" si="2"/>
        <v>265.60000000000002</v>
      </c>
    </row>
    <row r="83" spans="1:10" x14ac:dyDescent="0.25">
      <c r="A83" s="9">
        <v>896</v>
      </c>
      <c r="B83" s="5" t="s">
        <v>534</v>
      </c>
      <c r="C83" s="5" t="s">
        <v>535</v>
      </c>
      <c r="D83" s="5" t="s">
        <v>1619</v>
      </c>
      <c r="E83" s="6">
        <v>90183900</v>
      </c>
      <c r="F83" s="6">
        <v>16</v>
      </c>
      <c r="G83" s="6">
        <f t="shared" si="3"/>
        <v>4</v>
      </c>
      <c r="H83" s="6" t="s">
        <v>1622</v>
      </c>
      <c r="I83" s="5">
        <v>13.22</v>
      </c>
      <c r="J83" s="5">
        <f t="shared" si="2"/>
        <v>211.52</v>
      </c>
    </row>
    <row r="84" spans="1:10" x14ac:dyDescent="0.25">
      <c r="A84" s="9">
        <v>897</v>
      </c>
      <c r="B84" s="5" t="s">
        <v>536</v>
      </c>
      <c r="C84" s="5" t="s">
        <v>537</v>
      </c>
      <c r="D84" s="5" t="s">
        <v>1619</v>
      </c>
      <c r="E84" s="6">
        <v>90183900</v>
      </c>
      <c r="F84" s="6">
        <v>16</v>
      </c>
      <c r="G84" s="6">
        <f t="shared" si="3"/>
        <v>4</v>
      </c>
      <c r="H84" s="6" t="s">
        <v>1622</v>
      </c>
      <c r="I84" s="5">
        <v>13.22</v>
      </c>
      <c r="J84" s="5">
        <f t="shared" si="2"/>
        <v>211.52</v>
      </c>
    </row>
    <row r="85" spans="1:10" x14ac:dyDescent="0.25">
      <c r="A85" s="9">
        <v>898</v>
      </c>
      <c r="B85" s="5" t="s">
        <v>268</v>
      </c>
      <c r="C85" s="5" t="s">
        <v>269</v>
      </c>
      <c r="D85" s="5" t="s">
        <v>1619</v>
      </c>
      <c r="E85" s="6">
        <v>90183900</v>
      </c>
      <c r="F85" s="6">
        <v>16</v>
      </c>
      <c r="G85" s="6">
        <f t="shared" si="3"/>
        <v>4</v>
      </c>
      <c r="H85" s="6" t="s">
        <v>1622</v>
      </c>
      <c r="I85" s="5">
        <v>13.22</v>
      </c>
      <c r="J85" s="5">
        <f t="shared" si="2"/>
        <v>211.52</v>
      </c>
    </row>
    <row r="86" spans="1:10" x14ac:dyDescent="0.25">
      <c r="A86" s="9">
        <v>899</v>
      </c>
      <c r="B86" s="5" t="s">
        <v>270</v>
      </c>
      <c r="C86" s="5" t="s">
        <v>271</v>
      </c>
      <c r="D86" s="5" t="s">
        <v>1619</v>
      </c>
      <c r="E86" s="6">
        <v>90183900</v>
      </c>
      <c r="F86" s="6">
        <v>16</v>
      </c>
      <c r="G86" s="6">
        <f t="shared" si="3"/>
        <v>4</v>
      </c>
      <c r="H86" s="6" t="s">
        <v>1622</v>
      </c>
      <c r="I86" s="5">
        <v>13.22</v>
      </c>
      <c r="J86" s="5">
        <f t="shared" si="2"/>
        <v>211.52</v>
      </c>
    </row>
    <row r="87" spans="1:10" x14ac:dyDescent="0.25">
      <c r="A87" s="9">
        <v>900</v>
      </c>
      <c r="B87" s="5" t="s">
        <v>538</v>
      </c>
      <c r="C87" s="5" t="s">
        <v>539</v>
      </c>
      <c r="D87" s="5" t="s">
        <v>1619</v>
      </c>
      <c r="E87" s="6">
        <v>90183900</v>
      </c>
      <c r="F87" s="6">
        <v>16</v>
      </c>
      <c r="G87" s="6">
        <f t="shared" si="3"/>
        <v>4</v>
      </c>
      <c r="H87" s="6" t="s">
        <v>1622</v>
      </c>
      <c r="I87" s="5">
        <v>21.23</v>
      </c>
      <c r="J87" s="5">
        <f t="shared" si="2"/>
        <v>339.68</v>
      </c>
    </row>
    <row r="88" spans="1:10" x14ac:dyDescent="0.25">
      <c r="A88" s="9">
        <v>901</v>
      </c>
      <c r="B88" s="5" t="s">
        <v>538</v>
      </c>
      <c r="C88" s="5" t="s">
        <v>539</v>
      </c>
      <c r="D88" s="5" t="s">
        <v>1619</v>
      </c>
      <c r="E88" s="6">
        <v>90183900</v>
      </c>
      <c r="F88" s="6">
        <v>16</v>
      </c>
      <c r="G88" s="6">
        <f t="shared" si="3"/>
        <v>4</v>
      </c>
      <c r="H88" s="6" t="s">
        <v>1622</v>
      </c>
      <c r="I88" s="5">
        <v>21.23</v>
      </c>
      <c r="J88" s="5">
        <f t="shared" si="2"/>
        <v>339.68</v>
      </c>
    </row>
    <row r="89" spans="1:10" x14ac:dyDescent="0.25">
      <c r="A89" s="9">
        <v>902</v>
      </c>
      <c r="B89" s="5" t="s">
        <v>262</v>
      </c>
      <c r="C89" s="5" t="s">
        <v>263</v>
      </c>
      <c r="D89" s="5" t="s">
        <v>1619</v>
      </c>
      <c r="E89" s="6">
        <v>90183900</v>
      </c>
      <c r="F89" s="6">
        <v>16</v>
      </c>
      <c r="G89" s="6">
        <f t="shared" si="3"/>
        <v>4</v>
      </c>
      <c r="H89" s="6" t="s">
        <v>1622</v>
      </c>
      <c r="I89" s="5">
        <v>21.23</v>
      </c>
      <c r="J89" s="5">
        <f t="shared" si="2"/>
        <v>339.68</v>
      </c>
    </row>
    <row r="90" spans="1:10" x14ac:dyDescent="0.25">
      <c r="A90" s="9">
        <v>903</v>
      </c>
      <c r="B90" s="5" t="s">
        <v>264</v>
      </c>
      <c r="C90" s="5" t="s">
        <v>265</v>
      </c>
      <c r="D90" s="5" t="s">
        <v>1619</v>
      </c>
      <c r="E90" s="6">
        <v>90183900</v>
      </c>
      <c r="F90" s="6">
        <v>16</v>
      </c>
      <c r="G90" s="6">
        <f t="shared" si="3"/>
        <v>4</v>
      </c>
      <c r="H90" s="6" t="s">
        <v>1622</v>
      </c>
      <c r="I90" s="5">
        <v>21.23</v>
      </c>
      <c r="J90" s="5">
        <f t="shared" si="2"/>
        <v>339.68</v>
      </c>
    </row>
    <row r="91" spans="1:10" x14ac:dyDescent="0.25">
      <c r="A91" s="9">
        <v>904</v>
      </c>
      <c r="B91" s="5" t="s">
        <v>266</v>
      </c>
      <c r="C91" s="5" t="s">
        <v>267</v>
      </c>
      <c r="D91" s="5" t="s">
        <v>1619</v>
      </c>
      <c r="E91" s="6">
        <v>90183900</v>
      </c>
      <c r="F91" s="6">
        <v>16</v>
      </c>
      <c r="G91" s="6">
        <f t="shared" si="3"/>
        <v>4</v>
      </c>
      <c r="H91" s="6" t="s">
        <v>1622</v>
      </c>
      <c r="I91" s="5">
        <v>21.23</v>
      </c>
      <c r="J91" s="5">
        <f t="shared" si="2"/>
        <v>339.68</v>
      </c>
    </row>
    <row r="92" spans="1:10" x14ac:dyDescent="0.25">
      <c r="A92" s="9">
        <v>905</v>
      </c>
      <c r="B92" s="5" t="s">
        <v>532</v>
      </c>
      <c r="C92" s="5" t="s">
        <v>533</v>
      </c>
      <c r="D92" s="5" t="s">
        <v>1618</v>
      </c>
      <c r="E92" s="6">
        <v>90183900</v>
      </c>
      <c r="F92" s="6">
        <v>16</v>
      </c>
      <c r="G92" s="6">
        <f t="shared" si="3"/>
        <v>4</v>
      </c>
      <c r="H92" s="6" t="s">
        <v>1622</v>
      </c>
      <c r="I92" s="5">
        <v>16.600000000000001</v>
      </c>
      <c r="J92" s="5">
        <f t="shared" si="2"/>
        <v>265.60000000000002</v>
      </c>
    </row>
    <row r="93" spans="1:10" x14ac:dyDescent="0.25">
      <c r="A93" s="9">
        <v>906</v>
      </c>
      <c r="B93" s="5" t="s">
        <v>540</v>
      </c>
      <c r="C93" s="5" t="s">
        <v>541</v>
      </c>
      <c r="D93" s="5" t="s">
        <v>1618</v>
      </c>
      <c r="E93" s="6">
        <v>90189084</v>
      </c>
      <c r="F93" s="6">
        <v>8</v>
      </c>
      <c r="G93" s="6">
        <f t="shared" si="3"/>
        <v>2</v>
      </c>
      <c r="H93" s="6" t="s">
        <v>1622</v>
      </c>
      <c r="I93" s="5">
        <v>17.71</v>
      </c>
      <c r="J93" s="5">
        <f t="shared" si="2"/>
        <v>141.68</v>
      </c>
    </row>
    <row r="94" spans="1:10" x14ac:dyDescent="0.25">
      <c r="A94" s="9">
        <v>907</v>
      </c>
      <c r="B94" s="5" t="s">
        <v>542</v>
      </c>
      <c r="C94" s="5" t="s">
        <v>543</v>
      </c>
      <c r="D94" s="5" t="s">
        <v>1618</v>
      </c>
      <c r="E94" s="6">
        <v>90189084</v>
      </c>
      <c r="F94" s="6">
        <v>8</v>
      </c>
      <c r="G94" s="6">
        <f t="shared" si="3"/>
        <v>2</v>
      </c>
      <c r="H94" s="6" t="s">
        <v>1622</v>
      </c>
      <c r="I94" s="5">
        <v>19.48</v>
      </c>
      <c r="J94" s="5">
        <f t="shared" si="2"/>
        <v>155.84</v>
      </c>
    </row>
    <row r="95" spans="1:10" x14ac:dyDescent="0.25">
      <c r="A95" s="9">
        <v>908</v>
      </c>
      <c r="B95" s="5" t="s">
        <v>544</v>
      </c>
      <c r="C95" s="5" t="s">
        <v>545</v>
      </c>
      <c r="D95" s="5" t="s">
        <v>1618</v>
      </c>
      <c r="E95" s="6">
        <v>90189084</v>
      </c>
      <c r="F95" s="6">
        <v>8</v>
      </c>
      <c r="G95" s="6">
        <f t="shared" si="3"/>
        <v>2</v>
      </c>
      <c r="H95" s="6" t="s">
        <v>1622</v>
      </c>
      <c r="I95" s="5">
        <v>20.66</v>
      </c>
      <c r="J95" s="5">
        <f t="shared" si="2"/>
        <v>165.28</v>
      </c>
    </row>
    <row r="96" spans="1:10" x14ac:dyDescent="0.25">
      <c r="A96" s="9">
        <v>909</v>
      </c>
      <c r="B96" s="5" t="s">
        <v>546</v>
      </c>
      <c r="C96" s="5" t="s">
        <v>547</v>
      </c>
      <c r="D96" s="5" t="s">
        <v>1618</v>
      </c>
      <c r="E96" s="6">
        <v>90189084</v>
      </c>
      <c r="F96" s="6">
        <v>8</v>
      </c>
      <c r="G96" s="6">
        <f t="shared" si="3"/>
        <v>2</v>
      </c>
      <c r="H96" s="6" t="s">
        <v>1622</v>
      </c>
      <c r="I96" s="5">
        <v>22.11</v>
      </c>
      <c r="J96" s="5">
        <f t="shared" si="2"/>
        <v>176.88</v>
      </c>
    </row>
    <row r="97" spans="1:10" x14ac:dyDescent="0.25">
      <c r="A97" s="9">
        <v>910</v>
      </c>
      <c r="B97" s="5" t="s">
        <v>548</v>
      </c>
      <c r="C97" s="5" t="s">
        <v>549</v>
      </c>
      <c r="D97" s="5" t="s">
        <v>1618</v>
      </c>
      <c r="E97" s="6">
        <v>90189084</v>
      </c>
      <c r="F97" s="6">
        <v>8</v>
      </c>
      <c r="G97" s="6">
        <f t="shared" si="3"/>
        <v>2</v>
      </c>
      <c r="H97" s="6" t="s">
        <v>1622</v>
      </c>
      <c r="I97" s="5">
        <v>33.58</v>
      </c>
      <c r="J97" s="5">
        <f t="shared" si="2"/>
        <v>268.64</v>
      </c>
    </row>
    <row r="98" spans="1:10" x14ac:dyDescent="0.25">
      <c r="A98" s="9">
        <v>911</v>
      </c>
      <c r="B98" s="5" t="s">
        <v>550</v>
      </c>
      <c r="C98" s="5" t="s">
        <v>551</v>
      </c>
      <c r="D98" s="5" t="s">
        <v>1619</v>
      </c>
      <c r="E98" s="6">
        <v>90189084</v>
      </c>
      <c r="F98" s="6">
        <v>8</v>
      </c>
      <c r="G98" s="6">
        <f t="shared" si="3"/>
        <v>2</v>
      </c>
      <c r="H98" s="6" t="s">
        <v>1622</v>
      </c>
      <c r="I98" s="5">
        <v>13.91</v>
      </c>
      <c r="J98" s="5">
        <f t="shared" si="2"/>
        <v>111.28</v>
      </c>
    </row>
    <row r="99" spans="1:10" x14ac:dyDescent="0.25">
      <c r="A99" s="9">
        <v>912</v>
      </c>
      <c r="B99" s="5" t="s">
        <v>552</v>
      </c>
      <c r="C99" s="5" t="s">
        <v>553</v>
      </c>
      <c r="D99" s="5" t="s">
        <v>1619</v>
      </c>
      <c r="E99" s="6">
        <v>90189084</v>
      </c>
      <c r="F99" s="6">
        <v>8</v>
      </c>
      <c r="G99" s="6">
        <f t="shared" si="3"/>
        <v>2</v>
      </c>
      <c r="H99" s="6" t="s">
        <v>1622</v>
      </c>
      <c r="I99" s="5">
        <v>13.91</v>
      </c>
      <c r="J99" s="5">
        <f t="shared" si="2"/>
        <v>111.28</v>
      </c>
    </row>
    <row r="100" spans="1:10" x14ac:dyDescent="0.25">
      <c r="A100" s="9">
        <v>913</v>
      </c>
      <c r="B100" s="5" t="s">
        <v>554</v>
      </c>
      <c r="C100" s="5" t="s">
        <v>555</v>
      </c>
      <c r="D100" s="5" t="s">
        <v>1618</v>
      </c>
      <c r="E100" s="6">
        <v>90189084</v>
      </c>
      <c r="F100" s="6">
        <v>8</v>
      </c>
      <c r="G100" s="6">
        <f t="shared" si="3"/>
        <v>2</v>
      </c>
      <c r="H100" s="6" t="s">
        <v>1622</v>
      </c>
      <c r="I100" s="5">
        <v>219.7</v>
      </c>
      <c r="J100" s="5">
        <f t="shared" si="2"/>
        <v>1757.6</v>
      </c>
    </row>
    <row r="101" spans="1:10" x14ac:dyDescent="0.25">
      <c r="A101" s="9">
        <v>914</v>
      </c>
      <c r="B101" s="5" t="s">
        <v>556</v>
      </c>
      <c r="C101" s="5" t="s">
        <v>557</v>
      </c>
      <c r="D101" s="5" t="s">
        <v>1618</v>
      </c>
      <c r="E101" s="6">
        <v>90189084</v>
      </c>
      <c r="F101" s="6">
        <v>8</v>
      </c>
      <c r="G101" s="6">
        <f t="shared" si="3"/>
        <v>2</v>
      </c>
      <c r="H101" s="6" t="s">
        <v>1622</v>
      </c>
      <c r="I101" s="5">
        <v>229.78</v>
      </c>
      <c r="J101" s="5">
        <f t="shared" si="2"/>
        <v>1838.24</v>
      </c>
    </row>
    <row r="102" spans="1:10" x14ac:dyDescent="0.25">
      <c r="A102" s="9">
        <v>915</v>
      </c>
      <c r="B102" s="5" t="s">
        <v>558</v>
      </c>
      <c r="C102" s="5" t="s">
        <v>559</v>
      </c>
      <c r="D102" s="5" t="s">
        <v>1618</v>
      </c>
      <c r="E102" s="6">
        <v>90189084</v>
      </c>
      <c r="F102" s="6">
        <v>8</v>
      </c>
      <c r="G102" s="6">
        <f t="shared" si="3"/>
        <v>2</v>
      </c>
      <c r="H102" s="6" t="s">
        <v>1622</v>
      </c>
      <c r="I102" s="5">
        <v>200.27</v>
      </c>
      <c r="J102" s="5">
        <f t="shared" si="2"/>
        <v>1602.16</v>
      </c>
    </row>
    <row r="103" spans="1:10" x14ac:dyDescent="0.25">
      <c r="A103" s="9">
        <v>916</v>
      </c>
      <c r="B103" s="5" t="s">
        <v>312</v>
      </c>
      <c r="C103" s="5" t="s">
        <v>313</v>
      </c>
      <c r="D103" s="5" t="s">
        <v>1618</v>
      </c>
      <c r="E103" s="6">
        <v>90189084</v>
      </c>
      <c r="F103" s="6">
        <v>8</v>
      </c>
      <c r="G103" s="6">
        <f t="shared" si="3"/>
        <v>2</v>
      </c>
      <c r="H103" s="6" t="s">
        <v>1622</v>
      </c>
      <c r="I103" s="5">
        <v>223.6</v>
      </c>
      <c r="J103" s="5">
        <f t="shared" si="2"/>
        <v>1788.8</v>
      </c>
    </row>
    <row r="104" spans="1:10" x14ac:dyDescent="0.25">
      <c r="A104" s="9">
        <v>917</v>
      </c>
      <c r="B104" s="5" t="s">
        <v>314</v>
      </c>
      <c r="C104" s="5" t="s">
        <v>315</v>
      </c>
      <c r="D104" s="5" t="s">
        <v>1618</v>
      </c>
      <c r="E104" s="6">
        <v>90189084</v>
      </c>
      <c r="F104" s="6">
        <v>8</v>
      </c>
      <c r="G104" s="6">
        <f t="shared" si="3"/>
        <v>2</v>
      </c>
      <c r="H104" s="6" t="s">
        <v>1622</v>
      </c>
      <c r="I104" s="5">
        <v>223.6</v>
      </c>
      <c r="J104" s="5">
        <f t="shared" si="2"/>
        <v>1788.8</v>
      </c>
    </row>
    <row r="105" spans="1:10" x14ac:dyDescent="0.25">
      <c r="A105" s="9">
        <v>918</v>
      </c>
      <c r="B105" s="5" t="s">
        <v>560</v>
      </c>
      <c r="C105" s="5" t="s">
        <v>561</v>
      </c>
      <c r="D105" s="5" t="s">
        <v>1618</v>
      </c>
      <c r="E105" s="6">
        <v>90189084</v>
      </c>
      <c r="F105" s="6">
        <v>8</v>
      </c>
      <c r="G105" s="6">
        <f t="shared" si="3"/>
        <v>2</v>
      </c>
      <c r="H105" s="6" t="s">
        <v>1622</v>
      </c>
      <c r="I105" s="5">
        <v>223.6</v>
      </c>
      <c r="J105" s="5">
        <f t="shared" si="2"/>
        <v>1788.8</v>
      </c>
    </row>
    <row r="106" spans="1:10" x14ac:dyDescent="0.25">
      <c r="A106" s="9">
        <v>919</v>
      </c>
      <c r="B106" s="5" t="s">
        <v>182</v>
      </c>
      <c r="C106" s="5" t="s">
        <v>183</v>
      </c>
      <c r="D106" s="5" t="s">
        <v>1618</v>
      </c>
      <c r="E106" s="6">
        <v>90189084</v>
      </c>
      <c r="F106" s="6">
        <v>8</v>
      </c>
      <c r="G106" s="6">
        <f t="shared" si="3"/>
        <v>2</v>
      </c>
      <c r="H106" s="6" t="s">
        <v>1622</v>
      </c>
      <c r="I106" s="5">
        <v>16.5</v>
      </c>
      <c r="J106" s="5">
        <f t="shared" si="2"/>
        <v>132</v>
      </c>
    </row>
    <row r="107" spans="1:10" x14ac:dyDescent="0.25">
      <c r="A107" s="9">
        <v>920</v>
      </c>
      <c r="B107" s="5" t="s">
        <v>562</v>
      </c>
      <c r="C107" s="5" t="s">
        <v>563</v>
      </c>
      <c r="D107" s="5" t="s">
        <v>1618</v>
      </c>
      <c r="E107" s="6">
        <v>90189084</v>
      </c>
      <c r="F107" s="6">
        <v>8</v>
      </c>
      <c r="G107" s="6">
        <f t="shared" si="3"/>
        <v>2</v>
      </c>
      <c r="H107" s="6" t="s">
        <v>1622</v>
      </c>
      <c r="I107" s="5">
        <v>57.96</v>
      </c>
      <c r="J107" s="5">
        <f t="shared" si="2"/>
        <v>463.68</v>
      </c>
    </row>
    <row r="108" spans="1:10" x14ac:dyDescent="0.25">
      <c r="A108" s="9">
        <v>921</v>
      </c>
      <c r="B108" s="5" t="s">
        <v>428</v>
      </c>
      <c r="C108" s="5" t="s">
        <v>429</v>
      </c>
      <c r="D108" s="5" t="s">
        <v>1618</v>
      </c>
      <c r="E108" s="6">
        <v>90189084</v>
      </c>
      <c r="F108" s="6">
        <v>8</v>
      </c>
      <c r="G108" s="6">
        <f t="shared" si="3"/>
        <v>2</v>
      </c>
      <c r="H108" s="6" t="s">
        <v>1622</v>
      </c>
      <c r="I108" s="5">
        <v>40.549999999999997</v>
      </c>
      <c r="J108" s="5">
        <f t="shared" si="2"/>
        <v>324.39999999999998</v>
      </c>
    </row>
    <row r="109" spans="1:10" x14ac:dyDescent="0.25">
      <c r="A109" s="9">
        <v>922</v>
      </c>
      <c r="B109" s="5" t="s">
        <v>420</v>
      </c>
      <c r="C109" s="5" t="s">
        <v>421</v>
      </c>
      <c r="D109" s="5" t="s">
        <v>1618</v>
      </c>
      <c r="E109" s="6">
        <v>90189084</v>
      </c>
      <c r="F109" s="6">
        <v>8</v>
      </c>
      <c r="G109" s="6">
        <f t="shared" si="3"/>
        <v>2</v>
      </c>
      <c r="H109" s="6" t="s">
        <v>1622</v>
      </c>
      <c r="I109" s="5">
        <v>40.549999999999997</v>
      </c>
      <c r="J109" s="5">
        <f t="shared" si="2"/>
        <v>324.39999999999998</v>
      </c>
    </row>
    <row r="110" spans="1:10" x14ac:dyDescent="0.25">
      <c r="A110" s="9">
        <v>923</v>
      </c>
      <c r="B110" s="5" t="s">
        <v>564</v>
      </c>
      <c r="C110" s="5" t="s">
        <v>565</v>
      </c>
      <c r="D110" s="5" t="s">
        <v>1619</v>
      </c>
      <c r="E110" s="6">
        <v>90183900</v>
      </c>
      <c r="F110" s="6">
        <v>16</v>
      </c>
      <c r="G110" s="6">
        <f t="shared" si="3"/>
        <v>4</v>
      </c>
      <c r="H110" s="6" t="s">
        <v>1622</v>
      </c>
      <c r="I110" s="5">
        <v>18.22</v>
      </c>
      <c r="J110" s="5">
        <f t="shared" si="2"/>
        <v>291.52</v>
      </c>
    </row>
    <row r="111" spans="1:10" x14ac:dyDescent="0.25">
      <c r="A111" s="9">
        <v>924</v>
      </c>
      <c r="B111" s="5" t="s">
        <v>566</v>
      </c>
      <c r="C111" s="5" t="s">
        <v>567</v>
      </c>
      <c r="D111" s="5" t="s">
        <v>1619</v>
      </c>
      <c r="E111" s="6">
        <v>90183900</v>
      </c>
      <c r="F111" s="6">
        <v>16</v>
      </c>
      <c r="G111" s="6">
        <f t="shared" si="3"/>
        <v>4</v>
      </c>
      <c r="H111" s="6" t="s">
        <v>1622</v>
      </c>
      <c r="I111" s="5">
        <v>40.090000000000003</v>
      </c>
      <c r="J111" s="5">
        <f t="shared" si="2"/>
        <v>641.44000000000005</v>
      </c>
    </row>
    <row r="112" spans="1:10" x14ac:dyDescent="0.25">
      <c r="A112" s="9">
        <v>925</v>
      </c>
      <c r="B112" s="5" t="s">
        <v>568</v>
      </c>
      <c r="C112" s="5" t="s">
        <v>569</v>
      </c>
      <c r="D112" s="5" t="s">
        <v>1618</v>
      </c>
      <c r="E112" s="6">
        <v>90189084</v>
      </c>
      <c r="F112" s="6">
        <v>8</v>
      </c>
      <c r="G112" s="6">
        <f t="shared" si="3"/>
        <v>2</v>
      </c>
      <c r="H112" s="6" t="s">
        <v>1622</v>
      </c>
      <c r="I112" s="5">
        <v>515.27</v>
      </c>
      <c r="J112" s="5">
        <f t="shared" si="2"/>
        <v>4122.16</v>
      </c>
    </row>
    <row r="113" spans="1:10" x14ac:dyDescent="0.25">
      <c r="A113" s="9">
        <v>926</v>
      </c>
      <c r="B113" s="5" t="s">
        <v>570</v>
      </c>
      <c r="C113" s="5" t="s">
        <v>571</v>
      </c>
      <c r="D113" s="5" t="s">
        <v>1618</v>
      </c>
      <c r="E113" s="6">
        <v>90189084</v>
      </c>
      <c r="F113" s="6">
        <v>8</v>
      </c>
      <c r="G113" s="6">
        <f t="shared" si="3"/>
        <v>2</v>
      </c>
      <c r="H113" s="6" t="s">
        <v>1622</v>
      </c>
      <c r="I113" s="5">
        <v>164.2</v>
      </c>
      <c r="J113" s="5">
        <f t="shared" si="2"/>
        <v>1313.6</v>
      </c>
    </row>
    <row r="114" spans="1:10" x14ac:dyDescent="0.25">
      <c r="A114" s="9">
        <v>927</v>
      </c>
      <c r="B114" s="5" t="s">
        <v>572</v>
      </c>
      <c r="C114" s="5" t="s">
        <v>573</v>
      </c>
      <c r="D114" s="5" t="s">
        <v>1618</v>
      </c>
      <c r="E114" s="6">
        <v>90189084</v>
      </c>
      <c r="F114" s="6">
        <v>16</v>
      </c>
      <c r="G114" s="6">
        <f t="shared" si="3"/>
        <v>4</v>
      </c>
      <c r="H114" s="6" t="s">
        <v>1622</v>
      </c>
      <c r="I114" s="5">
        <v>280.26</v>
      </c>
      <c r="J114" s="5">
        <f t="shared" si="2"/>
        <v>4484.16</v>
      </c>
    </row>
    <row r="115" spans="1:10" x14ac:dyDescent="0.25">
      <c r="A115" s="9">
        <v>928</v>
      </c>
      <c r="B115" s="5" t="s">
        <v>574</v>
      </c>
      <c r="C115" s="5" t="s">
        <v>575</v>
      </c>
      <c r="D115" s="5" t="s">
        <v>1618</v>
      </c>
      <c r="E115" s="6">
        <v>90189084</v>
      </c>
      <c r="F115" s="6">
        <v>32</v>
      </c>
      <c r="G115" s="6">
        <f t="shared" si="3"/>
        <v>8</v>
      </c>
      <c r="H115" s="6" t="s">
        <v>1622</v>
      </c>
      <c r="I115" s="5">
        <v>328.26</v>
      </c>
      <c r="J115" s="5">
        <f t="shared" si="2"/>
        <v>10504.32</v>
      </c>
    </row>
    <row r="116" spans="1:10" x14ac:dyDescent="0.25">
      <c r="A116" s="9">
        <v>929</v>
      </c>
      <c r="B116" s="5" t="s">
        <v>576</v>
      </c>
      <c r="C116" s="5" t="s">
        <v>577</v>
      </c>
      <c r="D116" s="5" t="s">
        <v>1618</v>
      </c>
      <c r="E116" s="6">
        <v>90189084</v>
      </c>
      <c r="F116" s="6">
        <v>8</v>
      </c>
      <c r="G116" s="6">
        <f t="shared" si="3"/>
        <v>2</v>
      </c>
      <c r="H116" s="6" t="s">
        <v>1622</v>
      </c>
      <c r="I116" s="5">
        <v>100.07</v>
      </c>
      <c r="J116" s="5">
        <f t="shared" si="2"/>
        <v>800.56</v>
      </c>
    </row>
    <row r="117" spans="1:10" x14ac:dyDescent="0.25">
      <c r="A117" s="9">
        <v>930</v>
      </c>
      <c r="B117" s="5" t="s">
        <v>578</v>
      </c>
      <c r="C117" s="5" t="s">
        <v>579</v>
      </c>
      <c r="D117" s="5" t="s">
        <v>1618</v>
      </c>
      <c r="E117" s="6">
        <v>90189084</v>
      </c>
      <c r="F117" s="6">
        <v>8</v>
      </c>
      <c r="G117" s="6">
        <f t="shared" si="3"/>
        <v>2</v>
      </c>
      <c r="H117" s="6" t="s">
        <v>1622</v>
      </c>
      <c r="I117" s="5">
        <v>113.7</v>
      </c>
      <c r="J117" s="5">
        <f t="shared" si="2"/>
        <v>909.6</v>
      </c>
    </row>
    <row r="118" spans="1:10" x14ac:dyDescent="0.25">
      <c r="A118" s="9">
        <v>931</v>
      </c>
      <c r="B118" s="5" t="s">
        <v>580</v>
      </c>
      <c r="C118" s="5" t="s">
        <v>581</v>
      </c>
      <c r="D118" s="5" t="s">
        <v>1619</v>
      </c>
      <c r="E118" s="6">
        <v>90189084</v>
      </c>
      <c r="F118" s="6">
        <v>16</v>
      </c>
      <c r="G118" s="6">
        <f t="shared" si="3"/>
        <v>4</v>
      </c>
      <c r="H118" s="6" t="s">
        <v>1622</v>
      </c>
      <c r="I118" s="5">
        <v>13.91</v>
      </c>
      <c r="J118" s="5">
        <f t="shared" si="2"/>
        <v>222.56</v>
      </c>
    </row>
    <row r="119" spans="1:10" x14ac:dyDescent="0.25">
      <c r="A119" s="9">
        <v>932</v>
      </c>
      <c r="B119" s="5" t="s">
        <v>582</v>
      </c>
      <c r="C119" s="5" t="s">
        <v>583</v>
      </c>
      <c r="D119" s="5" t="s">
        <v>1618</v>
      </c>
      <c r="E119" s="6">
        <v>90189084</v>
      </c>
      <c r="F119" s="6">
        <v>16</v>
      </c>
      <c r="G119" s="6">
        <f t="shared" si="3"/>
        <v>4</v>
      </c>
      <c r="H119" s="6" t="s">
        <v>1622</v>
      </c>
      <c r="I119" s="5">
        <v>33.58</v>
      </c>
      <c r="J119" s="5">
        <f t="shared" si="2"/>
        <v>537.28</v>
      </c>
    </row>
    <row r="120" spans="1:10" x14ac:dyDescent="0.25">
      <c r="A120" s="9">
        <v>933</v>
      </c>
      <c r="B120" s="5" t="s">
        <v>584</v>
      </c>
      <c r="C120" s="5" t="s">
        <v>585</v>
      </c>
      <c r="D120" s="5" t="s">
        <v>1619</v>
      </c>
      <c r="E120" s="6">
        <v>90189084</v>
      </c>
      <c r="F120" s="6">
        <v>16</v>
      </c>
      <c r="G120" s="6">
        <f t="shared" si="3"/>
        <v>4</v>
      </c>
      <c r="H120" s="6" t="s">
        <v>1622</v>
      </c>
      <c r="I120" s="5">
        <v>13.91</v>
      </c>
      <c r="J120" s="5">
        <f t="shared" si="2"/>
        <v>222.56</v>
      </c>
    </row>
    <row r="121" spans="1:10" x14ac:dyDescent="0.25">
      <c r="A121" s="9">
        <v>934</v>
      </c>
      <c r="B121" s="5" t="s">
        <v>586</v>
      </c>
      <c r="C121" s="5" t="s">
        <v>587</v>
      </c>
      <c r="D121" s="5" t="s">
        <v>1618</v>
      </c>
      <c r="E121" s="6">
        <v>90189084</v>
      </c>
      <c r="F121" s="6">
        <v>16</v>
      </c>
      <c r="G121" s="6">
        <f t="shared" si="3"/>
        <v>4</v>
      </c>
      <c r="H121" s="6" t="s">
        <v>1622</v>
      </c>
      <c r="I121" s="5">
        <v>33.58</v>
      </c>
      <c r="J121" s="5">
        <f t="shared" si="2"/>
        <v>537.28</v>
      </c>
    </row>
    <row r="122" spans="1:10" x14ac:dyDescent="0.25">
      <c r="A122" s="9">
        <v>935</v>
      </c>
      <c r="B122" s="5" t="s">
        <v>588</v>
      </c>
      <c r="C122" s="5" t="s">
        <v>589</v>
      </c>
      <c r="D122" s="5" t="s">
        <v>1618</v>
      </c>
      <c r="E122" s="6">
        <v>90189084</v>
      </c>
      <c r="F122" s="6">
        <v>24</v>
      </c>
      <c r="G122" s="6">
        <f t="shared" si="3"/>
        <v>6</v>
      </c>
      <c r="H122" s="6" t="s">
        <v>1622</v>
      </c>
      <c r="I122" s="5">
        <v>114.04</v>
      </c>
      <c r="J122" s="5">
        <f t="shared" si="2"/>
        <v>2736.96</v>
      </c>
    </row>
    <row r="123" spans="1:10" x14ac:dyDescent="0.25">
      <c r="A123" s="9">
        <v>936</v>
      </c>
      <c r="B123" s="5" t="s">
        <v>438</v>
      </c>
      <c r="C123" s="5" t="s">
        <v>439</v>
      </c>
      <c r="D123" s="5" t="s">
        <v>1619</v>
      </c>
      <c r="E123" s="6">
        <v>90189084</v>
      </c>
      <c r="F123" s="6">
        <v>16</v>
      </c>
      <c r="G123" s="6">
        <f t="shared" si="3"/>
        <v>4</v>
      </c>
      <c r="H123" s="6" t="s">
        <v>1622</v>
      </c>
      <c r="I123" s="5">
        <v>69.569999999999993</v>
      </c>
      <c r="J123" s="5">
        <f t="shared" si="2"/>
        <v>1113.1199999999999</v>
      </c>
    </row>
    <row r="124" spans="1:10" x14ac:dyDescent="0.25">
      <c r="A124" s="9">
        <v>937</v>
      </c>
      <c r="B124" s="5" t="s">
        <v>440</v>
      </c>
      <c r="C124" s="5" t="s">
        <v>441</v>
      </c>
      <c r="D124" s="5" t="s">
        <v>1619</v>
      </c>
      <c r="E124" s="6">
        <v>90189084</v>
      </c>
      <c r="F124" s="6">
        <v>16</v>
      </c>
      <c r="G124" s="6">
        <f t="shared" si="3"/>
        <v>4</v>
      </c>
      <c r="H124" s="6" t="s">
        <v>1622</v>
      </c>
      <c r="I124" s="5">
        <v>64.680000000000007</v>
      </c>
      <c r="J124" s="5">
        <f t="shared" si="2"/>
        <v>1034.8800000000001</v>
      </c>
    </row>
    <row r="125" spans="1:10" x14ac:dyDescent="0.25">
      <c r="A125" s="9">
        <v>938</v>
      </c>
      <c r="B125" s="5" t="s">
        <v>220</v>
      </c>
      <c r="C125" s="5" t="s">
        <v>221</v>
      </c>
      <c r="D125" s="5" t="s">
        <v>1618</v>
      </c>
      <c r="E125" s="6">
        <v>90189084</v>
      </c>
      <c r="F125" s="6">
        <v>8</v>
      </c>
      <c r="G125" s="6">
        <f t="shared" si="3"/>
        <v>2</v>
      </c>
      <c r="H125" s="6" t="s">
        <v>1622</v>
      </c>
      <c r="I125" s="5">
        <v>96.9</v>
      </c>
      <c r="J125" s="5">
        <f t="shared" si="2"/>
        <v>775.2</v>
      </c>
    </row>
    <row r="126" spans="1:10" x14ac:dyDescent="0.25">
      <c r="A126" s="9">
        <v>939</v>
      </c>
      <c r="B126" s="5" t="s">
        <v>222</v>
      </c>
      <c r="C126" s="5" t="s">
        <v>223</v>
      </c>
      <c r="D126" s="5" t="s">
        <v>1618</v>
      </c>
      <c r="E126" s="6">
        <v>90189084</v>
      </c>
      <c r="F126" s="6">
        <v>8</v>
      </c>
      <c r="G126" s="6">
        <f t="shared" si="3"/>
        <v>2</v>
      </c>
      <c r="H126" s="6" t="s">
        <v>1622</v>
      </c>
      <c r="I126" s="5">
        <v>121.02</v>
      </c>
      <c r="J126" s="5">
        <f t="shared" si="2"/>
        <v>968.16</v>
      </c>
    </row>
    <row r="127" spans="1:10" x14ac:dyDescent="0.25">
      <c r="A127" s="9">
        <v>940</v>
      </c>
      <c r="B127" s="5" t="s">
        <v>224</v>
      </c>
      <c r="C127" s="5" t="s">
        <v>225</v>
      </c>
      <c r="D127" s="5" t="s">
        <v>1619</v>
      </c>
      <c r="E127" s="6">
        <v>90189084</v>
      </c>
      <c r="F127" s="6">
        <v>16</v>
      </c>
      <c r="G127" s="6">
        <f t="shared" si="3"/>
        <v>4</v>
      </c>
      <c r="H127" s="6" t="s">
        <v>1622</v>
      </c>
      <c r="I127" s="5">
        <v>129.32</v>
      </c>
      <c r="J127" s="5">
        <f t="shared" si="2"/>
        <v>2069.12</v>
      </c>
    </row>
    <row r="128" spans="1:10" x14ac:dyDescent="0.25">
      <c r="A128" s="9">
        <v>941</v>
      </c>
      <c r="B128" s="5" t="s">
        <v>226</v>
      </c>
      <c r="C128" s="5" t="s">
        <v>227</v>
      </c>
      <c r="D128" s="5" t="s">
        <v>1618</v>
      </c>
      <c r="E128" s="6">
        <v>90189084</v>
      </c>
      <c r="F128" s="6">
        <v>16</v>
      </c>
      <c r="G128" s="6">
        <f t="shared" si="3"/>
        <v>4</v>
      </c>
      <c r="H128" s="6" t="s">
        <v>1622</v>
      </c>
      <c r="I128" s="5">
        <v>123.27</v>
      </c>
      <c r="J128" s="5">
        <f t="shared" si="2"/>
        <v>1972.32</v>
      </c>
    </row>
    <row r="129" spans="1:10" x14ac:dyDescent="0.25">
      <c r="A129" s="9">
        <v>942</v>
      </c>
      <c r="B129" s="5" t="s">
        <v>590</v>
      </c>
      <c r="C129" s="5" t="s">
        <v>591</v>
      </c>
      <c r="D129" s="5" t="s">
        <v>1618</v>
      </c>
      <c r="E129" s="6">
        <v>90189084</v>
      </c>
      <c r="F129" s="6">
        <v>16</v>
      </c>
      <c r="G129" s="6">
        <f t="shared" si="3"/>
        <v>4</v>
      </c>
      <c r="H129" s="6" t="s">
        <v>1622</v>
      </c>
      <c r="I129" s="5">
        <v>29.16</v>
      </c>
      <c r="J129" s="5">
        <f t="shared" si="2"/>
        <v>466.56</v>
      </c>
    </row>
    <row r="130" spans="1:10" x14ac:dyDescent="0.25">
      <c r="A130" s="9">
        <v>943</v>
      </c>
      <c r="B130" s="5" t="s">
        <v>592</v>
      </c>
      <c r="C130" s="5" t="s">
        <v>593</v>
      </c>
      <c r="D130" s="5" t="s">
        <v>1618</v>
      </c>
      <c r="E130" s="6">
        <v>90189084</v>
      </c>
      <c r="F130" s="6">
        <v>8</v>
      </c>
      <c r="G130" s="6">
        <f t="shared" si="3"/>
        <v>2</v>
      </c>
      <c r="H130" s="6" t="s">
        <v>1622</v>
      </c>
      <c r="I130" s="5">
        <v>29.16</v>
      </c>
      <c r="J130" s="5">
        <f t="shared" si="2"/>
        <v>233.28</v>
      </c>
    </row>
    <row r="131" spans="1:10" x14ac:dyDescent="0.25">
      <c r="A131" s="9">
        <v>944</v>
      </c>
      <c r="B131" s="5" t="s">
        <v>594</v>
      </c>
      <c r="C131" s="5" t="s">
        <v>595</v>
      </c>
      <c r="D131" s="5" t="s">
        <v>1618</v>
      </c>
      <c r="E131" s="6">
        <v>90189084</v>
      </c>
      <c r="F131" s="6">
        <v>16</v>
      </c>
      <c r="G131" s="6">
        <f t="shared" si="3"/>
        <v>4</v>
      </c>
      <c r="H131" s="6" t="s">
        <v>1622</v>
      </c>
      <c r="I131" s="5">
        <v>119.23</v>
      </c>
      <c r="J131" s="5">
        <f t="shared" ref="J131:J194" si="4">F131*I131</f>
        <v>1907.68</v>
      </c>
    </row>
    <row r="132" spans="1:10" x14ac:dyDescent="0.25">
      <c r="A132" s="9">
        <v>945</v>
      </c>
      <c r="B132" s="5" t="s">
        <v>596</v>
      </c>
      <c r="C132" s="5" t="s">
        <v>597</v>
      </c>
      <c r="D132" s="5" t="s">
        <v>1618</v>
      </c>
      <c r="E132" s="6">
        <v>90189084</v>
      </c>
      <c r="F132" s="6">
        <v>8</v>
      </c>
      <c r="G132" s="6">
        <f t="shared" ref="G132:G195" si="5">F132/$F$2</f>
        <v>2</v>
      </c>
      <c r="H132" s="6" t="s">
        <v>1622</v>
      </c>
      <c r="I132" s="5">
        <v>174.1</v>
      </c>
      <c r="J132" s="5">
        <f t="shared" si="4"/>
        <v>1392.8</v>
      </c>
    </row>
    <row r="133" spans="1:10" x14ac:dyDescent="0.25">
      <c r="A133" s="9">
        <v>946</v>
      </c>
      <c r="B133" s="5" t="s">
        <v>280</v>
      </c>
      <c r="C133" s="5" t="s">
        <v>281</v>
      </c>
      <c r="D133" s="5" t="s">
        <v>1618</v>
      </c>
      <c r="E133" s="6">
        <v>90189084</v>
      </c>
      <c r="F133" s="6">
        <v>8</v>
      </c>
      <c r="G133" s="6">
        <f t="shared" si="5"/>
        <v>2</v>
      </c>
      <c r="H133" s="6" t="s">
        <v>1622</v>
      </c>
      <c r="I133" s="5">
        <v>261.18</v>
      </c>
      <c r="J133" s="5">
        <f t="shared" si="4"/>
        <v>2089.44</v>
      </c>
    </row>
    <row r="134" spans="1:10" x14ac:dyDescent="0.25">
      <c r="A134" s="9">
        <v>947</v>
      </c>
      <c r="B134" s="5" t="s">
        <v>282</v>
      </c>
      <c r="C134" s="5" t="s">
        <v>283</v>
      </c>
      <c r="D134" s="5" t="s">
        <v>1618</v>
      </c>
      <c r="E134" s="6">
        <v>90189084</v>
      </c>
      <c r="F134" s="6">
        <v>8</v>
      </c>
      <c r="G134" s="6">
        <f t="shared" si="5"/>
        <v>2</v>
      </c>
      <c r="H134" s="6" t="s">
        <v>1622</v>
      </c>
      <c r="I134" s="5">
        <v>257.58</v>
      </c>
      <c r="J134" s="5">
        <f t="shared" si="4"/>
        <v>2060.64</v>
      </c>
    </row>
    <row r="135" spans="1:10" x14ac:dyDescent="0.25">
      <c r="A135" s="9">
        <v>948</v>
      </c>
      <c r="B135" s="5" t="s">
        <v>132</v>
      </c>
      <c r="C135" s="5" t="s">
        <v>133</v>
      </c>
      <c r="D135" s="5" t="s">
        <v>1618</v>
      </c>
      <c r="E135" s="6">
        <v>73269098</v>
      </c>
      <c r="F135" s="6">
        <v>8</v>
      </c>
      <c r="G135" s="6">
        <f t="shared" si="5"/>
        <v>2</v>
      </c>
      <c r="H135" s="6" t="s">
        <v>1622</v>
      </c>
      <c r="I135" s="5">
        <v>87.92</v>
      </c>
      <c r="J135" s="5">
        <f t="shared" si="4"/>
        <v>703.36</v>
      </c>
    </row>
    <row r="136" spans="1:10" x14ac:dyDescent="0.25">
      <c r="A136" s="9">
        <v>949</v>
      </c>
      <c r="B136" s="5" t="s">
        <v>134</v>
      </c>
      <c r="C136" s="5" t="s">
        <v>135</v>
      </c>
      <c r="D136" s="5" t="s">
        <v>1618</v>
      </c>
      <c r="E136" s="6">
        <v>73269098</v>
      </c>
      <c r="F136" s="6">
        <v>8</v>
      </c>
      <c r="G136" s="6">
        <f t="shared" si="5"/>
        <v>2</v>
      </c>
      <c r="H136" s="6" t="s">
        <v>1622</v>
      </c>
      <c r="I136" s="5">
        <v>63.07</v>
      </c>
      <c r="J136" s="5">
        <f t="shared" si="4"/>
        <v>504.56</v>
      </c>
    </row>
    <row r="137" spans="1:10" x14ac:dyDescent="0.25">
      <c r="A137" s="9">
        <v>950</v>
      </c>
      <c r="B137" s="5" t="s">
        <v>468</v>
      </c>
      <c r="C137" s="5" t="s">
        <v>469</v>
      </c>
      <c r="D137" s="5" t="s">
        <v>1618</v>
      </c>
      <c r="E137" s="6">
        <v>39269097</v>
      </c>
      <c r="F137" s="6">
        <v>8</v>
      </c>
      <c r="G137" s="6">
        <f t="shared" si="5"/>
        <v>2</v>
      </c>
      <c r="H137" s="6" t="s">
        <v>1622</v>
      </c>
      <c r="I137" s="5">
        <v>34.700000000000003</v>
      </c>
      <c r="J137" s="5">
        <f t="shared" si="4"/>
        <v>277.60000000000002</v>
      </c>
    </row>
    <row r="138" spans="1:10" x14ac:dyDescent="0.25">
      <c r="A138" s="9">
        <v>951</v>
      </c>
      <c r="B138" s="5" t="s">
        <v>132</v>
      </c>
      <c r="C138" s="5" t="s">
        <v>133</v>
      </c>
      <c r="D138" s="5" t="s">
        <v>1618</v>
      </c>
      <c r="E138" s="6">
        <v>73269098</v>
      </c>
      <c r="F138" s="6">
        <v>8</v>
      </c>
      <c r="G138" s="6">
        <f t="shared" si="5"/>
        <v>2</v>
      </c>
      <c r="H138" s="6" t="s">
        <v>1622</v>
      </c>
      <c r="I138" s="5">
        <v>87.92</v>
      </c>
      <c r="J138" s="5">
        <f t="shared" si="4"/>
        <v>703.36</v>
      </c>
    </row>
    <row r="139" spans="1:10" x14ac:dyDescent="0.25">
      <c r="A139" s="9">
        <v>952</v>
      </c>
      <c r="B139" s="5" t="s">
        <v>134</v>
      </c>
      <c r="C139" s="5" t="s">
        <v>135</v>
      </c>
      <c r="D139" s="5" t="s">
        <v>1618</v>
      </c>
      <c r="E139" s="6">
        <v>73269098</v>
      </c>
      <c r="F139" s="6">
        <v>8</v>
      </c>
      <c r="G139" s="6">
        <f t="shared" si="5"/>
        <v>2</v>
      </c>
      <c r="H139" s="6" t="s">
        <v>1622</v>
      </c>
      <c r="I139" s="5">
        <v>63.07</v>
      </c>
      <c r="J139" s="5">
        <f t="shared" si="4"/>
        <v>504.56</v>
      </c>
    </row>
    <row r="140" spans="1:10" x14ac:dyDescent="0.25">
      <c r="A140" s="9">
        <v>953</v>
      </c>
      <c r="B140" s="5" t="s">
        <v>468</v>
      </c>
      <c r="C140" s="5" t="s">
        <v>469</v>
      </c>
      <c r="D140" s="5" t="s">
        <v>1618</v>
      </c>
      <c r="E140" s="6">
        <v>39269097</v>
      </c>
      <c r="F140" s="6">
        <v>8</v>
      </c>
      <c r="G140" s="6">
        <f t="shared" si="5"/>
        <v>2</v>
      </c>
      <c r="H140" s="6" t="s">
        <v>1622</v>
      </c>
      <c r="I140" s="5">
        <v>34.700000000000003</v>
      </c>
      <c r="J140" s="5">
        <f t="shared" si="4"/>
        <v>277.60000000000002</v>
      </c>
    </row>
    <row r="141" spans="1:10" x14ac:dyDescent="0.25">
      <c r="A141" s="9">
        <v>954</v>
      </c>
      <c r="B141" s="5" t="s">
        <v>598</v>
      </c>
      <c r="C141" s="5" t="s">
        <v>599</v>
      </c>
      <c r="D141" s="5" t="s">
        <v>1618</v>
      </c>
      <c r="E141" s="6">
        <v>73269098</v>
      </c>
      <c r="F141" s="6">
        <v>8</v>
      </c>
      <c r="G141" s="6">
        <f t="shared" si="5"/>
        <v>2</v>
      </c>
      <c r="H141" s="6" t="s">
        <v>1622</v>
      </c>
      <c r="I141" s="5">
        <v>113.14</v>
      </c>
      <c r="J141" s="5">
        <f t="shared" si="4"/>
        <v>905.12</v>
      </c>
    </row>
    <row r="142" spans="1:10" x14ac:dyDescent="0.25">
      <c r="A142" s="9">
        <v>955</v>
      </c>
      <c r="B142" s="5" t="s">
        <v>600</v>
      </c>
      <c r="C142" s="5" t="s">
        <v>601</v>
      </c>
      <c r="D142" s="5" t="s">
        <v>1618</v>
      </c>
      <c r="E142" s="6">
        <v>73269098</v>
      </c>
      <c r="F142" s="6">
        <v>8</v>
      </c>
      <c r="G142" s="6">
        <f t="shared" si="5"/>
        <v>2</v>
      </c>
      <c r="H142" s="6" t="s">
        <v>1622</v>
      </c>
      <c r="I142" s="5">
        <v>57.27</v>
      </c>
      <c r="J142" s="5">
        <f t="shared" si="4"/>
        <v>458.16</v>
      </c>
    </row>
    <row r="143" spans="1:10" x14ac:dyDescent="0.25">
      <c r="A143" s="9">
        <v>956</v>
      </c>
      <c r="B143" s="5" t="s">
        <v>602</v>
      </c>
      <c r="C143" s="5" t="s">
        <v>603</v>
      </c>
      <c r="D143" s="5" t="s">
        <v>1618</v>
      </c>
      <c r="E143" s="6">
        <v>39269097</v>
      </c>
      <c r="F143" s="6">
        <v>8</v>
      </c>
      <c r="G143" s="6">
        <f t="shared" si="5"/>
        <v>2</v>
      </c>
      <c r="H143" s="6" t="s">
        <v>1622</v>
      </c>
      <c r="I143" s="5">
        <v>18.41</v>
      </c>
      <c r="J143" s="5">
        <f t="shared" si="4"/>
        <v>147.28</v>
      </c>
    </row>
    <row r="144" spans="1:10" x14ac:dyDescent="0.25">
      <c r="A144" s="10"/>
      <c r="B144" s="11"/>
      <c r="C144" s="11" t="s">
        <v>1681</v>
      </c>
      <c r="D144" s="11"/>
      <c r="E144" s="12"/>
      <c r="F144" s="12">
        <v>12</v>
      </c>
      <c r="G144" s="6">
        <f t="shared" si="5"/>
        <v>3</v>
      </c>
      <c r="H144" s="12"/>
      <c r="I144" s="2"/>
      <c r="J144" s="13"/>
    </row>
    <row r="145" spans="1:10" x14ac:dyDescent="0.25">
      <c r="A145" s="9">
        <v>957</v>
      </c>
      <c r="B145" s="5" t="s">
        <v>136</v>
      </c>
      <c r="C145" s="5" t="s">
        <v>137</v>
      </c>
      <c r="D145" s="5" t="s">
        <v>1618</v>
      </c>
      <c r="E145" s="6">
        <v>90189084</v>
      </c>
      <c r="F145" s="6">
        <v>24</v>
      </c>
      <c r="G145" s="6">
        <f t="shared" si="5"/>
        <v>6</v>
      </c>
      <c r="H145" s="6" t="s">
        <v>1622</v>
      </c>
      <c r="I145" s="5">
        <v>3.69</v>
      </c>
      <c r="J145" s="5">
        <f t="shared" si="4"/>
        <v>88.56</v>
      </c>
    </row>
    <row r="146" spans="1:10" x14ac:dyDescent="0.25">
      <c r="A146" s="9">
        <v>958</v>
      </c>
      <c r="B146" s="5" t="s">
        <v>138</v>
      </c>
      <c r="C146" s="5" t="s">
        <v>139</v>
      </c>
      <c r="D146" s="5" t="s">
        <v>1618</v>
      </c>
      <c r="E146" s="6">
        <v>90189084</v>
      </c>
      <c r="F146" s="6">
        <v>12</v>
      </c>
      <c r="G146" s="6">
        <f t="shared" si="5"/>
        <v>3</v>
      </c>
      <c r="H146" s="6" t="s">
        <v>1622</v>
      </c>
      <c r="I146" s="5">
        <v>7.79</v>
      </c>
      <c r="J146" s="5">
        <f t="shared" si="4"/>
        <v>93.48</v>
      </c>
    </row>
    <row r="147" spans="1:10" x14ac:dyDescent="0.25">
      <c r="A147" s="9">
        <v>959</v>
      </c>
      <c r="B147" s="5" t="s">
        <v>140</v>
      </c>
      <c r="C147" s="5" t="s">
        <v>141</v>
      </c>
      <c r="D147" s="5" t="s">
        <v>1618</v>
      </c>
      <c r="E147" s="6">
        <v>90189084</v>
      </c>
      <c r="F147" s="6">
        <v>12</v>
      </c>
      <c r="G147" s="6">
        <f t="shared" si="5"/>
        <v>3</v>
      </c>
      <c r="H147" s="6" t="s">
        <v>1622</v>
      </c>
      <c r="I147" s="5">
        <v>8.52</v>
      </c>
      <c r="J147" s="5">
        <f t="shared" si="4"/>
        <v>102.24</v>
      </c>
    </row>
    <row r="148" spans="1:10" x14ac:dyDescent="0.25">
      <c r="A148" s="9">
        <v>960</v>
      </c>
      <c r="B148" s="5" t="s">
        <v>142</v>
      </c>
      <c r="C148" s="5" t="s">
        <v>143</v>
      </c>
      <c r="D148" s="5" t="s">
        <v>1618</v>
      </c>
      <c r="E148" s="6">
        <v>90189084</v>
      </c>
      <c r="F148" s="6">
        <v>12</v>
      </c>
      <c r="G148" s="6">
        <f t="shared" si="5"/>
        <v>3</v>
      </c>
      <c r="H148" s="6" t="s">
        <v>1622</v>
      </c>
      <c r="I148" s="5">
        <v>54.44</v>
      </c>
      <c r="J148" s="5">
        <f t="shared" si="4"/>
        <v>653.28</v>
      </c>
    </row>
    <row r="149" spans="1:10" x14ac:dyDescent="0.25">
      <c r="A149" s="9">
        <v>961</v>
      </c>
      <c r="B149" s="5" t="s">
        <v>144</v>
      </c>
      <c r="C149" s="5" t="s">
        <v>145</v>
      </c>
      <c r="D149" s="5" t="s">
        <v>1619</v>
      </c>
      <c r="E149" s="6">
        <v>90189084</v>
      </c>
      <c r="F149" s="6">
        <v>24</v>
      </c>
      <c r="G149" s="6">
        <f t="shared" si="5"/>
        <v>6</v>
      </c>
      <c r="H149" s="6" t="s">
        <v>1622</v>
      </c>
      <c r="I149" s="5">
        <v>16.43</v>
      </c>
      <c r="J149" s="5">
        <f t="shared" si="4"/>
        <v>394.32</v>
      </c>
    </row>
    <row r="150" spans="1:10" x14ac:dyDescent="0.25">
      <c r="A150" s="9">
        <v>962</v>
      </c>
      <c r="B150" s="5" t="s">
        <v>146</v>
      </c>
      <c r="C150" s="5" t="s">
        <v>147</v>
      </c>
      <c r="D150" s="5" t="s">
        <v>1618</v>
      </c>
      <c r="E150" s="6">
        <v>90189084</v>
      </c>
      <c r="F150" s="6">
        <v>120</v>
      </c>
      <c r="G150" s="6">
        <f t="shared" si="5"/>
        <v>30</v>
      </c>
      <c r="H150" s="6" t="s">
        <v>1622</v>
      </c>
      <c r="I150" s="5">
        <v>5.47</v>
      </c>
      <c r="J150" s="5">
        <f t="shared" si="4"/>
        <v>656.4</v>
      </c>
    </row>
    <row r="151" spans="1:10" x14ac:dyDescent="0.25">
      <c r="A151" s="9">
        <v>963</v>
      </c>
      <c r="B151" s="5" t="s">
        <v>148</v>
      </c>
      <c r="C151" s="5" t="s">
        <v>149</v>
      </c>
      <c r="D151" s="5" t="s">
        <v>1618</v>
      </c>
      <c r="E151" s="6">
        <v>90189084</v>
      </c>
      <c r="F151" s="6">
        <v>24</v>
      </c>
      <c r="G151" s="6">
        <f t="shared" si="5"/>
        <v>6</v>
      </c>
      <c r="H151" s="6" t="s">
        <v>1622</v>
      </c>
      <c r="I151" s="5">
        <v>38.51</v>
      </c>
      <c r="J151" s="5">
        <f t="shared" si="4"/>
        <v>924.24</v>
      </c>
    </row>
    <row r="152" spans="1:10" x14ac:dyDescent="0.25">
      <c r="A152" s="9">
        <v>964</v>
      </c>
      <c r="B152" s="5" t="s">
        <v>150</v>
      </c>
      <c r="C152" s="5" t="s">
        <v>151</v>
      </c>
      <c r="D152" s="5" t="s">
        <v>1619</v>
      </c>
      <c r="E152" s="6">
        <v>90189084</v>
      </c>
      <c r="F152" s="6">
        <v>12</v>
      </c>
      <c r="G152" s="6">
        <f t="shared" si="5"/>
        <v>3</v>
      </c>
      <c r="H152" s="6" t="s">
        <v>1622</v>
      </c>
      <c r="I152" s="5">
        <v>58.09</v>
      </c>
      <c r="J152" s="5">
        <f t="shared" si="4"/>
        <v>697.08</v>
      </c>
    </row>
    <row r="153" spans="1:10" x14ac:dyDescent="0.25">
      <c r="A153" s="9">
        <v>965</v>
      </c>
      <c r="B153" s="5" t="s">
        <v>152</v>
      </c>
      <c r="C153" s="5" t="s">
        <v>153</v>
      </c>
      <c r="D153" s="5" t="s">
        <v>1618</v>
      </c>
      <c r="E153" s="6">
        <v>90189084</v>
      </c>
      <c r="F153" s="6">
        <v>24</v>
      </c>
      <c r="G153" s="6">
        <f t="shared" si="5"/>
        <v>6</v>
      </c>
      <c r="H153" s="6" t="s">
        <v>1622</v>
      </c>
      <c r="I153" s="5">
        <v>50.36</v>
      </c>
      <c r="J153" s="5">
        <f t="shared" si="4"/>
        <v>1208.6399999999999</v>
      </c>
    </row>
    <row r="154" spans="1:10" x14ac:dyDescent="0.25">
      <c r="A154" s="9">
        <v>966</v>
      </c>
      <c r="B154" s="5" t="s">
        <v>154</v>
      </c>
      <c r="C154" s="5" t="s">
        <v>155</v>
      </c>
      <c r="D154" s="5" t="s">
        <v>1618</v>
      </c>
      <c r="E154" s="6">
        <v>90189084</v>
      </c>
      <c r="F154" s="6">
        <v>24</v>
      </c>
      <c r="G154" s="6">
        <f t="shared" si="5"/>
        <v>6</v>
      </c>
      <c r="H154" s="6" t="s">
        <v>1622</v>
      </c>
      <c r="I154" s="5">
        <v>98.57</v>
      </c>
      <c r="J154" s="5">
        <f t="shared" si="4"/>
        <v>2365.6799999999998</v>
      </c>
    </row>
    <row r="155" spans="1:10" x14ac:dyDescent="0.25">
      <c r="A155" s="9">
        <v>967</v>
      </c>
      <c r="B155" s="5" t="s">
        <v>156</v>
      </c>
      <c r="C155" s="5" t="s">
        <v>157</v>
      </c>
      <c r="D155" s="5" t="s">
        <v>1618</v>
      </c>
      <c r="E155" s="6">
        <v>90189084</v>
      </c>
      <c r="F155" s="6">
        <v>24</v>
      </c>
      <c r="G155" s="6">
        <f t="shared" si="5"/>
        <v>6</v>
      </c>
      <c r="H155" s="6" t="s">
        <v>1622</v>
      </c>
      <c r="I155" s="5">
        <v>26.51</v>
      </c>
      <c r="J155" s="5">
        <f t="shared" si="4"/>
        <v>636.24</v>
      </c>
    </row>
    <row r="156" spans="1:10" x14ac:dyDescent="0.25">
      <c r="A156" s="9">
        <v>968</v>
      </c>
      <c r="B156" s="5" t="s">
        <v>158</v>
      </c>
      <c r="C156" s="5" t="s">
        <v>159</v>
      </c>
      <c r="D156" s="5" t="s">
        <v>1619</v>
      </c>
      <c r="E156" s="6">
        <v>90189084</v>
      </c>
      <c r="F156" s="6">
        <v>12</v>
      </c>
      <c r="G156" s="6">
        <f t="shared" si="5"/>
        <v>3</v>
      </c>
      <c r="H156" s="6" t="s">
        <v>1622</v>
      </c>
      <c r="I156" s="5">
        <v>20.63</v>
      </c>
      <c r="J156" s="5">
        <f t="shared" si="4"/>
        <v>247.56</v>
      </c>
    </row>
    <row r="157" spans="1:10" x14ac:dyDescent="0.25">
      <c r="A157" s="9">
        <v>969</v>
      </c>
      <c r="B157" s="5" t="s">
        <v>160</v>
      </c>
      <c r="C157" s="5" t="s">
        <v>161</v>
      </c>
      <c r="D157" s="5" t="s">
        <v>1618</v>
      </c>
      <c r="E157" s="6">
        <v>90189084</v>
      </c>
      <c r="F157" s="6">
        <v>12</v>
      </c>
      <c r="G157" s="6">
        <f t="shared" si="5"/>
        <v>3</v>
      </c>
      <c r="H157" s="6" t="s">
        <v>1622</v>
      </c>
      <c r="I157" s="5">
        <v>51.44</v>
      </c>
      <c r="J157" s="5">
        <f t="shared" si="4"/>
        <v>617.28</v>
      </c>
    </row>
    <row r="158" spans="1:10" x14ac:dyDescent="0.25">
      <c r="A158" s="9">
        <v>970</v>
      </c>
      <c r="B158" s="5" t="s">
        <v>162</v>
      </c>
      <c r="C158" s="5" t="s">
        <v>163</v>
      </c>
      <c r="D158" s="5" t="s">
        <v>1619</v>
      </c>
      <c r="E158" s="6">
        <v>90189084</v>
      </c>
      <c r="F158" s="6">
        <v>24</v>
      </c>
      <c r="G158" s="6">
        <f t="shared" si="5"/>
        <v>6</v>
      </c>
      <c r="H158" s="6" t="s">
        <v>1622</v>
      </c>
      <c r="I158" s="5">
        <v>21.58</v>
      </c>
      <c r="J158" s="5">
        <f t="shared" si="4"/>
        <v>517.91999999999996</v>
      </c>
    </row>
    <row r="159" spans="1:10" x14ac:dyDescent="0.25">
      <c r="A159" s="9">
        <v>971</v>
      </c>
      <c r="B159" s="5" t="s">
        <v>102</v>
      </c>
      <c r="C159" s="5" t="s">
        <v>103</v>
      </c>
      <c r="D159" s="5" t="s">
        <v>1619</v>
      </c>
      <c r="E159" s="6">
        <v>90189084</v>
      </c>
      <c r="F159" s="6">
        <v>24</v>
      </c>
      <c r="G159" s="6">
        <f t="shared" si="5"/>
        <v>6</v>
      </c>
      <c r="H159" s="6" t="s">
        <v>1622</v>
      </c>
      <c r="I159" s="5">
        <v>16.07</v>
      </c>
      <c r="J159" s="5">
        <f t="shared" si="4"/>
        <v>385.68</v>
      </c>
    </row>
    <row r="160" spans="1:10" x14ac:dyDescent="0.25">
      <c r="A160" s="9">
        <v>972</v>
      </c>
      <c r="B160" s="5" t="s">
        <v>164</v>
      </c>
      <c r="C160" s="5" t="s">
        <v>165</v>
      </c>
      <c r="D160" s="5" t="s">
        <v>1619</v>
      </c>
      <c r="E160" s="6">
        <v>90189084</v>
      </c>
      <c r="F160" s="6">
        <v>60</v>
      </c>
      <c r="G160" s="6">
        <f t="shared" si="5"/>
        <v>15</v>
      </c>
      <c r="H160" s="6" t="s">
        <v>1622</v>
      </c>
      <c r="I160" s="5">
        <v>12.33</v>
      </c>
      <c r="J160" s="5">
        <f t="shared" si="4"/>
        <v>739.8</v>
      </c>
    </row>
    <row r="161" spans="1:10" x14ac:dyDescent="0.25">
      <c r="A161" s="9">
        <v>973</v>
      </c>
      <c r="B161" s="5" t="s">
        <v>166</v>
      </c>
      <c r="C161" s="5" t="s">
        <v>167</v>
      </c>
      <c r="D161" s="5" t="s">
        <v>1619</v>
      </c>
      <c r="E161" s="6">
        <v>90189084</v>
      </c>
      <c r="F161" s="6">
        <v>60</v>
      </c>
      <c r="G161" s="6">
        <f t="shared" si="5"/>
        <v>15</v>
      </c>
      <c r="H161" s="6" t="s">
        <v>1622</v>
      </c>
      <c r="I161" s="5">
        <v>26.94</v>
      </c>
      <c r="J161" s="5">
        <f t="shared" si="4"/>
        <v>1616.4</v>
      </c>
    </row>
    <row r="162" spans="1:10" x14ac:dyDescent="0.25">
      <c r="A162" s="9">
        <v>974</v>
      </c>
      <c r="B162" s="5" t="s">
        <v>168</v>
      </c>
      <c r="C162" s="5" t="s">
        <v>169</v>
      </c>
      <c r="D162" s="5" t="s">
        <v>1619</v>
      </c>
      <c r="E162" s="6">
        <v>90189084</v>
      </c>
      <c r="F162" s="6">
        <v>60</v>
      </c>
      <c r="G162" s="6">
        <f t="shared" si="5"/>
        <v>15</v>
      </c>
      <c r="H162" s="6" t="s">
        <v>1622</v>
      </c>
      <c r="I162" s="5">
        <v>11.9</v>
      </c>
      <c r="J162" s="5">
        <f t="shared" si="4"/>
        <v>714</v>
      </c>
    </row>
    <row r="163" spans="1:10" x14ac:dyDescent="0.25">
      <c r="A163" s="9">
        <v>975</v>
      </c>
      <c r="B163" s="5" t="s">
        <v>170</v>
      </c>
      <c r="C163" s="5" t="s">
        <v>171</v>
      </c>
      <c r="D163" s="5" t="s">
        <v>1619</v>
      </c>
      <c r="E163" s="6">
        <v>90189084</v>
      </c>
      <c r="F163" s="6">
        <v>60</v>
      </c>
      <c r="G163" s="6">
        <f t="shared" si="5"/>
        <v>15</v>
      </c>
      <c r="H163" s="6" t="s">
        <v>1622</v>
      </c>
      <c r="I163" s="5">
        <v>12.82</v>
      </c>
      <c r="J163" s="5">
        <f t="shared" si="4"/>
        <v>769.2</v>
      </c>
    </row>
    <row r="164" spans="1:10" x14ac:dyDescent="0.25">
      <c r="A164" s="9">
        <v>976</v>
      </c>
      <c r="B164" s="5" t="s">
        <v>38</v>
      </c>
      <c r="C164" s="5" t="s">
        <v>39</v>
      </c>
      <c r="D164" s="5" t="s">
        <v>1619</v>
      </c>
      <c r="E164" s="6">
        <v>90189084</v>
      </c>
      <c r="F164" s="6">
        <v>120</v>
      </c>
      <c r="G164" s="6">
        <f t="shared" si="5"/>
        <v>30</v>
      </c>
      <c r="H164" s="6" t="s">
        <v>1622</v>
      </c>
      <c r="I164" s="5">
        <v>13.01</v>
      </c>
      <c r="J164" s="5">
        <f t="shared" si="4"/>
        <v>1561.2</v>
      </c>
    </row>
    <row r="165" spans="1:10" x14ac:dyDescent="0.25">
      <c r="A165" s="9">
        <v>977</v>
      </c>
      <c r="B165" s="5" t="s">
        <v>172</v>
      </c>
      <c r="C165" s="5" t="s">
        <v>173</v>
      </c>
      <c r="D165" s="5" t="s">
        <v>1618</v>
      </c>
      <c r="E165" s="6">
        <v>90189084</v>
      </c>
      <c r="F165" s="6">
        <v>24</v>
      </c>
      <c r="G165" s="6">
        <f t="shared" si="5"/>
        <v>6</v>
      </c>
      <c r="H165" s="6" t="s">
        <v>1622</v>
      </c>
      <c r="I165" s="5">
        <v>26.32</v>
      </c>
      <c r="J165" s="5">
        <f t="shared" si="4"/>
        <v>631.68000000000006</v>
      </c>
    </row>
    <row r="166" spans="1:10" x14ac:dyDescent="0.25">
      <c r="A166" s="9">
        <v>978</v>
      </c>
      <c r="B166" s="5" t="s">
        <v>174</v>
      </c>
      <c r="C166" s="5" t="s">
        <v>175</v>
      </c>
      <c r="D166" s="5" t="s">
        <v>1618</v>
      </c>
      <c r="E166" s="6">
        <v>90189084</v>
      </c>
      <c r="F166" s="6">
        <v>12</v>
      </c>
      <c r="G166" s="6">
        <f t="shared" si="5"/>
        <v>3</v>
      </c>
      <c r="H166" s="6" t="s">
        <v>1622</v>
      </c>
      <c r="I166" s="5">
        <v>11.01</v>
      </c>
      <c r="J166" s="5">
        <f t="shared" si="4"/>
        <v>132.12</v>
      </c>
    </row>
    <row r="167" spans="1:10" x14ac:dyDescent="0.25">
      <c r="A167" s="9">
        <v>979</v>
      </c>
      <c r="B167" s="5" t="s">
        <v>176</v>
      </c>
      <c r="C167" s="5" t="s">
        <v>177</v>
      </c>
      <c r="D167" s="5" t="s">
        <v>1618</v>
      </c>
      <c r="E167" s="6">
        <v>90189084</v>
      </c>
      <c r="F167" s="6">
        <v>12</v>
      </c>
      <c r="G167" s="6">
        <f t="shared" si="5"/>
        <v>3</v>
      </c>
      <c r="H167" s="6" t="s">
        <v>1622</v>
      </c>
      <c r="I167" s="5">
        <v>11.61</v>
      </c>
      <c r="J167" s="5">
        <f t="shared" si="4"/>
        <v>139.32</v>
      </c>
    </row>
    <row r="168" spans="1:10" x14ac:dyDescent="0.25">
      <c r="A168" s="9">
        <v>980</v>
      </c>
      <c r="B168" s="5" t="s">
        <v>178</v>
      </c>
      <c r="C168" s="5" t="s">
        <v>179</v>
      </c>
      <c r="D168" s="5" t="s">
        <v>1618</v>
      </c>
      <c r="E168" s="6">
        <v>90189084</v>
      </c>
      <c r="F168" s="6">
        <v>24</v>
      </c>
      <c r="G168" s="6">
        <f t="shared" si="5"/>
        <v>6</v>
      </c>
      <c r="H168" s="6" t="s">
        <v>1622</v>
      </c>
      <c r="I168" s="5">
        <v>12.97</v>
      </c>
      <c r="J168" s="5">
        <f t="shared" si="4"/>
        <v>311.28000000000003</v>
      </c>
    </row>
    <row r="169" spans="1:10" x14ac:dyDescent="0.25">
      <c r="A169" s="9">
        <v>981</v>
      </c>
      <c r="B169" s="5" t="s">
        <v>180</v>
      </c>
      <c r="C169" s="5" t="s">
        <v>181</v>
      </c>
      <c r="D169" s="5" t="s">
        <v>1618</v>
      </c>
      <c r="E169" s="6">
        <v>90189084</v>
      </c>
      <c r="F169" s="6">
        <v>12</v>
      </c>
      <c r="G169" s="6">
        <f t="shared" si="5"/>
        <v>3</v>
      </c>
      <c r="H169" s="6" t="s">
        <v>1622</v>
      </c>
      <c r="I169" s="5">
        <v>27.43</v>
      </c>
      <c r="J169" s="5">
        <f t="shared" si="4"/>
        <v>329.15999999999997</v>
      </c>
    </row>
    <row r="170" spans="1:10" x14ac:dyDescent="0.25">
      <c r="A170" s="9">
        <v>982</v>
      </c>
      <c r="B170" s="5" t="s">
        <v>182</v>
      </c>
      <c r="C170" s="5" t="s">
        <v>183</v>
      </c>
      <c r="D170" s="5" t="s">
        <v>1618</v>
      </c>
      <c r="E170" s="6">
        <v>90189084</v>
      </c>
      <c r="F170" s="6">
        <v>12</v>
      </c>
      <c r="G170" s="6">
        <f t="shared" si="5"/>
        <v>3</v>
      </c>
      <c r="H170" s="6" t="s">
        <v>1622</v>
      </c>
      <c r="I170" s="5">
        <v>15.41</v>
      </c>
      <c r="J170" s="5">
        <f t="shared" si="4"/>
        <v>184.92000000000002</v>
      </c>
    </row>
    <row r="171" spans="1:10" x14ac:dyDescent="0.25">
      <c r="A171" s="9">
        <v>983</v>
      </c>
      <c r="B171" s="5" t="s">
        <v>184</v>
      </c>
      <c r="C171" s="5" t="s">
        <v>185</v>
      </c>
      <c r="D171" s="5" t="s">
        <v>1618</v>
      </c>
      <c r="E171" s="6">
        <v>90189084</v>
      </c>
      <c r="F171" s="6">
        <v>12</v>
      </c>
      <c r="G171" s="6">
        <f t="shared" si="5"/>
        <v>3</v>
      </c>
      <c r="H171" s="6" t="s">
        <v>1622</v>
      </c>
      <c r="I171" s="5">
        <v>16.98</v>
      </c>
      <c r="J171" s="5">
        <f t="shared" si="4"/>
        <v>203.76</v>
      </c>
    </row>
    <row r="172" spans="1:10" x14ac:dyDescent="0.25">
      <c r="A172" s="9">
        <v>984</v>
      </c>
      <c r="B172" s="5" t="s">
        <v>186</v>
      </c>
      <c r="C172" s="5" t="s">
        <v>187</v>
      </c>
      <c r="D172" s="5" t="s">
        <v>1618</v>
      </c>
      <c r="E172" s="6">
        <v>90189084</v>
      </c>
      <c r="F172" s="6">
        <v>12</v>
      </c>
      <c r="G172" s="6">
        <f t="shared" si="5"/>
        <v>3</v>
      </c>
      <c r="H172" s="6" t="s">
        <v>1622</v>
      </c>
      <c r="I172" s="5">
        <v>54.13</v>
      </c>
      <c r="J172" s="5">
        <f t="shared" si="4"/>
        <v>649.56000000000006</v>
      </c>
    </row>
    <row r="173" spans="1:10" x14ac:dyDescent="0.25">
      <c r="A173" s="9">
        <v>985</v>
      </c>
      <c r="B173" s="5" t="s">
        <v>188</v>
      </c>
      <c r="C173" s="5" t="s">
        <v>189</v>
      </c>
      <c r="D173" s="5" t="s">
        <v>1618</v>
      </c>
      <c r="E173" s="6">
        <v>90189084</v>
      </c>
      <c r="F173" s="6">
        <v>12</v>
      </c>
      <c r="G173" s="6">
        <f t="shared" si="5"/>
        <v>3</v>
      </c>
      <c r="H173" s="6" t="s">
        <v>1622</v>
      </c>
      <c r="I173" s="5">
        <v>39.72</v>
      </c>
      <c r="J173" s="5">
        <f t="shared" si="4"/>
        <v>476.64</v>
      </c>
    </row>
    <row r="174" spans="1:10" x14ac:dyDescent="0.25">
      <c r="A174" s="9">
        <v>986</v>
      </c>
      <c r="B174" s="5" t="s">
        <v>190</v>
      </c>
      <c r="C174" s="5" t="s">
        <v>191</v>
      </c>
      <c r="D174" s="5" t="s">
        <v>1618</v>
      </c>
      <c r="E174" s="6">
        <v>90189084</v>
      </c>
      <c r="F174" s="6">
        <v>12</v>
      </c>
      <c r="G174" s="6">
        <f t="shared" si="5"/>
        <v>3</v>
      </c>
      <c r="H174" s="6" t="s">
        <v>1622</v>
      </c>
      <c r="I174" s="5">
        <v>41.12</v>
      </c>
      <c r="J174" s="5">
        <f t="shared" si="4"/>
        <v>493.43999999999994</v>
      </c>
    </row>
    <row r="175" spans="1:10" x14ac:dyDescent="0.25">
      <c r="A175" s="9">
        <v>987</v>
      </c>
      <c r="B175" s="5" t="s">
        <v>192</v>
      </c>
      <c r="C175" s="5" t="s">
        <v>193</v>
      </c>
      <c r="D175" s="5" t="s">
        <v>1618</v>
      </c>
      <c r="E175" s="6">
        <v>90189084</v>
      </c>
      <c r="F175" s="6">
        <v>24</v>
      </c>
      <c r="G175" s="6">
        <f t="shared" si="5"/>
        <v>6</v>
      </c>
      <c r="H175" s="6" t="s">
        <v>1622</v>
      </c>
      <c r="I175" s="5">
        <v>39.46</v>
      </c>
      <c r="J175" s="5">
        <f t="shared" si="4"/>
        <v>947.04</v>
      </c>
    </row>
    <row r="176" spans="1:10" x14ac:dyDescent="0.25">
      <c r="A176" s="9">
        <v>988</v>
      </c>
      <c r="B176" s="5" t="s">
        <v>194</v>
      </c>
      <c r="C176" s="5" t="s">
        <v>195</v>
      </c>
      <c r="D176" s="5" t="s">
        <v>1618</v>
      </c>
      <c r="E176" s="6">
        <v>90189084</v>
      </c>
      <c r="F176" s="6">
        <v>24</v>
      </c>
      <c r="G176" s="6">
        <f t="shared" si="5"/>
        <v>6</v>
      </c>
      <c r="H176" s="6" t="s">
        <v>1622</v>
      </c>
      <c r="I176" s="5">
        <v>39.72</v>
      </c>
      <c r="J176" s="5">
        <f t="shared" si="4"/>
        <v>953.28</v>
      </c>
    </row>
    <row r="177" spans="1:10" x14ac:dyDescent="0.25">
      <c r="A177" s="9">
        <v>989</v>
      </c>
      <c r="B177" s="5" t="s">
        <v>196</v>
      </c>
      <c r="C177" s="5" t="s">
        <v>197</v>
      </c>
      <c r="D177" s="5" t="s">
        <v>1618</v>
      </c>
      <c r="E177" s="6">
        <v>90189084</v>
      </c>
      <c r="F177" s="6">
        <v>12</v>
      </c>
      <c r="G177" s="6">
        <f t="shared" si="5"/>
        <v>3</v>
      </c>
      <c r="H177" s="6" t="s">
        <v>1622</v>
      </c>
      <c r="I177" s="5">
        <v>39.67</v>
      </c>
      <c r="J177" s="5">
        <f t="shared" si="4"/>
        <v>476.04</v>
      </c>
    </row>
    <row r="178" spans="1:10" x14ac:dyDescent="0.25">
      <c r="A178" s="9">
        <v>990</v>
      </c>
      <c r="B178" s="5" t="s">
        <v>198</v>
      </c>
      <c r="C178" s="5" t="s">
        <v>199</v>
      </c>
      <c r="D178" s="5" t="s">
        <v>1618</v>
      </c>
      <c r="E178" s="6">
        <v>90189084</v>
      </c>
      <c r="F178" s="6">
        <v>12</v>
      </c>
      <c r="G178" s="6">
        <f t="shared" si="5"/>
        <v>3</v>
      </c>
      <c r="H178" s="6" t="s">
        <v>1622</v>
      </c>
      <c r="I178" s="5">
        <v>62.87</v>
      </c>
      <c r="J178" s="5">
        <f t="shared" si="4"/>
        <v>754.43999999999994</v>
      </c>
    </row>
    <row r="179" spans="1:10" x14ac:dyDescent="0.25">
      <c r="A179" s="9">
        <v>991</v>
      </c>
      <c r="B179" s="5" t="s">
        <v>200</v>
      </c>
      <c r="C179" s="5" t="s">
        <v>201</v>
      </c>
      <c r="D179" s="5" t="s">
        <v>1618</v>
      </c>
      <c r="E179" s="6">
        <v>90189084</v>
      </c>
      <c r="F179" s="6">
        <v>12</v>
      </c>
      <c r="G179" s="6">
        <f t="shared" si="5"/>
        <v>3</v>
      </c>
      <c r="H179" s="6" t="s">
        <v>1622</v>
      </c>
      <c r="I179" s="5">
        <v>30.86</v>
      </c>
      <c r="J179" s="5">
        <f t="shared" si="4"/>
        <v>370.32</v>
      </c>
    </row>
    <row r="180" spans="1:10" x14ac:dyDescent="0.25">
      <c r="A180" s="9">
        <v>992</v>
      </c>
      <c r="B180" s="5" t="s">
        <v>202</v>
      </c>
      <c r="C180" s="5" t="s">
        <v>203</v>
      </c>
      <c r="D180" s="5" t="s">
        <v>1618</v>
      </c>
      <c r="E180" s="6">
        <v>90189084</v>
      </c>
      <c r="F180" s="6">
        <v>24</v>
      </c>
      <c r="G180" s="6">
        <f t="shared" si="5"/>
        <v>6</v>
      </c>
      <c r="H180" s="6" t="s">
        <v>1622</v>
      </c>
      <c r="I180" s="5">
        <v>19.489999999999998</v>
      </c>
      <c r="J180" s="5">
        <f t="shared" si="4"/>
        <v>467.76</v>
      </c>
    </row>
    <row r="181" spans="1:10" x14ac:dyDescent="0.25">
      <c r="A181" s="9">
        <v>993</v>
      </c>
      <c r="B181" s="5" t="s">
        <v>204</v>
      </c>
      <c r="C181" s="5" t="s">
        <v>205</v>
      </c>
      <c r="D181" s="5" t="s">
        <v>1618</v>
      </c>
      <c r="E181" s="6">
        <v>90189084</v>
      </c>
      <c r="F181" s="6">
        <v>24</v>
      </c>
      <c r="G181" s="6">
        <f t="shared" si="5"/>
        <v>6</v>
      </c>
      <c r="H181" s="6" t="s">
        <v>1622</v>
      </c>
      <c r="I181" s="5">
        <v>20.82</v>
      </c>
      <c r="J181" s="5">
        <f t="shared" si="4"/>
        <v>499.68</v>
      </c>
    </row>
    <row r="182" spans="1:10" x14ac:dyDescent="0.25">
      <c r="A182" s="9">
        <v>994</v>
      </c>
      <c r="B182" s="5" t="s">
        <v>206</v>
      </c>
      <c r="C182" s="5" t="s">
        <v>207</v>
      </c>
      <c r="D182" s="5" t="s">
        <v>1618</v>
      </c>
      <c r="E182" s="6">
        <v>90189084</v>
      </c>
      <c r="F182" s="6">
        <v>24</v>
      </c>
      <c r="G182" s="6">
        <f t="shared" si="5"/>
        <v>6</v>
      </c>
      <c r="H182" s="6" t="s">
        <v>1622</v>
      </c>
      <c r="I182" s="5">
        <v>25.87</v>
      </c>
      <c r="J182" s="5">
        <f t="shared" si="4"/>
        <v>620.88</v>
      </c>
    </row>
    <row r="183" spans="1:10" x14ac:dyDescent="0.25">
      <c r="A183" s="9">
        <v>995</v>
      </c>
      <c r="B183" s="5" t="s">
        <v>208</v>
      </c>
      <c r="C183" s="5" t="s">
        <v>209</v>
      </c>
      <c r="D183" s="5" t="s">
        <v>1618</v>
      </c>
      <c r="E183" s="6">
        <v>90189084</v>
      </c>
      <c r="F183" s="6">
        <v>12</v>
      </c>
      <c r="G183" s="6">
        <f t="shared" si="5"/>
        <v>3</v>
      </c>
      <c r="H183" s="6" t="s">
        <v>1622</v>
      </c>
      <c r="I183" s="5">
        <v>25.87</v>
      </c>
      <c r="J183" s="5">
        <f t="shared" si="4"/>
        <v>310.44</v>
      </c>
    </row>
    <row r="184" spans="1:10" x14ac:dyDescent="0.25">
      <c r="A184" s="9">
        <v>996</v>
      </c>
      <c r="B184" s="5" t="s">
        <v>210</v>
      </c>
      <c r="C184" s="5" t="s">
        <v>211</v>
      </c>
      <c r="D184" s="5" t="s">
        <v>1618</v>
      </c>
      <c r="E184" s="6">
        <v>73269098</v>
      </c>
      <c r="F184" s="6">
        <v>24</v>
      </c>
      <c r="G184" s="6">
        <f t="shared" si="5"/>
        <v>6</v>
      </c>
      <c r="H184" s="6" t="s">
        <v>1622</v>
      </c>
      <c r="I184" s="5">
        <v>157.96</v>
      </c>
      <c r="J184" s="5">
        <f t="shared" si="4"/>
        <v>3791.04</v>
      </c>
    </row>
    <row r="185" spans="1:10" x14ac:dyDescent="0.25">
      <c r="A185" s="9">
        <v>997</v>
      </c>
      <c r="B185" s="5" t="s">
        <v>212</v>
      </c>
      <c r="C185" s="5" t="s">
        <v>213</v>
      </c>
      <c r="D185" s="5" t="s">
        <v>1618</v>
      </c>
      <c r="E185" s="6">
        <v>90189084</v>
      </c>
      <c r="F185" s="6">
        <v>48</v>
      </c>
      <c r="G185" s="6">
        <f t="shared" si="5"/>
        <v>12</v>
      </c>
      <c r="H185" s="6" t="s">
        <v>1622</v>
      </c>
      <c r="I185" s="5">
        <v>40.409999999999997</v>
      </c>
      <c r="J185" s="5">
        <f t="shared" si="4"/>
        <v>1939.6799999999998</v>
      </c>
    </row>
    <row r="186" spans="1:10" x14ac:dyDescent="0.25">
      <c r="A186" s="9">
        <v>998</v>
      </c>
      <c r="B186" s="5" t="s">
        <v>214</v>
      </c>
      <c r="C186" s="5" t="s">
        <v>215</v>
      </c>
      <c r="D186" s="5" t="s">
        <v>1618</v>
      </c>
      <c r="E186" s="6">
        <v>90189084</v>
      </c>
      <c r="F186" s="6">
        <v>24</v>
      </c>
      <c r="G186" s="6">
        <f t="shared" si="5"/>
        <v>6</v>
      </c>
      <c r="H186" s="6" t="s">
        <v>1622</v>
      </c>
      <c r="I186" s="5">
        <v>341.07</v>
      </c>
      <c r="J186" s="5">
        <f t="shared" si="4"/>
        <v>8185.68</v>
      </c>
    </row>
    <row r="187" spans="1:10" x14ac:dyDescent="0.25">
      <c r="A187" s="9">
        <v>999</v>
      </c>
      <c r="B187" s="5" t="s">
        <v>216</v>
      </c>
      <c r="C187" s="5" t="s">
        <v>217</v>
      </c>
      <c r="D187" s="5" t="s">
        <v>1618</v>
      </c>
      <c r="E187" s="6">
        <v>90189084</v>
      </c>
      <c r="F187" s="6">
        <v>24</v>
      </c>
      <c r="G187" s="6">
        <f t="shared" si="5"/>
        <v>6</v>
      </c>
      <c r="H187" s="6" t="s">
        <v>1622</v>
      </c>
      <c r="I187" s="5">
        <v>66.98</v>
      </c>
      <c r="J187" s="5">
        <f t="shared" si="4"/>
        <v>1607.52</v>
      </c>
    </row>
    <row r="188" spans="1:10" x14ac:dyDescent="0.25">
      <c r="A188" s="9">
        <v>1000</v>
      </c>
      <c r="B188" s="5" t="s">
        <v>218</v>
      </c>
      <c r="C188" s="5" t="s">
        <v>219</v>
      </c>
      <c r="D188" s="5" t="s">
        <v>1618</v>
      </c>
      <c r="E188" s="6">
        <v>90189084</v>
      </c>
      <c r="F188" s="6">
        <v>48</v>
      </c>
      <c r="G188" s="6">
        <f t="shared" si="5"/>
        <v>12</v>
      </c>
      <c r="H188" s="6" t="s">
        <v>1622</v>
      </c>
      <c r="I188" s="5">
        <v>66.98</v>
      </c>
      <c r="J188" s="5">
        <f t="shared" si="4"/>
        <v>3215.04</v>
      </c>
    </row>
    <row r="189" spans="1:10" x14ac:dyDescent="0.25">
      <c r="A189" s="9">
        <v>1001</v>
      </c>
      <c r="B189" s="5" t="s">
        <v>220</v>
      </c>
      <c r="C189" s="5" t="s">
        <v>221</v>
      </c>
      <c r="D189" s="5" t="s">
        <v>1618</v>
      </c>
      <c r="E189" s="6">
        <v>90189084</v>
      </c>
      <c r="F189" s="6">
        <v>12</v>
      </c>
      <c r="G189" s="6">
        <f t="shared" si="5"/>
        <v>3</v>
      </c>
      <c r="H189" s="6" t="s">
        <v>1622</v>
      </c>
      <c r="I189" s="5">
        <v>90.48</v>
      </c>
      <c r="J189" s="5">
        <f t="shared" si="4"/>
        <v>1085.76</v>
      </c>
    </row>
    <row r="190" spans="1:10" x14ac:dyDescent="0.25">
      <c r="A190" s="9">
        <v>1002</v>
      </c>
      <c r="B190" s="5" t="s">
        <v>222</v>
      </c>
      <c r="C190" s="5" t="s">
        <v>223</v>
      </c>
      <c r="D190" s="5" t="s">
        <v>1618</v>
      </c>
      <c r="E190" s="6">
        <v>90189084</v>
      </c>
      <c r="F190" s="6">
        <v>12</v>
      </c>
      <c r="G190" s="6">
        <f t="shared" si="5"/>
        <v>3</v>
      </c>
      <c r="H190" s="6" t="s">
        <v>1622</v>
      </c>
      <c r="I190" s="5">
        <v>112.99</v>
      </c>
      <c r="J190" s="5">
        <f t="shared" si="4"/>
        <v>1355.8799999999999</v>
      </c>
    </row>
    <row r="191" spans="1:10" x14ac:dyDescent="0.25">
      <c r="A191" s="9">
        <v>1003</v>
      </c>
      <c r="B191" s="5" t="s">
        <v>224</v>
      </c>
      <c r="C191" s="5" t="s">
        <v>225</v>
      </c>
      <c r="D191" s="5" t="s">
        <v>1619</v>
      </c>
      <c r="E191" s="6">
        <v>90189084</v>
      </c>
      <c r="F191" s="6">
        <v>24</v>
      </c>
      <c r="G191" s="6">
        <f t="shared" si="5"/>
        <v>6</v>
      </c>
      <c r="H191" s="6" t="s">
        <v>1622</v>
      </c>
      <c r="I191" s="5">
        <v>120.75</v>
      </c>
      <c r="J191" s="5">
        <f t="shared" si="4"/>
        <v>2898</v>
      </c>
    </row>
    <row r="192" spans="1:10" x14ac:dyDescent="0.25">
      <c r="A192" s="9">
        <v>1004</v>
      </c>
      <c r="B192" s="5" t="s">
        <v>226</v>
      </c>
      <c r="C192" s="5" t="s">
        <v>227</v>
      </c>
      <c r="D192" s="5" t="s">
        <v>1618</v>
      </c>
      <c r="E192" s="6">
        <v>90189084</v>
      </c>
      <c r="F192" s="6">
        <v>24</v>
      </c>
      <c r="G192" s="6">
        <f t="shared" si="5"/>
        <v>6</v>
      </c>
      <c r="H192" s="6" t="s">
        <v>1622</v>
      </c>
      <c r="I192" s="5">
        <v>115.1</v>
      </c>
      <c r="J192" s="5">
        <f t="shared" si="4"/>
        <v>2762.3999999999996</v>
      </c>
    </row>
    <row r="193" spans="1:10" x14ac:dyDescent="0.25">
      <c r="A193" s="9">
        <v>1005</v>
      </c>
      <c r="B193" s="5" t="s">
        <v>228</v>
      </c>
      <c r="C193" s="5" t="s">
        <v>229</v>
      </c>
      <c r="D193" s="5" t="s">
        <v>1618</v>
      </c>
      <c r="E193" s="6">
        <v>90189084</v>
      </c>
      <c r="F193" s="6">
        <v>12</v>
      </c>
      <c r="G193" s="6">
        <f t="shared" si="5"/>
        <v>3</v>
      </c>
      <c r="H193" s="6" t="s">
        <v>1622</v>
      </c>
      <c r="I193" s="5">
        <v>85.94</v>
      </c>
      <c r="J193" s="5">
        <f t="shared" si="4"/>
        <v>1031.28</v>
      </c>
    </row>
    <row r="194" spans="1:10" x14ac:dyDescent="0.25">
      <c r="A194" s="9">
        <v>1006</v>
      </c>
      <c r="B194" s="5" t="s">
        <v>230</v>
      </c>
      <c r="C194" s="5" t="s">
        <v>231</v>
      </c>
      <c r="D194" s="5" t="s">
        <v>1618</v>
      </c>
      <c r="E194" s="6">
        <v>90189084</v>
      </c>
      <c r="F194" s="6">
        <v>12</v>
      </c>
      <c r="G194" s="6">
        <f t="shared" si="5"/>
        <v>3</v>
      </c>
      <c r="H194" s="6" t="s">
        <v>1622</v>
      </c>
      <c r="I194" s="5">
        <v>85.94</v>
      </c>
      <c r="J194" s="5">
        <f t="shared" si="4"/>
        <v>1031.28</v>
      </c>
    </row>
    <row r="195" spans="1:10" x14ac:dyDescent="0.25">
      <c r="A195" s="9">
        <v>1007</v>
      </c>
      <c r="B195" s="5" t="s">
        <v>232</v>
      </c>
      <c r="C195" s="5" t="s">
        <v>233</v>
      </c>
      <c r="D195" s="5" t="s">
        <v>1618</v>
      </c>
      <c r="E195" s="6">
        <v>90189084</v>
      </c>
      <c r="F195" s="6">
        <v>12</v>
      </c>
      <c r="G195" s="6">
        <f t="shared" si="5"/>
        <v>3</v>
      </c>
      <c r="H195" s="6" t="s">
        <v>1622</v>
      </c>
      <c r="I195" s="5">
        <v>346.76</v>
      </c>
      <c r="J195" s="5">
        <f t="shared" ref="J195:J258" si="6">F195*I195</f>
        <v>4161.12</v>
      </c>
    </row>
    <row r="196" spans="1:10" x14ac:dyDescent="0.25">
      <c r="A196" s="9">
        <v>1008</v>
      </c>
      <c r="B196" s="5" t="s">
        <v>234</v>
      </c>
      <c r="C196" s="5" t="s">
        <v>235</v>
      </c>
      <c r="D196" s="5" t="s">
        <v>1618</v>
      </c>
      <c r="E196" s="6">
        <v>90189084</v>
      </c>
      <c r="F196" s="6">
        <v>12</v>
      </c>
      <c r="G196" s="6">
        <f t="shared" ref="G196:G259" si="7">F196/$F$2</f>
        <v>3</v>
      </c>
      <c r="H196" s="6" t="s">
        <v>1622</v>
      </c>
      <c r="I196" s="5">
        <v>346.76</v>
      </c>
      <c r="J196" s="5">
        <f t="shared" si="6"/>
        <v>4161.12</v>
      </c>
    </row>
    <row r="197" spans="1:10" x14ac:dyDescent="0.25">
      <c r="A197" s="9">
        <v>1009</v>
      </c>
      <c r="B197" s="5" t="s">
        <v>236</v>
      </c>
      <c r="C197" s="5" t="s">
        <v>237</v>
      </c>
      <c r="D197" s="5" t="s">
        <v>1618</v>
      </c>
      <c r="E197" s="6">
        <v>90189084</v>
      </c>
      <c r="F197" s="6">
        <v>12</v>
      </c>
      <c r="G197" s="6">
        <f t="shared" si="7"/>
        <v>3</v>
      </c>
      <c r="H197" s="6" t="s">
        <v>1622</v>
      </c>
      <c r="I197" s="5">
        <v>346.76</v>
      </c>
      <c r="J197" s="5">
        <f t="shared" si="6"/>
        <v>4161.12</v>
      </c>
    </row>
    <row r="198" spans="1:10" x14ac:dyDescent="0.25">
      <c r="A198" s="9">
        <v>1010</v>
      </c>
      <c r="B198" s="5" t="s">
        <v>238</v>
      </c>
      <c r="C198" s="5" t="s">
        <v>239</v>
      </c>
      <c r="D198" s="5" t="s">
        <v>1618</v>
      </c>
      <c r="E198" s="6">
        <v>90189084</v>
      </c>
      <c r="F198" s="6">
        <v>12</v>
      </c>
      <c r="G198" s="6">
        <f t="shared" si="7"/>
        <v>3</v>
      </c>
      <c r="H198" s="6" t="s">
        <v>1622</v>
      </c>
      <c r="I198" s="5">
        <v>346.76</v>
      </c>
      <c r="J198" s="5">
        <f t="shared" si="6"/>
        <v>4161.12</v>
      </c>
    </row>
    <row r="199" spans="1:10" x14ac:dyDescent="0.25">
      <c r="A199" s="9">
        <v>1011</v>
      </c>
      <c r="B199" s="5" t="s">
        <v>240</v>
      </c>
      <c r="C199" s="5" t="s">
        <v>241</v>
      </c>
      <c r="D199" s="5" t="s">
        <v>1618</v>
      </c>
      <c r="E199" s="6">
        <v>90189084</v>
      </c>
      <c r="F199" s="6">
        <v>12</v>
      </c>
      <c r="G199" s="6">
        <f t="shared" si="7"/>
        <v>3</v>
      </c>
      <c r="H199" s="6" t="s">
        <v>1622</v>
      </c>
      <c r="I199" s="5">
        <v>346.76</v>
      </c>
      <c r="J199" s="5">
        <f t="shared" si="6"/>
        <v>4161.12</v>
      </c>
    </row>
    <row r="200" spans="1:10" x14ac:dyDescent="0.25">
      <c r="A200" s="9">
        <v>1012</v>
      </c>
      <c r="B200" s="5" t="s">
        <v>242</v>
      </c>
      <c r="C200" s="5" t="s">
        <v>243</v>
      </c>
      <c r="D200" s="5" t="s">
        <v>1618</v>
      </c>
      <c r="E200" s="6">
        <v>90189084</v>
      </c>
      <c r="F200" s="6">
        <v>12</v>
      </c>
      <c r="G200" s="6">
        <f t="shared" si="7"/>
        <v>3</v>
      </c>
      <c r="H200" s="6" t="s">
        <v>1622</v>
      </c>
      <c r="I200" s="5">
        <v>346.76</v>
      </c>
      <c r="J200" s="5">
        <f t="shared" si="6"/>
        <v>4161.12</v>
      </c>
    </row>
    <row r="201" spans="1:10" x14ac:dyDescent="0.25">
      <c r="A201" s="9">
        <v>1013</v>
      </c>
      <c r="B201" s="5" t="s">
        <v>244</v>
      </c>
      <c r="C201" s="5" t="s">
        <v>245</v>
      </c>
      <c r="D201" s="5" t="s">
        <v>1618</v>
      </c>
      <c r="E201" s="6">
        <v>90189084</v>
      </c>
      <c r="F201" s="6">
        <v>12</v>
      </c>
      <c r="G201" s="6">
        <f t="shared" si="7"/>
        <v>3</v>
      </c>
      <c r="H201" s="6" t="s">
        <v>1622</v>
      </c>
      <c r="I201" s="5">
        <v>245.21</v>
      </c>
      <c r="J201" s="5">
        <f t="shared" si="6"/>
        <v>2942.52</v>
      </c>
    </row>
    <row r="202" spans="1:10" x14ac:dyDescent="0.25">
      <c r="A202" s="9">
        <v>1014</v>
      </c>
      <c r="B202" s="5" t="s">
        <v>246</v>
      </c>
      <c r="C202" s="5" t="s">
        <v>247</v>
      </c>
      <c r="D202" s="5" t="s">
        <v>1618</v>
      </c>
      <c r="E202" s="6">
        <v>90189084</v>
      </c>
      <c r="F202" s="6">
        <v>12</v>
      </c>
      <c r="G202" s="6">
        <f t="shared" si="7"/>
        <v>3</v>
      </c>
      <c r="H202" s="6" t="s">
        <v>1622</v>
      </c>
      <c r="I202" s="5">
        <v>39.630000000000003</v>
      </c>
      <c r="J202" s="5">
        <f t="shared" si="6"/>
        <v>475.56000000000006</v>
      </c>
    </row>
    <row r="203" spans="1:10" x14ac:dyDescent="0.25">
      <c r="A203" s="9">
        <v>1015</v>
      </c>
      <c r="B203" s="5" t="s">
        <v>248</v>
      </c>
      <c r="C203" s="5" t="s">
        <v>249</v>
      </c>
      <c r="D203" s="5" t="s">
        <v>1618</v>
      </c>
      <c r="E203" s="6">
        <v>90189084</v>
      </c>
      <c r="F203" s="6">
        <v>12</v>
      </c>
      <c r="G203" s="6">
        <f t="shared" si="7"/>
        <v>3</v>
      </c>
      <c r="H203" s="6" t="s">
        <v>1622</v>
      </c>
      <c r="I203" s="5">
        <v>39.630000000000003</v>
      </c>
      <c r="J203" s="5">
        <f t="shared" si="6"/>
        <v>475.56000000000006</v>
      </c>
    </row>
    <row r="204" spans="1:10" x14ac:dyDescent="0.25">
      <c r="A204" s="9">
        <v>1016</v>
      </c>
      <c r="B204" s="5" t="s">
        <v>250</v>
      </c>
      <c r="C204" s="5" t="s">
        <v>251</v>
      </c>
      <c r="D204" s="5" t="s">
        <v>1618</v>
      </c>
      <c r="E204" s="6">
        <v>90189084</v>
      </c>
      <c r="F204" s="6">
        <v>12</v>
      </c>
      <c r="G204" s="6">
        <f t="shared" si="7"/>
        <v>3</v>
      </c>
      <c r="H204" s="6" t="s">
        <v>1622</v>
      </c>
      <c r="I204" s="5">
        <v>39.630000000000003</v>
      </c>
      <c r="J204" s="5">
        <f t="shared" si="6"/>
        <v>475.56000000000006</v>
      </c>
    </row>
    <row r="205" spans="1:10" x14ac:dyDescent="0.25">
      <c r="A205" s="9">
        <v>1017</v>
      </c>
      <c r="B205" s="5" t="s">
        <v>252</v>
      </c>
      <c r="C205" s="5" t="s">
        <v>253</v>
      </c>
      <c r="D205" s="5" t="s">
        <v>1618</v>
      </c>
      <c r="E205" s="6">
        <v>90189084</v>
      </c>
      <c r="F205" s="6">
        <v>12</v>
      </c>
      <c r="G205" s="6">
        <f t="shared" si="7"/>
        <v>3</v>
      </c>
      <c r="H205" s="6" t="s">
        <v>1622</v>
      </c>
      <c r="I205" s="5">
        <v>39.630000000000003</v>
      </c>
      <c r="J205" s="5">
        <f t="shared" si="6"/>
        <v>475.56000000000006</v>
      </c>
    </row>
    <row r="206" spans="1:10" x14ac:dyDescent="0.25">
      <c r="A206" s="9">
        <v>1018</v>
      </c>
      <c r="B206" s="5" t="s">
        <v>254</v>
      </c>
      <c r="C206" s="5" t="s">
        <v>255</v>
      </c>
      <c r="D206" s="5" t="s">
        <v>1618</v>
      </c>
      <c r="E206" s="6">
        <v>90189084</v>
      </c>
      <c r="F206" s="6">
        <v>12</v>
      </c>
      <c r="G206" s="6">
        <f t="shared" si="7"/>
        <v>3</v>
      </c>
      <c r="H206" s="6" t="s">
        <v>1622</v>
      </c>
      <c r="I206" s="5">
        <v>39.630000000000003</v>
      </c>
      <c r="J206" s="5">
        <f t="shared" si="6"/>
        <v>475.56000000000006</v>
      </c>
    </row>
    <row r="207" spans="1:10" x14ac:dyDescent="0.25">
      <c r="A207" s="9">
        <v>1019</v>
      </c>
      <c r="B207" s="5" t="s">
        <v>256</v>
      </c>
      <c r="C207" s="5" t="s">
        <v>257</v>
      </c>
      <c r="D207" s="5" t="s">
        <v>1618</v>
      </c>
      <c r="E207" s="6">
        <v>90189084</v>
      </c>
      <c r="F207" s="6">
        <v>12</v>
      </c>
      <c r="G207" s="6">
        <f t="shared" si="7"/>
        <v>3</v>
      </c>
      <c r="H207" s="6" t="s">
        <v>1622</v>
      </c>
      <c r="I207" s="5">
        <v>39.630000000000003</v>
      </c>
      <c r="J207" s="5">
        <f t="shared" si="6"/>
        <v>475.56000000000006</v>
      </c>
    </row>
    <row r="208" spans="1:10" x14ac:dyDescent="0.25">
      <c r="A208" s="9">
        <v>1020</v>
      </c>
      <c r="B208" s="5" t="s">
        <v>258</v>
      </c>
      <c r="C208" s="5" t="s">
        <v>259</v>
      </c>
      <c r="D208" s="5" t="s">
        <v>1618</v>
      </c>
      <c r="E208" s="6">
        <v>90189084</v>
      </c>
      <c r="F208" s="6">
        <v>12</v>
      </c>
      <c r="G208" s="6">
        <f t="shared" si="7"/>
        <v>3</v>
      </c>
      <c r="H208" s="6" t="s">
        <v>1622</v>
      </c>
      <c r="I208" s="5">
        <v>39.630000000000003</v>
      </c>
      <c r="J208" s="5">
        <f t="shared" si="6"/>
        <v>475.56000000000006</v>
      </c>
    </row>
    <row r="209" spans="1:10" x14ac:dyDescent="0.25">
      <c r="A209" s="9">
        <v>1021</v>
      </c>
      <c r="B209" s="5" t="s">
        <v>260</v>
      </c>
      <c r="C209" s="5" t="s">
        <v>261</v>
      </c>
      <c r="D209" s="5" t="s">
        <v>1618</v>
      </c>
      <c r="E209" s="6">
        <v>90189084</v>
      </c>
      <c r="F209" s="6">
        <v>12</v>
      </c>
      <c r="G209" s="6">
        <f t="shared" si="7"/>
        <v>3</v>
      </c>
      <c r="H209" s="6" t="s">
        <v>1622</v>
      </c>
      <c r="I209" s="5">
        <v>40.43</v>
      </c>
      <c r="J209" s="5">
        <f t="shared" si="6"/>
        <v>485.15999999999997</v>
      </c>
    </row>
    <row r="210" spans="1:10" x14ac:dyDescent="0.25">
      <c r="A210" s="9">
        <v>1022</v>
      </c>
      <c r="B210" s="5" t="s">
        <v>262</v>
      </c>
      <c r="C210" s="5" t="s">
        <v>263</v>
      </c>
      <c r="D210" s="5" t="s">
        <v>1619</v>
      </c>
      <c r="E210" s="6">
        <v>90183900</v>
      </c>
      <c r="F210" s="6">
        <v>12</v>
      </c>
      <c r="G210" s="6">
        <f t="shared" si="7"/>
        <v>3</v>
      </c>
      <c r="H210" s="6" t="s">
        <v>1622</v>
      </c>
      <c r="I210" s="5">
        <v>19.829999999999998</v>
      </c>
      <c r="J210" s="5">
        <f t="shared" si="6"/>
        <v>237.95999999999998</v>
      </c>
    </row>
    <row r="211" spans="1:10" x14ac:dyDescent="0.25">
      <c r="A211" s="9">
        <v>1023</v>
      </c>
      <c r="B211" s="5" t="s">
        <v>264</v>
      </c>
      <c r="C211" s="5" t="s">
        <v>265</v>
      </c>
      <c r="D211" s="5" t="s">
        <v>1619</v>
      </c>
      <c r="E211" s="6">
        <v>90183900</v>
      </c>
      <c r="F211" s="6">
        <v>12</v>
      </c>
      <c r="G211" s="6">
        <f t="shared" si="7"/>
        <v>3</v>
      </c>
      <c r="H211" s="6" t="s">
        <v>1622</v>
      </c>
      <c r="I211" s="5">
        <v>19.829999999999998</v>
      </c>
      <c r="J211" s="5">
        <f t="shared" si="6"/>
        <v>237.95999999999998</v>
      </c>
    </row>
    <row r="212" spans="1:10" x14ac:dyDescent="0.25">
      <c r="A212" s="9">
        <v>1024</v>
      </c>
      <c r="B212" s="5" t="s">
        <v>266</v>
      </c>
      <c r="C212" s="5" t="s">
        <v>267</v>
      </c>
      <c r="D212" s="5" t="s">
        <v>1619</v>
      </c>
      <c r="E212" s="6">
        <v>90183900</v>
      </c>
      <c r="F212" s="6">
        <v>12</v>
      </c>
      <c r="G212" s="6">
        <f t="shared" si="7"/>
        <v>3</v>
      </c>
      <c r="H212" s="6" t="s">
        <v>1622</v>
      </c>
      <c r="I212" s="5">
        <v>19.829999999999998</v>
      </c>
      <c r="J212" s="5">
        <f t="shared" si="6"/>
        <v>237.95999999999998</v>
      </c>
    </row>
    <row r="213" spans="1:10" x14ac:dyDescent="0.25">
      <c r="A213" s="9">
        <v>1025</v>
      </c>
      <c r="B213" s="5" t="s">
        <v>266</v>
      </c>
      <c r="C213" s="5" t="s">
        <v>267</v>
      </c>
      <c r="D213" s="5" t="s">
        <v>1619</v>
      </c>
      <c r="E213" s="6">
        <v>90183900</v>
      </c>
      <c r="F213" s="6">
        <v>12</v>
      </c>
      <c r="G213" s="6">
        <f t="shared" si="7"/>
        <v>3</v>
      </c>
      <c r="H213" s="6" t="s">
        <v>1622</v>
      </c>
      <c r="I213" s="5">
        <v>19.829999999999998</v>
      </c>
      <c r="J213" s="5">
        <f t="shared" si="6"/>
        <v>237.95999999999998</v>
      </c>
    </row>
    <row r="214" spans="1:10" x14ac:dyDescent="0.25">
      <c r="A214" s="9">
        <v>1026</v>
      </c>
      <c r="B214" s="5" t="s">
        <v>268</v>
      </c>
      <c r="C214" s="5" t="s">
        <v>269</v>
      </c>
      <c r="D214" s="5" t="s">
        <v>1619</v>
      </c>
      <c r="E214" s="6">
        <v>90183900</v>
      </c>
      <c r="F214" s="6">
        <v>12</v>
      </c>
      <c r="G214" s="6">
        <f t="shared" si="7"/>
        <v>3</v>
      </c>
      <c r="H214" s="6" t="s">
        <v>1622</v>
      </c>
      <c r="I214" s="5">
        <v>12.35</v>
      </c>
      <c r="J214" s="5">
        <f t="shared" si="6"/>
        <v>148.19999999999999</v>
      </c>
    </row>
    <row r="215" spans="1:10" x14ac:dyDescent="0.25">
      <c r="A215" s="9">
        <v>1027</v>
      </c>
      <c r="B215" s="5" t="s">
        <v>270</v>
      </c>
      <c r="C215" s="5" t="s">
        <v>271</v>
      </c>
      <c r="D215" s="5" t="s">
        <v>1619</v>
      </c>
      <c r="E215" s="6">
        <v>90183900</v>
      </c>
      <c r="F215" s="6">
        <v>12</v>
      </c>
      <c r="G215" s="6">
        <f t="shared" si="7"/>
        <v>3</v>
      </c>
      <c r="H215" s="6" t="s">
        <v>1622</v>
      </c>
      <c r="I215" s="5">
        <v>12.35</v>
      </c>
      <c r="J215" s="5">
        <f t="shared" si="6"/>
        <v>148.19999999999999</v>
      </c>
    </row>
    <row r="216" spans="1:10" x14ac:dyDescent="0.25">
      <c r="A216" s="9">
        <v>1028</v>
      </c>
      <c r="B216" s="5" t="s">
        <v>272</v>
      </c>
      <c r="C216" s="5" t="s">
        <v>273</v>
      </c>
      <c r="D216" s="5" t="s">
        <v>1618</v>
      </c>
      <c r="E216" s="6">
        <v>90189084</v>
      </c>
      <c r="F216" s="6">
        <v>12</v>
      </c>
      <c r="G216" s="6">
        <f t="shared" si="7"/>
        <v>3</v>
      </c>
      <c r="H216" s="6" t="s">
        <v>1622</v>
      </c>
      <c r="I216" s="5">
        <v>37.86</v>
      </c>
      <c r="J216" s="5">
        <f t="shared" si="6"/>
        <v>454.32</v>
      </c>
    </row>
    <row r="217" spans="1:10" x14ac:dyDescent="0.25">
      <c r="A217" s="9">
        <v>1029</v>
      </c>
      <c r="B217" s="5" t="s">
        <v>274</v>
      </c>
      <c r="C217" s="5" t="s">
        <v>275</v>
      </c>
      <c r="D217" s="5" t="s">
        <v>1618</v>
      </c>
      <c r="E217" s="6">
        <v>90189084</v>
      </c>
      <c r="F217" s="6">
        <v>12</v>
      </c>
      <c r="G217" s="6">
        <f t="shared" si="7"/>
        <v>3</v>
      </c>
      <c r="H217" s="6" t="s">
        <v>1622</v>
      </c>
      <c r="I217" s="5">
        <v>224.08</v>
      </c>
      <c r="J217" s="5">
        <f t="shared" si="6"/>
        <v>2688.96</v>
      </c>
    </row>
    <row r="218" spans="1:10" x14ac:dyDescent="0.25">
      <c r="A218" s="9">
        <v>1030</v>
      </c>
      <c r="B218" s="5" t="s">
        <v>276</v>
      </c>
      <c r="C218" s="5" t="s">
        <v>277</v>
      </c>
      <c r="D218" s="5" t="s">
        <v>1618</v>
      </c>
      <c r="E218" s="6">
        <v>90189084</v>
      </c>
      <c r="F218" s="6">
        <v>12</v>
      </c>
      <c r="G218" s="6">
        <f t="shared" si="7"/>
        <v>3</v>
      </c>
      <c r="H218" s="6" t="s">
        <v>1622</v>
      </c>
      <c r="I218" s="5">
        <v>244.62</v>
      </c>
      <c r="J218" s="5">
        <f t="shared" si="6"/>
        <v>2935.44</v>
      </c>
    </row>
    <row r="219" spans="1:10" x14ac:dyDescent="0.25">
      <c r="A219" s="9">
        <v>1031</v>
      </c>
      <c r="B219" s="5" t="s">
        <v>274</v>
      </c>
      <c r="C219" s="5" t="s">
        <v>275</v>
      </c>
      <c r="D219" s="5" t="s">
        <v>1618</v>
      </c>
      <c r="E219" s="6">
        <v>90189084</v>
      </c>
      <c r="F219" s="6">
        <v>12</v>
      </c>
      <c r="G219" s="6">
        <f t="shared" si="7"/>
        <v>3</v>
      </c>
      <c r="H219" s="6" t="s">
        <v>1622</v>
      </c>
      <c r="I219" s="5">
        <v>224.08</v>
      </c>
      <c r="J219" s="5">
        <f t="shared" si="6"/>
        <v>2688.96</v>
      </c>
    </row>
    <row r="220" spans="1:10" x14ac:dyDescent="0.25">
      <c r="A220" s="9">
        <v>1032</v>
      </c>
      <c r="B220" s="5" t="s">
        <v>278</v>
      </c>
      <c r="C220" s="5" t="s">
        <v>279</v>
      </c>
      <c r="D220" s="5" t="s">
        <v>1618</v>
      </c>
      <c r="E220" s="6">
        <v>90189084</v>
      </c>
      <c r="F220" s="6">
        <v>12</v>
      </c>
      <c r="G220" s="6">
        <f t="shared" si="7"/>
        <v>3</v>
      </c>
      <c r="H220" s="6" t="s">
        <v>1622</v>
      </c>
      <c r="I220" s="5">
        <v>214.55</v>
      </c>
      <c r="J220" s="5">
        <f t="shared" si="6"/>
        <v>2574.6000000000004</v>
      </c>
    </row>
    <row r="221" spans="1:10" x14ac:dyDescent="0.25">
      <c r="A221" s="9">
        <v>1033</v>
      </c>
      <c r="B221" s="5" t="s">
        <v>276</v>
      </c>
      <c r="C221" s="5" t="s">
        <v>277</v>
      </c>
      <c r="D221" s="5" t="s">
        <v>1618</v>
      </c>
      <c r="E221" s="6">
        <v>90189084</v>
      </c>
      <c r="F221" s="6">
        <v>12</v>
      </c>
      <c r="G221" s="6">
        <f t="shared" si="7"/>
        <v>3</v>
      </c>
      <c r="H221" s="6" t="s">
        <v>1622</v>
      </c>
      <c r="I221" s="5">
        <v>244.62</v>
      </c>
      <c r="J221" s="5">
        <f t="shared" si="6"/>
        <v>2935.44</v>
      </c>
    </row>
    <row r="222" spans="1:10" x14ac:dyDescent="0.25">
      <c r="A222" s="9">
        <v>1034</v>
      </c>
      <c r="B222" s="5" t="s">
        <v>280</v>
      </c>
      <c r="C222" s="5" t="s">
        <v>281</v>
      </c>
      <c r="D222" s="5" t="s">
        <v>1618</v>
      </c>
      <c r="E222" s="6">
        <v>90189084</v>
      </c>
      <c r="F222" s="6">
        <v>12</v>
      </c>
      <c r="G222" s="6">
        <f t="shared" si="7"/>
        <v>3</v>
      </c>
      <c r="H222" s="6" t="s">
        <v>1622</v>
      </c>
      <c r="I222" s="5">
        <v>243.86</v>
      </c>
      <c r="J222" s="5">
        <f t="shared" si="6"/>
        <v>2926.32</v>
      </c>
    </row>
    <row r="223" spans="1:10" x14ac:dyDescent="0.25">
      <c r="A223" s="9">
        <v>1035</v>
      </c>
      <c r="B223" s="5" t="s">
        <v>282</v>
      </c>
      <c r="C223" s="5" t="s">
        <v>283</v>
      </c>
      <c r="D223" s="5" t="s">
        <v>1618</v>
      </c>
      <c r="E223" s="6">
        <v>90189084</v>
      </c>
      <c r="F223" s="6">
        <v>12</v>
      </c>
      <c r="G223" s="6">
        <f t="shared" si="7"/>
        <v>3</v>
      </c>
      <c r="H223" s="6" t="s">
        <v>1622</v>
      </c>
      <c r="I223" s="5">
        <v>240.51</v>
      </c>
      <c r="J223" s="5">
        <f t="shared" si="6"/>
        <v>2886.12</v>
      </c>
    </row>
    <row r="224" spans="1:10" x14ac:dyDescent="0.25">
      <c r="A224" s="9">
        <v>1036</v>
      </c>
      <c r="B224" s="5" t="s">
        <v>284</v>
      </c>
      <c r="C224" s="5" t="s">
        <v>285</v>
      </c>
      <c r="D224" s="5" t="s">
        <v>1618</v>
      </c>
      <c r="E224" s="6">
        <v>90189084</v>
      </c>
      <c r="F224" s="6">
        <v>12</v>
      </c>
      <c r="G224" s="6">
        <f t="shared" si="7"/>
        <v>3</v>
      </c>
      <c r="H224" s="6" t="s">
        <v>1622</v>
      </c>
      <c r="I224" s="5">
        <v>240.51</v>
      </c>
      <c r="J224" s="5">
        <f t="shared" si="6"/>
        <v>2886.12</v>
      </c>
    </row>
    <row r="225" spans="1:10" x14ac:dyDescent="0.25">
      <c r="A225" s="9">
        <v>1037</v>
      </c>
      <c r="B225" s="5" t="s">
        <v>286</v>
      </c>
      <c r="C225" s="5" t="s">
        <v>287</v>
      </c>
      <c r="D225" s="5" t="s">
        <v>1618</v>
      </c>
      <c r="E225" s="6">
        <v>76169990</v>
      </c>
      <c r="F225" s="6">
        <v>12</v>
      </c>
      <c r="G225" s="6">
        <f t="shared" si="7"/>
        <v>3</v>
      </c>
      <c r="H225" s="6" t="s">
        <v>1622</v>
      </c>
      <c r="I225" s="5">
        <v>416.33</v>
      </c>
      <c r="J225" s="5">
        <f t="shared" si="6"/>
        <v>4995.96</v>
      </c>
    </row>
    <row r="226" spans="1:10" x14ac:dyDescent="0.25">
      <c r="A226" s="9">
        <v>1038</v>
      </c>
      <c r="B226" s="5" t="s">
        <v>288</v>
      </c>
      <c r="C226" s="5" t="s">
        <v>289</v>
      </c>
      <c r="D226" s="5" t="s">
        <v>1618</v>
      </c>
      <c r="E226" s="6">
        <v>39269097</v>
      </c>
      <c r="F226" s="6">
        <v>24</v>
      </c>
      <c r="G226" s="6">
        <f t="shared" si="7"/>
        <v>6</v>
      </c>
      <c r="H226" s="6" t="s">
        <v>1622</v>
      </c>
      <c r="I226" s="5">
        <v>4.09</v>
      </c>
      <c r="J226" s="5">
        <f t="shared" si="6"/>
        <v>98.16</v>
      </c>
    </row>
    <row r="227" spans="1:10" x14ac:dyDescent="0.25">
      <c r="A227" s="9">
        <v>1039</v>
      </c>
      <c r="B227" s="5" t="s">
        <v>290</v>
      </c>
      <c r="C227" s="5" t="s">
        <v>291</v>
      </c>
      <c r="D227" s="5" t="s">
        <v>1618</v>
      </c>
      <c r="E227" s="6">
        <v>90189084</v>
      </c>
      <c r="F227" s="6">
        <v>12</v>
      </c>
      <c r="G227" s="6">
        <f t="shared" si="7"/>
        <v>3</v>
      </c>
      <c r="H227" s="6" t="s">
        <v>1622</v>
      </c>
      <c r="I227" s="5">
        <v>205.63</v>
      </c>
      <c r="J227" s="5">
        <f t="shared" si="6"/>
        <v>2467.56</v>
      </c>
    </row>
    <row r="228" spans="1:10" x14ac:dyDescent="0.25">
      <c r="A228" s="9">
        <v>1040</v>
      </c>
      <c r="B228" s="5" t="s">
        <v>292</v>
      </c>
      <c r="C228" s="5" t="s">
        <v>293</v>
      </c>
      <c r="D228" s="5" t="s">
        <v>1618</v>
      </c>
      <c r="E228" s="6">
        <v>90189084</v>
      </c>
      <c r="F228" s="6">
        <v>12</v>
      </c>
      <c r="G228" s="6">
        <f t="shared" si="7"/>
        <v>3</v>
      </c>
      <c r="H228" s="6" t="s">
        <v>1622</v>
      </c>
      <c r="I228" s="5">
        <v>195.92</v>
      </c>
      <c r="J228" s="5">
        <f t="shared" si="6"/>
        <v>2351.04</v>
      </c>
    </row>
    <row r="229" spans="1:10" x14ac:dyDescent="0.25">
      <c r="A229" s="9">
        <v>1041</v>
      </c>
      <c r="B229" s="5" t="s">
        <v>294</v>
      </c>
      <c r="C229" s="5" t="s">
        <v>295</v>
      </c>
      <c r="D229" s="5" t="s">
        <v>1618</v>
      </c>
      <c r="E229" s="6">
        <v>90189084</v>
      </c>
      <c r="F229" s="6">
        <v>12</v>
      </c>
      <c r="G229" s="6">
        <f t="shared" si="7"/>
        <v>3</v>
      </c>
      <c r="H229" s="6" t="s">
        <v>1622</v>
      </c>
      <c r="I229" s="5">
        <v>195.92</v>
      </c>
      <c r="J229" s="5">
        <f t="shared" si="6"/>
        <v>2351.04</v>
      </c>
    </row>
    <row r="230" spans="1:10" x14ac:dyDescent="0.25">
      <c r="A230" s="9">
        <v>1042</v>
      </c>
      <c r="B230" s="5" t="s">
        <v>296</v>
      </c>
      <c r="C230" s="5" t="s">
        <v>297</v>
      </c>
      <c r="D230" s="5" t="s">
        <v>1618</v>
      </c>
      <c r="E230" s="6">
        <v>90189084</v>
      </c>
      <c r="F230" s="6">
        <v>12</v>
      </c>
      <c r="G230" s="6">
        <f t="shared" si="7"/>
        <v>3</v>
      </c>
      <c r="H230" s="6" t="s">
        <v>1622</v>
      </c>
      <c r="I230" s="5">
        <v>195.92</v>
      </c>
      <c r="J230" s="5">
        <f t="shared" si="6"/>
        <v>2351.04</v>
      </c>
    </row>
    <row r="231" spans="1:10" x14ac:dyDescent="0.25">
      <c r="A231" s="9">
        <v>1043</v>
      </c>
      <c r="B231" s="5" t="s">
        <v>298</v>
      </c>
      <c r="C231" s="5" t="s">
        <v>299</v>
      </c>
      <c r="D231" s="5" t="s">
        <v>1618</v>
      </c>
      <c r="E231" s="6">
        <v>90189084</v>
      </c>
      <c r="F231" s="6">
        <v>12</v>
      </c>
      <c r="G231" s="6">
        <f t="shared" si="7"/>
        <v>3</v>
      </c>
      <c r="H231" s="6" t="s">
        <v>1622</v>
      </c>
      <c r="I231" s="5">
        <v>195.92</v>
      </c>
      <c r="J231" s="5">
        <f t="shared" si="6"/>
        <v>2351.04</v>
      </c>
    </row>
    <row r="232" spans="1:10" x14ac:dyDescent="0.25">
      <c r="A232" s="9">
        <v>1044</v>
      </c>
      <c r="B232" s="5" t="s">
        <v>300</v>
      </c>
      <c r="C232" s="5" t="s">
        <v>301</v>
      </c>
      <c r="D232" s="5" t="s">
        <v>1618</v>
      </c>
      <c r="E232" s="6">
        <v>90189084</v>
      </c>
      <c r="F232" s="6">
        <v>12</v>
      </c>
      <c r="G232" s="6">
        <f t="shared" si="7"/>
        <v>3</v>
      </c>
      <c r="H232" s="6" t="s">
        <v>1622</v>
      </c>
      <c r="I232" s="5">
        <v>195.92</v>
      </c>
      <c r="J232" s="5">
        <f t="shared" si="6"/>
        <v>2351.04</v>
      </c>
    </row>
    <row r="233" spans="1:10" x14ac:dyDescent="0.25">
      <c r="A233" s="9">
        <v>1045</v>
      </c>
      <c r="B233" s="5" t="s">
        <v>302</v>
      </c>
      <c r="C233" s="5" t="s">
        <v>303</v>
      </c>
      <c r="D233" s="5" t="s">
        <v>1618</v>
      </c>
      <c r="E233" s="6">
        <v>90189084</v>
      </c>
      <c r="F233" s="6">
        <v>12</v>
      </c>
      <c r="G233" s="6">
        <f t="shared" si="7"/>
        <v>3</v>
      </c>
      <c r="H233" s="6" t="s">
        <v>1622</v>
      </c>
      <c r="I233" s="5">
        <v>195.92</v>
      </c>
      <c r="J233" s="5">
        <f t="shared" si="6"/>
        <v>2351.04</v>
      </c>
    </row>
    <row r="234" spans="1:10" x14ac:dyDescent="0.25">
      <c r="A234" s="9">
        <v>1046</v>
      </c>
      <c r="B234" s="5" t="s">
        <v>304</v>
      </c>
      <c r="C234" s="5" t="s">
        <v>305</v>
      </c>
      <c r="D234" s="5" t="s">
        <v>1618</v>
      </c>
      <c r="E234" s="6">
        <v>90189084</v>
      </c>
      <c r="F234" s="6">
        <v>12</v>
      </c>
      <c r="G234" s="6">
        <f t="shared" si="7"/>
        <v>3</v>
      </c>
      <c r="H234" s="6" t="s">
        <v>1622</v>
      </c>
      <c r="I234" s="5">
        <v>208.78</v>
      </c>
      <c r="J234" s="5">
        <f t="shared" si="6"/>
        <v>2505.36</v>
      </c>
    </row>
    <row r="235" spans="1:10" x14ac:dyDescent="0.25">
      <c r="A235" s="9">
        <v>1047</v>
      </c>
      <c r="B235" s="5" t="s">
        <v>306</v>
      </c>
      <c r="C235" s="5" t="s">
        <v>307</v>
      </c>
      <c r="D235" s="5" t="s">
        <v>1618</v>
      </c>
      <c r="E235" s="6">
        <v>90189084</v>
      </c>
      <c r="F235" s="6">
        <v>12</v>
      </c>
      <c r="G235" s="6">
        <f t="shared" si="7"/>
        <v>3</v>
      </c>
      <c r="H235" s="6" t="s">
        <v>1622</v>
      </c>
      <c r="I235" s="5">
        <v>208.78</v>
      </c>
      <c r="J235" s="5">
        <f t="shared" si="6"/>
        <v>2505.36</v>
      </c>
    </row>
    <row r="236" spans="1:10" x14ac:dyDescent="0.25">
      <c r="A236" s="9">
        <v>1048</v>
      </c>
      <c r="B236" s="5" t="s">
        <v>308</v>
      </c>
      <c r="C236" s="5" t="s">
        <v>309</v>
      </c>
      <c r="D236" s="5" t="s">
        <v>1618</v>
      </c>
      <c r="E236" s="6">
        <v>90189084</v>
      </c>
      <c r="F236" s="6">
        <v>12</v>
      </c>
      <c r="G236" s="6">
        <f t="shared" si="7"/>
        <v>3</v>
      </c>
      <c r="H236" s="6" t="s">
        <v>1622</v>
      </c>
      <c r="I236" s="5">
        <v>208.78</v>
      </c>
      <c r="J236" s="5">
        <f t="shared" si="6"/>
        <v>2505.36</v>
      </c>
    </row>
    <row r="237" spans="1:10" x14ac:dyDescent="0.25">
      <c r="A237" s="9">
        <v>1049</v>
      </c>
      <c r="B237" s="5" t="s">
        <v>310</v>
      </c>
      <c r="C237" s="5" t="s">
        <v>311</v>
      </c>
      <c r="D237" s="5" t="s">
        <v>1618</v>
      </c>
      <c r="E237" s="6">
        <v>90189084</v>
      </c>
      <c r="F237" s="6">
        <v>12</v>
      </c>
      <c r="G237" s="6">
        <f t="shared" si="7"/>
        <v>3</v>
      </c>
      <c r="H237" s="6" t="s">
        <v>1622</v>
      </c>
      <c r="I237" s="5">
        <v>208.78</v>
      </c>
      <c r="J237" s="5">
        <f t="shared" si="6"/>
        <v>2505.36</v>
      </c>
    </row>
    <row r="238" spans="1:10" x14ac:dyDescent="0.25">
      <c r="A238" s="9">
        <v>1050</v>
      </c>
      <c r="B238" s="5" t="s">
        <v>312</v>
      </c>
      <c r="C238" s="5" t="s">
        <v>313</v>
      </c>
      <c r="D238" s="5" t="s">
        <v>1618</v>
      </c>
      <c r="E238" s="6">
        <v>90189084</v>
      </c>
      <c r="F238" s="6">
        <v>12</v>
      </c>
      <c r="G238" s="6">
        <f t="shared" si="7"/>
        <v>3</v>
      </c>
      <c r="H238" s="6" t="s">
        <v>1622</v>
      </c>
      <c r="I238" s="5">
        <v>208.78</v>
      </c>
      <c r="J238" s="5">
        <f t="shared" si="6"/>
        <v>2505.36</v>
      </c>
    </row>
    <row r="239" spans="1:10" x14ac:dyDescent="0.25">
      <c r="A239" s="9">
        <v>1051</v>
      </c>
      <c r="B239" s="5" t="s">
        <v>314</v>
      </c>
      <c r="C239" s="5" t="s">
        <v>315</v>
      </c>
      <c r="D239" s="5" t="s">
        <v>1618</v>
      </c>
      <c r="E239" s="6">
        <v>90189084</v>
      </c>
      <c r="F239" s="6">
        <v>12</v>
      </c>
      <c r="G239" s="6">
        <f t="shared" si="7"/>
        <v>3</v>
      </c>
      <c r="H239" s="6" t="s">
        <v>1622</v>
      </c>
      <c r="I239" s="5">
        <v>208.78</v>
      </c>
      <c r="J239" s="5">
        <f t="shared" si="6"/>
        <v>2505.36</v>
      </c>
    </row>
    <row r="240" spans="1:10" x14ac:dyDescent="0.25">
      <c r="A240" s="9">
        <v>1052</v>
      </c>
      <c r="B240" s="5" t="s">
        <v>316</v>
      </c>
      <c r="C240" s="5" t="s">
        <v>317</v>
      </c>
      <c r="D240" s="5" t="s">
        <v>1618</v>
      </c>
      <c r="E240" s="6">
        <v>90189084</v>
      </c>
      <c r="F240" s="6">
        <v>12</v>
      </c>
      <c r="G240" s="6">
        <f t="shared" si="7"/>
        <v>3</v>
      </c>
      <c r="H240" s="6" t="s">
        <v>1622</v>
      </c>
      <c r="I240" s="5">
        <v>208.78</v>
      </c>
      <c r="J240" s="5">
        <f t="shared" si="6"/>
        <v>2505.36</v>
      </c>
    </row>
    <row r="241" spans="1:10" x14ac:dyDescent="0.25">
      <c r="A241" s="9">
        <v>1053</v>
      </c>
      <c r="B241" s="5" t="s">
        <v>318</v>
      </c>
      <c r="C241" s="5" t="s">
        <v>319</v>
      </c>
      <c r="D241" s="5" t="s">
        <v>1618</v>
      </c>
      <c r="E241" s="6">
        <v>90189084</v>
      </c>
      <c r="F241" s="6">
        <v>12</v>
      </c>
      <c r="G241" s="6">
        <f t="shared" si="7"/>
        <v>3</v>
      </c>
      <c r="H241" s="6" t="s">
        <v>1622</v>
      </c>
      <c r="I241" s="5">
        <v>208.78</v>
      </c>
      <c r="J241" s="5">
        <f t="shared" si="6"/>
        <v>2505.36</v>
      </c>
    </row>
    <row r="242" spans="1:10" x14ac:dyDescent="0.25">
      <c r="A242" s="9">
        <v>1054</v>
      </c>
      <c r="B242" s="5" t="s">
        <v>320</v>
      </c>
      <c r="C242" s="5" t="s">
        <v>321</v>
      </c>
      <c r="D242" s="5" t="s">
        <v>1618</v>
      </c>
      <c r="E242" s="6">
        <v>90189084</v>
      </c>
      <c r="F242" s="6">
        <v>12</v>
      </c>
      <c r="G242" s="6">
        <f t="shared" si="7"/>
        <v>3</v>
      </c>
      <c r="H242" s="6" t="s">
        <v>1622</v>
      </c>
      <c r="I242" s="5">
        <v>208.78</v>
      </c>
      <c r="J242" s="5">
        <f t="shared" si="6"/>
        <v>2505.36</v>
      </c>
    </row>
    <row r="243" spans="1:10" x14ac:dyDescent="0.25">
      <c r="A243" s="9">
        <v>1055</v>
      </c>
      <c r="B243" s="5" t="s">
        <v>322</v>
      </c>
      <c r="C243" s="5" t="s">
        <v>323</v>
      </c>
      <c r="D243" s="5" t="s">
        <v>1618</v>
      </c>
      <c r="E243" s="6">
        <v>90189084</v>
      </c>
      <c r="F243" s="6">
        <v>12</v>
      </c>
      <c r="G243" s="6">
        <f t="shared" si="7"/>
        <v>3</v>
      </c>
      <c r="H243" s="6" t="s">
        <v>1622</v>
      </c>
      <c r="I243" s="5">
        <v>208.78</v>
      </c>
      <c r="J243" s="5">
        <f t="shared" si="6"/>
        <v>2505.36</v>
      </c>
    </row>
    <row r="244" spans="1:10" x14ac:dyDescent="0.25">
      <c r="A244" s="9">
        <v>1056</v>
      </c>
      <c r="B244" s="5" t="s">
        <v>132</v>
      </c>
      <c r="C244" s="5" t="s">
        <v>133</v>
      </c>
      <c r="D244" s="5" t="s">
        <v>1618</v>
      </c>
      <c r="E244" s="6">
        <v>73269098</v>
      </c>
      <c r="F244" s="6">
        <v>12</v>
      </c>
      <c r="G244" s="6">
        <f t="shared" si="7"/>
        <v>3</v>
      </c>
      <c r="H244" s="6" t="s">
        <v>1622</v>
      </c>
      <c r="I244" s="5">
        <v>82.09</v>
      </c>
      <c r="J244" s="5">
        <f t="shared" si="6"/>
        <v>985.08</v>
      </c>
    </row>
    <row r="245" spans="1:10" x14ac:dyDescent="0.25">
      <c r="A245" s="9">
        <v>1057</v>
      </c>
      <c r="B245" s="5" t="s">
        <v>134</v>
      </c>
      <c r="C245" s="5" t="s">
        <v>135</v>
      </c>
      <c r="D245" s="5" t="s">
        <v>1618</v>
      </c>
      <c r="E245" s="6">
        <v>73269098</v>
      </c>
      <c r="F245" s="6">
        <v>12</v>
      </c>
      <c r="G245" s="6">
        <f t="shared" si="7"/>
        <v>3</v>
      </c>
      <c r="H245" s="6" t="s">
        <v>1622</v>
      </c>
      <c r="I245" s="5">
        <v>58.88</v>
      </c>
      <c r="J245" s="5">
        <f t="shared" si="6"/>
        <v>706.56000000000006</v>
      </c>
    </row>
    <row r="246" spans="1:10" x14ac:dyDescent="0.25">
      <c r="A246" s="10"/>
      <c r="B246" s="11"/>
      <c r="C246" s="11" t="s">
        <v>1682</v>
      </c>
      <c r="D246" s="11"/>
      <c r="E246" s="12"/>
      <c r="F246" s="12">
        <v>5</v>
      </c>
      <c r="G246" s="6">
        <f t="shared" si="7"/>
        <v>1.25</v>
      </c>
      <c r="H246" s="12"/>
      <c r="I246" s="2"/>
      <c r="J246" s="13"/>
    </row>
    <row r="247" spans="1:10" x14ac:dyDescent="0.25">
      <c r="A247" s="9">
        <v>1058</v>
      </c>
      <c r="B247" s="5" t="s">
        <v>136</v>
      </c>
      <c r="C247" s="5" t="s">
        <v>137</v>
      </c>
      <c r="D247" s="5" t="s">
        <v>1618</v>
      </c>
      <c r="E247" s="6">
        <v>90189084</v>
      </c>
      <c r="F247" s="6">
        <v>5</v>
      </c>
      <c r="G247" s="6">
        <f t="shared" si="7"/>
        <v>1.25</v>
      </c>
      <c r="H247" s="6" t="s">
        <v>1622</v>
      </c>
      <c r="I247" s="5">
        <v>3.37</v>
      </c>
      <c r="J247" s="5">
        <f t="shared" si="6"/>
        <v>16.850000000000001</v>
      </c>
    </row>
    <row r="248" spans="1:10" x14ac:dyDescent="0.25">
      <c r="A248" s="9">
        <v>1059</v>
      </c>
      <c r="B248" s="5" t="s">
        <v>20</v>
      </c>
      <c r="C248" s="5" t="s">
        <v>21</v>
      </c>
      <c r="D248" s="5" t="s">
        <v>1618</v>
      </c>
      <c r="E248" s="6">
        <v>90189084</v>
      </c>
      <c r="F248" s="6">
        <v>5</v>
      </c>
      <c r="G248" s="6">
        <f t="shared" si="7"/>
        <v>1.25</v>
      </c>
      <c r="H248" s="6" t="s">
        <v>1622</v>
      </c>
      <c r="I248" s="5">
        <v>9.08</v>
      </c>
      <c r="J248" s="5">
        <f t="shared" si="6"/>
        <v>45.4</v>
      </c>
    </row>
    <row r="249" spans="1:10" x14ac:dyDescent="0.25">
      <c r="A249" s="9">
        <v>1060</v>
      </c>
      <c r="B249" s="5" t="s">
        <v>636</v>
      </c>
      <c r="C249" s="5" t="s">
        <v>637</v>
      </c>
      <c r="D249" s="5" t="s">
        <v>1618</v>
      </c>
      <c r="E249" s="6">
        <v>90189084</v>
      </c>
      <c r="F249" s="6">
        <v>5</v>
      </c>
      <c r="G249" s="6">
        <f t="shared" si="7"/>
        <v>1.25</v>
      </c>
      <c r="H249" s="6" t="s">
        <v>1622</v>
      </c>
      <c r="I249" s="5">
        <v>26.62</v>
      </c>
      <c r="J249" s="5">
        <f t="shared" si="6"/>
        <v>133.1</v>
      </c>
    </row>
    <row r="250" spans="1:10" x14ac:dyDescent="0.25">
      <c r="A250" s="9">
        <v>1061</v>
      </c>
      <c r="B250" s="5" t="s">
        <v>178</v>
      </c>
      <c r="C250" s="5" t="s">
        <v>179</v>
      </c>
      <c r="D250" s="5" t="s">
        <v>1618</v>
      </c>
      <c r="E250" s="6">
        <v>90189084</v>
      </c>
      <c r="F250" s="6">
        <v>5</v>
      </c>
      <c r="G250" s="6">
        <f t="shared" si="7"/>
        <v>1.25</v>
      </c>
      <c r="H250" s="6" t="s">
        <v>1622</v>
      </c>
      <c r="I250" s="5">
        <v>11.83</v>
      </c>
      <c r="J250" s="5">
        <f t="shared" si="6"/>
        <v>59.15</v>
      </c>
    </row>
    <row r="251" spans="1:10" x14ac:dyDescent="0.25">
      <c r="A251" s="9">
        <v>1062</v>
      </c>
      <c r="B251" s="5" t="s">
        <v>80</v>
      </c>
      <c r="C251" s="5" t="s">
        <v>1607</v>
      </c>
      <c r="D251" s="5" t="s">
        <v>1618</v>
      </c>
      <c r="E251" s="6">
        <v>90189084</v>
      </c>
      <c r="F251" s="6">
        <v>5</v>
      </c>
      <c r="G251" s="6">
        <f t="shared" si="7"/>
        <v>1.25</v>
      </c>
      <c r="H251" s="6" t="s">
        <v>1622</v>
      </c>
      <c r="I251" s="5">
        <v>37.979999999999997</v>
      </c>
      <c r="J251" s="5">
        <f t="shared" si="6"/>
        <v>189.89999999999998</v>
      </c>
    </row>
    <row r="252" spans="1:10" x14ac:dyDescent="0.25">
      <c r="A252" s="9">
        <v>1063</v>
      </c>
      <c r="B252" s="5" t="s">
        <v>1611</v>
      </c>
      <c r="C252" s="5" t="s">
        <v>1616</v>
      </c>
      <c r="D252" s="5" t="s">
        <v>1618</v>
      </c>
      <c r="E252" s="6">
        <v>90189084</v>
      </c>
      <c r="F252" s="6">
        <v>20</v>
      </c>
      <c r="G252" s="6">
        <f t="shared" si="7"/>
        <v>5</v>
      </c>
      <c r="H252" s="6" t="s">
        <v>1622</v>
      </c>
      <c r="I252" s="5">
        <v>24.97</v>
      </c>
      <c r="J252" s="5">
        <f t="shared" si="6"/>
        <v>499.4</v>
      </c>
    </row>
    <row r="253" spans="1:10" x14ac:dyDescent="0.25">
      <c r="A253" s="9">
        <v>1064</v>
      </c>
      <c r="B253" s="5" t="s">
        <v>1612</v>
      </c>
      <c r="C253" s="5" t="s">
        <v>1617</v>
      </c>
      <c r="D253" s="5" t="s">
        <v>1618</v>
      </c>
      <c r="E253" s="6">
        <v>90189084</v>
      </c>
      <c r="F253" s="6">
        <v>5</v>
      </c>
      <c r="G253" s="6">
        <f t="shared" si="7"/>
        <v>1.25</v>
      </c>
      <c r="H253" s="6" t="s">
        <v>1622</v>
      </c>
      <c r="I253" s="5">
        <v>51.99</v>
      </c>
      <c r="J253" s="5">
        <f t="shared" si="6"/>
        <v>259.95</v>
      </c>
    </row>
    <row r="254" spans="1:10" x14ac:dyDescent="0.25">
      <c r="A254" s="9">
        <v>1065</v>
      </c>
      <c r="B254" s="5" t="s">
        <v>636</v>
      </c>
      <c r="C254" s="5" t="s">
        <v>637</v>
      </c>
      <c r="D254" s="5" t="s">
        <v>1618</v>
      </c>
      <c r="E254" s="6">
        <v>90189084</v>
      </c>
      <c r="F254" s="6">
        <v>5</v>
      </c>
      <c r="G254" s="6">
        <f t="shared" si="7"/>
        <v>1.25</v>
      </c>
      <c r="H254" s="6" t="s">
        <v>1622</v>
      </c>
      <c r="I254" s="5">
        <v>26.62</v>
      </c>
      <c r="J254" s="5">
        <f t="shared" si="6"/>
        <v>133.1</v>
      </c>
    </row>
    <row r="255" spans="1:10" x14ac:dyDescent="0.25">
      <c r="A255" s="9">
        <v>1066</v>
      </c>
      <c r="B255" s="5" t="s">
        <v>178</v>
      </c>
      <c r="C255" s="5" t="s">
        <v>179</v>
      </c>
      <c r="D255" s="5" t="s">
        <v>1618</v>
      </c>
      <c r="E255" s="6">
        <v>90189084</v>
      </c>
      <c r="F255" s="6">
        <v>5</v>
      </c>
      <c r="G255" s="6">
        <f t="shared" si="7"/>
        <v>1.25</v>
      </c>
      <c r="H255" s="6" t="s">
        <v>1622</v>
      </c>
      <c r="I255" s="5">
        <v>11.83</v>
      </c>
      <c r="J255" s="5">
        <f t="shared" si="6"/>
        <v>59.15</v>
      </c>
    </row>
    <row r="256" spans="1:10" x14ac:dyDescent="0.25">
      <c r="A256" s="9">
        <v>1067</v>
      </c>
      <c r="B256" s="5" t="s">
        <v>80</v>
      </c>
      <c r="C256" s="5" t="s">
        <v>1607</v>
      </c>
      <c r="D256" s="5" t="s">
        <v>1618</v>
      </c>
      <c r="E256" s="6">
        <v>90189084</v>
      </c>
      <c r="F256" s="6">
        <v>5</v>
      </c>
      <c r="G256" s="6">
        <f t="shared" si="7"/>
        <v>1.25</v>
      </c>
      <c r="H256" s="6" t="s">
        <v>1622</v>
      </c>
      <c r="I256" s="5">
        <v>37.979999999999997</v>
      </c>
      <c r="J256" s="5">
        <f t="shared" si="6"/>
        <v>189.89999999999998</v>
      </c>
    </row>
    <row r="257" spans="1:10" x14ac:dyDescent="0.25">
      <c r="A257" s="9">
        <v>1068</v>
      </c>
      <c r="B257" s="5" t="s">
        <v>1611</v>
      </c>
      <c r="C257" s="5" t="s">
        <v>1616</v>
      </c>
      <c r="D257" s="5" t="s">
        <v>1618</v>
      </c>
      <c r="E257" s="6">
        <v>90189084</v>
      </c>
      <c r="F257" s="6">
        <v>5</v>
      </c>
      <c r="G257" s="6">
        <f t="shared" si="7"/>
        <v>1.25</v>
      </c>
      <c r="H257" s="6" t="s">
        <v>1622</v>
      </c>
      <c r="I257" s="5">
        <v>24.97</v>
      </c>
      <c r="J257" s="5">
        <f t="shared" si="6"/>
        <v>124.85</v>
      </c>
    </row>
    <row r="258" spans="1:10" x14ac:dyDescent="0.25">
      <c r="A258" s="9">
        <v>1069</v>
      </c>
      <c r="B258" s="5" t="s">
        <v>1612</v>
      </c>
      <c r="C258" s="5" t="s">
        <v>1617</v>
      </c>
      <c r="D258" s="5" t="s">
        <v>1618</v>
      </c>
      <c r="E258" s="6">
        <v>90189084</v>
      </c>
      <c r="F258" s="6">
        <v>5</v>
      </c>
      <c r="G258" s="6">
        <f t="shared" si="7"/>
        <v>1.25</v>
      </c>
      <c r="H258" s="6" t="s">
        <v>1622</v>
      </c>
      <c r="I258" s="5">
        <v>61.16</v>
      </c>
      <c r="J258" s="5">
        <f t="shared" si="6"/>
        <v>305.79999999999995</v>
      </c>
    </row>
    <row r="259" spans="1:10" x14ac:dyDescent="0.25">
      <c r="A259" s="9">
        <v>1070</v>
      </c>
      <c r="B259" s="5" t="s">
        <v>638</v>
      </c>
      <c r="C259" s="5" t="s">
        <v>639</v>
      </c>
      <c r="D259" s="5" t="s">
        <v>1618</v>
      </c>
      <c r="E259" s="6">
        <v>90189084</v>
      </c>
      <c r="F259" s="6">
        <v>5</v>
      </c>
      <c r="G259" s="6">
        <f t="shared" si="7"/>
        <v>1.25</v>
      </c>
      <c r="H259" s="6" t="s">
        <v>1622</v>
      </c>
      <c r="I259" s="5">
        <v>122.65</v>
      </c>
      <c r="J259" s="5">
        <f t="shared" ref="J259:J322" si="8">F259*I259</f>
        <v>613.25</v>
      </c>
    </row>
    <row r="260" spans="1:10" x14ac:dyDescent="0.25">
      <c r="A260" s="9">
        <v>1071</v>
      </c>
      <c r="B260" s="5" t="s">
        <v>640</v>
      </c>
      <c r="C260" s="5" t="s">
        <v>641</v>
      </c>
      <c r="D260" s="5" t="s">
        <v>1618</v>
      </c>
      <c r="E260" s="6">
        <v>90189084</v>
      </c>
      <c r="F260" s="6">
        <v>5</v>
      </c>
      <c r="G260" s="6">
        <f t="shared" ref="G260:G323" si="9">F260/$F$2</f>
        <v>1.25</v>
      </c>
      <c r="H260" s="6" t="s">
        <v>1622</v>
      </c>
      <c r="I260" s="5">
        <v>48.01</v>
      </c>
      <c r="J260" s="5">
        <f t="shared" si="8"/>
        <v>240.04999999999998</v>
      </c>
    </row>
    <row r="261" spans="1:10" x14ac:dyDescent="0.25">
      <c r="A261" s="9">
        <v>1072</v>
      </c>
      <c r="B261" s="5" t="s">
        <v>642</v>
      </c>
      <c r="C261" s="5" t="s">
        <v>643</v>
      </c>
      <c r="D261" s="5" t="s">
        <v>1618</v>
      </c>
      <c r="E261" s="6">
        <v>90189084</v>
      </c>
      <c r="F261" s="6">
        <v>5</v>
      </c>
      <c r="G261" s="6">
        <f t="shared" si="9"/>
        <v>1.25</v>
      </c>
      <c r="H261" s="6" t="s">
        <v>1622</v>
      </c>
      <c r="I261" s="5">
        <v>52.15</v>
      </c>
      <c r="J261" s="5">
        <f t="shared" si="8"/>
        <v>260.75</v>
      </c>
    </row>
    <row r="262" spans="1:10" x14ac:dyDescent="0.25">
      <c r="A262" s="9">
        <v>1073</v>
      </c>
      <c r="B262" s="5" t="s">
        <v>644</v>
      </c>
      <c r="C262" s="5" t="s">
        <v>645</v>
      </c>
      <c r="D262" s="5" t="s">
        <v>1619</v>
      </c>
      <c r="E262" s="6">
        <v>90189084</v>
      </c>
      <c r="F262" s="6">
        <v>5</v>
      </c>
      <c r="G262" s="6">
        <f t="shared" si="9"/>
        <v>1.25</v>
      </c>
      <c r="H262" s="6" t="s">
        <v>1622</v>
      </c>
      <c r="I262" s="5">
        <v>39.869999999999997</v>
      </c>
      <c r="J262" s="5">
        <f t="shared" si="8"/>
        <v>199.35</v>
      </c>
    </row>
    <row r="263" spans="1:10" x14ac:dyDescent="0.25">
      <c r="A263" s="9">
        <v>1074</v>
      </c>
      <c r="B263" s="5" t="s">
        <v>646</v>
      </c>
      <c r="C263" s="5" t="s">
        <v>647</v>
      </c>
      <c r="D263" s="5" t="s">
        <v>1619</v>
      </c>
      <c r="E263" s="6">
        <v>90189084</v>
      </c>
      <c r="F263" s="6">
        <v>5</v>
      </c>
      <c r="G263" s="6">
        <f t="shared" si="9"/>
        <v>1.25</v>
      </c>
      <c r="H263" s="6" t="s">
        <v>1622</v>
      </c>
      <c r="I263" s="5">
        <v>50.99</v>
      </c>
      <c r="J263" s="5">
        <f t="shared" si="8"/>
        <v>254.95000000000002</v>
      </c>
    </row>
    <row r="264" spans="1:10" x14ac:dyDescent="0.25">
      <c r="A264" s="9">
        <v>1075</v>
      </c>
      <c r="B264" s="5" t="s">
        <v>102</v>
      </c>
      <c r="C264" s="5" t="s">
        <v>103</v>
      </c>
      <c r="D264" s="5" t="s">
        <v>1619</v>
      </c>
      <c r="E264" s="6">
        <v>90189084</v>
      </c>
      <c r="F264" s="6">
        <v>5</v>
      </c>
      <c r="G264" s="6">
        <f t="shared" si="9"/>
        <v>1.25</v>
      </c>
      <c r="H264" s="6" t="s">
        <v>1622</v>
      </c>
      <c r="I264" s="5">
        <v>14.66</v>
      </c>
      <c r="J264" s="5">
        <f t="shared" si="8"/>
        <v>73.3</v>
      </c>
    </row>
    <row r="265" spans="1:10" x14ac:dyDescent="0.25">
      <c r="A265" s="9">
        <v>1076</v>
      </c>
      <c r="B265" s="5" t="s">
        <v>648</v>
      </c>
      <c r="C265" s="5" t="s">
        <v>649</v>
      </c>
      <c r="D265" s="5" t="s">
        <v>1619</v>
      </c>
      <c r="E265" s="6">
        <v>90189084</v>
      </c>
      <c r="F265" s="6">
        <v>20</v>
      </c>
      <c r="G265" s="6">
        <f t="shared" si="9"/>
        <v>5</v>
      </c>
      <c r="H265" s="6" t="s">
        <v>1622</v>
      </c>
      <c r="I265" s="5">
        <v>11.62</v>
      </c>
      <c r="J265" s="5">
        <f t="shared" si="8"/>
        <v>232.39999999999998</v>
      </c>
    </row>
    <row r="266" spans="1:10" x14ac:dyDescent="0.25">
      <c r="A266" s="9">
        <v>1077</v>
      </c>
      <c r="B266" s="5" t="s">
        <v>650</v>
      </c>
      <c r="C266" s="5" t="s">
        <v>651</v>
      </c>
      <c r="D266" s="5" t="s">
        <v>1619</v>
      </c>
      <c r="E266" s="6">
        <v>90189084</v>
      </c>
      <c r="F266" s="6">
        <v>20</v>
      </c>
      <c r="G266" s="6">
        <f t="shared" si="9"/>
        <v>5</v>
      </c>
      <c r="H266" s="6" t="s">
        <v>1622</v>
      </c>
      <c r="I266" s="5">
        <v>12.34</v>
      </c>
      <c r="J266" s="5">
        <f t="shared" si="8"/>
        <v>246.8</v>
      </c>
    </row>
    <row r="267" spans="1:10" x14ac:dyDescent="0.25">
      <c r="A267" s="9">
        <v>1078</v>
      </c>
      <c r="B267" s="5" t="s">
        <v>652</v>
      </c>
      <c r="C267" s="5" t="s">
        <v>653</v>
      </c>
      <c r="D267" s="5" t="s">
        <v>1619</v>
      </c>
      <c r="E267" s="6">
        <v>90189084</v>
      </c>
      <c r="F267" s="6">
        <v>20</v>
      </c>
      <c r="G267" s="6">
        <f t="shared" si="9"/>
        <v>5</v>
      </c>
      <c r="H267" s="6" t="s">
        <v>1622</v>
      </c>
      <c r="I267" s="5">
        <v>14.86</v>
      </c>
      <c r="J267" s="5">
        <f t="shared" si="8"/>
        <v>297.2</v>
      </c>
    </row>
    <row r="268" spans="1:10" x14ac:dyDescent="0.25">
      <c r="A268" s="9">
        <v>1079</v>
      </c>
      <c r="B268" s="5" t="s">
        <v>648</v>
      </c>
      <c r="C268" s="5" t="s">
        <v>649</v>
      </c>
      <c r="D268" s="5" t="s">
        <v>1619</v>
      </c>
      <c r="E268" s="6">
        <v>90189084</v>
      </c>
      <c r="F268" s="6">
        <v>10</v>
      </c>
      <c r="G268" s="6">
        <f t="shared" si="9"/>
        <v>2.5</v>
      </c>
      <c r="H268" s="6" t="s">
        <v>1622</v>
      </c>
      <c r="I268" s="5">
        <v>11.62</v>
      </c>
      <c r="J268" s="5">
        <f t="shared" si="8"/>
        <v>116.19999999999999</v>
      </c>
    </row>
    <row r="269" spans="1:10" x14ac:dyDescent="0.25">
      <c r="A269" s="9">
        <v>1080</v>
      </c>
      <c r="B269" s="5" t="s">
        <v>650</v>
      </c>
      <c r="C269" s="5" t="s">
        <v>651</v>
      </c>
      <c r="D269" s="5" t="s">
        <v>1619</v>
      </c>
      <c r="E269" s="6">
        <v>90189084</v>
      </c>
      <c r="F269" s="6">
        <v>10</v>
      </c>
      <c r="G269" s="6">
        <f t="shared" si="9"/>
        <v>2.5</v>
      </c>
      <c r="H269" s="6" t="s">
        <v>1622</v>
      </c>
      <c r="I269" s="5">
        <v>12.34</v>
      </c>
      <c r="J269" s="5">
        <f t="shared" si="8"/>
        <v>123.4</v>
      </c>
    </row>
    <row r="270" spans="1:10" x14ac:dyDescent="0.25">
      <c r="A270" s="9">
        <v>1081</v>
      </c>
      <c r="B270" s="5" t="s">
        <v>652</v>
      </c>
      <c r="C270" s="5" t="s">
        <v>653</v>
      </c>
      <c r="D270" s="5" t="s">
        <v>1619</v>
      </c>
      <c r="E270" s="6">
        <v>90189084</v>
      </c>
      <c r="F270" s="6">
        <v>10</v>
      </c>
      <c r="G270" s="6">
        <f t="shared" si="9"/>
        <v>2.5</v>
      </c>
      <c r="H270" s="6" t="s">
        <v>1622</v>
      </c>
      <c r="I270" s="5">
        <v>14.86</v>
      </c>
      <c r="J270" s="5">
        <f t="shared" si="8"/>
        <v>148.6</v>
      </c>
    </row>
    <row r="271" spans="1:10" x14ac:dyDescent="0.25">
      <c r="A271" s="9">
        <v>1082</v>
      </c>
      <c r="B271" s="5" t="s">
        <v>654</v>
      </c>
      <c r="C271" s="5" t="s">
        <v>655</v>
      </c>
      <c r="D271" s="5" t="s">
        <v>1618</v>
      </c>
      <c r="E271" s="6">
        <v>90189084</v>
      </c>
      <c r="F271" s="6">
        <v>5</v>
      </c>
      <c r="G271" s="6">
        <f t="shared" si="9"/>
        <v>1.25</v>
      </c>
      <c r="H271" s="6" t="s">
        <v>1622</v>
      </c>
      <c r="I271" s="5">
        <v>3.74</v>
      </c>
      <c r="J271" s="5">
        <f t="shared" si="8"/>
        <v>18.700000000000003</v>
      </c>
    </row>
    <row r="272" spans="1:10" x14ac:dyDescent="0.25">
      <c r="A272" s="9">
        <v>1083</v>
      </c>
      <c r="B272" s="5" t="s">
        <v>656</v>
      </c>
      <c r="C272" s="5" t="s">
        <v>657</v>
      </c>
      <c r="D272" s="5" t="s">
        <v>1618</v>
      </c>
      <c r="E272" s="6">
        <v>90189084</v>
      </c>
      <c r="F272" s="6">
        <v>5</v>
      </c>
      <c r="G272" s="6">
        <f t="shared" si="9"/>
        <v>1.25</v>
      </c>
      <c r="H272" s="6" t="s">
        <v>1622</v>
      </c>
      <c r="I272" s="5">
        <v>16.98</v>
      </c>
      <c r="J272" s="5">
        <f t="shared" si="8"/>
        <v>84.9</v>
      </c>
    </row>
    <row r="273" spans="1:10" x14ac:dyDescent="0.25">
      <c r="A273" s="9">
        <v>1084</v>
      </c>
      <c r="B273" s="5" t="s">
        <v>658</v>
      </c>
      <c r="C273" s="5" t="s">
        <v>659</v>
      </c>
      <c r="D273" s="5" t="s">
        <v>1618</v>
      </c>
      <c r="E273" s="6">
        <v>90189084</v>
      </c>
      <c r="F273" s="6">
        <v>5</v>
      </c>
      <c r="G273" s="6">
        <f t="shared" si="9"/>
        <v>1.25</v>
      </c>
      <c r="H273" s="6" t="s">
        <v>1622</v>
      </c>
      <c r="I273" s="5">
        <v>21.25</v>
      </c>
      <c r="J273" s="5">
        <f t="shared" si="8"/>
        <v>106.25</v>
      </c>
    </row>
    <row r="274" spans="1:10" x14ac:dyDescent="0.25">
      <c r="A274" s="9">
        <v>1085</v>
      </c>
      <c r="B274" s="5" t="s">
        <v>660</v>
      </c>
      <c r="C274" s="5" t="s">
        <v>661</v>
      </c>
      <c r="D274" s="5" t="s">
        <v>1618</v>
      </c>
      <c r="E274" s="6">
        <v>90189084</v>
      </c>
      <c r="F274" s="6">
        <v>10</v>
      </c>
      <c r="G274" s="6">
        <f t="shared" si="9"/>
        <v>2.5</v>
      </c>
      <c r="H274" s="6" t="s">
        <v>1622</v>
      </c>
      <c r="I274" s="5">
        <v>29.01</v>
      </c>
      <c r="J274" s="5">
        <f t="shared" si="8"/>
        <v>290.10000000000002</v>
      </c>
    </row>
    <row r="275" spans="1:10" x14ac:dyDescent="0.25">
      <c r="A275" s="9">
        <v>1086</v>
      </c>
      <c r="B275" s="5" t="s">
        <v>662</v>
      </c>
      <c r="C275" s="5" t="s">
        <v>663</v>
      </c>
      <c r="D275" s="5" t="s">
        <v>1618</v>
      </c>
      <c r="E275" s="6">
        <v>90189084</v>
      </c>
      <c r="F275" s="6">
        <v>5</v>
      </c>
      <c r="G275" s="6">
        <f t="shared" si="9"/>
        <v>1.25</v>
      </c>
      <c r="H275" s="6" t="s">
        <v>1622</v>
      </c>
      <c r="I275" s="5">
        <v>36.5</v>
      </c>
      <c r="J275" s="5">
        <f t="shared" si="8"/>
        <v>182.5</v>
      </c>
    </row>
    <row r="276" spans="1:10" x14ac:dyDescent="0.25">
      <c r="A276" s="9">
        <v>1087</v>
      </c>
      <c r="B276" s="5" t="s">
        <v>664</v>
      </c>
      <c r="C276" s="5" t="s">
        <v>665</v>
      </c>
      <c r="D276" s="5" t="s">
        <v>1618</v>
      </c>
      <c r="E276" s="6">
        <v>90189084</v>
      </c>
      <c r="F276" s="6">
        <v>5</v>
      </c>
      <c r="G276" s="6">
        <f t="shared" si="9"/>
        <v>1.25</v>
      </c>
      <c r="H276" s="6" t="s">
        <v>1622</v>
      </c>
      <c r="I276" s="5">
        <v>36.5</v>
      </c>
      <c r="J276" s="5">
        <f t="shared" si="8"/>
        <v>182.5</v>
      </c>
    </row>
    <row r="277" spans="1:10" x14ac:dyDescent="0.25">
      <c r="A277" s="9">
        <v>1088</v>
      </c>
      <c r="B277" s="5" t="s">
        <v>666</v>
      </c>
      <c r="C277" s="5" t="s">
        <v>667</v>
      </c>
      <c r="D277" s="5" t="s">
        <v>1618</v>
      </c>
      <c r="E277" s="6">
        <v>90189084</v>
      </c>
      <c r="F277" s="6">
        <v>5</v>
      </c>
      <c r="G277" s="6">
        <f t="shared" si="9"/>
        <v>1.25</v>
      </c>
      <c r="H277" s="6" t="s">
        <v>1622</v>
      </c>
      <c r="I277" s="5">
        <v>77.19</v>
      </c>
      <c r="J277" s="5">
        <f t="shared" si="8"/>
        <v>385.95</v>
      </c>
    </row>
    <row r="278" spans="1:10" x14ac:dyDescent="0.25">
      <c r="A278" s="9">
        <v>1089</v>
      </c>
      <c r="B278" s="5" t="s">
        <v>668</v>
      </c>
      <c r="C278" s="5" t="s">
        <v>669</v>
      </c>
      <c r="D278" s="5" t="s">
        <v>1618</v>
      </c>
      <c r="E278" s="6">
        <v>90189084</v>
      </c>
      <c r="F278" s="6">
        <v>5</v>
      </c>
      <c r="G278" s="6">
        <f t="shared" si="9"/>
        <v>1.25</v>
      </c>
      <c r="H278" s="6" t="s">
        <v>1622</v>
      </c>
      <c r="I278" s="5">
        <v>70.28</v>
      </c>
      <c r="J278" s="5">
        <f t="shared" si="8"/>
        <v>351.4</v>
      </c>
    </row>
    <row r="279" spans="1:10" x14ac:dyDescent="0.25">
      <c r="A279" s="9">
        <v>1090</v>
      </c>
      <c r="B279" s="5" t="s">
        <v>384</v>
      </c>
      <c r="C279" s="5" t="s">
        <v>385</v>
      </c>
      <c r="D279" s="5" t="s">
        <v>1618</v>
      </c>
      <c r="E279" s="6">
        <v>90189084</v>
      </c>
      <c r="F279" s="6">
        <v>10</v>
      </c>
      <c r="G279" s="6">
        <f t="shared" si="9"/>
        <v>2.5</v>
      </c>
      <c r="H279" s="6" t="s">
        <v>1622</v>
      </c>
      <c r="I279" s="5">
        <v>19.260000000000002</v>
      </c>
      <c r="J279" s="5">
        <f t="shared" si="8"/>
        <v>192.60000000000002</v>
      </c>
    </row>
    <row r="280" spans="1:10" x14ac:dyDescent="0.25">
      <c r="A280" s="9">
        <v>1091</v>
      </c>
      <c r="B280" s="5" t="s">
        <v>334</v>
      </c>
      <c r="C280" s="5" t="s">
        <v>335</v>
      </c>
      <c r="D280" s="5" t="s">
        <v>1618</v>
      </c>
      <c r="E280" s="6">
        <v>90189084</v>
      </c>
      <c r="F280" s="6">
        <v>5</v>
      </c>
      <c r="G280" s="6">
        <f t="shared" si="9"/>
        <v>1.25</v>
      </c>
      <c r="H280" s="6" t="s">
        <v>1622</v>
      </c>
      <c r="I280" s="5">
        <v>30.54</v>
      </c>
      <c r="J280" s="5">
        <f t="shared" si="8"/>
        <v>152.69999999999999</v>
      </c>
    </row>
    <row r="281" spans="1:10" x14ac:dyDescent="0.25">
      <c r="A281" s="9">
        <v>1092</v>
      </c>
      <c r="B281" s="5" t="s">
        <v>670</v>
      </c>
      <c r="C281" s="5" t="s">
        <v>671</v>
      </c>
      <c r="D281" s="5" t="s">
        <v>1618</v>
      </c>
      <c r="E281" s="6">
        <v>90189084</v>
      </c>
      <c r="F281" s="6">
        <v>5</v>
      </c>
      <c r="G281" s="6">
        <f t="shared" si="9"/>
        <v>1.25</v>
      </c>
      <c r="H281" s="6" t="s">
        <v>1622</v>
      </c>
      <c r="I281" s="5">
        <v>32.03</v>
      </c>
      <c r="J281" s="5">
        <f t="shared" si="8"/>
        <v>160.15</v>
      </c>
    </row>
    <row r="282" spans="1:10" x14ac:dyDescent="0.25">
      <c r="A282" s="9">
        <v>1093</v>
      </c>
      <c r="B282" s="5" t="s">
        <v>672</v>
      </c>
      <c r="C282" s="5" t="s">
        <v>673</v>
      </c>
      <c r="D282" s="5" t="s">
        <v>1618</v>
      </c>
      <c r="E282" s="6">
        <v>90189084</v>
      </c>
      <c r="F282" s="6">
        <v>5</v>
      </c>
      <c r="G282" s="6">
        <f t="shared" si="9"/>
        <v>1.25</v>
      </c>
      <c r="H282" s="6" t="s">
        <v>1622</v>
      </c>
      <c r="I282" s="5">
        <v>125.73</v>
      </c>
      <c r="J282" s="5">
        <f t="shared" si="8"/>
        <v>628.65</v>
      </c>
    </row>
    <row r="283" spans="1:10" x14ac:dyDescent="0.25">
      <c r="A283" s="9">
        <v>1094</v>
      </c>
      <c r="B283" s="5" t="s">
        <v>674</v>
      </c>
      <c r="C283" s="5" t="s">
        <v>367</v>
      </c>
      <c r="D283" s="5" t="s">
        <v>1618</v>
      </c>
      <c r="E283" s="6">
        <v>90189084</v>
      </c>
      <c r="F283" s="6">
        <v>5</v>
      </c>
      <c r="G283" s="6">
        <f t="shared" si="9"/>
        <v>1.25</v>
      </c>
      <c r="H283" s="6" t="s">
        <v>1622</v>
      </c>
      <c r="I283" s="5">
        <v>208.32</v>
      </c>
      <c r="J283" s="5">
        <f t="shared" si="8"/>
        <v>1041.5999999999999</v>
      </c>
    </row>
    <row r="284" spans="1:10" x14ac:dyDescent="0.25">
      <c r="A284" s="9">
        <v>1095</v>
      </c>
      <c r="B284" s="5" t="s">
        <v>675</v>
      </c>
      <c r="C284" s="5" t="s">
        <v>676</v>
      </c>
      <c r="D284" s="5" t="s">
        <v>1618</v>
      </c>
      <c r="E284" s="6">
        <v>90189084</v>
      </c>
      <c r="F284" s="6">
        <v>5</v>
      </c>
      <c r="G284" s="6">
        <f t="shared" si="9"/>
        <v>1.25</v>
      </c>
      <c r="H284" s="6" t="s">
        <v>1622</v>
      </c>
      <c r="I284" s="5">
        <v>19.690000000000001</v>
      </c>
      <c r="J284" s="5">
        <f t="shared" si="8"/>
        <v>98.45</v>
      </c>
    </row>
    <row r="285" spans="1:10" x14ac:dyDescent="0.25">
      <c r="A285" s="9">
        <v>1096</v>
      </c>
      <c r="B285" s="5" t="s">
        <v>677</v>
      </c>
      <c r="C285" s="5" t="s">
        <v>678</v>
      </c>
      <c r="D285" s="5" t="s">
        <v>1618</v>
      </c>
      <c r="E285" s="6">
        <v>90189084</v>
      </c>
      <c r="F285" s="6">
        <v>5</v>
      </c>
      <c r="G285" s="6">
        <f t="shared" si="9"/>
        <v>1.25</v>
      </c>
      <c r="H285" s="6" t="s">
        <v>1622</v>
      </c>
      <c r="I285" s="5">
        <v>25.23</v>
      </c>
      <c r="J285" s="5">
        <f t="shared" si="8"/>
        <v>126.15</v>
      </c>
    </row>
    <row r="286" spans="1:10" x14ac:dyDescent="0.25">
      <c r="A286" s="9">
        <v>1097</v>
      </c>
      <c r="B286" s="5" t="s">
        <v>679</v>
      </c>
      <c r="C286" s="5" t="s">
        <v>680</v>
      </c>
      <c r="D286" s="5" t="s">
        <v>1618</v>
      </c>
      <c r="E286" s="6">
        <v>90189084</v>
      </c>
      <c r="F286" s="6">
        <v>5</v>
      </c>
      <c r="G286" s="6">
        <f t="shared" si="9"/>
        <v>1.25</v>
      </c>
      <c r="H286" s="6" t="s">
        <v>1622</v>
      </c>
      <c r="I286" s="5">
        <v>25.93</v>
      </c>
      <c r="J286" s="5">
        <f t="shared" si="8"/>
        <v>129.65</v>
      </c>
    </row>
    <row r="287" spans="1:10" x14ac:dyDescent="0.25">
      <c r="A287" s="9">
        <v>1098</v>
      </c>
      <c r="B287" s="5" t="s">
        <v>681</v>
      </c>
      <c r="C287" s="5" t="s">
        <v>682</v>
      </c>
      <c r="D287" s="5" t="s">
        <v>1618</v>
      </c>
      <c r="E287" s="6">
        <v>90189084</v>
      </c>
      <c r="F287" s="6">
        <v>5</v>
      </c>
      <c r="G287" s="6">
        <f t="shared" si="9"/>
        <v>1.25</v>
      </c>
      <c r="H287" s="6" t="s">
        <v>1622</v>
      </c>
      <c r="I287" s="5">
        <v>68.06</v>
      </c>
      <c r="J287" s="5">
        <f t="shared" si="8"/>
        <v>340.3</v>
      </c>
    </row>
    <row r="288" spans="1:10" x14ac:dyDescent="0.25">
      <c r="A288" s="9">
        <v>1099</v>
      </c>
      <c r="B288" s="5" t="s">
        <v>112</v>
      </c>
      <c r="C288" s="5" t="s">
        <v>113</v>
      </c>
      <c r="D288" s="5" t="s">
        <v>1618</v>
      </c>
      <c r="E288" s="6">
        <v>73269098</v>
      </c>
      <c r="F288" s="6">
        <v>5</v>
      </c>
      <c r="G288" s="6">
        <f t="shared" si="9"/>
        <v>1.25</v>
      </c>
      <c r="H288" s="6" t="s">
        <v>1622</v>
      </c>
      <c r="I288" s="5">
        <v>1841.54</v>
      </c>
      <c r="J288" s="5">
        <f t="shared" si="8"/>
        <v>9207.7000000000007</v>
      </c>
    </row>
    <row r="289" spans="1:10" x14ac:dyDescent="0.25">
      <c r="A289" s="9">
        <v>1100</v>
      </c>
      <c r="B289" s="5" t="s">
        <v>114</v>
      </c>
      <c r="C289" s="5" t="s">
        <v>115</v>
      </c>
      <c r="D289" s="5" t="s">
        <v>1618</v>
      </c>
      <c r="E289" s="6">
        <v>73269098</v>
      </c>
      <c r="F289" s="6">
        <v>5</v>
      </c>
      <c r="G289" s="6">
        <f t="shared" si="9"/>
        <v>1.25</v>
      </c>
      <c r="H289" s="6" t="s">
        <v>1622</v>
      </c>
      <c r="I289" s="5">
        <v>293.41000000000003</v>
      </c>
      <c r="J289" s="5">
        <f t="shared" si="8"/>
        <v>1467.0500000000002</v>
      </c>
    </row>
    <row r="290" spans="1:10" x14ac:dyDescent="0.25">
      <c r="A290" s="9">
        <v>1101</v>
      </c>
      <c r="B290" s="5" t="s">
        <v>116</v>
      </c>
      <c r="C290" s="5" t="s">
        <v>117</v>
      </c>
      <c r="D290" s="5" t="s">
        <v>1618</v>
      </c>
      <c r="E290" s="6">
        <v>73269098</v>
      </c>
      <c r="F290" s="6">
        <v>5</v>
      </c>
      <c r="G290" s="6">
        <f t="shared" si="9"/>
        <v>1.25</v>
      </c>
      <c r="H290" s="6" t="s">
        <v>1622</v>
      </c>
      <c r="I290" s="5">
        <v>1371.34</v>
      </c>
      <c r="J290" s="5">
        <f t="shared" si="8"/>
        <v>6856.7</v>
      </c>
    </row>
    <row r="291" spans="1:10" x14ac:dyDescent="0.25">
      <c r="A291" s="9">
        <v>1102</v>
      </c>
      <c r="B291" s="5" t="s">
        <v>118</v>
      </c>
      <c r="C291" s="5" t="s">
        <v>119</v>
      </c>
      <c r="D291" s="5" t="s">
        <v>1618</v>
      </c>
      <c r="E291" s="6">
        <v>73269098</v>
      </c>
      <c r="F291" s="6">
        <v>10</v>
      </c>
      <c r="G291" s="6">
        <f t="shared" si="9"/>
        <v>2.5</v>
      </c>
      <c r="H291" s="6" t="s">
        <v>1622</v>
      </c>
      <c r="I291" s="5">
        <v>586.75</v>
      </c>
      <c r="J291" s="5">
        <f t="shared" si="8"/>
        <v>5867.5</v>
      </c>
    </row>
    <row r="292" spans="1:10" x14ac:dyDescent="0.25">
      <c r="A292" s="9">
        <v>1103</v>
      </c>
      <c r="B292" s="5" t="s">
        <v>120</v>
      </c>
      <c r="C292" s="5" t="s">
        <v>121</v>
      </c>
      <c r="D292" s="5" t="s">
        <v>1618</v>
      </c>
      <c r="E292" s="6">
        <v>73269098</v>
      </c>
      <c r="F292" s="6">
        <v>30</v>
      </c>
      <c r="G292" s="6">
        <f t="shared" si="9"/>
        <v>7.5</v>
      </c>
      <c r="H292" s="6" t="s">
        <v>1622</v>
      </c>
      <c r="I292" s="5">
        <v>525.12</v>
      </c>
      <c r="J292" s="5">
        <f t="shared" si="8"/>
        <v>15753.6</v>
      </c>
    </row>
    <row r="293" spans="1:10" x14ac:dyDescent="0.25">
      <c r="A293" s="9">
        <v>1104</v>
      </c>
      <c r="B293" s="5" t="s">
        <v>124</v>
      </c>
      <c r="C293" s="5" t="s">
        <v>125</v>
      </c>
      <c r="D293" s="5" t="s">
        <v>1618</v>
      </c>
      <c r="E293" s="6">
        <v>73269098</v>
      </c>
      <c r="F293" s="6">
        <v>30</v>
      </c>
      <c r="G293" s="6">
        <f t="shared" si="9"/>
        <v>7.5</v>
      </c>
      <c r="H293" s="6" t="s">
        <v>1622</v>
      </c>
      <c r="I293" s="5">
        <v>332.42</v>
      </c>
      <c r="J293" s="5">
        <f t="shared" si="8"/>
        <v>9972.6</v>
      </c>
    </row>
    <row r="294" spans="1:10" x14ac:dyDescent="0.25">
      <c r="A294" s="9">
        <v>1105</v>
      </c>
      <c r="B294" s="5" t="s">
        <v>683</v>
      </c>
      <c r="C294" s="5" t="s">
        <v>684</v>
      </c>
      <c r="D294" s="5" t="s">
        <v>1618</v>
      </c>
      <c r="E294" s="6">
        <v>73269098</v>
      </c>
      <c r="F294" s="6">
        <v>10</v>
      </c>
      <c r="G294" s="6">
        <f t="shared" si="9"/>
        <v>2.5</v>
      </c>
      <c r="H294" s="6" t="s">
        <v>1622</v>
      </c>
      <c r="I294" s="5">
        <v>151.69</v>
      </c>
      <c r="J294" s="5">
        <f t="shared" si="8"/>
        <v>1516.9</v>
      </c>
    </row>
    <row r="295" spans="1:10" x14ac:dyDescent="0.25">
      <c r="A295" s="9">
        <v>1106</v>
      </c>
      <c r="B295" s="5" t="s">
        <v>685</v>
      </c>
      <c r="C295" s="5" t="s">
        <v>686</v>
      </c>
      <c r="D295" s="5" t="s">
        <v>1618</v>
      </c>
      <c r="E295" s="6">
        <v>90189084</v>
      </c>
      <c r="F295" s="6">
        <v>10</v>
      </c>
      <c r="G295" s="6">
        <f t="shared" si="9"/>
        <v>2.5</v>
      </c>
      <c r="H295" s="6" t="s">
        <v>1622</v>
      </c>
      <c r="I295" s="5">
        <v>165.68</v>
      </c>
      <c r="J295" s="5">
        <f t="shared" si="8"/>
        <v>1656.8000000000002</v>
      </c>
    </row>
    <row r="296" spans="1:10" x14ac:dyDescent="0.25">
      <c r="A296" s="9">
        <v>1107</v>
      </c>
      <c r="B296" s="5" t="s">
        <v>687</v>
      </c>
      <c r="C296" s="5" t="s">
        <v>688</v>
      </c>
      <c r="D296" s="5" t="s">
        <v>1618</v>
      </c>
      <c r="E296" s="6">
        <v>90189084</v>
      </c>
      <c r="F296" s="6">
        <v>5</v>
      </c>
      <c r="G296" s="6">
        <f t="shared" si="9"/>
        <v>1.25</v>
      </c>
      <c r="H296" s="6" t="s">
        <v>1622</v>
      </c>
      <c r="I296" s="5">
        <v>193.51</v>
      </c>
      <c r="J296" s="5">
        <f t="shared" si="8"/>
        <v>967.55</v>
      </c>
    </row>
    <row r="297" spans="1:10" x14ac:dyDescent="0.25">
      <c r="A297" s="9">
        <v>1108</v>
      </c>
      <c r="B297" s="5" t="s">
        <v>689</v>
      </c>
      <c r="C297" s="5" t="s">
        <v>690</v>
      </c>
      <c r="D297" s="5" t="s">
        <v>1618</v>
      </c>
      <c r="E297" s="6">
        <v>90189084</v>
      </c>
      <c r="F297" s="6">
        <v>5</v>
      </c>
      <c r="G297" s="6">
        <f t="shared" si="9"/>
        <v>1.25</v>
      </c>
      <c r="H297" s="6" t="s">
        <v>1622</v>
      </c>
      <c r="I297" s="5">
        <v>146.74</v>
      </c>
      <c r="J297" s="5">
        <f t="shared" si="8"/>
        <v>733.7</v>
      </c>
    </row>
    <row r="298" spans="1:10" x14ac:dyDescent="0.25">
      <c r="A298" s="9">
        <v>1109</v>
      </c>
      <c r="B298" s="5" t="s">
        <v>691</v>
      </c>
      <c r="C298" s="5" t="s">
        <v>692</v>
      </c>
      <c r="D298" s="5" t="s">
        <v>1618</v>
      </c>
      <c r="E298" s="6">
        <v>90189084</v>
      </c>
      <c r="F298" s="6">
        <v>5</v>
      </c>
      <c r="G298" s="6">
        <f t="shared" si="9"/>
        <v>1.25</v>
      </c>
      <c r="H298" s="6" t="s">
        <v>1622</v>
      </c>
      <c r="I298" s="5">
        <v>74.27</v>
      </c>
      <c r="J298" s="5">
        <f t="shared" si="8"/>
        <v>371.34999999999997</v>
      </c>
    </row>
    <row r="299" spans="1:10" x14ac:dyDescent="0.25">
      <c r="A299" s="9">
        <v>1110</v>
      </c>
      <c r="B299" s="5" t="s">
        <v>693</v>
      </c>
      <c r="C299" s="5" t="s">
        <v>694</v>
      </c>
      <c r="D299" s="5" t="s">
        <v>1618</v>
      </c>
      <c r="E299" s="6">
        <v>90189084</v>
      </c>
      <c r="F299" s="6">
        <v>5</v>
      </c>
      <c r="G299" s="6">
        <f t="shared" si="9"/>
        <v>1.25</v>
      </c>
      <c r="H299" s="6" t="s">
        <v>1622</v>
      </c>
      <c r="I299" s="5">
        <v>74.27</v>
      </c>
      <c r="J299" s="5">
        <f t="shared" si="8"/>
        <v>371.34999999999997</v>
      </c>
    </row>
    <row r="300" spans="1:10" x14ac:dyDescent="0.25">
      <c r="A300" s="9">
        <v>1111</v>
      </c>
      <c r="B300" s="5" t="s">
        <v>695</v>
      </c>
      <c r="C300" s="5" t="s">
        <v>696</v>
      </c>
      <c r="D300" s="5" t="s">
        <v>1618</v>
      </c>
      <c r="E300" s="6">
        <v>90189084</v>
      </c>
      <c r="F300" s="6">
        <v>5</v>
      </c>
      <c r="G300" s="6">
        <f t="shared" si="9"/>
        <v>1.25</v>
      </c>
      <c r="H300" s="6" t="s">
        <v>1622</v>
      </c>
      <c r="I300" s="5">
        <v>74.27</v>
      </c>
      <c r="J300" s="5">
        <f t="shared" si="8"/>
        <v>371.34999999999997</v>
      </c>
    </row>
    <row r="301" spans="1:10" x14ac:dyDescent="0.25">
      <c r="A301" s="9">
        <v>1112</v>
      </c>
      <c r="B301" s="5" t="s">
        <v>697</v>
      </c>
      <c r="C301" s="5" t="s">
        <v>698</v>
      </c>
      <c r="D301" s="5" t="s">
        <v>1618</v>
      </c>
      <c r="E301" s="6">
        <v>90189084</v>
      </c>
      <c r="F301" s="6">
        <v>5</v>
      </c>
      <c r="G301" s="6">
        <f t="shared" si="9"/>
        <v>1.25</v>
      </c>
      <c r="H301" s="6" t="s">
        <v>1622</v>
      </c>
      <c r="I301" s="5">
        <v>74.27</v>
      </c>
      <c r="J301" s="5">
        <f t="shared" si="8"/>
        <v>371.34999999999997</v>
      </c>
    </row>
    <row r="302" spans="1:10" x14ac:dyDescent="0.25">
      <c r="A302" s="9">
        <v>1113</v>
      </c>
      <c r="B302" s="5" t="s">
        <v>699</v>
      </c>
      <c r="C302" s="5" t="s">
        <v>700</v>
      </c>
      <c r="D302" s="5" t="s">
        <v>1619</v>
      </c>
      <c r="E302" s="6">
        <v>90189084</v>
      </c>
      <c r="F302" s="6">
        <v>10</v>
      </c>
      <c r="G302" s="6">
        <f t="shared" si="9"/>
        <v>2.5</v>
      </c>
      <c r="H302" s="6" t="s">
        <v>1622</v>
      </c>
      <c r="I302" s="5">
        <v>34.42</v>
      </c>
      <c r="J302" s="5">
        <f t="shared" si="8"/>
        <v>344.20000000000005</v>
      </c>
    </row>
    <row r="303" spans="1:10" x14ac:dyDescent="0.25">
      <c r="A303" s="9">
        <v>1114</v>
      </c>
      <c r="B303" s="5" t="s">
        <v>701</v>
      </c>
      <c r="C303" s="5" t="s">
        <v>702</v>
      </c>
      <c r="D303" s="5" t="s">
        <v>1619</v>
      </c>
      <c r="E303" s="6">
        <v>90189084</v>
      </c>
      <c r="F303" s="6">
        <v>5</v>
      </c>
      <c r="G303" s="6">
        <f t="shared" si="9"/>
        <v>1.25</v>
      </c>
      <c r="H303" s="6" t="s">
        <v>1622</v>
      </c>
      <c r="I303" s="5">
        <v>32.92</v>
      </c>
      <c r="J303" s="5">
        <f t="shared" si="8"/>
        <v>164.60000000000002</v>
      </c>
    </row>
    <row r="304" spans="1:10" x14ac:dyDescent="0.25">
      <c r="A304" s="9">
        <v>1115</v>
      </c>
      <c r="B304" s="5" t="s">
        <v>350</v>
      </c>
      <c r="C304" s="5" t="s">
        <v>351</v>
      </c>
      <c r="D304" s="5" t="s">
        <v>1618</v>
      </c>
      <c r="E304" s="6">
        <v>90189084</v>
      </c>
      <c r="F304" s="6">
        <v>5</v>
      </c>
      <c r="G304" s="6">
        <f t="shared" si="9"/>
        <v>1.25</v>
      </c>
      <c r="H304" s="6" t="s">
        <v>1622</v>
      </c>
      <c r="I304" s="5">
        <v>17.98</v>
      </c>
      <c r="J304" s="5">
        <f t="shared" si="8"/>
        <v>89.9</v>
      </c>
    </row>
    <row r="305" spans="1:10" x14ac:dyDescent="0.25">
      <c r="A305" s="9">
        <v>1116</v>
      </c>
      <c r="B305" s="5" t="s">
        <v>352</v>
      </c>
      <c r="C305" s="5" t="s">
        <v>353</v>
      </c>
      <c r="D305" s="5" t="s">
        <v>1619</v>
      </c>
      <c r="E305" s="6">
        <v>90189084</v>
      </c>
      <c r="F305" s="6">
        <v>5</v>
      </c>
      <c r="G305" s="6">
        <f t="shared" si="9"/>
        <v>1.25</v>
      </c>
      <c r="H305" s="6" t="s">
        <v>1622</v>
      </c>
      <c r="I305" s="5">
        <v>6.27</v>
      </c>
      <c r="J305" s="5">
        <f t="shared" si="8"/>
        <v>31.349999999999998</v>
      </c>
    </row>
    <row r="306" spans="1:10" x14ac:dyDescent="0.25">
      <c r="A306" s="9">
        <v>1117</v>
      </c>
      <c r="B306" s="5" t="s">
        <v>354</v>
      </c>
      <c r="C306" s="5" t="s">
        <v>355</v>
      </c>
      <c r="D306" s="5" t="s">
        <v>1619</v>
      </c>
      <c r="E306" s="6">
        <v>90189084</v>
      </c>
      <c r="F306" s="6">
        <v>5</v>
      </c>
      <c r="G306" s="6">
        <f t="shared" si="9"/>
        <v>1.25</v>
      </c>
      <c r="H306" s="6" t="s">
        <v>1622</v>
      </c>
      <c r="I306" s="5">
        <v>4.33</v>
      </c>
      <c r="J306" s="5">
        <f t="shared" si="8"/>
        <v>21.65</v>
      </c>
    </row>
    <row r="307" spans="1:10" x14ac:dyDescent="0.25">
      <c r="A307" s="9">
        <v>1118</v>
      </c>
      <c r="B307" s="5" t="s">
        <v>703</v>
      </c>
      <c r="C307" s="5" t="s">
        <v>704</v>
      </c>
      <c r="D307" s="5" t="s">
        <v>1619</v>
      </c>
      <c r="E307" s="6">
        <v>90189084</v>
      </c>
      <c r="F307" s="6">
        <v>5</v>
      </c>
      <c r="G307" s="6">
        <f t="shared" si="9"/>
        <v>1.25</v>
      </c>
      <c r="H307" s="6" t="s">
        <v>1622</v>
      </c>
      <c r="I307" s="5">
        <v>8.1300000000000008</v>
      </c>
      <c r="J307" s="5">
        <f t="shared" si="8"/>
        <v>40.650000000000006</v>
      </c>
    </row>
    <row r="308" spans="1:10" x14ac:dyDescent="0.25">
      <c r="A308" s="9">
        <v>1119</v>
      </c>
      <c r="B308" s="5" t="s">
        <v>705</v>
      </c>
      <c r="C308" s="5" t="s">
        <v>706</v>
      </c>
      <c r="D308" s="5" t="s">
        <v>1619</v>
      </c>
      <c r="E308" s="6">
        <v>90189084</v>
      </c>
      <c r="F308" s="6">
        <v>10</v>
      </c>
      <c r="G308" s="6">
        <f t="shared" si="9"/>
        <v>2.5</v>
      </c>
      <c r="H308" s="6" t="s">
        <v>1622</v>
      </c>
      <c r="I308" s="5">
        <v>32.53</v>
      </c>
      <c r="J308" s="5">
        <f t="shared" si="8"/>
        <v>325.3</v>
      </c>
    </row>
    <row r="309" spans="1:10" x14ac:dyDescent="0.25">
      <c r="A309" s="9">
        <v>1120</v>
      </c>
      <c r="B309" s="5" t="s">
        <v>707</v>
      </c>
      <c r="C309" s="5" t="s">
        <v>708</v>
      </c>
      <c r="D309" s="5" t="s">
        <v>1618</v>
      </c>
      <c r="E309" s="6">
        <v>90189084</v>
      </c>
      <c r="F309" s="6">
        <v>5</v>
      </c>
      <c r="G309" s="6">
        <f t="shared" si="9"/>
        <v>1.25</v>
      </c>
      <c r="H309" s="6" t="s">
        <v>1622</v>
      </c>
      <c r="I309" s="5">
        <v>96.55</v>
      </c>
      <c r="J309" s="5">
        <f t="shared" si="8"/>
        <v>482.75</v>
      </c>
    </row>
    <row r="310" spans="1:10" x14ac:dyDescent="0.25">
      <c r="A310" s="9">
        <v>1121</v>
      </c>
      <c r="B310" s="5" t="s">
        <v>709</v>
      </c>
      <c r="C310" s="5" t="s">
        <v>710</v>
      </c>
      <c r="D310" s="5" t="s">
        <v>1618</v>
      </c>
      <c r="E310" s="6">
        <v>90189084</v>
      </c>
      <c r="F310" s="6">
        <v>5</v>
      </c>
      <c r="G310" s="6">
        <f t="shared" si="9"/>
        <v>1.25</v>
      </c>
      <c r="H310" s="6" t="s">
        <v>1622</v>
      </c>
      <c r="I310" s="5">
        <v>108.79</v>
      </c>
      <c r="J310" s="5">
        <f t="shared" si="8"/>
        <v>543.95000000000005</v>
      </c>
    </row>
    <row r="311" spans="1:10" x14ac:dyDescent="0.25">
      <c r="A311" s="9">
        <v>1122</v>
      </c>
      <c r="B311" s="5" t="s">
        <v>332</v>
      </c>
      <c r="C311" s="5" t="s">
        <v>333</v>
      </c>
      <c r="D311" s="5" t="s">
        <v>1619</v>
      </c>
      <c r="E311" s="6">
        <v>90189084</v>
      </c>
      <c r="F311" s="6">
        <v>10</v>
      </c>
      <c r="G311" s="6">
        <f t="shared" si="9"/>
        <v>2.5</v>
      </c>
      <c r="H311" s="6" t="s">
        <v>1622</v>
      </c>
      <c r="I311" s="5">
        <v>33.51</v>
      </c>
      <c r="J311" s="5">
        <f t="shared" si="8"/>
        <v>335.09999999999997</v>
      </c>
    </row>
    <row r="312" spans="1:10" x14ac:dyDescent="0.25">
      <c r="A312" s="9">
        <v>1123</v>
      </c>
      <c r="B312" s="5" t="s">
        <v>711</v>
      </c>
      <c r="C312" s="5" t="s">
        <v>712</v>
      </c>
      <c r="D312" s="5" t="s">
        <v>1618</v>
      </c>
      <c r="E312" s="6">
        <v>90189084</v>
      </c>
      <c r="F312" s="6">
        <v>10</v>
      </c>
      <c r="G312" s="6">
        <f t="shared" si="9"/>
        <v>2.5</v>
      </c>
      <c r="H312" s="6" t="s">
        <v>1622</v>
      </c>
      <c r="I312" s="5">
        <v>89.28</v>
      </c>
      <c r="J312" s="5">
        <f t="shared" si="8"/>
        <v>892.8</v>
      </c>
    </row>
    <row r="313" spans="1:10" x14ac:dyDescent="0.25">
      <c r="A313" s="9">
        <v>1124</v>
      </c>
      <c r="B313" s="5" t="s">
        <v>713</v>
      </c>
      <c r="C313" s="5" t="s">
        <v>714</v>
      </c>
      <c r="D313" s="5" t="s">
        <v>1618</v>
      </c>
      <c r="E313" s="6">
        <v>90189084</v>
      </c>
      <c r="F313" s="6">
        <v>5</v>
      </c>
      <c r="G313" s="6">
        <f t="shared" si="9"/>
        <v>1.25</v>
      </c>
      <c r="H313" s="6" t="s">
        <v>1622</v>
      </c>
      <c r="I313" s="5">
        <v>35.549999999999997</v>
      </c>
      <c r="J313" s="5">
        <f t="shared" si="8"/>
        <v>177.75</v>
      </c>
    </row>
    <row r="314" spans="1:10" x14ac:dyDescent="0.25">
      <c r="A314" s="9">
        <v>1125</v>
      </c>
      <c r="B314" s="5" t="s">
        <v>715</v>
      </c>
      <c r="C314" s="5" t="s">
        <v>716</v>
      </c>
      <c r="D314" s="5" t="s">
        <v>1618</v>
      </c>
      <c r="E314" s="6">
        <v>90189084</v>
      </c>
      <c r="F314" s="6">
        <v>5</v>
      </c>
      <c r="G314" s="6">
        <f t="shared" si="9"/>
        <v>1.25</v>
      </c>
      <c r="H314" s="6" t="s">
        <v>1622</v>
      </c>
      <c r="I314" s="5">
        <v>58.55</v>
      </c>
      <c r="J314" s="5">
        <f t="shared" si="8"/>
        <v>292.75</v>
      </c>
    </row>
    <row r="315" spans="1:10" x14ac:dyDescent="0.25">
      <c r="A315" s="9">
        <v>1126</v>
      </c>
      <c r="B315" s="5" t="s">
        <v>717</v>
      </c>
      <c r="C315" s="5" t="s">
        <v>718</v>
      </c>
      <c r="D315" s="5" t="s">
        <v>1618</v>
      </c>
      <c r="E315" s="6">
        <v>90189084</v>
      </c>
      <c r="F315" s="6">
        <v>5</v>
      </c>
      <c r="G315" s="6">
        <f t="shared" si="9"/>
        <v>1.25</v>
      </c>
      <c r="H315" s="6" t="s">
        <v>1622</v>
      </c>
      <c r="I315" s="5">
        <v>69.52</v>
      </c>
      <c r="J315" s="5">
        <f t="shared" si="8"/>
        <v>347.59999999999997</v>
      </c>
    </row>
    <row r="316" spans="1:10" x14ac:dyDescent="0.25">
      <c r="A316" s="9">
        <v>1127</v>
      </c>
      <c r="B316" s="5" t="s">
        <v>719</v>
      </c>
      <c r="C316" s="5" t="s">
        <v>720</v>
      </c>
      <c r="D316" s="5" t="s">
        <v>1618</v>
      </c>
      <c r="E316" s="6">
        <v>90189084</v>
      </c>
      <c r="F316" s="6">
        <v>5</v>
      </c>
      <c r="G316" s="6">
        <f t="shared" si="9"/>
        <v>1.25</v>
      </c>
      <c r="H316" s="6" t="s">
        <v>1622</v>
      </c>
      <c r="I316" s="5">
        <v>69.52</v>
      </c>
      <c r="J316" s="5">
        <f t="shared" si="8"/>
        <v>347.59999999999997</v>
      </c>
    </row>
    <row r="317" spans="1:10" x14ac:dyDescent="0.25">
      <c r="A317" s="9">
        <v>1128</v>
      </c>
      <c r="B317" s="5" t="s">
        <v>721</v>
      </c>
      <c r="C317" s="5" t="s">
        <v>722</v>
      </c>
      <c r="D317" s="5" t="s">
        <v>1618</v>
      </c>
      <c r="E317" s="6">
        <v>90189084</v>
      </c>
      <c r="F317" s="6">
        <v>5</v>
      </c>
      <c r="G317" s="6">
        <f t="shared" si="9"/>
        <v>1.25</v>
      </c>
      <c r="H317" s="6" t="s">
        <v>1622</v>
      </c>
      <c r="I317" s="5">
        <v>74.56</v>
      </c>
      <c r="J317" s="5">
        <f t="shared" si="8"/>
        <v>372.8</v>
      </c>
    </row>
    <row r="318" spans="1:10" x14ac:dyDescent="0.25">
      <c r="A318" s="9">
        <v>1129</v>
      </c>
      <c r="B318" s="5" t="s">
        <v>723</v>
      </c>
      <c r="C318" s="5" t="s">
        <v>724</v>
      </c>
      <c r="D318" s="5" t="s">
        <v>1618</v>
      </c>
      <c r="E318" s="6">
        <v>90189084</v>
      </c>
      <c r="F318" s="6">
        <v>5</v>
      </c>
      <c r="G318" s="6">
        <f t="shared" si="9"/>
        <v>1.25</v>
      </c>
      <c r="H318" s="6" t="s">
        <v>1622</v>
      </c>
      <c r="I318" s="5">
        <v>74.56</v>
      </c>
      <c r="J318" s="5">
        <f t="shared" si="8"/>
        <v>372.8</v>
      </c>
    </row>
    <row r="319" spans="1:10" x14ac:dyDescent="0.25">
      <c r="A319" s="9">
        <v>1130</v>
      </c>
      <c r="B319" s="5" t="s">
        <v>725</v>
      </c>
      <c r="C319" s="5" t="s">
        <v>726</v>
      </c>
      <c r="D319" s="5" t="s">
        <v>1618</v>
      </c>
      <c r="E319" s="6">
        <v>90189084</v>
      </c>
      <c r="F319" s="6">
        <v>5</v>
      </c>
      <c r="G319" s="6">
        <f t="shared" si="9"/>
        <v>1.25</v>
      </c>
      <c r="H319" s="6" t="s">
        <v>1622</v>
      </c>
      <c r="I319" s="5">
        <v>34.42</v>
      </c>
      <c r="J319" s="5">
        <f t="shared" si="8"/>
        <v>172.10000000000002</v>
      </c>
    </row>
    <row r="320" spans="1:10" x14ac:dyDescent="0.25">
      <c r="A320" s="9">
        <v>1131</v>
      </c>
      <c r="B320" s="5" t="s">
        <v>727</v>
      </c>
      <c r="C320" s="5" t="s">
        <v>728</v>
      </c>
      <c r="D320" s="5" t="s">
        <v>1618</v>
      </c>
      <c r="E320" s="6">
        <v>90189084</v>
      </c>
      <c r="F320" s="6">
        <v>5</v>
      </c>
      <c r="G320" s="6">
        <f t="shared" si="9"/>
        <v>1.25</v>
      </c>
      <c r="H320" s="6" t="s">
        <v>1622</v>
      </c>
      <c r="I320" s="5">
        <v>34.42</v>
      </c>
      <c r="J320" s="5">
        <f t="shared" si="8"/>
        <v>172.10000000000002</v>
      </c>
    </row>
    <row r="321" spans="1:10" x14ac:dyDescent="0.25">
      <c r="A321" s="9">
        <v>1132</v>
      </c>
      <c r="B321" s="5" t="s">
        <v>729</v>
      </c>
      <c r="C321" s="5" t="s">
        <v>730</v>
      </c>
      <c r="D321" s="5" t="s">
        <v>1618</v>
      </c>
      <c r="E321" s="6">
        <v>90189084</v>
      </c>
      <c r="F321" s="6">
        <v>5</v>
      </c>
      <c r="G321" s="6">
        <f t="shared" si="9"/>
        <v>1.25</v>
      </c>
      <c r="H321" s="6" t="s">
        <v>1622</v>
      </c>
      <c r="I321" s="5">
        <v>45.45</v>
      </c>
      <c r="J321" s="5">
        <f t="shared" si="8"/>
        <v>227.25</v>
      </c>
    </row>
    <row r="322" spans="1:10" x14ac:dyDescent="0.25">
      <c r="A322" s="9">
        <v>1133</v>
      </c>
      <c r="B322" s="5" t="s">
        <v>562</v>
      </c>
      <c r="C322" s="5" t="s">
        <v>563</v>
      </c>
      <c r="D322" s="5" t="s">
        <v>1618</v>
      </c>
      <c r="E322" s="6">
        <v>90189084</v>
      </c>
      <c r="F322" s="6">
        <v>5</v>
      </c>
      <c r="G322" s="6">
        <f t="shared" si="9"/>
        <v>1.25</v>
      </c>
      <c r="H322" s="6" t="s">
        <v>1622</v>
      </c>
      <c r="I322" s="5">
        <v>49.37</v>
      </c>
      <c r="J322" s="5">
        <f t="shared" si="8"/>
        <v>246.85</v>
      </c>
    </row>
    <row r="323" spans="1:10" x14ac:dyDescent="0.25">
      <c r="A323" s="9">
        <v>1134</v>
      </c>
      <c r="B323" s="5" t="s">
        <v>731</v>
      </c>
      <c r="C323" s="5" t="s">
        <v>732</v>
      </c>
      <c r="D323" s="5" t="s">
        <v>1618</v>
      </c>
      <c r="E323" s="6">
        <v>90189084</v>
      </c>
      <c r="F323" s="6">
        <v>5</v>
      </c>
      <c r="G323" s="6">
        <f t="shared" si="9"/>
        <v>1.25</v>
      </c>
      <c r="H323" s="6" t="s">
        <v>1622</v>
      </c>
      <c r="I323" s="5">
        <v>297.27999999999997</v>
      </c>
      <c r="J323" s="5">
        <f t="shared" ref="J323:J386" si="10">F323*I323</f>
        <v>1486.3999999999999</v>
      </c>
    </row>
    <row r="324" spans="1:10" x14ac:dyDescent="0.25">
      <c r="A324" s="9">
        <v>1135</v>
      </c>
      <c r="B324" s="5" t="s">
        <v>733</v>
      </c>
      <c r="C324" s="5" t="s">
        <v>734</v>
      </c>
      <c r="D324" s="5" t="s">
        <v>1618</v>
      </c>
      <c r="E324" s="6">
        <v>90189084</v>
      </c>
      <c r="F324" s="6">
        <v>5</v>
      </c>
      <c r="G324" s="6">
        <f t="shared" ref="G324:G387" si="11">F324/$F$2</f>
        <v>1.25</v>
      </c>
      <c r="H324" s="6" t="s">
        <v>1622</v>
      </c>
      <c r="I324" s="5">
        <v>18.82</v>
      </c>
      <c r="J324" s="5">
        <f t="shared" si="10"/>
        <v>94.1</v>
      </c>
    </row>
    <row r="325" spans="1:10" x14ac:dyDescent="0.25">
      <c r="A325" s="9">
        <v>1136</v>
      </c>
      <c r="B325" s="5" t="s">
        <v>735</v>
      </c>
      <c r="C325" s="5" t="s">
        <v>736</v>
      </c>
      <c r="D325" s="5" t="s">
        <v>1618</v>
      </c>
      <c r="E325" s="6">
        <v>90189084</v>
      </c>
      <c r="F325" s="6">
        <v>5</v>
      </c>
      <c r="G325" s="6">
        <f t="shared" si="11"/>
        <v>1.25</v>
      </c>
      <c r="H325" s="6" t="s">
        <v>1622</v>
      </c>
      <c r="I325" s="5">
        <v>7.81</v>
      </c>
      <c r="J325" s="5">
        <f t="shared" si="10"/>
        <v>39.049999999999997</v>
      </c>
    </row>
    <row r="326" spans="1:10" x14ac:dyDescent="0.25">
      <c r="A326" s="9">
        <v>1137</v>
      </c>
      <c r="B326" s="5" t="s">
        <v>737</v>
      </c>
      <c r="C326" s="5" t="s">
        <v>738</v>
      </c>
      <c r="D326" s="5" t="s">
        <v>1618</v>
      </c>
      <c r="E326" s="6">
        <v>90189084</v>
      </c>
      <c r="F326" s="6">
        <v>5</v>
      </c>
      <c r="G326" s="6">
        <f t="shared" si="11"/>
        <v>1.25</v>
      </c>
      <c r="H326" s="6" t="s">
        <v>1622</v>
      </c>
      <c r="I326" s="5">
        <v>111.26</v>
      </c>
      <c r="J326" s="5">
        <f t="shared" si="10"/>
        <v>556.30000000000007</v>
      </c>
    </row>
    <row r="327" spans="1:10" x14ac:dyDescent="0.25">
      <c r="A327" s="9">
        <v>1138</v>
      </c>
      <c r="B327" s="5" t="s">
        <v>739</v>
      </c>
      <c r="C327" s="5" t="s">
        <v>740</v>
      </c>
      <c r="D327" s="5" t="s">
        <v>1618</v>
      </c>
      <c r="E327" s="6">
        <v>90189084</v>
      </c>
      <c r="F327" s="6">
        <v>5</v>
      </c>
      <c r="G327" s="6">
        <f t="shared" si="11"/>
        <v>1.25</v>
      </c>
      <c r="H327" s="6" t="s">
        <v>1622</v>
      </c>
      <c r="I327" s="5">
        <v>19.66</v>
      </c>
      <c r="J327" s="5">
        <f t="shared" si="10"/>
        <v>98.3</v>
      </c>
    </row>
    <row r="328" spans="1:10" x14ac:dyDescent="0.25">
      <c r="A328" s="9">
        <v>1139</v>
      </c>
      <c r="B328" s="5" t="s">
        <v>741</v>
      </c>
      <c r="C328" s="5" t="s">
        <v>742</v>
      </c>
      <c r="D328" s="5" t="s">
        <v>1618</v>
      </c>
      <c r="E328" s="6">
        <v>90189084</v>
      </c>
      <c r="F328" s="6">
        <v>5</v>
      </c>
      <c r="G328" s="6">
        <f t="shared" si="11"/>
        <v>1.25</v>
      </c>
      <c r="H328" s="6" t="s">
        <v>1622</v>
      </c>
      <c r="I328" s="5">
        <v>19.66</v>
      </c>
      <c r="J328" s="5">
        <f t="shared" si="10"/>
        <v>98.3</v>
      </c>
    </row>
    <row r="329" spans="1:10" x14ac:dyDescent="0.25">
      <c r="A329" s="9">
        <v>1140</v>
      </c>
      <c r="B329" s="5" t="s">
        <v>743</v>
      </c>
      <c r="C329" s="5" t="s">
        <v>744</v>
      </c>
      <c r="D329" s="5" t="s">
        <v>1618</v>
      </c>
      <c r="E329" s="6">
        <v>90189084</v>
      </c>
      <c r="F329" s="6">
        <v>5</v>
      </c>
      <c r="G329" s="6">
        <f t="shared" si="11"/>
        <v>1.25</v>
      </c>
      <c r="H329" s="6" t="s">
        <v>1622</v>
      </c>
      <c r="I329" s="5">
        <v>19.66</v>
      </c>
      <c r="J329" s="5">
        <f t="shared" si="10"/>
        <v>98.3</v>
      </c>
    </row>
    <row r="330" spans="1:10" x14ac:dyDescent="0.25">
      <c r="A330" s="9">
        <v>1141</v>
      </c>
      <c r="B330" s="5" t="s">
        <v>745</v>
      </c>
      <c r="C330" s="5" t="s">
        <v>746</v>
      </c>
      <c r="D330" s="5" t="s">
        <v>1618</v>
      </c>
      <c r="E330" s="6">
        <v>90189084</v>
      </c>
      <c r="F330" s="6">
        <v>5</v>
      </c>
      <c r="G330" s="6">
        <f t="shared" si="11"/>
        <v>1.25</v>
      </c>
      <c r="H330" s="6" t="s">
        <v>1622</v>
      </c>
      <c r="I330" s="5">
        <v>19.66</v>
      </c>
      <c r="J330" s="5">
        <f t="shared" si="10"/>
        <v>98.3</v>
      </c>
    </row>
    <row r="331" spans="1:10" x14ac:dyDescent="0.25">
      <c r="A331" s="9">
        <v>1142</v>
      </c>
      <c r="B331" s="5" t="s">
        <v>747</v>
      </c>
      <c r="C331" s="5" t="s">
        <v>748</v>
      </c>
      <c r="D331" s="5" t="s">
        <v>1618</v>
      </c>
      <c r="E331" s="6">
        <v>90189084</v>
      </c>
      <c r="F331" s="6">
        <v>5</v>
      </c>
      <c r="G331" s="6">
        <f t="shared" si="11"/>
        <v>1.25</v>
      </c>
      <c r="H331" s="6" t="s">
        <v>1622</v>
      </c>
      <c r="I331" s="5">
        <v>20.11</v>
      </c>
      <c r="J331" s="5">
        <f t="shared" si="10"/>
        <v>100.55</v>
      </c>
    </row>
    <row r="332" spans="1:10" x14ac:dyDescent="0.25">
      <c r="A332" s="9">
        <v>1143</v>
      </c>
      <c r="B332" s="5" t="s">
        <v>749</v>
      </c>
      <c r="C332" s="5" t="s">
        <v>750</v>
      </c>
      <c r="D332" s="5" t="s">
        <v>1618</v>
      </c>
      <c r="E332" s="6">
        <v>90189084</v>
      </c>
      <c r="F332" s="6">
        <v>5</v>
      </c>
      <c r="G332" s="6">
        <f t="shared" si="11"/>
        <v>1.25</v>
      </c>
      <c r="H332" s="6" t="s">
        <v>1622</v>
      </c>
      <c r="I332" s="5">
        <v>20.11</v>
      </c>
      <c r="J332" s="5">
        <f t="shared" si="10"/>
        <v>100.55</v>
      </c>
    </row>
    <row r="333" spans="1:10" x14ac:dyDescent="0.25">
      <c r="A333" s="9">
        <v>1144</v>
      </c>
      <c r="B333" s="5" t="s">
        <v>751</v>
      </c>
      <c r="C333" s="5" t="s">
        <v>752</v>
      </c>
      <c r="D333" s="5" t="s">
        <v>1618</v>
      </c>
      <c r="E333" s="6">
        <v>90189084</v>
      </c>
      <c r="F333" s="6">
        <v>5</v>
      </c>
      <c r="G333" s="6">
        <f t="shared" si="11"/>
        <v>1.25</v>
      </c>
      <c r="H333" s="6" t="s">
        <v>1622</v>
      </c>
      <c r="I333" s="5">
        <v>20.11</v>
      </c>
      <c r="J333" s="5">
        <f t="shared" si="10"/>
        <v>100.55</v>
      </c>
    </row>
    <row r="334" spans="1:10" x14ac:dyDescent="0.25">
      <c r="A334" s="9">
        <v>1145</v>
      </c>
      <c r="B334" s="5" t="s">
        <v>753</v>
      </c>
      <c r="C334" s="5" t="s">
        <v>754</v>
      </c>
      <c r="D334" s="5" t="s">
        <v>1618</v>
      </c>
      <c r="E334" s="6">
        <v>90189084</v>
      </c>
      <c r="F334" s="6">
        <v>5</v>
      </c>
      <c r="G334" s="6">
        <f t="shared" si="11"/>
        <v>1.25</v>
      </c>
      <c r="H334" s="6" t="s">
        <v>1622</v>
      </c>
      <c r="I334" s="5">
        <v>21.45</v>
      </c>
      <c r="J334" s="5">
        <f t="shared" si="10"/>
        <v>107.25</v>
      </c>
    </row>
    <row r="335" spans="1:10" x14ac:dyDescent="0.25">
      <c r="A335" s="9">
        <v>1146</v>
      </c>
      <c r="B335" s="5" t="s">
        <v>755</v>
      </c>
      <c r="C335" s="5" t="s">
        <v>756</v>
      </c>
      <c r="D335" s="5" t="s">
        <v>1618</v>
      </c>
      <c r="E335" s="6">
        <v>90189084</v>
      </c>
      <c r="F335" s="6">
        <v>5</v>
      </c>
      <c r="G335" s="6">
        <f t="shared" si="11"/>
        <v>1.25</v>
      </c>
      <c r="H335" s="6" t="s">
        <v>1622</v>
      </c>
      <c r="I335" s="5">
        <v>21.45</v>
      </c>
      <c r="J335" s="5">
        <f t="shared" si="10"/>
        <v>107.25</v>
      </c>
    </row>
    <row r="336" spans="1:10" x14ac:dyDescent="0.25">
      <c r="A336" s="9">
        <v>1147</v>
      </c>
      <c r="B336" s="5" t="s">
        <v>142</v>
      </c>
      <c r="C336" s="5" t="s">
        <v>143</v>
      </c>
      <c r="D336" s="5" t="s">
        <v>1618</v>
      </c>
      <c r="E336" s="6">
        <v>90189084</v>
      </c>
      <c r="F336" s="6">
        <v>5</v>
      </c>
      <c r="G336" s="6">
        <f t="shared" si="11"/>
        <v>1.25</v>
      </c>
      <c r="H336" s="6" t="s">
        <v>1622</v>
      </c>
      <c r="I336" s="5">
        <v>49.66</v>
      </c>
      <c r="J336" s="5">
        <f t="shared" si="10"/>
        <v>248.29999999999998</v>
      </c>
    </row>
    <row r="337" spans="1:10" x14ac:dyDescent="0.25">
      <c r="A337" s="9">
        <v>1148</v>
      </c>
      <c r="B337" s="5" t="s">
        <v>374</v>
      </c>
      <c r="C337" s="5" t="s">
        <v>375</v>
      </c>
      <c r="D337" s="5" t="s">
        <v>1618</v>
      </c>
      <c r="E337" s="6">
        <v>73269098</v>
      </c>
      <c r="F337" s="6">
        <v>5</v>
      </c>
      <c r="G337" s="6">
        <f t="shared" si="11"/>
        <v>1.25</v>
      </c>
      <c r="H337" s="6" t="s">
        <v>1622</v>
      </c>
      <c r="I337" s="5">
        <v>69.83</v>
      </c>
      <c r="J337" s="5">
        <f t="shared" si="10"/>
        <v>349.15</v>
      </c>
    </row>
    <row r="338" spans="1:10" x14ac:dyDescent="0.25">
      <c r="A338" s="9">
        <v>1149</v>
      </c>
      <c r="B338" s="5" t="s">
        <v>286</v>
      </c>
      <c r="C338" s="5" t="s">
        <v>287</v>
      </c>
      <c r="D338" s="5" t="s">
        <v>1618</v>
      </c>
      <c r="E338" s="6">
        <v>76169990</v>
      </c>
      <c r="F338" s="6">
        <v>5</v>
      </c>
      <c r="G338" s="6">
        <f t="shared" si="11"/>
        <v>1.25</v>
      </c>
      <c r="H338" s="6" t="s">
        <v>1622</v>
      </c>
      <c r="I338" s="5">
        <v>379.78</v>
      </c>
      <c r="J338" s="5">
        <f t="shared" si="10"/>
        <v>1898.8999999999999</v>
      </c>
    </row>
    <row r="339" spans="1:10" x14ac:dyDescent="0.25">
      <c r="A339" s="9">
        <v>1150</v>
      </c>
      <c r="B339" s="5" t="s">
        <v>134</v>
      </c>
      <c r="C339" s="5" t="s">
        <v>135</v>
      </c>
      <c r="D339" s="5" t="s">
        <v>1618</v>
      </c>
      <c r="E339" s="6">
        <v>73269098</v>
      </c>
      <c r="F339" s="6">
        <v>5</v>
      </c>
      <c r="G339" s="6">
        <f t="shared" si="11"/>
        <v>1.25</v>
      </c>
      <c r="H339" s="6" t="s">
        <v>1622</v>
      </c>
      <c r="I339" s="5">
        <v>53.71</v>
      </c>
      <c r="J339" s="5">
        <f t="shared" si="10"/>
        <v>268.55</v>
      </c>
    </row>
    <row r="340" spans="1:10" x14ac:dyDescent="0.25">
      <c r="A340" s="10"/>
      <c r="B340" s="11"/>
      <c r="C340" s="11" t="s">
        <v>1683</v>
      </c>
      <c r="D340" s="11"/>
      <c r="E340" s="12"/>
      <c r="F340" s="12">
        <v>3</v>
      </c>
      <c r="G340" s="6">
        <f t="shared" si="11"/>
        <v>0.75</v>
      </c>
      <c r="H340" s="12"/>
      <c r="I340" s="2"/>
      <c r="J340" s="13"/>
    </row>
    <row r="341" spans="1:10" x14ac:dyDescent="0.25">
      <c r="A341" s="9">
        <v>1151</v>
      </c>
      <c r="B341" s="5" t="s">
        <v>1509</v>
      </c>
      <c r="C341" s="5" t="s">
        <v>1510</v>
      </c>
      <c r="D341" s="5" t="s">
        <v>1619</v>
      </c>
      <c r="E341" s="6">
        <v>90189084</v>
      </c>
      <c r="F341" s="6">
        <v>6</v>
      </c>
      <c r="G341" s="6">
        <f t="shared" si="11"/>
        <v>1.5</v>
      </c>
      <c r="H341" s="6" t="s">
        <v>1622</v>
      </c>
      <c r="I341" s="5">
        <v>23.98</v>
      </c>
      <c r="J341" s="5">
        <f t="shared" si="10"/>
        <v>143.88</v>
      </c>
    </row>
    <row r="342" spans="1:10" x14ac:dyDescent="0.25">
      <c r="A342" s="9">
        <v>1152</v>
      </c>
      <c r="B342" s="5" t="s">
        <v>376</v>
      </c>
      <c r="C342" s="5" t="s">
        <v>377</v>
      </c>
      <c r="D342" s="5" t="s">
        <v>1619</v>
      </c>
      <c r="E342" s="6">
        <v>90189084</v>
      </c>
      <c r="F342" s="6">
        <v>18</v>
      </c>
      <c r="G342" s="6">
        <f t="shared" si="11"/>
        <v>4.5</v>
      </c>
      <c r="H342" s="6" t="s">
        <v>1622</v>
      </c>
      <c r="I342" s="5">
        <v>12.93</v>
      </c>
      <c r="J342" s="5">
        <f t="shared" si="10"/>
        <v>232.74</v>
      </c>
    </row>
    <row r="343" spans="1:10" x14ac:dyDescent="0.25">
      <c r="A343" s="9">
        <v>1153</v>
      </c>
      <c r="B343" s="5" t="s">
        <v>1511</v>
      </c>
      <c r="C343" s="5" t="s">
        <v>1512</v>
      </c>
      <c r="D343" s="5" t="s">
        <v>1619</v>
      </c>
      <c r="E343" s="6">
        <v>90189084</v>
      </c>
      <c r="F343" s="6">
        <v>18</v>
      </c>
      <c r="G343" s="6">
        <f t="shared" si="11"/>
        <v>4.5</v>
      </c>
      <c r="H343" s="6" t="s">
        <v>1622</v>
      </c>
      <c r="I343" s="5">
        <v>15.5</v>
      </c>
      <c r="J343" s="5">
        <f t="shared" si="10"/>
        <v>279</v>
      </c>
    </row>
    <row r="344" spans="1:10" x14ac:dyDescent="0.25">
      <c r="A344" s="9">
        <v>1154</v>
      </c>
      <c r="B344" s="5" t="s">
        <v>136</v>
      </c>
      <c r="C344" s="5" t="s">
        <v>137</v>
      </c>
      <c r="D344" s="5" t="s">
        <v>1618</v>
      </c>
      <c r="E344" s="6">
        <v>90189084</v>
      </c>
      <c r="F344" s="6">
        <v>6</v>
      </c>
      <c r="G344" s="6">
        <f t="shared" si="11"/>
        <v>1.5</v>
      </c>
      <c r="H344" s="6" t="s">
        <v>1622</v>
      </c>
      <c r="I344" s="5">
        <v>3.67</v>
      </c>
      <c r="J344" s="5">
        <f t="shared" si="10"/>
        <v>22.02</v>
      </c>
    </row>
    <row r="345" spans="1:10" x14ac:dyDescent="0.25">
      <c r="A345" s="9">
        <v>1155</v>
      </c>
      <c r="B345" s="5" t="s">
        <v>22</v>
      </c>
      <c r="C345" s="5" t="s">
        <v>23</v>
      </c>
      <c r="D345" s="5" t="s">
        <v>1618</v>
      </c>
      <c r="E345" s="6">
        <v>90189084</v>
      </c>
      <c r="F345" s="6">
        <v>3</v>
      </c>
      <c r="G345" s="6">
        <f t="shared" si="11"/>
        <v>0.75</v>
      </c>
      <c r="H345" s="6" t="s">
        <v>1622</v>
      </c>
      <c r="I345" s="5">
        <v>3.67</v>
      </c>
      <c r="J345" s="5">
        <f t="shared" si="10"/>
        <v>11.01</v>
      </c>
    </row>
    <row r="346" spans="1:10" x14ac:dyDescent="0.25">
      <c r="A346" s="9">
        <v>1156</v>
      </c>
      <c r="B346" s="5" t="s">
        <v>1513</v>
      </c>
      <c r="C346" s="5" t="s">
        <v>1514</v>
      </c>
      <c r="D346" s="5" t="s">
        <v>1618</v>
      </c>
      <c r="E346" s="6">
        <v>90189084</v>
      </c>
      <c r="F346" s="6">
        <v>3</v>
      </c>
      <c r="G346" s="6">
        <f t="shared" si="11"/>
        <v>0.75</v>
      </c>
      <c r="H346" s="6" t="s">
        <v>1622</v>
      </c>
      <c r="I346" s="5">
        <v>62.1</v>
      </c>
      <c r="J346" s="5">
        <f t="shared" si="10"/>
        <v>186.3</v>
      </c>
    </row>
    <row r="347" spans="1:10" x14ac:dyDescent="0.25">
      <c r="A347" s="9">
        <v>1157</v>
      </c>
      <c r="B347" s="5" t="s">
        <v>1241</v>
      </c>
      <c r="C347" s="5" t="s">
        <v>1242</v>
      </c>
      <c r="D347" s="5" t="s">
        <v>1618</v>
      </c>
      <c r="E347" s="6">
        <v>90189084</v>
      </c>
      <c r="F347" s="6">
        <v>3</v>
      </c>
      <c r="G347" s="6">
        <f t="shared" si="11"/>
        <v>0.75</v>
      </c>
      <c r="H347" s="6" t="s">
        <v>1622</v>
      </c>
      <c r="I347" s="5">
        <v>69.25</v>
      </c>
      <c r="J347" s="5">
        <f t="shared" si="10"/>
        <v>207.75</v>
      </c>
    </row>
    <row r="348" spans="1:10" x14ac:dyDescent="0.25">
      <c r="A348" s="9">
        <v>1158</v>
      </c>
      <c r="B348" s="5" t="s">
        <v>88</v>
      </c>
      <c r="C348" s="5" t="s">
        <v>89</v>
      </c>
      <c r="D348" s="5" t="s">
        <v>1618</v>
      </c>
      <c r="E348" s="6">
        <v>90189084</v>
      </c>
      <c r="F348" s="6">
        <v>3</v>
      </c>
      <c r="G348" s="6">
        <f t="shared" si="11"/>
        <v>0.75</v>
      </c>
      <c r="H348" s="6" t="s">
        <v>1622</v>
      </c>
      <c r="I348" s="5">
        <v>52.69</v>
      </c>
      <c r="J348" s="5">
        <f t="shared" si="10"/>
        <v>158.07</v>
      </c>
    </row>
    <row r="349" spans="1:10" x14ac:dyDescent="0.25">
      <c r="A349" s="9">
        <v>1159</v>
      </c>
      <c r="B349" s="5" t="s">
        <v>1239</v>
      </c>
      <c r="C349" s="5" t="s">
        <v>1240</v>
      </c>
      <c r="D349" s="5" t="s">
        <v>1618</v>
      </c>
      <c r="E349" s="6">
        <v>90189084</v>
      </c>
      <c r="F349" s="6">
        <v>3</v>
      </c>
      <c r="G349" s="6">
        <f t="shared" si="11"/>
        <v>0.75</v>
      </c>
      <c r="H349" s="6" t="s">
        <v>1622</v>
      </c>
      <c r="I349" s="5">
        <v>68.19</v>
      </c>
      <c r="J349" s="5">
        <f t="shared" si="10"/>
        <v>204.57</v>
      </c>
    </row>
    <row r="350" spans="1:10" x14ac:dyDescent="0.25">
      <c r="A350" s="9">
        <v>1160</v>
      </c>
      <c r="B350" s="5" t="s">
        <v>1515</v>
      </c>
      <c r="C350" s="5" t="s">
        <v>1516</v>
      </c>
      <c r="D350" s="5" t="s">
        <v>1618</v>
      </c>
      <c r="E350" s="6">
        <v>90189084</v>
      </c>
      <c r="F350" s="6">
        <v>3</v>
      </c>
      <c r="G350" s="6">
        <f t="shared" si="11"/>
        <v>0.75</v>
      </c>
      <c r="H350" s="6" t="s">
        <v>1622</v>
      </c>
      <c r="I350" s="5">
        <v>76</v>
      </c>
      <c r="J350" s="5">
        <f t="shared" si="10"/>
        <v>228</v>
      </c>
    </row>
    <row r="351" spans="1:10" x14ac:dyDescent="0.25">
      <c r="A351" s="9">
        <v>1161</v>
      </c>
      <c r="B351" s="5" t="s">
        <v>1517</v>
      </c>
      <c r="C351" s="5" t="s">
        <v>1518</v>
      </c>
      <c r="D351" s="5" t="s">
        <v>1618</v>
      </c>
      <c r="E351" s="6">
        <v>90189084</v>
      </c>
      <c r="F351" s="6">
        <v>3</v>
      </c>
      <c r="G351" s="6">
        <f t="shared" si="11"/>
        <v>0.75</v>
      </c>
      <c r="H351" s="6" t="s">
        <v>1622</v>
      </c>
      <c r="I351" s="5">
        <v>77.58</v>
      </c>
      <c r="J351" s="5">
        <f t="shared" si="10"/>
        <v>232.74</v>
      </c>
    </row>
    <row r="352" spans="1:10" x14ac:dyDescent="0.25">
      <c r="A352" s="9">
        <v>1162</v>
      </c>
      <c r="B352" s="5" t="s">
        <v>1519</v>
      </c>
      <c r="C352" s="5" t="s">
        <v>1520</v>
      </c>
      <c r="D352" s="5" t="s">
        <v>1618</v>
      </c>
      <c r="E352" s="6">
        <v>90189084</v>
      </c>
      <c r="F352" s="6">
        <v>3</v>
      </c>
      <c r="G352" s="6">
        <f t="shared" si="11"/>
        <v>0.75</v>
      </c>
      <c r="H352" s="6" t="s">
        <v>1622</v>
      </c>
      <c r="I352" s="5">
        <v>79.91</v>
      </c>
      <c r="J352" s="5">
        <f t="shared" si="10"/>
        <v>239.73</v>
      </c>
    </row>
    <row r="353" spans="1:10" x14ac:dyDescent="0.25">
      <c r="A353" s="9">
        <v>1163</v>
      </c>
      <c r="B353" s="5" t="s">
        <v>1521</v>
      </c>
      <c r="C353" s="5" t="s">
        <v>1522</v>
      </c>
      <c r="D353" s="5" t="s">
        <v>1618</v>
      </c>
      <c r="E353" s="6">
        <v>90189084</v>
      </c>
      <c r="F353" s="6">
        <v>3</v>
      </c>
      <c r="G353" s="6">
        <f t="shared" si="11"/>
        <v>0.75</v>
      </c>
      <c r="H353" s="6" t="s">
        <v>1622</v>
      </c>
      <c r="I353" s="5">
        <v>65.62</v>
      </c>
      <c r="J353" s="5">
        <f t="shared" si="10"/>
        <v>196.86</v>
      </c>
    </row>
    <row r="354" spans="1:10" x14ac:dyDescent="0.25">
      <c r="A354" s="9">
        <v>1164</v>
      </c>
      <c r="B354" s="5" t="s">
        <v>524</v>
      </c>
      <c r="C354" s="5" t="s">
        <v>525</v>
      </c>
      <c r="D354" s="5" t="s">
        <v>1618</v>
      </c>
      <c r="E354" s="6">
        <v>90189084</v>
      </c>
      <c r="F354" s="6">
        <v>3</v>
      </c>
      <c r="G354" s="6">
        <f t="shared" si="11"/>
        <v>0.75</v>
      </c>
      <c r="H354" s="6" t="s">
        <v>1622</v>
      </c>
      <c r="I354" s="5">
        <v>10.02</v>
      </c>
      <c r="J354" s="5">
        <f t="shared" si="10"/>
        <v>30.06</v>
      </c>
    </row>
    <row r="355" spans="1:10" x14ac:dyDescent="0.25">
      <c r="A355" s="9">
        <v>1165</v>
      </c>
      <c r="B355" s="5" t="s">
        <v>490</v>
      </c>
      <c r="C355" s="5" t="s">
        <v>491</v>
      </c>
      <c r="D355" s="5" t="s">
        <v>1619</v>
      </c>
      <c r="E355" s="6">
        <v>90189084</v>
      </c>
      <c r="F355" s="6">
        <v>3</v>
      </c>
      <c r="G355" s="6">
        <f t="shared" si="11"/>
        <v>0.75</v>
      </c>
      <c r="H355" s="6" t="s">
        <v>1622</v>
      </c>
      <c r="I355" s="5">
        <v>5.4</v>
      </c>
      <c r="J355" s="5">
        <f t="shared" si="10"/>
        <v>16.200000000000003</v>
      </c>
    </row>
    <row r="356" spans="1:10" x14ac:dyDescent="0.25">
      <c r="A356" s="9">
        <v>1166</v>
      </c>
      <c r="B356" s="5" t="s">
        <v>1523</v>
      </c>
      <c r="C356" s="5" t="s">
        <v>1524</v>
      </c>
      <c r="D356" s="5" t="s">
        <v>1619</v>
      </c>
      <c r="E356" s="6">
        <v>90189084</v>
      </c>
      <c r="F356" s="6">
        <v>6</v>
      </c>
      <c r="G356" s="6">
        <f t="shared" si="11"/>
        <v>1.5</v>
      </c>
      <c r="H356" s="6" t="s">
        <v>1622</v>
      </c>
      <c r="I356" s="5">
        <v>5.23</v>
      </c>
      <c r="J356" s="5">
        <f t="shared" si="10"/>
        <v>31.380000000000003</v>
      </c>
    </row>
    <row r="357" spans="1:10" x14ac:dyDescent="0.25">
      <c r="A357" s="9">
        <v>1167</v>
      </c>
      <c r="B357" s="5" t="s">
        <v>1525</v>
      </c>
      <c r="C357" s="5" t="s">
        <v>1526</v>
      </c>
      <c r="D357" s="5" t="s">
        <v>1619</v>
      </c>
      <c r="E357" s="6">
        <v>90189084</v>
      </c>
      <c r="F357" s="6">
        <v>6</v>
      </c>
      <c r="G357" s="6">
        <f t="shared" si="11"/>
        <v>1.5</v>
      </c>
      <c r="H357" s="6" t="s">
        <v>1622</v>
      </c>
      <c r="I357" s="5">
        <v>8.9600000000000009</v>
      </c>
      <c r="J357" s="5">
        <f t="shared" si="10"/>
        <v>53.760000000000005</v>
      </c>
    </row>
    <row r="358" spans="1:10" x14ac:dyDescent="0.25">
      <c r="A358" s="9">
        <v>1168</v>
      </c>
      <c r="B358" s="5" t="s">
        <v>1527</v>
      </c>
      <c r="C358" s="5" t="s">
        <v>1528</v>
      </c>
      <c r="D358" s="5" t="s">
        <v>1618</v>
      </c>
      <c r="E358" s="6">
        <v>90189084</v>
      </c>
      <c r="F358" s="6">
        <v>6</v>
      </c>
      <c r="G358" s="6">
        <f t="shared" si="11"/>
        <v>1.5</v>
      </c>
      <c r="H358" s="6" t="s">
        <v>1622</v>
      </c>
      <c r="I358" s="5">
        <v>238.35</v>
      </c>
      <c r="J358" s="5">
        <f t="shared" si="10"/>
        <v>1430.1</v>
      </c>
    </row>
    <row r="359" spans="1:10" x14ac:dyDescent="0.25">
      <c r="A359" s="9">
        <v>1169</v>
      </c>
      <c r="B359" s="5" t="s">
        <v>614</v>
      </c>
      <c r="C359" s="5" t="s">
        <v>615</v>
      </c>
      <c r="D359" s="5" t="s">
        <v>1618</v>
      </c>
      <c r="E359" s="6">
        <v>90189084</v>
      </c>
      <c r="F359" s="6">
        <v>6</v>
      </c>
      <c r="G359" s="6">
        <f t="shared" si="11"/>
        <v>1.5</v>
      </c>
      <c r="H359" s="6" t="s">
        <v>1622</v>
      </c>
      <c r="I359" s="5">
        <v>31.2</v>
      </c>
      <c r="J359" s="5">
        <f t="shared" si="10"/>
        <v>187.2</v>
      </c>
    </row>
    <row r="360" spans="1:10" x14ac:dyDescent="0.25">
      <c r="A360" s="9">
        <v>1170</v>
      </c>
      <c r="B360" s="5" t="s">
        <v>1529</v>
      </c>
      <c r="C360" s="5" t="s">
        <v>1530</v>
      </c>
      <c r="D360" s="5" t="s">
        <v>1618</v>
      </c>
      <c r="E360" s="6">
        <v>90189084</v>
      </c>
      <c r="F360" s="6">
        <v>6</v>
      </c>
      <c r="G360" s="6">
        <f t="shared" si="11"/>
        <v>1.5</v>
      </c>
      <c r="H360" s="6" t="s">
        <v>1622</v>
      </c>
      <c r="I360" s="5">
        <v>255.29</v>
      </c>
      <c r="J360" s="5">
        <f t="shared" si="10"/>
        <v>1531.74</v>
      </c>
    </row>
    <row r="361" spans="1:10" x14ac:dyDescent="0.25">
      <c r="A361" s="9">
        <v>1171</v>
      </c>
      <c r="B361" s="5" t="s">
        <v>48</v>
      </c>
      <c r="C361" s="5" t="s">
        <v>49</v>
      </c>
      <c r="D361" s="5" t="s">
        <v>1619</v>
      </c>
      <c r="E361" s="6">
        <v>90189084</v>
      </c>
      <c r="F361" s="6">
        <v>6</v>
      </c>
      <c r="G361" s="6">
        <f t="shared" si="11"/>
        <v>1.5</v>
      </c>
      <c r="H361" s="6" t="s">
        <v>1622</v>
      </c>
      <c r="I361" s="5">
        <v>34.08</v>
      </c>
      <c r="J361" s="5">
        <f t="shared" si="10"/>
        <v>204.48</v>
      </c>
    </row>
    <row r="362" spans="1:10" x14ac:dyDescent="0.25">
      <c r="A362" s="9">
        <v>1172</v>
      </c>
      <c r="B362" s="5" t="s">
        <v>1531</v>
      </c>
      <c r="C362" s="5" t="s">
        <v>1532</v>
      </c>
      <c r="D362" s="5" t="s">
        <v>1619</v>
      </c>
      <c r="E362" s="6">
        <v>90189084</v>
      </c>
      <c r="F362" s="6">
        <v>18</v>
      </c>
      <c r="G362" s="6">
        <f t="shared" si="11"/>
        <v>4.5</v>
      </c>
      <c r="H362" s="6" t="s">
        <v>1622</v>
      </c>
      <c r="I362" s="5">
        <v>13.11</v>
      </c>
      <c r="J362" s="5">
        <f t="shared" si="10"/>
        <v>235.98</v>
      </c>
    </row>
    <row r="363" spans="1:10" x14ac:dyDescent="0.25">
      <c r="A363" s="9">
        <v>1173</v>
      </c>
      <c r="B363" s="5" t="s">
        <v>170</v>
      </c>
      <c r="C363" s="5" t="s">
        <v>171</v>
      </c>
      <c r="D363" s="5" t="s">
        <v>1619</v>
      </c>
      <c r="E363" s="6">
        <v>90189084</v>
      </c>
      <c r="F363" s="6">
        <v>18</v>
      </c>
      <c r="G363" s="6">
        <f t="shared" si="11"/>
        <v>4.5</v>
      </c>
      <c r="H363" s="6" t="s">
        <v>1622</v>
      </c>
      <c r="I363" s="5">
        <v>12.74</v>
      </c>
      <c r="J363" s="5">
        <f t="shared" si="10"/>
        <v>229.32</v>
      </c>
    </row>
    <row r="364" spans="1:10" x14ac:dyDescent="0.25">
      <c r="A364" s="9">
        <v>1174</v>
      </c>
      <c r="B364" s="5" t="s">
        <v>336</v>
      </c>
      <c r="C364" s="5" t="s">
        <v>337</v>
      </c>
      <c r="D364" s="5" t="s">
        <v>1619</v>
      </c>
      <c r="E364" s="6">
        <v>90189084</v>
      </c>
      <c r="F364" s="6">
        <v>6</v>
      </c>
      <c r="G364" s="6">
        <f t="shared" si="11"/>
        <v>1.5</v>
      </c>
      <c r="H364" s="6" t="s">
        <v>1622</v>
      </c>
      <c r="I364" s="5">
        <v>20.68</v>
      </c>
      <c r="J364" s="5">
        <f t="shared" si="10"/>
        <v>124.08</v>
      </c>
    </row>
    <row r="365" spans="1:10" x14ac:dyDescent="0.25">
      <c r="A365" s="9">
        <v>1175</v>
      </c>
      <c r="B365" s="5" t="s">
        <v>1533</v>
      </c>
      <c r="C365" s="5" t="s">
        <v>1534</v>
      </c>
      <c r="D365" s="5" t="s">
        <v>1618</v>
      </c>
      <c r="E365" s="6">
        <v>90189084</v>
      </c>
      <c r="F365" s="6">
        <v>6</v>
      </c>
      <c r="G365" s="6">
        <f t="shared" si="11"/>
        <v>1.5</v>
      </c>
      <c r="H365" s="6" t="s">
        <v>1622</v>
      </c>
      <c r="I365" s="5">
        <v>55.14</v>
      </c>
      <c r="J365" s="5">
        <f t="shared" si="10"/>
        <v>330.84000000000003</v>
      </c>
    </row>
    <row r="366" spans="1:10" x14ac:dyDescent="0.25">
      <c r="A366" s="9">
        <v>1176</v>
      </c>
      <c r="B366" s="5" t="s">
        <v>1535</v>
      </c>
      <c r="C366" s="5" t="s">
        <v>1536</v>
      </c>
      <c r="D366" s="5" t="s">
        <v>1618</v>
      </c>
      <c r="E366" s="6">
        <v>90189084</v>
      </c>
      <c r="F366" s="6">
        <v>6</v>
      </c>
      <c r="G366" s="6">
        <f t="shared" si="11"/>
        <v>1.5</v>
      </c>
      <c r="H366" s="6" t="s">
        <v>1622</v>
      </c>
      <c r="I366" s="5">
        <v>35.36</v>
      </c>
      <c r="J366" s="5">
        <f t="shared" si="10"/>
        <v>212.16</v>
      </c>
    </row>
    <row r="367" spans="1:10" x14ac:dyDescent="0.25">
      <c r="A367" s="9">
        <v>1177</v>
      </c>
      <c r="B367" s="5" t="s">
        <v>1537</v>
      </c>
      <c r="C367" s="5" t="s">
        <v>1538</v>
      </c>
      <c r="D367" s="5" t="s">
        <v>1618</v>
      </c>
      <c r="E367" s="6">
        <v>90189084</v>
      </c>
      <c r="F367" s="6">
        <v>6</v>
      </c>
      <c r="G367" s="6">
        <f t="shared" si="11"/>
        <v>1.5</v>
      </c>
      <c r="H367" s="6" t="s">
        <v>1622</v>
      </c>
      <c r="I367" s="5">
        <v>35.36</v>
      </c>
      <c r="J367" s="5">
        <f t="shared" si="10"/>
        <v>212.16</v>
      </c>
    </row>
    <row r="368" spans="1:10" x14ac:dyDescent="0.25">
      <c r="A368" s="9">
        <v>1178</v>
      </c>
      <c r="B368" s="5" t="s">
        <v>1539</v>
      </c>
      <c r="C368" s="5" t="s">
        <v>1540</v>
      </c>
      <c r="D368" s="5" t="s">
        <v>1618</v>
      </c>
      <c r="E368" s="6">
        <v>90189084</v>
      </c>
      <c r="F368" s="6">
        <v>3</v>
      </c>
      <c r="G368" s="6">
        <f t="shared" si="11"/>
        <v>0.75</v>
      </c>
      <c r="H368" s="6" t="s">
        <v>1622</v>
      </c>
      <c r="I368" s="5">
        <v>76.14</v>
      </c>
      <c r="J368" s="5">
        <f t="shared" si="10"/>
        <v>228.42000000000002</v>
      </c>
    </row>
    <row r="369" spans="1:10" x14ac:dyDescent="0.25">
      <c r="A369" s="9">
        <v>1179</v>
      </c>
      <c r="B369" s="5" t="s">
        <v>1301</v>
      </c>
      <c r="C369" s="5" t="s">
        <v>1302</v>
      </c>
      <c r="D369" s="5" t="s">
        <v>1618</v>
      </c>
      <c r="E369" s="6">
        <v>90189084</v>
      </c>
      <c r="F369" s="6">
        <v>3</v>
      </c>
      <c r="G369" s="6">
        <f t="shared" si="11"/>
        <v>0.75</v>
      </c>
      <c r="H369" s="6" t="s">
        <v>1622</v>
      </c>
      <c r="I369" s="5">
        <v>37.159999999999997</v>
      </c>
      <c r="J369" s="5">
        <f t="shared" si="10"/>
        <v>111.47999999999999</v>
      </c>
    </row>
    <row r="370" spans="1:10" x14ac:dyDescent="0.25">
      <c r="A370" s="9">
        <v>1180</v>
      </c>
      <c r="B370" s="5" t="s">
        <v>1369</v>
      </c>
      <c r="C370" s="5" t="s">
        <v>1370</v>
      </c>
      <c r="D370" s="5" t="s">
        <v>1619</v>
      </c>
      <c r="E370" s="6">
        <v>90189084</v>
      </c>
      <c r="F370" s="6">
        <v>3</v>
      </c>
      <c r="G370" s="6">
        <f t="shared" si="11"/>
        <v>0.75</v>
      </c>
      <c r="H370" s="6" t="s">
        <v>1622</v>
      </c>
      <c r="I370" s="5">
        <v>22.73</v>
      </c>
      <c r="J370" s="5">
        <f t="shared" si="10"/>
        <v>68.19</v>
      </c>
    </row>
    <row r="371" spans="1:10" x14ac:dyDescent="0.25">
      <c r="A371" s="9">
        <v>1181</v>
      </c>
      <c r="B371" s="5" t="s">
        <v>1541</v>
      </c>
      <c r="C371" s="5" t="s">
        <v>1542</v>
      </c>
      <c r="D371" s="5" t="s">
        <v>1618</v>
      </c>
      <c r="E371" s="6">
        <v>90189084</v>
      </c>
      <c r="F371" s="6">
        <v>3</v>
      </c>
      <c r="G371" s="6">
        <f t="shared" si="11"/>
        <v>0.75</v>
      </c>
      <c r="H371" s="6" t="s">
        <v>1622</v>
      </c>
      <c r="I371" s="5">
        <v>30.36</v>
      </c>
      <c r="J371" s="5">
        <f t="shared" si="10"/>
        <v>91.08</v>
      </c>
    </row>
    <row r="372" spans="1:10" x14ac:dyDescent="0.25">
      <c r="A372" s="9">
        <v>1182</v>
      </c>
      <c r="B372" s="5" t="s">
        <v>502</v>
      </c>
      <c r="C372" s="5" t="s">
        <v>503</v>
      </c>
      <c r="D372" s="5" t="s">
        <v>1619</v>
      </c>
      <c r="E372" s="6">
        <v>90189084</v>
      </c>
      <c r="F372" s="6">
        <v>3</v>
      </c>
      <c r="G372" s="6">
        <f t="shared" si="11"/>
        <v>0.75</v>
      </c>
      <c r="H372" s="6" t="s">
        <v>1622</v>
      </c>
      <c r="I372" s="5">
        <v>31.91</v>
      </c>
      <c r="J372" s="5">
        <f t="shared" si="10"/>
        <v>95.73</v>
      </c>
    </row>
    <row r="373" spans="1:10" x14ac:dyDescent="0.25">
      <c r="A373" s="9">
        <v>1183</v>
      </c>
      <c r="B373" s="5" t="s">
        <v>94</v>
      </c>
      <c r="C373" s="5" t="s">
        <v>95</v>
      </c>
      <c r="D373" s="5" t="s">
        <v>1619</v>
      </c>
      <c r="E373" s="6">
        <v>90189084</v>
      </c>
      <c r="F373" s="6">
        <v>3</v>
      </c>
      <c r="G373" s="6">
        <f t="shared" si="11"/>
        <v>0.75</v>
      </c>
      <c r="H373" s="6" t="s">
        <v>1622</v>
      </c>
      <c r="I373" s="5">
        <v>47.91</v>
      </c>
      <c r="J373" s="5">
        <f t="shared" si="10"/>
        <v>143.72999999999999</v>
      </c>
    </row>
    <row r="374" spans="1:10" x14ac:dyDescent="0.25">
      <c r="A374" s="9">
        <v>1184</v>
      </c>
      <c r="B374" s="5" t="s">
        <v>1543</v>
      </c>
      <c r="C374" s="5" t="s">
        <v>1544</v>
      </c>
      <c r="D374" s="5" t="s">
        <v>1619</v>
      </c>
      <c r="E374" s="6">
        <v>90189084</v>
      </c>
      <c r="F374" s="6">
        <v>6</v>
      </c>
      <c r="G374" s="6">
        <f t="shared" si="11"/>
        <v>1.5</v>
      </c>
      <c r="H374" s="6" t="s">
        <v>1622</v>
      </c>
      <c r="I374" s="5">
        <v>44.91</v>
      </c>
      <c r="J374" s="5">
        <f t="shared" si="10"/>
        <v>269.45999999999998</v>
      </c>
    </row>
    <row r="375" spans="1:10" x14ac:dyDescent="0.25">
      <c r="A375" s="9">
        <v>1185</v>
      </c>
      <c r="B375" s="5" t="s">
        <v>1545</v>
      </c>
      <c r="C375" s="5" t="s">
        <v>1546</v>
      </c>
      <c r="D375" s="5" t="s">
        <v>1619</v>
      </c>
      <c r="E375" s="6">
        <v>90189084</v>
      </c>
      <c r="F375" s="6">
        <v>3</v>
      </c>
      <c r="G375" s="6">
        <f t="shared" si="11"/>
        <v>0.75</v>
      </c>
      <c r="H375" s="6" t="s">
        <v>1622</v>
      </c>
      <c r="I375" s="5">
        <v>60.97</v>
      </c>
      <c r="J375" s="5">
        <f t="shared" si="10"/>
        <v>182.91</v>
      </c>
    </row>
    <row r="376" spans="1:10" x14ac:dyDescent="0.25">
      <c r="A376" s="9">
        <v>1186</v>
      </c>
      <c r="B376" s="5" t="s">
        <v>1429</v>
      </c>
      <c r="C376" s="5" t="s">
        <v>1430</v>
      </c>
      <c r="D376" s="5" t="s">
        <v>1618</v>
      </c>
      <c r="E376" s="6">
        <v>90189084</v>
      </c>
      <c r="F376" s="6">
        <v>6</v>
      </c>
      <c r="G376" s="6">
        <f t="shared" si="11"/>
        <v>1.5</v>
      </c>
      <c r="H376" s="6" t="s">
        <v>1622</v>
      </c>
      <c r="I376" s="5">
        <v>18.61</v>
      </c>
      <c r="J376" s="5">
        <f t="shared" si="10"/>
        <v>111.66</v>
      </c>
    </row>
    <row r="377" spans="1:10" x14ac:dyDescent="0.25">
      <c r="A377" s="9">
        <v>1187</v>
      </c>
      <c r="B377" s="5" t="s">
        <v>1547</v>
      </c>
      <c r="C377" s="5" t="s">
        <v>1548</v>
      </c>
      <c r="D377" s="5" t="s">
        <v>1618</v>
      </c>
      <c r="E377" s="6">
        <v>90189084</v>
      </c>
      <c r="F377" s="6">
        <v>6</v>
      </c>
      <c r="G377" s="6">
        <f t="shared" si="11"/>
        <v>1.5</v>
      </c>
      <c r="H377" s="6" t="s">
        <v>1622</v>
      </c>
      <c r="I377" s="5">
        <v>22.68</v>
      </c>
      <c r="J377" s="5">
        <f t="shared" si="10"/>
        <v>136.07999999999998</v>
      </c>
    </row>
    <row r="378" spans="1:10" x14ac:dyDescent="0.25">
      <c r="A378" s="9">
        <v>1188</v>
      </c>
      <c r="B378" s="5" t="s">
        <v>1549</v>
      </c>
      <c r="C378" s="5" t="s">
        <v>1550</v>
      </c>
      <c r="D378" s="5" t="s">
        <v>1619</v>
      </c>
      <c r="E378" s="6">
        <v>90189084</v>
      </c>
      <c r="F378" s="6">
        <v>3</v>
      </c>
      <c r="G378" s="6">
        <f t="shared" si="11"/>
        <v>0.75</v>
      </c>
      <c r="H378" s="6" t="s">
        <v>1622</v>
      </c>
      <c r="I378" s="5">
        <v>28.35</v>
      </c>
      <c r="J378" s="5">
        <f t="shared" si="10"/>
        <v>85.050000000000011</v>
      </c>
    </row>
    <row r="379" spans="1:10" x14ac:dyDescent="0.25">
      <c r="A379" s="9">
        <v>1189</v>
      </c>
      <c r="B379" s="5" t="s">
        <v>825</v>
      </c>
      <c r="C379" s="5" t="s">
        <v>826</v>
      </c>
      <c r="D379" s="5" t="s">
        <v>1618</v>
      </c>
      <c r="E379" s="6">
        <v>90189084</v>
      </c>
      <c r="F379" s="6">
        <v>6</v>
      </c>
      <c r="G379" s="6">
        <f t="shared" si="11"/>
        <v>1.5</v>
      </c>
      <c r="H379" s="6" t="s">
        <v>1622</v>
      </c>
      <c r="I379" s="5">
        <v>21.14</v>
      </c>
      <c r="J379" s="5">
        <f t="shared" si="10"/>
        <v>126.84</v>
      </c>
    </row>
    <row r="380" spans="1:10" x14ac:dyDescent="0.25">
      <c r="A380" s="9">
        <v>1190</v>
      </c>
      <c r="B380" s="5" t="s">
        <v>1551</v>
      </c>
      <c r="C380" s="5" t="s">
        <v>1552</v>
      </c>
      <c r="D380" s="5" t="s">
        <v>1618</v>
      </c>
      <c r="E380" s="6">
        <v>90189084</v>
      </c>
      <c r="F380" s="6">
        <v>6</v>
      </c>
      <c r="G380" s="6">
        <f t="shared" si="11"/>
        <v>1.5</v>
      </c>
      <c r="H380" s="6" t="s">
        <v>1622</v>
      </c>
      <c r="I380" s="5">
        <v>23.51</v>
      </c>
      <c r="J380" s="5">
        <f t="shared" si="10"/>
        <v>141.06</v>
      </c>
    </row>
    <row r="381" spans="1:10" x14ac:dyDescent="0.25">
      <c r="A381" s="9">
        <v>1191</v>
      </c>
      <c r="B381" s="5" t="s">
        <v>1553</v>
      </c>
      <c r="C381" s="5" t="s">
        <v>1554</v>
      </c>
      <c r="D381" s="5" t="s">
        <v>1618</v>
      </c>
      <c r="E381" s="6">
        <v>90189084</v>
      </c>
      <c r="F381" s="6">
        <v>6</v>
      </c>
      <c r="G381" s="6">
        <f t="shared" si="11"/>
        <v>1.5</v>
      </c>
      <c r="H381" s="6" t="s">
        <v>1622</v>
      </c>
      <c r="I381" s="5">
        <v>32.54</v>
      </c>
      <c r="J381" s="5">
        <f t="shared" si="10"/>
        <v>195.24</v>
      </c>
    </row>
    <row r="382" spans="1:10" x14ac:dyDescent="0.25">
      <c r="A382" s="9">
        <v>1192</v>
      </c>
      <c r="B382" s="5" t="s">
        <v>1555</v>
      </c>
      <c r="C382" s="5" t="s">
        <v>1556</v>
      </c>
      <c r="D382" s="5" t="s">
        <v>1618</v>
      </c>
      <c r="E382" s="6">
        <v>90189084</v>
      </c>
      <c r="F382" s="6">
        <v>6</v>
      </c>
      <c r="G382" s="6">
        <f t="shared" si="11"/>
        <v>1.5</v>
      </c>
      <c r="H382" s="6" t="s">
        <v>1622</v>
      </c>
      <c r="I382" s="5">
        <v>27.07</v>
      </c>
      <c r="J382" s="5">
        <f t="shared" si="10"/>
        <v>162.42000000000002</v>
      </c>
    </row>
    <row r="383" spans="1:10" x14ac:dyDescent="0.25">
      <c r="A383" s="9">
        <v>1193</v>
      </c>
      <c r="B383" s="5" t="s">
        <v>1557</v>
      </c>
      <c r="C383" s="5" t="s">
        <v>1558</v>
      </c>
      <c r="D383" s="5" t="s">
        <v>1618</v>
      </c>
      <c r="E383" s="6">
        <v>90189084</v>
      </c>
      <c r="F383" s="6">
        <v>6</v>
      </c>
      <c r="G383" s="6">
        <f t="shared" si="11"/>
        <v>1.5</v>
      </c>
      <c r="H383" s="6" t="s">
        <v>1622</v>
      </c>
      <c r="I383" s="5">
        <v>27.5</v>
      </c>
      <c r="J383" s="5">
        <f t="shared" si="10"/>
        <v>165</v>
      </c>
    </row>
    <row r="384" spans="1:10" x14ac:dyDescent="0.25">
      <c r="A384" s="9">
        <v>1194</v>
      </c>
      <c r="B384" s="5" t="s">
        <v>1559</v>
      </c>
      <c r="C384" s="5" t="s">
        <v>1560</v>
      </c>
      <c r="D384" s="5" t="s">
        <v>1618</v>
      </c>
      <c r="E384" s="6">
        <v>90189084</v>
      </c>
      <c r="F384" s="6">
        <v>3</v>
      </c>
      <c r="G384" s="6">
        <f t="shared" si="11"/>
        <v>0.75</v>
      </c>
      <c r="H384" s="6" t="s">
        <v>1622</v>
      </c>
      <c r="I384" s="5">
        <v>155.78</v>
      </c>
      <c r="J384" s="5">
        <f t="shared" si="10"/>
        <v>467.34000000000003</v>
      </c>
    </row>
    <row r="385" spans="1:10" x14ac:dyDescent="0.25">
      <c r="A385" s="9">
        <v>1195</v>
      </c>
      <c r="B385" s="5" t="s">
        <v>222</v>
      </c>
      <c r="C385" s="5" t="s">
        <v>223</v>
      </c>
      <c r="D385" s="5" t="s">
        <v>1618</v>
      </c>
      <c r="E385" s="6">
        <v>90189084</v>
      </c>
      <c r="F385" s="6">
        <v>3</v>
      </c>
      <c r="G385" s="6">
        <f t="shared" si="11"/>
        <v>0.75</v>
      </c>
      <c r="H385" s="6" t="s">
        <v>1622</v>
      </c>
      <c r="I385" s="5">
        <v>112.33</v>
      </c>
      <c r="J385" s="5">
        <f t="shared" si="10"/>
        <v>336.99</v>
      </c>
    </row>
    <row r="386" spans="1:10" x14ac:dyDescent="0.25">
      <c r="A386" s="9">
        <v>1196</v>
      </c>
      <c r="B386" s="5" t="s">
        <v>1561</v>
      </c>
      <c r="C386" s="5" t="s">
        <v>1562</v>
      </c>
      <c r="D386" s="5" t="s">
        <v>1618</v>
      </c>
      <c r="E386" s="6">
        <v>90189084</v>
      </c>
      <c r="F386" s="6">
        <v>3</v>
      </c>
      <c r="G386" s="6">
        <f t="shared" si="11"/>
        <v>0.75</v>
      </c>
      <c r="H386" s="6" t="s">
        <v>1622</v>
      </c>
      <c r="I386" s="5">
        <v>164.01</v>
      </c>
      <c r="J386" s="5">
        <f t="shared" si="10"/>
        <v>492.03</v>
      </c>
    </row>
    <row r="387" spans="1:10" x14ac:dyDescent="0.25">
      <c r="A387" s="9">
        <v>1197</v>
      </c>
      <c r="B387" s="5" t="s">
        <v>1221</v>
      </c>
      <c r="C387" s="5" t="s">
        <v>1222</v>
      </c>
      <c r="D387" s="5" t="s">
        <v>1618</v>
      </c>
      <c r="E387" s="6">
        <v>90189084</v>
      </c>
      <c r="F387" s="6">
        <v>3</v>
      </c>
      <c r="G387" s="6">
        <f t="shared" si="11"/>
        <v>0.75</v>
      </c>
      <c r="H387" s="6" t="s">
        <v>1622</v>
      </c>
      <c r="I387" s="5">
        <v>21.3</v>
      </c>
      <c r="J387" s="5">
        <f t="shared" ref="J387:J414" si="12">F387*I387</f>
        <v>63.900000000000006</v>
      </c>
    </row>
    <row r="388" spans="1:10" x14ac:dyDescent="0.25">
      <c r="A388" s="9">
        <v>1198</v>
      </c>
      <c r="B388" s="5" t="s">
        <v>1563</v>
      </c>
      <c r="C388" s="5" t="s">
        <v>1564</v>
      </c>
      <c r="D388" s="5" t="s">
        <v>1618</v>
      </c>
      <c r="E388" s="6">
        <v>90189084</v>
      </c>
      <c r="F388" s="6">
        <v>3</v>
      </c>
      <c r="G388" s="6">
        <f t="shared" ref="G388:G414" si="13">F388/$F$2</f>
        <v>0.75</v>
      </c>
      <c r="H388" s="6" t="s">
        <v>1622</v>
      </c>
      <c r="I388" s="5">
        <v>33.29</v>
      </c>
      <c r="J388" s="5">
        <f t="shared" si="12"/>
        <v>99.87</v>
      </c>
    </row>
    <row r="389" spans="1:10" x14ac:dyDescent="0.25">
      <c r="A389" s="9">
        <v>1199</v>
      </c>
      <c r="B389" s="5" t="s">
        <v>1565</v>
      </c>
      <c r="C389" s="5" t="s">
        <v>1566</v>
      </c>
      <c r="D389" s="5" t="s">
        <v>1618</v>
      </c>
      <c r="E389" s="6">
        <v>90189084</v>
      </c>
      <c r="F389" s="6">
        <v>3</v>
      </c>
      <c r="G389" s="6">
        <f t="shared" si="13"/>
        <v>0.75</v>
      </c>
      <c r="H389" s="6" t="s">
        <v>1622</v>
      </c>
      <c r="I389" s="5">
        <v>32.54</v>
      </c>
      <c r="J389" s="5">
        <f t="shared" si="12"/>
        <v>97.62</v>
      </c>
    </row>
    <row r="390" spans="1:10" x14ac:dyDescent="0.25">
      <c r="A390" s="9">
        <v>1200</v>
      </c>
      <c r="B390" s="5" t="s">
        <v>1391</v>
      </c>
      <c r="C390" s="5" t="s">
        <v>1392</v>
      </c>
      <c r="D390" s="5" t="s">
        <v>1618</v>
      </c>
      <c r="E390" s="6">
        <v>90189084</v>
      </c>
      <c r="F390" s="6">
        <v>3</v>
      </c>
      <c r="G390" s="6">
        <f t="shared" si="13"/>
        <v>0.75</v>
      </c>
      <c r="H390" s="6" t="s">
        <v>1622</v>
      </c>
      <c r="I390" s="5">
        <v>20.71</v>
      </c>
      <c r="J390" s="5">
        <f t="shared" si="12"/>
        <v>62.13</v>
      </c>
    </row>
    <row r="391" spans="1:10" x14ac:dyDescent="0.25">
      <c r="A391" s="9">
        <v>1201</v>
      </c>
      <c r="B391" s="5" t="s">
        <v>1567</v>
      </c>
      <c r="C391" s="5" t="s">
        <v>1568</v>
      </c>
      <c r="D391" s="5" t="s">
        <v>1618</v>
      </c>
      <c r="E391" s="6">
        <v>90189084</v>
      </c>
      <c r="F391" s="6">
        <v>3</v>
      </c>
      <c r="G391" s="6">
        <f t="shared" si="13"/>
        <v>0.75</v>
      </c>
      <c r="H391" s="6" t="s">
        <v>1622</v>
      </c>
      <c r="I391" s="5">
        <v>5.82</v>
      </c>
      <c r="J391" s="5">
        <f t="shared" si="12"/>
        <v>17.46</v>
      </c>
    </row>
    <row r="392" spans="1:10" x14ac:dyDescent="0.25">
      <c r="A392" s="9">
        <v>1202</v>
      </c>
      <c r="B392" s="5" t="s">
        <v>1569</v>
      </c>
      <c r="C392" s="5" t="s">
        <v>1570</v>
      </c>
      <c r="D392" s="5" t="s">
        <v>1618</v>
      </c>
      <c r="E392" s="6">
        <v>90183900</v>
      </c>
      <c r="F392" s="6">
        <v>3</v>
      </c>
      <c r="G392" s="6">
        <f t="shared" si="13"/>
        <v>0.75</v>
      </c>
      <c r="H392" s="6" t="s">
        <v>1622</v>
      </c>
      <c r="I392" s="5">
        <v>15.69</v>
      </c>
      <c r="J392" s="5">
        <f t="shared" si="12"/>
        <v>47.07</v>
      </c>
    </row>
    <row r="393" spans="1:10" x14ac:dyDescent="0.25">
      <c r="A393" s="9">
        <v>1203</v>
      </c>
      <c r="B393" s="5" t="s">
        <v>1571</v>
      </c>
      <c r="C393" s="5" t="s">
        <v>1572</v>
      </c>
      <c r="D393" s="5" t="s">
        <v>1618</v>
      </c>
      <c r="E393" s="6">
        <v>90189084</v>
      </c>
      <c r="F393" s="6">
        <v>6</v>
      </c>
      <c r="G393" s="6">
        <f t="shared" si="13"/>
        <v>1.5</v>
      </c>
      <c r="H393" s="6" t="s">
        <v>1622</v>
      </c>
      <c r="I393" s="5">
        <v>78.36</v>
      </c>
      <c r="J393" s="5">
        <f t="shared" si="12"/>
        <v>470.15999999999997</v>
      </c>
    </row>
    <row r="394" spans="1:10" x14ac:dyDescent="0.25">
      <c r="A394" s="9">
        <v>1204</v>
      </c>
      <c r="B394" s="5" t="s">
        <v>1573</v>
      </c>
      <c r="C394" s="5" t="s">
        <v>1574</v>
      </c>
      <c r="D394" s="5" t="s">
        <v>1618</v>
      </c>
      <c r="E394" s="6">
        <v>90189084</v>
      </c>
      <c r="F394" s="6">
        <v>6</v>
      </c>
      <c r="G394" s="6">
        <f t="shared" si="13"/>
        <v>1.5</v>
      </c>
      <c r="H394" s="6" t="s">
        <v>1622</v>
      </c>
      <c r="I394" s="5">
        <v>82.55</v>
      </c>
      <c r="J394" s="5">
        <f t="shared" si="12"/>
        <v>495.29999999999995</v>
      </c>
    </row>
    <row r="395" spans="1:10" x14ac:dyDescent="0.25">
      <c r="A395" s="9">
        <v>1205</v>
      </c>
      <c r="B395" s="5" t="s">
        <v>1575</v>
      </c>
      <c r="C395" s="5" t="s">
        <v>1576</v>
      </c>
      <c r="D395" s="5" t="s">
        <v>1618</v>
      </c>
      <c r="E395" s="6">
        <v>90189084</v>
      </c>
      <c r="F395" s="6">
        <v>6</v>
      </c>
      <c r="G395" s="6">
        <f t="shared" si="13"/>
        <v>1.5</v>
      </c>
      <c r="H395" s="6" t="s">
        <v>1622</v>
      </c>
      <c r="I395" s="5">
        <v>80.010000000000005</v>
      </c>
      <c r="J395" s="5">
        <f t="shared" si="12"/>
        <v>480.06000000000006</v>
      </c>
    </row>
    <row r="396" spans="1:10" x14ac:dyDescent="0.25">
      <c r="A396" s="9">
        <v>1206</v>
      </c>
      <c r="B396" s="5" t="s">
        <v>1573</v>
      </c>
      <c r="C396" s="5" t="s">
        <v>1574</v>
      </c>
      <c r="D396" s="5" t="s">
        <v>1618</v>
      </c>
      <c r="E396" s="6">
        <v>90189084</v>
      </c>
      <c r="F396" s="6">
        <v>6</v>
      </c>
      <c r="G396" s="6">
        <f t="shared" si="13"/>
        <v>1.5</v>
      </c>
      <c r="H396" s="6" t="s">
        <v>1622</v>
      </c>
      <c r="I396" s="5">
        <v>82.55</v>
      </c>
      <c r="J396" s="5">
        <f t="shared" si="12"/>
        <v>495.29999999999995</v>
      </c>
    </row>
    <row r="397" spans="1:10" x14ac:dyDescent="0.25">
      <c r="A397" s="9">
        <v>1207</v>
      </c>
      <c r="B397" s="5" t="s">
        <v>1577</v>
      </c>
      <c r="C397" s="5" t="s">
        <v>1578</v>
      </c>
      <c r="D397" s="5" t="s">
        <v>1618</v>
      </c>
      <c r="E397" s="6">
        <v>90189084</v>
      </c>
      <c r="F397" s="6">
        <v>6</v>
      </c>
      <c r="G397" s="6">
        <f t="shared" si="13"/>
        <v>1.5</v>
      </c>
      <c r="H397" s="6" t="s">
        <v>1622</v>
      </c>
      <c r="I397" s="5">
        <v>70.37</v>
      </c>
      <c r="J397" s="5">
        <f t="shared" si="12"/>
        <v>422.22</v>
      </c>
    </row>
    <row r="398" spans="1:10" x14ac:dyDescent="0.25">
      <c r="A398" s="9">
        <v>1208</v>
      </c>
      <c r="B398" s="5" t="s">
        <v>1579</v>
      </c>
      <c r="C398" s="5" t="s">
        <v>1580</v>
      </c>
      <c r="D398" s="5" t="s">
        <v>1618</v>
      </c>
      <c r="E398" s="6">
        <v>90189084</v>
      </c>
      <c r="F398" s="6">
        <v>6</v>
      </c>
      <c r="G398" s="6">
        <f t="shared" si="13"/>
        <v>1.5</v>
      </c>
      <c r="H398" s="6" t="s">
        <v>1622</v>
      </c>
      <c r="I398" s="5">
        <v>66.41</v>
      </c>
      <c r="J398" s="5">
        <f t="shared" si="12"/>
        <v>398.46</v>
      </c>
    </row>
    <row r="399" spans="1:10" x14ac:dyDescent="0.25">
      <c r="A399" s="9">
        <v>1209</v>
      </c>
      <c r="B399" s="5" t="s">
        <v>1581</v>
      </c>
      <c r="C399" s="5" t="s">
        <v>1582</v>
      </c>
      <c r="D399" s="5" t="s">
        <v>1618</v>
      </c>
      <c r="E399" s="6">
        <v>90189084</v>
      </c>
      <c r="F399" s="6">
        <v>6</v>
      </c>
      <c r="G399" s="6">
        <f t="shared" si="13"/>
        <v>1.5</v>
      </c>
      <c r="H399" s="6" t="s">
        <v>1622</v>
      </c>
      <c r="I399" s="5">
        <v>68.19</v>
      </c>
      <c r="J399" s="5">
        <f t="shared" si="12"/>
        <v>409.14</v>
      </c>
    </row>
    <row r="400" spans="1:10" x14ac:dyDescent="0.25">
      <c r="A400" s="9">
        <v>1210</v>
      </c>
      <c r="B400" s="5" t="s">
        <v>1583</v>
      </c>
      <c r="C400" s="5" t="s">
        <v>1584</v>
      </c>
      <c r="D400" s="5" t="s">
        <v>1618</v>
      </c>
      <c r="E400" s="6">
        <v>90189084</v>
      </c>
      <c r="F400" s="6">
        <v>6</v>
      </c>
      <c r="G400" s="6">
        <f t="shared" si="13"/>
        <v>1.5</v>
      </c>
      <c r="H400" s="6" t="s">
        <v>1622</v>
      </c>
      <c r="I400" s="5">
        <v>31.34</v>
      </c>
      <c r="J400" s="5">
        <f t="shared" si="12"/>
        <v>188.04</v>
      </c>
    </row>
    <row r="401" spans="1:10" x14ac:dyDescent="0.25">
      <c r="A401" s="9">
        <v>1211</v>
      </c>
      <c r="B401" s="5" t="s">
        <v>1585</v>
      </c>
      <c r="C401" s="5" t="s">
        <v>1586</v>
      </c>
      <c r="D401" s="5" t="s">
        <v>1618</v>
      </c>
      <c r="E401" s="6">
        <v>90189084</v>
      </c>
      <c r="F401" s="6">
        <v>6</v>
      </c>
      <c r="G401" s="6">
        <f t="shared" si="13"/>
        <v>1.5</v>
      </c>
      <c r="H401" s="6" t="s">
        <v>1622</v>
      </c>
      <c r="I401" s="5">
        <v>35.51</v>
      </c>
      <c r="J401" s="5">
        <f t="shared" si="12"/>
        <v>213.06</v>
      </c>
    </row>
    <row r="402" spans="1:10" x14ac:dyDescent="0.25">
      <c r="A402" s="9">
        <v>1212</v>
      </c>
      <c r="B402" s="5" t="s">
        <v>1587</v>
      </c>
      <c r="C402" s="5" t="s">
        <v>1588</v>
      </c>
      <c r="D402" s="5" t="s">
        <v>1618</v>
      </c>
      <c r="E402" s="6">
        <v>90189084</v>
      </c>
      <c r="F402" s="6">
        <v>6</v>
      </c>
      <c r="G402" s="6">
        <f t="shared" si="13"/>
        <v>1.5</v>
      </c>
      <c r="H402" s="6" t="s">
        <v>1622</v>
      </c>
      <c r="I402" s="5">
        <v>38.03</v>
      </c>
      <c r="J402" s="5">
        <f t="shared" si="12"/>
        <v>228.18</v>
      </c>
    </row>
    <row r="403" spans="1:10" x14ac:dyDescent="0.25">
      <c r="A403" s="9">
        <v>1213</v>
      </c>
      <c r="B403" s="5" t="s">
        <v>1589</v>
      </c>
      <c r="C403" s="5" t="s">
        <v>1590</v>
      </c>
      <c r="D403" s="5" t="s">
        <v>1618</v>
      </c>
      <c r="E403" s="6">
        <v>90189084</v>
      </c>
      <c r="F403" s="6">
        <v>6</v>
      </c>
      <c r="G403" s="6">
        <f t="shared" si="13"/>
        <v>1.5</v>
      </c>
      <c r="H403" s="6" t="s">
        <v>1622</v>
      </c>
      <c r="I403" s="5">
        <v>97.74</v>
      </c>
      <c r="J403" s="5">
        <f t="shared" si="12"/>
        <v>586.43999999999994</v>
      </c>
    </row>
    <row r="404" spans="1:10" x14ac:dyDescent="0.25">
      <c r="A404" s="9">
        <v>1214</v>
      </c>
      <c r="B404" s="5" t="s">
        <v>1591</v>
      </c>
      <c r="C404" s="5" t="s">
        <v>1592</v>
      </c>
      <c r="D404" s="5" t="s">
        <v>1618</v>
      </c>
      <c r="E404" s="6">
        <v>90189084</v>
      </c>
      <c r="F404" s="6">
        <v>3</v>
      </c>
      <c r="G404" s="6">
        <f t="shared" si="13"/>
        <v>0.75</v>
      </c>
      <c r="H404" s="6" t="s">
        <v>1622</v>
      </c>
      <c r="I404" s="5">
        <v>88.55</v>
      </c>
      <c r="J404" s="5">
        <f t="shared" si="12"/>
        <v>265.64999999999998</v>
      </c>
    </row>
    <row r="405" spans="1:10" x14ac:dyDescent="0.25">
      <c r="A405" s="9">
        <v>1215</v>
      </c>
      <c r="B405" s="5" t="s">
        <v>62</v>
      </c>
      <c r="C405" s="5" t="s">
        <v>63</v>
      </c>
      <c r="D405" s="5" t="s">
        <v>1618</v>
      </c>
      <c r="E405" s="6">
        <v>90189084</v>
      </c>
      <c r="F405" s="6">
        <v>3</v>
      </c>
      <c r="G405" s="6">
        <f t="shared" si="13"/>
        <v>0.75</v>
      </c>
      <c r="H405" s="6" t="s">
        <v>1622</v>
      </c>
      <c r="I405" s="5">
        <v>93.71</v>
      </c>
      <c r="J405" s="5">
        <f t="shared" si="12"/>
        <v>281.13</v>
      </c>
    </row>
    <row r="406" spans="1:10" x14ac:dyDescent="0.25">
      <c r="A406" s="9">
        <v>1216</v>
      </c>
      <c r="B406" s="5" t="s">
        <v>1593</v>
      </c>
      <c r="C406" s="5" t="s">
        <v>1594</v>
      </c>
      <c r="D406" s="5" t="s">
        <v>1618</v>
      </c>
      <c r="E406" s="6">
        <v>90189084</v>
      </c>
      <c r="F406" s="6">
        <v>6</v>
      </c>
      <c r="G406" s="6">
        <f t="shared" si="13"/>
        <v>1.5</v>
      </c>
      <c r="H406" s="6" t="s">
        <v>1622</v>
      </c>
      <c r="I406" s="5">
        <v>101.54</v>
      </c>
      <c r="J406" s="5">
        <f t="shared" si="12"/>
        <v>609.24</v>
      </c>
    </row>
    <row r="407" spans="1:10" x14ac:dyDescent="0.25">
      <c r="A407" s="9">
        <v>1217</v>
      </c>
      <c r="B407" s="5" t="s">
        <v>1595</v>
      </c>
      <c r="C407" s="5" t="s">
        <v>1596</v>
      </c>
      <c r="D407" s="5" t="s">
        <v>1618</v>
      </c>
      <c r="E407" s="6">
        <v>90189084</v>
      </c>
      <c r="F407" s="6">
        <v>3</v>
      </c>
      <c r="G407" s="6">
        <f t="shared" si="13"/>
        <v>0.75</v>
      </c>
      <c r="H407" s="6" t="s">
        <v>1622</v>
      </c>
      <c r="I407" s="5">
        <v>36.4</v>
      </c>
      <c r="J407" s="5">
        <f t="shared" si="12"/>
        <v>109.19999999999999</v>
      </c>
    </row>
    <row r="408" spans="1:10" x14ac:dyDescent="0.25">
      <c r="A408" s="9">
        <v>1218</v>
      </c>
      <c r="B408" s="5" t="s">
        <v>616</v>
      </c>
      <c r="C408" s="5" t="s">
        <v>617</v>
      </c>
      <c r="D408" s="5" t="s">
        <v>1618</v>
      </c>
      <c r="E408" s="6">
        <v>73249000</v>
      </c>
      <c r="F408" s="6">
        <v>3</v>
      </c>
      <c r="G408" s="6">
        <f t="shared" si="13"/>
        <v>0.75</v>
      </c>
      <c r="H408" s="6" t="s">
        <v>1622</v>
      </c>
      <c r="I408" s="5">
        <v>6.72</v>
      </c>
      <c r="J408" s="5">
        <f t="shared" si="12"/>
        <v>20.16</v>
      </c>
    </row>
    <row r="409" spans="1:10" x14ac:dyDescent="0.25">
      <c r="A409" s="9">
        <v>1219</v>
      </c>
      <c r="B409" s="5" t="s">
        <v>1311</v>
      </c>
      <c r="C409" s="5" t="s">
        <v>1312</v>
      </c>
      <c r="D409" s="5" t="s">
        <v>1618</v>
      </c>
      <c r="E409" s="6">
        <v>73249000</v>
      </c>
      <c r="F409" s="6">
        <v>3</v>
      </c>
      <c r="G409" s="6">
        <f t="shared" si="13"/>
        <v>0.75</v>
      </c>
      <c r="H409" s="6" t="s">
        <v>1622</v>
      </c>
      <c r="I409" s="5">
        <v>20.58</v>
      </c>
      <c r="J409" s="5">
        <f t="shared" si="12"/>
        <v>61.739999999999995</v>
      </c>
    </row>
    <row r="410" spans="1:10" x14ac:dyDescent="0.25">
      <c r="A410" s="9">
        <v>1220</v>
      </c>
      <c r="B410" s="5" t="s">
        <v>360</v>
      </c>
      <c r="C410" s="5" t="s">
        <v>361</v>
      </c>
      <c r="D410" s="5" t="s">
        <v>1620</v>
      </c>
      <c r="E410" s="6">
        <v>73269098</v>
      </c>
      <c r="F410" s="6">
        <v>3</v>
      </c>
      <c r="G410" s="6">
        <f t="shared" si="13"/>
        <v>0.75</v>
      </c>
      <c r="H410" s="6" t="s">
        <v>1622</v>
      </c>
      <c r="I410" s="5">
        <v>7.65</v>
      </c>
      <c r="J410" s="5">
        <f t="shared" si="12"/>
        <v>22.950000000000003</v>
      </c>
    </row>
    <row r="411" spans="1:10" x14ac:dyDescent="0.25">
      <c r="A411" s="9">
        <v>1221</v>
      </c>
      <c r="B411" s="5" t="s">
        <v>1597</v>
      </c>
      <c r="C411" s="5" t="s">
        <v>1598</v>
      </c>
      <c r="D411" s="5" t="s">
        <v>1618</v>
      </c>
      <c r="E411" s="6">
        <v>90189084</v>
      </c>
      <c r="F411" s="6">
        <v>6</v>
      </c>
      <c r="G411" s="6">
        <f t="shared" si="13"/>
        <v>1.5</v>
      </c>
      <c r="H411" s="6" t="s">
        <v>1622</v>
      </c>
      <c r="I411" s="5">
        <v>231.29</v>
      </c>
      <c r="J411" s="5">
        <f t="shared" si="12"/>
        <v>1387.74</v>
      </c>
    </row>
    <row r="412" spans="1:10" x14ac:dyDescent="0.25">
      <c r="A412" s="9">
        <v>1222</v>
      </c>
      <c r="B412" s="5" t="s">
        <v>374</v>
      </c>
      <c r="C412" s="5" t="s">
        <v>375</v>
      </c>
      <c r="D412" s="5" t="s">
        <v>1618</v>
      </c>
      <c r="E412" s="6">
        <v>73269098</v>
      </c>
      <c r="F412" s="6">
        <v>3</v>
      </c>
      <c r="G412" s="6">
        <f t="shared" si="13"/>
        <v>0.75</v>
      </c>
      <c r="H412" s="6" t="s">
        <v>1622</v>
      </c>
      <c r="I412" s="5">
        <v>76.11</v>
      </c>
      <c r="J412" s="5">
        <f t="shared" si="12"/>
        <v>228.32999999999998</v>
      </c>
    </row>
    <row r="413" spans="1:10" x14ac:dyDescent="0.25">
      <c r="A413" s="9">
        <v>1223</v>
      </c>
      <c r="B413" s="5" t="s">
        <v>286</v>
      </c>
      <c r="C413" s="5" t="s">
        <v>287</v>
      </c>
      <c r="D413" s="5" t="s">
        <v>1618</v>
      </c>
      <c r="E413" s="6">
        <v>76169990</v>
      </c>
      <c r="F413" s="6">
        <v>3</v>
      </c>
      <c r="G413" s="6">
        <f t="shared" si="13"/>
        <v>0.75</v>
      </c>
      <c r="H413" s="6" t="s">
        <v>1622</v>
      </c>
      <c r="I413" s="5">
        <v>413.9</v>
      </c>
      <c r="J413" s="5">
        <f t="shared" si="12"/>
        <v>1241.6999999999998</v>
      </c>
    </row>
    <row r="414" spans="1:10" x14ac:dyDescent="0.25">
      <c r="A414" s="9">
        <v>1224</v>
      </c>
      <c r="B414" s="5" t="s">
        <v>134</v>
      </c>
      <c r="C414" s="5" t="s">
        <v>135</v>
      </c>
      <c r="D414" s="5" t="s">
        <v>1618</v>
      </c>
      <c r="E414" s="6">
        <v>73269098</v>
      </c>
      <c r="F414" s="6">
        <v>3</v>
      </c>
      <c r="G414" s="6">
        <f t="shared" si="13"/>
        <v>0.75</v>
      </c>
      <c r="H414" s="6" t="s">
        <v>1622</v>
      </c>
      <c r="I414" s="5">
        <v>58.55</v>
      </c>
      <c r="J414" s="5">
        <f t="shared" si="12"/>
        <v>175.64999999999998</v>
      </c>
    </row>
    <row r="416" spans="1:10" x14ac:dyDescent="0.25">
      <c r="I416" s="7" t="s">
        <v>1661</v>
      </c>
      <c r="J416" s="14">
        <f>SUM(J2:J414)</f>
        <v>346434.49999999936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3724-5BEB-4BF5-932F-BC599F2749B3}">
  <dimension ref="A1:K113"/>
  <sheetViews>
    <sheetView workbookViewId="0">
      <selection activeCell="G3" sqref="G3:G113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1680</v>
      </c>
      <c r="D2" s="11"/>
      <c r="E2" s="12"/>
      <c r="F2" s="12">
        <v>8</v>
      </c>
      <c r="G2" s="12"/>
      <c r="H2" s="12"/>
      <c r="I2" s="2"/>
      <c r="J2" s="13"/>
    </row>
    <row r="3" spans="1:10" x14ac:dyDescent="0.25">
      <c r="A3" s="9">
        <v>846</v>
      </c>
      <c r="B3" s="5" t="s">
        <v>470</v>
      </c>
      <c r="C3" s="5" t="s">
        <v>471</v>
      </c>
      <c r="D3" s="5" t="s">
        <v>1618</v>
      </c>
      <c r="E3" s="6">
        <v>90189084</v>
      </c>
      <c r="F3" s="6">
        <v>8</v>
      </c>
      <c r="G3" s="6">
        <f>F3/$F$2</f>
        <v>1</v>
      </c>
      <c r="H3" s="6" t="s">
        <v>1622</v>
      </c>
      <c r="I3" s="5">
        <v>487.4</v>
      </c>
      <c r="J3" s="5">
        <f t="shared" ref="J3:J36" si="0">F3*I3</f>
        <v>3899.2</v>
      </c>
    </row>
    <row r="4" spans="1:10" x14ac:dyDescent="0.25">
      <c r="A4" s="9">
        <v>847</v>
      </c>
      <c r="B4" s="5" t="s">
        <v>472</v>
      </c>
      <c r="C4" s="5" t="s">
        <v>473</v>
      </c>
      <c r="D4" s="5" t="s">
        <v>1618</v>
      </c>
      <c r="E4" s="6">
        <v>90189084</v>
      </c>
      <c r="F4" s="6">
        <v>8</v>
      </c>
      <c r="G4" s="6">
        <f t="shared" ref="G4:G67" si="1">F4/$F$2</f>
        <v>1</v>
      </c>
      <c r="H4" s="6" t="s">
        <v>1622</v>
      </c>
      <c r="I4" s="5">
        <v>38.65</v>
      </c>
      <c r="J4" s="5">
        <f t="shared" si="0"/>
        <v>309.2</v>
      </c>
    </row>
    <row r="5" spans="1:10" x14ac:dyDescent="0.25">
      <c r="A5" s="9">
        <v>848</v>
      </c>
      <c r="B5" s="5" t="s">
        <v>474</v>
      </c>
      <c r="C5" s="5" t="s">
        <v>475</v>
      </c>
      <c r="D5" s="5" t="s">
        <v>1618</v>
      </c>
      <c r="E5" s="6">
        <v>90189084</v>
      </c>
      <c r="F5" s="6">
        <v>8</v>
      </c>
      <c r="G5" s="6">
        <f t="shared" si="1"/>
        <v>1</v>
      </c>
      <c r="H5" s="6" t="s">
        <v>1622</v>
      </c>
      <c r="I5" s="5">
        <v>69.78</v>
      </c>
      <c r="J5" s="5">
        <f t="shared" si="0"/>
        <v>558.24</v>
      </c>
    </row>
    <row r="6" spans="1:10" x14ac:dyDescent="0.25">
      <c r="A6" s="9">
        <v>849</v>
      </c>
      <c r="B6" s="5" t="s">
        <v>476</v>
      </c>
      <c r="C6" s="5" t="s">
        <v>477</v>
      </c>
      <c r="D6" s="5" t="s">
        <v>1618</v>
      </c>
      <c r="E6" s="6">
        <v>90189084</v>
      </c>
      <c r="F6" s="6">
        <v>8</v>
      </c>
      <c r="G6" s="6">
        <f t="shared" si="1"/>
        <v>1</v>
      </c>
      <c r="H6" s="6" t="s">
        <v>1622</v>
      </c>
      <c r="I6" s="5">
        <v>49.98</v>
      </c>
      <c r="J6" s="5">
        <f t="shared" si="0"/>
        <v>399.84</v>
      </c>
    </row>
    <row r="7" spans="1:10" x14ac:dyDescent="0.25">
      <c r="A7" s="9">
        <v>850</v>
      </c>
      <c r="B7" s="5" t="s">
        <v>478</v>
      </c>
      <c r="C7" s="5" t="s">
        <v>479</v>
      </c>
      <c r="D7" s="5" t="s">
        <v>1618</v>
      </c>
      <c r="E7" s="6">
        <v>90189084</v>
      </c>
      <c r="F7" s="6">
        <v>8</v>
      </c>
      <c r="G7" s="6">
        <f t="shared" si="1"/>
        <v>1</v>
      </c>
      <c r="H7" s="6" t="s">
        <v>1622</v>
      </c>
      <c r="I7" s="5">
        <v>50.49</v>
      </c>
      <c r="J7" s="5">
        <f t="shared" si="0"/>
        <v>403.92</v>
      </c>
    </row>
    <row r="8" spans="1:10" x14ac:dyDescent="0.25">
      <c r="A8" s="9">
        <v>851</v>
      </c>
      <c r="B8" s="5" t="s">
        <v>480</v>
      </c>
      <c r="C8" s="5" t="s">
        <v>481</v>
      </c>
      <c r="D8" s="5" t="s">
        <v>1618</v>
      </c>
      <c r="E8" s="6">
        <v>90189084</v>
      </c>
      <c r="F8" s="6">
        <v>8</v>
      </c>
      <c r="G8" s="6">
        <f t="shared" si="1"/>
        <v>1</v>
      </c>
      <c r="H8" s="6" t="s">
        <v>1622</v>
      </c>
      <c r="I8" s="5">
        <v>83.15</v>
      </c>
      <c r="J8" s="5">
        <f t="shared" si="0"/>
        <v>665.2</v>
      </c>
    </row>
    <row r="9" spans="1:10" x14ac:dyDescent="0.25">
      <c r="A9" s="9">
        <v>852</v>
      </c>
      <c r="B9" s="5" t="s">
        <v>146</v>
      </c>
      <c r="C9" s="5" t="s">
        <v>147</v>
      </c>
      <c r="D9" s="5" t="s">
        <v>1618</v>
      </c>
      <c r="E9" s="6">
        <v>90189084</v>
      </c>
      <c r="F9" s="6">
        <v>80</v>
      </c>
      <c r="G9" s="6">
        <f t="shared" si="1"/>
        <v>10</v>
      </c>
      <c r="H9" s="6" t="s">
        <v>1622</v>
      </c>
      <c r="I9" s="5">
        <v>5.86</v>
      </c>
      <c r="J9" s="5">
        <f t="shared" si="0"/>
        <v>468.8</v>
      </c>
    </row>
    <row r="10" spans="1:10" x14ac:dyDescent="0.25">
      <c r="A10" s="9">
        <v>853</v>
      </c>
      <c r="B10" s="5" t="s">
        <v>148</v>
      </c>
      <c r="C10" s="5" t="s">
        <v>149</v>
      </c>
      <c r="D10" s="5" t="s">
        <v>1618</v>
      </c>
      <c r="E10" s="6">
        <v>90189084</v>
      </c>
      <c r="F10" s="6">
        <v>16</v>
      </c>
      <c r="G10" s="6">
        <f t="shared" si="1"/>
        <v>2</v>
      </c>
      <c r="H10" s="6" t="s">
        <v>1622</v>
      </c>
      <c r="I10" s="5">
        <v>41.25</v>
      </c>
      <c r="J10" s="5">
        <f t="shared" si="0"/>
        <v>660</v>
      </c>
    </row>
    <row r="11" spans="1:10" x14ac:dyDescent="0.25">
      <c r="A11" s="9">
        <v>854</v>
      </c>
      <c r="B11" s="5" t="s">
        <v>482</v>
      </c>
      <c r="C11" s="5" t="s">
        <v>483</v>
      </c>
      <c r="D11" s="5" t="s">
        <v>1618</v>
      </c>
      <c r="E11" s="6">
        <v>90189084</v>
      </c>
      <c r="F11" s="6">
        <v>16</v>
      </c>
      <c r="G11" s="6">
        <f t="shared" si="1"/>
        <v>2</v>
      </c>
      <c r="H11" s="6" t="s">
        <v>1622</v>
      </c>
      <c r="I11" s="5">
        <v>26.73</v>
      </c>
      <c r="J11" s="5">
        <f t="shared" si="0"/>
        <v>427.68</v>
      </c>
    </row>
    <row r="12" spans="1:10" x14ac:dyDescent="0.25">
      <c r="A12" s="9">
        <v>855</v>
      </c>
      <c r="B12" s="5" t="s">
        <v>22</v>
      </c>
      <c r="C12" s="5" t="s">
        <v>23</v>
      </c>
      <c r="D12" s="5" t="s">
        <v>1618</v>
      </c>
      <c r="E12" s="6">
        <v>90189084</v>
      </c>
      <c r="F12" s="6">
        <v>8</v>
      </c>
      <c r="G12" s="6">
        <f t="shared" si="1"/>
        <v>1</v>
      </c>
      <c r="H12" s="6" t="s">
        <v>1622</v>
      </c>
      <c r="I12" s="5">
        <v>3.95</v>
      </c>
      <c r="J12" s="5">
        <f t="shared" si="0"/>
        <v>31.6</v>
      </c>
    </row>
    <row r="13" spans="1:10" x14ac:dyDescent="0.25">
      <c r="A13" s="9">
        <v>856</v>
      </c>
      <c r="B13" s="5" t="s">
        <v>138</v>
      </c>
      <c r="C13" s="5" t="s">
        <v>139</v>
      </c>
      <c r="D13" s="5" t="s">
        <v>1618</v>
      </c>
      <c r="E13" s="6">
        <v>90189084</v>
      </c>
      <c r="F13" s="6">
        <v>8</v>
      </c>
      <c r="G13" s="6">
        <f t="shared" si="1"/>
        <v>1</v>
      </c>
      <c r="H13" s="6" t="s">
        <v>1622</v>
      </c>
      <c r="I13" s="5">
        <v>8.34</v>
      </c>
      <c r="J13" s="5">
        <f t="shared" si="0"/>
        <v>66.72</v>
      </c>
    </row>
    <row r="14" spans="1:10" x14ac:dyDescent="0.25">
      <c r="A14" s="9">
        <v>857</v>
      </c>
      <c r="B14" s="5" t="s">
        <v>140</v>
      </c>
      <c r="C14" s="5" t="s">
        <v>141</v>
      </c>
      <c r="D14" s="5" t="s">
        <v>1618</v>
      </c>
      <c r="E14" s="6">
        <v>90189084</v>
      </c>
      <c r="F14" s="6">
        <v>8</v>
      </c>
      <c r="G14" s="6">
        <f t="shared" si="1"/>
        <v>1</v>
      </c>
      <c r="H14" s="6" t="s">
        <v>1622</v>
      </c>
      <c r="I14" s="5">
        <v>9.1199999999999992</v>
      </c>
      <c r="J14" s="5">
        <f t="shared" si="0"/>
        <v>72.959999999999994</v>
      </c>
    </row>
    <row r="15" spans="1:10" x14ac:dyDescent="0.25">
      <c r="A15" s="9">
        <v>858</v>
      </c>
      <c r="B15" s="5" t="s">
        <v>484</v>
      </c>
      <c r="C15" s="5" t="s">
        <v>485</v>
      </c>
      <c r="D15" s="5" t="s">
        <v>1619</v>
      </c>
      <c r="E15" s="6">
        <v>90189084</v>
      </c>
      <c r="F15" s="6">
        <v>8</v>
      </c>
      <c r="G15" s="6">
        <f t="shared" si="1"/>
        <v>1</v>
      </c>
      <c r="H15" s="6" t="s">
        <v>1622</v>
      </c>
      <c r="I15" s="5">
        <v>11.12</v>
      </c>
      <c r="J15" s="5">
        <f t="shared" si="0"/>
        <v>88.96</v>
      </c>
    </row>
    <row r="16" spans="1:10" x14ac:dyDescent="0.25">
      <c r="A16" s="9">
        <v>859</v>
      </c>
      <c r="B16" s="5" t="s">
        <v>486</v>
      </c>
      <c r="C16" s="5" t="s">
        <v>487</v>
      </c>
      <c r="D16" s="5" t="s">
        <v>1618</v>
      </c>
      <c r="E16" s="6">
        <v>90189084</v>
      </c>
      <c r="F16" s="6">
        <v>8</v>
      </c>
      <c r="G16" s="6">
        <f t="shared" si="1"/>
        <v>1</v>
      </c>
      <c r="H16" s="6" t="s">
        <v>1622</v>
      </c>
      <c r="I16" s="5">
        <v>11.47</v>
      </c>
      <c r="J16" s="5">
        <f t="shared" si="0"/>
        <v>91.76</v>
      </c>
    </row>
    <row r="17" spans="1:10" x14ac:dyDescent="0.25">
      <c r="A17" s="9">
        <v>860</v>
      </c>
      <c r="B17" s="5" t="s">
        <v>144</v>
      </c>
      <c r="C17" s="5" t="s">
        <v>145</v>
      </c>
      <c r="D17" s="5" t="s">
        <v>1619</v>
      </c>
      <c r="E17" s="6">
        <v>90189084</v>
      </c>
      <c r="F17" s="6">
        <v>8</v>
      </c>
      <c r="G17" s="6">
        <f t="shared" si="1"/>
        <v>1</v>
      </c>
      <c r="H17" s="6" t="s">
        <v>1622</v>
      </c>
      <c r="I17" s="5">
        <v>17.59</v>
      </c>
      <c r="J17" s="5">
        <f t="shared" si="0"/>
        <v>140.72</v>
      </c>
    </row>
    <row r="18" spans="1:10" x14ac:dyDescent="0.25">
      <c r="A18" s="9">
        <v>861</v>
      </c>
      <c r="B18" s="5" t="s">
        <v>488</v>
      </c>
      <c r="C18" s="5" t="s">
        <v>489</v>
      </c>
      <c r="D18" s="5" t="s">
        <v>1619</v>
      </c>
      <c r="E18" s="6">
        <v>90189084</v>
      </c>
      <c r="F18" s="6">
        <v>8</v>
      </c>
      <c r="G18" s="6">
        <f t="shared" si="1"/>
        <v>1</v>
      </c>
      <c r="H18" s="6" t="s">
        <v>1622</v>
      </c>
      <c r="I18" s="5">
        <v>5.81</v>
      </c>
      <c r="J18" s="5">
        <f t="shared" si="0"/>
        <v>46.48</v>
      </c>
    </row>
    <row r="19" spans="1:10" x14ac:dyDescent="0.25">
      <c r="A19" s="9">
        <v>862</v>
      </c>
      <c r="B19" s="5" t="s">
        <v>490</v>
      </c>
      <c r="C19" s="5" t="s">
        <v>491</v>
      </c>
      <c r="D19" s="5" t="s">
        <v>1619</v>
      </c>
      <c r="E19" s="6">
        <v>90189084</v>
      </c>
      <c r="F19" s="6">
        <v>8</v>
      </c>
      <c r="G19" s="6">
        <f t="shared" si="1"/>
        <v>1</v>
      </c>
      <c r="H19" s="6" t="s">
        <v>1622</v>
      </c>
      <c r="I19" s="5">
        <v>5.81</v>
      </c>
      <c r="J19" s="5">
        <f t="shared" si="0"/>
        <v>46.48</v>
      </c>
    </row>
    <row r="20" spans="1:10" x14ac:dyDescent="0.25">
      <c r="A20" s="9">
        <v>863</v>
      </c>
      <c r="B20" s="5" t="s">
        <v>492</v>
      </c>
      <c r="C20" s="5" t="s">
        <v>493</v>
      </c>
      <c r="D20" s="5" t="s">
        <v>1619</v>
      </c>
      <c r="E20" s="6">
        <v>90189084</v>
      </c>
      <c r="F20" s="6">
        <v>8</v>
      </c>
      <c r="G20" s="6">
        <f t="shared" si="1"/>
        <v>1</v>
      </c>
      <c r="H20" s="6" t="s">
        <v>1622</v>
      </c>
      <c r="I20" s="5">
        <v>11.98</v>
      </c>
      <c r="J20" s="5">
        <f t="shared" si="0"/>
        <v>95.84</v>
      </c>
    </row>
    <row r="21" spans="1:10" x14ac:dyDescent="0.25">
      <c r="A21" s="9">
        <v>864</v>
      </c>
      <c r="B21" s="5" t="s">
        <v>494</v>
      </c>
      <c r="C21" s="5" t="s">
        <v>495</v>
      </c>
      <c r="D21" s="5" t="s">
        <v>1619</v>
      </c>
      <c r="E21" s="6">
        <v>90189084</v>
      </c>
      <c r="F21" s="6">
        <v>8</v>
      </c>
      <c r="G21" s="6">
        <f t="shared" si="1"/>
        <v>1</v>
      </c>
      <c r="H21" s="6" t="s">
        <v>1622</v>
      </c>
      <c r="I21" s="5">
        <v>11.39</v>
      </c>
      <c r="J21" s="5">
        <f t="shared" si="0"/>
        <v>91.12</v>
      </c>
    </row>
    <row r="22" spans="1:10" x14ac:dyDescent="0.25">
      <c r="A22" s="9">
        <v>865</v>
      </c>
      <c r="B22" s="5" t="s">
        <v>496</v>
      </c>
      <c r="C22" s="5" t="s">
        <v>497</v>
      </c>
      <c r="D22" s="5" t="s">
        <v>1619</v>
      </c>
      <c r="E22" s="6">
        <v>90189084</v>
      </c>
      <c r="F22" s="6">
        <v>8</v>
      </c>
      <c r="G22" s="6">
        <f t="shared" si="1"/>
        <v>1</v>
      </c>
      <c r="H22" s="6" t="s">
        <v>1622</v>
      </c>
      <c r="I22" s="5">
        <v>14.94</v>
      </c>
      <c r="J22" s="5">
        <f t="shared" si="0"/>
        <v>119.52</v>
      </c>
    </row>
    <row r="23" spans="1:10" x14ac:dyDescent="0.25">
      <c r="A23" s="9">
        <v>866</v>
      </c>
      <c r="B23" s="5" t="s">
        <v>498</v>
      </c>
      <c r="C23" s="5" t="s">
        <v>499</v>
      </c>
      <c r="D23" s="5" t="s">
        <v>1618</v>
      </c>
      <c r="E23" s="6">
        <v>90189084</v>
      </c>
      <c r="F23" s="6">
        <v>8</v>
      </c>
      <c r="G23" s="6">
        <f t="shared" si="1"/>
        <v>1</v>
      </c>
      <c r="H23" s="6" t="s">
        <v>1622</v>
      </c>
      <c r="I23" s="5">
        <v>14.7</v>
      </c>
      <c r="J23" s="5">
        <f t="shared" si="0"/>
        <v>117.6</v>
      </c>
    </row>
    <row r="24" spans="1:10" x14ac:dyDescent="0.25">
      <c r="A24" s="9">
        <v>867</v>
      </c>
      <c r="B24" s="5" t="s">
        <v>158</v>
      </c>
      <c r="C24" s="5" t="s">
        <v>159</v>
      </c>
      <c r="D24" s="5" t="s">
        <v>1619</v>
      </c>
      <c r="E24" s="6">
        <v>90189084</v>
      </c>
      <c r="F24" s="6">
        <v>16</v>
      </c>
      <c r="G24" s="6">
        <f t="shared" si="1"/>
        <v>2</v>
      </c>
      <c r="H24" s="6" t="s">
        <v>1622</v>
      </c>
      <c r="I24" s="5">
        <v>22.1</v>
      </c>
      <c r="J24" s="5">
        <f t="shared" si="0"/>
        <v>353.6</v>
      </c>
    </row>
    <row r="25" spans="1:10" x14ac:dyDescent="0.25">
      <c r="A25" s="9">
        <v>868</v>
      </c>
      <c r="B25" s="5" t="s">
        <v>156</v>
      </c>
      <c r="C25" s="5" t="s">
        <v>157</v>
      </c>
      <c r="D25" s="5" t="s">
        <v>1618</v>
      </c>
      <c r="E25" s="6">
        <v>90189084</v>
      </c>
      <c r="F25" s="6">
        <v>8</v>
      </c>
      <c r="G25" s="6">
        <f t="shared" si="1"/>
        <v>1</v>
      </c>
      <c r="H25" s="6" t="s">
        <v>1622</v>
      </c>
      <c r="I25" s="5">
        <v>28.39</v>
      </c>
      <c r="J25" s="5">
        <f t="shared" si="0"/>
        <v>227.12</v>
      </c>
    </row>
    <row r="26" spans="1:10" x14ac:dyDescent="0.25">
      <c r="A26" s="9">
        <v>869</v>
      </c>
      <c r="B26" s="5" t="s">
        <v>500</v>
      </c>
      <c r="C26" s="5" t="s">
        <v>501</v>
      </c>
      <c r="D26" s="5" t="s">
        <v>1619</v>
      </c>
      <c r="E26" s="6">
        <v>90189084</v>
      </c>
      <c r="F26" s="6">
        <v>16</v>
      </c>
      <c r="G26" s="6">
        <f t="shared" si="1"/>
        <v>2</v>
      </c>
      <c r="H26" s="6" t="s">
        <v>1622</v>
      </c>
      <c r="I26" s="5">
        <v>62.66</v>
      </c>
      <c r="J26" s="5">
        <f t="shared" si="0"/>
        <v>1002.56</v>
      </c>
    </row>
    <row r="27" spans="1:10" x14ac:dyDescent="0.25">
      <c r="A27" s="9">
        <v>870</v>
      </c>
      <c r="B27" s="5" t="s">
        <v>502</v>
      </c>
      <c r="C27" s="5" t="s">
        <v>503</v>
      </c>
      <c r="D27" s="5" t="s">
        <v>1619</v>
      </c>
      <c r="E27" s="6">
        <v>90189084</v>
      </c>
      <c r="F27" s="6">
        <v>24</v>
      </c>
      <c r="G27" s="6">
        <f t="shared" si="1"/>
        <v>3</v>
      </c>
      <c r="H27" s="6" t="s">
        <v>1622</v>
      </c>
      <c r="I27" s="5">
        <v>34.380000000000003</v>
      </c>
      <c r="J27" s="5">
        <f t="shared" si="0"/>
        <v>825.12000000000012</v>
      </c>
    </row>
    <row r="28" spans="1:10" x14ac:dyDescent="0.25">
      <c r="A28" s="9">
        <v>871</v>
      </c>
      <c r="B28" s="5" t="s">
        <v>96</v>
      </c>
      <c r="C28" s="5" t="s">
        <v>97</v>
      </c>
      <c r="D28" s="5" t="s">
        <v>1618</v>
      </c>
      <c r="E28" s="6">
        <v>90189084</v>
      </c>
      <c r="F28" s="6">
        <v>16</v>
      </c>
      <c r="G28" s="6">
        <f t="shared" si="1"/>
        <v>2</v>
      </c>
      <c r="H28" s="6" t="s">
        <v>1622</v>
      </c>
      <c r="I28" s="5">
        <v>58.08</v>
      </c>
      <c r="J28" s="5">
        <f t="shared" si="0"/>
        <v>929.28</v>
      </c>
    </row>
    <row r="29" spans="1:10" x14ac:dyDescent="0.25">
      <c r="A29" s="9">
        <v>872</v>
      </c>
      <c r="B29" s="5" t="s">
        <v>504</v>
      </c>
      <c r="C29" s="5" t="s">
        <v>505</v>
      </c>
      <c r="D29" s="5" t="s">
        <v>1618</v>
      </c>
      <c r="E29" s="6">
        <v>90189084</v>
      </c>
      <c r="F29" s="6">
        <v>8</v>
      </c>
      <c r="G29" s="6">
        <f t="shared" si="1"/>
        <v>1</v>
      </c>
      <c r="H29" s="6" t="s">
        <v>1622</v>
      </c>
      <c r="I29" s="5">
        <v>133.21</v>
      </c>
      <c r="J29" s="5">
        <f t="shared" si="0"/>
        <v>1065.68</v>
      </c>
    </row>
    <row r="30" spans="1:10" x14ac:dyDescent="0.25">
      <c r="A30" s="9">
        <v>873</v>
      </c>
      <c r="B30" s="5" t="s">
        <v>506</v>
      </c>
      <c r="C30" s="5" t="s">
        <v>507</v>
      </c>
      <c r="D30" s="5" t="s">
        <v>1619</v>
      </c>
      <c r="E30" s="6">
        <v>90189084</v>
      </c>
      <c r="F30" s="6">
        <v>80</v>
      </c>
      <c r="G30" s="6">
        <f t="shared" si="1"/>
        <v>10</v>
      </c>
      <c r="H30" s="6" t="s">
        <v>1622</v>
      </c>
      <c r="I30" s="5">
        <v>16.420000000000002</v>
      </c>
      <c r="J30" s="5">
        <f t="shared" si="0"/>
        <v>1313.6000000000001</v>
      </c>
    </row>
    <row r="31" spans="1:10" x14ac:dyDescent="0.25">
      <c r="A31" s="9">
        <v>874</v>
      </c>
      <c r="B31" s="5" t="s">
        <v>508</v>
      </c>
      <c r="C31" s="5" t="s">
        <v>509</v>
      </c>
      <c r="D31" s="5" t="s">
        <v>1619</v>
      </c>
      <c r="E31" s="6">
        <v>90189084</v>
      </c>
      <c r="F31" s="6">
        <v>80</v>
      </c>
      <c r="G31" s="6">
        <f t="shared" si="1"/>
        <v>10</v>
      </c>
      <c r="H31" s="6" t="s">
        <v>1622</v>
      </c>
      <c r="I31" s="5">
        <v>19.690000000000001</v>
      </c>
      <c r="J31" s="5">
        <f t="shared" si="0"/>
        <v>1575.2</v>
      </c>
    </row>
    <row r="32" spans="1:10" x14ac:dyDescent="0.25">
      <c r="A32" s="9">
        <v>875</v>
      </c>
      <c r="B32" s="5" t="s">
        <v>510</v>
      </c>
      <c r="C32" s="5" t="s">
        <v>511</v>
      </c>
      <c r="D32" s="5" t="s">
        <v>1619</v>
      </c>
      <c r="E32" s="6">
        <v>90189084</v>
      </c>
      <c r="F32" s="6">
        <v>40</v>
      </c>
      <c r="G32" s="6">
        <f t="shared" si="1"/>
        <v>5</v>
      </c>
      <c r="H32" s="6" t="s">
        <v>1622</v>
      </c>
      <c r="I32" s="5">
        <v>15.49</v>
      </c>
      <c r="J32" s="5">
        <f t="shared" si="0"/>
        <v>619.6</v>
      </c>
    </row>
    <row r="33" spans="1:10" x14ac:dyDescent="0.25">
      <c r="A33" s="9">
        <v>876</v>
      </c>
      <c r="B33" s="5" t="s">
        <v>512</v>
      </c>
      <c r="C33" s="5" t="s">
        <v>513</v>
      </c>
      <c r="D33" s="5" t="s">
        <v>1619</v>
      </c>
      <c r="E33" s="6">
        <v>90189084</v>
      </c>
      <c r="F33" s="6">
        <v>40</v>
      </c>
      <c r="G33" s="6">
        <f t="shared" si="1"/>
        <v>5</v>
      </c>
      <c r="H33" s="6" t="s">
        <v>1622</v>
      </c>
      <c r="I33" s="5">
        <v>16.16</v>
      </c>
      <c r="J33" s="5">
        <f t="shared" si="0"/>
        <v>646.4</v>
      </c>
    </row>
    <row r="34" spans="1:10" x14ac:dyDescent="0.25">
      <c r="A34" s="9">
        <v>877</v>
      </c>
      <c r="B34" s="5" t="s">
        <v>376</v>
      </c>
      <c r="C34" s="5" t="s">
        <v>377</v>
      </c>
      <c r="D34" s="5" t="s">
        <v>1619</v>
      </c>
      <c r="E34" s="6">
        <v>90189084</v>
      </c>
      <c r="F34" s="6">
        <v>40</v>
      </c>
      <c r="G34" s="6">
        <f t="shared" si="1"/>
        <v>5</v>
      </c>
      <c r="H34" s="6" t="s">
        <v>1622</v>
      </c>
      <c r="I34" s="5">
        <v>13.93</v>
      </c>
      <c r="J34" s="5">
        <f t="shared" si="0"/>
        <v>557.20000000000005</v>
      </c>
    </row>
    <row r="35" spans="1:10" x14ac:dyDescent="0.25">
      <c r="A35" s="9">
        <v>878</v>
      </c>
      <c r="B35" s="5" t="s">
        <v>38</v>
      </c>
      <c r="C35" s="5" t="s">
        <v>39</v>
      </c>
      <c r="D35" s="5" t="s">
        <v>1619</v>
      </c>
      <c r="E35" s="6">
        <v>90189084</v>
      </c>
      <c r="F35" s="6">
        <v>40</v>
      </c>
      <c r="G35" s="6">
        <f t="shared" si="1"/>
        <v>5</v>
      </c>
      <c r="H35" s="6" t="s">
        <v>1622</v>
      </c>
      <c r="I35" s="5">
        <v>13.93</v>
      </c>
      <c r="J35" s="5">
        <f t="shared" si="0"/>
        <v>557.20000000000005</v>
      </c>
    </row>
    <row r="36" spans="1:10" x14ac:dyDescent="0.25">
      <c r="A36" s="9">
        <v>879</v>
      </c>
      <c r="B36" s="5" t="s">
        <v>514</v>
      </c>
      <c r="C36" s="5" t="s">
        <v>515</v>
      </c>
      <c r="D36" s="5" t="s">
        <v>1618</v>
      </c>
      <c r="E36" s="6">
        <v>90189084</v>
      </c>
      <c r="F36" s="6">
        <v>8</v>
      </c>
      <c r="G36" s="6">
        <f t="shared" si="1"/>
        <v>1</v>
      </c>
      <c r="H36" s="6" t="s">
        <v>1622</v>
      </c>
      <c r="I36" s="5">
        <v>24.18</v>
      </c>
      <c r="J36" s="5">
        <f t="shared" si="0"/>
        <v>193.44</v>
      </c>
    </row>
    <row r="37" spans="1:10" x14ac:dyDescent="0.25">
      <c r="A37" s="9">
        <v>880</v>
      </c>
      <c r="B37" s="5" t="s">
        <v>516</v>
      </c>
      <c r="C37" s="5" t="s">
        <v>517</v>
      </c>
      <c r="D37" s="5" t="s">
        <v>1618</v>
      </c>
      <c r="E37" s="6">
        <v>90189084</v>
      </c>
      <c r="F37" s="6">
        <v>8</v>
      </c>
      <c r="G37" s="6">
        <f t="shared" si="1"/>
        <v>1</v>
      </c>
      <c r="H37" s="6" t="s">
        <v>1622</v>
      </c>
      <c r="I37" s="5">
        <v>25.46</v>
      </c>
      <c r="J37" s="5">
        <f t="shared" ref="J37:J100" si="2">F37*I37</f>
        <v>203.68</v>
      </c>
    </row>
    <row r="38" spans="1:10" x14ac:dyDescent="0.25">
      <c r="A38" s="9">
        <v>881</v>
      </c>
      <c r="B38" s="5" t="s">
        <v>166</v>
      </c>
      <c r="C38" s="5" t="s">
        <v>167</v>
      </c>
      <c r="D38" s="5" t="s">
        <v>1619</v>
      </c>
      <c r="E38" s="6">
        <v>90189084</v>
      </c>
      <c r="F38" s="6">
        <v>8</v>
      </c>
      <c r="G38" s="6">
        <f t="shared" si="1"/>
        <v>1</v>
      </c>
      <c r="H38" s="6" t="s">
        <v>1622</v>
      </c>
      <c r="I38" s="5">
        <v>28.85</v>
      </c>
      <c r="J38" s="5">
        <f t="shared" si="2"/>
        <v>230.8</v>
      </c>
    </row>
    <row r="39" spans="1:10" x14ac:dyDescent="0.25">
      <c r="A39" s="9">
        <v>882</v>
      </c>
      <c r="B39" s="5" t="s">
        <v>518</v>
      </c>
      <c r="C39" s="5" t="s">
        <v>519</v>
      </c>
      <c r="D39" s="5" t="s">
        <v>1618</v>
      </c>
      <c r="E39" s="6">
        <v>90189084</v>
      </c>
      <c r="F39" s="6">
        <v>8</v>
      </c>
      <c r="G39" s="6">
        <f t="shared" si="1"/>
        <v>1</v>
      </c>
      <c r="H39" s="6" t="s">
        <v>1622</v>
      </c>
      <c r="I39" s="5">
        <v>36.08</v>
      </c>
      <c r="J39" s="5">
        <f t="shared" si="2"/>
        <v>288.64</v>
      </c>
    </row>
    <row r="40" spans="1:10" x14ac:dyDescent="0.25">
      <c r="A40" s="9">
        <v>883</v>
      </c>
      <c r="B40" s="5" t="s">
        <v>196</v>
      </c>
      <c r="C40" s="5" t="s">
        <v>197</v>
      </c>
      <c r="D40" s="5" t="s">
        <v>1618</v>
      </c>
      <c r="E40" s="6">
        <v>90189084</v>
      </c>
      <c r="F40" s="6">
        <v>8</v>
      </c>
      <c r="G40" s="6">
        <f t="shared" si="1"/>
        <v>1</v>
      </c>
      <c r="H40" s="6" t="s">
        <v>1622</v>
      </c>
      <c r="I40" s="5">
        <v>42.47</v>
      </c>
      <c r="J40" s="5">
        <f t="shared" si="2"/>
        <v>339.76</v>
      </c>
    </row>
    <row r="41" spans="1:10" x14ac:dyDescent="0.25">
      <c r="A41" s="9">
        <v>884</v>
      </c>
      <c r="B41" s="5" t="s">
        <v>520</v>
      </c>
      <c r="C41" s="5" t="s">
        <v>521</v>
      </c>
      <c r="D41" s="5" t="s">
        <v>1618</v>
      </c>
      <c r="E41" s="6">
        <v>90189084</v>
      </c>
      <c r="F41" s="6">
        <v>8</v>
      </c>
      <c r="G41" s="6">
        <f t="shared" si="1"/>
        <v>1</v>
      </c>
      <c r="H41" s="6" t="s">
        <v>1622</v>
      </c>
      <c r="I41" s="5">
        <v>44.04</v>
      </c>
      <c r="J41" s="5">
        <f t="shared" si="2"/>
        <v>352.32</v>
      </c>
    </row>
    <row r="42" spans="1:10" x14ac:dyDescent="0.25">
      <c r="A42" s="9">
        <v>885</v>
      </c>
      <c r="B42" s="5" t="s">
        <v>414</v>
      </c>
      <c r="C42" s="5" t="s">
        <v>415</v>
      </c>
      <c r="D42" s="5" t="s">
        <v>1618</v>
      </c>
      <c r="E42" s="6">
        <v>90189084</v>
      </c>
      <c r="F42" s="6">
        <v>16</v>
      </c>
      <c r="G42" s="6">
        <f t="shared" si="1"/>
        <v>2</v>
      </c>
      <c r="H42" s="6" t="s">
        <v>1622</v>
      </c>
      <c r="I42" s="5">
        <v>26.66</v>
      </c>
      <c r="J42" s="5">
        <f t="shared" si="2"/>
        <v>426.56</v>
      </c>
    </row>
    <row r="43" spans="1:10" x14ac:dyDescent="0.25">
      <c r="A43" s="9">
        <v>886</v>
      </c>
      <c r="B43" s="5" t="s">
        <v>200</v>
      </c>
      <c r="C43" s="5" t="s">
        <v>201</v>
      </c>
      <c r="D43" s="5" t="s">
        <v>1618</v>
      </c>
      <c r="E43" s="6">
        <v>90189084</v>
      </c>
      <c r="F43" s="6">
        <v>8</v>
      </c>
      <c r="G43" s="6">
        <f t="shared" si="1"/>
        <v>1</v>
      </c>
      <c r="H43" s="6" t="s">
        <v>1622</v>
      </c>
      <c r="I43" s="5">
        <v>33.049999999999997</v>
      </c>
      <c r="J43" s="5">
        <f t="shared" si="2"/>
        <v>264.39999999999998</v>
      </c>
    </row>
    <row r="44" spans="1:10" x14ac:dyDescent="0.25">
      <c r="A44" s="9">
        <v>887</v>
      </c>
      <c r="B44" s="5" t="s">
        <v>522</v>
      </c>
      <c r="C44" s="5" t="s">
        <v>523</v>
      </c>
      <c r="D44" s="5" t="s">
        <v>1618</v>
      </c>
      <c r="E44" s="6">
        <v>90189084</v>
      </c>
      <c r="F44" s="6">
        <v>16</v>
      </c>
      <c r="G44" s="6">
        <f t="shared" si="1"/>
        <v>2</v>
      </c>
      <c r="H44" s="6" t="s">
        <v>1622</v>
      </c>
      <c r="I44" s="5">
        <v>25.3</v>
      </c>
      <c r="J44" s="5">
        <f t="shared" si="2"/>
        <v>404.8</v>
      </c>
    </row>
    <row r="45" spans="1:10" x14ac:dyDescent="0.25">
      <c r="A45" s="9">
        <v>888</v>
      </c>
      <c r="B45" s="5" t="s">
        <v>172</v>
      </c>
      <c r="C45" s="5" t="s">
        <v>173</v>
      </c>
      <c r="D45" s="5" t="s">
        <v>1618</v>
      </c>
      <c r="E45" s="6">
        <v>90189084</v>
      </c>
      <c r="F45" s="6">
        <v>16</v>
      </c>
      <c r="G45" s="6">
        <f t="shared" si="1"/>
        <v>2</v>
      </c>
      <c r="H45" s="6" t="s">
        <v>1622</v>
      </c>
      <c r="I45" s="5">
        <v>28.18</v>
      </c>
      <c r="J45" s="5">
        <f t="shared" si="2"/>
        <v>450.88</v>
      </c>
    </row>
    <row r="46" spans="1:10" x14ac:dyDescent="0.25">
      <c r="A46" s="9">
        <v>889</v>
      </c>
      <c r="B46" s="5" t="s">
        <v>524</v>
      </c>
      <c r="C46" s="5" t="s">
        <v>525</v>
      </c>
      <c r="D46" s="5" t="s">
        <v>1618</v>
      </c>
      <c r="E46" s="6">
        <v>90189084</v>
      </c>
      <c r="F46" s="6">
        <v>8</v>
      </c>
      <c r="G46" s="6">
        <f t="shared" si="1"/>
        <v>1</v>
      </c>
      <c r="H46" s="6" t="s">
        <v>1622</v>
      </c>
      <c r="I46" s="5">
        <v>10.78</v>
      </c>
      <c r="J46" s="5">
        <f t="shared" si="2"/>
        <v>86.24</v>
      </c>
    </row>
    <row r="47" spans="1:10" x14ac:dyDescent="0.25">
      <c r="A47" s="9">
        <v>890</v>
      </c>
      <c r="B47" s="5" t="s">
        <v>526</v>
      </c>
      <c r="C47" s="5" t="s">
        <v>527</v>
      </c>
      <c r="D47" s="5" t="s">
        <v>1618</v>
      </c>
      <c r="E47" s="6">
        <v>90189084</v>
      </c>
      <c r="F47" s="6">
        <v>8</v>
      </c>
      <c r="G47" s="6">
        <f t="shared" si="1"/>
        <v>1</v>
      </c>
      <c r="H47" s="6" t="s">
        <v>1622</v>
      </c>
      <c r="I47" s="5">
        <v>11.37</v>
      </c>
      <c r="J47" s="5">
        <f t="shared" si="2"/>
        <v>90.96</v>
      </c>
    </row>
    <row r="48" spans="1:10" x14ac:dyDescent="0.25">
      <c r="A48" s="9">
        <v>891</v>
      </c>
      <c r="B48" s="5" t="s">
        <v>178</v>
      </c>
      <c r="C48" s="5" t="s">
        <v>179</v>
      </c>
      <c r="D48" s="5" t="s">
        <v>1618</v>
      </c>
      <c r="E48" s="6">
        <v>90189084</v>
      </c>
      <c r="F48" s="6">
        <v>16</v>
      </c>
      <c r="G48" s="6">
        <f t="shared" si="1"/>
        <v>2</v>
      </c>
      <c r="H48" s="6" t="s">
        <v>1622</v>
      </c>
      <c r="I48" s="5">
        <v>13.89</v>
      </c>
      <c r="J48" s="5">
        <f t="shared" si="2"/>
        <v>222.24</v>
      </c>
    </row>
    <row r="49" spans="1:10" x14ac:dyDescent="0.25">
      <c r="A49" s="9">
        <v>892</v>
      </c>
      <c r="B49" s="5" t="s">
        <v>172</v>
      </c>
      <c r="C49" s="5" t="s">
        <v>173</v>
      </c>
      <c r="D49" s="5" t="s">
        <v>1618</v>
      </c>
      <c r="E49" s="6">
        <v>90189084</v>
      </c>
      <c r="F49" s="6">
        <v>16</v>
      </c>
      <c r="G49" s="6">
        <f t="shared" si="1"/>
        <v>2</v>
      </c>
      <c r="H49" s="6" t="s">
        <v>1622</v>
      </c>
      <c r="I49" s="5">
        <v>28.18</v>
      </c>
      <c r="J49" s="5">
        <f t="shared" si="2"/>
        <v>450.88</v>
      </c>
    </row>
    <row r="50" spans="1:10" x14ac:dyDescent="0.25">
      <c r="A50" s="9">
        <v>893</v>
      </c>
      <c r="B50" s="5" t="s">
        <v>528</v>
      </c>
      <c r="C50" s="5" t="s">
        <v>529</v>
      </c>
      <c r="D50" s="5" t="s">
        <v>1618</v>
      </c>
      <c r="E50" s="6">
        <v>90189084</v>
      </c>
      <c r="F50" s="6">
        <v>16</v>
      </c>
      <c r="G50" s="6">
        <f t="shared" si="1"/>
        <v>2</v>
      </c>
      <c r="H50" s="6" t="s">
        <v>1622</v>
      </c>
      <c r="I50" s="5">
        <v>48.5</v>
      </c>
      <c r="J50" s="5">
        <f t="shared" si="2"/>
        <v>776</v>
      </c>
    </row>
    <row r="51" spans="1:10" x14ac:dyDescent="0.25">
      <c r="A51" s="9">
        <v>894</v>
      </c>
      <c r="B51" s="5" t="s">
        <v>530</v>
      </c>
      <c r="C51" s="5" t="s">
        <v>531</v>
      </c>
      <c r="D51" s="5" t="s">
        <v>1618</v>
      </c>
      <c r="E51" s="6">
        <v>90189084</v>
      </c>
      <c r="F51" s="6">
        <v>8</v>
      </c>
      <c r="G51" s="6">
        <f t="shared" si="1"/>
        <v>1</v>
      </c>
      <c r="H51" s="6" t="s">
        <v>1622</v>
      </c>
      <c r="I51" s="5">
        <v>23.85</v>
      </c>
      <c r="J51" s="5">
        <f t="shared" si="2"/>
        <v>190.8</v>
      </c>
    </row>
    <row r="52" spans="1:10" x14ac:dyDescent="0.25">
      <c r="A52" s="9">
        <v>895</v>
      </c>
      <c r="B52" s="5" t="s">
        <v>532</v>
      </c>
      <c r="C52" s="5" t="s">
        <v>533</v>
      </c>
      <c r="D52" s="5" t="s">
        <v>1618</v>
      </c>
      <c r="E52" s="6">
        <v>90183900</v>
      </c>
      <c r="F52" s="6">
        <v>16</v>
      </c>
      <c r="G52" s="6">
        <f t="shared" si="1"/>
        <v>2</v>
      </c>
      <c r="H52" s="6" t="s">
        <v>1622</v>
      </c>
      <c r="I52" s="5">
        <v>16.600000000000001</v>
      </c>
      <c r="J52" s="5">
        <f t="shared" si="2"/>
        <v>265.60000000000002</v>
      </c>
    </row>
    <row r="53" spans="1:10" x14ac:dyDescent="0.25">
      <c r="A53" s="9">
        <v>896</v>
      </c>
      <c r="B53" s="5" t="s">
        <v>534</v>
      </c>
      <c r="C53" s="5" t="s">
        <v>535</v>
      </c>
      <c r="D53" s="5" t="s">
        <v>1619</v>
      </c>
      <c r="E53" s="6">
        <v>90183900</v>
      </c>
      <c r="F53" s="6">
        <v>16</v>
      </c>
      <c r="G53" s="6">
        <f t="shared" si="1"/>
        <v>2</v>
      </c>
      <c r="H53" s="6" t="s">
        <v>1622</v>
      </c>
      <c r="I53" s="5">
        <v>13.22</v>
      </c>
      <c r="J53" s="5">
        <f t="shared" si="2"/>
        <v>211.52</v>
      </c>
    </row>
    <row r="54" spans="1:10" x14ac:dyDescent="0.25">
      <c r="A54" s="9">
        <v>897</v>
      </c>
      <c r="B54" s="5" t="s">
        <v>536</v>
      </c>
      <c r="C54" s="5" t="s">
        <v>537</v>
      </c>
      <c r="D54" s="5" t="s">
        <v>1619</v>
      </c>
      <c r="E54" s="6">
        <v>90183900</v>
      </c>
      <c r="F54" s="6">
        <v>16</v>
      </c>
      <c r="G54" s="6">
        <f t="shared" si="1"/>
        <v>2</v>
      </c>
      <c r="H54" s="6" t="s">
        <v>1622</v>
      </c>
      <c r="I54" s="5">
        <v>13.22</v>
      </c>
      <c r="J54" s="5">
        <f t="shared" si="2"/>
        <v>211.52</v>
      </c>
    </row>
    <row r="55" spans="1:10" x14ac:dyDescent="0.25">
      <c r="A55" s="9">
        <v>898</v>
      </c>
      <c r="B55" s="5" t="s">
        <v>268</v>
      </c>
      <c r="C55" s="5" t="s">
        <v>269</v>
      </c>
      <c r="D55" s="5" t="s">
        <v>1619</v>
      </c>
      <c r="E55" s="6">
        <v>90183900</v>
      </c>
      <c r="F55" s="6">
        <v>16</v>
      </c>
      <c r="G55" s="6">
        <f t="shared" si="1"/>
        <v>2</v>
      </c>
      <c r="H55" s="6" t="s">
        <v>1622</v>
      </c>
      <c r="I55" s="5">
        <v>13.22</v>
      </c>
      <c r="J55" s="5">
        <f t="shared" si="2"/>
        <v>211.52</v>
      </c>
    </row>
    <row r="56" spans="1:10" x14ac:dyDescent="0.25">
      <c r="A56" s="9">
        <v>899</v>
      </c>
      <c r="B56" s="5" t="s">
        <v>270</v>
      </c>
      <c r="C56" s="5" t="s">
        <v>271</v>
      </c>
      <c r="D56" s="5" t="s">
        <v>1619</v>
      </c>
      <c r="E56" s="6">
        <v>90183900</v>
      </c>
      <c r="F56" s="6">
        <v>16</v>
      </c>
      <c r="G56" s="6">
        <f t="shared" si="1"/>
        <v>2</v>
      </c>
      <c r="H56" s="6" t="s">
        <v>1622</v>
      </c>
      <c r="I56" s="5">
        <v>13.22</v>
      </c>
      <c r="J56" s="5">
        <f t="shared" si="2"/>
        <v>211.52</v>
      </c>
    </row>
    <row r="57" spans="1:10" x14ac:dyDescent="0.25">
      <c r="A57" s="9">
        <v>900</v>
      </c>
      <c r="B57" s="5" t="s">
        <v>538</v>
      </c>
      <c r="C57" s="5" t="s">
        <v>539</v>
      </c>
      <c r="D57" s="5" t="s">
        <v>1619</v>
      </c>
      <c r="E57" s="6">
        <v>90183900</v>
      </c>
      <c r="F57" s="6">
        <v>16</v>
      </c>
      <c r="G57" s="6">
        <f t="shared" si="1"/>
        <v>2</v>
      </c>
      <c r="H57" s="6" t="s">
        <v>1622</v>
      </c>
      <c r="I57" s="5">
        <v>21.23</v>
      </c>
      <c r="J57" s="5">
        <f t="shared" si="2"/>
        <v>339.68</v>
      </c>
    </row>
    <row r="58" spans="1:10" x14ac:dyDescent="0.25">
      <c r="A58" s="9">
        <v>901</v>
      </c>
      <c r="B58" s="5" t="s">
        <v>538</v>
      </c>
      <c r="C58" s="5" t="s">
        <v>539</v>
      </c>
      <c r="D58" s="5" t="s">
        <v>1619</v>
      </c>
      <c r="E58" s="6">
        <v>90183900</v>
      </c>
      <c r="F58" s="6">
        <v>16</v>
      </c>
      <c r="G58" s="6">
        <f t="shared" si="1"/>
        <v>2</v>
      </c>
      <c r="H58" s="6" t="s">
        <v>1622</v>
      </c>
      <c r="I58" s="5">
        <v>21.23</v>
      </c>
      <c r="J58" s="5">
        <f t="shared" si="2"/>
        <v>339.68</v>
      </c>
    </row>
    <row r="59" spans="1:10" x14ac:dyDescent="0.25">
      <c r="A59" s="9">
        <v>902</v>
      </c>
      <c r="B59" s="5" t="s">
        <v>262</v>
      </c>
      <c r="C59" s="5" t="s">
        <v>263</v>
      </c>
      <c r="D59" s="5" t="s">
        <v>1619</v>
      </c>
      <c r="E59" s="6">
        <v>90183900</v>
      </c>
      <c r="F59" s="6">
        <v>16</v>
      </c>
      <c r="G59" s="6">
        <f t="shared" si="1"/>
        <v>2</v>
      </c>
      <c r="H59" s="6" t="s">
        <v>1622</v>
      </c>
      <c r="I59" s="5">
        <v>21.23</v>
      </c>
      <c r="J59" s="5">
        <f t="shared" si="2"/>
        <v>339.68</v>
      </c>
    </row>
    <row r="60" spans="1:10" x14ac:dyDescent="0.25">
      <c r="A60" s="9">
        <v>903</v>
      </c>
      <c r="B60" s="5" t="s">
        <v>264</v>
      </c>
      <c r="C60" s="5" t="s">
        <v>265</v>
      </c>
      <c r="D60" s="5" t="s">
        <v>1619</v>
      </c>
      <c r="E60" s="6">
        <v>90183900</v>
      </c>
      <c r="F60" s="6">
        <v>16</v>
      </c>
      <c r="G60" s="6">
        <f t="shared" si="1"/>
        <v>2</v>
      </c>
      <c r="H60" s="6" t="s">
        <v>1622</v>
      </c>
      <c r="I60" s="5">
        <v>21.23</v>
      </c>
      <c r="J60" s="5">
        <f t="shared" si="2"/>
        <v>339.68</v>
      </c>
    </row>
    <row r="61" spans="1:10" x14ac:dyDescent="0.25">
      <c r="A61" s="9">
        <v>904</v>
      </c>
      <c r="B61" s="5" t="s">
        <v>266</v>
      </c>
      <c r="C61" s="5" t="s">
        <v>267</v>
      </c>
      <c r="D61" s="5" t="s">
        <v>1619</v>
      </c>
      <c r="E61" s="6">
        <v>90183900</v>
      </c>
      <c r="F61" s="6">
        <v>16</v>
      </c>
      <c r="G61" s="6">
        <f t="shared" si="1"/>
        <v>2</v>
      </c>
      <c r="H61" s="6" t="s">
        <v>1622</v>
      </c>
      <c r="I61" s="5">
        <v>21.23</v>
      </c>
      <c r="J61" s="5">
        <f t="shared" si="2"/>
        <v>339.68</v>
      </c>
    </row>
    <row r="62" spans="1:10" x14ac:dyDescent="0.25">
      <c r="A62" s="9">
        <v>905</v>
      </c>
      <c r="B62" s="5" t="s">
        <v>532</v>
      </c>
      <c r="C62" s="5" t="s">
        <v>533</v>
      </c>
      <c r="D62" s="5" t="s">
        <v>1618</v>
      </c>
      <c r="E62" s="6">
        <v>90183900</v>
      </c>
      <c r="F62" s="6">
        <v>16</v>
      </c>
      <c r="G62" s="6">
        <f t="shared" si="1"/>
        <v>2</v>
      </c>
      <c r="H62" s="6" t="s">
        <v>1622</v>
      </c>
      <c r="I62" s="5">
        <v>16.600000000000001</v>
      </c>
      <c r="J62" s="5">
        <f t="shared" si="2"/>
        <v>265.60000000000002</v>
      </c>
    </row>
    <row r="63" spans="1:10" x14ac:dyDescent="0.25">
      <c r="A63" s="9">
        <v>906</v>
      </c>
      <c r="B63" s="5" t="s">
        <v>540</v>
      </c>
      <c r="C63" s="5" t="s">
        <v>541</v>
      </c>
      <c r="D63" s="5" t="s">
        <v>1618</v>
      </c>
      <c r="E63" s="6">
        <v>90189084</v>
      </c>
      <c r="F63" s="6">
        <v>8</v>
      </c>
      <c r="G63" s="6">
        <f t="shared" si="1"/>
        <v>1</v>
      </c>
      <c r="H63" s="6" t="s">
        <v>1622</v>
      </c>
      <c r="I63" s="5">
        <v>17.71</v>
      </c>
      <c r="J63" s="5">
        <f t="shared" si="2"/>
        <v>141.68</v>
      </c>
    </row>
    <row r="64" spans="1:10" x14ac:dyDescent="0.25">
      <c r="A64" s="9">
        <v>907</v>
      </c>
      <c r="B64" s="5" t="s">
        <v>542</v>
      </c>
      <c r="C64" s="5" t="s">
        <v>543</v>
      </c>
      <c r="D64" s="5" t="s">
        <v>1618</v>
      </c>
      <c r="E64" s="6">
        <v>90189084</v>
      </c>
      <c r="F64" s="6">
        <v>8</v>
      </c>
      <c r="G64" s="6">
        <f t="shared" si="1"/>
        <v>1</v>
      </c>
      <c r="H64" s="6" t="s">
        <v>1622</v>
      </c>
      <c r="I64" s="5">
        <v>19.48</v>
      </c>
      <c r="J64" s="5">
        <f t="shared" si="2"/>
        <v>155.84</v>
      </c>
    </row>
    <row r="65" spans="1:10" x14ac:dyDescent="0.25">
      <c r="A65" s="9">
        <v>908</v>
      </c>
      <c r="B65" s="5" t="s">
        <v>544</v>
      </c>
      <c r="C65" s="5" t="s">
        <v>545</v>
      </c>
      <c r="D65" s="5" t="s">
        <v>1618</v>
      </c>
      <c r="E65" s="6">
        <v>90189084</v>
      </c>
      <c r="F65" s="6">
        <v>8</v>
      </c>
      <c r="G65" s="6">
        <f t="shared" si="1"/>
        <v>1</v>
      </c>
      <c r="H65" s="6" t="s">
        <v>1622</v>
      </c>
      <c r="I65" s="5">
        <v>20.66</v>
      </c>
      <c r="J65" s="5">
        <f t="shared" si="2"/>
        <v>165.28</v>
      </c>
    </row>
    <row r="66" spans="1:10" x14ac:dyDescent="0.25">
      <c r="A66" s="9">
        <v>909</v>
      </c>
      <c r="B66" s="5" t="s">
        <v>546</v>
      </c>
      <c r="C66" s="5" t="s">
        <v>547</v>
      </c>
      <c r="D66" s="5" t="s">
        <v>1618</v>
      </c>
      <c r="E66" s="6">
        <v>90189084</v>
      </c>
      <c r="F66" s="6">
        <v>8</v>
      </c>
      <c r="G66" s="6">
        <f t="shared" si="1"/>
        <v>1</v>
      </c>
      <c r="H66" s="6" t="s">
        <v>1622</v>
      </c>
      <c r="I66" s="5">
        <v>22.11</v>
      </c>
      <c r="J66" s="5">
        <f t="shared" si="2"/>
        <v>176.88</v>
      </c>
    </row>
    <row r="67" spans="1:10" x14ac:dyDescent="0.25">
      <c r="A67" s="9">
        <v>910</v>
      </c>
      <c r="B67" s="5" t="s">
        <v>548</v>
      </c>
      <c r="C67" s="5" t="s">
        <v>549</v>
      </c>
      <c r="D67" s="5" t="s">
        <v>1618</v>
      </c>
      <c r="E67" s="6">
        <v>90189084</v>
      </c>
      <c r="F67" s="6">
        <v>8</v>
      </c>
      <c r="G67" s="6">
        <f t="shared" si="1"/>
        <v>1</v>
      </c>
      <c r="H67" s="6" t="s">
        <v>1622</v>
      </c>
      <c r="I67" s="5">
        <v>33.58</v>
      </c>
      <c r="J67" s="5">
        <f t="shared" si="2"/>
        <v>268.64</v>
      </c>
    </row>
    <row r="68" spans="1:10" x14ac:dyDescent="0.25">
      <c r="A68" s="9">
        <v>911</v>
      </c>
      <c r="B68" s="5" t="s">
        <v>550</v>
      </c>
      <c r="C68" s="5" t="s">
        <v>551</v>
      </c>
      <c r="D68" s="5" t="s">
        <v>1619</v>
      </c>
      <c r="E68" s="6">
        <v>90189084</v>
      </c>
      <c r="F68" s="6">
        <v>8</v>
      </c>
      <c r="G68" s="6">
        <f t="shared" ref="G68:G113" si="3">F68/$F$2</f>
        <v>1</v>
      </c>
      <c r="H68" s="6" t="s">
        <v>1622</v>
      </c>
      <c r="I68" s="5">
        <v>13.91</v>
      </c>
      <c r="J68" s="5">
        <f t="shared" si="2"/>
        <v>111.28</v>
      </c>
    </row>
    <row r="69" spans="1:10" x14ac:dyDescent="0.25">
      <c r="A69" s="9">
        <v>912</v>
      </c>
      <c r="B69" s="5" t="s">
        <v>552</v>
      </c>
      <c r="C69" s="5" t="s">
        <v>553</v>
      </c>
      <c r="D69" s="5" t="s">
        <v>1619</v>
      </c>
      <c r="E69" s="6">
        <v>90189084</v>
      </c>
      <c r="F69" s="6">
        <v>8</v>
      </c>
      <c r="G69" s="6">
        <f t="shared" si="3"/>
        <v>1</v>
      </c>
      <c r="H69" s="6" t="s">
        <v>1622</v>
      </c>
      <c r="I69" s="5">
        <v>13.91</v>
      </c>
      <c r="J69" s="5">
        <f t="shared" si="2"/>
        <v>111.28</v>
      </c>
    </row>
    <row r="70" spans="1:10" x14ac:dyDescent="0.25">
      <c r="A70" s="9">
        <v>913</v>
      </c>
      <c r="B70" s="5" t="s">
        <v>554</v>
      </c>
      <c r="C70" s="5" t="s">
        <v>555</v>
      </c>
      <c r="D70" s="5" t="s">
        <v>1618</v>
      </c>
      <c r="E70" s="6">
        <v>90189084</v>
      </c>
      <c r="F70" s="6">
        <v>8</v>
      </c>
      <c r="G70" s="6">
        <f t="shared" si="3"/>
        <v>1</v>
      </c>
      <c r="H70" s="6" t="s">
        <v>1622</v>
      </c>
      <c r="I70" s="5">
        <v>219.7</v>
      </c>
      <c r="J70" s="5">
        <f t="shared" si="2"/>
        <v>1757.6</v>
      </c>
    </row>
    <row r="71" spans="1:10" x14ac:dyDescent="0.25">
      <c r="A71" s="9">
        <v>914</v>
      </c>
      <c r="B71" s="5" t="s">
        <v>556</v>
      </c>
      <c r="C71" s="5" t="s">
        <v>557</v>
      </c>
      <c r="D71" s="5" t="s">
        <v>1618</v>
      </c>
      <c r="E71" s="6">
        <v>90189084</v>
      </c>
      <c r="F71" s="6">
        <v>8</v>
      </c>
      <c r="G71" s="6">
        <f t="shared" si="3"/>
        <v>1</v>
      </c>
      <c r="H71" s="6" t="s">
        <v>1622</v>
      </c>
      <c r="I71" s="5">
        <v>229.78</v>
      </c>
      <c r="J71" s="5">
        <f t="shared" si="2"/>
        <v>1838.24</v>
      </c>
    </row>
    <row r="72" spans="1:10" x14ac:dyDescent="0.25">
      <c r="A72" s="9">
        <v>915</v>
      </c>
      <c r="B72" s="5" t="s">
        <v>558</v>
      </c>
      <c r="C72" s="5" t="s">
        <v>559</v>
      </c>
      <c r="D72" s="5" t="s">
        <v>1618</v>
      </c>
      <c r="E72" s="6">
        <v>90189084</v>
      </c>
      <c r="F72" s="6">
        <v>8</v>
      </c>
      <c r="G72" s="6">
        <f t="shared" si="3"/>
        <v>1</v>
      </c>
      <c r="H72" s="6" t="s">
        <v>1622</v>
      </c>
      <c r="I72" s="5">
        <v>200.27</v>
      </c>
      <c r="J72" s="5">
        <f t="shared" si="2"/>
        <v>1602.16</v>
      </c>
    </row>
    <row r="73" spans="1:10" x14ac:dyDescent="0.25">
      <c r="A73" s="9">
        <v>916</v>
      </c>
      <c r="B73" s="5" t="s">
        <v>312</v>
      </c>
      <c r="C73" s="5" t="s">
        <v>313</v>
      </c>
      <c r="D73" s="5" t="s">
        <v>1618</v>
      </c>
      <c r="E73" s="6">
        <v>90189084</v>
      </c>
      <c r="F73" s="6">
        <v>8</v>
      </c>
      <c r="G73" s="6">
        <f t="shared" si="3"/>
        <v>1</v>
      </c>
      <c r="H73" s="6" t="s">
        <v>1622</v>
      </c>
      <c r="I73" s="5">
        <v>223.6</v>
      </c>
      <c r="J73" s="5">
        <f t="shared" si="2"/>
        <v>1788.8</v>
      </c>
    </row>
    <row r="74" spans="1:10" x14ac:dyDescent="0.25">
      <c r="A74" s="9">
        <v>917</v>
      </c>
      <c r="B74" s="5" t="s">
        <v>314</v>
      </c>
      <c r="C74" s="5" t="s">
        <v>315</v>
      </c>
      <c r="D74" s="5" t="s">
        <v>1618</v>
      </c>
      <c r="E74" s="6">
        <v>90189084</v>
      </c>
      <c r="F74" s="6">
        <v>8</v>
      </c>
      <c r="G74" s="6">
        <f t="shared" si="3"/>
        <v>1</v>
      </c>
      <c r="H74" s="6" t="s">
        <v>1622</v>
      </c>
      <c r="I74" s="5">
        <v>223.6</v>
      </c>
      <c r="J74" s="5">
        <f t="shared" si="2"/>
        <v>1788.8</v>
      </c>
    </row>
    <row r="75" spans="1:10" x14ac:dyDescent="0.25">
      <c r="A75" s="9">
        <v>918</v>
      </c>
      <c r="B75" s="5" t="s">
        <v>560</v>
      </c>
      <c r="C75" s="5" t="s">
        <v>561</v>
      </c>
      <c r="D75" s="5" t="s">
        <v>1618</v>
      </c>
      <c r="E75" s="6">
        <v>90189084</v>
      </c>
      <c r="F75" s="6">
        <v>8</v>
      </c>
      <c r="G75" s="6">
        <f t="shared" si="3"/>
        <v>1</v>
      </c>
      <c r="H75" s="6" t="s">
        <v>1622</v>
      </c>
      <c r="I75" s="5">
        <v>223.6</v>
      </c>
      <c r="J75" s="5">
        <f t="shared" si="2"/>
        <v>1788.8</v>
      </c>
    </row>
    <row r="76" spans="1:10" x14ac:dyDescent="0.25">
      <c r="A76" s="9">
        <v>919</v>
      </c>
      <c r="B76" s="5" t="s">
        <v>182</v>
      </c>
      <c r="C76" s="5" t="s">
        <v>183</v>
      </c>
      <c r="D76" s="5" t="s">
        <v>1618</v>
      </c>
      <c r="E76" s="6">
        <v>90189084</v>
      </c>
      <c r="F76" s="6">
        <v>8</v>
      </c>
      <c r="G76" s="6">
        <f t="shared" si="3"/>
        <v>1</v>
      </c>
      <c r="H76" s="6" t="s">
        <v>1622</v>
      </c>
      <c r="I76" s="5">
        <v>16.5</v>
      </c>
      <c r="J76" s="5">
        <f t="shared" si="2"/>
        <v>132</v>
      </c>
    </row>
    <row r="77" spans="1:10" x14ac:dyDescent="0.25">
      <c r="A77" s="9">
        <v>920</v>
      </c>
      <c r="B77" s="5" t="s">
        <v>562</v>
      </c>
      <c r="C77" s="5" t="s">
        <v>563</v>
      </c>
      <c r="D77" s="5" t="s">
        <v>1618</v>
      </c>
      <c r="E77" s="6">
        <v>90189084</v>
      </c>
      <c r="F77" s="6">
        <v>8</v>
      </c>
      <c r="G77" s="6">
        <f t="shared" si="3"/>
        <v>1</v>
      </c>
      <c r="H77" s="6" t="s">
        <v>1622</v>
      </c>
      <c r="I77" s="5">
        <v>57.96</v>
      </c>
      <c r="J77" s="5">
        <f t="shared" si="2"/>
        <v>463.68</v>
      </c>
    </row>
    <row r="78" spans="1:10" x14ac:dyDescent="0.25">
      <c r="A78" s="9">
        <v>921</v>
      </c>
      <c r="B78" s="5" t="s">
        <v>428</v>
      </c>
      <c r="C78" s="5" t="s">
        <v>429</v>
      </c>
      <c r="D78" s="5" t="s">
        <v>1618</v>
      </c>
      <c r="E78" s="6">
        <v>90189084</v>
      </c>
      <c r="F78" s="6">
        <v>8</v>
      </c>
      <c r="G78" s="6">
        <f t="shared" si="3"/>
        <v>1</v>
      </c>
      <c r="H78" s="6" t="s">
        <v>1622</v>
      </c>
      <c r="I78" s="5">
        <v>40.549999999999997</v>
      </c>
      <c r="J78" s="5">
        <f t="shared" si="2"/>
        <v>324.39999999999998</v>
      </c>
    </row>
    <row r="79" spans="1:10" x14ac:dyDescent="0.25">
      <c r="A79" s="9">
        <v>922</v>
      </c>
      <c r="B79" s="5" t="s">
        <v>420</v>
      </c>
      <c r="C79" s="5" t="s">
        <v>421</v>
      </c>
      <c r="D79" s="5" t="s">
        <v>1618</v>
      </c>
      <c r="E79" s="6">
        <v>90189084</v>
      </c>
      <c r="F79" s="6">
        <v>8</v>
      </c>
      <c r="G79" s="6">
        <f t="shared" si="3"/>
        <v>1</v>
      </c>
      <c r="H79" s="6" t="s">
        <v>1622</v>
      </c>
      <c r="I79" s="5">
        <v>40.549999999999997</v>
      </c>
      <c r="J79" s="5">
        <f t="shared" si="2"/>
        <v>324.39999999999998</v>
      </c>
    </row>
    <row r="80" spans="1:10" x14ac:dyDescent="0.25">
      <c r="A80" s="9">
        <v>923</v>
      </c>
      <c r="B80" s="5" t="s">
        <v>564</v>
      </c>
      <c r="C80" s="5" t="s">
        <v>565</v>
      </c>
      <c r="D80" s="5" t="s">
        <v>1619</v>
      </c>
      <c r="E80" s="6">
        <v>90183900</v>
      </c>
      <c r="F80" s="6">
        <v>16</v>
      </c>
      <c r="G80" s="6">
        <f t="shared" si="3"/>
        <v>2</v>
      </c>
      <c r="H80" s="6" t="s">
        <v>1622</v>
      </c>
      <c r="I80" s="5">
        <v>18.22</v>
      </c>
      <c r="J80" s="5">
        <f t="shared" si="2"/>
        <v>291.52</v>
      </c>
    </row>
    <row r="81" spans="1:10" x14ac:dyDescent="0.25">
      <c r="A81" s="9">
        <v>924</v>
      </c>
      <c r="B81" s="5" t="s">
        <v>566</v>
      </c>
      <c r="C81" s="5" t="s">
        <v>567</v>
      </c>
      <c r="D81" s="5" t="s">
        <v>1619</v>
      </c>
      <c r="E81" s="6">
        <v>90183900</v>
      </c>
      <c r="F81" s="6">
        <v>16</v>
      </c>
      <c r="G81" s="6">
        <f t="shared" si="3"/>
        <v>2</v>
      </c>
      <c r="H81" s="6" t="s">
        <v>1622</v>
      </c>
      <c r="I81" s="5">
        <v>40.090000000000003</v>
      </c>
      <c r="J81" s="5">
        <f t="shared" si="2"/>
        <v>641.44000000000005</v>
      </c>
    </row>
    <row r="82" spans="1:10" x14ac:dyDescent="0.25">
      <c r="A82" s="9">
        <v>925</v>
      </c>
      <c r="B82" s="5" t="s">
        <v>568</v>
      </c>
      <c r="C82" s="5" t="s">
        <v>569</v>
      </c>
      <c r="D82" s="5" t="s">
        <v>1618</v>
      </c>
      <c r="E82" s="6">
        <v>90189084</v>
      </c>
      <c r="F82" s="6">
        <v>8</v>
      </c>
      <c r="G82" s="6">
        <f t="shared" si="3"/>
        <v>1</v>
      </c>
      <c r="H82" s="6" t="s">
        <v>1622</v>
      </c>
      <c r="I82" s="5">
        <v>515.27</v>
      </c>
      <c r="J82" s="5">
        <f t="shared" si="2"/>
        <v>4122.16</v>
      </c>
    </row>
    <row r="83" spans="1:10" x14ac:dyDescent="0.25">
      <c r="A83" s="9">
        <v>926</v>
      </c>
      <c r="B83" s="5" t="s">
        <v>570</v>
      </c>
      <c r="C83" s="5" t="s">
        <v>571</v>
      </c>
      <c r="D83" s="5" t="s">
        <v>1618</v>
      </c>
      <c r="E83" s="6">
        <v>90189084</v>
      </c>
      <c r="F83" s="6">
        <v>8</v>
      </c>
      <c r="G83" s="6">
        <f t="shared" si="3"/>
        <v>1</v>
      </c>
      <c r="H83" s="6" t="s">
        <v>1622</v>
      </c>
      <c r="I83" s="5">
        <v>164.2</v>
      </c>
      <c r="J83" s="5">
        <f t="shared" si="2"/>
        <v>1313.6</v>
      </c>
    </row>
    <row r="84" spans="1:10" x14ac:dyDescent="0.25">
      <c r="A84" s="9">
        <v>927</v>
      </c>
      <c r="B84" s="5" t="s">
        <v>572</v>
      </c>
      <c r="C84" s="5" t="s">
        <v>573</v>
      </c>
      <c r="D84" s="5" t="s">
        <v>1618</v>
      </c>
      <c r="E84" s="6">
        <v>90189084</v>
      </c>
      <c r="F84" s="6">
        <v>16</v>
      </c>
      <c r="G84" s="6">
        <f t="shared" si="3"/>
        <v>2</v>
      </c>
      <c r="H84" s="6" t="s">
        <v>1622</v>
      </c>
      <c r="I84" s="5">
        <v>280.26</v>
      </c>
      <c r="J84" s="5">
        <f t="shared" si="2"/>
        <v>4484.16</v>
      </c>
    </row>
    <row r="85" spans="1:10" x14ac:dyDescent="0.25">
      <c r="A85" s="9">
        <v>928</v>
      </c>
      <c r="B85" s="5" t="s">
        <v>574</v>
      </c>
      <c r="C85" s="5" t="s">
        <v>575</v>
      </c>
      <c r="D85" s="5" t="s">
        <v>1618</v>
      </c>
      <c r="E85" s="6">
        <v>90189084</v>
      </c>
      <c r="F85" s="6">
        <v>32</v>
      </c>
      <c r="G85" s="6">
        <f t="shared" si="3"/>
        <v>4</v>
      </c>
      <c r="H85" s="6" t="s">
        <v>1622</v>
      </c>
      <c r="I85" s="5">
        <v>328.26</v>
      </c>
      <c r="J85" s="5">
        <f t="shared" si="2"/>
        <v>10504.32</v>
      </c>
    </row>
    <row r="86" spans="1:10" x14ac:dyDescent="0.25">
      <c r="A86" s="9">
        <v>929</v>
      </c>
      <c r="B86" s="5" t="s">
        <v>576</v>
      </c>
      <c r="C86" s="5" t="s">
        <v>577</v>
      </c>
      <c r="D86" s="5" t="s">
        <v>1618</v>
      </c>
      <c r="E86" s="6">
        <v>90189084</v>
      </c>
      <c r="F86" s="6">
        <v>8</v>
      </c>
      <c r="G86" s="6">
        <f t="shared" si="3"/>
        <v>1</v>
      </c>
      <c r="H86" s="6" t="s">
        <v>1622</v>
      </c>
      <c r="I86" s="5">
        <v>100.07</v>
      </c>
      <c r="J86" s="5">
        <f t="shared" si="2"/>
        <v>800.56</v>
      </c>
    </row>
    <row r="87" spans="1:10" x14ac:dyDescent="0.25">
      <c r="A87" s="9">
        <v>930</v>
      </c>
      <c r="B87" s="5" t="s">
        <v>578</v>
      </c>
      <c r="C87" s="5" t="s">
        <v>579</v>
      </c>
      <c r="D87" s="5" t="s">
        <v>1618</v>
      </c>
      <c r="E87" s="6">
        <v>90189084</v>
      </c>
      <c r="F87" s="6">
        <v>8</v>
      </c>
      <c r="G87" s="6">
        <f t="shared" si="3"/>
        <v>1</v>
      </c>
      <c r="H87" s="6" t="s">
        <v>1622</v>
      </c>
      <c r="I87" s="5">
        <v>113.7</v>
      </c>
      <c r="J87" s="5">
        <f t="shared" si="2"/>
        <v>909.6</v>
      </c>
    </row>
    <row r="88" spans="1:10" x14ac:dyDescent="0.25">
      <c r="A88" s="9">
        <v>931</v>
      </c>
      <c r="B88" s="5" t="s">
        <v>580</v>
      </c>
      <c r="C88" s="5" t="s">
        <v>581</v>
      </c>
      <c r="D88" s="5" t="s">
        <v>1619</v>
      </c>
      <c r="E88" s="6">
        <v>90189084</v>
      </c>
      <c r="F88" s="6">
        <v>16</v>
      </c>
      <c r="G88" s="6">
        <f t="shared" si="3"/>
        <v>2</v>
      </c>
      <c r="H88" s="6" t="s">
        <v>1622</v>
      </c>
      <c r="I88" s="5">
        <v>13.91</v>
      </c>
      <c r="J88" s="5">
        <f t="shared" si="2"/>
        <v>222.56</v>
      </c>
    </row>
    <row r="89" spans="1:10" x14ac:dyDescent="0.25">
      <c r="A89" s="9">
        <v>932</v>
      </c>
      <c r="B89" s="5" t="s">
        <v>582</v>
      </c>
      <c r="C89" s="5" t="s">
        <v>583</v>
      </c>
      <c r="D89" s="5" t="s">
        <v>1618</v>
      </c>
      <c r="E89" s="6">
        <v>90189084</v>
      </c>
      <c r="F89" s="6">
        <v>16</v>
      </c>
      <c r="G89" s="6">
        <f t="shared" si="3"/>
        <v>2</v>
      </c>
      <c r="H89" s="6" t="s">
        <v>1622</v>
      </c>
      <c r="I89" s="5">
        <v>33.58</v>
      </c>
      <c r="J89" s="5">
        <f t="shared" si="2"/>
        <v>537.28</v>
      </c>
    </row>
    <row r="90" spans="1:10" x14ac:dyDescent="0.25">
      <c r="A90" s="9">
        <v>933</v>
      </c>
      <c r="B90" s="5" t="s">
        <v>584</v>
      </c>
      <c r="C90" s="5" t="s">
        <v>585</v>
      </c>
      <c r="D90" s="5" t="s">
        <v>1619</v>
      </c>
      <c r="E90" s="6">
        <v>90189084</v>
      </c>
      <c r="F90" s="6">
        <v>16</v>
      </c>
      <c r="G90" s="6">
        <f t="shared" si="3"/>
        <v>2</v>
      </c>
      <c r="H90" s="6" t="s">
        <v>1622</v>
      </c>
      <c r="I90" s="5">
        <v>13.91</v>
      </c>
      <c r="J90" s="5">
        <f t="shared" si="2"/>
        <v>222.56</v>
      </c>
    </row>
    <row r="91" spans="1:10" x14ac:dyDescent="0.25">
      <c r="A91" s="9">
        <v>934</v>
      </c>
      <c r="B91" s="5" t="s">
        <v>586</v>
      </c>
      <c r="C91" s="5" t="s">
        <v>587</v>
      </c>
      <c r="D91" s="5" t="s">
        <v>1618</v>
      </c>
      <c r="E91" s="6">
        <v>90189084</v>
      </c>
      <c r="F91" s="6">
        <v>16</v>
      </c>
      <c r="G91" s="6">
        <f t="shared" si="3"/>
        <v>2</v>
      </c>
      <c r="H91" s="6" t="s">
        <v>1622</v>
      </c>
      <c r="I91" s="5">
        <v>33.58</v>
      </c>
      <c r="J91" s="5">
        <f t="shared" si="2"/>
        <v>537.28</v>
      </c>
    </row>
    <row r="92" spans="1:10" x14ac:dyDescent="0.25">
      <c r="A92" s="9">
        <v>935</v>
      </c>
      <c r="B92" s="5" t="s">
        <v>588</v>
      </c>
      <c r="C92" s="5" t="s">
        <v>589</v>
      </c>
      <c r="D92" s="5" t="s">
        <v>1618</v>
      </c>
      <c r="E92" s="6">
        <v>90189084</v>
      </c>
      <c r="F92" s="6">
        <v>24</v>
      </c>
      <c r="G92" s="6">
        <f t="shared" si="3"/>
        <v>3</v>
      </c>
      <c r="H92" s="6" t="s">
        <v>1622</v>
      </c>
      <c r="I92" s="5">
        <v>114.04</v>
      </c>
      <c r="J92" s="5">
        <f t="shared" si="2"/>
        <v>2736.96</v>
      </c>
    </row>
    <row r="93" spans="1:10" x14ac:dyDescent="0.25">
      <c r="A93" s="9">
        <v>936</v>
      </c>
      <c r="B93" s="5" t="s">
        <v>438</v>
      </c>
      <c r="C93" s="5" t="s">
        <v>439</v>
      </c>
      <c r="D93" s="5" t="s">
        <v>1619</v>
      </c>
      <c r="E93" s="6">
        <v>90189084</v>
      </c>
      <c r="F93" s="6">
        <v>16</v>
      </c>
      <c r="G93" s="6">
        <f t="shared" si="3"/>
        <v>2</v>
      </c>
      <c r="H93" s="6" t="s">
        <v>1622</v>
      </c>
      <c r="I93" s="5">
        <v>69.569999999999993</v>
      </c>
      <c r="J93" s="5">
        <f t="shared" si="2"/>
        <v>1113.1199999999999</v>
      </c>
    </row>
    <row r="94" spans="1:10" x14ac:dyDescent="0.25">
      <c r="A94" s="9">
        <v>937</v>
      </c>
      <c r="B94" s="5" t="s">
        <v>440</v>
      </c>
      <c r="C94" s="5" t="s">
        <v>441</v>
      </c>
      <c r="D94" s="5" t="s">
        <v>1619</v>
      </c>
      <c r="E94" s="6">
        <v>90189084</v>
      </c>
      <c r="F94" s="6">
        <v>16</v>
      </c>
      <c r="G94" s="6">
        <f t="shared" si="3"/>
        <v>2</v>
      </c>
      <c r="H94" s="6" t="s">
        <v>1622</v>
      </c>
      <c r="I94" s="5">
        <v>64.680000000000007</v>
      </c>
      <c r="J94" s="5">
        <f t="shared" si="2"/>
        <v>1034.8800000000001</v>
      </c>
    </row>
    <row r="95" spans="1:10" x14ac:dyDescent="0.25">
      <c r="A95" s="9">
        <v>938</v>
      </c>
      <c r="B95" s="5" t="s">
        <v>220</v>
      </c>
      <c r="C95" s="5" t="s">
        <v>221</v>
      </c>
      <c r="D95" s="5" t="s">
        <v>1618</v>
      </c>
      <c r="E95" s="6">
        <v>90189084</v>
      </c>
      <c r="F95" s="6">
        <v>8</v>
      </c>
      <c r="G95" s="6">
        <f t="shared" si="3"/>
        <v>1</v>
      </c>
      <c r="H95" s="6" t="s">
        <v>1622</v>
      </c>
      <c r="I95" s="5">
        <v>96.9</v>
      </c>
      <c r="J95" s="5">
        <f t="shared" si="2"/>
        <v>775.2</v>
      </c>
    </row>
    <row r="96" spans="1:10" x14ac:dyDescent="0.25">
      <c r="A96" s="9">
        <v>939</v>
      </c>
      <c r="B96" s="5" t="s">
        <v>222</v>
      </c>
      <c r="C96" s="5" t="s">
        <v>223</v>
      </c>
      <c r="D96" s="5" t="s">
        <v>1618</v>
      </c>
      <c r="E96" s="6">
        <v>90189084</v>
      </c>
      <c r="F96" s="6">
        <v>8</v>
      </c>
      <c r="G96" s="6">
        <f t="shared" si="3"/>
        <v>1</v>
      </c>
      <c r="H96" s="6" t="s">
        <v>1622</v>
      </c>
      <c r="I96" s="5">
        <v>121.02</v>
      </c>
      <c r="J96" s="5">
        <f t="shared" si="2"/>
        <v>968.16</v>
      </c>
    </row>
    <row r="97" spans="1:10" x14ac:dyDescent="0.25">
      <c r="A97" s="9">
        <v>940</v>
      </c>
      <c r="B97" s="5" t="s">
        <v>224</v>
      </c>
      <c r="C97" s="5" t="s">
        <v>225</v>
      </c>
      <c r="D97" s="5" t="s">
        <v>1619</v>
      </c>
      <c r="E97" s="6">
        <v>90189084</v>
      </c>
      <c r="F97" s="6">
        <v>16</v>
      </c>
      <c r="G97" s="6">
        <f t="shared" si="3"/>
        <v>2</v>
      </c>
      <c r="H97" s="6" t="s">
        <v>1622</v>
      </c>
      <c r="I97" s="5">
        <v>129.32</v>
      </c>
      <c r="J97" s="5">
        <f t="shared" si="2"/>
        <v>2069.12</v>
      </c>
    </row>
    <row r="98" spans="1:10" x14ac:dyDescent="0.25">
      <c r="A98" s="9">
        <v>941</v>
      </c>
      <c r="B98" s="5" t="s">
        <v>226</v>
      </c>
      <c r="C98" s="5" t="s">
        <v>227</v>
      </c>
      <c r="D98" s="5" t="s">
        <v>1618</v>
      </c>
      <c r="E98" s="6">
        <v>90189084</v>
      </c>
      <c r="F98" s="6">
        <v>16</v>
      </c>
      <c r="G98" s="6">
        <f t="shared" si="3"/>
        <v>2</v>
      </c>
      <c r="H98" s="6" t="s">
        <v>1622</v>
      </c>
      <c r="I98" s="5">
        <v>123.27</v>
      </c>
      <c r="J98" s="5">
        <f t="shared" si="2"/>
        <v>1972.32</v>
      </c>
    </row>
    <row r="99" spans="1:10" x14ac:dyDescent="0.25">
      <c r="A99" s="9">
        <v>942</v>
      </c>
      <c r="B99" s="5" t="s">
        <v>590</v>
      </c>
      <c r="C99" s="5" t="s">
        <v>591</v>
      </c>
      <c r="D99" s="5" t="s">
        <v>1618</v>
      </c>
      <c r="E99" s="6">
        <v>90189084</v>
      </c>
      <c r="F99" s="6">
        <v>16</v>
      </c>
      <c r="G99" s="6">
        <f t="shared" si="3"/>
        <v>2</v>
      </c>
      <c r="H99" s="6" t="s">
        <v>1622</v>
      </c>
      <c r="I99" s="5">
        <v>29.16</v>
      </c>
      <c r="J99" s="5">
        <f t="shared" si="2"/>
        <v>466.56</v>
      </c>
    </row>
    <row r="100" spans="1:10" x14ac:dyDescent="0.25">
      <c r="A100" s="9">
        <v>943</v>
      </c>
      <c r="B100" s="5" t="s">
        <v>592</v>
      </c>
      <c r="C100" s="5" t="s">
        <v>593</v>
      </c>
      <c r="D100" s="5" t="s">
        <v>1618</v>
      </c>
      <c r="E100" s="6">
        <v>90189084</v>
      </c>
      <c r="F100" s="6">
        <v>8</v>
      </c>
      <c r="G100" s="6">
        <f t="shared" si="3"/>
        <v>1</v>
      </c>
      <c r="H100" s="6" t="s">
        <v>1622</v>
      </c>
      <c r="I100" s="5">
        <v>29.16</v>
      </c>
      <c r="J100" s="5">
        <f t="shared" si="2"/>
        <v>233.28</v>
      </c>
    </row>
    <row r="101" spans="1:10" x14ac:dyDescent="0.25">
      <c r="A101" s="9">
        <v>944</v>
      </c>
      <c r="B101" s="5" t="s">
        <v>594</v>
      </c>
      <c r="C101" s="5" t="s">
        <v>595</v>
      </c>
      <c r="D101" s="5" t="s">
        <v>1618</v>
      </c>
      <c r="E101" s="6">
        <v>90189084</v>
      </c>
      <c r="F101" s="6">
        <v>16</v>
      </c>
      <c r="G101" s="6">
        <f t="shared" si="3"/>
        <v>2</v>
      </c>
      <c r="H101" s="6" t="s">
        <v>1622</v>
      </c>
      <c r="I101" s="5">
        <v>119.23</v>
      </c>
      <c r="J101" s="5">
        <f t="shared" ref="J101:J113" si="4">F101*I101</f>
        <v>1907.68</v>
      </c>
    </row>
    <row r="102" spans="1:10" x14ac:dyDescent="0.25">
      <c r="A102" s="9">
        <v>945</v>
      </c>
      <c r="B102" s="5" t="s">
        <v>596</v>
      </c>
      <c r="C102" s="5" t="s">
        <v>597</v>
      </c>
      <c r="D102" s="5" t="s">
        <v>1618</v>
      </c>
      <c r="E102" s="6">
        <v>90189084</v>
      </c>
      <c r="F102" s="6">
        <v>8</v>
      </c>
      <c r="G102" s="6">
        <f t="shared" si="3"/>
        <v>1</v>
      </c>
      <c r="H102" s="6" t="s">
        <v>1622</v>
      </c>
      <c r="I102" s="5">
        <v>174.1</v>
      </c>
      <c r="J102" s="5">
        <f t="shared" si="4"/>
        <v>1392.8</v>
      </c>
    </row>
    <row r="103" spans="1:10" x14ac:dyDescent="0.25">
      <c r="A103" s="9">
        <v>946</v>
      </c>
      <c r="B103" s="5" t="s">
        <v>280</v>
      </c>
      <c r="C103" s="5" t="s">
        <v>281</v>
      </c>
      <c r="D103" s="5" t="s">
        <v>1618</v>
      </c>
      <c r="E103" s="6">
        <v>90189084</v>
      </c>
      <c r="F103" s="6">
        <v>8</v>
      </c>
      <c r="G103" s="6">
        <f t="shared" si="3"/>
        <v>1</v>
      </c>
      <c r="H103" s="6" t="s">
        <v>1622</v>
      </c>
      <c r="I103" s="5">
        <v>261.18</v>
      </c>
      <c r="J103" s="5">
        <f t="shared" si="4"/>
        <v>2089.44</v>
      </c>
    </row>
    <row r="104" spans="1:10" x14ac:dyDescent="0.25">
      <c r="A104" s="9">
        <v>947</v>
      </c>
      <c r="B104" s="5" t="s">
        <v>282</v>
      </c>
      <c r="C104" s="5" t="s">
        <v>283</v>
      </c>
      <c r="D104" s="5" t="s">
        <v>1618</v>
      </c>
      <c r="E104" s="6">
        <v>90189084</v>
      </c>
      <c r="F104" s="6">
        <v>8</v>
      </c>
      <c r="G104" s="6">
        <f t="shared" si="3"/>
        <v>1</v>
      </c>
      <c r="H104" s="6" t="s">
        <v>1622</v>
      </c>
      <c r="I104" s="5">
        <v>257.58</v>
      </c>
      <c r="J104" s="5">
        <f t="shared" si="4"/>
        <v>2060.64</v>
      </c>
    </row>
    <row r="105" spans="1:10" x14ac:dyDescent="0.25">
      <c r="A105" s="9">
        <v>948</v>
      </c>
      <c r="B105" s="5" t="s">
        <v>132</v>
      </c>
      <c r="C105" s="5" t="s">
        <v>133</v>
      </c>
      <c r="D105" s="5" t="s">
        <v>1618</v>
      </c>
      <c r="E105" s="6">
        <v>73269098</v>
      </c>
      <c r="F105" s="6">
        <v>8</v>
      </c>
      <c r="G105" s="6">
        <f t="shared" si="3"/>
        <v>1</v>
      </c>
      <c r="H105" s="6" t="s">
        <v>1622</v>
      </c>
      <c r="I105" s="5">
        <v>87.92</v>
      </c>
      <c r="J105" s="5">
        <f t="shared" si="4"/>
        <v>703.36</v>
      </c>
    </row>
    <row r="106" spans="1:10" x14ac:dyDescent="0.25">
      <c r="A106" s="9">
        <v>949</v>
      </c>
      <c r="B106" s="5" t="s">
        <v>134</v>
      </c>
      <c r="C106" s="5" t="s">
        <v>135</v>
      </c>
      <c r="D106" s="5" t="s">
        <v>1618</v>
      </c>
      <c r="E106" s="6">
        <v>73269098</v>
      </c>
      <c r="F106" s="6">
        <v>8</v>
      </c>
      <c r="G106" s="6">
        <f t="shared" si="3"/>
        <v>1</v>
      </c>
      <c r="H106" s="6" t="s">
        <v>1622</v>
      </c>
      <c r="I106" s="5">
        <v>63.07</v>
      </c>
      <c r="J106" s="5">
        <f t="shared" si="4"/>
        <v>504.56</v>
      </c>
    </row>
    <row r="107" spans="1:10" x14ac:dyDescent="0.25">
      <c r="A107" s="9">
        <v>950</v>
      </c>
      <c r="B107" s="5" t="s">
        <v>468</v>
      </c>
      <c r="C107" s="5" t="s">
        <v>469</v>
      </c>
      <c r="D107" s="5" t="s">
        <v>1618</v>
      </c>
      <c r="E107" s="6">
        <v>39269097</v>
      </c>
      <c r="F107" s="6">
        <v>8</v>
      </c>
      <c r="G107" s="6">
        <f t="shared" si="3"/>
        <v>1</v>
      </c>
      <c r="H107" s="6" t="s">
        <v>1622</v>
      </c>
      <c r="I107" s="5">
        <v>34.700000000000003</v>
      </c>
      <c r="J107" s="5">
        <f t="shared" si="4"/>
        <v>277.60000000000002</v>
      </c>
    </row>
    <row r="108" spans="1:10" x14ac:dyDescent="0.25">
      <c r="A108" s="9">
        <v>951</v>
      </c>
      <c r="B108" s="5" t="s">
        <v>132</v>
      </c>
      <c r="C108" s="5" t="s">
        <v>133</v>
      </c>
      <c r="D108" s="5" t="s">
        <v>1618</v>
      </c>
      <c r="E108" s="6">
        <v>73269098</v>
      </c>
      <c r="F108" s="6">
        <v>8</v>
      </c>
      <c r="G108" s="6">
        <f t="shared" si="3"/>
        <v>1</v>
      </c>
      <c r="H108" s="6" t="s">
        <v>1622</v>
      </c>
      <c r="I108" s="5">
        <v>87.92</v>
      </c>
      <c r="J108" s="5">
        <f t="shared" si="4"/>
        <v>703.36</v>
      </c>
    </row>
    <row r="109" spans="1:10" x14ac:dyDescent="0.25">
      <c r="A109" s="9">
        <v>952</v>
      </c>
      <c r="B109" s="5" t="s">
        <v>134</v>
      </c>
      <c r="C109" s="5" t="s">
        <v>135</v>
      </c>
      <c r="D109" s="5" t="s">
        <v>1618</v>
      </c>
      <c r="E109" s="6">
        <v>73269098</v>
      </c>
      <c r="F109" s="6">
        <v>8</v>
      </c>
      <c r="G109" s="6">
        <f t="shared" si="3"/>
        <v>1</v>
      </c>
      <c r="H109" s="6" t="s">
        <v>1622</v>
      </c>
      <c r="I109" s="5">
        <v>63.07</v>
      </c>
      <c r="J109" s="5">
        <f t="shared" si="4"/>
        <v>504.56</v>
      </c>
    </row>
    <row r="110" spans="1:10" x14ac:dyDescent="0.25">
      <c r="A110" s="9">
        <v>953</v>
      </c>
      <c r="B110" s="5" t="s">
        <v>468</v>
      </c>
      <c r="C110" s="5" t="s">
        <v>469</v>
      </c>
      <c r="D110" s="5" t="s">
        <v>1618</v>
      </c>
      <c r="E110" s="6">
        <v>39269097</v>
      </c>
      <c r="F110" s="6">
        <v>8</v>
      </c>
      <c r="G110" s="6">
        <f t="shared" si="3"/>
        <v>1</v>
      </c>
      <c r="H110" s="6" t="s">
        <v>1622</v>
      </c>
      <c r="I110" s="5">
        <v>34.700000000000003</v>
      </c>
      <c r="J110" s="5">
        <f t="shared" si="4"/>
        <v>277.60000000000002</v>
      </c>
    </row>
    <row r="111" spans="1:10" x14ac:dyDescent="0.25">
      <c r="A111" s="9">
        <v>954</v>
      </c>
      <c r="B111" s="5" t="s">
        <v>598</v>
      </c>
      <c r="C111" s="5" t="s">
        <v>599</v>
      </c>
      <c r="D111" s="5" t="s">
        <v>1618</v>
      </c>
      <c r="E111" s="6">
        <v>73269098</v>
      </c>
      <c r="F111" s="6">
        <v>8</v>
      </c>
      <c r="G111" s="6">
        <f t="shared" si="3"/>
        <v>1</v>
      </c>
      <c r="H111" s="6" t="s">
        <v>1622</v>
      </c>
      <c r="I111" s="5">
        <v>113.14</v>
      </c>
      <c r="J111" s="5">
        <f t="shared" si="4"/>
        <v>905.12</v>
      </c>
    </row>
    <row r="112" spans="1:10" x14ac:dyDescent="0.25">
      <c r="A112" s="9">
        <v>955</v>
      </c>
      <c r="B112" s="5" t="s">
        <v>600</v>
      </c>
      <c r="C112" s="5" t="s">
        <v>601</v>
      </c>
      <c r="D112" s="5" t="s">
        <v>1618</v>
      </c>
      <c r="E112" s="6">
        <v>73269098</v>
      </c>
      <c r="F112" s="6">
        <v>8</v>
      </c>
      <c r="G112" s="6">
        <f t="shared" si="3"/>
        <v>1</v>
      </c>
      <c r="H112" s="6" t="s">
        <v>1622</v>
      </c>
      <c r="I112" s="5">
        <v>57.27</v>
      </c>
      <c r="J112" s="5">
        <f t="shared" si="4"/>
        <v>458.16</v>
      </c>
    </row>
    <row r="113" spans="1:10" x14ac:dyDescent="0.25">
      <c r="A113" s="9">
        <v>956</v>
      </c>
      <c r="B113" s="5" t="s">
        <v>602</v>
      </c>
      <c r="C113" s="5" t="s">
        <v>603</v>
      </c>
      <c r="D113" s="5" t="s">
        <v>1618</v>
      </c>
      <c r="E113" s="6">
        <v>39269097</v>
      </c>
      <c r="F113" s="6">
        <v>8</v>
      </c>
      <c r="G113" s="6">
        <f t="shared" si="3"/>
        <v>1</v>
      </c>
      <c r="H113" s="6" t="s">
        <v>1622</v>
      </c>
      <c r="I113" s="5">
        <v>18.41</v>
      </c>
      <c r="J113" s="5">
        <f t="shared" si="4"/>
        <v>147.28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9242-CF10-4C1F-8DCE-B21BECB74EBA}">
  <dimension ref="A1:K103"/>
  <sheetViews>
    <sheetView workbookViewId="0">
      <selection activeCell="G3" sqref="G3:G103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1681</v>
      </c>
      <c r="D2" s="11"/>
      <c r="E2" s="12"/>
      <c r="F2" s="12">
        <v>12</v>
      </c>
      <c r="G2" s="12"/>
      <c r="H2" s="12"/>
      <c r="I2" s="2"/>
      <c r="J2" s="13"/>
    </row>
    <row r="3" spans="1:10" x14ac:dyDescent="0.25">
      <c r="A3" s="9">
        <v>957</v>
      </c>
      <c r="B3" s="5" t="s">
        <v>136</v>
      </c>
      <c r="C3" s="5" t="s">
        <v>137</v>
      </c>
      <c r="D3" s="5" t="s">
        <v>1618</v>
      </c>
      <c r="E3" s="6">
        <v>90189084</v>
      </c>
      <c r="F3" s="6">
        <v>24</v>
      </c>
      <c r="G3" s="6">
        <f>F3/$F$2</f>
        <v>2</v>
      </c>
      <c r="H3" s="6" t="s">
        <v>1622</v>
      </c>
      <c r="I3" s="5">
        <v>3.69</v>
      </c>
      <c r="J3" s="5">
        <f t="shared" ref="J3:J52" si="0">F3*I3</f>
        <v>88.56</v>
      </c>
    </row>
    <row r="4" spans="1:10" x14ac:dyDescent="0.25">
      <c r="A4" s="9">
        <v>958</v>
      </c>
      <c r="B4" s="5" t="s">
        <v>138</v>
      </c>
      <c r="C4" s="5" t="s">
        <v>139</v>
      </c>
      <c r="D4" s="5" t="s">
        <v>1618</v>
      </c>
      <c r="E4" s="6">
        <v>90189084</v>
      </c>
      <c r="F4" s="6">
        <v>12</v>
      </c>
      <c r="G4" s="6">
        <f t="shared" ref="G4:G67" si="1">F4/$F$2</f>
        <v>1</v>
      </c>
      <c r="H4" s="6" t="s">
        <v>1622</v>
      </c>
      <c r="I4" s="5">
        <v>7.79</v>
      </c>
      <c r="J4" s="5">
        <f t="shared" si="0"/>
        <v>93.48</v>
      </c>
    </row>
    <row r="5" spans="1:10" x14ac:dyDescent="0.25">
      <c r="A5" s="9">
        <v>959</v>
      </c>
      <c r="B5" s="5" t="s">
        <v>140</v>
      </c>
      <c r="C5" s="5" t="s">
        <v>141</v>
      </c>
      <c r="D5" s="5" t="s">
        <v>1618</v>
      </c>
      <c r="E5" s="6">
        <v>90189084</v>
      </c>
      <c r="F5" s="6">
        <v>12</v>
      </c>
      <c r="G5" s="6">
        <f t="shared" si="1"/>
        <v>1</v>
      </c>
      <c r="H5" s="6" t="s">
        <v>1622</v>
      </c>
      <c r="I5" s="5">
        <v>8.52</v>
      </c>
      <c r="J5" s="5">
        <f t="shared" si="0"/>
        <v>102.24</v>
      </c>
    </row>
    <row r="6" spans="1:10" x14ac:dyDescent="0.25">
      <c r="A6" s="9">
        <v>960</v>
      </c>
      <c r="B6" s="5" t="s">
        <v>142</v>
      </c>
      <c r="C6" s="5" t="s">
        <v>143</v>
      </c>
      <c r="D6" s="5" t="s">
        <v>1618</v>
      </c>
      <c r="E6" s="6">
        <v>90189084</v>
      </c>
      <c r="F6" s="6">
        <v>12</v>
      </c>
      <c r="G6" s="6">
        <f t="shared" si="1"/>
        <v>1</v>
      </c>
      <c r="H6" s="6" t="s">
        <v>1622</v>
      </c>
      <c r="I6" s="5">
        <v>54.44</v>
      </c>
      <c r="J6" s="5">
        <f t="shared" si="0"/>
        <v>653.28</v>
      </c>
    </row>
    <row r="7" spans="1:10" x14ac:dyDescent="0.25">
      <c r="A7" s="9">
        <v>961</v>
      </c>
      <c r="B7" s="5" t="s">
        <v>144</v>
      </c>
      <c r="C7" s="5" t="s">
        <v>145</v>
      </c>
      <c r="D7" s="5" t="s">
        <v>1619</v>
      </c>
      <c r="E7" s="6">
        <v>90189084</v>
      </c>
      <c r="F7" s="6">
        <v>24</v>
      </c>
      <c r="G7" s="6">
        <f t="shared" si="1"/>
        <v>2</v>
      </c>
      <c r="H7" s="6" t="s">
        <v>1622</v>
      </c>
      <c r="I7" s="5">
        <v>16.43</v>
      </c>
      <c r="J7" s="5">
        <f t="shared" si="0"/>
        <v>394.32</v>
      </c>
    </row>
    <row r="8" spans="1:10" x14ac:dyDescent="0.25">
      <c r="A8" s="9">
        <v>962</v>
      </c>
      <c r="B8" s="5" t="s">
        <v>146</v>
      </c>
      <c r="C8" s="5" t="s">
        <v>147</v>
      </c>
      <c r="D8" s="5" t="s">
        <v>1618</v>
      </c>
      <c r="E8" s="6">
        <v>90189084</v>
      </c>
      <c r="F8" s="6">
        <v>120</v>
      </c>
      <c r="G8" s="6">
        <f t="shared" si="1"/>
        <v>10</v>
      </c>
      <c r="H8" s="6" t="s">
        <v>1622</v>
      </c>
      <c r="I8" s="5">
        <v>5.47</v>
      </c>
      <c r="J8" s="5">
        <f t="shared" si="0"/>
        <v>656.4</v>
      </c>
    </row>
    <row r="9" spans="1:10" x14ac:dyDescent="0.25">
      <c r="A9" s="9">
        <v>963</v>
      </c>
      <c r="B9" s="5" t="s">
        <v>148</v>
      </c>
      <c r="C9" s="5" t="s">
        <v>149</v>
      </c>
      <c r="D9" s="5" t="s">
        <v>1618</v>
      </c>
      <c r="E9" s="6">
        <v>90189084</v>
      </c>
      <c r="F9" s="6">
        <v>24</v>
      </c>
      <c r="G9" s="6">
        <f t="shared" si="1"/>
        <v>2</v>
      </c>
      <c r="H9" s="6" t="s">
        <v>1622</v>
      </c>
      <c r="I9" s="5">
        <v>38.51</v>
      </c>
      <c r="J9" s="5">
        <f t="shared" si="0"/>
        <v>924.24</v>
      </c>
    </row>
    <row r="10" spans="1:10" x14ac:dyDescent="0.25">
      <c r="A10" s="9">
        <v>964</v>
      </c>
      <c r="B10" s="5" t="s">
        <v>150</v>
      </c>
      <c r="C10" s="5" t="s">
        <v>151</v>
      </c>
      <c r="D10" s="5" t="s">
        <v>1619</v>
      </c>
      <c r="E10" s="6">
        <v>90189084</v>
      </c>
      <c r="F10" s="6">
        <v>12</v>
      </c>
      <c r="G10" s="6">
        <f t="shared" si="1"/>
        <v>1</v>
      </c>
      <c r="H10" s="6" t="s">
        <v>1622</v>
      </c>
      <c r="I10" s="5">
        <v>58.09</v>
      </c>
      <c r="J10" s="5">
        <f t="shared" si="0"/>
        <v>697.08</v>
      </c>
    </row>
    <row r="11" spans="1:10" x14ac:dyDescent="0.25">
      <c r="A11" s="9">
        <v>965</v>
      </c>
      <c r="B11" s="5" t="s">
        <v>152</v>
      </c>
      <c r="C11" s="5" t="s">
        <v>153</v>
      </c>
      <c r="D11" s="5" t="s">
        <v>1618</v>
      </c>
      <c r="E11" s="6">
        <v>90189084</v>
      </c>
      <c r="F11" s="6">
        <v>24</v>
      </c>
      <c r="G11" s="6">
        <f t="shared" si="1"/>
        <v>2</v>
      </c>
      <c r="H11" s="6" t="s">
        <v>1622</v>
      </c>
      <c r="I11" s="5">
        <v>50.36</v>
      </c>
      <c r="J11" s="5">
        <f t="shared" si="0"/>
        <v>1208.6399999999999</v>
      </c>
    </row>
    <row r="12" spans="1:10" x14ac:dyDescent="0.25">
      <c r="A12" s="9">
        <v>966</v>
      </c>
      <c r="B12" s="5" t="s">
        <v>154</v>
      </c>
      <c r="C12" s="5" t="s">
        <v>155</v>
      </c>
      <c r="D12" s="5" t="s">
        <v>1618</v>
      </c>
      <c r="E12" s="6">
        <v>90189084</v>
      </c>
      <c r="F12" s="6">
        <v>24</v>
      </c>
      <c r="G12" s="6">
        <f t="shared" si="1"/>
        <v>2</v>
      </c>
      <c r="H12" s="6" t="s">
        <v>1622</v>
      </c>
      <c r="I12" s="5">
        <v>98.57</v>
      </c>
      <c r="J12" s="5">
        <f t="shared" si="0"/>
        <v>2365.6799999999998</v>
      </c>
    </row>
    <row r="13" spans="1:10" x14ac:dyDescent="0.25">
      <c r="A13" s="9">
        <v>967</v>
      </c>
      <c r="B13" s="5" t="s">
        <v>156</v>
      </c>
      <c r="C13" s="5" t="s">
        <v>157</v>
      </c>
      <c r="D13" s="5" t="s">
        <v>1618</v>
      </c>
      <c r="E13" s="6">
        <v>90189084</v>
      </c>
      <c r="F13" s="6">
        <v>24</v>
      </c>
      <c r="G13" s="6">
        <f t="shared" si="1"/>
        <v>2</v>
      </c>
      <c r="H13" s="6" t="s">
        <v>1622</v>
      </c>
      <c r="I13" s="5">
        <v>26.51</v>
      </c>
      <c r="J13" s="5">
        <f t="shared" si="0"/>
        <v>636.24</v>
      </c>
    </row>
    <row r="14" spans="1:10" x14ac:dyDescent="0.25">
      <c r="A14" s="9">
        <v>968</v>
      </c>
      <c r="B14" s="5" t="s">
        <v>158</v>
      </c>
      <c r="C14" s="5" t="s">
        <v>159</v>
      </c>
      <c r="D14" s="5" t="s">
        <v>1619</v>
      </c>
      <c r="E14" s="6">
        <v>90189084</v>
      </c>
      <c r="F14" s="6">
        <v>12</v>
      </c>
      <c r="G14" s="6">
        <f t="shared" si="1"/>
        <v>1</v>
      </c>
      <c r="H14" s="6" t="s">
        <v>1622</v>
      </c>
      <c r="I14" s="5">
        <v>20.63</v>
      </c>
      <c r="J14" s="5">
        <f t="shared" si="0"/>
        <v>247.56</v>
      </c>
    </row>
    <row r="15" spans="1:10" x14ac:dyDescent="0.25">
      <c r="A15" s="9">
        <v>969</v>
      </c>
      <c r="B15" s="5" t="s">
        <v>160</v>
      </c>
      <c r="C15" s="5" t="s">
        <v>161</v>
      </c>
      <c r="D15" s="5" t="s">
        <v>1618</v>
      </c>
      <c r="E15" s="6">
        <v>90189084</v>
      </c>
      <c r="F15" s="6">
        <v>12</v>
      </c>
      <c r="G15" s="6">
        <f t="shared" si="1"/>
        <v>1</v>
      </c>
      <c r="H15" s="6" t="s">
        <v>1622</v>
      </c>
      <c r="I15" s="5">
        <v>51.44</v>
      </c>
      <c r="J15" s="5">
        <f t="shared" si="0"/>
        <v>617.28</v>
      </c>
    </row>
    <row r="16" spans="1:10" x14ac:dyDescent="0.25">
      <c r="A16" s="9">
        <v>970</v>
      </c>
      <c r="B16" s="5" t="s">
        <v>162</v>
      </c>
      <c r="C16" s="5" t="s">
        <v>163</v>
      </c>
      <c r="D16" s="5" t="s">
        <v>1619</v>
      </c>
      <c r="E16" s="6">
        <v>90189084</v>
      </c>
      <c r="F16" s="6">
        <v>24</v>
      </c>
      <c r="G16" s="6">
        <f t="shared" si="1"/>
        <v>2</v>
      </c>
      <c r="H16" s="6" t="s">
        <v>1622</v>
      </c>
      <c r="I16" s="5">
        <v>21.58</v>
      </c>
      <c r="J16" s="5">
        <f t="shared" si="0"/>
        <v>517.91999999999996</v>
      </c>
    </row>
    <row r="17" spans="1:10" x14ac:dyDescent="0.25">
      <c r="A17" s="9">
        <v>971</v>
      </c>
      <c r="B17" s="5" t="s">
        <v>102</v>
      </c>
      <c r="C17" s="5" t="s">
        <v>103</v>
      </c>
      <c r="D17" s="5" t="s">
        <v>1619</v>
      </c>
      <c r="E17" s="6">
        <v>90189084</v>
      </c>
      <c r="F17" s="6">
        <v>24</v>
      </c>
      <c r="G17" s="6">
        <f t="shared" si="1"/>
        <v>2</v>
      </c>
      <c r="H17" s="6" t="s">
        <v>1622</v>
      </c>
      <c r="I17" s="5">
        <v>16.07</v>
      </c>
      <c r="J17" s="5">
        <f t="shared" si="0"/>
        <v>385.68</v>
      </c>
    </row>
    <row r="18" spans="1:10" x14ac:dyDescent="0.25">
      <c r="A18" s="9">
        <v>972</v>
      </c>
      <c r="B18" s="5" t="s">
        <v>164</v>
      </c>
      <c r="C18" s="5" t="s">
        <v>165</v>
      </c>
      <c r="D18" s="5" t="s">
        <v>1619</v>
      </c>
      <c r="E18" s="6">
        <v>90189084</v>
      </c>
      <c r="F18" s="6">
        <v>60</v>
      </c>
      <c r="G18" s="6">
        <f t="shared" si="1"/>
        <v>5</v>
      </c>
      <c r="H18" s="6" t="s">
        <v>1622</v>
      </c>
      <c r="I18" s="5">
        <v>12.33</v>
      </c>
      <c r="J18" s="5">
        <f t="shared" si="0"/>
        <v>739.8</v>
      </c>
    </row>
    <row r="19" spans="1:10" x14ac:dyDescent="0.25">
      <c r="A19" s="9">
        <v>973</v>
      </c>
      <c r="B19" s="5" t="s">
        <v>166</v>
      </c>
      <c r="C19" s="5" t="s">
        <v>167</v>
      </c>
      <c r="D19" s="5" t="s">
        <v>1619</v>
      </c>
      <c r="E19" s="6">
        <v>90189084</v>
      </c>
      <c r="F19" s="6">
        <v>60</v>
      </c>
      <c r="G19" s="6">
        <f t="shared" si="1"/>
        <v>5</v>
      </c>
      <c r="H19" s="6" t="s">
        <v>1622</v>
      </c>
      <c r="I19" s="5">
        <v>26.94</v>
      </c>
      <c r="J19" s="5">
        <f t="shared" si="0"/>
        <v>1616.4</v>
      </c>
    </row>
    <row r="20" spans="1:10" x14ac:dyDescent="0.25">
      <c r="A20" s="9">
        <v>974</v>
      </c>
      <c r="B20" s="5" t="s">
        <v>168</v>
      </c>
      <c r="C20" s="5" t="s">
        <v>169</v>
      </c>
      <c r="D20" s="5" t="s">
        <v>1619</v>
      </c>
      <c r="E20" s="6">
        <v>90189084</v>
      </c>
      <c r="F20" s="6">
        <v>60</v>
      </c>
      <c r="G20" s="6">
        <f t="shared" si="1"/>
        <v>5</v>
      </c>
      <c r="H20" s="6" t="s">
        <v>1622</v>
      </c>
      <c r="I20" s="5">
        <v>11.9</v>
      </c>
      <c r="J20" s="5">
        <f t="shared" si="0"/>
        <v>714</v>
      </c>
    </row>
    <row r="21" spans="1:10" x14ac:dyDescent="0.25">
      <c r="A21" s="9">
        <v>975</v>
      </c>
      <c r="B21" s="5" t="s">
        <v>170</v>
      </c>
      <c r="C21" s="5" t="s">
        <v>171</v>
      </c>
      <c r="D21" s="5" t="s">
        <v>1619</v>
      </c>
      <c r="E21" s="6">
        <v>90189084</v>
      </c>
      <c r="F21" s="6">
        <v>60</v>
      </c>
      <c r="G21" s="6">
        <f t="shared" si="1"/>
        <v>5</v>
      </c>
      <c r="H21" s="6" t="s">
        <v>1622</v>
      </c>
      <c r="I21" s="5">
        <v>12.82</v>
      </c>
      <c r="J21" s="5">
        <f t="shared" si="0"/>
        <v>769.2</v>
      </c>
    </row>
    <row r="22" spans="1:10" x14ac:dyDescent="0.25">
      <c r="A22" s="9">
        <v>976</v>
      </c>
      <c r="B22" s="5" t="s">
        <v>38</v>
      </c>
      <c r="C22" s="5" t="s">
        <v>39</v>
      </c>
      <c r="D22" s="5" t="s">
        <v>1619</v>
      </c>
      <c r="E22" s="6">
        <v>90189084</v>
      </c>
      <c r="F22" s="6">
        <v>120</v>
      </c>
      <c r="G22" s="6">
        <f t="shared" si="1"/>
        <v>10</v>
      </c>
      <c r="H22" s="6" t="s">
        <v>1622</v>
      </c>
      <c r="I22" s="5">
        <v>13.01</v>
      </c>
      <c r="J22" s="5">
        <f t="shared" si="0"/>
        <v>1561.2</v>
      </c>
    </row>
    <row r="23" spans="1:10" x14ac:dyDescent="0.25">
      <c r="A23" s="9">
        <v>977</v>
      </c>
      <c r="B23" s="5" t="s">
        <v>172</v>
      </c>
      <c r="C23" s="5" t="s">
        <v>173</v>
      </c>
      <c r="D23" s="5" t="s">
        <v>1618</v>
      </c>
      <c r="E23" s="6">
        <v>90189084</v>
      </c>
      <c r="F23" s="6">
        <v>24</v>
      </c>
      <c r="G23" s="6">
        <f t="shared" si="1"/>
        <v>2</v>
      </c>
      <c r="H23" s="6" t="s">
        <v>1622</v>
      </c>
      <c r="I23" s="5">
        <v>26.32</v>
      </c>
      <c r="J23" s="5">
        <f t="shared" si="0"/>
        <v>631.68000000000006</v>
      </c>
    </row>
    <row r="24" spans="1:10" x14ac:dyDescent="0.25">
      <c r="A24" s="9">
        <v>978</v>
      </c>
      <c r="B24" s="5" t="s">
        <v>174</v>
      </c>
      <c r="C24" s="5" t="s">
        <v>175</v>
      </c>
      <c r="D24" s="5" t="s">
        <v>1618</v>
      </c>
      <c r="E24" s="6">
        <v>90189084</v>
      </c>
      <c r="F24" s="6">
        <v>12</v>
      </c>
      <c r="G24" s="6">
        <f t="shared" si="1"/>
        <v>1</v>
      </c>
      <c r="H24" s="6" t="s">
        <v>1622</v>
      </c>
      <c r="I24" s="5">
        <v>11.01</v>
      </c>
      <c r="J24" s="5">
        <f t="shared" si="0"/>
        <v>132.12</v>
      </c>
    </row>
    <row r="25" spans="1:10" x14ac:dyDescent="0.25">
      <c r="A25" s="9">
        <v>979</v>
      </c>
      <c r="B25" s="5" t="s">
        <v>176</v>
      </c>
      <c r="C25" s="5" t="s">
        <v>177</v>
      </c>
      <c r="D25" s="5" t="s">
        <v>1618</v>
      </c>
      <c r="E25" s="6">
        <v>90189084</v>
      </c>
      <c r="F25" s="6">
        <v>12</v>
      </c>
      <c r="G25" s="6">
        <f t="shared" si="1"/>
        <v>1</v>
      </c>
      <c r="H25" s="6" t="s">
        <v>1622</v>
      </c>
      <c r="I25" s="5">
        <v>11.61</v>
      </c>
      <c r="J25" s="5">
        <f t="shared" si="0"/>
        <v>139.32</v>
      </c>
    </row>
    <row r="26" spans="1:10" x14ac:dyDescent="0.25">
      <c r="A26" s="9">
        <v>980</v>
      </c>
      <c r="B26" s="5" t="s">
        <v>178</v>
      </c>
      <c r="C26" s="5" t="s">
        <v>179</v>
      </c>
      <c r="D26" s="5" t="s">
        <v>1618</v>
      </c>
      <c r="E26" s="6">
        <v>90189084</v>
      </c>
      <c r="F26" s="6">
        <v>24</v>
      </c>
      <c r="G26" s="6">
        <f t="shared" si="1"/>
        <v>2</v>
      </c>
      <c r="H26" s="6" t="s">
        <v>1622</v>
      </c>
      <c r="I26" s="5">
        <v>12.97</v>
      </c>
      <c r="J26" s="5">
        <f t="shared" si="0"/>
        <v>311.28000000000003</v>
      </c>
    </row>
    <row r="27" spans="1:10" x14ac:dyDescent="0.25">
      <c r="A27" s="9">
        <v>981</v>
      </c>
      <c r="B27" s="5" t="s">
        <v>180</v>
      </c>
      <c r="C27" s="5" t="s">
        <v>181</v>
      </c>
      <c r="D27" s="5" t="s">
        <v>1618</v>
      </c>
      <c r="E27" s="6">
        <v>90189084</v>
      </c>
      <c r="F27" s="6">
        <v>12</v>
      </c>
      <c r="G27" s="6">
        <f t="shared" si="1"/>
        <v>1</v>
      </c>
      <c r="H27" s="6" t="s">
        <v>1622</v>
      </c>
      <c r="I27" s="5">
        <v>27.43</v>
      </c>
      <c r="J27" s="5">
        <f t="shared" si="0"/>
        <v>329.15999999999997</v>
      </c>
    </row>
    <row r="28" spans="1:10" x14ac:dyDescent="0.25">
      <c r="A28" s="9">
        <v>982</v>
      </c>
      <c r="B28" s="5" t="s">
        <v>182</v>
      </c>
      <c r="C28" s="5" t="s">
        <v>183</v>
      </c>
      <c r="D28" s="5" t="s">
        <v>1618</v>
      </c>
      <c r="E28" s="6">
        <v>90189084</v>
      </c>
      <c r="F28" s="6">
        <v>12</v>
      </c>
      <c r="G28" s="6">
        <f t="shared" si="1"/>
        <v>1</v>
      </c>
      <c r="H28" s="6" t="s">
        <v>1622</v>
      </c>
      <c r="I28" s="5">
        <v>15.41</v>
      </c>
      <c r="J28" s="5">
        <f t="shared" si="0"/>
        <v>184.92000000000002</v>
      </c>
    </row>
    <row r="29" spans="1:10" x14ac:dyDescent="0.25">
      <c r="A29" s="9">
        <v>983</v>
      </c>
      <c r="B29" s="5" t="s">
        <v>184</v>
      </c>
      <c r="C29" s="5" t="s">
        <v>185</v>
      </c>
      <c r="D29" s="5" t="s">
        <v>1618</v>
      </c>
      <c r="E29" s="6">
        <v>90189084</v>
      </c>
      <c r="F29" s="6">
        <v>12</v>
      </c>
      <c r="G29" s="6">
        <f t="shared" si="1"/>
        <v>1</v>
      </c>
      <c r="H29" s="6" t="s">
        <v>1622</v>
      </c>
      <c r="I29" s="5">
        <v>16.98</v>
      </c>
      <c r="J29" s="5">
        <f t="shared" si="0"/>
        <v>203.76</v>
      </c>
    </row>
    <row r="30" spans="1:10" x14ac:dyDescent="0.25">
      <c r="A30" s="9">
        <v>984</v>
      </c>
      <c r="B30" s="5" t="s">
        <v>186</v>
      </c>
      <c r="C30" s="5" t="s">
        <v>187</v>
      </c>
      <c r="D30" s="5" t="s">
        <v>1618</v>
      </c>
      <c r="E30" s="6">
        <v>90189084</v>
      </c>
      <c r="F30" s="6">
        <v>12</v>
      </c>
      <c r="G30" s="6">
        <f t="shared" si="1"/>
        <v>1</v>
      </c>
      <c r="H30" s="6" t="s">
        <v>1622</v>
      </c>
      <c r="I30" s="5">
        <v>54.13</v>
      </c>
      <c r="J30" s="5">
        <f t="shared" si="0"/>
        <v>649.56000000000006</v>
      </c>
    </row>
    <row r="31" spans="1:10" x14ac:dyDescent="0.25">
      <c r="A31" s="9">
        <v>985</v>
      </c>
      <c r="B31" s="5" t="s">
        <v>188</v>
      </c>
      <c r="C31" s="5" t="s">
        <v>189</v>
      </c>
      <c r="D31" s="5" t="s">
        <v>1618</v>
      </c>
      <c r="E31" s="6">
        <v>90189084</v>
      </c>
      <c r="F31" s="6">
        <v>12</v>
      </c>
      <c r="G31" s="6">
        <f t="shared" si="1"/>
        <v>1</v>
      </c>
      <c r="H31" s="6" t="s">
        <v>1622</v>
      </c>
      <c r="I31" s="5">
        <v>39.72</v>
      </c>
      <c r="J31" s="5">
        <f t="shared" si="0"/>
        <v>476.64</v>
      </c>
    </row>
    <row r="32" spans="1:10" x14ac:dyDescent="0.25">
      <c r="A32" s="9">
        <v>986</v>
      </c>
      <c r="B32" s="5" t="s">
        <v>190</v>
      </c>
      <c r="C32" s="5" t="s">
        <v>191</v>
      </c>
      <c r="D32" s="5" t="s">
        <v>1618</v>
      </c>
      <c r="E32" s="6">
        <v>90189084</v>
      </c>
      <c r="F32" s="6">
        <v>12</v>
      </c>
      <c r="G32" s="6">
        <f t="shared" si="1"/>
        <v>1</v>
      </c>
      <c r="H32" s="6" t="s">
        <v>1622</v>
      </c>
      <c r="I32" s="5">
        <v>41.12</v>
      </c>
      <c r="J32" s="5">
        <f t="shared" si="0"/>
        <v>493.43999999999994</v>
      </c>
    </row>
    <row r="33" spans="1:10" x14ac:dyDescent="0.25">
      <c r="A33" s="9">
        <v>987</v>
      </c>
      <c r="B33" s="5" t="s">
        <v>192</v>
      </c>
      <c r="C33" s="5" t="s">
        <v>193</v>
      </c>
      <c r="D33" s="5" t="s">
        <v>1618</v>
      </c>
      <c r="E33" s="6">
        <v>90189084</v>
      </c>
      <c r="F33" s="6">
        <v>24</v>
      </c>
      <c r="G33" s="6">
        <f t="shared" si="1"/>
        <v>2</v>
      </c>
      <c r="H33" s="6" t="s">
        <v>1622</v>
      </c>
      <c r="I33" s="5">
        <v>39.46</v>
      </c>
      <c r="J33" s="5">
        <f t="shared" si="0"/>
        <v>947.04</v>
      </c>
    </row>
    <row r="34" spans="1:10" x14ac:dyDescent="0.25">
      <c r="A34" s="9">
        <v>988</v>
      </c>
      <c r="B34" s="5" t="s">
        <v>194</v>
      </c>
      <c r="C34" s="5" t="s">
        <v>195</v>
      </c>
      <c r="D34" s="5" t="s">
        <v>1618</v>
      </c>
      <c r="E34" s="6">
        <v>90189084</v>
      </c>
      <c r="F34" s="6">
        <v>24</v>
      </c>
      <c r="G34" s="6">
        <f t="shared" si="1"/>
        <v>2</v>
      </c>
      <c r="H34" s="6" t="s">
        <v>1622</v>
      </c>
      <c r="I34" s="5">
        <v>39.72</v>
      </c>
      <c r="J34" s="5">
        <f t="shared" si="0"/>
        <v>953.28</v>
      </c>
    </row>
    <row r="35" spans="1:10" x14ac:dyDescent="0.25">
      <c r="A35" s="9">
        <v>989</v>
      </c>
      <c r="B35" s="5" t="s">
        <v>196</v>
      </c>
      <c r="C35" s="5" t="s">
        <v>197</v>
      </c>
      <c r="D35" s="5" t="s">
        <v>1618</v>
      </c>
      <c r="E35" s="6">
        <v>90189084</v>
      </c>
      <c r="F35" s="6">
        <v>12</v>
      </c>
      <c r="G35" s="6">
        <f t="shared" si="1"/>
        <v>1</v>
      </c>
      <c r="H35" s="6" t="s">
        <v>1622</v>
      </c>
      <c r="I35" s="5">
        <v>39.67</v>
      </c>
      <c r="J35" s="5">
        <f t="shared" si="0"/>
        <v>476.04</v>
      </c>
    </row>
    <row r="36" spans="1:10" x14ac:dyDescent="0.25">
      <c r="A36" s="9">
        <v>990</v>
      </c>
      <c r="B36" s="5" t="s">
        <v>198</v>
      </c>
      <c r="C36" s="5" t="s">
        <v>199</v>
      </c>
      <c r="D36" s="5" t="s">
        <v>1618</v>
      </c>
      <c r="E36" s="6">
        <v>90189084</v>
      </c>
      <c r="F36" s="6">
        <v>12</v>
      </c>
      <c r="G36" s="6">
        <f t="shared" si="1"/>
        <v>1</v>
      </c>
      <c r="H36" s="6" t="s">
        <v>1622</v>
      </c>
      <c r="I36" s="5">
        <v>62.87</v>
      </c>
      <c r="J36" s="5">
        <f t="shared" si="0"/>
        <v>754.43999999999994</v>
      </c>
    </row>
    <row r="37" spans="1:10" x14ac:dyDescent="0.25">
      <c r="A37" s="9">
        <v>991</v>
      </c>
      <c r="B37" s="5" t="s">
        <v>200</v>
      </c>
      <c r="C37" s="5" t="s">
        <v>201</v>
      </c>
      <c r="D37" s="5" t="s">
        <v>1618</v>
      </c>
      <c r="E37" s="6">
        <v>90189084</v>
      </c>
      <c r="F37" s="6">
        <v>12</v>
      </c>
      <c r="G37" s="6">
        <f t="shared" si="1"/>
        <v>1</v>
      </c>
      <c r="H37" s="6" t="s">
        <v>1622</v>
      </c>
      <c r="I37" s="5">
        <v>30.86</v>
      </c>
      <c r="J37" s="5">
        <f t="shared" si="0"/>
        <v>370.32</v>
      </c>
    </row>
    <row r="38" spans="1:10" x14ac:dyDescent="0.25">
      <c r="A38" s="9">
        <v>992</v>
      </c>
      <c r="B38" s="5" t="s">
        <v>202</v>
      </c>
      <c r="C38" s="5" t="s">
        <v>203</v>
      </c>
      <c r="D38" s="5" t="s">
        <v>1618</v>
      </c>
      <c r="E38" s="6">
        <v>90189084</v>
      </c>
      <c r="F38" s="6">
        <v>24</v>
      </c>
      <c r="G38" s="6">
        <f t="shared" si="1"/>
        <v>2</v>
      </c>
      <c r="H38" s="6" t="s">
        <v>1622</v>
      </c>
      <c r="I38" s="5">
        <v>19.489999999999998</v>
      </c>
      <c r="J38" s="5">
        <f t="shared" si="0"/>
        <v>467.76</v>
      </c>
    </row>
    <row r="39" spans="1:10" x14ac:dyDescent="0.25">
      <c r="A39" s="9">
        <v>993</v>
      </c>
      <c r="B39" s="5" t="s">
        <v>204</v>
      </c>
      <c r="C39" s="5" t="s">
        <v>205</v>
      </c>
      <c r="D39" s="5" t="s">
        <v>1618</v>
      </c>
      <c r="E39" s="6">
        <v>90189084</v>
      </c>
      <c r="F39" s="6">
        <v>24</v>
      </c>
      <c r="G39" s="6">
        <f t="shared" si="1"/>
        <v>2</v>
      </c>
      <c r="H39" s="6" t="s">
        <v>1622</v>
      </c>
      <c r="I39" s="5">
        <v>20.82</v>
      </c>
      <c r="J39" s="5">
        <f t="shared" si="0"/>
        <v>499.68</v>
      </c>
    </row>
    <row r="40" spans="1:10" x14ac:dyDescent="0.25">
      <c r="A40" s="9">
        <v>994</v>
      </c>
      <c r="B40" s="5" t="s">
        <v>206</v>
      </c>
      <c r="C40" s="5" t="s">
        <v>207</v>
      </c>
      <c r="D40" s="5" t="s">
        <v>1618</v>
      </c>
      <c r="E40" s="6">
        <v>90189084</v>
      </c>
      <c r="F40" s="6">
        <v>24</v>
      </c>
      <c r="G40" s="6">
        <f t="shared" si="1"/>
        <v>2</v>
      </c>
      <c r="H40" s="6" t="s">
        <v>1622</v>
      </c>
      <c r="I40" s="5">
        <v>25.87</v>
      </c>
      <c r="J40" s="5">
        <f t="shared" si="0"/>
        <v>620.88</v>
      </c>
    </row>
    <row r="41" spans="1:10" x14ac:dyDescent="0.25">
      <c r="A41" s="9">
        <v>995</v>
      </c>
      <c r="B41" s="5" t="s">
        <v>208</v>
      </c>
      <c r="C41" s="5" t="s">
        <v>209</v>
      </c>
      <c r="D41" s="5" t="s">
        <v>1618</v>
      </c>
      <c r="E41" s="6">
        <v>90189084</v>
      </c>
      <c r="F41" s="6">
        <v>12</v>
      </c>
      <c r="G41" s="6">
        <f t="shared" si="1"/>
        <v>1</v>
      </c>
      <c r="H41" s="6" t="s">
        <v>1622</v>
      </c>
      <c r="I41" s="5">
        <v>25.87</v>
      </c>
      <c r="J41" s="5">
        <f t="shared" si="0"/>
        <v>310.44</v>
      </c>
    </row>
    <row r="42" spans="1:10" x14ac:dyDescent="0.25">
      <c r="A42" s="9">
        <v>996</v>
      </c>
      <c r="B42" s="5" t="s">
        <v>210</v>
      </c>
      <c r="C42" s="5" t="s">
        <v>211</v>
      </c>
      <c r="D42" s="5" t="s">
        <v>1618</v>
      </c>
      <c r="E42" s="6">
        <v>73269098</v>
      </c>
      <c r="F42" s="6">
        <v>24</v>
      </c>
      <c r="G42" s="6">
        <f t="shared" si="1"/>
        <v>2</v>
      </c>
      <c r="H42" s="6" t="s">
        <v>1622</v>
      </c>
      <c r="I42" s="5">
        <v>157.96</v>
      </c>
      <c r="J42" s="5">
        <f t="shared" si="0"/>
        <v>3791.04</v>
      </c>
    </row>
    <row r="43" spans="1:10" x14ac:dyDescent="0.25">
      <c r="A43" s="9">
        <v>997</v>
      </c>
      <c r="B43" s="5" t="s">
        <v>212</v>
      </c>
      <c r="C43" s="5" t="s">
        <v>213</v>
      </c>
      <c r="D43" s="5" t="s">
        <v>1618</v>
      </c>
      <c r="E43" s="6">
        <v>90189084</v>
      </c>
      <c r="F43" s="6">
        <v>48</v>
      </c>
      <c r="G43" s="6">
        <f t="shared" si="1"/>
        <v>4</v>
      </c>
      <c r="H43" s="6" t="s">
        <v>1622</v>
      </c>
      <c r="I43" s="5">
        <v>40.409999999999997</v>
      </c>
      <c r="J43" s="5">
        <f t="shared" si="0"/>
        <v>1939.6799999999998</v>
      </c>
    </row>
    <row r="44" spans="1:10" x14ac:dyDescent="0.25">
      <c r="A44" s="9">
        <v>998</v>
      </c>
      <c r="B44" s="5" t="s">
        <v>214</v>
      </c>
      <c r="C44" s="5" t="s">
        <v>215</v>
      </c>
      <c r="D44" s="5" t="s">
        <v>1618</v>
      </c>
      <c r="E44" s="6">
        <v>90189084</v>
      </c>
      <c r="F44" s="6">
        <v>24</v>
      </c>
      <c r="G44" s="6">
        <f t="shared" si="1"/>
        <v>2</v>
      </c>
      <c r="H44" s="6" t="s">
        <v>1622</v>
      </c>
      <c r="I44" s="5">
        <v>341.07</v>
      </c>
      <c r="J44" s="5">
        <f t="shared" si="0"/>
        <v>8185.68</v>
      </c>
    </row>
    <row r="45" spans="1:10" x14ac:dyDescent="0.25">
      <c r="A45" s="9">
        <v>999</v>
      </c>
      <c r="B45" s="5" t="s">
        <v>216</v>
      </c>
      <c r="C45" s="5" t="s">
        <v>217</v>
      </c>
      <c r="D45" s="5" t="s">
        <v>1618</v>
      </c>
      <c r="E45" s="6">
        <v>90189084</v>
      </c>
      <c r="F45" s="6">
        <v>24</v>
      </c>
      <c r="G45" s="6">
        <f t="shared" si="1"/>
        <v>2</v>
      </c>
      <c r="H45" s="6" t="s">
        <v>1622</v>
      </c>
      <c r="I45" s="5">
        <v>66.98</v>
      </c>
      <c r="J45" s="5">
        <f t="shared" si="0"/>
        <v>1607.52</v>
      </c>
    </row>
    <row r="46" spans="1:10" x14ac:dyDescent="0.25">
      <c r="A46" s="9">
        <v>1000</v>
      </c>
      <c r="B46" s="5" t="s">
        <v>218</v>
      </c>
      <c r="C46" s="5" t="s">
        <v>219</v>
      </c>
      <c r="D46" s="5" t="s">
        <v>1618</v>
      </c>
      <c r="E46" s="6">
        <v>90189084</v>
      </c>
      <c r="F46" s="6">
        <v>48</v>
      </c>
      <c r="G46" s="6">
        <f t="shared" si="1"/>
        <v>4</v>
      </c>
      <c r="H46" s="6" t="s">
        <v>1622</v>
      </c>
      <c r="I46" s="5">
        <v>66.98</v>
      </c>
      <c r="J46" s="5">
        <f t="shared" si="0"/>
        <v>3215.04</v>
      </c>
    </row>
    <row r="47" spans="1:10" x14ac:dyDescent="0.25">
      <c r="A47" s="9">
        <v>1001</v>
      </c>
      <c r="B47" s="5" t="s">
        <v>220</v>
      </c>
      <c r="C47" s="5" t="s">
        <v>221</v>
      </c>
      <c r="D47" s="5" t="s">
        <v>1618</v>
      </c>
      <c r="E47" s="6">
        <v>90189084</v>
      </c>
      <c r="F47" s="6">
        <v>12</v>
      </c>
      <c r="G47" s="6">
        <f t="shared" si="1"/>
        <v>1</v>
      </c>
      <c r="H47" s="6" t="s">
        <v>1622</v>
      </c>
      <c r="I47" s="5">
        <v>90.48</v>
      </c>
      <c r="J47" s="5">
        <f t="shared" si="0"/>
        <v>1085.76</v>
      </c>
    </row>
    <row r="48" spans="1:10" x14ac:dyDescent="0.25">
      <c r="A48" s="9">
        <v>1002</v>
      </c>
      <c r="B48" s="5" t="s">
        <v>222</v>
      </c>
      <c r="C48" s="5" t="s">
        <v>223</v>
      </c>
      <c r="D48" s="5" t="s">
        <v>1618</v>
      </c>
      <c r="E48" s="6">
        <v>90189084</v>
      </c>
      <c r="F48" s="6">
        <v>12</v>
      </c>
      <c r="G48" s="6">
        <f t="shared" si="1"/>
        <v>1</v>
      </c>
      <c r="H48" s="6" t="s">
        <v>1622</v>
      </c>
      <c r="I48" s="5">
        <v>112.99</v>
      </c>
      <c r="J48" s="5">
        <f t="shared" si="0"/>
        <v>1355.8799999999999</v>
      </c>
    </row>
    <row r="49" spans="1:10" x14ac:dyDescent="0.25">
      <c r="A49" s="9">
        <v>1003</v>
      </c>
      <c r="B49" s="5" t="s">
        <v>224</v>
      </c>
      <c r="C49" s="5" t="s">
        <v>225</v>
      </c>
      <c r="D49" s="5" t="s">
        <v>1619</v>
      </c>
      <c r="E49" s="6">
        <v>90189084</v>
      </c>
      <c r="F49" s="6">
        <v>24</v>
      </c>
      <c r="G49" s="6">
        <f t="shared" si="1"/>
        <v>2</v>
      </c>
      <c r="H49" s="6" t="s">
        <v>1622</v>
      </c>
      <c r="I49" s="5">
        <v>120.75</v>
      </c>
      <c r="J49" s="5">
        <f t="shared" si="0"/>
        <v>2898</v>
      </c>
    </row>
    <row r="50" spans="1:10" x14ac:dyDescent="0.25">
      <c r="A50" s="9">
        <v>1004</v>
      </c>
      <c r="B50" s="5" t="s">
        <v>226</v>
      </c>
      <c r="C50" s="5" t="s">
        <v>227</v>
      </c>
      <c r="D50" s="5" t="s">
        <v>1618</v>
      </c>
      <c r="E50" s="6">
        <v>90189084</v>
      </c>
      <c r="F50" s="6">
        <v>24</v>
      </c>
      <c r="G50" s="6">
        <f t="shared" si="1"/>
        <v>2</v>
      </c>
      <c r="H50" s="6" t="s">
        <v>1622</v>
      </c>
      <c r="I50" s="5">
        <v>115.1</v>
      </c>
      <c r="J50" s="5">
        <f t="shared" si="0"/>
        <v>2762.3999999999996</v>
      </c>
    </row>
    <row r="51" spans="1:10" x14ac:dyDescent="0.25">
      <c r="A51" s="9">
        <v>1005</v>
      </c>
      <c r="B51" s="5" t="s">
        <v>228</v>
      </c>
      <c r="C51" s="5" t="s">
        <v>229</v>
      </c>
      <c r="D51" s="5" t="s">
        <v>1618</v>
      </c>
      <c r="E51" s="6">
        <v>90189084</v>
      </c>
      <c r="F51" s="6">
        <v>12</v>
      </c>
      <c r="G51" s="6">
        <f t="shared" si="1"/>
        <v>1</v>
      </c>
      <c r="H51" s="6" t="s">
        <v>1622</v>
      </c>
      <c r="I51" s="5">
        <v>85.94</v>
      </c>
      <c r="J51" s="5">
        <f t="shared" si="0"/>
        <v>1031.28</v>
      </c>
    </row>
    <row r="52" spans="1:10" x14ac:dyDescent="0.25">
      <c r="A52" s="9">
        <v>1006</v>
      </c>
      <c r="B52" s="5" t="s">
        <v>230</v>
      </c>
      <c r="C52" s="5" t="s">
        <v>231</v>
      </c>
      <c r="D52" s="5" t="s">
        <v>1618</v>
      </c>
      <c r="E52" s="6">
        <v>90189084</v>
      </c>
      <c r="F52" s="6">
        <v>12</v>
      </c>
      <c r="G52" s="6">
        <f t="shared" si="1"/>
        <v>1</v>
      </c>
      <c r="H52" s="6" t="s">
        <v>1622</v>
      </c>
      <c r="I52" s="5">
        <v>85.94</v>
      </c>
      <c r="J52" s="5">
        <f t="shared" si="0"/>
        <v>1031.28</v>
      </c>
    </row>
    <row r="53" spans="1:10" x14ac:dyDescent="0.25">
      <c r="A53" s="9">
        <v>1007</v>
      </c>
      <c r="B53" s="5" t="s">
        <v>232</v>
      </c>
      <c r="C53" s="5" t="s">
        <v>233</v>
      </c>
      <c r="D53" s="5" t="s">
        <v>1618</v>
      </c>
      <c r="E53" s="6">
        <v>90189084</v>
      </c>
      <c r="F53" s="6">
        <v>12</v>
      </c>
      <c r="G53" s="6">
        <f t="shared" si="1"/>
        <v>1</v>
      </c>
      <c r="H53" s="6" t="s">
        <v>1622</v>
      </c>
      <c r="I53" s="5">
        <v>346.76</v>
      </c>
      <c r="J53" s="5">
        <f t="shared" ref="J53:J103" si="2">F53*I53</f>
        <v>4161.12</v>
      </c>
    </row>
    <row r="54" spans="1:10" x14ac:dyDescent="0.25">
      <c r="A54" s="9">
        <v>1008</v>
      </c>
      <c r="B54" s="5" t="s">
        <v>234</v>
      </c>
      <c r="C54" s="5" t="s">
        <v>235</v>
      </c>
      <c r="D54" s="5" t="s">
        <v>1618</v>
      </c>
      <c r="E54" s="6">
        <v>90189084</v>
      </c>
      <c r="F54" s="6">
        <v>12</v>
      </c>
      <c r="G54" s="6">
        <f t="shared" si="1"/>
        <v>1</v>
      </c>
      <c r="H54" s="6" t="s">
        <v>1622</v>
      </c>
      <c r="I54" s="5">
        <v>346.76</v>
      </c>
      <c r="J54" s="5">
        <f t="shared" si="2"/>
        <v>4161.12</v>
      </c>
    </row>
    <row r="55" spans="1:10" x14ac:dyDescent="0.25">
      <c r="A55" s="9">
        <v>1009</v>
      </c>
      <c r="B55" s="5" t="s">
        <v>236</v>
      </c>
      <c r="C55" s="5" t="s">
        <v>237</v>
      </c>
      <c r="D55" s="5" t="s">
        <v>1618</v>
      </c>
      <c r="E55" s="6">
        <v>90189084</v>
      </c>
      <c r="F55" s="6">
        <v>12</v>
      </c>
      <c r="G55" s="6">
        <f t="shared" si="1"/>
        <v>1</v>
      </c>
      <c r="H55" s="6" t="s">
        <v>1622</v>
      </c>
      <c r="I55" s="5">
        <v>346.76</v>
      </c>
      <c r="J55" s="5">
        <f t="shared" si="2"/>
        <v>4161.12</v>
      </c>
    </row>
    <row r="56" spans="1:10" x14ac:dyDescent="0.25">
      <c r="A56" s="9">
        <v>1010</v>
      </c>
      <c r="B56" s="5" t="s">
        <v>238</v>
      </c>
      <c r="C56" s="5" t="s">
        <v>239</v>
      </c>
      <c r="D56" s="5" t="s">
        <v>1618</v>
      </c>
      <c r="E56" s="6">
        <v>90189084</v>
      </c>
      <c r="F56" s="6">
        <v>12</v>
      </c>
      <c r="G56" s="6">
        <f t="shared" si="1"/>
        <v>1</v>
      </c>
      <c r="H56" s="6" t="s">
        <v>1622</v>
      </c>
      <c r="I56" s="5">
        <v>346.76</v>
      </c>
      <c r="J56" s="5">
        <f t="shared" si="2"/>
        <v>4161.12</v>
      </c>
    </row>
    <row r="57" spans="1:10" x14ac:dyDescent="0.25">
      <c r="A57" s="9">
        <v>1011</v>
      </c>
      <c r="B57" s="5" t="s">
        <v>240</v>
      </c>
      <c r="C57" s="5" t="s">
        <v>241</v>
      </c>
      <c r="D57" s="5" t="s">
        <v>1618</v>
      </c>
      <c r="E57" s="6">
        <v>90189084</v>
      </c>
      <c r="F57" s="6">
        <v>12</v>
      </c>
      <c r="G57" s="6">
        <f t="shared" si="1"/>
        <v>1</v>
      </c>
      <c r="H57" s="6" t="s">
        <v>1622</v>
      </c>
      <c r="I57" s="5">
        <v>346.76</v>
      </c>
      <c r="J57" s="5">
        <f t="shared" si="2"/>
        <v>4161.12</v>
      </c>
    </row>
    <row r="58" spans="1:10" x14ac:dyDescent="0.25">
      <c r="A58" s="9">
        <v>1012</v>
      </c>
      <c r="B58" s="5" t="s">
        <v>242</v>
      </c>
      <c r="C58" s="5" t="s">
        <v>243</v>
      </c>
      <c r="D58" s="5" t="s">
        <v>1618</v>
      </c>
      <c r="E58" s="6">
        <v>90189084</v>
      </c>
      <c r="F58" s="6">
        <v>12</v>
      </c>
      <c r="G58" s="6">
        <f t="shared" si="1"/>
        <v>1</v>
      </c>
      <c r="H58" s="6" t="s">
        <v>1622</v>
      </c>
      <c r="I58" s="5">
        <v>346.76</v>
      </c>
      <c r="J58" s="5">
        <f t="shared" si="2"/>
        <v>4161.12</v>
      </c>
    </row>
    <row r="59" spans="1:10" x14ac:dyDescent="0.25">
      <c r="A59" s="9">
        <v>1013</v>
      </c>
      <c r="B59" s="5" t="s">
        <v>244</v>
      </c>
      <c r="C59" s="5" t="s">
        <v>245</v>
      </c>
      <c r="D59" s="5" t="s">
        <v>1618</v>
      </c>
      <c r="E59" s="6">
        <v>90189084</v>
      </c>
      <c r="F59" s="6">
        <v>12</v>
      </c>
      <c r="G59" s="6">
        <f t="shared" si="1"/>
        <v>1</v>
      </c>
      <c r="H59" s="6" t="s">
        <v>1622</v>
      </c>
      <c r="I59" s="5">
        <v>245.21</v>
      </c>
      <c r="J59" s="5">
        <f t="shared" si="2"/>
        <v>2942.52</v>
      </c>
    </row>
    <row r="60" spans="1:10" x14ac:dyDescent="0.25">
      <c r="A60" s="9">
        <v>1014</v>
      </c>
      <c r="B60" s="5" t="s">
        <v>246</v>
      </c>
      <c r="C60" s="5" t="s">
        <v>247</v>
      </c>
      <c r="D60" s="5" t="s">
        <v>1618</v>
      </c>
      <c r="E60" s="6">
        <v>90189084</v>
      </c>
      <c r="F60" s="6">
        <v>12</v>
      </c>
      <c r="G60" s="6">
        <f t="shared" si="1"/>
        <v>1</v>
      </c>
      <c r="H60" s="6" t="s">
        <v>1622</v>
      </c>
      <c r="I60" s="5">
        <v>39.630000000000003</v>
      </c>
      <c r="J60" s="5">
        <f t="shared" si="2"/>
        <v>475.56000000000006</v>
      </c>
    </row>
    <row r="61" spans="1:10" x14ac:dyDescent="0.25">
      <c r="A61" s="9">
        <v>1015</v>
      </c>
      <c r="B61" s="5" t="s">
        <v>248</v>
      </c>
      <c r="C61" s="5" t="s">
        <v>249</v>
      </c>
      <c r="D61" s="5" t="s">
        <v>1618</v>
      </c>
      <c r="E61" s="6">
        <v>90189084</v>
      </c>
      <c r="F61" s="6">
        <v>12</v>
      </c>
      <c r="G61" s="6">
        <f t="shared" si="1"/>
        <v>1</v>
      </c>
      <c r="H61" s="6" t="s">
        <v>1622</v>
      </c>
      <c r="I61" s="5">
        <v>39.630000000000003</v>
      </c>
      <c r="J61" s="5">
        <f t="shared" si="2"/>
        <v>475.56000000000006</v>
      </c>
    </row>
    <row r="62" spans="1:10" x14ac:dyDescent="0.25">
      <c r="A62" s="9">
        <v>1016</v>
      </c>
      <c r="B62" s="5" t="s">
        <v>250</v>
      </c>
      <c r="C62" s="5" t="s">
        <v>251</v>
      </c>
      <c r="D62" s="5" t="s">
        <v>1618</v>
      </c>
      <c r="E62" s="6">
        <v>90189084</v>
      </c>
      <c r="F62" s="6">
        <v>12</v>
      </c>
      <c r="G62" s="6">
        <f t="shared" si="1"/>
        <v>1</v>
      </c>
      <c r="H62" s="6" t="s">
        <v>1622</v>
      </c>
      <c r="I62" s="5">
        <v>39.630000000000003</v>
      </c>
      <c r="J62" s="5">
        <f t="shared" si="2"/>
        <v>475.56000000000006</v>
      </c>
    </row>
    <row r="63" spans="1:10" x14ac:dyDescent="0.25">
      <c r="A63" s="9">
        <v>1017</v>
      </c>
      <c r="B63" s="5" t="s">
        <v>252</v>
      </c>
      <c r="C63" s="5" t="s">
        <v>253</v>
      </c>
      <c r="D63" s="5" t="s">
        <v>1618</v>
      </c>
      <c r="E63" s="6">
        <v>90189084</v>
      </c>
      <c r="F63" s="6">
        <v>12</v>
      </c>
      <c r="G63" s="6">
        <f t="shared" si="1"/>
        <v>1</v>
      </c>
      <c r="H63" s="6" t="s">
        <v>1622</v>
      </c>
      <c r="I63" s="5">
        <v>39.630000000000003</v>
      </c>
      <c r="J63" s="5">
        <f t="shared" si="2"/>
        <v>475.56000000000006</v>
      </c>
    </row>
    <row r="64" spans="1:10" x14ac:dyDescent="0.25">
      <c r="A64" s="9">
        <v>1018</v>
      </c>
      <c r="B64" s="5" t="s">
        <v>254</v>
      </c>
      <c r="C64" s="5" t="s">
        <v>255</v>
      </c>
      <c r="D64" s="5" t="s">
        <v>1618</v>
      </c>
      <c r="E64" s="6">
        <v>90189084</v>
      </c>
      <c r="F64" s="6">
        <v>12</v>
      </c>
      <c r="G64" s="6">
        <f t="shared" si="1"/>
        <v>1</v>
      </c>
      <c r="H64" s="6" t="s">
        <v>1622</v>
      </c>
      <c r="I64" s="5">
        <v>39.630000000000003</v>
      </c>
      <c r="J64" s="5">
        <f t="shared" si="2"/>
        <v>475.56000000000006</v>
      </c>
    </row>
    <row r="65" spans="1:10" x14ac:dyDescent="0.25">
      <c r="A65" s="9">
        <v>1019</v>
      </c>
      <c r="B65" s="5" t="s">
        <v>256</v>
      </c>
      <c r="C65" s="5" t="s">
        <v>257</v>
      </c>
      <c r="D65" s="5" t="s">
        <v>1618</v>
      </c>
      <c r="E65" s="6">
        <v>90189084</v>
      </c>
      <c r="F65" s="6">
        <v>12</v>
      </c>
      <c r="G65" s="6">
        <f t="shared" si="1"/>
        <v>1</v>
      </c>
      <c r="H65" s="6" t="s">
        <v>1622</v>
      </c>
      <c r="I65" s="5">
        <v>39.630000000000003</v>
      </c>
      <c r="J65" s="5">
        <f t="shared" si="2"/>
        <v>475.56000000000006</v>
      </c>
    </row>
    <row r="66" spans="1:10" x14ac:dyDescent="0.25">
      <c r="A66" s="9">
        <v>1020</v>
      </c>
      <c r="B66" s="5" t="s">
        <v>258</v>
      </c>
      <c r="C66" s="5" t="s">
        <v>259</v>
      </c>
      <c r="D66" s="5" t="s">
        <v>1618</v>
      </c>
      <c r="E66" s="6">
        <v>90189084</v>
      </c>
      <c r="F66" s="6">
        <v>12</v>
      </c>
      <c r="G66" s="6">
        <f t="shared" si="1"/>
        <v>1</v>
      </c>
      <c r="H66" s="6" t="s">
        <v>1622</v>
      </c>
      <c r="I66" s="5">
        <v>39.630000000000003</v>
      </c>
      <c r="J66" s="5">
        <f t="shared" si="2"/>
        <v>475.56000000000006</v>
      </c>
    </row>
    <row r="67" spans="1:10" x14ac:dyDescent="0.25">
      <c r="A67" s="9">
        <v>1021</v>
      </c>
      <c r="B67" s="5" t="s">
        <v>260</v>
      </c>
      <c r="C67" s="5" t="s">
        <v>261</v>
      </c>
      <c r="D67" s="5" t="s">
        <v>1618</v>
      </c>
      <c r="E67" s="6">
        <v>90189084</v>
      </c>
      <c r="F67" s="6">
        <v>12</v>
      </c>
      <c r="G67" s="6">
        <f t="shared" si="1"/>
        <v>1</v>
      </c>
      <c r="H67" s="6" t="s">
        <v>1622</v>
      </c>
      <c r="I67" s="5">
        <v>40.43</v>
      </c>
      <c r="J67" s="5">
        <f t="shared" si="2"/>
        <v>485.15999999999997</v>
      </c>
    </row>
    <row r="68" spans="1:10" x14ac:dyDescent="0.25">
      <c r="A68" s="9">
        <v>1022</v>
      </c>
      <c r="B68" s="5" t="s">
        <v>262</v>
      </c>
      <c r="C68" s="5" t="s">
        <v>263</v>
      </c>
      <c r="D68" s="5" t="s">
        <v>1619</v>
      </c>
      <c r="E68" s="6">
        <v>90183900</v>
      </c>
      <c r="F68" s="6">
        <v>12</v>
      </c>
      <c r="G68" s="6">
        <f t="shared" ref="G68:G103" si="3">F68/$F$2</f>
        <v>1</v>
      </c>
      <c r="H68" s="6" t="s">
        <v>1622</v>
      </c>
      <c r="I68" s="5">
        <v>19.829999999999998</v>
      </c>
      <c r="J68" s="5">
        <f t="shared" si="2"/>
        <v>237.95999999999998</v>
      </c>
    </row>
    <row r="69" spans="1:10" x14ac:dyDescent="0.25">
      <c r="A69" s="9">
        <v>1023</v>
      </c>
      <c r="B69" s="5" t="s">
        <v>264</v>
      </c>
      <c r="C69" s="5" t="s">
        <v>265</v>
      </c>
      <c r="D69" s="5" t="s">
        <v>1619</v>
      </c>
      <c r="E69" s="6">
        <v>90183900</v>
      </c>
      <c r="F69" s="6">
        <v>12</v>
      </c>
      <c r="G69" s="6">
        <f t="shared" si="3"/>
        <v>1</v>
      </c>
      <c r="H69" s="6" t="s">
        <v>1622</v>
      </c>
      <c r="I69" s="5">
        <v>19.829999999999998</v>
      </c>
      <c r="J69" s="5">
        <f t="shared" si="2"/>
        <v>237.95999999999998</v>
      </c>
    </row>
    <row r="70" spans="1:10" x14ac:dyDescent="0.25">
      <c r="A70" s="9">
        <v>1024</v>
      </c>
      <c r="B70" s="5" t="s">
        <v>266</v>
      </c>
      <c r="C70" s="5" t="s">
        <v>267</v>
      </c>
      <c r="D70" s="5" t="s">
        <v>1619</v>
      </c>
      <c r="E70" s="6">
        <v>90183900</v>
      </c>
      <c r="F70" s="6">
        <v>12</v>
      </c>
      <c r="G70" s="6">
        <f t="shared" si="3"/>
        <v>1</v>
      </c>
      <c r="H70" s="6" t="s">
        <v>1622</v>
      </c>
      <c r="I70" s="5">
        <v>19.829999999999998</v>
      </c>
      <c r="J70" s="5">
        <f t="shared" si="2"/>
        <v>237.95999999999998</v>
      </c>
    </row>
    <row r="71" spans="1:10" x14ac:dyDescent="0.25">
      <c r="A71" s="9">
        <v>1025</v>
      </c>
      <c r="B71" s="5" t="s">
        <v>266</v>
      </c>
      <c r="C71" s="5" t="s">
        <v>267</v>
      </c>
      <c r="D71" s="5" t="s">
        <v>1619</v>
      </c>
      <c r="E71" s="6">
        <v>90183900</v>
      </c>
      <c r="F71" s="6">
        <v>12</v>
      </c>
      <c r="G71" s="6">
        <f t="shared" si="3"/>
        <v>1</v>
      </c>
      <c r="H71" s="6" t="s">
        <v>1622</v>
      </c>
      <c r="I71" s="5">
        <v>19.829999999999998</v>
      </c>
      <c r="J71" s="5">
        <f t="shared" si="2"/>
        <v>237.95999999999998</v>
      </c>
    </row>
    <row r="72" spans="1:10" x14ac:dyDescent="0.25">
      <c r="A72" s="9">
        <v>1026</v>
      </c>
      <c r="B72" s="5" t="s">
        <v>268</v>
      </c>
      <c r="C72" s="5" t="s">
        <v>269</v>
      </c>
      <c r="D72" s="5" t="s">
        <v>1619</v>
      </c>
      <c r="E72" s="6">
        <v>90183900</v>
      </c>
      <c r="F72" s="6">
        <v>12</v>
      </c>
      <c r="G72" s="6">
        <f t="shared" si="3"/>
        <v>1</v>
      </c>
      <c r="H72" s="6" t="s">
        <v>1622</v>
      </c>
      <c r="I72" s="5">
        <v>12.35</v>
      </c>
      <c r="J72" s="5">
        <f t="shared" si="2"/>
        <v>148.19999999999999</v>
      </c>
    </row>
    <row r="73" spans="1:10" x14ac:dyDescent="0.25">
      <c r="A73" s="9">
        <v>1027</v>
      </c>
      <c r="B73" s="5" t="s">
        <v>270</v>
      </c>
      <c r="C73" s="5" t="s">
        <v>271</v>
      </c>
      <c r="D73" s="5" t="s">
        <v>1619</v>
      </c>
      <c r="E73" s="6">
        <v>90183900</v>
      </c>
      <c r="F73" s="6">
        <v>12</v>
      </c>
      <c r="G73" s="6">
        <f t="shared" si="3"/>
        <v>1</v>
      </c>
      <c r="H73" s="6" t="s">
        <v>1622</v>
      </c>
      <c r="I73" s="5">
        <v>12.35</v>
      </c>
      <c r="J73" s="5">
        <f t="shared" si="2"/>
        <v>148.19999999999999</v>
      </c>
    </row>
    <row r="74" spans="1:10" x14ac:dyDescent="0.25">
      <c r="A74" s="9">
        <v>1028</v>
      </c>
      <c r="B74" s="5" t="s">
        <v>272</v>
      </c>
      <c r="C74" s="5" t="s">
        <v>273</v>
      </c>
      <c r="D74" s="5" t="s">
        <v>1618</v>
      </c>
      <c r="E74" s="6">
        <v>90189084</v>
      </c>
      <c r="F74" s="6">
        <v>12</v>
      </c>
      <c r="G74" s="6">
        <f t="shared" si="3"/>
        <v>1</v>
      </c>
      <c r="H74" s="6" t="s">
        <v>1622</v>
      </c>
      <c r="I74" s="5">
        <v>37.86</v>
      </c>
      <c r="J74" s="5">
        <f t="shared" si="2"/>
        <v>454.32</v>
      </c>
    </row>
    <row r="75" spans="1:10" x14ac:dyDescent="0.25">
      <c r="A75" s="9">
        <v>1029</v>
      </c>
      <c r="B75" s="5" t="s">
        <v>274</v>
      </c>
      <c r="C75" s="5" t="s">
        <v>275</v>
      </c>
      <c r="D75" s="5" t="s">
        <v>1618</v>
      </c>
      <c r="E75" s="6">
        <v>90189084</v>
      </c>
      <c r="F75" s="6">
        <v>12</v>
      </c>
      <c r="G75" s="6">
        <f t="shared" si="3"/>
        <v>1</v>
      </c>
      <c r="H75" s="6" t="s">
        <v>1622</v>
      </c>
      <c r="I75" s="5">
        <v>224.08</v>
      </c>
      <c r="J75" s="5">
        <f t="shared" si="2"/>
        <v>2688.96</v>
      </c>
    </row>
    <row r="76" spans="1:10" x14ac:dyDescent="0.25">
      <c r="A76" s="9">
        <v>1030</v>
      </c>
      <c r="B76" s="5" t="s">
        <v>276</v>
      </c>
      <c r="C76" s="5" t="s">
        <v>277</v>
      </c>
      <c r="D76" s="5" t="s">
        <v>1618</v>
      </c>
      <c r="E76" s="6">
        <v>90189084</v>
      </c>
      <c r="F76" s="6">
        <v>12</v>
      </c>
      <c r="G76" s="6">
        <f t="shared" si="3"/>
        <v>1</v>
      </c>
      <c r="H76" s="6" t="s">
        <v>1622</v>
      </c>
      <c r="I76" s="5">
        <v>244.62</v>
      </c>
      <c r="J76" s="5">
        <f t="shared" si="2"/>
        <v>2935.44</v>
      </c>
    </row>
    <row r="77" spans="1:10" x14ac:dyDescent="0.25">
      <c r="A77" s="9">
        <v>1031</v>
      </c>
      <c r="B77" s="5" t="s">
        <v>274</v>
      </c>
      <c r="C77" s="5" t="s">
        <v>275</v>
      </c>
      <c r="D77" s="5" t="s">
        <v>1618</v>
      </c>
      <c r="E77" s="6">
        <v>90189084</v>
      </c>
      <c r="F77" s="6">
        <v>12</v>
      </c>
      <c r="G77" s="6">
        <f t="shared" si="3"/>
        <v>1</v>
      </c>
      <c r="H77" s="6" t="s">
        <v>1622</v>
      </c>
      <c r="I77" s="5">
        <v>224.08</v>
      </c>
      <c r="J77" s="5">
        <f t="shared" si="2"/>
        <v>2688.96</v>
      </c>
    </row>
    <row r="78" spans="1:10" x14ac:dyDescent="0.25">
      <c r="A78" s="9">
        <v>1032</v>
      </c>
      <c r="B78" s="5" t="s">
        <v>278</v>
      </c>
      <c r="C78" s="5" t="s">
        <v>279</v>
      </c>
      <c r="D78" s="5" t="s">
        <v>1618</v>
      </c>
      <c r="E78" s="6">
        <v>90189084</v>
      </c>
      <c r="F78" s="6">
        <v>12</v>
      </c>
      <c r="G78" s="6">
        <f t="shared" si="3"/>
        <v>1</v>
      </c>
      <c r="H78" s="6" t="s">
        <v>1622</v>
      </c>
      <c r="I78" s="5">
        <v>214.55</v>
      </c>
      <c r="J78" s="5">
        <f t="shared" si="2"/>
        <v>2574.6000000000004</v>
      </c>
    </row>
    <row r="79" spans="1:10" x14ac:dyDescent="0.25">
      <c r="A79" s="9">
        <v>1033</v>
      </c>
      <c r="B79" s="5" t="s">
        <v>276</v>
      </c>
      <c r="C79" s="5" t="s">
        <v>277</v>
      </c>
      <c r="D79" s="5" t="s">
        <v>1618</v>
      </c>
      <c r="E79" s="6">
        <v>90189084</v>
      </c>
      <c r="F79" s="6">
        <v>12</v>
      </c>
      <c r="G79" s="6">
        <f t="shared" si="3"/>
        <v>1</v>
      </c>
      <c r="H79" s="6" t="s">
        <v>1622</v>
      </c>
      <c r="I79" s="5">
        <v>244.62</v>
      </c>
      <c r="J79" s="5">
        <f t="shared" si="2"/>
        <v>2935.44</v>
      </c>
    </row>
    <row r="80" spans="1:10" x14ac:dyDescent="0.25">
      <c r="A80" s="9">
        <v>1034</v>
      </c>
      <c r="B80" s="5" t="s">
        <v>280</v>
      </c>
      <c r="C80" s="5" t="s">
        <v>281</v>
      </c>
      <c r="D80" s="5" t="s">
        <v>1618</v>
      </c>
      <c r="E80" s="6">
        <v>90189084</v>
      </c>
      <c r="F80" s="6">
        <v>12</v>
      </c>
      <c r="G80" s="6">
        <f t="shared" si="3"/>
        <v>1</v>
      </c>
      <c r="H80" s="6" t="s">
        <v>1622</v>
      </c>
      <c r="I80" s="5">
        <v>243.86</v>
      </c>
      <c r="J80" s="5">
        <f t="shared" si="2"/>
        <v>2926.32</v>
      </c>
    </row>
    <row r="81" spans="1:10" x14ac:dyDescent="0.25">
      <c r="A81" s="9">
        <v>1035</v>
      </c>
      <c r="B81" s="5" t="s">
        <v>282</v>
      </c>
      <c r="C81" s="5" t="s">
        <v>283</v>
      </c>
      <c r="D81" s="5" t="s">
        <v>1618</v>
      </c>
      <c r="E81" s="6">
        <v>90189084</v>
      </c>
      <c r="F81" s="6">
        <v>12</v>
      </c>
      <c r="G81" s="6">
        <f t="shared" si="3"/>
        <v>1</v>
      </c>
      <c r="H81" s="6" t="s">
        <v>1622</v>
      </c>
      <c r="I81" s="5">
        <v>240.51</v>
      </c>
      <c r="J81" s="5">
        <f t="shared" si="2"/>
        <v>2886.12</v>
      </c>
    </row>
    <row r="82" spans="1:10" x14ac:dyDescent="0.25">
      <c r="A82" s="9">
        <v>1036</v>
      </c>
      <c r="B82" s="5" t="s">
        <v>284</v>
      </c>
      <c r="C82" s="5" t="s">
        <v>285</v>
      </c>
      <c r="D82" s="5" t="s">
        <v>1618</v>
      </c>
      <c r="E82" s="6">
        <v>90189084</v>
      </c>
      <c r="F82" s="6">
        <v>12</v>
      </c>
      <c r="G82" s="6">
        <f t="shared" si="3"/>
        <v>1</v>
      </c>
      <c r="H82" s="6" t="s">
        <v>1622</v>
      </c>
      <c r="I82" s="5">
        <v>240.51</v>
      </c>
      <c r="J82" s="5">
        <f t="shared" si="2"/>
        <v>2886.12</v>
      </c>
    </row>
    <row r="83" spans="1:10" x14ac:dyDescent="0.25">
      <c r="A83" s="9">
        <v>1037</v>
      </c>
      <c r="B83" s="5" t="s">
        <v>286</v>
      </c>
      <c r="C83" s="5" t="s">
        <v>287</v>
      </c>
      <c r="D83" s="5" t="s">
        <v>1618</v>
      </c>
      <c r="E83" s="6">
        <v>76169990</v>
      </c>
      <c r="F83" s="6">
        <v>12</v>
      </c>
      <c r="G83" s="6">
        <f t="shared" si="3"/>
        <v>1</v>
      </c>
      <c r="H83" s="6" t="s">
        <v>1622</v>
      </c>
      <c r="I83" s="5">
        <v>416.33</v>
      </c>
      <c r="J83" s="5">
        <f t="shared" si="2"/>
        <v>4995.96</v>
      </c>
    </row>
    <row r="84" spans="1:10" x14ac:dyDescent="0.25">
      <c r="A84" s="9">
        <v>1038</v>
      </c>
      <c r="B84" s="5" t="s">
        <v>288</v>
      </c>
      <c r="C84" s="5" t="s">
        <v>289</v>
      </c>
      <c r="D84" s="5" t="s">
        <v>1618</v>
      </c>
      <c r="E84" s="6">
        <v>39269097</v>
      </c>
      <c r="F84" s="6">
        <v>24</v>
      </c>
      <c r="G84" s="6">
        <f t="shared" si="3"/>
        <v>2</v>
      </c>
      <c r="H84" s="6" t="s">
        <v>1622</v>
      </c>
      <c r="I84" s="5">
        <v>4.09</v>
      </c>
      <c r="J84" s="5">
        <f t="shared" si="2"/>
        <v>98.16</v>
      </c>
    </row>
    <row r="85" spans="1:10" x14ac:dyDescent="0.25">
      <c r="A85" s="9">
        <v>1039</v>
      </c>
      <c r="B85" s="5" t="s">
        <v>290</v>
      </c>
      <c r="C85" s="5" t="s">
        <v>291</v>
      </c>
      <c r="D85" s="5" t="s">
        <v>1618</v>
      </c>
      <c r="E85" s="6">
        <v>90189084</v>
      </c>
      <c r="F85" s="6">
        <v>12</v>
      </c>
      <c r="G85" s="6">
        <f t="shared" si="3"/>
        <v>1</v>
      </c>
      <c r="H85" s="6" t="s">
        <v>1622</v>
      </c>
      <c r="I85" s="5">
        <v>205.63</v>
      </c>
      <c r="J85" s="5">
        <f t="shared" si="2"/>
        <v>2467.56</v>
      </c>
    </row>
    <row r="86" spans="1:10" x14ac:dyDescent="0.25">
      <c r="A86" s="9">
        <v>1040</v>
      </c>
      <c r="B86" s="5" t="s">
        <v>292</v>
      </c>
      <c r="C86" s="5" t="s">
        <v>293</v>
      </c>
      <c r="D86" s="5" t="s">
        <v>1618</v>
      </c>
      <c r="E86" s="6">
        <v>90189084</v>
      </c>
      <c r="F86" s="6">
        <v>12</v>
      </c>
      <c r="G86" s="6">
        <f t="shared" si="3"/>
        <v>1</v>
      </c>
      <c r="H86" s="6" t="s">
        <v>1622</v>
      </c>
      <c r="I86" s="5">
        <v>195.92</v>
      </c>
      <c r="J86" s="5">
        <f t="shared" si="2"/>
        <v>2351.04</v>
      </c>
    </row>
    <row r="87" spans="1:10" x14ac:dyDescent="0.25">
      <c r="A87" s="9">
        <v>1041</v>
      </c>
      <c r="B87" s="5" t="s">
        <v>294</v>
      </c>
      <c r="C87" s="5" t="s">
        <v>295</v>
      </c>
      <c r="D87" s="5" t="s">
        <v>1618</v>
      </c>
      <c r="E87" s="6">
        <v>90189084</v>
      </c>
      <c r="F87" s="6">
        <v>12</v>
      </c>
      <c r="G87" s="6">
        <f t="shared" si="3"/>
        <v>1</v>
      </c>
      <c r="H87" s="6" t="s">
        <v>1622</v>
      </c>
      <c r="I87" s="5">
        <v>195.92</v>
      </c>
      <c r="J87" s="5">
        <f t="shared" si="2"/>
        <v>2351.04</v>
      </c>
    </row>
    <row r="88" spans="1:10" x14ac:dyDescent="0.25">
      <c r="A88" s="9">
        <v>1042</v>
      </c>
      <c r="B88" s="5" t="s">
        <v>296</v>
      </c>
      <c r="C88" s="5" t="s">
        <v>297</v>
      </c>
      <c r="D88" s="5" t="s">
        <v>1618</v>
      </c>
      <c r="E88" s="6">
        <v>90189084</v>
      </c>
      <c r="F88" s="6">
        <v>12</v>
      </c>
      <c r="G88" s="6">
        <f t="shared" si="3"/>
        <v>1</v>
      </c>
      <c r="H88" s="6" t="s">
        <v>1622</v>
      </c>
      <c r="I88" s="5">
        <v>195.92</v>
      </c>
      <c r="J88" s="5">
        <f t="shared" si="2"/>
        <v>2351.04</v>
      </c>
    </row>
    <row r="89" spans="1:10" x14ac:dyDescent="0.25">
      <c r="A89" s="9">
        <v>1043</v>
      </c>
      <c r="B89" s="5" t="s">
        <v>298</v>
      </c>
      <c r="C89" s="5" t="s">
        <v>299</v>
      </c>
      <c r="D89" s="5" t="s">
        <v>1618</v>
      </c>
      <c r="E89" s="6">
        <v>90189084</v>
      </c>
      <c r="F89" s="6">
        <v>12</v>
      </c>
      <c r="G89" s="6">
        <f t="shared" si="3"/>
        <v>1</v>
      </c>
      <c r="H89" s="6" t="s">
        <v>1622</v>
      </c>
      <c r="I89" s="5">
        <v>195.92</v>
      </c>
      <c r="J89" s="5">
        <f t="shared" si="2"/>
        <v>2351.04</v>
      </c>
    </row>
    <row r="90" spans="1:10" x14ac:dyDescent="0.25">
      <c r="A90" s="9">
        <v>1044</v>
      </c>
      <c r="B90" s="5" t="s">
        <v>300</v>
      </c>
      <c r="C90" s="5" t="s">
        <v>301</v>
      </c>
      <c r="D90" s="5" t="s">
        <v>1618</v>
      </c>
      <c r="E90" s="6">
        <v>90189084</v>
      </c>
      <c r="F90" s="6">
        <v>12</v>
      </c>
      <c r="G90" s="6">
        <f t="shared" si="3"/>
        <v>1</v>
      </c>
      <c r="H90" s="6" t="s">
        <v>1622</v>
      </c>
      <c r="I90" s="5">
        <v>195.92</v>
      </c>
      <c r="J90" s="5">
        <f t="shared" si="2"/>
        <v>2351.04</v>
      </c>
    </row>
    <row r="91" spans="1:10" x14ac:dyDescent="0.25">
      <c r="A91" s="9">
        <v>1045</v>
      </c>
      <c r="B91" s="5" t="s">
        <v>302</v>
      </c>
      <c r="C91" s="5" t="s">
        <v>303</v>
      </c>
      <c r="D91" s="5" t="s">
        <v>1618</v>
      </c>
      <c r="E91" s="6">
        <v>90189084</v>
      </c>
      <c r="F91" s="6">
        <v>12</v>
      </c>
      <c r="G91" s="6">
        <f t="shared" si="3"/>
        <v>1</v>
      </c>
      <c r="H91" s="6" t="s">
        <v>1622</v>
      </c>
      <c r="I91" s="5">
        <v>195.92</v>
      </c>
      <c r="J91" s="5">
        <f t="shared" si="2"/>
        <v>2351.04</v>
      </c>
    </row>
    <row r="92" spans="1:10" x14ac:dyDescent="0.25">
      <c r="A92" s="9">
        <v>1046</v>
      </c>
      <c r="B92" s="5" t="s">
        <v>304</v>
      </c>
      <c r="C92" s="5" t="s">
        <v>305</v>
      </c>
      <c r="D92" s="5" t="s">
        <v>1618</v>
      </c>
      <c r="E92" s="6">
        <v>90189084</v>
      </c>
      <c r="F92" s="6">
        <v>12</v>
      </c>
      <c r="G92" s="6">
        <f t="shared" si="3"/>
        <v>1</v>
      </c>
      <c r="H92" s="6" t="s">
        <v>1622</v>
      </c>
      <c r="I92" s="5">
        <v>208.78</v>
      </c>
      <c r="J92" s="5">
        <f t="shared" si="2"/>
        <v>2505.36</v>
      </c>
    </row>
    <row r="93" spans="1:10" x14ac:dyDescent="0.25">
      <c r="A93" s="9">
        <v>1047</v>
      </c>
      <c r="B93" s="5" t="s">
        <v>306</v>
      </c>
      <c r="C93" s="5" t="s">
        <v>307</v>
      </c>
      <c r="D93" s="5" t="s">
        <v>1618</v>
      </c>
      <c r="E93" s="6">
        <v>90189084</v>
      </c>
      <c r="F93" s="6">
        <v>12</v>
      </c>
      <c r="G93" s="6">
        <f t="shared" si="3"/>
        <v>1</v>
      </c>
      <c r="H93" s="6" t="s">
        <v>1622</v>
      </c>
      <c r="I93" s="5">
        <v>208.78</v>
      </c>
      <c r="J93" s="5">
        <f t="shared" si="2"/>
        <v>2505.36</v>
      </c>
    </row>
    <row r="94" spans="1:10" x14ac:dyDescent="0.25">
      <c r="A94" s="9">
        <v>1048</v>
      </c>
      <c r="B94" s="5" t="s">
        <v>308</v>
      </c>
      <c r="C94" s="5" t="s">
        <v>309</v>
      </c>
      <c r="D94" s="5" t="s">
        <v>1618</v>
      </c>
      <c r="E94" s="6">
        <v>90189084</v>
      </c>
      <c r="F94" s="6">
        <v>12</v>
      </c>
      <c r="G94" s="6">
        <f t="shared" si="3"/>
        <v>1</v>
      </c>
      <c r="H94" s="6" t="s">
        <v>1622</v>
      </c>
      <c r="I94" s="5">
        <v>208.78</v>
      </c>
      <c r="J94" s="5">
        <f t="shared" si="2"/>
        <v>2505.36</v>
      </c>
    </row>
    <row r="95" spans="1:10" x14ac:dyDescent="0.25">
      <c r="A95" s="9">
        <v>1049</v>
      </c>
      <c r="B95" s="5" t="s">
        <v>310</v>
      </c>
      <c r="C95" s="5" t="s">
        <v>311</v>
      </c>
      <c r="D95" s="5" t="s">
        <v>1618</v>
      </c>
      <c r="E95" s="6">
        <v>90189084</v>
      </c>
      <c r="F95" s="6">
        <v>12</v>
      </c>
      <c r="G95" s="6">
        <f t="shared" si="3"/>
        <v>1</v>
      </c>
      <c r="H95" s="6" t="s">
        <v>1622</v>
      </c>
      <c r="I95" s="5">
        <v>208.78</v>
      </c>
      <c r="J95" s="5">
        <f t="shared" si="2"/>
        <v>2505.36</v>
      </c>
    </row>
    <row r="96" spans="1:10" x14ac:dyDescent="0.25">
      <c r="A96" s="9">
        <v>1050</v>
      </c>
      <c r="B96" s="5" t="s">
        <v>312</v>
      </c>
      <c r="C96" s="5" t="s">
        <v>313</v>
      </c>
      <c r="D96" s="5" t="s">
        <v>1618</v>
      </c>
      <c r="E96" s="6">
        <v>90189084</v>
      </c>
      <c r="F96" s="6">
        <v>12</v>
      </c>
      <c r="G96" s="6">
        <f t="shared" si="3"/>
        <v>1</v>
      </c>
      <c r="H96" s="6" t="s">
        <v>1622</v>
      </c>
      <c r="I96" s="5">
        <v>208.78</v>
      </c>
      <c r="J96" s="5">
        <f t="shared" si="2"/>
        <v>2505.36</v>
      </c>
    </row>
    <row r="97" spans="1:10" x14ac:dyDescent="0.25">
      <c r="A97" s="9">
        <v>1051</v>
      </c>
      <c r="B97" s="5" t="s">
        <v>314</v>
      </c>
      <c r="C97" s="5" t="s">
        <v>315</v>
      </c>
      <c r="D97" s="5" t="s">
        <v>1618</v>
      </c>
      <c r="E97" s="6">
        <v>90189084</v>
      </c>
      <c r="F97" s="6">
        <v>12</v>
      </c>
      <c r="G97" s="6">
        <f t="shared" si="3"/>
        <v>1</v>
      </c>
      <c r="H97" s="6" t="s">
        <v>1622</v>
      </c>
      <c r="I97" s="5">
        <v>208.78</v>
      </c>
      <c r="J97" s="5">
        <f t="shared" si="2"/>
        <v>2505.36</v>
      </c>
    </row>
    <row r="98" spans="1:10" x14ac:dyDescent="0.25">
      <c r="A98" s="9">
        <v>1052</v>
      </c>
      <c r="B98" s="5" t="s">
        <v>316</v>
      </c>
      <c r="C98" s="5" t="s">
        <v>317</v>
      </c>
      <c r="D98" s="5" t="s">
        <v>1618</v>
      </c>
      <c r="E98" s="6">
        <v>90189084</v>
      </c>
      <c r="F98" s="6">
        <v>12</v>
      </c>
      <c r="G98" s="6">
        <f t="shared" si="3"/>
        <v>1</v>
      </c>
      <c r="H98" s="6" t="s">
        <v>1622</v>
      </c>
      <c r="I98" s="5">
        <v>208.78</v>
      </c>
      <c r="J98" s="5">
        <f t="shared" si="2"/>
        <v>2505.36</v>
      </c>
    </row>
    <row r="99" spans="1:10" x14ac:dyDescent="0.25">
      <c r="A99" s="9">
        <v>1053</v>
      </c>
      <c r="B99" s="5" t="s">
        <v>318</v>
      </c>
      <c r="C99" s="5" t="s">
        <v>319</v>
      </c>
      <c r="D99" s="5" t="s">
        <v>1618</v>
      </c>
      <c r="E99" s="6">
        <v>90189084</v>
      </c>
      <c r="F99" s="6">
        <v>12</v>
      </c>
      <c r="G99" s="6">
        <f t="shared" si="3"/>
        <v>1</v>
      </c>
      <c r="H99" s="6" t="s">
        <v>1622</v>
      </c>
      <c r="I99" s="5">
        <v>208.78</v>
      </c>
      <c r="J99" s="5">
        <f t="shared" si="2"/>
        <v>2505.36</v>
      </c>
    </row>
    <row r="100" spans="1:10" x14ac:dyDescent="0.25">
      <c r="A100" s="9">
        <v>1054</v>
      </c>
      <c r="B100" s="5" t="s">
        <v>320</v>
      </c>
      <c r="C100" s="5" t="s">
        <v>321</v>
      </c>
      <c r="D100" s="5" t="s">
        <v>1618</v>
      </c>
      <c r="E100" s="6">
        <v>90189084</v>
      </c>
      <c r="F100" s="6">
        <v>12</v>
      </c>
      <c r="G100" s="6">
        <f t="shared" si="3"/>
        <v>1</v>
      </c>
      <c r="H100" s="6" t="s">
        <v>1622</v>
      </c>
      <c r="I100" s="5">
        <v>208.78</v>
      </c>
      <c r="J100" s="5">
        <f t="shared" si="2"/>
        <v>2505.36</v>
      </c>
    </row>
    <row r="101" spans="1:10" x14ac:dyDescent="0.25">
      <c r="A101" s="9">
        <v>1055</v>
      </c>
      <c r="B101" s="5" t="s">
        <v>322</v>
      </c>
      <c r="C101" s="5" t="s">
        <v>323</v>
      </c>
      <c r="D101" s="5" t="s">
        <v>1618</v>
      </c>
      <c r="E101" s="6">
        <v>90189084</v>
      </c>
      <c r="F101" s="6">
        <v>12</v>
      </c>
      <c r="G101" s="6">
        <f t="shared" si="3"/>
        <v>1</v>
      </c>
      <c r="H101" s="6" t="s">
        <v>1622</v>
      </c>
      <c r="I101" s="5">
        <v>208.78</v>
      </c>
      <c r="J101" s="5">
        <f t="shared" si="2"/>
        <v>2505.36</v>
      </c>
    </row>
    <row r="102" spans="1:10" x14ac:dyDescent="0.25">
      <c r="A102" s="9">
        <v>1056</v>
      </c>
      <c r="B102" s="5" t="s">
        <v>132</v>
      </c>
      <c r="C102" s="5" t="s">
        <v>133</v>
      </c>
      <c r="D102" s="5" t="s">
        <v>1618</v>
      </c>
      <c r="E102" s="6">
        <v>73269098</v>
      </c>
      <c r="F102" s="6">
        <v>12</v>
      </c>
      <c r="G102" s="6">
        <f t="shared" si="3"/>
        <v>1</v>
      </c>
      <c r="H102" s="6" t="s">
        <v>1622</v>
      </c>
      <c r="I102" s="5">
        <v>82.09</v>
      </c>
      <c r="J102" s="5">
        <f t="shared" si="2"/>
        <v>985.08</v>
      </c>
    </row>
    <row r="103" spans="1:10" x14ac:dyDescent="0.25">
      <c r="A103" s="9">
        <v>1057</v>
      </c>
      <c r="B103" s="5" t="s">
        <v>134</v>
      </c>
      <c r="C103" s="5" t="s">
        <v>135</v>
      </c>
      <c r="D103" s="5" t="s">
        <v>1618</v>
      </c>
      <c r="E103" s="6">
        <v>73269098</v>
      </c>
      <c r="F103" s="6">
        <v>12</v>
      </c>
      <c r="G103" s="6">
        <f t="shared" si="3"/>
        <v>1</v>
      </c>
      <c r="H103" s="6" t="s">
        <v>1622</v>
      </c>
      <c r="I103" s="5">
        <v>58.88</v>
      </c>
      <c r="J103" s="5">
        <f t="shared" si="2"/>
        <v>706.56000000000006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10E3-7B85-48B6-A420-30B01317667C}">
  <dimension ref="A1:K95"/>
  <sheetViews>
    <sheetView workbookViewId="0">
      <selection activeCell="G4" sqref="G4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1682</v>
      </c>
      <c r="D2" s="11"/>
      <c r="E2" s="12"/>
      <c r="F2" s="12">
        <v>5</v>
      </c>
      <c r="G2" s="12"/>
      <c r="H2" s="12"/>
      <c r="I2" s="2"/>
      <c r="J2" s="13"/>
    </row>
    <row r="3" spans="1:10" x14ac:dyDescent="0.25">
      <c r="A3" s="9">
        <v>1058</v>
      </c>
      <c r="B3" s="5" t="s">
        <v>136</v>
      </c>
      <c r="C3" s="5" t="s">
        <v>137</v>
      </c>
      <c r="D3" s="5" t="s">
        <v>1618</v>
      </c>
      <c r="E3" s="6">
        <v>90189084</v>
      </c>
      <c r="F3" s="6">
        <v>5</v>
      </c>
      <c r="G3" s="6">
        <f>F3/$F$2</f>
        <v>1</v>
      </c>
      <c r="H3" s="6" t="s">
        <v>1622</v>
      </c>
      <c r="I3" s="5">
        <v>3.37</v>
      </c>
      <c r="J3" s="5">
        <f t="shared" ref="J3:J14" si="0">F3*I3</f>
        <v>16.850000000000001</v>
      </c>
    </row>
    <row r="4" spans="1:10" x14ac:dyDescent="0.25">
      <c r="A4" s="9">
        <v>1059</v>
      </c>
      <c r="B4" s="5" t="s">
        <v>20</v>
      </c>
      <c r="C4" s="5" t="s">
        <v>21</v>
      </c>
      <c r="D4" s="5" t="s">
        <v>1618</v>
      </c>
      <c r="E4" s="6">
        <v>90189084</v>
      </c>
      <c r="F4" s="6">
        <v>5</v>
      </c>
      <c r="G4" s="6">
        <f t="shared" ref="G4:G67" si="1">F4/$F$2</f>
        <v>1</v>
      </c>
      <c r="H4" s="6" t="s">
        <v>1622</v>
      </c>
      <c r="I4" s="5">
        <v>9.08</v>
      </c>
      <c r="J4" s="5">
        <f t="shared" si="0"/>
        <v>45.4</v>
      </c>
    </row>
    <row r="5" spans="1:10" x14ac:dyDescent="0.25">
      <c r="A5" s="9">
        <v>1060</v>
      </c>
      <c r="B5" s="5" t="s">
        <v>636</v>
      </c>
      <c r="C5" s="5" t="s">
        <v>637</v>
      </c>
      <c r="D5" s="5" t="s">
        <v>1618</v>
      </c>
      <c r="E5" s="6">
        <v>90189084</v>
      </c>
      <c r="F5" s="6">
        <v>5</v>
      </c>
      <c r="G5" s="6">
        <f t="shared" si="1"/>
        <v>1</v>
      </c>
      <c r="H5" s="6" t="s">
        <v>1622</v>
      </c>
      <c r="I5" s="5">
        <v>26.62</v>
      </c>
      <c r="J5" s="5">
        <f t="shared" si="0"/>
        <v>133.1</v>
      </c>
    </row>
    <row r="6" spans="1:10" x14ac:dyDescent="0.25">
      <c r="A6" s="9">
        <v>1061</v>
      </c>
      <c r="B6" s="5" t="s">
        <v>178</v>
      </c>
      <c r="C6" s="5" t="s">
        <v>179</v>
      </c>
      <c r="D6" s="5" t="s">
        <v>1618</v>
      </c>
      <c r="E6" s="6">
        <v>90189084</v>
      </c>
      <c r="F6" s="6">
        <v>5</v>
      </c>
      <c r="G6" s="6">
        <f t="shared" si="1"/>
        <v>1</v>
      </c>
      <c r="H6" s="6" t="s">
        <v>1622</v>
      </c>
      <c r="I6" s="5">
        <v>11.83</v>
      </c>
      <c r="J6" s="5">
        <f t="shared" si="0"/>
        <v>59.15</v>
      </c>
    </row>
    <row r="7" spans="1:10" x14ac:dyDescent="0.25">
      <c r="A7" s="9">
        <v>1062</v>
      </c>
      <c r="B7" s="5" t="s">
        <v>80</v>
      </c>
      <c r="C7" s="5" t="s">
        <v>1607</v>
      </c>
      <c r="D7" s="5" t="s">
        <v>1618</v>
      </c>
      <c r="E7" s="6">
        <v>90189084</v>
      </c>
      <c r="F7" s="6">
        <v>5</v>
      </c>
      <c r="G7" s="6">
        <f t="shared" si="1"/>
        <v>1</v>
      </c>
      <c r="H7" s="6" t="s">
        <v>1622</v>
      </c>
      <c r="I7" s="5">
        <v>37.979999999999997</v>
      </c>
      <c r="J7" s="5">
        <f t="shared" si="0"/>
        <v>189.89999999999998</v>
      </c>
    </row>
    <row r="8" spans="1:10" x14ac:dyDescent="0.25">
      <c r="A8" s="9">
        <v>1063</v>
      </c>
      <c r="B8" s="5" t="s">
        <v>1611</v>
      </c>
      <c r="C8" s="5" t="s">
        <v>1616</v>
      </c>
      <c r="D8" s="5" t="s">
        <v>1618</v>
      </c>
      <c r="E8" s="6">
        <v>90189084</v>
      </c>
      <c r="F8" s="6">
        <v>20</v>
      </c>
      <c r="G8" s="6">
        <f t="shared" si="1"/>
        <v>4</v>
      </c>
      <c r="H8" s="6" t="s">
        <v>1622</v>
      </c>
      <c r="I8" s="5">
        <v>24.97</v>
      </c>
      <c r="J8" s="5">
        <f t="shared" si="0"/>
        <v>499.4</v>
      </c>
    </row>
    <row r="9" spans="1:10" x14ac:dyDescent="0.25">
      <c r="A9" s="9">
        <v>1064</v>
      </c>
      <c r="B9" s="5" t="s">
        <v>1612</v>
      </c>
      <c r="C9" s="5" t="s">
        <v>1617</v>
      </c>
      <c r="D9" s="5" t="s">
        <v>1618</v>
      </c>
      <c r="E9" s="6">
        <v>90189084</v>
      </c>
      <c r="F9" s="6">
        <v>5</v>
      </c>
      <c r="G9" s="6">
        <f t="shared" si="1"/>
        <v>1</v>
      </c>
      <c r="H9" s="6" t="s">
        <v>1622</v>
      </c>
      <c r="I9" s="5">
        <v>51.99</v>
      </c>
      <c r="J9" s="5">
        <f t="shared" si="0"/>
        <v>259.95</v>
      </c>
    </row>
    <row r="10" spans="1:10" x14ac:dyDescent="0.25">
      <c r="A10" s="9">
        <v>1065</v>
      </c>
      <c r="B10" s="5" t="s">
        <v>636</v>
      </c>
      <c r="C10" s="5" t="s">
        <v>637</v>
      </c>
      <c r="D10" s="5" t="s">
        <v>1618</v>
      </c>
      <c r="E10" s="6">
        <v>90189084</v>
      </c>
      <c r="F10" s="6">
        <v>5</v>
      </c>
      <c r="G10" s="6">
        <f t="shared" si="1"/>
        <v>1</v>
      </c>
      <c r="H10" s="6" t="s">
        <v>1622</v>
      </c>
      <c r="I10" s="5">
        <v>26.62</v>
      </c>
      <c r="J10" s="5">
        <f t="shared" si="0"/>
        <v>133.1</v>
      </c>
    </row>
    <row r="11" spans="1:10" x14ac:dyDescent="0.25">
      <c r="A11" s="9">
        <v>1066</v>
      </c>
      <c r="B11" s="5" t="s">
        <v>178</v>
      </c>
      <c r="C11" s="5" t="s">
        <v>179</v>
      </c>
      <c r="D11" s="5" t="s">
        <v>1618</v>
      </c>
      <c r="E11" s="6">
        <v>90189084</v>
      </c>
      <c r="F11" s="6">
        <v>5</v>
      </c>
      <c r="G11" s="6">
        <f t="shared" si="1"/>
        <v>1</v>
      </c>
      <c r="H11" s="6" t="s">
        <v>1622</v>
      </c>
      <c r="I11" s="5">
        <v>11.83</v>
      </c>
      <c r="J11" s="5">
        <f t="shared" si="0"/>
        <v>59.15</v>
      </c>
    </row>
    <row r="12" spans="1:10" x14ac:dyDescent="0.25">
      <c r="A12" s="9">
        <v>1067</v>
      </c>
      <c r="B12" s="5" t="s">
        <v>80</v>
      </c>
      <c r="C12" s="5" t="s">
        <v>1607</v>
      </c>
      <c r="D12" s="5" t="s">
        <v>1618</v>
      </c>
      <c r="E12" s="6">
        <v>90189084</v>
      </c>
      <c r="F12" s="6">
        <v>5</v>
      </c>
      <c r="G12" s="6">
        <f t="shared" si="1"/>
        <v>1</v>
      </c>
      <c r="H12" s="6" t="s">
        <v>1622</v>
      </c>
      <c r="I12" s="5">
        <v>37.979999999999997</v>
      </c>
      <c r="J12" s="5">
        <f t="shared" si="0"/>
        <v>189.89999999999998</v>
      </c>
    </row>
    <row r="13" spans="1:10" x14ac:dyDescent="0.25">
      <c r="A13" s="9">
        <v>1068</v>
      </c>
      <c r="B13" s="5" t="s">
        <v>1611</v>
      </c>
      <c r="C13" s="5" t="s">
        <v>1616</v>
      </c>
      <c r="D13" s="5" t="s">
        <v>1618</v>
      </c>
      <c r="E13" s="6">
        <v>90189084</v>
      </c>
      <c r="F13" s="6">
        <v>5</v>
      </c>
      <c r="G13" s="6">
        <f t="shared" si="1"/>
        <v>1</v>
      </c>
      <c r="H13" s="6" t="s">
        <v>1622</v>
      </c>
      <c r="I13" s="5">
        <v>24.97</v>
      </c>
      <c r="J13" s="5">
        <f t="shared" si="0"/>
        <v>124.85</v>
      </c>
    </row>
    <row r="14" spans="1:10" x14ac:dyDescent="0.25">
      <c r="A14" s="9">
        <v>1069</v>
      </c>
      <c r="B14" s="5" t="s">
        <v>1612</v>
      </c>
      <c r="C14" s="5" t="s">
        <v>1617</v>
      </c>
      <c r="D14" s="5" t="s">
        <v>1618</v>
      </c>
      <c r="E14" s="6">
        <v>90189084</v>
      </c>
      <c r="F14" s="6">
        <v>5</v>
      </c>
      <c r="G14" s="6">
        <f t="shared" si="1"/>
        <v>1</v>
      </c>
      <c r="H14" s="6" t="s">
        <v>1622</v>
      </c>
      <c r="I14" s="5">
        <v>61.16</v>
      </c>
      <c r="J14" s="5">
        <f t="shared" si="0"/>
        <v>305.79999999999995</v>
      </c>
    </row>
    <row r="15" spans="1:10" x14ac:dyDescent="0.25">
      <c r="A15" s="9">
        <v>1070</v>
      </c>
      <c r="B15" s="5" t="s">
        <v>638</v>
      </c>
      <c r="C15" s="5" t="s">
        <v>639</v>
      </c>
      <c r="D15" s="5" t="s">
        <v>1618</v>
      </c>
      <c r="E15" s="6">
        <v>90189084</v>
      </c>
      <c r="F15" s="6">
        <v>5</v>
      </c>
      <c r="G15" s="6">
        <f t="shared" si="1"/>
        <v>1</v>
      </c>
      <c r="H15" s="6" t="s">
        <v>1622</v>
      </c>
      <c r="I15" s="5">
        <v>122.65</v>
      </c>
      <c r="J15" s="5">
        <f t="shared" ref="J15:J78" si="2">F15*I15</f>
        <v>613.25</v>
      </c>
    </row>
    <row r="16" spans="1:10" x14ac:dyDescent="0.25">
      <c r="A16" s="9">
        <v>1071</v>
      </c>
      <c r="B16" s="5" t="s">
        <v>640</v>
      </c>
      <c r="C16" s="5" t="s">
        <v>641</v>
      </c>
      <c r="D16" s="5" t="s">
        <v>1618</v>
      </c>
      <c r="E16" s="6">
        <v>90189084</v>
      </c>
      <c r="F16" s="6">
        <v>5</v>
      </c>
      <c r="G16" s="6">
        <f t="shared" si="1"/>
        <v>1</v>
      </c>
      <c r="H16" s="6" t="s">
        <v>1622</v>
      </c>
      <c r="I16" s="5">
        <v>48.01</v>
      </c>
      <c r="J16" s="5">
        <f t="shared" si="2"/>
        <v>240.04999999999998</v>
      </c>
    </row>
    <row r="17" spans="1:10" x14ac:dyDescent="0.25">
      <c r="A17" s="9">
        <v>1072</v>
      </c>
      <c r="B17" s="5" t="s">
        <v>642</v>
      </c>
      <c r="C17" s="5" t="s">
        <v>643</v>
      </c>
      <c r="D17" s="5" t="s">
        <v>1618</v>
      </c>
      <c r="E17" s="6">
        <v>90189084</v>
      </c>
      <c r="F17" s="6">
        <v>5</v>
      </c>
      <c r="G17" s="6">
        <f t="shared" si="1"/>
        <v>1</v>
      </c>
      <c r="H17" s="6" t="s">
        <v>1622</v>
      </c>
      <c r="I17" s="5">
        <v>52.15</v>
      </c>
      <c r="J17" s="5">
        <f t="shared" si="2"/>
        <v>260.75</v>
      </c>
    </row>
    <row r="18" spans="1:10" x14ac:dyDescent="0.25">
      <c r="A18" s="9">
        <v>1073</v>
      </c>
      <c r="B18" s="5" t="s">
        <v>644</v>
      </c>
      <c r="C18" s="5" t="s">
        <v>645</v>
      </c>
      <c r="D18" s="5" t="s">
        <v>1619</v>
      </c>
      <c r="E18" s="6">
        <v>90189084</v>
      </c>
      <c r="F18" s="6">
        <v>5</v>
      </c>
      <c r="G18" s="6">
        <f t="shared" si="1"/>
        <v>1</v>
      </c>
      <c r="H18" s="6" t="s">
        <v>1622</v>
      </c>
      <c r="I18" s="5">
        <v>39.869999999999997</v>
      </c>
      <c r="J18" s="5">
        <f t="shared" si="2"/>
        <v>199.35</v>
      </c>
    </row>
    <row r="19" spans="1:10" x14ac:dyDescent="0.25">
      <c r="A19" s="9">
        <v>1074</v>
      </c>
      <c r="B19" s="5" t="s">
        <v>646</v>
      </c>
      <c r="C19" s="5" t="s">
        <v>647</v>
      </c>
      <c r="D19" s="5" t="s">
        <v>1619</v>
      </c>
      <c r="E19" s="6">
        <v>90189084</v>
      </c>
      <c r="F19" s="6">
        <v>5</v>
      </c>
      <c r="G19" s="6">
        <f t="shared" si="1"/>
        <v>1</v>
      </c>
      <c r="H19" s="6" t="s">
        <v>1622</v>
      </c>
      <c r="I19" s="5">
        <v>50.99</v>
      </c>
      <c r="J19" s="5">
        <f t="shared" si="2"/>
        <v>254.95000000000002</v>
      </c>
    </row>
    <row r="20" spans="1:10" x14ac:dyDescent="0.25">
      <c r="A20" s="9">
        <v>1075</v>
      </c>
      <c r="B20" s="5" t="s">
        <v>102</v>
      </c>
      <c r="C20" s="5" t="s">
        <v>103</v>
      </c>
      <c r="D20" s="5" t="s">
        <v>1619</v>
      </c>
      <c r="E20" s="6">
        <v>90189084</v>
      </c>
      <c r="F20" s="6">
        <v>5</v>
      </c>
      <c r="G20" s="6">
        <f t="shared" si="1"/>
        <v>1</v>
      </c>
      <c r="H20" s="6" t="s">
        <v>1622</v>
      </c>
      <c r="I20" s="5">
        <v>14.66</v>
      </c>
      <c r="J20" s="5">
        <f t="shared" si="2"/>
        <v>73.3</v>
      </c>
    </row>
    <row r="21" spans="1:10" x14ac:dyDescent="0.25">
      <c r="A21" s="9">
        <v>1076</v>
      </c>
      <c r="B21" s="5" t="s">
        <v>648</v>
      </c>
      <c r="C21" s="5" t="s">
        <v>649</v>
      </c>
      <c r="D21" s="5" t="s">
        <v>1619</v>
      </c>
      <c r="E21" s="6">
        <v>90189084</v>
      </c>
      <c r="F21" s="6">
        <v>20</v>
      </c>
      <c r="G21" s="6">
        <f t="shared" si="1"/>
        <v>4</v>
      </c>
      <c r="H21" s="6" t="s">
        <v>1622</v>
      </c>
      <c r="I21" s="5">
        <v>11.62</v>
      </c>
      <c r="J21" s="5">
        <f t="shared" si="2"/>
        <v>232.39999999999998</v>
      </c>
    </row>
    <row r="22" spans="1:10" x14ac:dyDescent="0.25">
      <c r="A22" s="9">
        <v>1077</v>
      </c>
      <c r="B22" s="5" t="s">
        <v>650</v>
      </c>
      <c r="C22" s="5" t="s">
        <v>651</v>
      </c>
      <c r="D22" s="5" t="s">
        <v>1619</v>
      </c>
      <c r="E22" s="6">
        <v>90189084</v>
      </c>
      <c r="F22" s="6">
        <v>20</v>
      </c>
      <c r="G22" s="6">
        <f t="shared" si="1"/>
        <v>4</v>
      </c>
      <c r="H22" s="6" t="s">
        <v>1622</v>
      </c>
      <c r="I22" s="5">
        <v>12.34</v>
      </c>
      <c r="J22" s="5">
        <f t="shared" si="2"/>
        <v>246.8</v>
      </c>
    </row>
    <row r="23" spans="1:10" x14ac:dyDescent="0.25">
      <c r="A23" s="9">
        <v>1078</v>
      </c>
      <c r="B23" s="5" t="s">
        <v>652</v>
      </c>
      <c r="C23" s="5" t="s">
        <v>653</v>
      </c>
      <c r="D23" s="5" t="s">
        <v>1619</v>
      </c>
      <c r="E23" s="6">
        <v>90189084</v>
      </c>
      <c r="F23" s="6">
        <v>20</v>
      </c>
      <c r="G23" s="6">
        <f t="shared" si="1"/>
        <v>4</v>
      </c>
      <c r="H23" s="6" t="s">
        <v>1622</v>
      </c>
      <c r="I23" s="5">
        <v>14.86</v>
      </c>
      <c r="J23" s="5">
        <f t="shared" si="2"/>
        <v>297.2</v>
      </c>
    </row>
    <row r="24" spans="1:10" x14ac:dyDescent="0.25">
      <c r="A24" s="9">
        <v>1079</v>
      </c>
      <c r="B24" s="5" t="s">
        <v>648</v>
      </c>
      <c r="C24" s="5" t="s">
        <v>649</v>
      </c>
      <c r="D24" s="5" t="s">
        <v>1619</v>
      </c>
      <c r="E24" s="6">
        <v>90189084</v>
      </c>
      <c r="F24" s="6">
        <v>10</v>
      </c>
      <c r="G24" s="6">
        <f t="shared" si="1"/>
        <v>2</v>
      </c>
      <c r="H24" s="6" t="s">
        <v>1622</v>
      </c>
      <c r="I24" s="5">
        <v>11.62</v>
      </c>
      <c r="J24" s="5">
        <f t="shared" si="2"/>
        <v>116.19999999999999</v>
      </c>
    </row>
    <row r="25" spans="1:10" x14ac:dyDescent="0.25">
      <c r="A25" s="9">
        <v>1080</v>
      </c>
      <c r="B25" s="5" t="s">
        <v>650</v>
      </c>
      <c r="C25" s="5" t="s">
        <v>651</v>
      </c>
      <c r="D25" s="5" t="s">
        <v>1619</v>
      </c>
      <c r="E25" s="6">
        <v>90189084</v>
      </c>
      <c r="F25" s="6">
        <v>10</v>
      </c>
      <c r="G25" s="6">
        <f t="shared" si="1"/>
        <v>2</v>
      </c>
      <c r="H25" s="6" t="s">
        <v>1622</v>
      </c>
      <c r="I25" s="5">
        <v>12.34</v>
      </c>
      <c r="J25" s="5">
        <f t="shared" si="2"/>
        <v>123.4</v>
      </c>
    </row>
    <row r="26" spans="1:10" x14ac:dyDescent="0.25">
      <c r="A26" s="9">
        <v>1081</v>
      </c>
      <c r="B26" s="5" t="s">
        <v>652</v>
      </c>
      <c r="C26" s="5" t="s">
        <v>653</v>
      </c>
      <c r="D26" s="5" t="s">
        <v>1619</v>
      </c>
      <c r="E26" s="6">
        <v>90189084</v>
      </c>
      <c r="F26" s="6">
        <v>10</v>
      </c>
      <c r="G26" s="6">
        <f t="shared" si="1"/>
        <v>2</v>
      </c>
      <c r="H26" s="6" t="s">
        <v>1622</v>
      </c>
      <c r="I26" s="5">
        <v>14.86</v>
      </c>
      <c r="J26" s="5">
        <f t="shared" si="2"/>
        <v>148.6</v>
      </c>
    </row>
    <row r="27" spans="1:10" x14ac:dyDescent="0.25">
      <c r="A27" s="9">
        <v>1082</v>
      </c>
      <c r="B27" s="5" t="s">
        <v>654</v>
      </c>
      <c r="C27" s="5" t="s">
        <v>655</v>
      </c>
      <c r="D27" s="5" t="s">
        <v>1618</v>
      </c>
      <c r="E27" s="6">
        <v>90189084</v>
      </c>
      <c r="F27" s="6">
        <v>5</v>
      </c>
      <c r="G27" s="6">
        <f t="shared" si="1"/>
        <v>1</v>
      </c>
      <c r="H27" s="6" t="s">
        <v>1622</v>
      </c>
      <c r="I27" s="5">
        <v>3.74</v>
      </c>
      <c r="J27" s="5">
        <f t="shared" si="2"/>
        <v>18.700000000000003</v>
      </c>
    </row>
    <row r="28" spans="1:10" x14ac:dyDescent="0.25">
      <c r="A28" s="9">
        <v>1083</v>
      </c>
      <c r="B28" s="5" t="s">
        <v>656</v>
      </c>
      <c r="C28" s="5" t="s">
        <v>657</v>
      </c>
      <c r="D28" s="5" t="s">
        <v>1618</v>
      </c>
      <c r="E28" s="6">
        <v>90189084</v>
      </c>
      <c r="F28" s="6">
        <v>5</v>
      </c>
      <c r="G28" s="6">
        <f t="shared" si="1"/>
        <v>1</v>
      </c>
      <c r="H28" s="6" t="s">
        <v>1622</v>
      </c>
      <c r="I28" s="5">
        <v>16.98</v>
      </c>
      <c r="J28" s="5">
        <f t="shared" si="2"/>
        <v>84.9</v>
      </c>
    </row>
    <row r="29" spans="1:10" x14ac:dyDescent="0.25">
      <c r="A29" s="9">
        <v>1084</v>
      </c>
      <c r="B29" s="5" t="s">
        <v>658</v>
      </c>
      <c r="C29" s="5" t="s">
        <v>659</v>
      </c>
      <c r="D29" s="5" t="s">
        <v>1618</v>
      </c>
      <c r="E29" s="6">
        <v>90189084</v>
      </c>
      <c r="F29" s="6">
        <v>5</v>
      </c>
      <c r="G29" s="6">
        <f t="shared" si="1"/>
        <v>1</v>
      </c>
      <c r="H29" s="6" t="s">
        <v>1622</v>
      </c>
      <c r="I29" s="5">
        <v>21.25</v>
      </c>
      <c r="J29" s="5">
        <f t="shared" si="2"/>
        <v>106.25</v>
      </c>
    </row>
    <row r="30" spans="1:10" x14ac:dyDescent="0.25">
      <c r="A30" s="9">
        <v>1085</v>
      </c>
      <c r="B30" s="5" t="s">
        <v>660</v>
      </c>
      <c r="C30" s="5" t="s">
        <v>661</v>
      </c>
      <c r="D30" s="5" t="s">
        <v>1618</v>
      </c>
      <c r="E30" s="6">
        <v>90189084</v>
      </c>
      <c r="F30" s="6">
        <v>10</v>
      </c>
      <c r="G30" s="6">
        <f t="shared" si="1"/>
        <v>2</v>
      </c>
      <c r="H30" s="6" t="s">
        <v>1622</v>
      </c>
      <c r="I30" s="5">
        <v>29.01</v>
      </c>
      <c r="J30" s="5">
        <f t="shared" si="2"/>
        <v>290.10000000000002</v>
      </c>
    </row>
    <row r="31" spans="1:10" x14ac:dyDescent="0.25">
      <c r="A31" s="9">
        <v>1086</v>
      </c>
      <c r="B31" s="5" t="s">
        <v>662</v>
      </c>
      <c r="C31" s="5" t="s">
        <v>663</v>
      </c>
      <c r="D31" s="5" t="s">
        <v>1618</v>
      </c>
      <c r="E31" s="6">
        <v>90189084</v>
      </c>
      <c r="F31" s="6">
        <v>5</v>
      </c>
      <c r="G31" s="6">
        <f t="shared" si="1"/>
        <v>1</v>
      </c>
      <c r="H31" s="6" t="s">
        <v>1622</v>
      </c>
      <c r="I31" s="5">
        <v>36.5</v>
      </c>
      <c r="J31" s="5">
        <f t="shared" si="2"/>
        <v>182.5</v>
      </c>
    </row>
    <row r="32" spans="1:10" x14ac:dyDescent="0.25">
      <c r="A32" s="9">
        <v>1087</v>
      </c>
      <c r="B32" s="5" t="s">
        <v>664</v>
      </c>
      <c r="C32" s="5" t="s">
        <v>665</v>
      </c>
      <c r="D32" s="5" t="s">
        <v>1618</v>
      </c>
      <c r="E32" s="6">
        <v>90189084</v>
      </c>
      <c r="F32" s="6">
        <v>5</v>
      </c>
      <c r="G32" s="6">
        <f t="shared" si="1"/>
        <v>1</v>
      </c>
      <c r="H32" s="6" t="s">
        <v>1622</v>
      </c>
      <c r="I32" s="5">
        <v>36.5</v>
      </c>
      <c r="J32" s="5">
        <f t="shared" si="2"/>
        <v>182.5</v>
      </c>
    </row>
    <row r="33" spans="1:10" x14ac:dyDescent="0.25">
      <c r="A33" s="9">
        <v>1088</v>
      </c>
      <c r="B33" s="5" t="s">
        <v>666</v>
      </c>
      <c r="C33" s="5" t="s">
        <v>667</v>
      </c>
      <c r="D33" s="5" t="s">
        <v>1618</v>
      </c>
      <c r="E33" s="6">
        <v>90189084</v>
      </c>
      <c r="F33" s="6">
        <v>5</v>
      </c>
      <c r="G33" s="6">
        <f t="shared" si="1"/>
        <v>1</v>
      </c>
      <c r="H33" s="6" t="s">
        <v>1622</v>
      </c>
      <c r="I33" s="5">
        <v>77.19</v>
      </c>
      <c r="J33" s="5">
        <f t="shared" si="2"/>
        <v>385.95</v>
      </c>
    </row>
    <row r="34" spans="1:10" x14ac:dyDescent="0.25">
      <c r="A34" s="9">
        <v>1089</v>
      </c>
      <c r="B34" s="5" t="s">
        <v>668</v>
      </c>
      <c r="C34" s="5" t="s">
        <v>669</v>
      </c>
      <c r="D34" s="5" t="s">
        <v>1618</v>
      </c>
      <c r="E34" s="6">
        <v>90189084</v>
      </c>
      <c r="F34" s="6">
        <v>5</v>
      </c>
      <c r="G34" s="6">
        <f t="shared" si="1"/>
        <v>1</v>
      </c>
      <c r="H34" s="6" t="s">
        <v>1622</v>
      </c>
      <c r="I34" s="5">
        <v>70.28</v>
      </c>
      <c r="J34" s="5">
        <f t="shared" si="2"/>
        <v>351.4</v>
      </c>
    </row>
    <row r="35" spans="1:10" x14ac:dyDescent="0.25">
      <c r="A35" s="9">
        <v>1090</v>
      </c>
      <c r="B35" s="5" t="s">
        <v>384</v>
      </c>
      <c r="C35" s="5" t="s">
        <v>385</v>
      </c>
      <c r="D35" s="5" t="s">
        <v>1618</v>
      </c>
      <c r="E35" s="6">
        <v>90189084</v>
      </c>
      <c r="F35" s="6">
        <v>10</v>
      </c>
      <c r="G35" s="6">
        <f t="shared" si="1"/>
        <v>2</v>
      </c>
      <c r="H35" s="6" t="s">
        <v>1622</v>
      </c>
      <c r="I35" s="5">
        <v>19.260000000000002</v>
      </c>
      <c r="J35" s="5">
        <f t="shared" si="2"/>
        <v>192.60000000000002</v>
      </c>
    </row>
    <row r="36" spans="1:10" x14ac:dyDescent="0.25">
      <c r="A36" s="9">
        <v>1091</v>
      </c>
      <c r="B36" s="5" t="s">
        <v>334</v>
      </c>
      <c r="C36" s="5" t="s">
        <v>335</v>
      </c>
      <c r="D36" s="5" t="s">
        <v>1618</v>
      </c>
      <c r="E36" s="6">
        <v>90189084</v>
      </c>
      <c r="F36" s="6">
        <v>5</v>
      </c>
      <c r="G36" s="6">
        <f t="shared" si="1"/>
        <v>1</v>
      </c>
      <c r="H36" s="6" t="s">
        <v>1622</v>
      </c>
      <c r="I36" s="5">
        <v>30.54</v>
      </c>
      <c r="J36" s="5">
        <f t="shared" si="2"/>
        <v>152.69999999999999</v>
      </c>
    </row>
    <row r="37" spans="1:10" x14ac:dyDescent="0.25">
      <c r="A37" s="9">
        <v>1092</v>
      </c>
      <c r="B37" s="5" t="s">
        <v>670</v>
      </c>
      <c r="C37" s="5" t="s">
        <v>671</v>
      </c>
      <c r="D37" s="5" t="s">
        <v>1618</v>
      </c>
      <c r="E37" s="6">
        <v>90189084</v>
      </c>
      <c r="F37" s="6">
        <v>5</v>
      </c>
      <c r="G37" s="6">
        <f t="shared" si="1"/>
        <v>1</v>
      </c>
      <c r="H37" s="6" t="s">
        <v>1622</v>
      </c>
      <c r="I37" s="5">
        <v>32.03</v>
      </c>
      <c r="J37" s="5">
        <f t="shared" si="2"/>
        <v>160.15</v>
      </c>
    </row>
    <row r="38" spans="1:10" x14ac:dyDescent="0.25">
      <c r="A38" s="9">
        <v>1093</v>
      </c>
      <c r="B38" s="5" t="s">
        <v>672</v>
      </c>
      <c r="C38" s="5" t="s">
        <v>673</v>
      </c>
      <c r="D38" s="5" t="s">
        <v>1618</v>
      </c>
      <c r="E38" s="6">
        <v>90189084</v>
      </c>
      <c r="F38" s="6">
        <v>5</v>
      </c>
      <c r="G38" s="6">
        <f t="shared" si="1"/>
        <v>1</v>
      </c>
      <c r="H38" s="6" t="s">
        <v>1622</v>
      </c>
      <c r="I38" s="5">
        <v>125.73</v>
      </c>
      <c r="J38" s="5">
        <f t="shared" si="2"/>
        <v>628.65</v>
      </c>
    </row>
    <row r="39" spans="1:10" x14ac:dyDescent="0.25">
      <c r="A39" s="9">
        <v>1094</v>
      </c>
      <c r="B39" s="5" t="s">
        <v>674</v>
      </c>
      <c r="C39" s="5" t="s">
        <v>367</v>
      </c>
      <c r="D39" s="5" t="s">
        <v>1618</v>
      </c>
      <c r="E39" s="6">
        <v>90189084</v>
      </c>
      <c r="F39" s="6">
        <v>5</v>
      </c>
      <c r="G39" s="6">
        <f t="shared" si="1"/>
        <v>1</v>
      </c>
      <c r="H39" s="6" t="s">
        <v>1622</v>
      </c>
      <c r="I39" s="5">
        <v>208.32</v>
      </c>
      <c r="J39" s="5">
        <f t="shared" si="2"/>
        <v>1041.5999999999999</v>
      </c>
    </row>
    <row r="40" spans="1:10" x14ac:dyDescent="0.25">
      <c r="A40" s="9">
        <v>1095</v>
      </c>
      <c r="B40" s="5" t="s">
        <v>675</v>
      </c>
      <c r="C40" s="5" t="s">
        <v>676</v>
      </c>
      <c r="D40" s="5" t="s">
        <v>1618</v>
      </c>
      <c r="E40" s="6">
        <v>90189084</v>
      </c>
      <c r="F40" s="6">
        <v>5</v>
      </c>
      <c r="G40" s="6">
        <f t="shared" si="1"/>
        <v>1</v>
      </c>
      <c r="H40" s="6" t="s">
        <v>1622</v>
      </c>
      <c r="I40" s="5">
        <v>19.690000000000001</v>
      </c>
      <c r="J40" s="5">
        <f t="shared" si="2"/>
        <v>98.45</v>
      </c>
    </row>
    <row r="41" spans="1:10" x14ac:dyDescent="0.25">
      <c r="A41" s="9">
        <v>1096</v>
      </c>
      <c r="B41" s="5" t="s">
        <v>677</v>
      </c>
      <c r="C41" s="5" t="s">
        <v>678</v>
      </c>
      <c r="D41" s="5" t="s">
        <v>1618</v>
      </c>
      <c r="E41" s="6">
        <v>90189084</v>
      </c>
      <c r="F41" s="6">
        <v>5</v>
      </c>
      <c r="G41" s="6">
        <f t="shared" si="1"/>
        <v>1</v>
      </c>
      <c r="H41" s="6" t="s">
        <v>1622</v>
      </c>
      <c r="I41" s="5">
        <v>25.23</v>
      </c>
      <c r="J41" s="5">
        <f t="shared" si="2"/>
        <v>126.15</v>
      </c>
    </row>
    <row r="42" spans="1:10" x14ac:dyDescent="0.25">
      <c r="A42" s="9">
        <v>1097</v>
      </c>
      <c r="B42" s="5" t="s">
        <v>679</v>
      </c>
      <c r="C42" s="5" t="s">
        <v>680</v>
      </c>
      <c r="D42" s="5" t="s">
        <v>1618</v>
      </c>
      <c r="E42" s="6">
        <v>90189084</v>
      </c>
      <c r="F42" s="6">
        <v>5</v>
      </c>
      <c r="G42" s="6">
        <f t="shared" si="1"/>
        <v>1</v>
      </c>
      <c r="H42" s="6" t="s">
        <v>1622</v>
      </c>
      <c r="I42" s="5">
        <v>25.93</v>
      </c>
      <c r="J42" s="5">
        <f t="shared" si="2"/>
        <v>129.65</v>
      </c>
    </row>
    <row r="43" spans="1:10" x14ac:dyDescent="0.25">
      <c r="A43" s="9">
        <v>1098</v>
      </c>
      <c r="B43" s="5" t="s">
        <v>681</v>
      </c>
      <c r="C43" s="5" t="s">
        <v>682</v>
      </c>
      <c r="D43" s="5" t="s">
        <v>1618</v>
      </c>
      <c r="E43" s="6">
        <v>90189084</v>
      </c>
      <c r="F43" s="6">
        <v>5</v>
      </c>
      <c r="G43" s="6">
        <f t="shared" si="1"/>
        <v>1</v>
      </c>
      <c r="H43" s="6" t="s">
        <v>1622</v>
      </c>
      <c r="I43" s="5">
        <v>68.06</v>
      </c>
      <c r="J43" s="5">
        <f t="shared" si="2"/>
        <v>340.3</v>
      </c>
    </row>
    <row r="44" spans="1:10" x14ac:dyDescent="0.25">
      <c r="A44" s="9">
        <v>1099</v>
      </c>
      <c r="B44" s="5" t="s">
        <v>112</v>
      </c>
      <c r="C44" s="5" t="s">
        <v>113</v>
      </c>
      <c r="D44" s="5" t="s">
        <v>1618</v>
      </c>
      <c r="E44" s="6">
        <v>73269098</v>
      </c>
      <c r="F44" s="6">
        <v>5</v>
      </c>
      <c r="G44" s="6">
        <f t="shared" si="1"/>
        <v>1</v>
      </c>
      <c r="H44" s="6" t="s">
        <v>1622</v>
      </c>
      <c r="I44" s="5">
        <v>1841.54</v>
      </c>
      <c r="J44" s="5">
        <f t="shared" si="2"/>
        <v>9207.7000000000007</v>
      </c>
    </row>
    <row r="45" spans="1:10" x14ac:dyDescent="0.25">
      <c r="A45" s="9">
        <v>1100</v>
      </c>
      <c r="B45" s="5" t="s">
        <v>114</v>
      </c>
      <c r="C45" s="5" t="s">
        <v>115</v>
      </c>
      <c r="D45" s="5" t="s">
        <v>1618</v>
      </c>
      <c r="E45" s="6">
        <v>73269098</v>
      </c>
      <c r="F45" s="6">
        <v>5</v>
      </c>
      <c r="G45" s="6">
        <f t="shared" si="1"/>
        <v>1</v>
      </c>
      <c r="H45" s="6" t="s">
        <v>1622</v>
      </c>
      <c r="I45" s="5">
        <v>293.41000000000003</v>
      </c>
      <c r="J45" s="5">
        <f t="shared" si="2"/>
        <v>1467.0500000000002</v>
      </c>
    </row>
    <row r="46" spans="1:10" x14ac:dyDescent="0.25">
      <c r="A46" s="9">
        <v>1101</v>
      </c>
      <c r="B46" s="5" t="s">
        <v>116</v>
      </c>
      <c r="C46" s="5" t="s">
        <v>117</v>
      </c>
      <c r="D46" s="5" t="s">
        <v>1618</v>
      </c>
      <c r="E46" s="6">
        <v>73269098</v>
      </c>
      <c r="F46" s="6">
        <v>5</v>
      </c>
      <c r="G46" s="6">
        <f t="shared" si="1"/>
        <v>1</v>
      </c>
      <c r="H46" s="6" t="s">
        <v>1622</v>
      </c>
      <c r="I46" s="5">
        <v>1371.34</v>
      </c>
      <c r="J46" s="5">
        <f t="shared" si="2"/>
        <v>6856.7</v>
      </c>
    </row>
    <row r="47" spans="1:10" x14ac:dyDescent="0.25">
      <c r="A47" s="9">
        <v>1102</v>
      </c>
      <c r="B47" s="5" t="s">
        <v>118</v>
      </c>
      <c r="C47" s="5" t="s">
        <v>119</v>
      </c>
      <c r="D47" s="5" t="s">
        <v>1618</v>
      </c>
      <c r="E47" s="6">
        <v>73269098</v>
      </c>
      <c r="F47" s="6">
        <v>10</v>
      </c>
      <c r="G47" s="6">
        <f t="shared" si="1"/>
        <v>2</v>
      </c>
      <c r="H47" s="6" t="s">
        <v>1622</v>
      </c>
      <c r="I47" s="5">
        <v>586.75</v>
      </c>
      <c r="J47" s="5">
        <f t="shared" si="2"/>
        <v>5867.5</v>
      </c>
    </row>
    <row r="48" spans="1:10" x14ac:dyDescent="0.25">
      <c r="A48" s="9">
        <v>1103</v>
      </c>
      <c r="B48" s="5" t="s">
        <v>120</v>
      </c>
      <c r="C48" s="5" t="s">
        <v>121</v>
      </c>
      <c r="D48" s="5" t="s">
        <v>1618</v>
      </c>
      <c r="E48" s="6">
        <v>73269098</v>
      </c>
      <c r="F48" s="6">
        <v>30</v>
      </c>
      <c r="G48" s="6">
        <f t="shared" si="1"/>
        <v>6</v>
      </c>
      <c r="H48" s="6" t="s">
        <v>1622</v>
      </c>
      <c r="I48" s="5">
        <v>525.12</v>
      </c>
      <c r="J48" s="5">
        <f t="shared" si="2"/>
        <v>15753.6</v>
      </c>
    </row>
    <row r="49" spans="1:10" x14ac:dyDescent="0.25">
      <c r="A49" s="9">
        <v>1104</v>
      </c>
      <c r="B49" s="5" t="s">
        <v>124</v>
      </c>
      <c r="C49" s="5" t="s">
        <v>125</v>
      </c>
      <c r="D49" s="5" t="s">
        <v>1618</v>
      </c>
      <c r="E49" s="6">
        <v>73269098</v>
      </c>
      <c r="F49" s="6">
        <v>30</v>
      </c>
      <c r="G49" s="6">
        <f t="shared" si="1"/>
        <v>6</v>
      </c>
      <c r="H49" s="6" t="s">
        <v>1622</v>
      </c>
      <c r="I49" s="5">
        <v>332.42</v>
      </c>
      <c r="J49" s="5">
        <f t="shared" si="2"/>
        <v>9972.6</v>
      </c>
    </row>
    <row r="50" spans="1:10" x14ac:dyDescent="0.25">
      <c r="A50" s="9">
        <v>1105</v>
      </c>
      <c r="B50" s="5" t="s">
        <v>683</v>
      </c>
      <c r="C50" s="5" t="s">
        <v>684</v>
      </c>
      <c r="D50" s="5" t="s">
        <v>1618</v>
      </c>
      <c r="E50" s="6">
        <v>73269098</v>
      </c>
      <c r="F50" s="6">
        <v>10</v>
      </c>
      <c r="G50" s="6">
        <f t="shared" si="1"/>
        <v>2</v>
      </c>
      <c r="H50" s="6" t="s">
        <v>1622</v>
      </c>
      <c r="I50" s="5">
        <v>151.69</v>
      </c>
      <c r="J50" s="5">
        <f t="shared" si="2"/>
        <v>1516.9</v>
      </c>
    </row>
    <row r="51" spans="1:10" x14ac:dyDescent="0.25">
      <c r="A51" s="9">
        <v>1106</v>
      </c>
      <c r="B51" s="5" t="s">
        <v>685</v>
      </c>
      <c r="C51" s="5" t="s">
        <v>686</v>
      </c>
      <c r="D51" s="5" t="s">
        <v>1618</v>
      </c>
      <c r="E51" s="6">
        <v>90189084</v>
      </c>
      <c r="F51" s="6">
        <v>10</v>
      </c>
      <c r="G51" s="6">
        <f t="shared" si="1"/>
        <v>2</v>
      </c>
      <c r="H51" s="6" t="s">
        <v>1622</v>
      </c>
      <c r="I51" s="5">
        <v>165.68</v>
      </c>
      <c r="J51" s="5">
        <f t="shared" si="2"/>
        <v>1656.8000000000002</v>
      </c>
    </row>
    <row r="52" spans="1:10" x14ac:dyDescent="0.25">
      <c r="A52" s="9">
        <v>1107</v>
      </c>
      <c r="B52" s="5" t="s">
        <v>687</v>
      </c>
      <c r="C52" s="5" t="s">
        <v>688</v>
      </c>
      <c r="D52" s="5" t="s">
        <v>1618</v>
      </c>
      <c r="E52" s="6">
        <v>90189084</v>
      </c>
      <c r="F52" s="6">
        <v>5</v>
      </c>
      <c r="G52" s="6">
        <f t="shared" si="1"/>
        <v>1</v>
      </c>
      <c r="H52" s="6" t="s">
        <v>1622</v>
      </c>
      <c r="I52" s="5">
        <v>193.51</v>
      </c>
      <c r="J52" s="5">
        <f t="shared" si="2"/>
        <v>967.55</v>
      </c>
    </row>
    <row r="53" spans="1:10" x14ac:dyDescent="0.25">
      <c r="A53" s="9">
        <v>1108</v>
      </c>
      <c r="B53" s="5" t="s">
        <v>689</v>
      </c>
      <c r="C53" s="5" t="s">
        <v>690</v>
      </c>
      <c r="D53" s="5" t="s">
        <v>1618</v>
      </c>
      <c r="E53" s="6">
        <v>90189084</v>
      </c>
      <c r="F53" s="6">
        <v>5</v>
      </c>
      <c r="G53" s="6">
        <f t="shared" si="1"/>
        <v>1</v>
      </c>
      <c r="H53" s="6" t="s">
        <v>1622</v>
      </c>
      <c r="I53" s="5">
        <v>146.74</v>
      </c>
      <c r="J53" s="5">
        <f t="shared" si="2"/>
        <v>733.7</v>
      </c>
    </row>
    <row r="54" spans="1:10" x14ac:dyDescent="0.25">
      <c r="A54" s="9">
        <v>1109</v>
      </c>
      <c r="B54" s="5" t="s">
        <v>691</v>
      </c>
      <c r="C54" s="5" t="s">
        <v>692</v>
      </c>
      <c r="D54" s="5" t="s">
        <v>1618</v>
      </c>
      <c r="E54" s="6">
        <v>90189084</v>
      </c>
      <c r="F54" s="6">
        <v>5</v>
      </c>
      <c r="G54" s="6">
        <f t="shared" si="1"/>
        <v>1</v>
      </c>
      <c r="H54" s="6" t="s">
        <v>1622</v>
      </c>
      <c r="I54" s="5">
        <v>74.27</v>
      </c>
      <c r="J54" s="5">
        <f t="shared" si="2"/>
        <v>371.34999999999997</v>
      </c>
    </row>
    <row r="55" spans="1:10" x14ac:dyDescent="0.25">
      <c r="A55" s="9">
        <v>1110</v>
      </c>
      <c r="B55" s="5" t="s">
        <v>693</v>
      </c>
      <c r="C55" s="5" t="s">
        <v>694</v>
      </c>
      <c r="D55" s="5" t="s">
        <v>1618</v>
      </c>
      <c r="E55" s="6">
        <v>90189084</v>
      </c>
      <c r="F55" s="6">
        <v>5</v>
      </c>
      <c r="G55" s="6">
        <f t="shared" si="1"/>
        <v>1</v>
      </c>
      <c r="H55" s="6" t="s">
        <v>1622</v>
      </c>
      <c r="I55" s="5">
        <v>74.27</v>
      </c>
      <c r="J55" s="5">
        <f t="shared" si="2"/>
        <v>371.34999999999997</v>
      </c>
    </row>
    <row r="56" spans="1:10" x14ac:dyDescent="0.25">
      <c r="A56" s="9">
        <v>1111</v>
      </c>
      <c r="B56" s="5" t="s">
        <v>695</v>
      </c>
      <c r="C56" s="5" t="s">
        <v>696</v>
      </c>
      <c r="D56" s="5" t="s">
        <v>1618</v>
      </c>
      <c r="E56" s="6">
        <v>90189084</v>
      </c>
      <c r="F56" s="6">
        <v>5</v>
      </c>
      <c r="G56" s="6">
        <f t="shared" si="1"/>
        <v>1</v>
      </c>
      <c r="H56" s="6" t="s">
        <v>1622</v>
      </c>
      <c r="I56" s="5">
        <v>74.27</v>
      </c>
      <c r="J56" s="5">
        <f t="shared" si="2"/>
        <v>371.34999999999997</v>
      </c>
    </row>
    <row r="57" spans="1:10" x14ac:dyDescent="0.25">
      <c r="A57" s="9">
        <v>1112</v>
      </c>
      <c r="B57" s="5" t="s">
        <v>697</v>
      </c>
      <c r="C57" s="5" t="s">
        <v>698</v>
      </c>
      <c r="D57" s="5" t="s">
        <v>1618</v>
      </c>
      <c r="E57" s="6">
        <v>90189084</v>
      </c>
      <c r="F57" s="6">
        <v>5</v>
      </c>
      <c r="G57" s="6">
        <f t="shared" si="1"/>
        <v>1</v>
      </c>
      <c r="H57" s="6" t="s">
        <v>1622</v>
      </c>
      <c r="I57" s="5">
        <v>74.27</v>
      </c>
      <c r="J57" s="5">
        <f t="shared" si="2"/>
        <v>371.34999999999997</v>
      </c>
    </row>
    <row r="58" spans="1:10" x14ac:dyDescent="0.25">
      <c r="A58" s="9">
        <v>1113</v>
      </c>
      <c r="B58" s="5" t="s">
        <v>699</v>
      </c>
      <c r="C58" s="5" t="s">
        <v>700</v>
      </c>
      <c r="D58" s="5" t="s">
        <v>1619</v>
      </c>
      <c r="E58" s="6">
        <v>90189084</v>
      </c>
      <c r="F58" s="6">
        <v>10</v>
      </c>
      <c r="G58" s="6">
        <f t="shared" si="1"/>
        <v>2</v>
      </c>
      <c r="H58" s="6" t="s">
        <v>1622</v>
      </c>
      <c r="I58" s="5">
        <v>34.42</v>
      </c>
      <c r="J58" s="5">
        <f t="shared" si="2"/>
        <v>344.20000000000005</v>
      </c>
    </row>
    <row r="59" spans="1:10" x14ac:dyDescent="0.25">
      <c r="A59" s="9">
        <v>1114</v>
      </c>
      <c r="B59" s="5" t="s">
        <v>701</v>
      </c>
      <c r="C59" s="5" t="s">
        <v>702</v>
      </c>
      <c r="D59" s="5" t="s">
        <v>1619</v>
      </c>
      <c r="E59" s="6">
        <v>90189084</v>
      </c>
      <c r="F59" s="6">
        <v>5</v>
      </c>
      <c r="G59" s="6">
        <f t="shared" si="1"/>
        <v>1</v>
      </c>
      <c r="H59" s="6" t="s">
        <v>1622</v>
      </c>
      <c r="I59" s="5">
        <v>32.92</v>
      </c>
      <c r="J59" s="5">
        <f t="shared" si="2"/>
        <v>164.60000000000002</v>
      </c>
    </row>
    <row r="60" spans="1:10" x14ac:dyDescent="0.25">
      <c r="A60" s="9">
        <v>1115</v>
      </c>
      <c r="B60" s="5" t="s">
        <v>350</v>
      </c>
      <c r="C60" s="5" t="s">
        <v>351</v>
      </c>
      <c r="D60" s="5" t="s">
        <v>1618</v>
      </c>
      <c r="E60" s="6">
        <v>90189084</v>
      </c>
      <c r="F60" s="6">
        <v>5</v>
      </c>
      <c r="G60" s="6">
        <f t="shared" si="1"/>
        <v>1</v>
      </c>
      <c r="H60" s="6" t="s">
        <v>1622</v>
      </c>
      <c r="I60" s="5">
        <v>17.98</v>
      </c>
      <c r="J60" s="5">
        <f t="shared" si="2"/>
        <v>89.9</v>
      </c>
    </row>
    <row r="61" spans="1:10" x14ac:dyDescent="0.25">
      <c r="A61" s="9">
        <v>1116</v>
      </c>
      <c r="B61" s="5" t="s">
        <v>352</v>
      </c>
      <c r="C61" s="5" t="s">
        <v>353</v>
      </c>
      <c r="D61" s="5" t="s">
        <v>1619</v>
      </c>
      <c r="E61" s="6">
        <v>90189084</v>
      </c>
      <c r="F61" s="6">
        <v>5</v>
      </c>
      <c r="G61" s="6">
        <f t="shared" si="1"/>
        <v>1</v>
      </c>
      <c r="H61" s="6" t="s">
        <v>1622</v>
      </c>
      <c r="I61" s="5">
        <v>6.27</v>
      </c>
      <c r="J61" s="5">
        <f t="shared" si="2"/>
        <v>31.349999999999998</v>
      </c>
    </row>
    <row r="62" spans="1:10" x14ac:dyDescent="0.25">
      <c r="A62" s="9">
        <v>1117</v>
      </c>
      <c r="B62" s="5" t="s">
        <v>354</v>
      </c>
      <c r="C62" s="5" t="s">
        <v>355</v>
      </c>
      <c r="D62" s="5" t="s">
        <v>1619</v>
      </c>
      <c r="E62" s="6">
        <v>90189084</v>
      </c>
      <c r="F62" s="6">
        <v>5</v>
      </c>
      <c r="G62" s="6">
        <f t="shared" si="1"/>
        <v>1</v>
      </c>
      <c r="H62" s="6" t="s">
        <v>1622</v>
      </c>
      <c r="I62" s="5">
        <v>4.33</v>
      </c>
      <c r="J62" s="5">
        <f t="shared" si="2"/>
        <v>21.65</v>
      </c>
    </row>
    <row r="63" spans="1:10" x14ac:dyDescent="0.25">
      <c r="A63" s="9">
        <v>1118</v>
      </c>
      <c r="B63" s="5" t="s">
        <v>703</v>
      </c>
      <c r="C63" s="5" t="s">
        <v>704</v>
      </c>
      <c r="D63" s="5" t="s">
        <v>1619</v>
      </c>
      <c r="E63" s="6">
        <v>90189084</v>
      </c>
      <c r="F63" s="6">
        <v>5</v>
      </c>
      <c r="G63" s="6">
        <f t="shared" si="1"/>
        <v>1</v>
      </c>
      <c r="H63" s="6" t="s">
        <v>1622</v>
      </c>
      <c r="I63" s="5">
        <v>8.1300000000000008</v>
      </c>
      <c r="J63" s="5">
        <f t="shared" si="2"/>
        <v>40.650000000000006</v>
      </c>
    </row>
    <row r="64" spans="1:10" x14ac:dyDescent="0.25">
      <c r="A64" s="9">
        <v>1119</v>
      </c>
      <c r="B64" s="5" t="s">
        <v>705</v>
      </c>
      <c r="C64" s="5" t="s">
        <v>706</v>
      </c>
      <c r="D64" s="5" t="s">
        <v>1619</v>
      </c>
      <c r="E64" s="6">
        <v>90189084</v>
      </c>
      <c r="F64" s="6">
        <v>10</v>
      </c>
      <c r="G64" s="6">
        <f t="shared" si="1"/>
        <v>2</v>
      </c>
      <c r="H64" s="6" t="s">
        <v>1622</v>
      </c>
      <c r="I64" s="5">
        <v>32.53</v>
      </c>
      <c r="J64" s="5">
        <f t="shared" si="2"/>
        <v>325.3</v>
      </c>
    </row>
    <row r="65" spans="1:10" x14ac:dyDescent="0.25">
      <c r="A65" s="9">
        <v>1120</v>
      </c>
      <c r="B65" s="5" t="s">
        <v>707</v>
      </c>
      <c r="C65" s="5" t="s">
        <v>708</v>
      </c>
      <c r="D65" s="5" t="s">
        <v>1618</v>
      </c>
      <c r="E65" s="6">
        <v>90189084</v>
      </c>
      <c r="F65" s="6">
        <v>5</v>
      </c>
      <c r="G65" s="6">
        <f t="shared" si="1"/>
        <v>1</v>
      </c>
      <c r="H65" s="6" t="s">
        <v>1622</v>
      </c>
      <c r="I65" s="5">
        <v>96.55</v>
      </c>
      <c r="J65" s="5">
        <f t="shared" si="2"/>
        <v>482.75</v>
      </c>
    </row>
    <row r="66" spans="1:10" x14ac:dyDescent="0.25">
      <c r="A66" s="9">
        <v>1121</v>
      </c>
      <c r="B66" s="5" t="s">
        <v>709</v>
      </c>
      <c r="C66" s="5" t="s">
        <v>710</v>
      </c>
      <c r="D66" s="5" t="s">
        <v>1618</v>
      </c>
      <c r="E66" s="6">
        <v>90189084</v>
      </c>
      <c r="F66" s="6">
        <v>5</v>
      </c>
      <c r="G66" s="6">
        <f t="shared" si="1"/>
        <v>1</v>
      </c>
      <c r="H66" s="6" t="s">
        <v>1622</v>
      </c>
      <c r="I66" s="5">
        <v>108.79</v>
      </c>
      <c r="J66" s="5">
        <f t="shared" si="2"/>
        <v>543.95000000000005</v>
      </c>
    </row>
    <row r="67" spans="1:10" x14ac:dyDescent="0.25">
      <c r="A67" s="9">
        <v>1122</v>
      </c>
      <c r="B67" s="5" t="s">
        <v>332</v>
      </c>
      <c r="C67" s="5" t="s">
        <v>333</v>
      </c>
      <c r="D67" s="5" t="s">
        <v>1619</v>
      </c>
      <c r="E67" s="6">
        <v>90189084</v>
      </c>
      <c r="F67" s="6">
        <v>10</v>
      </c>
      <c r="G67" s="6">
        <f t="shared" si="1"/>
        <v>2</v>
      </c>
      <c r="H67" s="6" t="s">
        <v>1622</v>
      </c>
      <c r="I67" s="5">
        <v>33.51</v>
      </c>
      <c r="J67" s="5">
        <f t="shared" si="2"/>
        <v>335.09999999999997</v>
      </c>
    </row>
    <row r="68" spans="1:10" x14ac:dyDescent="0.25">
      <c r="A68" s="9">
        <v>1123</v>
      </c>
      <c r="B68" s="5" t="s">
        <v>711</v>
      </c>
      <c r="C68" s="5" t="s">
        <v>712</v>
      </c>
      <c r="D68" s="5" t="s">
        <v>1618</v>
      </c>
      <c r="E68" s="6">
        <v>90189084</v>
      </c>
      <c r="F68" s="6">
        <v>10</v>
      </c>
      <c r="G68" s="6">
        <f t="shared" ref="G68:G95" si="3">F68/$F$2</f>
        <v>2</v>
      </c>
      <c r="H68" s="6" t="s">
        <v>1622</v>
      </c>
      <c r="I68" s="5">
        <v>89.28</v>
      </c>
      <c r="J68" s="5">
        <f t="shared" si="2"/>
        <v>892.8</v>
      </c>
    </row>
    <row r="69" spans="1:10" x14ac:dyDescent="0.25">
      <c r="A69" s="9">
        <v>1124</v>
      </c>
      <c r="B69" s="5" t="s">
        <v>713</v>
      </c>
      <c r="C69" s="5" t="s">
        <v>714</v>
      </c>
      <c r="D69" s="5" t="s">
        <v>1618</v>
      </c>
      <c r="E69" s="6">
        <v>90189084</v>
      </c>
      <c r="F69" s="6">
        <v>5</v>
      </c>
      <c r="G69" s="6">
        <f t="shared" si="3"/>
        <v>1</v>
      </c>
      <c r="H69" s="6" t="s">
        <v>1622</v>
      </c>
      <c r="I69" s="5">
        <v>35.549999999999997</v>
      </c>
      <c r="J69" s="5">
        <f t="shared" si="2"/>
        <v>177.75</v>
      </c>
    </row>
    <row r="70" spans="1:10" x14ac:dyDescent="0.25">
      <c r="A70" s="9">
        <v>1125</v>
      </c>
      <c r="B70" s="5" t="s">
        <v>715</v>
      </c>
      <c r="C70" s="5" t="s">
        <v>716</v>
      </c>
      <c r="D70" s="5" t="s">
        <v>1618</v>
      </c>
      <c r="E70" s="6">
        <v>90189084</v>
      </c>
      <c r="F70" s="6">
        <v>5</v>
      </c>
      <c r="G70" s="6">
        <f t="shared" si="3"/>
        <v>1</v>
      </c>
      <c r="H70" s="6" t="s">
        <v>1622</v>
      </c>
      <c r="I70" s="5">
        <v>58.55</v>
      </c>
      <c r="J70" s="5">
        <f t="shared" si="2"/>
        <v>292.75</v>
      </c>
    </row>
    <row r="71" spans="1:10" x14ac:dyDescent="0.25">
      <c r="A71" s="9">
        <v>1126</v>
      </c>
      <c r="B71" s="5" t="s">
        <v>717</v>
      </c>
      <c r="C71" s="5" t="s">
        <v>718</v>
      </c>
      <c r="D71" s="5" t="s">
        <v>1618</v>
      </c>
      <c r="E71" s="6">
        <v>90189084</v>
      </c>
      <c r="F71" s="6">
        <v>5</v>
      </c>
      <c r="G71" s="6">
        <f t="shared" si="3"/>
        <v>1</v>
      </c>
      <c r="H71" s="6" t="s">
        <v>1622</v>
      </c>
      <c r="I71" s="5">
        <v>69.52</v>
      </c>
      <c r="J71" s="5">
        <f t="shared" si="2"/>
        <v>347.59999999999997</v>
      </c>
    </row>
    <row r="72" spans="1:10" x14ac:dyDescent="0.25">
      <c r="A72" s="9">
        <v>1127</v>
      </c>
      <c r="B72" s="5" t="s">
        <v>719</v>
      </c>
      <c r="C72" s="5" t="s">
        <v>720</v>
      </c>
      <c r="D72" s="5" t="s">
        <v>1618</v>
      </c>
      <c r="E72" s="6">
        <v>90189084</v>
      </c>
      <c r="F72" s="6">
        <v>5</v>
      </c>
      <c r="G72" s="6">
        <f t="shared" si="3"/>
        <v>1</v>
      </c>
      <c r="H72" s="6" t="s">
        <v>1622</v>
      </c>
      <c r="I72" s="5">
        <v>69.52</v>
      </c>
      <c r="J72" s="5">
        <f t="shared" si="2"/>
        <v>347.59999999999997</v>
      </c>
    </row>
    <row r="73" spans="1:10" x14ac:dyDescent="0.25">
      <c r="A73" s="9">
        <v>1128</v>
      </c>
      <c r="B73" s="5" t="s">
        <v>721</v>
      </c>
      <c r="C73" s="5" t="s">
        <v>722</v>
      </c>
      <c r="D73" s="5" t="s">
        <v>1618</v>
      </c>
      <c r="E73" s="6">
        <v>90189084</v>
      </c>
      <c r="F73" s="6">
        <v>5</v>
      </c>
      <c r="G73" s="6">
        <f t="shared" si="3"/>
        <v>1</v>
      </c>
      <c r="H73" s="6" t="s">
        <v>1622</v>
      </c>
      <c r="I73" s="5">
        <v>74.56</v>
      </c>
      <c r="J73" s="5">
        <f t="shared" si="2"/>
        <v>372.8</v>
      </c>
    </row>
    <row r="74" spans="1:10" x14ac:dyDescent="0.25">
      <c r="A74" s="9">
        <v>1129</v>
      </c>
      <c r="B74" s="5" t="s">
        <v>723</v>
      </c>
      <c r="C74" s="5" t="s">
        <v>724</v>
      </c>
      <c r="D74" s="5" t="s">
        <v>1618</v>
      </c>
      <c r="E74" s="6">
        <v>90189084</v>
      </c>
      <c r="F74" s="6">
        <v>5</v>
      </c>
      <c r="G74" s="6">
        <f t="shared" si="3"/>
        <v>1</v>
      </c>
      <c r="H74" s="6" t="s">
        <v>1622</v>
      </c>
      <c r="I74" s="5">
        <v>74.56</v>
      </c>
      <c r="J74" s="5">
        <f t="shared" si="2"/>
        <v>372.8</v>
      </c>
    </row>
    <row r="75" spans="1:10" x14ac:dyDescent="0.25">
      <c r="A75" s="9">
        <v>1130</v>
      </c>
      <c r="B75" s="5" t="s">
        <v>725</v>
      </c>
      <c r="C75" s="5" t="s">
        <v>726</v>
      </c>
      <c r="D75" s="5" t="s">
        <v>1618</v>
      </c>
      <c r="E75" s="6">
        <v>90189084</v>
      </c>
      <c r="F75" s="6">
        <v>5</v>
      </c>
      <c r="G75" s="6">
        <f t="shared" si="3"/>
        <v>1</v>
      </c>
      <c r="H75" s="6" t="s">
        <v>1622</v>
      </c>
      <c r="I75" s="5">
        <v>34.42</v>
      </c>
      <c r="J75" s="5">
        <f t="shared" si="2"/>
        <v>172.10000000000002</v>
      </c>
    </row>
    <row r="76" spans="1:10" x14ac:dyDescent="0.25">
      <c r="A76" s="9">
        <v>1131</v>
      </c>
      <c r="B76" s="5" t="s">
        <v>727</v>
      </c>
      <c r="C76" s="5" t="s">
        <v>728</v>
      </c>
      <c r="D76" s="5" t="s">
        <v>1618</v>
      </c>
      <c r="E76" s="6">
        <v>90189084</v>
      </c>
      <c r="F76" s="6">
        <v>5</v>
      </c>
      <c r="G76" s="6">
        <f t="shared" si="3"/>
        <v>1</v>
      </c>
      <c r="H76" s="6" t="s">
        <v>1622</v>
      </c>
      <c r="I76" s="5">
        <v>34.42</v>
      </c>
      <c r="J76" s="5">
        <f t="shared" si="2"/>
        <v>172.10000000000002</v>
      </c>
    </row>
    <row r="77" spans="1:10" x14ac:dyDescent="0.25">
      <c r="A77" s="9">
        <v>1132</v>
      </c>
      <c r="B77" s="5" t="s">
        <v>729</v>
      </c>
      <c r="C77" s="5" t="s">
        <v>730</v>
      </c>
      <c r="D77" s="5" t="s">
        <v>1618</v>
      </c>
      <c r="E77" s="6">
        <v>90189084</v>
      </c>
      <c r="F77" s="6">
        <v>5</v>
      </c>
      <c r="G77" s="6">
        <f t="shared" si="3"/>
        <v>1</v>
      </c>
      <c r="H77" s="6" t="s">
        <v>1622</v>
      </c>
      <c r="I77" s="5">
        <v>45.45</v>
      </c>
      <c r="J77" s="5">
        <f t="shared" si="2"/>
        <v>227.25</v>
      </c>
    </row>
    <row r="78" spans="1:10" x14ac:dyDescent="0.25">
      <c r="A78" s="9">
        <v>1133</v>
      </c>
      <c r="B78" s="5" t="s">
        <v>562</v>
      </c>
      <c r="C78" s="5" t="s">
        <v>563</v>
      </c>
      <c r="D78" s="5" t="s">
        <v>1618</v>
      </c>
      <c r="E78" s="6">
        <v>90189084</v>
      </c>
      <c r="F78" s="6">
        <v>5</v>
      </c>
      <c r="G78" s="6">
        <f t="shared" si="3"/>
        <v>1</v>
      </c>
      <c r="H78" s="6" t="s">
        <v>1622</v>
      </c>
      <c r="I78" s="5">
        <v>49.37</v>
      </c>
      <c r="J78" s="5">
        <f t="shared" si="2"/>
        <v>246.85</v>
      </c>
    </row>
    <row r="79" spans="1:10" x14ac:dyDescent="0.25">
      <c r="A79" s="9">
        <v>1134</v>
      </c>
      <c r="B79" s="5" t="s">
        <v>731</v>
      </c>
      <c r="C79" s="5" t="s">
        <v>732</v>
      </c>
      <c r="D79" s="5" t="s">
        <v>1618</v>
      </c>
      <c r="E79" s="6">
        <v>90189084</v>
      </c>
      <c r="F79" s="6">
        <v>5</v>
      </c>
      <c r="G79" s="6">
        <f t="shared" si="3"/>
        <v>1</v>
      </c>
      <c r="H79" s="6" t="s">
        <v>1622</v>
      </c>
      <c r="I79" s="5">
        <v>297.27999999999997</v>
      </c>
      <c r="J79" s="5">
        <f t="shared" ref="J79:J95" si="4">F79*I79</f>
        <v>1486.3999999999999</v>
      </c>
    </row>
    <row r="80" spans="1:10" x14ac:dyDescent="0.25">
      <c r="A80" s="9">
        <v>1135</v>
      </c>
      <c r="B80" s="5" t="s">
        <v>733</v>
      </c>
      <c r="C80" s="5" t="s">
        <v>734</v>
      </c>
      <c r="D80" s="5" t="s">
        <v>1618</v>
      </c>
      <c r="E80" s="6">
        <v>90189084</v>
      </c>
      <c r="F80" s="6">
        <v>5</v>
      </c>
      <c r="G80" s="6">
        <f t="shared" si="3"/>
        <v>1</v>
      </c>
      <c r="H80" s="6" t="s">
        <v>1622</v>
      </c>
      <c r="I80" s="5">
        <v>18.82</v>
      </c>
      <c r="J80" s="5">
        <f t="shared" si="4"/>
        <v>94.1</v>
      </c>
    </row>
    <row r="81" spans="1:10" x14ac:dyDescent="0.25">
      <c r="A81" s="9">
        <v>1136</v>
      </c>
      <c r="B81" s="5" t="s">
        <v>735</v>
      </c>
      <c r="C81" s="5" t="s">
        <v>736</v>
      </c>
      <c r="D81" s="5" t="s">
        <v>1618</v>
      </c>
      <c r="E81" s="6">
        <v>90189084</v>
      </c>
      <c r="F81" s="6">
        <v>5</v>
      </c>
      <c r="G81" s="6">
        <f t="shared" si="3"/>
        <v>1</v>
      </c>
      <c r="H81" s="6" t="s">
        <v>1622</v>
      </c>
      <c r="I81" s="5">
        <v>7.81</v>
      </c>
      <c r="J81" s="5">
        <f t="shared" si="4"/>
        <v>39.049999999999997</v>
      </c>
    </row>
    <row r="82" spans="1:10" x14ac:dyDescent="0.25">
      <c r="A82" s="9">
        <v>1137</v>
      </c>
      <c r="B82" s="5" t="s">
        <v>737</v>
      </c>
      <c r="C82" s="5" t="s">
        <v>738</v>
      </c>
      <c r="D82" s="5" t="s">
        <v>1618</v>
      </c>
      <c r="E82" s="6">
        <v>90189084</v>
      </c>
      <c r="F82" s="6">
        <v>5</v>
      </c>
      <c r="G82" s="6">
        <f t="shared" si="3"/>
        <v>1</v>
      </c>
      <c r="H82" s="6" t="s">
        <v>1622</v>
      </c>
      <c r="I82" s="5">
        <v>111.26</v>
      </c>
      <c r="J82" s="5">
        <f t="shared" si="4"/>
        <v>556.30000000000007</v>
      </c>
    </row>
    <row r="83" spans="1:10" x14ac:dyDescent="0.25">
      <c r="A83" s="9">
        <v>1138</v>
      </c>
      <c r="B83" s="5" t="s">
        <v>739</v>
      </c>
      <c r="C83" s="5" t="s">
        <v>740</v>
      </c>
      <c r="D83" s="5" t="s">
        <v>1618</v>
      </c>
      <c r="E83" s="6">
        <v>90189084</v>
      </c>
      <c r="F83" s="6">
        <v>5</v>
      </c>
      <c r="G83" s="6">
        <f t="shared" si="3"/>
        <v>1</v>
      </c>
      <c r="H83" s="6" t="s">
        <v>1622</v>
      </c>
      <c r="I83" s="5">
        <v>19.66</v>
      </c>
      <c r="J83" s="5">
        <f t="shared" si="4"/>
        <v>98.3</v>
      </c>
    </row>
    <row r="84" spans="1:10" x14ac:dyDescent="0.25">
      <c r="A84" s="9">
        <v>1139</v>
      </c>
      <c r="B84" s="5" t="s">
        <v>741</v>
      </c>
      <c r="C84" s="5" t="s">
        <v>742</v>
      </c>
      <c r="D84" s="5" t="s">
        <v>1618</v>
      </c>
      <c r="E84" s="6">
        <v>90189084</v>
      </c>
      <c r="F84" s="6">
        <v>5</v>
      </c>
      <c r="G84" s="6">
        <f t="shared" si="3"/>
        <v>1</v>
      </c>
      <c r="H84" s="6" t="s">
        <v>1622</v>
      </c>
      <c r="I84" s="5">
        <v>19.66</v>
      </c>
      <c r="J84" s="5">
        <f t="shared" si="4"/>
        <v>98.3</v>
      </c>
    </row>
    <row r="85" spans="1:10" x14ac:dyDescent="0.25">
      <c r="A85" s="9">
        <v>1140</v>
      </c>
      <c r="B85" s="5" t="s">
        <v>743</v>
      </c>
      <c r="C85" s="5" t="s">
        <v>744</v>
      </c>
      <c r="D85" s="5" t="s">
        <v>1618</v>
      </c>
      <c r="E85" s="6">
        <v>90189084</v>
      </c>
      <c r="F85" s="6">
        <v>5</v>
      </c>
      <c r="G85" s="6">
        <f t="shared" si="3"/>
        <v>1</v>
      </c>
      <c r="H85" s="6" t="s">
        <v>1622</v>
      </c>
      <c r="I85" s="5">
        <v>19.66</v>
      </c>
      <c r="J85" s="5">
        <f t="shared" si="4"/>
        <v>98.3</v>
      </c>
    </row>
    <row r="86" spans="1:10" x14ac:dyDescent="0.25">
      <c r="A86" s="9">
        <v>1141</v>
      </c>
      <c r="B86" s="5" t="s">
        <v>745</v>
      </c>
      <c r="C86" s="5" t="s">
        <v>746</v>
      </c>
      <c r="D86" s="5" t="s">
        <v>1618</v>
      </c>
      <c r="E86" s="6">
        <v>90189084</v>
      </c>
      <c r="F86" s="6">
        <v>5</v>
      </c>
      <c r="G86" s="6">
        <f t="shared" si="3"/>
        <v>1</v>
      </c>
      <c r="H86" s="6" t="s">
        <v>1622</v>
      </c>
      <c r="I86" s="5">
        <v>19.66</v>
      </c>
      <c r="J86" s="5">
        <f t="shared" si="4"/>
        <v>98.3</v>
      </c>
    </row>
    <row r="87" spans="1:10" x14ac:dyDescent="0.25">
      <c r="A87" s="9">
        <v>1142</v>
      </c>
      <c r="B87" s="5" t="s">
        <v>747</v>
      </c>
      <c r="C87" s="5" t="s">
        <v>748</v>
      </c>
      <c r="D87" s="5" t="s">
        <v>1618</v>
      </c>
      <c r="E87" s="6">
        <v>90189084</v>
      </c>
      <c r="F87" s="6">
        <v>5</v>
      </c>
      <c r="G87" s="6">
        <f t="shared" si="3"/>
        <v>1</v>
      </c>
      <c r="H87" s="6" t="s">
        <v>1622</v>
      </c>
      <c r="I87" s="5">
        <v>20.11</v>
      </c>
      <c r="J87" s="5">
        <f t="shared" si="4"/>
        <v>100.55</v>
      </c>
    </row>
    <row r="88" spans="1:10" x14ac:dyDescent="0.25">
      <c r="A88" s="9">
        <v>1143</v>
      </c>
      <c r="B88" s="5" t="s">
        <v>749</v>
      </c>
      <c r="C88" s="5" t="s">
        <v>750</v>
      </c>
      <c r="D88" s="5" t="s">
        <v>1618</v>
      </c>
      <c r="E88" s="6">
        <v>90189084</v>
      </c>
      <c r="F88" s="6">
        <v>5</v>
      </c>
      <c r="G88" s="6">
        <f t="shared" si="3"/>
        <v>1</v>
      </c>
      <c r="H88" s="6" t="s">
        <v>1622</v>
      </c>
      <c r="I88" s="5">
        <v>20.11</v>
      </c>
      <c r="J88" s="5">
        <f t="shared" si="4"/>
        <v>100.55</v>
      </c>
    </row>
    <row r="89" spans="1:10" x14ac:dyDescent="0.25">
      <c r="A89" s="9">
        <v>1144</v>
      </c>
      <c r="B89" s="5" t="s">
        <v>751</v>
      </c>
      <c r="C89" s="5" t="s">
        <v>752</v>
      </c>
      <c r="D89" s="5" t="s">
        <v>1618</v>
      </c>
      <c r="E89" s="6">
        <v>90189084</v>
      </c>
      <c r="F89" s="6">
        <v>5</v>
      </c>
      <c r="G89" s="6">
        <f t="shared" si="3"/>
        <v>1</v>
      </c>
      <c r="H89" s="6" t="s">
        <v>1622</v>
      </c>
      <c r="I89" s="5">
        <v>20.11</v>
      </c>
      <c r="J89" s="5">
        <f t="shared" si="4"/>
        <v>100.55</v>
      </c>
    </row>
    <row r="90" spans="1:10" x14ac:dyDescent="0.25">
      <c r="A90" s="9">
        <v>1145</v>
      </c>
      <c r="B90" s="5" t="s">
        <v>753</v>
      </c>
      <c r="C90" s="5" t="s">
        <v>754</v>
      </c>
      <c r="D90" s="5" t="s">
        <v>1618</v>
      </c>
      <c r="E90" s="6">
        <v>90189084</v>
      </c>
      <c r="F90" s="6">
        <v>5</v>
      </c>
      <c r="G90" s="6">
        <f t="shared" si="3"/>
        <v>1</v>
      </c>
      <c r="H90" s="6" t="s">
        <v>1622</v>
      </c>
      <c r="I90" s="5">
        <v>21.45</v>
      </c>
      <c r="J90" s="5">
        <f t="shared" si="4"/>
        <v>107.25</v>
      </c>
    </row>
    <row r="91" spans="1:10" x14ac:dyDescent="0.25">
      <c r="A91" s="9">
        <v>1146</v>
      </c>
      <c r="B91" s="5" t="s">
        <v>755</v>
      </c>
      <c r="C91" s="5" t="s">
        <v>756</v>
      </c>
      <c r="D91" s="5" t="s">
        <v>1618</v>
      </c>
      <c r="E91" s="6">
        <v>90189084</v>
      </c>
      <c r="F91" s="6">
        <v>5</v>
      </c>
      <c r="G91" s="6">
        <f t="shared" si="3"/>
        <v>1</v>
      </c>
      <c r="H91" s="6" t="s">
        <v>1622</v>
      </c>
      <c r="I91" s="5">
        <v>21.45</v>
      </c>
      <c r="J91" s="5">
        <f t="shared" si="4"/>
        <v>107.25</v>
      </c>
    </row>
    <row r="92" spans="1:10" x14ac:dyDescent="0.25">
      <c r="A92" s="9">
        <v>1147</v>
      </c>
      <c r="B92" s="5" t="s">
        <v>142</v>
      </c>
      <c r="C92" s="5" t="s">
        <v>143</v>
      </c>
      <c r="D92" s="5" t="s">
        <v>1618</v>
      </c>
      <c r="E92" s="6">
        <v>90189084</v>
      </c>
      <c r="F92" s="6">
        <v>5</v>
      </c>
      <c r="G92" s="6">
        <f t="shared" si="3"/>
        <v>1</v>
      </c>
      <c r="H92" s="6" t="s">
        <v>1622</v>
      </c>
      <c r="I92" s="5">
        <v>49.66</v>
      </c>
      <c r="J92" s="5">
        <f t="shared" si="4"/>
        <v>248.29999999999998</v>
      </c>
    </row>
    <row r="93" spans="1:10" x14ac:dyDescent="0.25">
      <c r="A93" s="9">
        <v>1148</v>
      </c>
      <c r="B93" s="5" t="s">
        <v>374</v>
      </c>
      <c r="C93" s="5" t="s">
        <v>375</v>
      </c>
      <c r="D93" s="5" t="s">
        <v>1618</v>
      </c>
      <c r="E93" s="6">
        <v>73269098</v>
      </c>
      <c r="F93" s="6">
        <v>5</v>
      </c>
      <c r="G93" s="6">
        <f t="shared" si="3"/>
        <v>1</v>
      </c>
      <c r="H93" s="6" t="s">
        <v>1622</v>
      </c>
      <c r="I93" s="5">
        <v>69.83</v>
      </c>
      <c r="J93" s="5">
        <f t="shared" si="4"/>
        <v>349.15</v>
      </c>
    </row>
    <row r="94" spans="1:10" x14ac:dyDescent="0.25">
      <c r="A94" s="9">
        <v>1149</v>
      </c>
      <c r="B94" s="5" t="s">
        <v>286</v>
      </c>
      <c r="C94" s="5" t="s">
        <v>287</v>
      </c>
      <c r="D94" s="5" t="s">
        <v>1618</v>
      </c>
      <c r="E94" s="6">
        <v>76169990</v>
      </c>
      <c r="F94" s="6">
        <v>5</v>
      </c>
      <c r="G94" s="6">
        <f t="shared" si="3"/>
        <v>1</v>
      </c>
      <c r="H94" s="6" t="s">
        <v>1622</v>
      </c>
      <c r="I94" s="5">
        <v>379.78</v>
      </c>
      <c r="J94" s="5">
        <f t="shared" si="4"/>
        <v>1898.8999999999999</v>
      </c>
    </row>
    <row r="95" spans="1:10" x14ac:dyDescent="0.25">
      <c r="A95" s="9">
        <v>1150</v>
      </c>
      <c r="B95" s="5" t="s">
        <v>134</v>
      </c>
      <c r="C95" s="5" t="s">
        <v>135</v>
      </c>
      <c r="D95" s="5" t="s">
        <v>1618</v>
      </c>
      <c r="E95" s="6">
        <v>73269098</v>
      </c>
      <c r="F95" s="6">
        <v>5</v>
      </c>
      <c r="G95" s="6">
        <f t="shared" si="3"/>
        <v>1</v>
      </c>
      <c r="H95" s="6" t="s">
        <v>1622</v>
      </c>
      <c r="I95" s="5">
        <v>53.71</v>
      </c>
      <c r="J95" s="5">
        <f t="shared" si="4"/>
        <v>268.55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64B2-2B16-48D9-9BB6-4EAA177B7F72}">
  <dimension ref="A1:K76"/>
  <sheetViews>
    <sheetView tabSelected="1" workbookViewId="0">
      <selection activeCell="K6" sqref="K6"/>
    </sheetView>
  </sheetViews>
  <sheetFormatPr defaultColWidth="8.90625" defaultRowHeight="10.5" x14ac:dyDescent="0.25"/>
  <cols>
    <col min="1" max="1" width="3.90625" style="4" bestFit="1" customWidth="1"/>
    <col min="2" max="2" width="16.08984375" style="3" bestFit="1" customWidth="1"/>
    <col min="3" max="3" width="37.81640625" style="3" customWidth="1"/>
    <col min="4" max="4" width="4" style="3" customWidth="1"/>
    <col min="5" max="5" width="12" style="4" bestFit="1" customWidth="1"/>
    <col min="6" max="6" width="9.08984375" style="4" bestFit="1" customWidth="1"/>
    <col min="7" max="8" width="9.08984375" style="4" customWidth="1"/>
    <col min="9" max="9" width="16.1796875" style="3" bestFit="1" customWidth="1"/>
    <col min="10" max="10" width="12.6328125" style="3" bestFit="1" customWidth="1"/>
    <col min="11" max="11" width="24.453125" style="3" bestFit="1" customWidth="1"/>
    <col min="12" max="12" width="12.90625" style="4" bestFit="1" customWidth="1"/>
    <col min="13" max="16384" width="8.90625" style="4"/>
  </cols>
  <sheetData>
    <row r="1" spans="1:10" x14ac:dyDescent="0.25">
      <c r="A1" s="1" t="s">
        <v>1660</v>
      </c>
      <c r="B1" s="1" t="s">
        <v>1600</v>
      </c>
      <c r="C1" s="1" t="s">
        <v>1625</v>
      </c>
      <c r="D1" s="1" t="s">
        <v>1601</v>
      </c>
      <c r="E1" s="1" t="s">
        <v>1602</v>
      </c>
      <c r="F1" s="1" t="s">
        <v>1603</v>
      </c>
      <c r="G1" s="1" t="s">
        <v>1685</v>
      </c>
      <c r="H1" s="1" t="s">
        <v>1604</v>
      </c>
      <c r="I1" s="2" t="s">
        <v>1605</v>
      </c>
      <c r="J1" s="2" t="s">
        <v>1606</v>
      </c>
    </row>
    <row r="2" spans="1:10" x14ac:dyDescent="0.25">
      <c r="A2" s="10"/>
      <c r="B2" s="11"/>
      <c r="C2" s="11" t="s">
        <v>1683</v>
      </c>
      <c r="D2" s="11"/>
      <c r="E2" s="12"/>
      <c r="F2" s="12">
        <v>3</v>
      </c>
      <c r="G2" s="12"/>
      <c r="H2" s="12"/>
      <c r="I2" s="2"/>
      <c r="J2" s="13"/>
    </row>
    <row r="3" spans="1:10" x14ac:dyDescent="0.25">
      <c r="A3" s="9">
        <v>1151</v>
      </c>
      <c r="B3" s="5" t="s">
        <v>1509</v>
      </c>
      <c r="C3" s="5" t="s">
        <v>1510</v>
      </c>
      <c r="D3" s="5" t="s">
        <v>1619</v>
      </c>
      <c r="E3" s="6">
        <v>90189084</v>
      </c>
      <c r="F3" s="6">
        <v>6</v>
      </c>
      <c r="G3" s="6">
        <f>F3/$F$2</f>
        <v>2</v>
      </c>
      <c r="H3" s="6" t="s">
        <v>1622</v>
      </c>
      <c r="I3" s="5">
        <v>23.98</v>
      </c>
      <c r="J3" s="5">
        <f t="shared" ref="J3:J48" si="0">F3*I3</f>
        <v>143.88</v>
      </c>
    </row>
    <row r="4" spans="1:10" x14ac:dyDescent="0.25">
      <c r="A4" s="9">
        <v>1152</v>
      </c>
      <c r="B4" s="5" t="s">
        <v>376</v>
      </c>
      <c r="C4" s="5" t="s">
        <v>377</v>
      </c>
      <c r="D4" s="5" t="s">
        <v>1619</v>
      </c>
      <c r="E4" s="6">
        <v>90189084</v>
      </c>
      <c r="F4" s="6">
        <v>18</v>
      </c>
      <c r="G4" s="6">
        <f t="shared" ref="G4:G67" si="1">F4/$F$2</f>
        <v>6</v>
      </c>
      <c r="H4" s="6" t="s">
        <v>1622</v>
      </c>
      <c r="I4" s="5">
        <v>12.93</v>
      </c>
      <c r="J4" s="5">
        <f t="shared" si="0"/>
        <v>232.74</v>
      </c>
    </row>
    <row r="5" spans="1:10" x14ac:dyDescent="0.25">
      <c r="A5" s="9">
        <v>1153</v>
      </c>
      <c r="B5" s="5" t="s">
        <v>1511</v>
      </c>
      <c r="C5" s="5" t="s">
        <v>1512</v>
      </c>
      <c r="D5" s="5" t="s">
        <v>1619</v>
      </c>
      <c r="E5" s="6">
        <v>90189084</v>
      </c>
      <c r="F5" s="6">
        <v>18</v>
      </c>
      <c r="G5" s="6">
        <f t="shared" si="1"/>
        <v>6</v>
      </c>
      <c r="H5" s="6" t="s">
        <v>1622</v>
      </c>
      <c r="I5" s="5">
        <v>15.5</v>
      </c>
      <c r="J5" s="5">
        <f t="shared" si="0"/>
        <v>279</v>
      </c>
    </row>
    <row r="6" spans="1:10" x14ac:dyDescent="0.25">
      <c r="A6" s="9">
        <v>1154</v>
      </c>
      <c r="B6" s="5" t="s">
        <v>136</v>
      </c>
      <c r="C6" s="5" t="s">
        <v>137</v>
      </c>
      <c r="D6" s="5" t="s">
        <v>1618</v>
      </c>
      <c r="E6" s="6">
        <v>90189084</v>
      </c>
      <c r="F6" s="6">
        <v>6</v>
      </c>
      <c r="G6" s="6">
        <f t="shared" si="1"/>
        <v>2</v>
      </c>
      <c r="H6" s="6" t="s">
        <v>1622</v>
      </c>
      <c r="I6" s="5">
        <v>3.67</v>
      </c>
      <c r="J6" s="5">
        <f t="shared" si="0"/>
        <v>22.02</v>
      </c>
    </row>
    <row r="7" spans="1:10" x14ac:dyDescent="0.25">
      <c r="A7" s="9">
        <v>1155</v>
      </c>
      <c r="B7" s="5" t="s">
        <v>22</v>
      </c>
      <c r="C7" s="5" t="s">
        <v>23</v>
      </c>
      <c r="D7" s="5" t="s">
        <v>1618</v>
      </c>
      <c r="E7" s="6">
        <v>90189084</v>
      </c>
      <c r="F7" s="6">
        <v>3</v>
      </c>
      <c r="G7" s="6">
        <f t="shared" si="1"/>
        <v>1</v>
      </c>
      <c r="H7" s="6" t="s">
        <v>1622</v>
      </c>
      <c r="I7" s="5">
        <v>3.67</v>
      </c>
      <c r="J7" s="5">
        <f t="shared" si="0"/>
        <v>11.01</v>
      </c>
    </row>
    <row r="8" spans="1:10" x14ac:dyDescent="0.25">
      <c r="A8" s="9">
        <v>1156</v>
      </c>
      <c r="B8" s="5" t="s">
        <v>1513</v>
      </c>
      <c r="C8" s="5" t="s">
        <v>1514</v>
      </c>
      <c r="D8" s="5" t="s">
        <v>1618</v>
      </c>
      <c r="E8" s="6">
        <v>90189084</v>
      </c>
      <c r="F8" s="6">
        <v>3</v>
      </c>
      <c r="G8" s="6">
        <f t="shared" si="1"/>
        <v>1</v>
      </c>
      <c r="H8" s="6" t="s">
        <v>1622</v>
      </c>
      <c r="I8" s="5">
        <v>62.1</v>
      </c>
      <c r="J8" s="5">
        <f t="shared" si="0"/>
        <v>186.3</v>
      </c>
    </row>
    <row r="9" spans="1:10" x14ac:dyDescent="0.25">
      <c r="A9" s="9">
        <v>1157</v>
      </c>
      <c r="B9" s="5" t="s">
        <v>1241</v>
      </c>
      <c r="C9" s="5" t="s">
        <v>1242</v>
      </c>
      <c r="D9" s="5" t="s">
        <v>1618</v>
      </c>
      <c r="E9" s="6">
        <v>90189084</v>
      </c>
      <c r="F9" s="6">
        <v>3</v>
      </c>
      <c r="G9" s="6">
        <f t="shared" si="1"/>
        <v>1</v>
      </c>
      <c r="H9" s="6" t="s">
        <v>1622</v>
      </c>
      <c r="I9" s="5">
        <v>69.25</v>
      </c>
      <c r="J9" s="5">
        <f t="shared" si="0"/>
        <v>207.75</v>
      </c>
    </row>
    <row r="10" spans="1:10" x14ac:dyDescent="0.25">
      <c r="A10" s="9">
        <v>1158</v>
      </c>
      <c r="B10" s="5" t="s">
        <v>88</v>
      </c>
      <c r="C10" s="5" t="s">
        <v>89</v>
      </c>
      <c r="D10" s="5" t="s">
        <v>1618</v>
      </c>
      <c r="E10" s="6">
        <v>90189084</v>
      </c>
      <c r="F10" s="6">
        <v>3</v>
      </c>
      <c r="G10" s="6">
        <f t="shared" si="1"/>
        <v>1</v>
      </c>
      <c r="H10" s="6" t="s">
        <v>1622</v>
      </c>
      <c r="I10" s="5">
        <v>52.69</v>
      </c>
      <c r="J10" s="5">
        <f t="shared" si="0"/>
        <v>158.07</v>
      </c>
    </row>
    <row r="11" spans="1:10" x14ac:dyDescent="0.25">
      <c r="A11" s="9">
        <v>1159</v>
      </c>
      <c r="B11" s="5" t="s">
        <v>1239</v>
      </c>
      <c r="C11" s="5" t="s">
        <v>1240</v>
      </c>
      <c r="D11" s="5" t="s">
        <v>1618</v>
      </c>
      <c r="E11" s="6">
        <v>90189084</v>
      </c>
      <c r="F11" s="6">
        <v>3</v>
      </c>
      <c r="G11" s="6">
        <f t="shared" si="1"/>
        <v>1</v>
      </c>
      <c r="H11" s="6" t="s">
        <v>1622</v>
      </c>
      <c r="I11" s="5">
        <v>68.19</v>
      </c>
      <c r="J11" s="5">
        <f t="shared" si="0"/>
        <v>204.57</v>
      </c>
    </row>
    <row r="12" spans="1:10" x14ac:dyDescent="0.25">
      <c r="A12" s="9">
        <v>1160</v>
      </c>
      <c r="B12" s="5" t="s">
        <v>1515</v>
      </c>
      <c r="C12" s="5" t="s">
        <v>1516</v>
      </c>
      <c r="D12" s="5" t="s">
        <v>1618</v>
      </c>
      <c r="E12" s="6">
        <v>90189084</v>
      </c>
      <c r="F12" s="6">
        <v>3</v>
      </c>
      <c r="G12" s="6">
        <f t="shared" si="1"/>
        <v>1</v>
      </c>
      <c r="H12" s="6" t="s">
        <v>1622</v>
      </c>
      <c r="I12" s="5">
        <v>76</v>
      </c>
      <c r="J12" s="5">
        <f t="shared" si="0"/>
        <v>228</v>
      </c>
    </row>
    <row r="13" spans="1:10" x14ac:dyDescent="0.25">
      <c r="A13" s="9">
        <v>1161</v>
      </c>
      <c r="B13" s="5" t="s">
        <v>1517</v>
      </c>
      <c r="C13" s="5" t="s">
        <v>1518</v>
      </c>
      <c r="D13" s="5" t="s">
        <v>1618</v>
      </c>
      <c r="E13" s="6">
        <v>90189084</v>
      </c>
      <c r="F13" s="6">
        <v>3</v>
      </c>
      <c r="G13" s="6">
        <f t="shared" si="1"/>
        <v>1</v>
      </c>
      <c r="H13" s="6" t="s">
        <v>1622</v>
      </c>
      <c r="I13" s="5">
        <v>77.58</v>
      </c>
      <c r="J13" s="5">
        <f t="shared" si="0"/>
        <v>232.74</v>
      </c>
    </row>
    <row r="14" spans="1:10" x14ac:dyDescent="0.25">
      <c r="A14" s="9">
        <v>1162</v>
      </c>
      <c r="B14" s="5" t="s">
        <v>1519</v>
      </c>
      <c r="C14" s="5" t="s">
        <v>1520</v>
      </c>
      <c r="D14" s="5" t="s">
        <v>1618</v>
      </c>
      <c r="E14" s="6">
        <v>90189084</v>
      </c>
      <c r="F14" s="6">
        <v>3</v>
      </c>
      <c r="G14" s="6">
        <f t="shared" si="1"/>
        <v>1</v>
      </c>
      <c r="H14" s="6" t="s">
        <v>1622</v>
      </c>
      <c r="I14" s="5">
        <v>79.91</v>
      </c>
      <c r="J14" s="5">
        <f t="shared" si="0"/>
        <v>239.73</v>
      </c>
    </row>
    <row r="15" spans="1:10" x14ac:dyDescent="0.25">
      <c r="A15" s="9">
        <v>1163</v>
      </c>
      <c r="B15" s="5" t="s">
        <v>1521</v>
      </c>
      <c r="C15" s="5" t="s">
        <v>1522</v>
      </c>
      <c r="D15" s="5" t="s">
        <v>1618</v>
      </c>
      <c r="E15" s="6">
        <v>90189084</v>
      </c>
      <c r="F15" s="6">
        <v>3</v>
      </c>
      <c r="G15" s="6">
        <f t="shared" si="1"/>
        <v>1</v>
      </c>
      <c r="H15" s="6" t="s">
        <v>1622</v>
      </c>
      <c r="I15" s="5">
        <v>65.62</v>
      </c>
      <c r="J15" s="5">
        <f t="shared" si="0"/>
        <v>196.86</v>
      </c>
    </row>
    <row r="16" spans="1:10" x14ac:dyDescent="0.25">
      <c r="A16" s="9">
        <v>1164</v>
      </c>
      <c r="B16" s="5" t="s">
        <v>524</v>
      </c>
      <c r="C16" s="5" t="s">
        <v>525</v>
      </c>
      <c r="D16" s="5" t="s">
        <v>1618</v>
      </c>
      <c r="E16" s="6">
        <v>90189084</v>
      </c>
      <c r="F16" s="6">
        <v>3</v>
      </c>
      <c r="G16" s="6">
        <f t="shared" si="1"/>
        <v>1</v>
      </c>
      <c r="H16" s="6" t="s">
        <v>1622</v>
      </c>
      <c r="I16" s="5">
        <v>10.02</v>
      </c>
      <c r="J16" s="5">
        <f t="shared" si="0"/>
        <v>30.06</v>
      </c>
    </row>
    <row r="17" spans="1:10" x14ac:dyDescent="0.25">
      <c r="A17" s="9">
        <v>1165</v>
      </c>
      <c r="B17" s="5" t="s">
        <v>490</v>
      </c>
      <c r="C17" s="5" t="s">
        <v>491</v>
      </c>
      <c r="D17" s="5" t="s">
        <v>1619</v>
      </c>
      <c r="E17" s="6">
        <v>90189084</v>
      </c>
      <c r="F17" s="6">
        <v>3</v>
      </c>
      <c r="G17" s="6">
        <f t="shared" si="1"/>
        <v>1</v>
      </c>
      <c r="H17" s="6" t="s">
        <v>1622</v>
      </c>
      <c r="I17" s="5">
        <v>5.4</v>
      </c>
      <c r="J17" s="5">
        <f t="shared" si="0"/>
        <v>16.200000000000003</v>
      </c>
    </row>
    <row r="18" spans="1:10" x14ac:dyDescent="0.25">
      <c r="A18" s="9">
        <v>1166</v>
      </c>
      <c r="B18" s="5" t="s">
        <v>1523</v>
      </c>
      <c r="C18" s="5" t="s">
        <v>1524</v>
      </c>
      <c r="D18" s="5" t="s">
        <v>1619</v>
      </c>
      <c r="E18" s="6">
        <v>90189084</v>
      </c>
      <c r="F18" s="6">
        <v>6</v>
      </c>
      <c r="G18" s="6">
        <f t="shared" si="1"/>
        <v>2</v>
      </c>
      <c r="H18" s="6" t="s">
        <v>1622</v>
      </c>
      <c r="I18" s="5">
        <v>5.23</v>
      </c>
      <c r="J18" s="5">
        <f t="shared" si="0"/>
        <v>31.380000000000003</v>
      </c>
    </row>
    <row r="19" spans="1:10" x14ac:dyDescent="0.25">
      <c r="A19" s="9">
        <v>1167</v>
      </c>
      <c r="B19" s="5" t="s">
        <v>1525</v>
      </c>
      <c r="C19" s="5" t="s">
        <v>1526</v>
      </c>
      <c r="D19" s="5" t="s">
        <v>1619</v>
      </c>
      <c r="E19" s="6">
        <v>90189084</v>
      </c>
      <c r="F19" s="6">
        <v>6</v>
      </c>
      <c r="G19" s="6">
        <f t="shared" si="1"/>
        <v>2</v>
      </c>
      <c r="H19" s="6" t="s">
        <v>1622</v>
      </c>
      <c r="I19" s="5">
        <v>8.9600000000000009</v>
      </c>
      <c r="J19" s="5">
        <f t="shared" si="0"/>
        <v>53.760000000000005</v>
      </c>
    </row>
    <row r="20" spans="1:10" x14ac:dyDescent="0.25">
      <c r="A20" s="9">
        <v>1168</v>
      </c>
      <c r="B20" s="5" t="s">
        <v>1527</v>
      </c>
      <c r="C20" s="5" t="s">
        <v>1528</v>
      </c>
      <c r="D20" s="5" t="s">
        <v>1618</v>
      </c>
      <c r="E20" s="6">
        <v>90189084</v>
      </c>
      <c r="F20" s="6">
        <v>6</v>
      </c>
      <c r="G20" s="6">
        <f t="shared" si="1"/>
        <v>2</v>
      </c>
      <c r="H20" s="6" t="s">
        <v>1622</v>
      </c>
      <c r="I20" s="5">
        <v>238.35</v>
      </c>
      <c r="J20" s="5">
        <f t="shared" si="0"/>
        <v>1430.1</v>
      </c>
    </row>
    <row r="21" spans="1:10" x14ac:dyDescent="0.25">
      <c r="A21" s="9">
        <v>1169</v>
      </c>
      <c r="B21" s="5" t="s">
        <v>614</v>
      </c>
      <c r="C21" s="5" t="s">
        <v>615</v>
      </c>
      <c r="D21" s="5" t="s">
        <v>1618</v>
      </c>
      <c r="E21" s="6">
        <v>90189084</v>
      </c>
      <c r="F21" s="6">
        <v>6</v>
      </c>
      <c r="G21" s="6">
        <f t="shared" si="1"/>
        <v>2</v>
      </c>
      <c r="H21" s="6" t="s">
        <v>1622</v>
      </c>
      <c r="I21" s="5">
        <v>31.2</v>
      </c>
      <c r="J21" s="5">
        <f t="shared" si="0"/>
        <v>187.2</v>
      </c>
    </row>
    <row r="22" spans="1:10" x14ac:dyDescent="0.25">
      <c r="A22" s="9">
        <v>1170</v>
      </c>
      <c r="B22" s="5" t="s">
        <v>1529</v>
      </c>
      <c r="C22" s="5" t="s">
        <v>1530</v>
      </c>
      <c r="D22" s="5" t="s">
        <v>1618</v>
      </c>
      <c r="E22" s="6">
        <v>90189084</v>
      </c>
      <c r="F22" s="6">
        <v>6</v>
      </c>
      <c r="G22" s="6">
        <f t="shared" si="1"/>
        <v>2</v>
      </c>
      <c r="H22" s="6" t="s">
        <v>1622</v>
      </c>
      <c r="I22" s="5">
        <v>255.29</v>
      </c>
      <c r="J22" s="5">
        <f t="shared" si="0"/>
        <v>1531.74</v>
      </c>
    </row>
    <row r="23" spans="1:10" x14ac:dyDescent="0.25">
      <c r="A23" s="9">
        <v>1171</v>
      </c>
      <c r="B23" s="5" t="s">
        <v>48</v>
      </c>
      <c r="C23" s="5" t="s">
        <v>49</v>
      </c>
      <c r="D23" s="5" t="s">
        <v>1619</v>
      </c>
      <c r="E23" s="6">
        <v>90189084</v>
      </c>
      <c r="F23" s="6">
        <v>6</v>
      </c>
      <c r="G23" s="6">
        <f t="shared" si="1"/>
        <v>2</v>
      </c>
      <c r="H23" s="6" t="s">
        <v>1622</v>
      </c>
      <c r="I23" s="5">
        <v>34.08</v>
      </c>
      <c r="J23" s="5">
        <f t="shared" si="0"/>
        <v>204.48</v>
      </c>
    </row>
    <row r="24" spans="1:10" x14ac:dyDescent="0.25">
      <c r="A24" s="9">
        <v>1172</v>
      </c>
      <c r="B24" s="5" t="s">
        <v>1531</v>
      </c>
      <c r="C24" s="5" t="s">
        <v>1532</v>
      </c>
      <c r="D24" s="5" t="s">
        <v>1619</v>
      </c>
      <c r="E24" s="6">
        <v>90189084</v>
      </c>
      <c r="F24" s="6">
        <v>18</v>
      </c>
      <c r="G24" s="6">
        <f t="shared" si="1"/>
        <v>6</v>
      </c>
      <c r="H24" s="6" t="s">
        <v>1622</v>
      </c>
      <c r="I24" s="5">
        <v>13.11</v>
      </c>
      <c r="J24" s="5">
        <f t="shared" si="0"/>
        <v>235.98</v>
      </c>
    </row>
    <row r="25" spans="1:10" x14ac:dyDescent="0.25">
      <c r="A25" s="9">
        <v>1173</v>
      </c>
      <c r="B25" s="5" t="s">
        <v>170</v>
      </c>
      <c r="C25" s="5" t="s">
        <v>171</v>
      </c>
      <c r="D25" s="5" t="s">
        <v>1619</v>
      </c>
      <c r="E25" s="6">
        <v>90189084</v>
      </c>
      <c r="F25" s="6">
        <v>18</v>
      </c>
      <c r="G25" s="6">
        <f t="shared" si="1"/>
        <v>6</v>
      </c>
      <c r="H25" s="6" t="s">
        <v>1622</v>
      </c>
      <c r="I25" s="5">
        <v>12.74</v>
      </c>
      <c r="J25" s="5">
        <f t="shared" si="0"/>
        <v>229.32</v>
      </c>
    </row>
    <row r="26" spans="1:10" x14ac:dyDescent="0.25">
      <c r="A26" s="9">
        <v>1174</v>
      </c>
      <c r="B26" s="5" t="s">
        <v>336</v>
      </c>
      <c r="C26" s="5" t="s">
        <v>337</v>
      </c>
      <c r="D26" s="5" t="s">
        <v>1619</v>
      </c>
      <c r="E26" s="6">
        <v>90189084</v>
      </c>
      <c r="F26" s="6">
        <v>6</v>
      </c>
      <c r="G26" s="6">
        <f t="shared" si="1"/>
        <v>2</v>
      </c>
      <c r="H26" s="6" t="s">
        <v>1622</v>
      </c>
      <c r="I26" s="5">
        <v>20.68</v>
      </c>
      <c r="J26" s="5">
        <f t="shared" si="0"/>
        <v>124.08</v>
      </c>
    </row>
    <row r="27" spans="1:10" x14ac:dyDescent="0.25">
      <c r="A27" s="9">
        <v>1175</v>
      </c>
      <c r="B27" s="5" t="s">
        <v>1533</v>
      </c>
      <c r="C27" s="5" t="s">
        <v>1534</v>
      </c>
      <c r="D27" s="5" t="s">
        <v>1618</v>
      </c>
      <c r="E27" s="6">
        <v>90189084</v>
      </c>
      <c r="F27" s="6">
        <v>6</v>
      </c>
      <c r="G27" s="6">
        <f t="shared" si="1"/>
        <v>2</v>
      </c>
      <c r="H27" s="6" t="s">
        <v>1622</v>
      </c>
      <c r="I27" s="5">
        <v>55.14</v>
      </c>
      <c r="J27" s="5">
        <f t="shared" si="0"/>
        <v>330.84000000000003</v>
      </c>
    </row>
    <row r="28" spans="1:10" x14ac:dyDescent="0.25">
      <c r="A28" s="9">
        <v>1176</v>
      </c>
      <c r="B28" s="5" t="s">
        <v>1535</v>
      </c>
      <c r="C28" s="5" t="s">
        <v>1536</v>
      </c>
      <c r="D28" s="5" t="s">
        <v>1618</v>
      </c>
      <c r="E28" s="6">
        <v>90189084</v>
      </c>
      <c r="F28" s="6">
        <v>6</v>
      </c>
      <c r="G28" s="6">
        <f t="shared" si="1"/>
        <v>2</v>
      </c>
      <c r="H28" s="6" t="s">
        <v>1622</v>
      </c>
      <c r="I28" s="5">
        <v>35.36</v>
      </c>
      <c r="J28" s="5">
        <f t="shared" si="0"/>
        <v>212.16</v>
      </c>
    </row>
    <row r="29" spans="1:10" x14ac:dyDescent="0.25">
      <c r="A29" s="9">
        <v>1177</v>
      </c>
      <c r="B29" s="5" t="s">
        <v>1537</v>
      </c>
      <c r="C29" s="5" t="s">
        <v>1538</v>
      </c>
      <c r="D29" s="5" t="s">
        <v>1618</v>
      </c>
      <c r="E29" s="6">
        <v>90189084</v>
      </c>
      <c r="F29" s="6">
        <v>6</v>
      </c>
      <c r="G29" s="6">
        <f t="shared" si="1"/>
        <v>2</v>
      </c>
      <c r="H29" s="6" t="s">
        <v>1622</v>
      </c>
      <c r="I29" s="5">
        <v>35.36</v>
      </c>
      <c r="J29" s="5">
        <f t="shared" si="0"/>
        <v>212.16</v>
      </c>
    </row>
    <row r="30" spans="1:10" x14ac:dyDescent="0.25">
      <c r="A30" s="9">
        <v>1178</v>
      </c>
      <c r="B30" s="5" t="s">
        <v>1539</v>
      </c>
      <c r="C30" s="5" t="s">
        <v>1540</v>
      </c>
      <c r="D30" s="5" t="s">
        <v>1618</v>
      </c>
      <c r="E30" s="6">
        <v>90189084</v>
      </c>
      <c r="F30" s="6">
        <v>3</v>
      </c>
      <c r="G30" s="6">
        <f t="shared" si="1"/>
        <v>1</v>
      </c>
      <c r="H30" s="6" t="s">
        <v>1622</v>
      </c>
      <c r="I30" s="5">
        <v>76.14</v>
      </c>
      <c r="J30" s="5">
        <f t="shared" si="0"/>
        <v>228.42000000000002</v>
      </c>
    </row>
    <row r="31" spans="1:10" x14ac:dyDescent="0.25">
      <c r="A31" s="9">
        <v>1179</v>
      </c>
      <c r="B31" s="5" t="s">
        <v>1301</v>
      </c>
      <c r="C31" s="5" t="s">
        <v>1302</v>
      </c>
      <c r="D31" s="5" t="s">
        <v>1618</v>
      </c>
      <c r="E31" s="6">
        <v>90189084</v>
      </c>
      <c r="F31" s="6">
        <v>3</v>
      </c>
      <c r="G31" s="6">
        <f t="shared" si="1"/>
        <v>1</v>
      </c>
      <c r="H31" s="6" t="s">
        <v>1622</v>
      </c>
      <c r="I31" s="5">
        <v>37.159999999999997</v>
      </c>
      <c r="J31" s="5">
        <f t="shared" si="0"/>
        <v>111.47999999999999</v>
      </c>
    </row>
    <row r="32" spans="1:10" x14ac:dyDescent="0.25">
      <c r="A32" s="9">
        <v>1180</v>
      </c>
      <c r="B32" s="5" t="s">
        <v>1369</v>
      </c>
      <c r="C32" s="5" t="s">
        <v>1370</v>
      </c>
      <c r="D32" s="5" t="s">
        <v>1619</v>
      </c>
      <c r="E32" s="6">
        <v>90189084</v>
      </c>
      <c r="F32" s="6">
        <v>3</v>
      </c>
      <c r="G32" s="6">
        <f t="shared" si="1"/>
        <v>1</v>
      </c>
      <c r="H32" s="6" t="s">
        <v>1622</v>
      </c>
      <c r="I32" s="5">
        <v>22.73</v>
      </c>
      <c r="J32" s="5">
        <f t="shared" si="0"/>
        <v>68.19</v>
      </c>
    </row>
    <row r="33" spans="1:10" x14ac:dyDescent="0.25">
      <c r="A33" s="9">
        <v>1181</v>
      </c>
      <c r="B33" s="5" t="s">
        <v>1541</v>
      </c>
      <c r="C33" s="5" t="s">
        <v>1542</v>
      </c>
      <c r="D33" s="5" t="s">
        <v>1618</v>
      </c>
      <c r="E33" s="6">
        <v>90189084</v>
      </c>
      <c r="F33" s="6">
        <v>3</v>
      </c>
      <c r="G33" s="6">
        <f t="shared" si="1"/>
        <v>1</v>
      </c>
      <c r="H33" s="6" t="s">
        <v>1622</v>
      </c>
      <c r="I33" s="5">
        <v>30.36</v>
      </c>
      <c r="J33" s="5">
        <f t="shared" si="0"/>
        <v>91.08</v>
      </c>
    </row>
    <row r="34" spans="1:10" x14ac:dyDescent="0.25">
      <c r="A34" s="9">
        <v>1182</v>
      </c>
      <c r="B34" s="5" t="s">
        <v>502</v>
      </c>
      <c r="C34" s="5" t="s">
        <v>503</v>
      </c>
      <c r="D34" s="5" t="s">
        <v>1619</v>
      </c>
      <c r="E34" s="6">
        <v>90189084</v>
      </c>
      <c r="F34" s="6">
        <v>3</v>
      </c>
      <c r="G34" s="6">
        <f t="shared" si="1"/>
        <v>1</v>
      </c>
      <c r="H34" s="6" t="s">
        <v>1622</v>
      </c>
      <c r="I34" s="5">
        <v>31.91</v>
      </c>
      <c r="J34" s="5">
        <f t="shared" si="0"/>
        <v>95.73</v>
      </c>
    </row>
    <row r="35" spans="1:10" x14ac:dyDescent="0.25">
      <c r="A35" s="9">
        <v>1183</v>
      </c>
      <c r="B35" s="5" t="s">
        <v>94</v>
      </c>
      <c r="C35" s="5" t="s">
        <v>95</v>
      </c>
      <c r="D35" s="5" t="s">
        <v>1619</v>
      </c>
      <c r="E35" s="6">
        <v>90189084</v>
      </c>
      <c r="F35" s="6">
        <v>3</v>
      </c>
      <c r="G35" s="6">
        <f t="shared" si="1"/>
        <v>1</v>
      </c>
      <c r="H35" s="6" t="s">
        <v>1622</v>
      </c>
      <c r="I35" s="5">
        <v>47.91</v>
      </c>
      <c r="J35" s="5">
        <f t="shared" si="0"/>
        <v>143.72999999999999</v>
      </c>
    </row>
    <row r="36" spans="1:10" x14ac:dyDescent="0.25">
      <c r="A36" s="9">
        <v>1184</v>
      </c>
      <c r="B36" s="5" t="s">
        <v>1543</v>
      </c>
      <c r="C36" s="5" t="s">
        <v>1544</v>
      </c>
      <c r="D36" s="5" t="s">
        <v>1619</v>
      </c>
      <c r="E36" s="6">
        <v>90189084</v>
      </c>
      <c r="F36" s="6">
        <v>6</v>
      </c>
      <c r="G36" s="6">
        <f t="shared" si="1"/>
        <v>2</v>
      </c>
      <c r="H36" s="6" t="s">
        <v>1622</v>
      </c>
      <c r="I36" s="5">
        <v>44.91</v>
      </c>
      <c r="J36" s="5">
        <f t="shared" si="0"/>
        <v>269.45999999999998</v>
      </c>
    </row>
    <row r="37" spans="1:10" x14ac:dyDescent="0.25">
      <c r="A37" s="9">
        <v>1185</v>
      </c>
      <c r="B37" s="5" t="s">
        <v>1545</v>
      </c>
      <c r="C37" s="5" t="s">
        <v>1546</v>
      </c>
      <c r="D37" s="5" t="s">
        <v>1619</v>
      </c>
      <c r="E37" s="6">
        <v>90189084</v>
      </c>
      <c r="F37" s="6">
        <v>3</v>
      </c>
      <c r="G37" s="6">
        <f t="shared" si="1"/>
        <v>1</v>
      </c>
      <c r="H37" s="6" t="s">
        <v>1622</v>
      </c>
      <c r="I37" s="5">
        <v>60.97</v>
      </c>
      <c r="J37" s="5">
        <f t="shared" si="0"/>
        <v>182.91</v>
      </c>
    </row>
    <row r="38" spans="1:10" x14ac:dyDescent="0.25">
      <c r="A38" s="9">
        <v>1186</v>
      </c>
      <c r="B38" s="5" t="s">
        <v>1429</v>
      </c>
      <c r="C38" s="5" t="s">
        <v>1430</v>
      </c>
      <c r="D38" s="5" t="s">
        <v>1618</v>
      </c>
      <c r="E38" s="6">
        <v>90189084</v>
      </c>
      <c r="F38" s="6">
        <v>6</v>
      </c>
      <c r="G38" s="6">
        <f t="shared" si="1"/>
        <v>2</v>
      </c>
      <c r="H38" s="6" t="s">
        <v>1622</v>
      </c>
      <c r="I38" s="5">
        <v>18.61</v>
      </c>
      <c r="J38" s="5">
        <f t="shared" si="0"/>
        <v>111.66</v>
      </c>
    </row>
    <row r="39" spans="1:10" x14ac:dyDescent="0.25">
      <c r="A39" s="9">
        <v>1187</v>
      </c>
      <c r="B39" s="5" t="s">
        <v>1547</v>
      </c>
      <c r="C39" s="5" t="s">
        <v>1548</v>
      </c>
      <c r="D39" s="5" t="s">
        <v>1618</v>
      </c>
      <c r="E39" s="6">
        <v>90189084</v>
      </c>
      <c r="F39" s="6">
        <v>6</v>
      </c>
      <c r="G39" s="6">
        <f t="shared" si="1"/>
        <v>2</v>
      </c>
      <c r="H39" s="6" t="s">
        <v>1622</v>
      </c>
      <c r="I39" s="5">
        <v>22.68</v>
      </c>
      <c r="J39" s="5">
        <f t="shared" si="0"/>
        <v>136.07999999999998</v>
      </c>
    </row>
    <row r="40" spans="1:10" x14ac:dyDescent="0.25">
      <c r="A40" s="9">
        <v>1188</v>
      </c>
      <c r="B40" s="5" t="s">
        <v>1549</v>
      </c>
      <c r="C40" s="5" t="s">
        <v>1550</v>
      </c>
      <c r="D40" s="5" t="s">
        <v>1619</v>
      </c>
      <c r="E40" s="6">
        <v>90189084</v>
      </c>
      <c r="F40" s="6">
        <v>3</v>
      </c>
      <c r="G40" s="6">
        <f t="shared" si="1"/>
        <v>1</v>
      </c>
      <c r="H40" s="6" t="s">
        <v>1622</v>
      </c>
      <c r="I40" s="5">
        <v>28.35</v>
      </c>
      <c r="J40" s="5">
        <f t="shared" si="0"/>
        <v>85.050000000000011</v>
      </c>
    </row>
    <row r="41" spans="1:10" x14ac:dyDescent="0.25">
      <c r="A41" s="9">
        <v>1189</v>
      </c>
      <c r="B41" s="5" t="s">
        <v>825</v>
      </c>
      <c r="C41" s="5" t="s">
        <v>826</v>
      </c>
      <c r="D41" s="5" t="s">
        <v>1618</v>
      </c>
      <c r="E41" s="6">
        <v>90189084</v>
      </c>
      <c r="F41" s="6">
        <v>6</v>
      </c>
      <c r="G41" s="6">
        <f t="shared" si="1"/>
        <v>2</v>
      </c>
      <c r="H41" s="6" t="s">
        <v>1622</v>
      </c>
      <c r="I41" s="5">
        <v>21.14</v>
      </c>
      <c r="J41" s="5">
        <f t="shared" si="0"/>
        <v>126.84</v>
      </c>
    </row>
    <row r="42" spans="1:10" x14ac:dyDescent="0.25">
      <c r="A42" s="9">
        <v>1190</v>
      </c>
      <c r="B42" s="5" t="s">
        <v>1551</v>
      </c>
      <c r="C42" s="5" t="s">
        <v>1552</v>
      </c>
      <c r="D42" s="5" t="s">
        <v>1618</v>
      </c>
      <c r="E42" s="6">
        <v>90189084</v>
      </c>
      <c r="F42" s="6">
        <v>6</v>
      </c>
      <c r="G42" s="6">
        <f t="shared" si="1"/>
        <v>2</v>
      </c>
      <c r="H42" s="6" t="s">
        <v>1622</v>
      </c>
      <c r="I42" s="5">
        <v>23.51</v>
      </c>
      <c r="J42" s="5">
        <f t="shared" si="0"/>
        <v>141.06</v>
      </c>
    </row>
    <row r="43" spans="1:10" x14ac:dyDescent="0.25">
      <c r="A43" s="9">
        <v>1191</v>
      </c>
      <c r="B43" s="5" t="s">
        <v>1553</v>
      </c>
      <c r="C43" s="5" t="s">
        <v>1554</v>
      </c>
      <c r="D43" s="5" t="s">
        <v>1618</v>
      </c>
      <c r="E43" s="6">
        <v>90189084</v>
      </c>
      <c r="F43" s="6">
        <v>6</v>
      </c>
      <c r="G43" s="6">
        <f t="shared" si="1"/>
        <v>2</v>
      </c>
      <c r="H43" s="6" t="s">
        <v>1622</v>
      </c>
      <c r="I43" s="5">
        <v>32.54</v>
      </c>
      <c r="J43" s="5">
        <f t="shared" si="0"/>
        <v>195.24</v>
      </c>
    </row>
    <row r="44" spans="1:10" x14ac:dyDescent="0.25">
      <c r="A44" s="9">
        <v>1192</v>
      </c>
      <c r="B44" s="5" t="s">
        <v>1555</v>
      </c>
      <c r="C44" s="5" t="s">
        <v>1556</v>
      </c>
      <c r="D44" s="5" t="s">
        <v>1618</v>
      </c>
      <c r="E44" s="6">
        <v>90189084</v>
      </c>
      <c r="F44" s="6">
        <v>6</v>
      </c>
      <c r="G44" s="6">
        <f t="shared" si="1"/>
        <v>2</v>
      </c>
      <c r="H44" s="6" t="s">
        <v>1622</v>
      </c>
      <c r="I44" s="5">
        <v>27.07</v>
      </c>
      <c r="J44" s="5">
        <f t="shared" si="0"/>
        <v>162.42000000000002</v>
      </c>
    </row>
    <row r="45" spans="1:10" x14ac:dyDescent="0.25">
      <c r="A45" s="9">
        <v>1193</v>
      </c>
      <c r="B45" s="5" t="s">
        <v>1557</v>
      </c>
      <c r="C45" s="5" t="s">
        <v>1558</v>
      </c>
      <c r="D45" s="5" t="s">
        <v>1618</v>
      </c>
      <c r="E45" s="6">
        <v>90189084</v>
      </c>
      <c r="F45" s="6">
        <v>6</v>
      </c>
      <c r="G45" s="6">
        <f t="shared" si="1"/>
        <v>2</v>
      </c>
      <c r="H45" s="6" t="s">
        <v>1622</v>
      </c>
      <c r="I45" s="5">
        <v>27.5</v>
      </c>
      <c r="J45" s="5">
        <f t="shared" si="0"/>
        <v>165</v>
      </c>
    </row>
    <row r="46" spans="1:10" x14ac:dyDescent="0.25">
      <c r="A46" s="9">
        <v>1194</v>
      </c>
      <c r="B46" s="5" t="s">
        <v>1559</v>
      </c>
      <c r="C46" s="5" t="s">
        <v>1560</v>
      </c>
      <c r="D46" s="5" t="s">
        <v>1618</v>
      </c>
      <c r="E46" s="6">
        <v>90189084</v>
      </c>
      <c r="F46" s="6">
        <v>3</v>
      </c>
      <c r="G46" s="6">
        <f t="shared" si="1"/>
        <v>1</v>
      </c>
      <c r="H46" s="6" t="s">
        <v>1622</v>
      </c>
      <c r="I46" s="5">
        <v>155.78</v>
      </c>
      <c r="J46" s="5">
        <f t="shared" si="0"/>
        <v>467.34000000000003</v>
      </c>
    </row>
    <row r="47" spans="1:10" x14ac:dyDescent="0.25">
      <c r="A47" s="9">
        <v>1195</v>
      </c>
      <c r="B47" s="5" t="s">
        <v>222</v>
      </c>
      <c r="C47" s="5" t="s">
        <v>223</v>
      </c>
      <c r="D47" s="5" t="s">
        <v>1618</v>
      </c>
      <c r="E47" s="6">
        <v>90189084</v>
      </c>
      <c r="F47" s="6">
        <v>3</v>
      </c>
      <c r="G47" s="6">
        <f t="shared" si="1"/>
        <v>1</v>
      </c>
      <c r="H47" s="6" t="s">
        <v>1622</v>
      </c>
      <c r="I47" s="5">
        <v>112.33</v>
      </c>
      <c r="J47" s="5">
        <f t="shared" si="0"/>
        <v>336.99</v>
      </c>
    </row>
    <row r="48" spans="1:10" x14ac:dyDescent="0.25">
      <c r="A48" s="9">
        <v>1196</v>
      </c>
      <c r="B48" s="5" t="s">
        <v>1561</v>
      </c>
      <c r="C48" s="5" t="s">
        <v>1562</v>
      </c>
      <c r="D48" s="5" t="s">
        <v>1618</v>
      </c>
      <c r="E48" s="6">
        <v>90189084</v>
      </c>
      <c r="F48" s="6">
        <v>3</v>
      </c>
      <c r="G48" s="6">
        <f t="shared" si="1"/>
        <v>1</v>
      </c>
      <c r="H48" s="6" t="s">
        <v>1622</v>
      </c>
      <c r="I48" s="5">
        <v>164.01</v>
      </c>
      <c r="J48" s="5">
        <f t="shared" si="0"/>
        <v>492.03</v>
      </c>
    </row>
    <row r="49" spans="1:10" x14ac:dyDescent="0.25">
      <c r="A49" s="9">
        <v>1197</v>
      </c>
      <c r="B49" s="5" t="s">
        <v>1221</v>
      </c>
      <c r="C49" s="5" t="s">
        <v>1222</v>
      </c>
      <c r="D49" s="5" t="s">
        <v>1618</v>
      </c>
      <c r="E49" s="6">
        <v>90189084</v>
      </c>
      <c r="F49" s="6">
        <v>3</v>
      </c>
      <c r="G49" s="6">
        <f t="shared" si="1"/>
        <v>1</v>
      </c>
      <c r="H49" s="6" t="s">
        <v>1622</v>
      </c>
      <c r="I49" s="5">
        <v>21.3</v>
      </c>
      <c r="J49" s="5">
        <f t="shared" ref="J49:J76" si="2">F49*I49</f>
        <v>63.900000000000006</v>
      </c>
    </row>
    <row r="50" spans="1:10" x14ac:dyDescent="0.25">
      <c r="A50" s="9">
        <v>1198</v>
      </c>
      <c r="B50" s="5" t="s">
        <v>1563</v>
      </c>
      <c r="C50" s="5" t="s">
        <v>1564</v>
      </c>
      <c r="D50" s="5" t="s">
        <v>1618</v>
      </c>
      <c r="E50" s="6">
        <v>90189084</v>
      </c>
      <c r="F50" s="6">
        <v>3</v>
      </c>
      <c r="G50" s="6">
        <f t="shared" si="1"/>
        <v>1</v>
      </c>
      <c r="H50" s="6" t="s">
        <v>1622</v>
      </c>
      <c r="I50" s="5">
        <v>33.29</v>
      </c>
      <c r="J50" s="5">
        <f t="shared" si="2"/>
        <v>99.87</v>
      </c>
    </row>
    <row r="51" spans="1:10" x14ac:dyDescent="0.25">
      <c r="A51" s="9">
        <v>1199</v>
      </c>
      <c r="B51" s="5" t="s">
        <v>1565</v>
      </c>
      <c r="C51" s="5" t="s">
        <v>1566</v>
      </c>
      <c r="D51" s="5" t="s">
        <v>1618</v>
      </c>
      <c r="E51" s="6">
        <v>90189084</v>
      </c>
      <c r="F51" s="6">
        <v>3</v>
      </c>
      <c r="G51" s="6">
        <f t="shared" si="1"/>
        <v>1</v>
      </c>
      <c r="H51" s="6" t="s">
        <v>1622</v>
      </c>
      <c r="I51" s="5">
        <v>32.54</v>
      </c>
      <c r="J51" s="5">
        <f t="shared" si="2"/>
        <v>97.62</v>
      </c>
    </row>
    <row r="52" spans="1:10" x14ac:dyDescent="0.25">
      <c r="A52" s="9">
        <v>1200</v>
      </c>
      <c r="B52" s="5" t="s">
        <v>1391</v>
      </c>
      <c r="C52" s="5" t="s">
        <v>1392</v>
      </c>
      <c r="D52" s="5" t="s">
        <v>1618</v>
      </c>
      <c r="E52" s="6">
        <v>90189084</v>
      </c>
      <c r="F52" s="6">
        <v>3</v>
      </c>
      <c r="G52" s="6">
        <f t="shared" si="1"/>
        <v>1</v>
      </c>
      <c r="H52" s="6" t="s">
        <v>1622</v>
      </c>
      <c r="I52" s="5">
        <v>20.71</v>
      </c>
      <c r="J52" s="5">
        <f t="shared" si="2"/>
        <v>62.13</v>
      </c>
    </row>
    <row r="53" spans="1:10" x14ac:dyDescent="0.25">
      <c r="A53" s="9">
        <v>1201</v>
      </c>
      <c r="B53" s="5" t="s">
        <v>1567</v>
      </c>
      <c r="C53" s="5" t="s">
        <v>1568</v>
      </c>
      <c r="D53" s="5" t="s">
        <v>1618</v>
      </c>
      <c r="E53" s="6">
        <v>90189084</v>
      </c>
      <c r="F53" s="6">
        <v>3</v>
      </c>
      <c r="G53" s="6">
        <f t="shared" si="1"/>
        <v>1</v>
      </c>
      <c r="H53" s="6" t="s">
        <v>1622</v>
      </c>
      <c r="I53" s="5">
        <v>5.82</v>
      </c>
      <c r="J53" s="5">
        <f t="shared" si="2"/>
        <v>17.46</v>
      </c>
    </row>
    <row r="54" spans="1:10" x14ac:dyDescent="0.25">
      <c r="A54" s="9">
        <v>1202</v>
      </c>
      <c r="B54" s="5" t="s">
        <v>1569</v>
      </c>
      <c r="C54" s="5" t="s">
        <v>1570</v>
      </c>
      <c r="D54" s="5" t="s">
        <v>1618</v>
      </c>
      <c r="E54" s="6">
        <v>90183900</v>
      </c>
      <c r="F54" s="6">
        <v>3</v>
      </c>
      <c r="G54" s="6">
        <f t="shared" si="1"/>
        <v>1</v>
      </c>
      <c r="H54" s="6" t="s">
        <v>1622</v>
      </c>
      <c r="I54" s="5">
        <v>15.69</v>
      </c>
      <c r="J54" s="5">
        <f t="shared" si="2"/>
        <v>47.07</v>
      </c>
    </row>
    <row r="55" spans="1:10" x14ac:dyDescent="0.25">
      <c r="A55" s="9">
        <v>1203</v>
      </c>
      <c r="B55" s="5" t="s">
        <v>1571</v>
      </c>
      <c r="C55" s="5" t="s">
        <v>1572</v>
      </c>
      <c r="D55" s="5" t="s">
        <v>1618</v>
      </c>
      <c r="E55" s="6">
        <v>90189084</v>
      </c>
      <c r="F55" s="6">
        <v>6</v>
      </c>
      <c r="G55" s="6">
        <f t="shared" si="1"/>
        <v>2</v>
      </c>
      <c r="H55" s="6" t="s">
        <v>1622</v>
      </c>
      <c r="I55" s="5">
        <v>78.36</v>
      </c>
      <c r="J55" s="5">
        <f t="shared" si="2"/>
        <v>470.15999999999997</v>
      </c>
    </row>
    <row r="56" spans="1:10" x14ac:dyDescent="0.25">
      <c r="A56" s="9">
        <v>1204</v>
      </c>
      <c r="B56" s="5" t="s">
        <v>1573</v>
      </c>
      <c r="C56" s="5" t="s">
        <v>1574</v>
      </c>
      <c r="D56" s="5" t="s">
        <v>1618</v>
      </c>
      <c r="E56" s="6">
        <v>90189084</v>
      </c>
      <c r="F56" s="6">
        <v>6</v>
      </c>
      <c r="G56" s="6">
        <f t="shared" si="1"/>
        <v>2</v>
      </c>
      <c r="H56" s="6" t="s">
        <v>1622</v>
      </c>
      <c r="I56" s="5">
        <v>82.55</v>
      </c>
      <c r="J56" s="5">
        <f t="shared" si="2"/>
        <v>495.29999999999995</v>
      </c>
    </row>
    <row r="57" spans="1:10" x14ac:dyDescent="0.25">
      <c r="A57" s="9">
        <v>1205</v>
      </c>
      <c r="B57" s="5" t="s">
        <v>1575</v>
      </c>
      <c r="C57" s="5" t="s">
        <v>1576</v>
      </c>
      <c r="D57" s="5" t="s">
        <v>1618</v>
      </c>
      <c r="E57" s="6">
        <v>90189084</v>
      </c>
      <c r="F57" s="6">
        <v>6</v>
      </c>
      <c r="G57" s="6">
        <f t="shared" si="1"/>
        <v>2</v>
      </c>
      <c r="H57" s="6" t="s">
        <v>1622</v>
      </c>
      <c r="I57" s="5">
        <v>80.010000000000005</v>
      </c>
      <c r="J57" s="5">
        <f t="shared" si="2"/>
        <v>480.06000000000006</v>
      </c>
    </row>
    <row r="58" spans="1:10" x14ac:dyDescent="0.25">
      <c r="A58" s="9">
        <v>1206</v>
      </c>
      <c r="B58" s="5" t="s">
        <v>1573</v>
      </c>
      <c r="C58" s="5" t="s">
        <v>1574</v>
      </c>
      <c r="D58" s="5" t="s">
        <v>1618</v>
      </c>
      <c r="E58" s="6">
        <v>90189084</v>
      </c>
      <c r="F58" s="6">
        <v>6</v>
      </c>
      <c r="G58" s="6">
        <f t="shared" si="1"/>
        <v>2</v>
      </c>
      <c r="H58" s="6" t="s">
        <v>1622</v>
      </c>
      <c r="I58" s="5">
        <v>82.55</v>
      </c>
      <c r="J58" s="5">
        <f t="shared" si="2"/>
        <v>495.29999999999995</v>
      </c>
    </row>
    <row r="59" spans="1:10" x14ac:dyDescent="0.25">
      <c r="A59" s="9">
        <v>1207</v>
      </c>
      <c r="B59" s="5" t="s">
        <v>1577</v>
      </c>
      <c r="C59" s="5" t="s">
        <v>1578</v>
      </c>
      <c r="D59" s="5" t="s">
        <v>1618</v>
      </c>
      <c r="E59" s="6">
        <v>90189084</v>
      </c>
      <c r="F59" s="6">
        <v>6</v>
      </c>
      <c r="G59" s="6">
        <f t="shared" si="1"/>
        <v>2</v>
      </c>
      <c r="H59" s="6" t="s">
        <v>1622</v>
      </c>
      <c r="I59" s="5">
        <v>70.37</v>
      </c>
      <c r="J59" s="5">
        <f t="shared" si="2"/>
        <v>422.22</v>
      </c>
    </row>
    <row r="60" spans="1:10" x14ac:dyDescent="0.25">
      <c r="A60" s="9">
        <v>1208</v>
      </c>
      <c r="B60" s="5" t="s">
        <v>1579</v>
      </c>
      <c r="C60" s="5" t="s">
        <v>1580</v>
      </c>
      <c r="D60" s="5" t="s">
        <v>1618</v>
      </c>
      <c r="E60" s="6">
        <v>90189084</v>
      </c>
      <c r="F60" s="6">
        <v>6</v>
      </c>
      <c r="G60" s="6">
        <f t="shared" si="1"/>
        <v>2</v>
      </c>
      <c r="H60" s="6" t="s">
        <v>1622</v>
      </c>
      <c r="I60" s="5">
        <v>66.41</v>
      </c>
      <c r="J60" s="5">
        <f t="shared" si="2"/>
        <v>398.46</v>
      </c>
    </row>
    <row r="61" spans="1:10" x14ac:dyDescent="0.25">
      <c r="A61" s="9">
        <v>1209</v>
      </c>
      <c r="B61" s="5" t="s">
        <v>1581</v>
      </c>
      <c r="C61" s="5" t="s">
        <v>1582</v>
      </c>
      <c r="D61" s="5" t="s">
        <v>1618</v>
      </c>
      <c r="E61" s="6">
        <v>90189084</v>
      </c>
      <c r="F61" s="6">
        <v>6</v>
      </c>
      <c r="G61" s="6">
        <f t="shared" si="1"/>
        <v>2</v>
      </c>
      <c r="H61" s="6" t="s">
        <v>1622</v>
      </c>
      <c r="I61" s="5">
        <v>68.19</v>
      </c>
      <c r="J61" s="5">
        <f t="shared" si="2"/>
        <v>409.14</v>
      </c>
    </row>
    <row r="62" spans="1:10" x14ac:dyDescent="0.25">
      <c r="A62" s="9">
        <v>1210</v>
      </c>
      <c r="B62" s="5" t="s">
        <v>1583</v>
      </c>
      <c r="C62" s="5" t="s">
        <v>1584</v>
      </c>
      <c r="D62" s="5" t="s">
        <v>1618</v>
      </c>
      <c r="E62" s="6">
        <v>90189084</v>
      </c>
      <c r="F62" s="6">
        <v>6</v>
      </c>
      <c r="G62" s="6">
        <f t="shared" si="1"/>
        <v>2</v>
      </c>
      <c r="H62" s="6" t="s">
        <v>1622</v>
      </c>
      <c r="I62" s="5">
        <v>31.34</v>
      </c>
      <c r="J62" s="5">
        <f t="shared" si="2"/>
        <v>188.04</v>
      </c>
    </row>
    <row r="63" spans="1:10" x14ac:dyDescent="0.25">
      <c r="A63" s="9">
        <v>1211</v>
      </c>
      <c r="B63" s="5" t="s">
        <v>1585</v>
      </c>
      <c r="C63" s="5" t="s">
        <v>1586</v>
      </c>
      <c r="D63" s="5" t="s">
        <v>1618</v>
      </c>
      <c r="E63" s="6">
        <v>90189084</v>
      </c>
      <c r="F63" s="6">
        <v>6</v>
      </c>
      <c r="G63" s="6">
        <f t="shared" si="1"/>
        <v>2</v>
      </c>
      <c r="H63" s="6" t="s">
        <v>1622</v>
      </c>
      <c r="I63" s="5">
        <v>35.51</v>
      </c>
      <c r="J63" s="5">
        <f t="shared" si="2"/>
        <v>213.06</v>
      </c>
    </row>
    <row r="64" spans="1:10" x14ac:dyDescent="0.25">
      <c r="A64" s="9">
        <v>1212</v>
      </c>
      <c r="B64" s="5" t="s">
        <v>1587</v>
      </c>
      <c r="C64" s="5" t="s">
        <v>1588</v>
      </c>
      <c r="D64" s="5" t="s">
        <v>1618</v>
      </c>
      <c r="E64" s="6">
        <v>90189084</v>
      </c>
      <c r="F64" s="6">
        <v>6</v>
      </c>
      <c r="G64" s="6">
        <f t="shared" si="1"/>
        <v>2</v>
      </c>
      <c r="H64" s="6" t="s">
        <v>1622</v>
      </c>
      <c r="I64" s="5">
        <v>38.03</v>
      </c>
      <c r="J64" s="5">
        <f t="shared" si="2"/>
        <v>228.18</v>
      </c>
    </row>
    <row r="65" spans="1:10" x14ac:dyDescent="0.25">
      <c r="A65" s="9">
        <v>1213</v>
      </c>
      <c r="B65" s="5" t="s">
        <v>1589</v>
      </c>
      <c r="C65" s="5" t="s">
        <v>1590</v>
      </c>
      <c r="D65" s="5" t="s">
        <v>1618</v>
      </c>
      <c r="E65" s="6">
        <v>90189084</v>
      </c>
      <c r="F65" s="6">
        <v>6</v>
      </c>
      <c r="G65" s="6">
        <f t="shared" si="1"/>
        <v>2</v>
      </c>
      <c r="H65" s="6" t="s">
        <v>1622</v>
      </c>
      <c r="I65" s="5">
        <v>97.74</v>
      </c>
      <c r="J65" s="5">
        <f t="shared" si="2"/>
        <v>586.43999999999994</v>
      </c>
    </row>
    <row r="66" spans="1:10" x14ac:dyDescent="0.25">
      <c r="A66" s="9">
        <v>1214</v>
      </c>
      <c r="B66" s="5" t="s">
        <v>1591</v>
      </c>
      <c r="C66" s="5" t="s">
        <v>1592</v>
      </c>
      <c r="D66" s="5" t="s">
        <v>1618</v>
      </c>
      <c r="E66" s="6">
        <v>90189084</v>
      </c>
      <c r="F66" s="6">
        <v>3</v>
      </c>
      <c r="G66" s="6">
        <f t="shared" si="1"/>
        <v>1</v>
      </c>
      <c r="H66" s="6" t="s">
        <v>1622</v>
      </c>
      <c r="I66" s="5">
        <v>88.55</v>
      </c>
      <c r="J66" s="5">
        <f t="shared" si="2"/>
        <v>265.64999999999998</v>
      </c>
    </row>
    <row r="67" spans="1:10" x14ac:dyDescent="0.25">
      <c r="A67" s="9">
        <v>1215</v>
      </c>
      <c r="B67" s="5" t="s">
        <v>62</v>
      </c>
      <c r="C67" s="5" t="s">
        <v>63</v>
      </c>
      <c r="D67" s="5" t="s">
        <v>1618</v>
      </c>
      <c r="E67" s="6">
        <v>90189084</v>
      </c>
      <c r="F67" s="6">
        <v>3</v>
      </c>
      <c r="G67" s="6">
        <f t="shared" si="1"/>
        <v>1</v>
      </c>
      <c r="H67" s="6" t="s">
        <v>1622</v>
      </c>
      <c r="I67" s="5">
        <v>93.71</v>
      </c>
      <c r="J67" s="5">
        <f t="shared" si="2"/>
        <v>281.13</v>
      </c>
    </row>
    <row r="68" spans="1:10" x14ac:dyDescent="0.25">
      <c r="A68" s="9">
        <v>1216</v>
      </c>
      <c r="B68" s="5" t="s">
        <v>1593</v>
      </c>
      <c r="C68" s="5" t="s">
        <v>1594</v>
      </c>
      <c r="D68" s="5" t="s">
        <v>1618</v>
      </c>
      <c r="E68" s="6">
        <v>90189084</v>
      </c>
      <c r="F68" s="6">
        <v>6</v>
      </c>
      <c r="G68" s="6">
        <f t="shared" ref="G68:G76" si="3">F68/$F$2</f>
        <v>2</v>
      </c>
      <c r="H68" s="6" t="s">
        <v>1622</v>
      </c>
      <c r="I68" s="5">
        <v>101.54</v>
      </c>
      <c r="J68" s="5">
        <f t="shared" si="2"/>
        <v>609.24</v>
      </c>
    </row>
    <row r="69" spans="1:10" x14ac:dyDescent="0.25">
      <c r="A69" s="9">
        <v>1217</v>
      </c>
      <c r="B69" s="5" t="s">
        <v>1595</v>
      </c>
      <c r="C69" s="5" t="s">
        <v>1596</v>
      </c>
      <c r="D69" s="5" t="s">
        <v>1618</v>
      </c>
      <c r="E69" s="6">
        <v>90189084</v>
      </c>
      <c r="F69" s="6">
        <v>3</v>
      </c>
      <c r="G69" s="6">
        <f t="shared" si="3"/>
        <v>1</v>
      </c>
      <c r="H69" s="6" t="s">
        <v>1622</v>
      </c>
      <c r="I69" s="5">
        <v>36.4</v>
      </c>
      <c r="J69" s="5">
        <f t="shared" si="2"/>
        <v>109.19999999999999</v>
      </c>
    </row>
    <row r="70" spans="1:10" x14ac:dyDescent="0.25">
      <c r="A70" s="9">
        <v>1218</v>
      </c>
      <c r="B70" s="5" t="s">
        <v>616</v>
      </c>
      <c r="C70" s="5" t="s">
        <v>617</v>
      </c>
      <c r="D70" s="5" t="s">
        <v>1618</v>
      </c>
      <c r="E70" s="6">
        <v>73249000</v>
      </c>
      <c r="F70" s="6">
        <v>3</v>
      </c>
      <c r="G70" s="6">
        <f t="shared" si="3"/>
        <v>1</v>
      </c>
      <c r="H70" s="6" t="s">
        <v>1622</v>
      </c>
      <c r="I70" s="5">
        <v>6.72</v>
      </c>
      <c r="J70" s="5">
        <f t="shared" si="2"/>
        <v>20.16</v>
      </c>
    </row>
    <row r="71" spans="1:10" x14ac:dyDescent="0.25">
      <c r="A71" s="9">
        <v>1219</v>
      </c>
      <c r="B71" s="5" t="s">
        <v>1311</v>
      </c>
      <c r="C71" s="5" t="s">
        <v>1312</v>
      </c>
      <c r="D71" s="5" t="s">
        <v>1618</v>
      </c>
      <c r="E71" s="6">
        <v>73249000</v>
      </c>
      <c r="F71" s="6">
        <v>3</v>
      </c>
      <c r="G71" s="6">
        <f t="shared" si="3"/>
        <v>1</v>
      </c>
      <c r="H71" s="6" t="s">
        <v>1622</v>
      </c>
      <c r="I71" s="5">
        <v>20.58</v>
      </c>
      <c r="J71" s="5">
        <f t="shared" si="2"/>
        <v>61.739999999999995</v>
      </c>
    </row>
    <row r="72" spans="1:10" x14ac:dyDescent="0.25">
      <c r="A72" s="9">
        <v>1220</v>
      </c>
      <c r="B72" s="5" t="s">
        <v>360</v>
      </c>
      <c r="C72" s="5" t="s">
        <v>361</v>
      </c>
      <c r="D72" s="5" t="s">
        <v>1620</v>
      </c>
      <c r="E72" s="6">
        <v>73269098</v>
      </c>
      <c r="F72" s="6">
        <v>3</v>
      </c>
      <c r="G72" s="6">
        <f t="shared" si="3"/>
        <v>1</v>
      </c>
      <c r="H72" s="6" t="s">
        <v>1622</v>
      </c>
      <c r="I72" s="5">
        <v>7.65</v>
      </c>
      <c r="J72" s="5">
        <f t="shared" si="2"/>
        <v>22.950000000000003</v>
      </c>
    </row>
    <row r="73" spans="1:10" x14ac:dyDescent="0.25">
      <c r="A73" s="9">
        <v>1221</v>
      </c>
      <c r="B73" s="5" t="s">
        <v>1597</v>
      </c>
      <c r="C73" s="5" t="s">
        <v>1598</v>
      </c>
      <c r="D73" s="5" t="s">
        <v>1618</v>
      </c>
      <c r="E73" s="6">
        <v>90189084</v>
      </c>
      <c r="F73" s="6">
        <v>6</v>
      </c>
      <c r="G73" s="6">
        <f t="shared" si="3"/>
        <v>2</v>
      </c>
      <c r="H73" s="6" t="s">
        <v>1622</v>
      </c>
      <c r="I73" s="5">
        <v>231.29</v>
      </c>
      <c r="J73" s="5">
        <f t="shared" si="2"/>
        <v>1387.74</v>
      </c>
    </row>
    <row r="74" spans="1:10" x14ac:dyDescent="0.25">
      <c r="A74" s="9">
        <v>1222</v>
      </c>
      <c r="B74" s="5" t="s">
        <v>374</v>
      </c>
      <c r="C74" s="5" t="s">
        <v>375</v>
      </c>
      <c r="D74" s="5" t="s">
        <v>1618</v>
      </c>
      <c r="E74" s="6">
        <v>73269098</v>
      </c>
      <c r="F74" s="6">
        <v>3</v>
      </c>
      <c r="G74" s="6">
        <f t="shared" si="3"/>
        <v>1</v>
      </c>
      <c r="H74" s="6" t="s">
        <v>1622</v>
      </c>
      <c r="I74" s="5">
        <v>76.11</v>
      </c>
      <c r="J74" s="5">
        <f t="shared" si="2"/>
        <v>228.32999999999998</v>
      </c>
    </row>
    <row r="75" spans="1:10" x14ac:dyDescent="0.25">
      <c r="A75" s="9">
        <v>1223</v>
      </c>
      <c r="B75" s="5" t="s">
        <v>286</v>
      </c>
      <c r="C75" s="5" t="s">
        <v>287</v>
      </c>
      <c r="D75" s="5" t="s">
        <v>1618</v>
      </c>
      <c r="E75" s="6">
        <v>76169990</v>
      </c>
      <c r="F75" s="6">
        <v>3</v>
      </c>
      <c r="G75" s="6">
        <f t="shared" si="3"/>
        <v>1</v>
      </c>
      <c r="H75" s="6" t="s">
        <v>1622</v>
      </c>
      <c r="I75" s="5">
        <v>413.9</v>
      </c>
      <c r="J75" s="5">
        <f t="shared" si="2"/>
        <v>1241.6999999999998</v>
      </c>
    </row>
    <row r="76" spans="1:10" x14ac:dyDescent="0.25">
      <c r="A76" s="9">
        <v>1224</v>
      </c>
      <c r="B76" s="5" t="s">
        <v>134</v>
      </c>
      <c r="C76" s="5" t="s">
        <v>135</v>
      </c>
      <c r="D76" s="5" t="s">
        <v>1618</v>
      </c>
      <c r="E76" s="6">
        <v>73269098</v>
      </c>
      <c r="F76" s="6">
        <v>3</v>
      </c>
      <c r="G76" s="6">
        <f t="shared" si="3"/>
        <v>1</v>
      </c>
      <c r="H76" s="6" t="s">
        <v>1622</v>
      </c>
      <c r="I76" s="5">
        <v>58.55</v>
      </c>
      <c r="J76" s="5">
        <f t="shared" si="2"/>
        <v>175.64999999999998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Self-Retaining</vt:lpstr>
      <vt:lpstr>Aorta Set</vt:lpstr>
      <vt:lpstr>Hysterectomy</vt:lpstr>
      <vt:lpstr>Caesarean set   </vt:lpstr>
      <vt:lpstr>Vaginal Surgery Set</vt:lpstr>
      <vt:lpstr>Hand Surgery Set </vt:lpstr>
      <vt:lpstr>General Plastic Surgical</vt:lpstr>
      <vt:lpstr>Basic Instruments for Plastic</vt:lpstr>
      <vt:lpstr>Micro Instruments For Micro Sur</vt:lpstr>
      <vt:lpstr>Maxillofacial Surgical Instrume</vt:lpstr>
      <vt:lpstr>Maxillofacial Instrument Sets </vt:lpstr>
      <vt:lpstr>Cleft Lip &amp; Palate Instrument S</vt:lpstr>
      <vt:lpstr>Craniofacial Suspension Set</vt:lpstr>
      <vt:lpstr>Rhinoplasty Set</vt:lpstr>
      <vt:lpstr>NEU Cervical Set</vt:lpstr>
      <vt:lpstr>Set For Septum and Nasal Surger</vt:lpstr>
      <vt:lpstr>Tracheostomy</vt:lpstr>
      <vt:lpstr>Anal Set</vt:lpstr>
      <vt:lpstr>NEU BRAIN SET</vt:lpstr>
      <vt:lpstr>NEU Lumber Set</vt:lpstr>
      <vt:lpstr>Urology Open Set</vt:lpstr>
      <vt:lpstr>Basic Vascular Renal Transplant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mamoud</dc:creator>
  <cp:lastModifiedBy>Albear Emil</cp:lastModifiedBy>
  <dcterms:created xsi:type="dcterms:W3CDTF">2022-08-25T08:43:11Z</dcterms:created>
  <dcterms:modified xsi:type="dcterms:W3CDTF">2026-06-28T13:54:48Z</dcterms:modified>
</cp:coreProperties>
</file>