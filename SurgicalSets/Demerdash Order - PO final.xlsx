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-105" yWindow="-105" windowWidth="19425" windowHeight="10305"/>
  </bookViews>
  <sheets>
    <sheet name="PO (2)" sheetId="6" r:id="rId1"/>
  </sheets>
  <externalReferences>
    <externalReference r:id="rId2"/>
    <externalReference r:id="rId3"/>
  </externalReferences>
  <definedNames>
    <definedName name="_xlnm._FilterDatabase" localSheetId="0" hidden="1">'PO (2)'!$A$11:$J$1690</definedName>
    <definedName name="KLS">[1]OFFER!$1:$1048576</definedName>
    <definedName name="_xlnm.Print_Area" localSheetId="0">'PO (2)'!$A$1:$H$1706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5" i="6" l="1"/>
  <c r="G1690" i="6"/>
  <c r="H1690" i="6" s="1"/>
  <c r="G1689" i="6"/>
  <c r="H1689" i="6" s="1"/>
  <c r="G1688" i="6"/>
  <c r="H1688" i="6" s="1"/>
  <c r="G1687" i="6"/>
  <c r="H1687" i="6" s="1"/>
  <c r="G1686" i="6"/>
  <c r="H1686" i="6" s="1"/>
  <c r="G1685" i="6"/>
  <c r="H1685" i="6" s="1"/>
  <c r="G1684" i="6"/>
  <c r="H1684" i="6" s="1"/>
  <c r="G1683" i="6"/>
  <c r="H1683" i="6" s="1"/>
  <c r="G1682" i="6"/>
  <c r="H1682" i="6" s="1"/>
  <c r="G1681" i="6"/>
  <c r="H1681" i="6" s="1"/>
  <c r="G1680" i="6"/>
  <c r="H1680" i="6" s="1"/>
  <c r="G1679" i="6"/>
  <c r="H1679" i="6" s="1"/>
  <c r="G1678" i="6"/>
  <c r="H1678" i="6" s="1"/>
  <c r="G1677" i="6"/>
  <c r="H1677" i="6" s="1"/>
  <c r="G1676" i="6"/>
  <c r="H1676" i="6" s="1"/>
  <c r="G1675" i="6"/>
  <c r="H1675" i="6" s="1"/>
  <c r="G1674" i="6"/>
  <c r="H1674" i="6" s="1"/>
  <c r="G1673" i="6"/>
  <c r="H1673" i="6" s="1"/>
  <c r="G1672" i="6"/>
  <c r="H1672" i="6" s="1"/>
  <c r="G1671" i="6"/>
  <c r="H1671" i="6" s="1"/>
  <c r="G1670" i="6"/>
  <c r="H1670" i="6" s="1"/>
  <c r="G1669" i="6"/>
  <c r="H1669" i="6" s="1"/>
  <c r="G1668" i="6"/>
  <c r="H1668" i="6" s="1"/>
  <c r="G1667" i="6"/>
  <c r="H1667" i="6" s="1"/>
  <c r="G1666" i="6"/>
  <c r="H1666" i="6" s="1"/>
  <c r="G1665" i="6"/>
  <c r="H1665" i="6" s="1"/>
  <c r="G1664" i="6"/>
  <c r="H1664" i="6" s="1"/>
  <c r="G1663" i="6"/>
  <c r="H1663" i="6" s="1"/>
  <c r="G1662" i="6"/>
  <c r="H1662" i="6" s="1"/>
  <c r="G1661" i="6"/>
  <c r="H1661" i="6" s="1"/>
  <c r="G1660" i="6"/>
  <c r="H1660" i="6" s="1"/>
  <c r="G1659" i="6"/>
  <c r="H1659" i="6" s="1"/>
  <c r="G1658" i="6"/>
  <c r="H1658" i="6" s="1"/>
  <c r="G1657" i="6"/>
  <c r="H1657" i="6" s="1"/>
  <c r="G1656" i="6"/>
  <c r="H1656" i="6" s="1"/>
  <c r="G1655" i="6"/>
  <c r="H1655" i="6" s="1"/>
  <c r="G1654" i="6"/>
  <c r="H1654" i="6" s="1"/>
  <c r="G1653" i="6"/>
  <c r="H1653" i="6" s="1"/>
  <c r="G1652" i="6"/>
  <c r="H1652" i="6" s="1"/>
  <c r="G1651" i="6"/>
  <c r="H1651" i="6" s="1"/>
  <c r="G1650" i="6"/>
  <c r="H1650" i="6" s="1"/>
  <c r="G1649" i="6"/>
  <c r="H1649" i="6" s="1"/>
  <c r="G1648" i="6"/>
  <c r="H1648" i="6" s="1"/>
  <c r="G1647" i="6"/>
  <c r="H1647" i="6" s="1"/>
  <c r="G1646" i="6"/>
  <c r="H1646" i="6" s="1"/>
  <c r="G1645" i="6"/>
  <c r="H1645" i="6" s="1"/>
  <c r="G1644" i="6"/>
  <c r="H1644" i="6" s="1"/>
  <c r="G1643" i="6"/>
  <c r="H1643" i="6" s="1"/>
  <c r="G1642" i="6"/>
  <c r="H1642" i="6" s="1"/>
  <c r="G1641" i="6"/>
  <c r="H1641" i="6" s="1"/>
  <c r="G1639" i="6"/>
  <c r="H1639" i="6" s="1"/>
  <c r="G1638" i="6"/>
  <c r="H1638" i="6" s="1"/>
  <c r="G1637" i="6"/>
  <c r="H1637" i="6" s="1"/>
  <c r="G1636" i="6"/>
  <c r="H1636" i="6" s="1"/>
  <c r="G1635" i="6"/>
  <c r="H1635" i="6" s="1"/>
  <c r="G1634" i="6"/>
  <c r="H1634" i="6" s="1"/>
  <c r="G1633" i="6"/>
  <c r="H1633" i="6" s="1"/>
  <c r="G1632" i="6"/>
  <c r="H1632" i="6" s="1"/>
  <c r="G1631" i="6"/>
  <c r="H1631" i="6" s="1"/>
  <c r="G1630" i="6"/>
  <c r="H1630" i="6" s="1"/>
  <c r="G1629" i="6"/>
  <c r="H1629" i="6" s="1"/>
  <c r="G1628" i="6"/>
  <c r="H1628" i="6" s="1"/>
  <c r="G1627" i="6"/>
  <c r="H1627" i="6" s="1"/>
  <c r="G1626" i="6"/>
  <c r="H1626" i="6" s="1"/>
  <c r="G1624" i="6"/>
  <c r="H1624" i="6" s="1"/>
  <c r="G1623" i="6"/>
  <c r="H1623" i="6" s="1"/>
  <c r="G1622" i="6"/>
  <c r="H1622" i="6" s="1"/>
  <c r="G1621" i="6"/>
  <c r="H1621" i="6" s="1"/>
  <c r="G1620" i="6"/>
  <c r="H1620" i="6" s="1"/>
  <c r="G1619" i="6"/>
  <c r="H1619" i="6" s="1"/>
  <c r="G1618" i="6"/>
  <c r="H1618" i="6" s="1"/>
  <c r="G1617" i="6"/>
  <c r="H1617" i="6" s="1"/>
  <c r="G1616" i="6"/>
  <c r="H1616" i="6" s="1"/>
  <c r="G1615" i="6"/>
  <c r="H1615" i="6" s="1"/>
  <c r="G1614" i="6"/>
  <c r="H1614" i="6" s="1"/>
  <c r="G1613" i="6"/>
  <c r="H1613" i="6" s="1"/>
  <c r="G1612" i="6"/>
  <c r="H1612" i="6" s="1"/>
  <c r="G1611" i="6"/>
  <c r="H1611" i="6" s="1"/>
  <c r="G1610" i="6"/>
  <c r="H1610" i="6" s="1"/>
  <c r="G1609" i="6"/>
  <c r="H1609" i="6" s="1"/>
  <c r="G1608" i="6"/>
  <c r="H1608" i="6" s="1"/>
  <c r="G1607" i="6"/>
  <c r="H1607" i="6" s="1"/>
  <c r="G1606" i="6"/>
  <c r="H1606" i="6" s="1"/>
  <c r="G1605" i="6"/>
  <c r="H1605" i="6" s="1"/>
  <c r="G1604" i="6"/>
  <c r="H1604" i="6" s="1"/>
  <c r="G1603" i="6"/>
  <c r="H1603" i="6" s="1"/>
  <c r="G1602" i="6"/>
  <c r="H1602" i="6" s="1"/>
  <c r="G1601" i="6"/>
  <c r="H1601" i="6" s="1"/>
  <c r="G1600" i="6"/>
  <c r="H1600" i="6" s="1"/>
  <c r="G1599" i="6"/>
  <c r="H1599" i="6" s="1"/>
  <c r="G1598" i="6"/>
  <c r="H1598" i="6" s="1"/>
  <c r="G1597" i="6"/>
  <c r="H1597" i="6" s="1"/>
  <c r="G1596" i="6"/>
  <c r="H1596" i="6" s="1"/>
  <c r="G1595" i="6"/>
  <c r="H1595" i="6" s="1"/>
  <c r="G1594" i="6"/>
  <c r="H1594" i="6" s="1"/>
  <c r="G1593" i="6"/>
  <c r="H1593" i="6" s="1"/>
  <c r="G1592" i="6"/>
  <c r="H1592" i="6" s="1"/>
  <c r="G1591" i="6"/>
  <c r="H1591" i="6" s="1"/>
  <c r="G1590" i="6"/>
  <c r="H1590" i="6" s="1"/>
  <c r="G1589" i="6"/>
  <c r="H1589" i="6" s="1"/>
  <c r="G1588" i="6"/>
  <c r="H1588" i="6" s="1"/>
  <c r="G1587" i="6"/>
  <c r="H1587" i="6" s="1"/>
  <c r="G1586" i="6"/>
  <c r="H1586" i="6" s="1"/>
  <c r="G1585" i="6"/>
  <c r="H1585" i="6" s="1"/>
  <c r="G1584" i="6"/>
  <c r="H1584" i="6" s="1"/>
  <c r="G1583" i="6"/>
  <c r="H1583" i="6" s="1"/>
  <c r="G1582" i="6"/>
  <c r="H1582" i="6" s="1"/>
  <c r="G1581" i="6"/>
  <c r="H1581" i="6" s="1"/>
  <c r="G1580" i="6"/>
  <c r="H1580" i="6" s="1"/>
  <c r="G1579" i="6"/>
  <c r="H1579" i="6" s="1"/>
  <c r="G1578" i="6"/>
  <c r="H1578" i="6" s="1"/>
  <c r="G1577" i="6"/>
  <c r="H1577" i="6" s="1"/>
  <c r="G1576" i="6"/>
  <c r="H1576" i="6" s="1"/>
  <c r="G1575" i="6"/>
  <c r="H1575" i="6" s="1"/>
  <c r="G1574" i="6"/>
  <c r="H1574" i="6" s="1"/>
  <c r="G1573" i="6"/>
  <c r="H1573" i="6" s="1"/>
  <c r="G1572" i="6"/>
  <c r="H1572" i="6" s="1"/>
  <c r="G1571" i="6"/>
  <c r="H1571" i="6" s="1"/>
  <c r="G1570" i="6"/>
  <c r="H1570" i="6" s="1"/>
  <c r="G1569" i="6"/>
  <c r="H1569" i="6" s="1"/>
  <c r="G1568" i="6"/>
  <c r="H1568" i="6" s="1"/>
  <c r="G1566" i="6"/>
  <c r="H1566" i="6" s="1"/>
  <c r="G1565" i="6"/>
  <c r="H1565" i="6" s="1"/>
  <c r="G1564" i="6"/>
  <c r="H1564" i="6" s="1"/>
  <c r="G1563" i="6"/>
  <c r="H1563" i="6" s="1"/>
  <c r="G1562" i="6"/>
  <c r="H1562" i="6" s="1"/>
  <c r="G1561" i="6"/>
  <c r="H1561" i="6" s="1"/>
  <c r="G1560" i="6"/>
  <c r="H1560" i="6" s="1"/>
  <c r="G1559" i="6"/>
  <c r="H1559" i="6" s="1"/>
  <c r="G1558" i="6"/>
  <c r="H1558" i="6" s="1"/>
  <c r="G1557" i="6"/>
  <c r="H1557" i="6" s="1"/>
  <c r="G1555" i="6"/>
  <c r="H1555" i="6" s="1"/>
  <c r="G1554" i="6"/>
  <c r="H1554" i="6" s="1"/>
  <c r="G1553" i="6"/>
  <c r="H1553" i="6" s="1"/>
  <c r="G1552" i="6"/>
  <c r="H1552" i="6" s="1"/>
  <c r="G1551" i="6"/>
  <c r="H1551" i="6" s="1"/>
  <c r="G1550" i="6"/>
  <c r="H1550" i="6" s="1"/>
  <c r="G1549" i="6"/>
  <c r="H1549" i="6" s="1"/>
  <c r="G1548" i="6"/>
  <c r="H1548" i="6" s="1"/>
  <c r="G1547" i="6"/>
  <c r="H1547" i="6" s="1"/>
  <c r="G1546" i="6"/>
  <c r="H1546" i="6" s="1"/>
  <c r="G1545" i="6"/>
  <c r="H1545" i="6" s="1"/>
  <c r="G1544" i="6"/>
  <c r="H1544" i="6" s="1"/>
  <c r="G1543" i="6"/>
  <c r="H1543" i="6" s="1"/>
  <c r="G1542" i="6"/>
  <c r="H1542" i="6" s="1"/>
  <c r="G1541" i="6"/>
  <c r="H1541" i="6" s="1"/>
  <c r="G1540" i="6"/>
  <c r="H1540" i="6" s="1"/>
  <c r="G1539" i="6"/>
  <c r="H1539" i="6" s="1"/>
  <c r="G1538" i="6"/>
  <c r="H1538" i="6" s="1"/>
  <c r="G1537" i="6"/>
  <c r="H1537" i="6" s="1"/>
  <c r="G1536" i="6"/>
  <c r="H1536" i="6" s="1"/>
  <c r="G1535" i="6"/>
  <c r="H1535" i="6" s="1"/>
  <c r="G1534" i="6"/>
  <c r="H1534" i="6" s="1"/>
  <c r="G1533" i="6"/>
  <c r="H1533" i="6" s="1"/>
  <c r="G1532" i="6"/>
  <c r="H1532" i="6" s="1"/>
  <c r="G1531" i="6"/>
  <c r="H1531" i="6" s="1"/>
  <c r="G1530" i="6"/>
  <c r="H1530" i="6" s="1"/>
  <c r="G1529" i="6"/>
  <c r="H1529" i="6" s="1"/>
  <c r="G1528" i="6"/>
  <c r="H1528" i="6" s="1"/>
  <c r="G1527" i="6"/>
  <c r="H1527" i="6" s="1"/>
  <c r="G1526" i="6"/>
  <c r="H1526" i="6" s="1"/>
  <c r="G1525" i="6"/>
  <c r="H1525" i="6" s="1"/>
  <c r="G1524" i="6"/>
  <c r="H1524" i="6" s="1"/>
  <c r="G1523" i="6"/>
  <c r="H1523" i="6" s="1"/>
  <c r="G1522" i="6"/>
  <c r="H1522" i="6" s="1"/>
  <c r="G1521" i="6"/>
  <c r="H1521" i="6" s="1"/>
  <c r="G1520" i="6"/>
  <c r="H1520" i="6" s="1"/>
  <c r="G1519" i="6"/>
  <c r="H1519" i="6" s="1"/>
  <c r="G1517" i="6"/>
  <c r="H1517" i="6" s="1"/>
  <c r="G1516" i="6"/>
  <c r="H1516" i="6" s="1"/>
  <c r="G1515" i="6"/>
  <c r="H1515" i="6" s="1"/>
  <c r="G1514" i="6"/>
  <c r="H1514" i="6" s="1"/>
  <c r="G1513" i="6"/>
  <c r="H1513" i="6" s="1"/>
  <c r="G1512" i="6"/>
  <c r="H1512" i="6" s="1"/>
  <c r="G1511" i="6"/>
  <c r="H1511" i="6" s="1"/>
  <c r="G1510" i="6"/>
  <c r="H1510" i="6" s="1"/>
  <c r="G1509" i="6"/>
  <c r="H1509" i="6" s="1"/>
  <c r="G1508" i="6"/>
  <c r="H1508" i="6" s="1"/>
  <c r="G1507" i="6"/>
  <c r="H1507" i="6" s="1"/>
  <c r="G1506" i="6"/>
  <c r="H1506" i="6" s="1"/>
  <c r="G1505" i="6"/>
  <c r="H1505" i="6" s="1"/>
  <c r="G1504" i="6"/>
  <c r="H1504" i="6" s="1"/>
  <c r="G1503" i="6"/>
  <c r="H1503" i="6" s="1"/>
  <c r="G1502" i="6"/>
  <c r="H1502" i="6" s="1"/>
  <c r="G1501" i="6"/>
  <c r="H1501" i="6" s="1"/>
  <c r="G1500" i="6"/>
  <c r="H1500" i="6" s="1"/>
  <c r="G1499" i="6"/>
  <c r="H1499" i="6" s="1"/>
  <c r="G1498" i="6"/>
  <c r="H1498" i="6" s="1"/>
  <c r="G1497" i="6"/>
  <c r="H1497" i="6" s="1"/>
  <c r="G1496" i="6"/>
  <c r="H1496" i="6" s="1"/>
  <c r="G1495" i="6"/>
  <c r="H1495" i="6" s="1"/>
  <c r="G1494" i="6"/>
  <c r="H1494" i="6" s="1"/>
  <c r="G1492" i="6"/>
  <c r="H1492" i="6" s="1"/>
  <c r="G1491" i="6"/>
  <c r="H1491" i="6" s="1"/>
  <c r="G1490" i="6"/>
  <c r="H1490" i="6" s="1"/>
  <c r="G1489" i="6"/>
  <c r="H1489" i="6" s="1"/>
  <c r="G1488" i="6"/>
  <c r="H1488" i="6" s="1"/>
  <c r="G1487" i="6"/>
  <c r="H1487" i="6" s="1"/>
  <c r="G1486" i="6"/>
  <c r="H1486" i="6" s="1"/>
  <c r="G1485" i="6"/>
  <c r="H1485" i="6" s="1"/>
  <c r="G1484" i="6"/>
  <c r="H1484" i="6" s="1"/>
  <c r="G1483" i="6"/>
  <c r="H1483" i="6" s="1"/>
  <c r="G1482" i="6"/>
  <c r="H1482" i="6" s="1"/>
  <c r="G1481" i="6"/>
  <c r="H1481" i="6" s="1"/>
  <c r="G1480" i="6"/>
  <c r="H1480" i="6" s="1"/>
  <c r="G1479" i="6"/>
  <c r="H1479" i="6" s="1"/>
  <c r="G1478" i="6"/>
  <c r="H1478" i="6" s="1"/>
  <c r="G1477" i="6"/>
  <c r="H1477" i="6" s="1"/>
  <c r="G1476" i="6"/>
  <c r="H1476" i="6" s="1"/>
  <c r="G1475" i="6"/>
  <c r="H1475" i="6" s="1"/>
  <c r="G1474" i="6"/>
  <c r="H1474" i="6" s="1"/>
  <c r="G1473" i="6"/>
  <c r="H1473" i="6" s="1"/>
  <c r="G1472" i="6"/>
  <c r="H1472" i="6" s="1"/>
  <c r="G1471" i="6"/>
  <c r="H1471" i="6" s="1"/>
  <c r="G1470" i="6"/>
  <c r="H1470" i="6" s="1"/>
  <c r="G1469" i="6"/>
  <c r="H1469" i="6" s="1"/>
  <c r="G1468" i="6"/>
  <c r="H1468" i="6" s="1"/>
  <c r="G1467" i="6"/>
  <c r="H1467" i="6" s="1"/>
  <c r="G1466" i="6"/>
  <c r="H1466" i="6" s="1"/>
  <c r="G1465" i="6"/>
  <c r="H1465" i="6" s="1"/>
  <c r="G1464" i="6"/>
  <c r="H1464" i="6" s="1"/>
  <c r="G1463" i="6"/>
  <c r="H1463" i="6" s="1"/>
  <c r="G1462" i="6"/>
  <c r="H1462" i="6" s="1"/>
  <c r="G1461" i="6"/>
  <c r="H1461" i="6" s="1"/>
  <c r="G1460" i="6"/>
  <c r="H1460" i="6" s="1"/>
  <c r="G1459" i="6"/>
  <c r="H1459" i="6" s="1"/>
  <c r="G1458" i="6"/>
  <c r="H1458" i="6" s="1"/>
  <c r="G1457" i="6"/>
  <c r="H1457" i="6" s="1"/>
  <c r="G1456" i="6"/>
  <c r="H1456" i="6" s="1"/>
  <c r="G1455" i="6"/>
  <c r="H1455" i="6" s="1"/>
  <c r="G1454" i="6"/>
  <c r="H1454" i="6" s="1"/>
  <c r="G1453" i="6"/>
  <c r="H1453" i="6" s="1"/>
  <c r="G1452" i="6"/>
  <c r="H1452" i="6" s="1"/>
  <c r="G1451" i="6"/>
  <c r="H1451" i="6" s="1"/>
  <c r="G1450" i="6"/>
  <c r="H1450" i="6" s="1"/>
  <c r="G1449" i="6"/>
  <c r="H1449" i="6" s="1"/>
  <c r="G1448" i="6"/>
  <c r="H1448" i="6" s="1"/>
  <c r="G1447" i="6"/>
  <c r="H1447" i="6" s="1"/>
  <c r="G1446" i="6"/>
  <c r="H1446" i="6" s="1"/>
  <c r="G1445" i="6"/>
  <c r="H1445" i="6" s="1"/>
  <c r="G1444" i="6"/>
  <c r="H1444" i="6" s="1"/>
  <c r="G1443" i="6"/>
  <c r="H1443" i="6" s="1"/>
  <c r="G1442" i="6"/>
  <c r="H1442" i="6" s="1"/>
  <c r="G1441" i="6"/>
  <c r="H1441" i="6" s="1"/>
  <c r="G1440" i="6"/>
  <c r="H1440" i="6" s="1"/>
  <c r="G1439" i="6"/>
  <c r="H1439" i="6" s="1"/>
  <c r="G1438" i="6"/>
  <c r="H1438" i="6" s="1"/>
  <c r="G1437" i="6"/>
  <c r="H1437" i="6" s="1"/>
  <c r="G1434" i="6"/>
  <c r="H1434" i="6" s="1"/>
  <c r="G1433" i="6"/>
  <c r="H1433" i="6" s="1"/>
  <c r="G1432" i="6"/>
  <c r="H1432" i="6" s="1"/>
  <c r="G1431" i="6"/>
  <c r="H1431" i="6" s="1"/>
  <c r="G1430" i="6"/>
  <c r="H1430" i="6" s="1"/>
  <c r="G1429" i="6"/>
  <c r="H1429" i="6" s="1"/>
  <c r="G1428" i="6"/>
  <c r="H1428" i="6" s="1"/>
  <c r="G1427" i="6"/>
  <c r="H1427" i="6" s="1"/>
  <c r="G1426" i="6"/>
  <c r="H1426" i="6" s="1"/>
  <c r="G1425" i="6"/>
  <c r="H1425" i="6" s="1"/>
  <c r="G1424" i="6"/>
  <c r="H1424" i="6" s="1"/>
  <c r="G1423" i="6"/>
  <c r="H1423" i="6" s="1"/>
  <c r="G1422" i="6"/>
  <c r="H1422" i="6" s="1"/>
  <c r="G1421" i="6"/>
  <c r="H1421" i="6" s="1"/>
  <c r="G1420" i="6"/>
  <c r="H1420" i="6" s="1"/>
  <c r="G1419" i="6"/>
  <c r="H1419" i="6" s="1"/>
  <c r="G1418" i="6"/>
  <c r="H1418" i="6" s="1"/>
  <c r="G1417" i="6"/>
  <c r="H1417" i="6" s="1"/>
  <c r="G1416" i="6"/>
  <c r="H1416" i="6" s="1"/>
  <c r="G1415" i="6"/>
  <c r="H1415" i="6" s="1"/>
  <c r="G1414" i="6"/>
  <c r="H1414" i="6" s="1"/>
  <c r="G1413" i="6"/>
  <c r="H1413" i="6" s="1"/>
  <c r="G1412" i="6"/>
  <c r="H1412" i="6" s="1"/>
  <c r="G1411" i="6"/>
  <c r="H1411" i="6" s="1"/>
  <c r="G1410" i="6"/>
  <c r="H1410" i="6" s="1"/>
  <c r="G1409" i="6"/>
  <c r="H1409" i="6" s="1"/>
  <c r="G1408" i="6"/>
  <c r="H1408" i="6" s="1"/>
  <c r="G1407" i="6"/>
  <c r="H1407" i="6" s="1"/>
  <c r="G1406" i="6"/>
  <c r="H1406" i="6" s="1"/>
  <c r="G1405" i="6"/>
  <c r="H1405" i="6" s="1"/>
  <c r="G1404" i="6"/>
  <c r="H1404" i="6" s="1"/>
  <c r="G1403" i="6"/>
  <c r="H1403" i="6" s="1"/>
  <c r="G1402" i="6"/>
  <c r="H1402" i="6" s="1"/>
  <c r="G1401" i="6"/>
  <c r="H1401" i="6" s="1"/>
  <c r="G1400" i="6"/>
  <c r="H1400" i="6" s="1"/>
  <c r="G1399" i="6"/>
  <c r="H1399" i="6" s="1"/>
  <c r="G1398" i="6"/>
  <c r="H1398" i="6" s="1"/>
  <c r="G1397" i="6"/>
  <c r="H1397" i="6" s="1"/>
  <c r="G1396" i="6"/>
  <c r="H1396" i="6" s="1"/>
  <c r="G1395" i="6"/>
  <c r="H1395" i="6" s="1"/>
  <c r="G1394" i="6"/>
  <c r="H1394" i="6" s="1"/>
  <c r="G1393" i="6"/>
  <c r="H1393" i="6" s="1"/>
  <c r="G1392" i="6"/>
  <c r="H1392" i="6" s="1"/>
  <c r="G1391" i="6"/>
  <c r="H1391" i="6" s="1"/>
  <c r="G1390" i="6"/>
  <c r="H1390" i="6" s="1"/>
  <c r="G1389" i="6"/>
  <c r="H1389" i="6" s="1"/>
  <c r="G1388" i="6"/>
  <c r="H1388" i="6" s="1"/>
  <c r="G1386" i="6"/>
  <c r="H1386" i="6" s="1"/>
  <c r="G1385" i="6"/>
  <c r="H1385" i="6" s="1"/>
  <c r="G1384" i="6"/>
  <c r="H1384" i="6" s="1"/>
  <c r="G1383" i="6"/>
  <c r="H1383" i="6" s="1"/>
  <c r="G1382" i="6"/>
  <c r="H1382" i="6" s="1"/>
  <c r="G1381" i="6"/>
  <c r="H1381" i="6" s="1"/>
  <c r="G1380" i="6"/>
  <c r="H1380" i="6" s="1"/>
  <c r="G1379" i="6"/>
  <c r="H1379" i="6" s="1"/>
  <c r="G1378" i="6"/>
  <c r="H1378" i="6" s="1"/>
  <c r="G1377" i="6"/>
  <c r="H1377" i="6" s="1"/>
  <c r="G1376" i="6"/>
  <c r="H1376" i="6" s="1"/>
  <c r="G1375" i="6"/>
  <c r="H1375" i="6" s="1"/>
  <c r="G1374" i="6"/>
  <c r="H1374" i="6" s="1"/>
  <c r="G1373" i="6"/>
  <c r="H1373" i="6" s="1"/>
  <c r="G1372" i="6"/>
  <c r="H1372" i="6" s="1"/>
  <c r="G1371" i="6"/>
  <c r="H1371" i="6" s="1"/>
  <c r="G1370" i="6"/>
  <c r="H1370" i="6" s="1"/>
  <c r="G1369" i="6"/>
  <c r="H1369" i="6" s="1"/>
  <c r="G1368" i="6"/>
  <c r="H1368" i="6" s="1"/>
  <c r="G1367" i="6"/>
  <c r="H1367" i="6" s="1"/>
  <c r="G1366" i="6"/>
  <c r="H1366" i="6" s="1"/>
  <c r="G1365" i="6"/>
  <c r="H1365" i="6" s="1"/>
  <c r="G1364" i="6"/>
  <c r="H1364" i="6" s="1"/>
  <c r="G1363" i="6"/>
  <c r="H1363" i="6" s="1"/>
  <c r="G1362" i="6"/>
  <c r="H1362" i="6" s="1"/>
  <c r="G1361" i="6"/>
  <c r="H1361" i="6" s="1"/>
  <c r="G1360" i="6"/>
  <c r="H1360" i="6" s="1"/>
  <c r="G1359" i="6"/>
  <c r="H1359" i="6" s="1"/>
  <c r="G1358" i="6"/>
  <c r="H1358" i="6" s="1"/>
  <c r="G1357" i="6"/>
  <c r="H1357" i="6" s="1"/>
  <c r="G1356" i="6"/>
  <c r="H1356" i="6" s="1"/>
  <c r="G1355" i="6"/>
  <c r="H1355" i="6" s="1"/>
  <c r="G1354" i="6"/>
  <c r="H1354" i="6" s="1"/>
  <c r="G1353" i="6"/>
  <c r="H1353" i="6" s="1"/>
  <c r="G1352" i="6"/>
  <c r="H1352" i="6" s="1"/>
  <c r="G1351" i="6"/>
  <c r="H1351" i="6" s="1"/>
  <c r="G1350" i="6"/>
  <c r="H1350" i="6" s="1"/>
  <c r="G1349" i="6"/>
  <c r="H1349" i="6" s="1"/>
  <c r="G1348" i="6"/>
  <c r="H1348" i="6" s="1"/>
  <c r="G1347" i="6"/>
  <c r="H1347" i="6" s="1"/>
  <c r="G1346" i="6"/>
  <c r="H1346" i="6" s="1"/>
  <c r="G1345" i="6"/>
  <c r="H1345" i="6" s="1"/>
  <c r="G1344" i="6"/>
  <c r="H1344" i="6" s="1"/>
  <c r="G1343" i="6"/>
  <c r="H1343" i="6" s="1"/>
  <c r="G1342" i="6"/>
  <c r="H1342" i="6" s="1"/>
  <c r="G1341" i="6"/>
  <c r="H1341" i="6" s="1"/>
  <c r="G1340" i="6"/>
  <c r="H1340" i="6" s="1"/>
  <c r="G1339" i="6"/>
  <c r="H1339" i="6" s="1"/>
  <c r="G1338" i="6"/>
  <c r="H1338" i="6" s="1"/>
  <c r="G1337" i="6"/>
  <c r="H1337" i="6" s="1"/>
  <c r="G1335" i="6"/>
  <c r="H1335" i="6" s="1"/>
  <c r="G1334" i="6"/>
  <c r="H1334" i="6" s="1"/>
  <c r="G1333" i="6"/>
  <c r="H1333" i="6" s="1"/>
  <c r="G1332" i="6"/>
  <c r="H1332" i="6" s="1"/>
  <c r="G1331" i="6"/>
  <c r="H1331" i="6" s="1"/>
  <c r="G1330" i="6"/>
  <c r="H1330" i="6" s="1"/>
  <c r="G1329" i="6"/>
  <c r="H1329" i="6" s="1"/>
  <c r="G1328" i="6"/>
  <c r="H1328" i="6" s="1"/>
  <c r="G1327" i="6"/>
  <c r="H1327" i="6" s="1"/>
  <c r="G1326" i="6"/>
  <c r="H1326" i="6" s="1"/>
  <c r="G1325" i="6"/>
  <c r="H1325" i="6" s="1"/>
  <c r="G1324" i="6"/>
  <c r="H1324" i="6" s="1"/>
  <c r="G1323" i="6"/>
  <c r="H1323" i="6" s="1"/>
  <c r="G1322" i="6"/>
  <c r="H1322" i="6" s="1"/>
  <c r="G1321" i="6"/>
  <c r="H1321" i="6" s="1"/>
  <c r="G1320" i="6"/>
  <c r="H1320" i="6" s="1"/>
  <c r="G1319" i="6"/>
  <c r="H1319" i="6" s="1"/>
  <c r="G1318" i="6"/>
  <c r="H1318" i="6" s="1"/>
  <c r="G1317" i="6"/>
  <c r="H1317" i="6" s="1"/>
  <c r="G1315" i="6"/>
  <c r="H1315" i="6" s="1"/>
  <c r="G1314" i="6"/>
  <c r="H1314" i="6" s="1"/>
  <c r="G1313" i="6"/>
  <c r="H1313" i="6" s="1"/>
  <c r="G1312" i="6"/>
  <c r="H1312" i="6" s="1"/>
  <c r="G1311" i="6"/>
  <c r="H1311" i="6" s="1"/>
  <c r="G1310" i="6"/>
  <c r="H1310" i="6" s="1"/>
  <c r="G1309" i="6"/>
  <c r="H1309" i="6" s="1"/>
  <c r="G1308" i="6"/>
  <c r="H1308" i="6" s="1"/>
  <c r="G1307" i="6"/>
  <c r="H1307" i="6" s="1"/>
  <c r="G1306" i="6"/>
  <c r="H1306" i="6" s="1"/>
  <c r="G1305" i="6"/>
  <c r="H1305" i="6" s="1"/>
  <c r="G1304" i="6"/>
  <c r="H1304" i="6" s="1"/>
  <c r="G1303" i="6"/>
  <c r="H1303" i="6" s="1"/>
  <c r="G1302" i="6"/>
  <c r="H1302" i="6" s="1"/>
  <c r="G1301" i="6"/>
  <c r="H1301" i="6" s="1"/>
  <c r="G1300" i="6"/>
  <c r="H1300" i="6" s="1"/>
  <c r="G1299" i="6"/>
  <c r="H1299" i="6" s="1"/>
  <c r="G1298" i="6"/>
  <c r="H1298" i="6" s="1"/>
  <c r="G1297" i="6"/>
  <c r="H1297" i="6" s="1"/>
  <c r="G1296" i="6"/>
  <c r="H1296" i="6" s="1"/>
  <c r="G1295" i="6"/>
  <c r="H1295" i="6" s="1"/>
  <c r="G1294" i="6"/>
  <c r="H1294" i="6" s="1"/>
  <c r="G1293" i="6"/>
  <c r="H1293" i="6" s="1"/>
  <c r="G1292" i="6"/>
  <c r="H1292" i="6" s="1"/>
  <c r="G1291" i="6"/>
  <c r="H1291" i="6" s="1"/>
  <c r="G1290" i="6"/>
  <c r="H1290" i="6" s="1"/>
  <c r="G1289" i="6"/>
  <c r="H1289" i="6" s="1"/>
  <c r="G1288" i="6"/>
  <c r="H1288" i="6" s="1"/>
  <c r="G1287" i="6"/>
  <c r="H1287" i="6" s="1"/>
  <c r="G1286" i="6"/>
  <c r="H1286" i="6" s="1"/>
  <c r="G1285" i="6"/>
  <c r="H1285" i="6" s="1"/>
  <c r="G1284" i="6"/>
  <c r="H1284" i="6" s="1"/>
  <c r="G1283" i="6"/>
  <c r="H1283" i="6" s="1"/>
  <c r="G1282" i="6"/>
  <c r="H1282" i="6" s="1"/>
  <c r="G1281" i="6"/>
  <c r="H1281" i="6" s="1"/>
  <c r="G1280" i="6"/>
  <c r="H1280" i="6" s="1"/>
  <c r="G1279" i="6"/>
  <c r="H1279" i="6" s="1"/>
  <c r="G1278" i="6"/>
  <c r="H1278" i="6" s="1"/>
  <c r="G1277" i="6"/>
  <c r="H1277" i="6" s="1"/>
  <c r="G1276" i="6"/>
  <c r="H1276" i="6" s="1"/>
  <c r="G1275" i="6"/>
  <c r="H1275" i="6" s="1"/>
  <c r="G1274" i="6"/>
  <c r="H1274" i="6" s="1"/>
  <c r="G1273" i="6"/>
  <c r="H1273" i="6" s="1"/>
  <c r="G1271" i="6"/>
  <c r="H1271" i="6" s="1"/>
  <c r="G1270" i="6"/>
  <c r="H1270" i="6" s="1"/>
  <c r="G1269" i="6"/>
  <c r="H1269" i="6" s="1"/>
  <c r="G1268" i="6"/>
  <c r="H1268" i="6" s="1"/>
  <c r="G1267" i="6"/>
  <c r="H1267" i="6" s="1"/>
  <c r="G1266" i="6"/>
  <c r="H1266" i="6" s="1"/>
  <c r="G1265" i="6"/>
  <c r="H1265" i="6" s="1"/>
  <c r="G1264" i="6"/>
  <c r="H1264" i="6" s="1"/>
  <c r="G1263" i="6"/>
  <c r="H1263" i="6" s="1"/>
  <c r="G1262" i="6"/>
  <c r="H1262" i="6" s="1"/>
  <c r="G1261" i="6"/>
  <c r="H1261" i="6" s="1"/>
  <c r="G1260" i="6"/>
  <c r="H1260" i="6" s="1"/>
  <c r="G1259" i="6"/>
  <c r="H1259" i="6" s="1"/>
  <c r="G1258" i="6"/>
  <c r="H1258" i="6" s="1"/>
  <c r="G1257" i="6"/>
  <c r="H1257" i="6" s="1"/>
  <c r="G1256" i="6"/>
  <c r="H1256" i="6" s="1"/>
  <c r="G1255" i="6"/>
  <c r="H1255" i="6" s="1"/>
  <c r="G1254" i="6"/>
  <c r="H1254" i="6" s="1"/>
  <c r="G1253" i="6"/>
  <c r="H1253" i="6" s="1"/>
  <c r="G1252" i="6"/>
  <c r="H1252" i="6" s="1"/>
  <c r="G1251" i="6"/>
  <c r="H1251" i="6" s="1"/>
  <c r="G1250" i="6"/>
  <c r="H1250" i="6" s="1"/>
  <c r="G1248" i="6"/>
  <c r="H1248" i="6" s="1"/>
  <c r="G1247" i="6"/>
  <c r="H1247" i="6" s="1"/>
  <c r="G1246" i="6"/>
  <c r="H1246" i="6" s="1"/>
  <c r="G1245" i="6"/>
  <c r="H1245" i="6" s="1"/>
  <c r="G1244" i="6"/>
  <c r="H1244" i="6" s="1"/>
  <c r="G1243" i="6"/>
  <c r="H1243" i="6" s="1"/>
  <c r="G1242" i="6"/>
  <c r="H1242" i="6" s="1"/>
  <c r="G1241" i="6"/>
  <c r="H1241" i="6" s="1"/>
  <c r="G1240" i="6"/>
  <c r="H1240" i="6" s="1"/>
  <c r="G1239" i="6"/>
  <c r="H1239" i="6" s="1"/>
  <c r="G1238" i="6"/>
  <c r="H1238" i="6" s="1"/>
  <c r="G1237" i="6"/>
  <c r="H1237" i="6" s="1"/>
  <c r="G1236" i="6"/>
  <c r="H1236" i="6" s="1"/>
  <c r="G1235" i="6"/>
  <c r="H1235" i="6" s="1"/>
  <c r="G1234" i="6"/>
  <c r="H1234" i="6" s="1"/>
  <c r="G1233" i="6"/>
  <c r="H1233" i="6" s="1"/>
  <c r="G1232" i="6"/>
  <c r="H1232" i="6" s="1"/>
  <c r="G1231" i="6"/>
  <c r="H1231" i="6" s="1"/>
  <c r="G1230" i="6"/>
  <c r="H1230" i="6" s="1"/>
  <c r="G1229" i="6"/>
  <c r="H1229" i="6" s="1"/>
  <c r="G1228" i="6"/>
  <c r="H1228" i="6" s="1"/>
  <c r="G1227" i="6"/>
  <c r="H1227" i="6" s="1"/>
  <c r="G1226" i="6"/>
  <c r="H1226" i="6" s="1"/>
  <c r="G1225" i="6"/>
  <c r="H1225" i="6" s="1"/>
  <c r="G1224" i="6"/>
  <c r="H1224" i="6" s="1"/>
  <c r="G1223" i="6"/>
  <c r="H1223" i="6" s="1"/>
  <c r="G1222" i="6"/>
  <c r="H1222" i="6" s="1"/>
  <c r="G1221" i="6"/>
  <c r="H1221" i="6" s="1"/>
  <c r="G1218" i="6"/>
  <c r="H1218" i="6" s="1"/>
  <c r="G1217" i="6"/>
  <c r="H1217" i="6" s="1"/>
  <c r="G1216" i="6"/>
  <c r="H1216" i="6" s="1"/>
  <c r="G1215" i="6"/>
  <c r="H1215" i="6" s="1"/>
  <c r="G1214" i="6"/>
  <c r="H1214" i="6" s="1"/>
  <c r="G1213" i="6"/>
  <c r="H1213" i="6" s="1"/>
  <c r="G1212" i="6"/>
  <c r="H1212" i="6" s="1"/>
  <c r="G1211" i="6"/>
  <c r="H1211" i="6" s="1"/>
  <c r="G1210" i="6"/>
  <c r="H1210" i="6" s="1"/>
  <c r="G1209" i="6"/>
  <c r="H1209" i="6" s="1"/>
  <c r="G1208" i="6"/>
  <c r="H1208" i="6" s="1"/>
  <c r="G1207" i="6"/>
  <c r="H1207" i="6" s="1"/>
  <c r="G1206" i="6"/>
  <c r="H1206" i="6" s="1"/>
  <c r="G1205" i="6"/>
  <c r="H1205" i="6" s="1"/>
  <c r="G1204" i="6"/>
  <c r="H1204" i="6" s="1"/>
  <c r="G1203" i="6"/>
  <c r="H1203" i="6" s="1"/>
  <c r="G1202" i="6"/>
  <c r="H1202" i="6" s="1"/>
  <c r="G1201" i="6"/>
  <c r="H1201" i="6" s="1"/>
  <c r="G1200" i="6"/>
  <c r="H1200" i="6" s="1"/>
  <c r="G1199" i="6"/>
  <c r="H1199" i="6" s="1"/>
  <c r="G1198" i="6"/>
  <c r="H1198" i="6" s="1"/>
  <c r="G1197" i="6"/>
  <c r="H1197" i="6" s="1"/>
  <c r="G1196" i="6"/>
  <c r="H1196" i="6" s="1"/>
  <c r="G1195" i="6"/>
  <c r="H1195" i="6" s="1"/>
  <c r="G1194" i="6"/>
  <c r="H1194" i="6" s="1"/>
  <c r="G1193" i="6"/>
  <c r="H1193" i="6" s="1"/>
  <c r="G1192" i="6"/>
  <c r="H1192" i="6" s="1"/>
  <c r="G1191" i="6"/>
  <c r="H1191" i="6" s="1"/>
  <c r="G1190" i="6"/>
  <c r="H1190" i="6" s="1"/>
  <c r="G1189" i="6"/>
  <c r="H1189" i="6" s="1"/>
  <c r="G1188" i="6"/>
  <c r="H1188" i="6" s="1"/>
  <c r="G1187" i="6"/>
  <c r="H1187" i="6" s="1"/>
  <c r="G1186" i="6"/>
  <c r="H1186" i="6" s="1"/>
  <c r="G1185" i="6"/>
  <c r="H1185" i="6" s="1"/>
  <c r="G1184" i="6"/>
  <c r="H1184" i="6" s="1"/>
  <c r="G1183" i="6"/>
  <c r="H1183" i="6" s="1"/>
  <c r="G1182" i="6"/>
  <c r="H1182" i="6" s="1"/>
  <c r="G1181" i="6"/>
  <c r="H1181" i="6" s="1"/>
  <c r="G1180" i="6"/>
  <c r="H1180" i="6" s="1"/>
  <c r="G1179" i="6"/>
  <c r="H1179" i="6" s="1"/>
  <c r="G1178" i="6"/>
  <c r="H1178" i="6" s="1"/>
  <c r="G1177" i="6"/>
  <c r="H1177" i="6" s="1"/>
  <c r="G1176" i="6"/>
  <c r="H1176" i="6" s="1"/>
  <c r="G1175" i="6"/>
  <c r="H1175" i="6" s="1"/>
  <c r="G1174" i="6"/>
  <c r="H1174" i="6" s="1"/>
  <c r="G1173" i="6"/>
  <c r="H1173" i="6" s="1"/>
  <c r="G1172" i="6"/>
  <c r="H1172" i="6" s="1"/>
  <c r="G1171" i="6"/>
  <c r="H1171" i="6" s="1"/>
  <c r="G1170" i="6"/>
  <c r="H1170" i="6" s="1"/>
  <c r="G1169" i="6"/>
  <c r="H1169" i="6" s="1"/>
  <c r="G1168" i="6"/>
  <c r="H1168" i="6" s="1"/>
  <c r="G1167" i="6"/>
  <c r="H1167" i="6" s="1"/>
  <c r="G1166" i="6"/>
  <c r="H1166" i="6" s="1"/>
  <c r="G1164" i="6"/>
  <c r="H1164" i="6" s="1"/>
  <c r="G1163" i="6"/>
  <c r="H1163" i="6" s="1"/>
  <c r="G1162" i="6"/>
  <c r="H1162" i="6" s="1"/>
  <c r="G1161" i="6"/>
  <c r="H1161" i="6" s="1"/>
  <c r="G1160" i="6"/>
  <c r="H1160" i="6" s="1"/>
  <c r="G1159" i="6"/>
  <c r="H1159" i="6" s="1"/>
  <c r="G1158" i="6"/>
  <c r="H1158" i="6" s="1"/>
  <c r="G1157" i="6"/>
  <c r="H1157" i="6" s="1"/>
  <c r="G1156" i="6"/>
  <c r="H1156" i="6" s="1"/>
  <c r="G1155" i="6"/>
  <c r="H1155" i="6" s="1"/>
  <c r="G1154" i="6"/>
  <c r="H1154" i="6" s="1"/>
  <c r="G1153" i="6"/>
  <c r="H1153" i="6" s="1"/>
  <c r="G1150" i="6"/>
  <c r="H1150" i="6" s="1"/>
  <c r="G1149" i="6"/>
  <c r="H1149" i="6" s="1"/>
  <c r="G1148" i="6"/>
  <c r="H1148" i="6" s="1"/>
  <c r="G1146" i="6"/>
  <c r="H1146" i="6" s="1"/>
  <c r="G1145" i="6"/>
  <c r="H1145" i="6" s="1"/>
  <c r="G1144" i="6"/>
  <c r="H1144" i="6" s="1"/>
  <c r="G1143" i="6"/>
  <c r="H1143" i="6" s="1"/>
  <c r="G1142" i="6"/>
  <c r="H1142" i="6" s="1"/>
  <c r="G1141" i="6"/>
  <c r="H1141" i="6" s="1"/>
  <c r="G1138" i="6"/>
  <c r="H1138" i="6" s="1"/>
  <c r="G1137" i="6"/>
  <c r="H1137" i="6" s="1"/>
  <c r="G1136" i="6"/>
  <c r="H1136" i="6" s="1"/>
  <c r="G1135" i="6"/>
  <c r="H1135" i="6" s="1"/>
  <c r="G1134" i="6"/>
  <c r="H1134" i="6" s="1"/>
  <c r="G1133" i="6"/>
  <c r="H1133" i="6" s="1"/>
  <c r="G1132" i="6"/>
  <c r="H1132" i="6" s="1"/>
  <c r="G1130" i="6"/>
  <c r="H1130" i="6" s="1"/>
  <c r="G1129" i="6"/>
  <c r="H1129" i="6" s="1"/>
  <c r="G1128" i="6"/>
  <c r="H1128" i="6" s="1"/>
  <c r="G1127" i="6"/>
  <c r="H1127" i="6" s="1"/>
  <c r="G1126" i="6"/>
  <c r="H1126" i="6" s="1"/>
  <c r="G1125" i="6"/>
  <c r="H1125" i="6" s="1"/>
  <c r="G1124" i="6"/>
  <c r="H1124" i="6" s="1"/>
  <c r="G1123" i="6"/>
  <c r="H1123" i="6" s="1"/>
  <c r="G1122" i="6"/>
  <c r="H1122" i="6" s="1"/>
  <c r="G1121" i="6"/>
  <c r="H1121" i="6" s="1"/>
  <c r="G1120" i="6"/>
  <c r="H1120" i="6" s="1"/>
  <c r="G1119" i="6"/>
  <c r="H1119" i="6" s="1"/>
  <c r="G1117" i="6"/>
  <c r="H1117" i="6" s="1"/>
  <c r="G1116" i="6"/>
  <c r="H1116" i="6" s="1"/>
  <c r="G1115" i="6"/>
  <c r="H1115" i="6" s="1"/>
  <c r="G1114" i="6"/>
  <c r="H1114" i="6" s="1"/>
  <c r="G1111" i="6"/>
  <c r="H1111" i="6" s="1"/>
  <c r="G1110" i="6"/>
  <c r="H1110" i="6" s="1"/>
  <c r="G1109" i="6"/>
  <c r="H1109" i="6" s="1"/>
  <c r="G1108" i="6"/>
  <c r="H1108" i="6" s="1"/>
  <c r="G1107" i="6"/>
  <c r="H1107" i="6" s="1"/>
  <c r="G1105" i="6"/>
  <c r="H1105" i="6" s="1"/>
  <c r="G1104" i="6"/>
  <c r="H1104" i="6" s="1"/>
  <c r="G1103" i="6"/>
  <c r="H1103" i="6" s="1"/>
  <c r="G1102" i="6"/>
  <c r="H1102" i="6" s="1"/>
  <c r="G1101" i="6"/>
  <c r="H1101" i="6" s="1"/>
  <c r="G1100" i="6"/>
  <c r="H1100" i="6" s="1"/>
  <c r="G1099" i="6"/>
  <c r="H1099" i="6" s="1"/>
  <c r="G1098" i="6"/>
  <c r="H1098" i="6" s="1"/>
  <c r="G1097" i="6"/>
  <c r="H1097" i="6" s="1"/>
  <c r="G1096" i="6"/>
  <c r="H1096" i="6" s="1"/>
  <c r="G1095" i="6"/>
  <c r="H1095" i="6" s="1"/>
  <c r="G1093" i="6"/>
  <c r="H1093" i="6" s="1"/>
  <c r="G1092" i="6"/>
  <c r="H1092" i="6" s="1"/>
  <c r="G1091" i="6"/>
  <c r="H1091" i="6" s="1"/>
  <c r="G1090" i="6"/>
  <c r="H1090" i="6" s="1"/>
  <c r="G1087" i="6"/>
  <c r="H1087" i="6" s="1"/>
  <c r="G1086" i="6"/>
  <c r="H1086" i="6" s="1"/>
  <c r="G1085" i="6"/>
  <c r="H1085" i="6" s="1"/>
  <c r="G1084" i="6"/>
  <c r="H1084" i="6" s="1"/>
  <c r="G1083" i="6"/>
  <c r="H1083" i="6" s="1"/>
  <c r="G1082" i="6"/>
  <c r="H1082" i="6" s="1"/>
  <c r="G1081" i="6"/>
  <c r="H1081" i="6" s="1"/>
  <c r="G1080" i="6"/>
  <c r="H1080" i="6" s="1"/>
  <c r="G1079" i="6"/>
  <c r="H1079" i="6" s="1"/>
  <c r="G1078" i="6"/>
  <c r="H1078" i="6" s="1"/>
  <c r="G1077" i="6"/>
  <c r="H1077" i="6" s="1"/>
  <c r="G1076" i="6"/>
  <c r="H1076" i="6" s="1"/>
  <c r="G1075" i="6"/>
  <c r="H1075" i="6" s="1"/>
  <c r="G1074" i="6"/>
  <c r="H1074" i="6" s="1"/>
  <c r="G1073" i="6"/>
  <c r="H1073" i="6" s="1"/>
  <c r="G1072" i="6"/>
  <c r="H1072" i="6" s="1"/>
  <c r="G1071" i="6"/>
  <c r="H1071" i="6" s="1"/>
  <c r="G1070" i="6"/>
  <c r="H1070" i="6" s="1"/>
  <c r="G1069" i="6"/>
  <c r="H1069" i="6" s="1"/>
  <c r="G1068" i="6"/>
  <c r="H1068" i="6" s="1"/>
  <c r="G1067" i="6"/>
  <c r="H1067" i="6" s="1"/>
  <c r="G1066" i="6"/>
  <c r="H1066" i="6" s="1"/>
  <c r="G1065" i="6"/>
  <c r="H1065" i="6" s="1"/>
  <c r="G1064" i="6"/>
  <c r="H1064" i="6" s="1"/>
  <c r="G1063" i="6"/>
  <c r="H1063" i="6" s="1"/>
  <c r="G1062" i="6"/>
  <c r="H1062" i="6" s="1"/>
  <c r="G1061" i="6"/>
  <c r="H1061" i="6" s="1"/>
  <c r="G1060" i="6"/>
  <c r="H1060" i="6" s="1"/>
  <c r="G1059" i="6"/>
  <c r="H1059" i="6" s="1"/>
  <c r="G1058" i="6"/>
  <c r="H1058" i="6" s="1"/>
  <c r="G1056" i="6"/>
  <c r="H1056" i="6" s="1"/>
  <c r="G1055" i="6"/>
  <c r="H1055" i="6" s="1"/>
  <c r="G1054" i="6"/>
  <c r="H1054" i="6" s="1"/>
  <c r="G1053" i="6"/>
  <c r="H1053" i="6" s="1"/>
  <c r="G1052" i="6"/>
  <c r="H1052" i="6" s="1"/>
  <c r="G1051" i="6"/>
  <c r="H1051" i="6" s="1"/>
  <c r="G1050" i="6"/>
  <c r="H1050" i="6" s="1"/>
  <c r="G1049" i="6"/>
  <c r="H1049" i="6" s="1"/>
  <c r="G1048" i="6"/>
  <c r="H1048" i="6" s="1"/>
  <c r="G1044" i="6"/>
  <c r="H1044" i="6" s="1"/>
  <c r="G1043" i="6"/>
  <c r="H1043" i="6" s="1"/>
  <c r="G1042" i="6"/>
  <c r="H1042" i="6" s="1"/>
  <c r="G1041" i="6"/>
  <c r="H1041" i="6" s="1"/>
  <c r="G1040" i="6"/>
  <c r="H1040" i="6" s="1"/>
  <c r="G1039" i="6"/>
  <c r="H1039" i="6" s="1"/>
  <c r="G1038" i="6"/>
  <c r="H1038" i="6" s="1"/>
  <c r="G1037" i="6"/>
  <c r="H1037" i="6" s="1"/>
  <c r="G1036" i="6"/>
  <c r="H1036" i="6" s="1"/>
  <c r="G1035" i="6"/>
  <c r="H1035" i="6" s="1"/>
  <c r="G1034" i="6"/>
  <c r="H1034" i="6" s="1"/>
  <c r="G1033" i="6"/>
  <c r="H1033" i="6" s="1"/>
  <c r="G1032" i="6"/>
  <c r="H1032" i="6" s="1"/>
  <c r="G1031" i="6"/>
  <c r="H1031" i="6" s="1"/>
  <c r="G1030" i="6"/>
  <c r="H1030" i="6" s="1"/>
  <c r="G1029" i="6"/>
  <c r="H1029" i="6" s="1"/>
  <c r="G1028" i="6"/>
  <c r="H1028" i="6" s="1"/>
  <c r="G1027" i="6"/>
  <c r="H1027" i="6" s="1"/>
  <c r="G1026" i="6"/>
  <c r="H1026" i="6" s="1"/>
  <c r="G1025" i="6"/>
  <c r="H1025" i="6" s="1"/>
  <c r="G1024" i="6"/>
  <c r="H1024" i="6" s="1"/>
  <c r="G1023" i="6"/>
  <c r="H1023" i="6" s="1"/>
  <c r="G1022" i="6"/>
  <c r="H1022" i="6" s="1"/>
  <c r="G1021" i="6"/>
  <c r="H1021" i="6" s="1"/>
  <c r="G1020" i="6"/>
  <c r="H1020" i="6" s="1"/>
  <c r="G1019" i="6"/>
  <c r="H1019" i="6" s="1"/>
  <c r="G1018" i="6"/>
  <c r="H1018" i="6" s="1"/>
  <c r="G1017" i="6"/>
  <c r="H1017" i="6" s="1"/>
  <c r="G1016" i="6"/>
  <c r="H1016" i="6" s="1"/>
  <c r="G1015" i="6"/>
  <c r="H1015" i="6" s="1"/>
  <c r="G1014" i="6"/>
  <c r="H1014" i="6" s="1"/>
  <c r="G1013" i="6"/>
  <c r="H1013" i="6" s="1"/>
  <c r="G1012" i="6"/>
  <c r="H1012" i="6" s="1"/>
  <c r="G1011" i="6"/>
  <c r="H1011" i="6" s="1"/>
  <c r="G1010" i="6"/>
  <c r="H1010" i="6" s="1"/>
  <c r="G1009" i="6"/>
  <c r="H1009" i="6" s="1"/>
  <c r="G1008" i="6"/>
  <c r="H1008" i="6" s="1"/>
  <c r="G1007" i="6"/>
  <c r="H1007" i="6" s="1"/>
  <c r="G1006" i="6"/>
  <c r="H1006" i="6" s="1"/>
  <c r="G1004" i="6"/>
  <c r="H1004" i="6" s="1"/>
  <c r="G1003" i="6"/>
  <c r="H1003" i="6" s="1"/>
  <c r="G1002" i="6"/>
  <c r="H1002" i="6" s="1"/>
  <c r="G1001" i="6"/>
  <c r="H1001" i="6" s="1"/>
  <c r="G1000" i="6"/>
  <c r="H1000" i="6" s="1"/>
  <c r="G999" i="6"/>
  <c r="H999" i="6" s="1"/>
  <c r="G998" i="6"/>
  <c r="H998" i="6" s="1"/>
  <c r="G997" i="6"/>
  <c r="H997" i="6" s="1"/>
  <c r="G996" i="6"/>
  <c r="H996" i="6" s="1"/>
  <c r="G995" i="6"/>
  <c r="H995" i="6" s="1"/>
  <c r="G994" i="6"/>
  <c r="H994" i="6" s="1"/>
  <c r="G993" i="6"/>
  <c r="H993" i="6" s="1"/>
  <c r="G992" i="6"/>
  <c r="H992" i="6" s="1"/>
  <c r="G991" i="6"/>
  <c r="H991" i="6" s="1"/>
  <c r="G990" i="6"/>
  <c r="H990" i="6" s="1"/>
  <c r="G989" i="6"/>
  <c r="H989" i="6" s="1"/>
  <c r="G988" i="6"/>
  <c r="H988" i="6" s="1"/>
  <c r="G987" i="6"/>
  <c r="H987" i="6" s="1"/>
  <c r="G986" i="6"/>
  <c r="H986" i="6" s="1"/>
  <c r="G985" i="6"/>
  <c r="H985" i="6" s="1"/>
  <c r="G984" i="6"/>
  <c r="H984" i="6" s="1"/>
  <c r="G983" i="6"/>
  <c r="H983" i="6" s="1"/>
  <c r="G982" i="6"/>
  <c r="H982" i="6" s="1"/>
  <c r="G981" i="6"/>
  <c r="H981" i="6" s="1"/>
  <c r="G980" i="6"/>
  <c r="H980" i="6" s="1"/>
  <c r="G979" i="6"/>
  <c r="H979" i="6" s="1"/>
  <c r="G977" i="6"/>
  <c r="H977" i="6" s="1"/>
  <c r="G976" i="6"/>
  <c r="H976" i="6" s="1"/>
  <c r="G975" i="6"/>
  <c r="H975" i="6" s="1"/>
  <c r="G974" i="6"/>
  <c r="H974" i="6" s="1"/>
  <c r="G973" i="6"/>
  <c r="H973" i="6" s="1"/>
  <c r="G972" i="6"/>
  <c r="H972" i="6" s="1"/>
  <c r="G971" i="6"/>
  <c r="H971" i="6" s="1"/>
  <c r="G970" i="6"/>
  <c r="H970" i="6" s="1"/>
  <c r="G969" i="6"/>
  <c r="H969" i="6" s="1"/>
  <c r="G968" i="6"/>
  <c r="H968" i="6" s="1"/>
  <c r="G967" i="6"/>
  <c r="H967" i="6" s="1"/>
  <c r="G966" i="6"/>
  <c r="H966" i="6" s="1"/>
  <c r="G965" i="6"/>
  <c r="H965" i="6" s="1"/>
  <c r="G964" i="6"/>
  <c r="H964" i="6" s="1"/>
  <c r="G963" i="6"/>
  <c r="H963" i="6" s="1"/>
  <c r="G962" i="6"/>
  <c r="H962" i="6" s="1"/>
  <c r="G961" i="6"/>
  <c r="H961" i="6" s="1"/>
  <c r="G960" i="6"/>
  <c r="H960" i="6" s="1"/>
  <c r="G959" i="6"/>
  <c r="H959" i="6" s="1"/>
  <c r="G958" i="6"/>
  <c r="H958" i="6" s="1"/>
  <c r="G957" i="6"/>
  <c r="H957" i="6" s="1"/>
  <c r="G956" i="6"/>
  <c r="H956" i="6" s="1"/>
  <c r="G955" i="6"/>
  <c r="H955" i="6" s="1"/>
  <c r="G954" i="6"/>
  <c r="H954" i="6" s="1"/>
  <c r="G953" i="6"/>
  <c r="H953" i="6" s="1"/>
  <c r="G952" i="6"/>
  <c r="H952" i="6" s="1"/>
  <c r="G951" i="6"/>
  <c r="H951" i="6" s="1"/>
  <c r="G950" i="6"/>
  <c r="H950" i="6" s="1"/>
  <c r="G949" i="6"/>
  <c r="H949" i="6" s="1"/>
  <c r="G948" i="6"/>
  <c r="H948" i="6" s="1"/>
  <c r="G947" i="6"/>
  <c r="H947" i="6" s="1"/>
  <c r="G946" i="6"/>
  <c r="H946" i="6" s="1"/>
  <c r="G945" i="6"/>
  <c r="H945" i="6" s="1"/>
  <c r="G944" i="6"/>
  <c r="H944" i="6" s="1"/>
  <c r="G943" i="6"/>
  <c r="H943" i="6" s="1"/>
  <c r="G942" i="6"/>
  <c r="H942" i="6" s="1"/>
  <c r="G941" i="6"/>
  <c r="H941" i="6" s="1"/>
  <c r="G940" i="6"/>
  <c r="H940" i="6" s="1"/>
  <c r="G939" i="6"/>
  <c r="H939" i="6" s="1"/>
  <c r="G938" i="6"/>
  <c r="H938" i="6" s="1"/>
  <c r="G937" i="6"/>
  <c r="H937" i="6" s="1"/>
  <c r="G936" i="6"/>
  <c r="H936" i="6" s="1"/>
  <c r="G935" i="6"/>
  <c r="H935" i="6" s="1"/>
  <c r="G934" i="6"/>
  <c r="H934" i="6" s="1"/>
  <c r="G933" i="6"/>
  <c r="H933" i="6" s="1"/>
  <c r="G932" i="6"/>
  <c r="H932" i="6" s="1"/>
  <c r="G931" i="6"/>
  <c r="H931" i="6" s="1"/>
  <c r="G930" i="6"/>
  <c r="H930" i="6" s="1"/>
  <c r="G929" i="6"/>
  <c r="H929" i="6" s="1"/>
  <c r="G928" i="6"/>
  <c r="H928" i="6" s="1"/>
  <c r="G927" i="6"/>
  <c r="H927" i="6" s="1"/>
  <c r="G926" i="6"/>
  <c r="H926" i="6" s="1"/>
  <c r="G925" i="6"/>
  <c r="H925" i="6" s="1"/>
  <c r="G924" i="6"/>
  <c r="H924" i="6" s="1"/>
  <c r="G923" i="6"/>
  <c r="H923" i="6" s="1"/>
  <c r="G922" i="6"/>
  <c r="H922" i="6" s="1"/>
  <c r="G921" i="6"/>
  <c r="H921" i="6" s="1"/>
  <c r="G920" i="6"/>
  <c r="H920" i="6" s="1"/>
  <c r="G919" i="6"/>
  <c r="H919" i="6" s="1"/>
  <c r="G918" i="6"/>
  <c r="H918" i="6" s="1"/>
  <c r="G917" i="6"/>
  <c r="H917" i="6" s="1"/>
  <c r="G916" i="6"/>
  <c r="H916" i="6" s="1"/>
  <c r="G915" i="6"/>
  <c r="H915" i="6" s="1"/>
  <c r="G914" i="6"/>
  <c r="H914" i="6" s="1"/>
  <c r="G913" i="6"/>
  <c r="H913" i="6" s="1"/>
  <c r="G912" i="6"/>
  <c r="H912" i="6" s="1"/>
  <c r="G911" i="6"/>
  <c r="H911" i="6" s="1"/>
  <c r="G910" i="6"/>
  <c r="H910" i="6" s="1"/>
  <c r="G909" i="6"/>
  <c r="H909" i="6" s="1"/>
  <c r="G908" i="6"/>
  <c r="H908" i="6" s="1"/>
  <c r="G907" i="6"/>
  <c r="H907" i="6" s="1"/>
  <c r="G906" i="6"/>
  <c r="H906" i="6" s="1"/>
  <c r="G905" i="6"/>
  <c r="H905" i="6" s="1"/>
  <c r="G904" i="6"/>
  <c r="H904" i="6" s="1"/>
  <c r="G903" i="6"/>
  <c r="H903" i="6" s="1"/>
  <c r="G902" i="6"/>
  <c r="H902" i="6" s="1"/>
  <c r="G901" i="6"/>
  <c r="H901" i="6" s="1"/>
  <c r="G900" i="6"/>
  <c r="H900" i="6" s="1"/>
  <c r="G899" i="6"/>
  <c r="H899" i="6" s="1"/>
  <c r="G898" i="6"/>
  <c r="H898" i="6" s="1"/>
  <c r="G897" i="6"/>
  <c r="H897" i="6" s="1"/>
  <c r="G896" i="6"/>
  <c r="H896" i="6" s="1"/>
  <c r="G895" i="6"/>
  <c r="H895" i="6" s="1"/>
  <c r="G893" i="6"/>
  <c r="H893" i="6" s="1"/>
  <c r="G892" i="6"/>
  <c r="H892" i="6" s="1"/>
  <c r="G891" i="6"/>
  <c r="H891" i="6" s="1"/>
  <c r="G890" i="6"/>
  <c r="H890" i="6" s="1"/>
  <c r="G889" i="6"/>
  <c r="H889" i="6" s="1"/>
  <c r="G888" i="6"/>
  <c r="H888" i="6" s="1"/>
  <c r="G887" i="6"/>
  <c r="H887" i="6" s="1"/>
  <c r="G886" i="6"/>
  <c r="H886" i="6" s="1"/>
  <c r="G885" i="6"/>
  <c r="H885" i="6" s="1"/>
  <c r="G884" i="6"/>
  <c r="H884" i="6" s="1"/>
  <c r="G883" i="6"/>
  <c r="H883" i="6" s="1"/>
  <c r="G882" i="6"/>
  <c r="H882" i="6" s="1"/>
  <c r="G881" i="6"/>
  <c r="H881" i="6" s="1"/>
  <c r="G880" i="6"/>
  <c r="H880" i="6" s="1"/>
  <c r="G879" i="6"/>
  <c r="H879" i="6" s="1"/>
  <c r="G878" i="6"/>
  <c r="H878" i="6" s="1"/>
  <c r="G877" i="6"/>
  <c r="H877" i="6" s="1"/>
  <c r="G876" i="6"/>
  <c r="H876" i="6" s="1"/>
  <c r="G875" i="6"/>
  <c r="H875" i="6" s="1"/>
  <c r="G874" i="6"/>
  <c r="H874" i="6" s="1"/>
  <c r="G873" i="6"/>
  <c r="H873" i="6" s="1"/>
  <c r="G872" i="6"/>
  <c r="H872" i="6" s="1"/>
  <c r="G871" i="6"/>
  <c r="H871" i="6" s="1"/>
  <c r="G870" i="6"/>
  <c r="H870" i="6" s="1"/>
  <c r="G869" i="6"/>
  <c r="H869" i="6" s="1"/>
  <c r="G868" i="6"/>
  <c r="H868" i="6" s="1"/>
  <c r="G867" i="6"/>
  <c r="H867" i="6" s="1"/>
  <c r="G866" i="6"/>
  <c r="H866" i="6" s="1"/>
  <c r="G865" i="6"/>
  <c r="H865" i="6" s="1"/>
  <c r="G863" i="6"/>
  <c r="H863" i="6" s="1"/>
  <c r="G862" i="6"/>
  <c r="H862" i="6" s="1"/>
  <c r="G861" i="6"/>
  <c r="H861" i="6" s="1"/>
  <c r="G860" i="6"/>
  <c r="H860" i="6" s="1"/>
  <c r="G859" i="6"/>
  <c r="H859" i="6" s="1"/>
  <c r="G858" i="6"/>
  <c r="H858" i="6" s="1"/>
  <c r="G857" i="6"/>
  <c r="H857" i="6" s="1"/>
  <c r="G856" i="6"/>
  <c r="H856" i="6" s="1"/>
  <c r="G855" i="6"/>
  <c r="H855" i="6" s="1"/>
  <c r="G854" i="6"/>
  <c r="H854" i="6" s="1"/>
  <c r="G853" i="6"/>
  <c r="H853" i="6" s="1"/>
  <c r="G852" i="6"/>
  <c r="H852" i="6" s="1"/>
  <c r="G851" i="6"/>
  <c r="H851" i="6" s="1"/>
  <c r="G850" i="6"/>
  <c r="H850" i="6" s="1"/>
  <c r="G849" i="6"/>
  <c r="H849" i="6" s="1"/>
  <c r="G848" i="6"/>
  <c r="H848" i="6" s="1"/>
  <c r="G847" i="6"/>
  <c r="H847" i="6" s="1"/>
  <c r="G846" i="6"/>
  <c r="H846" i="6" s="1"/>
  <c r="G845" i="6"/>
  <c r="H845" i="6" s="1"/>
  <c r="G844" i="6"/>
  <c r="H844" i="6" s="1"/>
  <c r="G843" i="6"/>
  <c r="H843" i="6" s="1"/>
  <c r="G842" i="6"/>
  <c r="H842" i="6" s="1"/>
  <c r="G841" i="6"/>
  <c r="H841" i="6" s="1"/>
  <c r="G840" i="6"/>
  <c r="H840" i="6" s="1"/>
  <c r="G839" i="6"/>
  <c r="H839" i="6" s="1"/>
  <c r="G838" i="6"/>
  <c r="H838" i="6" s="1"/>
  <c r="G837" i="6"/>
  <c r="H837" i="6" s="1"/>
  <c r="G836" i="6"/>
  <c r="H836" i="6" s="1"/>
  <c r="G835" i="6"/>
  <c r="H835" i="6" s="1"/>
  <c r="G834" i="6"/>
  <c r="H834" i="6" s="1"/>
  <c r="G833" i="6"/>
  <c r="H833" i="6" s="1"/>
  <c r="G832" i="6"/>
  <c r="H832" i="6" s="1"/>
  <c r="G831" i="6"/>
  <c r="H831" i="6" s="1"/>
  <c r="G830" i="6"/>
  <c r="H830" i="6" s="1"/>
  <c r="G829" i="6"/>
  <c r="H829" i="6" s="1"/>
  <c r="G828" i="6"/>
  <c r="H828" i="6" s="1"/>
  <c r="G827" i="6"/>
  <c r="H827" i="6" s="1"/>
  <c r="G826" i="6"/>
  <c r="H826" i="6" s="1"/>
  <c r="G825" i="6"/>
  <c r="H825" i="6" s="1"/>
  <c r="G824" i="6"/>
  <c r="H824" i="6" s="1"/>
  <c r="G823" i="6"/>
  <c r="H823" i="6" s="1"/>
  <c r="G822" i="6"/>
  <c r="H822" i="6" s="1"/>
  <c r="G821" i="6"/>
  <c r="H821" i="6" s="1"/>
  <c r="G820" i="6"/>
  <c r="H820" i="6" s="1"/>
  <c r="G819" i="6"/>
  <c r="H819" i="6" s="1"/>
  <c r="G818" i="6"/>
  <c r="H818" i="6" s="1"/>
  <c r="G817" i="6"/>
  <c r="H817" i="6" s="1"/>
  <c r="G816" i="6"/>
  <c r="H816" i="6" s="1"/>
  <c r="G815" i="6"/>
  <c r="H815" i="6" s="1"/>
  <c r="G814" i="6"/>
  <c r="H814" i="6" s="1"/>
  <c r="G813" i="6"/>
  <c r="H813" i="6" s="1"/>
  <c r="G812" i="6"/>
  <c r="H812" i="6" s="1"/>
  <c r="G811" i="6"/>
  <c r="H811" i="6" s="1"/>
  <c r="G810" i="6"/>
  <c r="H810" i="6" s="1"/>
  <c r="G809" i="6"/>
  <c r="H809" i="6" s="1"/>
  <c r="G808" i="6"/>
  <c r="H808" i="6" s="1"/>
  <c r="G807" i="6"/>
  <c r="H807" i="6" s="1"/>
  <c r="G806" i="6"/>
  <c r="H806" i="6" s="1"/>
  <c r="G805" i="6"/>
  <c r="H805" i="6" s="1"/>
  <c r="G804" i="6"/>
  <c r="H804" i="6" s="1"/>
  <c r="G803" i="6"/>
  <c r="H803" i="6" s="1"/>
  <c r="G802" i="6"/>
  <c r="H802" i="6" s="1"/>
  <c r="G801" i="6"/>
  <c r="H801" i="6" s="1"/>
  <c r="G800" i="6"/>
  <c r="H800" i="6" s="1"/>
  <c r="G799" i="6"/>
  <c r="H799" i="6" s="1"/>
  <c r="G798" i="6"/>
  <c r="H798" i="6" s="1"/>
  <c r="G797" i="6"/>
  <c r="H797" i="6" s="1"/>
  <c r="G796" i="6"/>
  <c r="H796" i="6" s="1"/>
  <c r="G794" i="6"/>
  <c r="H794" i="6" s="1"/>
  <c r="G793" i="6"/>
  <c r="H793" i="6" s="1"/>
  <c r="G792" i="6"/>
  <c r="H792" i="6" s="1"/>
  <c r="G791" i="6"/>
  <c r="H791" i="6" s="1"/>
  <c r="G790" i="6"/>
  <c r="H790" i="6" s="1"/>
  <c r="G789" i="6"/>
  <c r="H789" i="6" s="1"/>
  <c r="G788" i="6"/>
  <c r="H788" i="6" s="1"/>
  <c r="G787" i="6"/>
  <c r="H787" i="6" s="1"/>
  <c r="G786" i="6"/>
  <c r="H786" i="6" s="1"/>
  <c r="G785" i="6"/>
  <c r="H785" i="6" s="1"/>
  <c r="G784" i="6"/>
  <c r="H784" i="6" s="1"/>
  <c r="G783" i="6"/>
  <c r="H783" i="6" s="1"/>
  <c r="G782" i="6"/>
  <c r="H782" i="6" s="1"/>
  <c r="G781" i="6"/>
  <c r="H781" i="6" s="1"/>
  <c r="G780" i="6"/>
  <c r="H780" i="6" s="1"/>
  <c r="G779" i="6"/>
  <c r="H779" i="6" s="1"/>
  <c r="G778" i="6"/>
  <c r="H778" i="6" s="1"/>
  <c r="G777" i="6"/>
  <c r="H777" i="6" s="1"/>
  <c r="G776" i="6"/>
  <c r="H776" i="6" s="1"/>
  <c r="G775" i="6"/>
  <c r="H775" i="6" s="1"/>
  <c r="G774" i="6"/>
  <c r="H774" i="6" s="1"/>
  <c r="G773" i="6"/>
  <c r="H773" i="6" s="1"/>
  <c r="G772" i="6"/>
  <c r="H772" i="6" s="1"/>
  <c r="G771" i="6"/>
  <c r="H771" i="6" s="1"/>
  <c r="G770" i="6"/>
  <c r="H770" i="6" s="1"/>
  <c r="G769" i="6"/>
  <c r="H769" i="6" s="1"/>
  <c r="G768" i="6"/>
  <c r="H768" i="6" s="1"/>
  <c r="G767" i="6"/>
  <c r="H767" i="6" s="1"/>
  <c r="G766" i="6"/>
  <c r="H766" i="6" s="1"/>
  <c r="G765" i="6"/>
  <c r="H765" i="6" s="1"/>
  <c r="G764" i="6"/>
  <c r="H764" i="6" s="1"/>
  <c r="G763" i="6"/>
  <c r="H763" i="6" s="1"/>
  <c r="G762" i="6"/>
  <c r="H762" i="6" s="1"/>
  <c r="G761" i="6"/>
  <c r="H761" i="6" s="1"/>
  <c r="G760" i="6"/>
  <c r="H760" i="6" s="1"/>
  <c r="G759" i="6"/>
  <c r="H759" i="6" s="1"/>
  <c r="G758" i="6"/>
  <c r="H758" i="6" s="1"/>
  <c r="G757" i="6"/>
  <c r="H757" i="6" s="1"/>
  <c r="G756" i="6"/>
  <c r="H756" i="6" s="1"/>
  <c r="G754" i="6"/>
  <c r="H754" i="6" s="1"/>
  <c r="G753" i="6"/>
  <c r="H753" i="6" s="1"/>
  <c r="G752" i="6"/>
  <c r="H752" i="6" s="1"/>
  <c r="G751" i="6"/>
  <c r="H751" i="6" s="1"/>
  <c r="G750" i="6"/>
  <c r="H750" i="6" s="1"/>
  <c r="G749" i="6"/>
  <c r="H749" i="6" s="1"/>
  <c r="G748" i="6"/>
  <c r="H748" i="6" s="1"/>
  <c r="G747" i="6"/>
  <c r="H747" i="6" s="1"/>
  <c r="G746" i="6"/>
  <c r="H746" i="6" s="1"/>
  <c r="G745" i="6"/>
  <c r="H745" i="6" s="1"/>
  <c r="G744" i="6"/>
  <c r="H744" i="6" s="1"/>
  <c r="G743" i="6"/>
  <c r="H743" i="6" s="1"/>
  <c r="G742" i="6"/>
  <c r="H742" i="6" s="1"/>
  <c r="G741" i="6"/>
  <c r="H741" i="6" s="1"/>
  <c r="G740" i="6"/>
  <c r="H740" i="6" s="1"/>
  <c r="G739" i="6"/>
  <c r="H739" i="6" s="1"/>
  <c r="G738" i="6"/>
  <c r="H738" i="6" s="1"/>
  <c r="G737" i="6"/>
  <c r="H737" i="6" s="1"/>
  <c r="G736" i="6"/>
  <c r="H736" i="6" s="1"/>
  <c r="G735" i="6"/>
  <c r="H735" i="6" s="1"/>
  <c r="G734" i="6"/>
  <c r="H734" i="6" s="1"/>
  <c r="G733" i="6"/>
  <c r="H733" i="6" s="1"/>
  <c r="G732" i="6"/>
  <c r="H732" i="6" s="1"/>
  <c r="G731" i="6"/>
  <c r="H731" i="6" s="1"/>
  <c r="G730" i="6"/>
  <c r="H730" i="6" s="1"/>
  <c r="G729" i="6"/>
  <c r="H729" i="6" s="1"/>
  <c r="G727" i="6"/>
  <c r="H727" i="6" s="1"/>
  <c r="G726" i="6"/>
  <c r="H726" i="6" s="1"/>
  <c r="G725" i="6"/>
  <c r="H725" i="6" s="1"/>
  <c r="G724" i="6"/>
  <c r="H724" i="6" s="1"/>
  <c r="G723" i="6"/>
  <c r="H723" i="6" s="1"/>
  <c r="G722" i="6"/>
  <c r="H722" i="6" s="1"/>
  <c r="G721" i="6"/>
  <c r="H721" i="6" s="1"/>
  <c r="G720" i="6"/>
  <c r="H720" i="6" s="1"/>
  <c r="G719" i="6"/>
  <c r="H719" i="6" s="1"/>
  <c r="G718" i="6"/>
  <c r="H718" i="6" s="1"/>
  <c r="G717" i="6"/>
  <c r="H717" i="6" s="1"/>
  <c r="G716" i="6"/>
  <c r="H716" i="6" s="1"/>
  <c r="G715" i="6"/>
  <c r="H715" i="6" s="1"/>
  <c r="G714" i="6"/>
  <c r="H714" i="6" s="1"/>
  <c r="G713" i="6"/>
  <c r="H713" i="6" s="1"/>
  <c r="G712" i="6"/>
  <c r="H712" i="6" s="1"/>
  <c r="G711" i="6"/>
  <c r="H711" i="6" s="1"/>
  <c r="G710" i="6"/>
  <c r="H710" i="6" s="1"/>
  <c r="G709" i="6"/>
  <c r="H709" i="6" s="1"/>
  <c r="G708" i="6"/>
  <c r="H708" i="6" s="1"/>
  <c r="G707" i="6"/>
  <c r="H707" i="6" s="1"/>
  <c r="G706" i="6"/>
  <c r="H706" i="6" s="1"/>
  <c r="G705" i="6"/>
  <c r="H705" i="6" s="1"/>
  <c r="G704" i="6"/>
  <c r="H704" i="6" s="1"/>
  <c r="G701" i="6"/>
  <c r="H701" i="6" s="1"/>
  <c r="G700" i="6"/>
  <c r="H700" i="6" s="1"/>
  <c r="G699" i="6"/>
  <c r="H699" i="6" s="1"/>
  <c r="G698" i="6"/>
  <c r="H698" i="6" s="1"/>
  <c r="G697" i="6"/>
  <c r="H697" i="6" s="1"/>
  <c r="G696" i="6"/>
  <c r="H696" i="6" s="1"/>
  <c r="G695" i="6"/>
  <c r="H695" i="6" s="1"/>
  <c r="G694" i="6"/>
  <c r="H694" i="6" s="1"/>
  <c r="G693" i="6"/>
  <c r="H693" i="6" s="1"/>
  <c r="G692" i="6"/>
  <c r="H692" i="6" s="1"/>
  <c r="G691" i="6"/>
  <c r="H691" i="6" s="1"/>
  <c r="G690" i="6"/>
  <c r="H690" i="6" s="1"/>
  <c r="G689" i="6"/>
  <c r="H689" i="6" s="1"/>
  <c r="G688" i="6"/>
  <c r="H688" i="6" s="1"/>
  <c r="G687" i="6"/>
  <c r="H687" i="6" s="1"/>
  <c r="G686" i="6"/>
  <c r="H686" i="6" s="1"/>
  <c r="G685" i="6"/>
  <c r="H685" i="6" s="1"/>
  <c r="G684" i="6"/>
  <c r="H684" i="6" s="1"/>
  <c r="G683" i="6"/>
  <c r="H683" i="6" s="1"/>
  <c r="G682" i="6"/>
  <c r="H682" i="6" s="1"/>
  <c r="G681" i="6"/>
  <c r="H681" i="6" s="1"/>
  <c r="G680" i="6"/>
  <c r="H680" i="6" s="1"/>
  <c r="G679" i="6"/>
  <c r="H679" i="6" s="1"/>
  <c r="G678" i="6"/>
  <c r="H678" i="6" s="1"/>
  <c r="G677" i="6"/>
  <c r="H677" i="6" s="1"/>
  <c r="G676" i="6"/>
  <c r="H676" i="6" s="1"/>
  <c r="G675" i="6"/>
  <c r="H675" i="6" s="1"/>
  <c r="G674" i="6"/>
  <c r="H674" i="6" s="1"/>
  <c r="G673" i="6"/>
  <c r="H673" i="6" s="1"/>
  <c r="G672" i="6"/>
  <c r="H672" i="6" s="1"/>
  <c r="G671" i="6"/>
  <c r="H671" i="6" s="1"/>
  <c r="G670" i="6"/>
  <c r="H670" i="6" s="1"/>
  <c r="G669" i="6"/>
  <c r="H669" i="6" s="1"/>
  <c r="G668" i="6"/>
  <c r="H668" i="6" s="1"/>
  <c r="G667" i="6"/>
  <c r="H667" i="6" s="1"/>
  <c r="G666" i="6"/>
  <c r="H666" i="6" s="1"/>
  <c r="G664" i="6"/>
  <c r="H664" i="6" s="1"/>
  <c r="G663" i="6"/>
  <c r="H663" i="6" s="1"/>
  <c r="G662" i="6"/>
  <c r="H662" i="6" s="1"/>
  <c r="G661" i="6"/>
  <c r="H661" i="6" s="1"/>
  <c r="G660" i="6"/>
  <c r="H660" i="6" s="1"/>
  <c r="G659" i="6"/>
  <c r="H659" i="6" s="1"/>
  <c r="G658" i="6"/>
  <c r="H658" i="6" s="1"/>
  <c r="G657" i="6"/>
  <c r="H657" i="6" s="1"/>
  <c r="G656" i="6"/>
  <c r="H656" i="6" s="1"/>
  <c r="G655" i="6"/>
  <c r="H655" i="6" s="1"/>
  <c r="G654" i="6"/>
  <c r="H654" i="6" s="1"/>
  <c r="G653" i="6"/>
  <c r="H653" i="6" s="1"/>
  <c r="G652" i="6"/>
  <c r="H652" i="6" s="1"/>
  <c r="G651" i="6"/>
  <c r="H651" i="6" s="1"/>
  <c r="G650" i="6"/>
  <c r="H650" i="6" s="1"/>
  <c r="G648" i="6"/>
  <c r="H648" i="6" s="1"/>
  <c r="G647" i="6"/>
  <c r="H647" i="6" s="1"/>
  <c r="G646" i="6"/>
  <c r="H646" i="6" s="1"/>
  <c r="G645" i="6"/>
  <c r="H645" i="6" s="1"/>
  <c r="G644" i="6"/>
  <c r="H644" i="6" s="1"/>
  <c r="G643" i="6"/>
  <c r="H643" i="6" s="1"/>
  <c r="G642" i="6"/>
  <c r="H642" i="6" s="1"/>
  <c r="G641" i="6"/>
  <c r="H641" i="6" s="1"/>
  <c r="G640" i="6"/>
  <c r="H640" i="6" s="1"/>
  <c r="G639" i="6"/>
  <c r="H639" i="6" s="1"/>
  <c r="G637" i="6"/>
  <c r="H637" i="6" s="1"/>
  <c r="G636" i="6"/>
  <c r="H636" i="6" s="1"/>
  <c r="G634" i="6"/>
  <c r="H634" i="6" s="1"/>
  <c r="G632" i="6"/>
  <c r="H632" i="6" s="1"/>
  <c r="G631" i="6"/>
  <c r="H631" i="6" s="1"/>
  <c r="G630" i="6"/>
  <c r="H630" i="6" s="1"/>
  <c r="G629" i="6"/>
  <c r="H629" i="6" s="1"/>
  <c r="G627" i="6"/>
  <c r="H627" i="6" s="1"/>
  <c r="G625" i="6"/>
  <c r="H625" i="6" s="1"/>
  <c r="G624" i="6"/>
  <c r="H624" i="6" s="1"/>
  <c r="G622" i="6"/>
  <c r="H622" i="6" s="1"/>
  <c r="G620" i="6"/>
  <c r="H620" i="6" s="1"/>
  <c r="G619" i="6"/>
  <c r="H619" i="6" s="1"/>
  <c r="G618" i="6"/>
  <c r="H618" i="6" s="1"/>
  <c r="G617" i="6"/>
  <c r="H617" i="6" s="1"/>
  <c r="G616" i="6"/>
  <c r="H616" i="6" s="1"/>
  <c r="G615" i="6"/>
  <c r="H615" i="6" s="1"/>
  <c r="G614" i="6"/>
  <c r="H614" i="6" s="1"/>
  <c r="G613" i="6"/>
  <c r="H613" i="6" s="1"/>
  <c r="G612" i="6"/>
  <c r="H612" i="6" s="1"/>
  <c r="G611" i="6"/>
  <c r="H611" i="6" s="1"/>
  <c r="G610" i="6"/>
  <c r="H610" i="6" s="1"/>
  <c r="G608" i="6"/>
  <c r="H608" i="6" s="1"/>
  <c r="G607" i="6"/>
  <c r="H607" i="6" s="1"/>
  <c r="G606" i="6"/>
  <c r="H606" i="6" s="1"/>
  <c r="G605" i="6"/>
  <c r="H605" i="6" s="1"/>
  <c r="G604" i="6"/>
  <c r="H604" i="6" s="1"/>
  <c r="G603" i="6"/>
  <c r="H603" i="6" s="1"/>
  <c r="G602" i="6"/>
  <c r="H602" i="6" s="1"/>
  <c r="G601" i="6"/>
  <c r="H601" i="6" s="1"/>
  <c r="G599" i="6"/>
  <c r="H599" i="6" s="1"/>
  <c r="G597" i="6"/>
  <c r="H597" i="6" s="1"/>
  <c r="G595" i="6"/>
  <c r="H595" i="6" s="1"/>
  <c r="G594" i="6"/>
  <c r="H594" i="6" s="1"/>
  <c r="G592" i="6"/>
  <c r="H592" i="6" s="1"/>
  <c r="G591" i="6"/>
  <c r="H591" i="6" s="1"/>
  <c r="G589" i="6"/>
  <c r="H589" i="6" s="1"/>
  <c r="G588" i="6"/>
  <c r="H588" i="6" s="1"/>
  <c r="G586" i="6"/>
  <c r="H586" i="6" s="1"/>
  <c r="G585" i="6"/>
  <c r="H585" i="6" s="1"/>
  <c r="G583" i="6"/>
  <c r="H583" i="6" s="1"/>
  <c r="G582" i="6"/>
  <c r="H582" i="6" s="1"/>
  <c r="G581" i="6"/>
  <c r="H581" i="6" s="1"/>
  <c r="G580" i="6"/>
  <c r="H580" i="6" s="1"/>
  <c r="G578" i="6"/>
  <c r="H578" i="6" s="1"/>
  <c r="G577" i="6"/>
  <c r="H577" i="6" s="1"/>
  <c r="G575" i="6"/>
  <c r="H575" i="6" s="1"/>
  <c r="G572" i="6"/>
  <c r="H572" i="6" s="1"/>
  <c r="G571" i="6"/>
  <c r="H571" i="6" s="1"/>
  <c r="G570" i="6"/>
  <c r="H570" i="6" s="1"/>
  <c r="G569" i="6"/>
  <c r="H569" i="6" s="1"/>
  <c r="G568" i="6"/>
  <c r="H568" i="6" s="1"/>
  <c r="G567" i="6"/>
  <c r="H567" i="6" s="1"/>
  <c r="G565" i="6"/>
  <c r="H565" i="6" s="1"/>
  <c r="G563" i="6"/>
  <c r="H563" i="6" s="1"/>
  <c r="G561" i="6"/>
  <c r="H561" i="6" s="1"/>
  <c r="G560" i="6"/>
  <c r="H560" i="6" s="1"/>
  <c r="G559" i="6"/>
  <c r="H559" i="6" s="1"/>
  <c r="G557" i="6"/>
  <c r="H557" i="6" s="1"/>
  <c r="G555" i="6"/>
  <c r="H555" i="6" s="1"/>
  <c r="G554" i="6"/>
  <c r="H554" i="6" s="1"/>
  <c r="G552" i="6"/>
  <c r="H552" i="6" s="1"/>
  <c r="G550" i="6"/>
  <c r="H550" i="6" s="1"/>
  <c r="G549" i="6"/>
  <c r="H549" i="6" s="1"/>
  <c r="G547" i="6"/>
  <c r="H547" i="6" s="1"/>
  <c r="G545" i="6"/>
  <c r="H545" i="6" s="1"/>
  <c r="G544" i="6"/>
  <c r="H544" i="6" s="1"/>
  <c r="G542" i="6"/>
  <c r="H542" i="6" s="1"/>
  <c r="G541" i="6"/>
  <c r="H541" i="6" s="1"/>
  <c r="G539" i="6"/>
  <c r="H539" i="6" s="1"/>
  <c r="G537" i="6"/>
  <c r="H537" i="6" s="1"/>
  <c r="G535" i="6"/>
  <c r="H535" i="6" s="1"/>
  <c r="G533" i="6"/>
  <c r="H533" i="6" s="1"/>
  <c r="G531" i="6"/>
  <c r="H531" i="6" s="1"/>
  <c r="G529" i="6"/>
  <c r="H529" i="6" s="1"/>
  <c r="G528" i="6"/>
  <c r="H528" i="6" s="1"/>
  <c r="G527" i="6"/>
  <c r="H527" i="6" s="1"/>
  <c r="G525" i="6"/>
  <c r="H525" i="6" s="1"/>
  <c r="G524" i="6"/>
  <c r="H524" i="6" s="1"/>
  <c r="G523" i="6"/>
  <c r="H523" i="6" s="1"/>
  <c r="G521" i="6"/>
  <c r="H521" i="6" s="1"/>
  <c r="G520" i="6"/>
  <c r="H520" i="6" s="1"/>
  <c r="G518" i="6"/>
  <c r="H518" i="6" s="1"/>
  <c r="G516" i="6"/>
  <c r="H516" i="6" s="1"/>
  <c r="G514" i="6"/>
  <c r="H514" i="6" s="1"/>
  <c r="G512" i="6"/>
  <c r="H512" i="6" s="1"/>
  <c r="G510" i="6"/>
  <c r="H510" i="6" s="1"/>
  <c r="G508" i="6"/>
  <c r="H508" i="6" s="1"/>
  <c r="G506" i="6"/>
  <c r="H506" i="6" s="1"/>
  <c r="G504" i="6"/>
  <c r="H504" i="6" s="1"/>
  <c r="G502" i="6"/>
  <c r="H502" i="6" s="1"/>
  <c r="G500" i="6"/>
  <c r="H500" i="6" s="1"/>
  <c r="G498" i="6"/>
  <c r="H498" i="6" s="1"/>
  <c r="G496" i="6"/>
  <c r="H496" i="6" s="1"/>
  <c r="G494" i="6"/>
  <c r="H494" i="6" s="1"/>
  <c r="G492" i="6"/>
  <c r="H492" i="6" s="1"/>
  <c r="G490" i="6"/>
  <c r="H490" i="6" s="1"/>
  <c r="G488" i="6"/>
  <c r="H488" i="6" s="1"/>
  <c r="G486" i="6"/>
  <c r="H486" i="6" s="1"/>
  <c r="G484" i="6"/>
  <c r="H484" i="6" s="1"/>
  <c r="G482" i="6"/>
  <c r="H482" i="6" s="1"/>
  <c r="G480" i="6"/>
  <c r="H480" i="6" s="1"/>
  <c r="G478" i="6"/>
  <c r="H478" i="6" s="1"/>
  <c r="G476" i="6"/>
  <c r="H476" i="6" s="1"/>
  <c r="G475" i="6"/>
  <c r="H475" i="6" s="1"/>
  <c r="G473" i="6"/>
  <c r="H473" i="6" s="1"/>
  <c r="G471" i="6"/>
  <c r="H471" i="6" s="1"/>
  <c r="G469" i="6"/>
  <c r="H469" i="6" s="1"/>
  <c r="G467" i="6"/>
  <c r="H467" i="6" s="1"/>
  <c r="G465" i="6"/>
  <c r="H465" i="6" s="1"/>
  <c r="G464" i="6"/>
  <c r="H464" i="6" s="1"/>
  <c r="G463" i="6"/>
  <c r="H463" i="6" s="1"/>
  <c r="G461" i="6"/>
  <c r="H461" i="6" s="1"/>
  <c r="G460" i="6"/>
  <c r="H460" i="6" s="1"/>
  <c r="G458" i="6"/>
  <c r="H458" i="6" s="1"/>
  <c r="G456" i="6"/>
  <c r="H456" i="6" s="1"/>
  <c r="G455" i="6"/>
  <c r="H455" i="6" s="1"/>
  <c r="G453" i="6"/>
  <c r="H453" i="6" s="1"/>
  <c r="G452" i="6"/>
  <c r="H452" i="6" s="1"/>
  <c r="G450" i="6"/>
  <c r="H450" i="6" s="1"/>
  <c r="G449" i="6"/>
  <c r="H449" i="6" s="1"/>
  <c r="G447" i="6"/>
  <c r="H447" i="6" s="1"/>
  <c r="G446" i="6"/>
  <c r="H446" i="6" s="1"/>
  <c r="G444" i="6"/>
  <c r="H444" i="6" s="1"/>
  <c r="G443" i="6"/>
  <c r="H443" i="6" s="1"/>
  <c r="G442" i="6"/>
  <c r="H442" i="6" s="1"/>
  <c r="G439" i="6"/>
  <c r="H439" i="6" s="1"/>
  <c r="G438" i="6"/>
  <c r="H438" i="6" s="1"/>
  <c r="G437" i="6"/>
  <c r="H437" i="6" s="1"/>
  <c r="G436" i="6"/>
  <c r="H436" i="6" s="1"/>
  <c r="G435" i="6"/>
  <c r="H435" i="6" s="1"/>
  <c r="G434" i="6"/>
  <c r="H434" i="6" s="1"/>
  <c r="G433" i="6"/>
  <c r="H433" i="6" s="1"/>
  <c r="G432" i="6"/>
  <c r="H432" i="6" s="1"/>
  <c r="G431" i="6"/>
  <c r="H431" i="6" s="1"/>
  <c r="G430" i="6"/>
  <c r="H430" i="6" s="1"/>
  <c r="G429" i="6"/>
  <c r="H429" i="6" s="1"/>
  <c r="G428" i="6"/>
  <c r="H428" i="6" s="1"/>
  <c r="G427" i="6"/>
  <c r="H427" i="6" s="1"/>
  <c r="G426" i="6"/>
  <c r="H426" i="6" s="1"/>
  <c r="G425" i="6"/>
  <c r="H425" i="6" s="1"/>
  <c r="G424" i="6"/>
  <c r="H424" i="6" s="1"/>
  <c r="G423" i="6"/>
  <c r="H423" i="6" s="1"/>
  <c r="G422" i="6"/>
  <c r="H422" i="6" s="1"/>
  <c r="G421" i="6"/>
  <c r="H421" i="6" s="1"/>
  <c r="G420" i="6"/>
  <c r="H420" i="6" s="1"/>
  <c r="G419" i="6"/>
  <c r="H419" i="6" s="1"/>
  <c r="G418" i="6"/>
  <c r="H418" i="6" s="1"/>
  <c r="G417" i="6"/>
  <c r="H417" i="6" s="1"/>
  <c r="G416" i="6"/>
  <c r="H416" i="6" s="1"/>
  <c r="G415" i="6"/>
  <c r="H415" i="6" s="1"/>
  <c r="G414" i="6"/>
  <c r="H414" i="6" s="1"/>
  <c r="G413" i="6"/>
  <c r="H413" i="6" s="1"/>
  <c r="G412" i="6"/>
  <c r="H412" i="6" s="1"/>
  <c r="G411" i="6"/>
  <c r="H411" i="6" s="1"/>
  <c r="G410" i="6"/>
  <c r="H410" i="6" s="1"/>
  <c r="G409" i="6"/>
  <c r="H409" i="6" s="1"/>
  <c r="G408" i="6"/>
  <c r="H408" i="6" s="1"/>
  <c r="G407" i="6"/>
  <c r="H407" i="6" s="1"/>
  <c r="G406" i="6"/>
  <c r="H406" i="6" s="1"/>
  <c r="G405" i="6"/>
  <c r="H405" i="6" s="1"/>
  <c r="G404" i="6"/>
  <c r="H404" i="6" s="1"/>
  <c r="G403" i="6"/>
  <c r="H403" i="6" s="1"/>
  <c r="G402" i="6"/>
  <c r="H402" i="6" s="1"/>
  <c r="G401" i="6"/>
  <c r="H401" i="6" s="1"/>
  <c r="G400" i="6"/>
  <c r="H400" i="6" s="1"/>
  <c r="G399" i="6"/>
  <c r="H399" i="6" s="1"/>
  <c r="G398" i="6"/>
  <c r="H398" i="6" s="1"/>
  <c r="G397" i="6"/>
  <c r="H397" i="6" s="1"/>
  <c r="G396" i="6"/>
  <c r="H396" i="6" s="1"/>
  <c r="G395" i="6"/>
  <c r="H395" i="6" s="1"/>
  <c r="G394" i="6"/>
  <c r="H394" i="6" s="1"/>
  <c r="G393" i="6"/>
  <c r="H393" i="6" s="1"/>
  <c r="G392" i="6"/>
  <c r="H392" i="6" s="1"/>
  <c r="G391" i="6"/>
  <c r="H391" i="6" s="1"/>
  <c r="G390" i="6"/>
  <c r="H390" i="6" s="1"/>
  <c r="G389" i="6"/>
  <c r="H389" i="6" s="1"/>
  <c r="G388" i="6"/>
  <c r="H388" i="6" s="1"/>
  <c r="G387" i="6"/>
  <c r="H387" i="6" s="1"/>
  <c r="G386" i="6"/>
  <c r="H386" i="6" s="1"/>
  <c r="G385" i="6"/>
  <c r="H385" i="6" s="1"/>
  <c r="G384" i="6"/>
  <c r="H384" i="6" s="1"/>
  <c r="G383" i="6"/>
  <c r="H383" i="6" s="1"/>
  <c r="G382" i="6"/>
  <c r="H382" i="6" s="1"/>
  <c r="G381" i="6"/>
  <c r="H381" i="6" s="1"/>
  <c r="G380" i="6"/>
  <c r="H380" i="6" s="1"/>
  <c r="G379" i="6"/>
  <c r="H379" i="6" s="1"/>
  <c r="G378" i="6"/>
  <c r="H378" i="6" s="1"/>
  <c r="G377" i="6"/>
  <c r="H377" i="6" s="1"/>
  <c r="G376" i="6"/>
  <c r="H376" i="6" s="1"/>
  <c r="G375" i="6"/>
  <c r="H375" i="6" s="1"/>
  <c r="G374" i="6"/>
  <c r="H374" i="6" s="1"/>
  <c r="G373" i="6"/>
  <c r="H373" i="6" s="1"/>
  <c r="G372" i="6"/>
  <c r="H372" i="6" s="1"/>
  <c r="G371" i="6"/>
  <c r="H371" i="6" s="1"/>
  <c r="G370" i="6"/>
  <c r="H370" i="6" s="1"/>
  <c r="G369" i="6"/>
  <c r="H369" i="6" s="1"/>
  <c r="G368" i="6"/>
  <c r="H368" i="6" s="1"/>
  <c r="G367" i="6"/>
  <c r="H367" i="6" s="1"/>
  <c r="G366" i="6"/>
  <c r="H366" i="6" s="1"/>
  <c r="G365" i="6"/>
  <c r="H365" i="6" s="1"/>
  <c r="G364" i="6"/>
  <c r="H364" i="6" s="1"/>
  <c r="G363" i="6"/>
  <c r="H363" i="6" s="1"/>
  <c r="G362" i="6"/>
  <c r="H362" i="6" s="1"/>
  <c r="G361" i="6"/>
  <c r="H361" i="6" s="1"/>
  <c r="G360" i="6"/>
  <c r="H360" i="6" s="1"/>
  <c r="G359" i="6"/>
  <c r="H359" i="6" s="1"/>
  <c r="G358" i="6"/>
  <c r="H358" i="6" s="1"/>
  <c r="G357" i="6"/>
  <c r="H357" i="6" s="1"/>
  <c r="G356" i="6"/>
  <c r="H356" i="6" s="1"/>
  <c r="G355" i="6"/>
  <c r="H355" i="6" s="1"/>
  <c r="G354" i="6"/>
  <c r="H354" i="6" s="1"/>
  <c r="G353" i="6"/>
  <c r="H353" i="6" s="1"/>
  <c r="G352" i="6"/>
  <c r="H352" i="6" s="1"/>
  <c r="G349" i="6"/>
  <c r="H349" i="6" s="1"/>
  <c r="G348" i="6"/>
  <c r="H348" i="6" s="1"/>
  <c r="G347" i="6"/>
  <c r="H347" i="6" s="1"/>
  <c r="G346" i="6"/>
  <c r="H346" i="6" s="1"/>
  <c r="G345" i="6"/>
  <c r="H345" i="6" s="1"/>
  <c r="G344" i="6"/>
  <c r="H344" i="6" s="1"/>
  <c r="G343" i="6"/>
  <c r="H343" i="6" s="1"/>
  <c r="G342" i="6"/>
  <c r="H342" i="6" s="1"/>
  <c r="G341" i="6"/>
  <c r="H341" i="6" s="1"/>
  <c r="G340" i="6"/>
  <c r="H340" i="6" s="1"/>
  <c r="G339" i="6"/>
  <c r="H339" i="6" s="1"/>
  <c r="G338" i="6"/>
  <c r="H338" i="6" s="1"/>
  <c r="G337" i="6"/>
  <c r="H337" i="6" s="1"/>
  <c r="G336" i="6"/>
  <c r="H336" i="6" s="1"/>
  <c r="G335" i="6"/>
  <c r="H335" i="6" s="1"/>
  <c r="G334" i="6"/>
  <c r="H334" i="6" s="1"/>
  <c r="G333" i="6"/>
  <c r="H333" i="6" s="1"/>
  <c r="G332" i="6"/>
  <c r="H332" i="6" s="1"/>
  <c r="G331" i="6"/>
  <c r="H331" i="6" s="1"/>
  <c r="G330" i="6"/>
  <c r="H330" i="6" s="1"/>
  <c r="G329" i="6"/>
  <c r="H329" i="6" s="1"/>
  <c r="G328" i="6"/>
  <c r="H328" i="6" s="1"/>
  <c r="G327" i="6"/>
  <c r="H327" i="6" s="1"/>
  <c r="G326" i="6"/>
  <c r="H326" i="6" s="1"/>
  <c r="G325" i="6"/>
  <c r="H325" i="6" s="1"/>
  <c r="G324" i="6"/>
  <c r="H324" i="6" s="1"/>
  <c r="G323" i="6"/>
  <c r="H323" i="6" s="1"/>
  <c r="G322" i="6"/>
  <c r="H322" i="6" s="1"/>
  <c r="G321" i="6"/>
  <c r="H321" i="6" s="1"/>
  <c r="G320" i="6"/>
  <c r="H320" i="6" s="1"/>
  <c r="G319" i="6"/>
  <c r="H319" i="6" s="1"/>
  <c r="G318" i="6"/>
  <c r="H318" i="6" s="1"/>
  <c r="G317" i="6"/>
  <c r="H317" i="6" s="1"/>
  <c r="G316" i="6"/>
  <c r="H316" i="6" s="1"/>
  <c r="G315" i="6"/>
  <c r="H315" i="6" s="1"/>
  <c r="G314" i="6"/>
  <c r="H314" i="6" s="1"/>
  <c r="G313" i="6"/>
  <c r="H313" i="6" s="1"/>
  <c r="G312" i="6"/>
  <c r="H312" i="6" s="1"/>
  <c r="G311" i="6"/>
  <c r="H311" i="6" s="1"/>
  <c r="G310" i="6"/>
  <c r="H310" i="6" s="1"/>
  <c r="G309" i="6"/>
  <c r="H309" i="6" s="1"/>
  <c r="G308" i="6"/>
  <c r="H308" i="6" s="1"/>
  <c r="G307" i="6"/>
  <c r="H307" i="6" s="1"/>
  <c r="G306" i="6"/>
  <c r="H306" i="6" s="1"/>
  <c r="G305" i="6"/>
  <c r="H305" i="6" s="1"/>
  <c r="G303" i="6"/>
  <c r="H303" i="6" s="1"/>
  <c r="G302" i="6"/>
  <c r="H302" i="6" s="1"/>
  <c r="G301" i="6"/>
  <c r="H301" i="6" s="1"/>
  <c r="G300" i="6"/>
  <c r="H300" i="6" s="1"/>
  <c r="G299" i="6"/>
  <c r="H299" i="6" s="1"/>
  <c r="G298" i="6"/>
  <c r="H298" i="6" s="1"/>
  <c r="G297" i="6"/>
  <c r="H297" i="6" s="1"/>
  <c r="G296" i="6"/>
  <c r="H296" i="6" s="1"/>
  <c r="G295" i="6"/>
  <c r="H295" i="6" s="1"/>
  <c r="G294" i="6"/>
  <c r="H294" i="6" s="1"/>
  <c r="G293" i="6"/>
  <c r="H293" i="6" s="1"/>
  <c r="G292" i="6"/>
  <c r="H292" i="6" s="1"/>
  <c r="G291" i="6"/>
  <c r="H291" i="6" s="1"/>
  <c r="G290" i="6"/>
  <c r="H290" i="6" s="1"/>
  <c r="G289" i="6"/>
  <c r="H289" i="6" s="1"/>
  <c r="G288" i="6"/>
  <c r="H288" i="6" s="1"/>
  <c r="G287" i="6"/>
  <c r="H287" i="6" s="1"/>
  <c r="G286" i="6"/>
  <c r="H286" i="6" s="1"/>
  <c r="G285" i="6"/>
  <c r="H285" i="6" s="1"/>
  <c r="G284" i="6"/>
  <c r="H284" i="6" s="1"/>
  <c r="G283" i="6"/>
  <c r="H283" i="6" s="1"/>
  <c r="G282" i="6"/>
  <c r="H282" i="6" s="1"/>
  <c r="G281" i="6"/>
  <c r="H281" i="6" s="1"/>
  <c r="G280" i="6"/>
  <c r="H280" i="6" s="1"/>
  <c r="G279" i="6"/>
  <c r="H279" i="6" s="1"/>
  <c r="G278" i="6"/>
  <c r="H278" i="6" s="1"/>
  <c r="G277" i="6"/>
  <c r="H277" i="6" s="1"/>
  <c r="G276" i="6"/>
  <c r="H276" i="6" s="1"/>
  <c r="G275" i="6"/>
  <c r="H275" i="6" s="1"/>
  <c r="G274" i="6"/>
  <c r="H274" i="6" s="1"/>
  <c r="G273" i="6"/>
  <c r="H273" i="6" s="1"/>
  <c r="G272" i="6"/>
  <c r="H272" i="6" s="1"/>
  <c r="G271" i="6"/>
  <c r="H271" i="6" s="1"/>
  <c r="G270" i="6"/>
  <c r="H270" i="6" s="1"/>
  <c r="G269" i="6"/>
  <c r="H269" i="6" s="1"/>
  <c r="G268" i="6"/>
  <c r="H268" i="6" s="1"/>
  <c r="G267" i="6"/>
  <c r="H267" i="6" s="1"/>
  <c r="G266" i="6"/>
  <c r="H266" i="6" s="1"/>
  <c r="G265" i="6"/>
  <c r="H265" i="6" s="1"/>
  <c r="G264" i="6"/>
  <c r="H264" i="6" s="1"/>
  <c r="G263" i="6"/>
  <c r="H263" i="6" s="1"/>
  <c r="G262" i="6"/>
  <c r="H262" i="6" s="1"/>
  <c r="G261" i="6"/>
  <c r="H261" i="6" s="1"/>
  <c r="G260" i="6"/>
  <c r="H260" i="6" s="1"/>
  <c r="G259" i="6"/>
  <c r="H259" i="6" s="1"/>
  <c r="G257" i="6"/>
  <c r="H257" i="6" s="1"/>
  <c r="G256" i="6"/>
  <c r="H256" i="6" s="1"/>
  <c r="G255" i="6"/>
  <c r="H255" i="6" s="1"/>
  <c r="G254" i="6"/>
  <c r="H254" i="6" s="1"/>
  <c r="G253" i="6"/>
  <c r="H253" i="6" s="1"/>
  <c r="G252" i="6"/>
  <c r="H252" i="6" s="1"/>
  <c r="G251" i="6"/>
  <c r="H251" i="6" s="1"/>
  <c r="G250" i="6"/>
  <c r="H250" i="6" s="1"/>
  <c r="G249" i="6"/>
  <c r="H249" i="6" s="1"/>
  <c r="G248" i="6"/>
  <c r="H248" i="6" s="1"/>
  <c r="G247" i="6"/>
  <c r="H247" i="6" s="1"/>
  <c r="G246" i="6"/>
  <c r="H246" i="6" s="1"/>
  <c r="G245" i="6"/>
  <c r="H245" i="6" s="1"/>
  <c r="G244" i="6"/>
  <c r="H244" i="6" s="1"/>
  <c r="G243" i="6"/>
  <c r="H243" i="6" s="1"/>
  <c r="G242" i="6"/>
  <c r="H242" i="6" s="1"/>
  <c r="G241" i="6"/>
  <c r="H241" i="6" s="1"/>
  <c r="G240" i="6"/>
  <c r="H240" i="6" s="1"/>
  <c r="G239" i="6"/>
  <c r="H239" i="6" s="1"/>
  <c r="G238" i="6"/>
  <c r="H238" i="6" s="1"/>
  <c r="G237" i="6"/>
  <c r="H237" i="6" s="1"/>
  <c r="G236" i="6"/>
  <c r="H236" i="6" s="1"/>
  <c r="G235" i="6"/>
  <c r="H235" i="6" s="1"/>
  <c r="G234" i="6"/>
  <c r="H234" i="6" s="1"/>
  <c r="G233" i="6"/>
  <c r="H233" i="6" s="1"/>
  <c r="G232" i="6"/>
  <c r="H232" i="6" s="1"/>
  <c r="G231" i="6"/>
  <c r="H231" i="6" s="1"/>
  <c r="G230" i="6"/>
  <c r="H230" i="6" s="1"/>
  <c r="G229" i="6"/>
  <c r="H229" i="6" s="1"/>
  <c r="G228" i="6"/>
  <c r="H228" i="6" s="1"/>
  <c r="G227" i="6"/>
  <c r="H227" i="6" s="1"/>
  <c r="G226" i="6"/>
  <c r="H226" i="6" s="1"/>
  <c r="G225" i="6"/>
  <c r="H225" i="6" s="1"/>
  <c r="G224" i="6"/>
  <c r="H224" i="6" s="1"/>
  <c r="G223" i="6"/>
  <c r="H223" i="6" s="1"/>
  <c r="G222" i="6"/>
  <c r="H222" i="6" s="1"/>
  <c r="G221" i="6"/>
  <c r="H221" i="6" s="1"/>
  <c r="G220" i="6"/>
  <c r="H220" i="6" s="1"/>
  <c r="G219" i="6"/>
  <c r="H219" i="6" s="1"/>
  <c r="G218" i="6"/>
  <c r="H218" i="6" s="1"/>
  <c r="G217" i="6"/>
  <c r="H217" i="6" s="1"/>
  <c r="G216" i="6"/>
  <c r="H216" i="6" s="1"/>
  <c r="G215" i="6"/>
  <c r="H215" i="6" s="1"/>
  <c r="G214" i="6"/>
  <c r="H214" i="6" s="1"/>
  <c r="G213" i="6"/>
  <c r="H213" i="6" s="1"/>
  <c r="G212" i="6"/>
  <c r="H212" i="6" s="1"/>
  <c r="G210" i="6"/>
  <c r="H210" i="6" s="1"/>
  <c r="G209" i="6"/>
  <c r="H209" i="6" s="1"/>
  <c r="G208" i="6"/>
  <c r="H208" i="6" s="1"/>
  <c r="G207" i="6"/>
  <c r="H207" i="6" s="1"/>
  <c r="G206" i="6"/>
  <c r="H206" i="6" s="1"/>
  <c r="G205" i="6"/>
  <c r="H205" i="6" s="1"/>
  <c r="G204" i="6"/>
  <c r="H204" i="6" s="1"/>
  <c r="G203" i="6"/>
  <c r="H203" i="6" s="1"/>
  <c r="G202" i="6"/>
  <c r="H202" i="6" s="1"/>
  <c r="G201" i="6"/>
  <c r="H201" i="6" s="1"/>
  <c r="G200" i="6"/>
  <c r="H200" i="6" s="1"/>
  <c r="G199" i="6"/>
  <c r="H199" i="6" s="1"/>
  <c r="G198" i="6"/>
  <c r="H198" i="6" s="1"/>
  <c r="G197" i="6"/>
  <c r="H197" i="6" s="1"/>
  <c r="G196" i="6"/>
  <c r="H196" i="6" s="1"/>
  <c r="G195" i="6"/>
  <c r="H195" i="6" s="1"/>
  <c r="G194" i="6"/>
  <c r="H194" i="6" s="1"/>
  <c r="G193" i="6"/>
  <c r="H193" i="6" s="1"/>
  <c r="G192" i="6"/>
  <c r="H192" i="6" s="1"/>
  <c r="G191" i="6"/>
  <c r="H191" i="6" s="1"/>
  <c r="G190" i="6"/>
  <c r="H190" i="6" s="1"/>
  <c r="G189" i="6"/>
  <c r="H189" i="6" s="1"/>
  <c r="G188" i="6"/>
  <c r="H188" i="6" s="1"/>
  <c r="G187" i="6"/>
  <c r="H187" i="6" s="1"/>
  <c r="G186" i="6"/>
  <c r="H186" i="6" s="1"/>
  <c r="G185" i="6"/>
  <c r="H185" i="6" s="1"/>
  <c r="G184" i="6"/>
  <c r="H184" i="6" s="1"/>
  <c r="G183" i="6"/>
  <c r="H183" i="6" s="1"/>
  <c r="G182" i="6"/>
  <c r="H182" i="6" s="1"/>
  <c r="G181" i="6"/>
  <c r="H181" i="6" s="1"/>
  <c r="G180" i="6"/>
  <c r="H180" i="6" s="1"/>
  <c r="G179" i="6"/>
  <c r="H179" i="6" s="1"/>
  <c r="G178" i="6"/>
  <c r="H178" i="6" s="1"/>
  <c r="G177" i="6"/>
  <c r="H177" i="6" s="1"/>
  <c r="G176" i="6"/>
  <c r="H176" i="6" s="1"/>
  <c r="G175" i="6"/>
  <c r="H175" i="6" s="1"/>
  <c r="G174" i="6"/>
  <c r="H174" i="6" s="1"/>
  <c r="G173" i="6"/>
  <c r="H173" i="6" s="1"/>
  <c r="G172" i="6"/>
  <c r="H172" i="6" s="1"/>
  <c r="G171" i="6"/>
  <c r="H171" i="6" s="1"/>
  <c r="G170" i="6"/>
  <c r="H170" i="6" s="1"/>
  <c r="G169" i="6"/>
  <c r="H169" i="6" s="1"/>
  <c r="G168" i="6"/>
  <c r="H168" i="6" s="1"/>
  <c r="G167" i="6"/>
  <c r="H167" i="6" s="1"/>
  <c r="G166" i="6"/>
  <c r="H166" i="6" s="1"/>
  <c r="G164" i="6"/>
  <c r="H164" i="6" s="1"/>
  <c r="G163" i="6"/>
  <c r="H163" i="6" s="1"/>
  <c r="G162" i="6"/>
  <c r="H162" i="6" s="1"/>
  <c r="G161" i="6"/>
  <c r="H161" i="6" s="1"/>
  <c r="G160" i="6"/>
  <c r="H160" i="6" s="1"/>
  <c r="G159" i="6"/>
  <c r="H159" i="6" s="1"/>
  <c r="G158" i="6"/>
  <c r="H158" i="6" s="1"/>
  <c r="G157" i="6"/>
  <c r="H157" i="6" s="1"/>
  <c r="G156" i="6"/>
  <c r="H156" i="6" s="1"/>
  <c r="G155" i="6"/>
  <c r="H155" i="6" s="1"/>
  <c r="G154" i="6"/>
  <c r="H154" i="6" s="1"/>
  <c r="G153" i="6"/>
  <c r="H153" i="6" s="1"/>
  <c r="G152" i="6"/>
  <c r="H152" i="6" s="1"/>
  <c r="G149" i="6"/>
  <c r="H149" i="6" s="1"/>
  <c r="G148" i="6"/>
  <c r="H148" i="6" s="1"/>
  <c r="G147" i="6"/>
  <c r="H147" i="6" s="1"/>
  <c r="G146" i="6"/>
  <c r="H146" i="6" s="1"/>
  <c r="G145" i="6"/>
  <c r="H145" i="6" s="1"/>
  <c r="G144" i="6"/>
  <c r="H144" i="6" s="1"/>
  <c r="G143" i="6"/>
  <c r="H143" i="6" s="1"/>
  <c r="G142" i="6"/>
  <c r="H142" i="6" s="1"/>
  <c r="G141" i="6"/>
  <c r="H141" i="6" s="1"/>
  <c r="G140" i="6"/>
  <c r="H140" i="6" s="1"/>
  <c r="G139" i="6"/>
  <c r="H139" i="6" s="1"/>
  <c r="G138" i="6"/>
  <c r="H138" i="6" s="1"/>
  <c r="G137" i="6"/>
  <c r="H137" i="6" s="1"/>
  <c r="G136" i="6"/>
  <c r="H136" i="6" s="1"/>
  <c r="G135" i="6"/>
  <c r="H135" i="6" s="1"/>
  <c r="G134" i="6"/>
  <c r="H134" i="6" s="1"/>
  <c r="G133" i="6"/>
  <c r="H133" i="6" s="1"/>
  <c r="G132" i="6"/>
  <c r="H132" i="6" s="1"/>
  <c r="G131" i="6"/>
  <c r="H131" i="6" s="1"/>
  <c r="G130" i="6"/>
  <c r="H130" i="6" s="1"/>
  <c r="G129" i="6"/>
  <c r="H129" i="6" s="1"/>
  <c r="G128" i="6"/>
  <c r="H128" i="6" s="1"/>
  <c r="G127" i="6"/>
  <c r="H127" i="6" s="1"/>
  <c r="G126" i="6"/>
  <c r="H126" i="6" s="1"/>
  <c r="G125" i="6"/>
  <c r="H125" i="6" s="1"/>
  <c r="G124" i="6"/>
  <c r="H124" i="6" s="1"/>
  <c r="G123" i="6"/>
  <c r="H123" i="6" s="1"/>
  <c r="G122" i="6"/>
  <c r="H122" i="6" s="1"/>
  <c r="G121" i="6"/>
  <c r="H121" i="6" s="1"/>
  <c r="G120" i="6"/>
  <c r="H120" i="6" s="1"/>
  <c r="G118" i="6"/>
  <c r="H118" i="6" s="1"/>
  <c r="G117" i="6"/>
  <c r="H117" i="6" s="1"/>
  <c r="G116" i="6"/>
  <c r="H116" i="6" s="1"/>
  <c r="G115" i="6"/>
  <c r="H115" i="6" s="1"/>
  <c r="G114" i="6"/>
  <c r="H114" i="6" s="1"/>
  <c r="G113" i="6"/>
  <c r="H113" i="6" s="1"/>
  <c r="G112" i="6"/>
  <c r="H112" i="6" s="1"/>
  <c r="G111" i="6"/>
  <c r="H111" i="6" s="1"/>
  <c r="G110" i="6"/>
  <c r="H110" i="6" s="1"/>
  <c r="G109" i="6"/>
  <c r="H109" i="6" s="1"/>
  <c r="G108" i="6"/>
  <c r="H108" i="6" s="1"/>
  <c r="G107" i="6"/>
  <c r="H107" i="6" s="1"/>
  <c r="G106" i="6"/>
  <c r="H106" i="6" s="1"/>
  <c r="G105" i="6"/>
  <c r="H105" i="6" s="1"/>
  <c r="G104" i="6"/>
  <c r="H104" i="6" s="1"/>
  <c r="G103" i="6"/>
  <c r="H103" i="6" s="1"/>
  <c r="G102" i="6"/>
  <c r="H102" i="6" s="1"/>
  <c r="G101" i="6"/>
  <c r="H101" i="6" s="1"/>
  <c r="G100" i="6"/>
  <c r="H100" i="6" s="1"/>
  <c r="G99" i="6"/>
  <c r="H99" i="6" s="1"/>
  <c r="G98" i="6"/>
  <c r="H98" i="6" s="1"/>
  <c r="G97" i="6"/>
  <c r="H97" i="6" s="1"/>
  <c r="G95" i="6"/>
  <c r="H95" i="6" s="1"/>
  <c r="G94" i="6"/>
  <c r="H94" i="6" s="1"/>
  <c r="G93" i="6"/>
  <c r="H93" i="6" s="1"/>
  <c r="G92" i="6"/>
  <c r="H92" i="6" s="1"/>
  <c r="G91" i="6"/>
  <c r="H91" i="6" s="1"/>
  <c r="G90" i="6"/>
  <c r="H90" i="6" s="1"/>
  <c r="G89" i="6"/>
  <c r="H89" i="6" s="1"/>
  <c r="G88" i="6"/>
  <c r="H88" i="6" s="1"/>
  <c r="G87" i="6"/>
  <c r="H87" i="6" s="1"/>
  <c r="G86" i="6"/>
  <c r="H86" i="6" s="1"/>
  <c r="G85" i="6"/>
  <c r="H85" i="6" s="1"/>
  <c r="G84" i="6"/>
  <c r="H84" i="6" s="1"/>
  <c r="G83" i="6"/>
  <c r="H83" i="6" s="1"/>
  <c r="G82" i="6"/>
  <c r="H82" i="6" s="1"/>
  <c r="G81" i="6"/>
  <c r="H81" i="6" s="1"/>
  <c r="G80" i="6"/>
  <c r="H80" i="6" s="1"/>
  <c r="G79" i="6"/>
  <c r="H79" i="6" s="1"/>
  <c r="G78" i="6"/>
  <c r="H78" i="6" s="1"/>
  <c r="G77" i="6"/>
  <c r="H77" i="6" s="1"/>
  <c r="G76" i="6"/>
  <c r="H76" i="6" s="1"/>
  <c r="G75" i="6"/>
  <c r="H75" i="6" s="1"/>
  <c r="G74" i="6"/>
  <c r="H74" i="6" s="1"/>
  <c r="G73" i="6"/>
  <c r="H73" i="6" s="1"/>
  <c r="G72" i="6"/>
  <c r="H72" i="6" s="1"/>
  <c r="G71" i="6"/>
  <c r="H71" i="6" s="1"/>
  <c r="G70" i="6"/>
  <c r="H70" i="6" s="1"/>
  <c r="G69" i="6"/>
  <c r="H69" i="6" s="1"/>
  <c r="G68" i="6"/>
  <c r="H68" i="6" s="1"/>
  <c r="G67" i="6"/>
  <c r="H67" i="6" s="1"/>
  <c r="G66" i="6"/>
  <c r="H66" i="6" s="1"/>
  <c r="G65" i="6"/>
  <c r="H65" i="6" s="1"/>
  <c r="G64" i="6"/>
  <c r="H64" i="6" s="1"/>
  <c r="G63" i="6"/>
  <c r="H63" i="6" s="1"/>
  <c r="G62" i="6"/>
  <c r="H62" i="6" s="1"/>
  <c r="G61" i="6"/>
  <c r="H61" i="6" s="1"/>
  <c r="G60" i="6"/>
  <c r="H60" i="6" s="1"/>
  <c r="G59" i="6"/>
  <c r="H59" i="6" s="1"/>
  <c r="G58" i="6"/>
  <c r="H58" i="6" s="1"/>
  <c r="G57" i="6"/>
  <c r="H57" i="6" s="1"/>
  <c r="G56" i="6"/>
  <c r="H56" i="6" s="1"/>
  <c r="G55" i="6"/>
  <c r="H55" i="6" s="1"/>
  <c r="G54" i="6"/>
  <c r="H54" i="6" s="1"/>
  <c r="G53" i="6"/>
  <c r="H53" i="6" s="1"/>
  <c r="G52" i="6"/>
  <c r="H52" i="6" s="1"/>
  <c r="G51" i="6"/>
  <c r="H51" i="6" s="1"/>
  <c r="G50" i="6"/>
  <c r="H50" i="6" s="1"/>
  <c r="G49" i="6"/>
  <c r="H49" i="6" s="1"/>
  <c r="G48" i="6"/>
  <c r="H48" i="6" s="1"/>
  <c r="G47" i="6"/>
  <c r="H47" i="6" s="1"/>
  <c r="G46" i="6"/>
  <c r="H46" i="6" s="1"/>
  <c r="G45" i="6"/>
  <c r="H45" i="6" s="1"/>
  <c r="G43" i="6"/>
  <c r="H43" i="6" s="1"/>
  <c r="G42" i="6"/>
  <c r="H42" i="6" s="1"/>
  <c r="G41" i="6"/>
  <c r="H41" i="6" s="1"/>
  <c r="G40" i="6"/>
  <c r="H40" i="6" s="1"/>
  <c r="G39" i="6"/>
  <c r="H39" i="6" s="1"/>
  <c r="G38" i="6"/>
  <c r="H38" i="6" s="1"/>
  <c r="G37" i="6"/>
  <c r="H37" i="6" s="1"/>
  <c r="G36" i="6"/>
  <c r="H36" i="6" s="1"/>
  <c r="G34" i="6"/>
  <c r="H34" i="6" s="1"/>
  <c r="G33" i="6"/>
  <c r="H33" i="6" s="1"/>
  <c r="G32" i="6"/>
  <c r="H32" i="6" s="1"/>
  <c r="G31" i="6"/>
  <c r="H31" i="6" s="1"/>
  <c r="G30" i="6"/>
  <c r="H30" i="6" s="1"/>
  <c r="G29" i="6"/>
  <c r="H29" i="6" s="1"/>
  <c r="G28" i="6"/>
  <c r="H28" i="6" s="1"/>
  <c r="G27" i="6"/>
  <c r="H27" i="6" s="1"/>
  <c r="G26" i="6"/>
  <c r="H26" i="6" s="1"/>
  <c r="G25" i="6"/>
  <c r="H25" i="6" s="1"/>
  <c r="G24" i="6"/>
  <c r="H24" i="6" s="1"/>
  <c r="G23" i="6"/>
  <c r="H23" i="6" s="1"/>
  <c r="G22" i="6"/>
  <c r="H22" i="6" s="1"/>
  <c r="G21" i="6"/>
  <c r="H21" i="6" s="1"/>
  <c r="G20" i="6"/>
  <c r="H20" i="6" s="1"/>
  <c r="G19" i="6"/>
  <c r="H19" i="6" s="1"/>
  <c r="G18" i="6"/>
  <c r="H18" i="6" s="1"/>
  <c r="G17" i="6"/>
  <c r="H17" i="6" s="1"/>
  <c r="G16" i="6"/>
  <c r="H16" i="6" s="1"/>
  <c r="G15" i="6"/>
  <c r="H15" i="6" s="1"/>
  <c r="G14" i="6"/>
  <c r="H14" i="6" s="1"/>
  <c r="G13" i="6"/>
  <c r="H13" i="6" s="1"/>
  <c r="G12" i="6"/>
  <c r="H12" i="6" s="1"/>
  <c r="H1692" i="6" l="1"/>
  <c r="C1698" i="6" s="1"/>
  <c r="C1697" i="6" l="1"/>
</calcChain>
</file>

<file path=xl/sharedStrings.xml><?xml version="1.0" encoding="utf-8"?>
<sst xmlns="http://schemas.openxmlformats.org/spreadsheetml/2006/main" count="7995" uniqueCount="2433">
  <si>
    <t>Description</t>
  </si>
  <si>
    <t>Article</t>
  </si>
  <si>
    <t>Amputation Set</t>
  </si>
  <si>
    <t xml:space="preserve">            </t>
  </si>
  <si>
    <t>13-411-16-07</t>
  </si>
  <si>
    <t>HAEMOSTATIC FORCEPS, PEAN, CVD., 16,5 CM</t>
  </si>
  <si>
    <t>13-411-18-07</t>
  </si>
  <si>
    <t>HAEMOSTATIC FORCEPS, PEAN, CRV., 18.5 CM</t>
  </si>
  <si>
    <t>13-414-16-07</t>
  </si>
  <si>
    <t>FORCEPS, KOCHER, 1X2 T., STR., 16 CM</t>
  </si>
  <si>
    <t>13-414-18-07</t>
  </si>
  <si>
    <t>FORCEPS, KOCHER, 1X2 T., STR., 18.5 CM</t>
  </si>
  <si>
    <t>30-134-15-07</t>
  </si>
  <si>
    <t>TISSUE FORCEPS, ALLIS, 5X6 T., 15.5 CM</t>
  </si>
  <si>
    <t>11-170-14-07</t>
  </si>
  <si>
    <t>SCISSORS, MAYO, STR., 14.5 CM</t>
  </si>
  <si>
    <t>11-285-18-07</t>
  </si>
  <si>
    <t>DISSECTING SCISSORS, CVD., 18 CM</t>
  </si>
  <si>
    <t>20-390-18-07</t>
  </si>
  <si>
    <t>NEEDLEHOLDER, MAYO-HEGAR, 18.5 CM</t>
  </si>
  <si>
    <t>15-317-04-07</t>
  </si>
  <si>
    <t>RETRACT., KOCHER-LANG., 35X15 MM, 21.5CM</t>
  </si>
  <si>
    <t>09-008-24-07</t>
  </si>
  <si>
    <t xml:space="preserve">Retractor, Morris, 70x50 mm, 24 cm      </t>
  </si>
  <si>
    <t>09-008-25-07</t>
  </si>
  <si>
    <t xml:space="preserve">Retractor, Morris, 70x65 mm, 24,5 cm    </t>
  </si>
  <si>
    <t>10-100-04-07</t>
  </si>
  <si>
    <t>SCALPEL HANDLE, NO. 4, 13.5 CM</t>
  </si>
  <si>
    <t>56-231-11-01</t>
  </si>
  <si>
    <t>BOWL, METAL, H = 50, Ø 116 MM, 0.25 L</t>
  </si>
  <si>
    <t>13-915-13-07</t>
  </si>
  <si>
    <t>TOWEL FORCEPS, BACKHAUS, SHARP, 13 CM</t>
  </si>
  <si>
    <t>24-600-50-07</t>
  </si>
  <si>
    <t>WIRE SAW, GIGLI, FOURFOLD, 50 CM</t>
  </si>
  <si>
    <t>24-602-01-01</t>
  </si>
  <si>
    <t>HOOK HANDLE, F. WIRE SAWS</t>
  </si>
  <si>
    <t>24-618-33-07</t>
  </si>
  <si>
    <t>WIRE SAW CONDUCTOR, DE MARTEL</t>
  </si>
  <si>
    <t>23-899-02-07</t>
  </si>
  <si>
    <t>BONE RONGEUR, ECHLIN, 2 MM, 23 CM</t>
  </si>
  <si>
    <t>23-901-23-07</t>
  </si>
  <si>
    <t>BONE RONGEUR, STILLE-RUSKIN, 23.5 CM</t>
  </si>
  <si>
    <t>23-934-19-07</t>
  </si>
  <si>
    <t>BONE CUTT. FORCEPS, LISTON, STR., 20 CM</t>
  </si>
  <si>
    <t>23-481-24-07</t>
  </si>
  <si>
    <t>BONE FILE, BAYONET SHAPE, 13 MM, 25 CM</t>
  </si>
  <si>
    <t>DE</t>
  </si>
  <si>
    <t>MY</t>
  </si>
  <si>
    <t>Abscess Set</t>
  </si>
  <si>
    <t>32-741-32-07</t>
  </si>
  <si>
    <t>UTERINE POLYPUS FORCEPS, KELLY, 31.5 CM</t>
  </si>
  <si>
    <t>10-130-05-07</t>
  </si>
  <si>
    <t>SCALPEL HANDLE, NO. 3, CM-SCALE, 12 CM</t>
  </si>
  <si>
    <t>13-369-20-07</t>
  </si>
  <si>
    <t>FORCEPS, MARTIN-FUCHSIG, CVD., 20.5 CM</t>
  </si>
  <si>
    <t>13-311-12-07</t>
  </si>
  <si>
    <t>HAEM. FORCEPS, MOSQUITO, CVD., 12 CM</t>
  </si>
  <si>
    <t>13-310-12-07</t>
  </si>
  <si>
    <t>HAEM. FORCEPS, MOSQUITO, STR., 12.5 CM</t>
  </si>
  <si>
    <t>13-577-19-07</t>
  </si>
  <si>
    <t>DISS. FORCEPS, KELLY, SLIGHT CVD., 19 CM</t>
  </si>
  <si>
    <t>13-411-24-07</t>
  </si>
  <si>
    <t>HAEMOSTATIC FORCEPS, PEAN, CRV., 24 CM</t>
  </si>
  <si>
    <t>13-451-16-07</t>
  </si>
  <si>
    <t>DISS. FORCEPS, GEMINI, STR. CVD., 16 CM</t>
  </si>
  <si>
    <t>13-451-23-07</t>
  </si>
  <si>
    <t>DISS. FORCEPS, GEMINI, STR. CVD., 23 CM</t>
  </si>
  <si>
    <t>13-451-28-07</t>
  </si>
  <si>
    <t>DISS. FORCEPS, GEMINI, STR. CVD., 28 CM</t>
  </si>
  <si>
    <t>24-384-20-07</t>
  </si>
  <si>
    <t>ATR. FORCEPS, DE BAKEY, 2.7 MM, 20 CM</t>
  </si>
  <si>
    <t>24-384-24-07</t>
  </si>
  <si>
    <t>ATR. FORCEPS, DE BAKEY, 2.7 MM, 25 CM</t>
  </si>
  <si>
    <t>20-390-20-07</t>
  </si>
  <si>
    <t>NEEDLEHOLDER, MAYO-HEGAR, 20.5 CM</t>
  </si>
  <si>
    <t>30-560-22-07</t>
  </si>
  <si>
    <t>ATR. INT. FCPS., KOCHER, STR., 22.5 CM</t>
  </si>
  <si>
    <t>30-551-23-07</t>
  </si>
  <si>
    <t>ATR. INTEST. FCPS., DOYEN, CVD., 23 CM</t>
  </si>
  <si>
    <t>30-587-30-07</t>
  </si>
  <si>
    <t>Forceps, Rectum, Resano, atr., 29  cm</t>
  </si>
  <si>
    <t>24-437-25-07</t>
  </si>
  <si>
    <t>ATR. FORCEPS, DE BAKEY, ANG., 26 CM</t>
  </si>
  <si>
    <t>30-304-28-07</t>
  </si>
  <si>
    <t>INTEST. FCPS., KOCHER, SOFT, STR., 28 CM</t>
  </si>
  <si>
    <t>20-408-27-07</t>
  </si>
  <si>
    <t>NEEDLEHOLDER, MASSON, HEAVY, 26.5 CM</t>
  </si>
  <si>
    <t>15-591-09-07</t>
  </si>
  <si>
    <t>RETRACTOR, DEAVER, 75 MM WIDE, 31.5 CM</t>
  </si>
  <si>
    <t>15-591-07-07</t>
  </si>
  <si>
    <t>RETRACTOR, DEAVER, 38 MM WIDE, 32 CM</t>
  </si>
  <si>
    <t>15-591-08-07</t>
  </si>
  <si>
    <t>RETRACTOR, DEAVER, 50 MM WIDE, 31.5 CM</t>
  </si>
  <si>
    <t>15-611-01-07</t>
  </si>
  <si>
    <t>RETRACTOR, KELLY, 205X38 MM, 27.5 CM</t>
  </si>
  <si>
    <t>15-611-02-07</t>
  </si>
  <si>
    <t>RETRACTOR, KELLY, 210X57 MM, 28 CM</t>
  </si>
  <si>
    <t>56-231-16-01</t>
  </si>
  <si>
    <t>BOWL, METAL, H = 75, Ø 167 MM, 0.9 L</t>
  </si>
  <si>
    <t>56-673-25-01</t>
  </si>
  <si>
    <t>KIDNEY DISH, 250X140X40 MM</t>
  </si>
  <si>
    <t>11-459-17-07</t>
  </si>
  <si>
    <t>SCISSORS, TOENNIS-ADSON, CVD., 17.5 CM</t>
  </si>
  <si>
    <t>24-388-20-07</t>
  </si>
  <si>
    <t>ATR. FORCEPS, DE BAKEY, 2 MM, 20 CM</t>
  </si>
  <si>
    <t>18-543-27-01</t>
  </si>
  <si>
    <t>Suct. tube, Yankauer, compl.,ø9,4mm,31cm</t>
  </si>
  <si>
    <t>12-100-18-07</t>
  </si>
  <si>
    <t>DRESSING FORCEPS, 18 CM</t>
  </si>
  <si>
    <t>12-100-20-07</t>
  </si>
  <si>
    <t>DRESSING FORCEPS, 20 CM</t>
  </si>
  <si>
    <t>12-301-18-07</t>
  </si>
  <si>
    <t>TISSUE FORCEPS, 1X2 T., 18 CM</t>
  </si>
  <si>
    <t>12-301-20-07</t>
  </si>
  <si>
    <t>TISSUE FORCEPS, 1X2 T., 20.5 CM</t>
  </si>
  <si>
    <t>13-414-20-07</t>
  </si>
  <si>
    <t>FORCEPS, KOCHER, 1X2 T., STR., 20,5 CM</t>
  </si>
  <si>
    <t>13-415-22-07</t>
  </si>
  <si>
    <t>FORCEPS, KOCHER, 1X2 T., CVD., 22,5 CM</t>
  </si>
  <si>
    <t>30-134-19-07</t>
  </si>
  <si>
    <t>TISSUE FORCEPS, ALLIS, 5X6 T., 19 CM</t>
  </si>
  <si>
    <t>30-192-18-07</t>
  </si>
  <si>
    <t>TISSUE FORCEPS, BABCOCK, 17.5 CM</t>
  </si>
  <si>
    <t>30-192-20-07</t>
  </si>
  <si>
    <t>TISSUE FORCEPS, BABCOCK, 21 CM</t>
  </si>
  <si>
    <t>Exploration Set</t>
  </si>
  <si>
    <t>Appendix &amp; Hernia Set</t>
  </si>
  <si>
    <t>14-352-25-07</t>
  </si>
  <si>
    <t>FORCEPS, FOERSTER, SERR., STR., 25 CM</t>
  </si>
  <si>
    <t>Anal Set</t>
  </si>
  <si>
    <t>13-935-20-07</t>
  </si>
  <si>
    <t>TOWEL FORCEPS, LANE, STR., 20 CM</t>
  </si>
  <si>
    <t>13-321-12-07</t>
  </si>
  <si>
    <t>FORCEPS MICRO-MOSQUITO, CVD., 12 CM</t>
  </si>
  <si>
    <t>24-384-16-07</t>
  </si>
  <si>
    <t>ATR. FORCEPS, DE BAKEY, 2.7 MM, 16 CM</t>
  </si>
  <si>
    <t>16-108-16-01</t>
  </si>
  <si>
    <t>PROBE WITH EYE, Ø 2.0 MM, 16 CM</t>
  </si>
  <si>
    <t>16-103-20-01</t>
  </si>
  <si>
    <t>PROBE, BUTTON END, Ø 1.5/1.5 MM, 20 CM</t>
  </si>
  <si>
    <t>30-615-15-01</t>
  </si>
  <si>
    <t>CURVAL SPECULUM, SIMS, FENSTR., 70X15 MM</t>
  </si>
  <si>
    <t>30-610-21-07</t>
  </si>
  <si>
    <t>CURVAL SPECULUM, CZERNY, 105X23-28 MM</t>
  </si>
  <si>
    <t>30-192-16-07</t>
  </si>
  <si>
    <t>TISSUE FORCEPS, BABCOCK, 15,5 CM</t>
  </si>
  <si>
    <t>13-328-15-07</t>
  </si>
  <si>
    <t>FORCEPS, LERICHE, 1X2 T., STR., 15.5 CM</t>
  </si>
  <si>
    <t>12-100-16-07</t>
  </si>
  <si>
    <t>DRESSING FORCEPS, 16 CM</t>
  </si>
  <si>
    <t>13-415-18-07</t>
  </si>
  <si>
    <t>FORCEPS, KOCHER, 1X2 T., CVD., 18,5 CM</t>
  </si>
  <si>
    <t>13-531-22-07</t>
  </si>
  <si>
    <t>KIDNEY PEDICLE FORCEPS, GUYON, 21.5 CM</t>
  </si>
  <si>
    <t>12-301-16-07</t>
  </si>
  <si>
    <t>TISSUE FORCEPS, 1X2 T., 16 CM</t>
  </si>
  <si>
    <t>55-805-28-01</t>
  </si>
  <si>
    <t>Lid f. tray 1/2, 243X255 mm</t>
  </si>
  <si>
    <t>55-807-24-04</t>
  </si>
  <si>
    <t>SILICONE MAT F. 1/2 TRAY, 234x244 MM</t>
  </si>
  <si>
    <t>Vascular surgery</t>
  </si>
  <si>
    <t>Retractor</t>
  </si>
  <si>
    <t>15-920-10-07</t>
  </si>
  <si>
    <t>marTract bracket, operating table</t>
  </si>
  <si>
    <t>15-920-30-07</t>
  </si>
  <si>
    <t>marTract transverse rod f. 15-920-34-07</t>
  </si>
  <si>
    <t>15-920-34-07</t>
  </si>
  <si>
    <t>marTract ball mount for holding arms</t>
  </si>
  <si>
    <t>15-920-21-07</t>
  </si>
  <si>
    <t>marTract holding arm for kidney add-on</t>
  </si>
  <si>
    <t>15-920-35-07</t>
  </si>
  <si>
    <t>marTract fixing clip for retractor</t>
  </si>
  <si>
    <t>15-920-40-07</t>
  </si>
  <si>
    <t>marTract blade holder, fixed</t>
  </si>
  <si>
    <t>15-920-42-07</t>
  </si>
  <si>
    <t>marTract blade holder, movable</t>
  </si>
  <si>
    <t>15-921-13-07</t>
  </si>
  <si>
    <t>marTract blade, flex., 160x75mm</t>
  </si>
  <si>
    <t>15-921-51-07</t>
  </si>
  <si>
    <t>marTract Langenbeck, blade, 150x50mm</t>
  </si>
  <si>
    <t>15-921-71-07</t>
  </si>
  <si>
    <t>marTract Deaver, blade, 200x70mm</t>
  </si>
  <si>
    <t>15-922-11-07</t>
  </si>
  <si>
    <t>marTract Harringt., blade, 175x65mm</t>
  </si>
  <si>
    <t>Peripheral 2</t>
  </si>
  <si>
    <t>24-393-10-07</t>
  </si>
  <si>
    <t>BULLDOG CLAMP, DE BAKEY, CVD., 9,5 CM</t>
  </si>
  <si>
    <t>24-386-20-07</t>
  </si>
  <si>
    <t>ATR. FORCEPS, DE BAKEY, 1.5 MM, 20 CM</t>
  </si>
  <si>
    <t>24-388-24-07</t>
  </si>
  <si>
    <t>ATR. FORCEPS, DE BAKEY, 2 MM, 25 CM</t>
  </si>
  <si>
    <t>11-396-19-07</t>
  </si>
  <si>
    <t>TC-scissors, Potts-Smith, 18 cm</t>
  </si>
  <si>
    <t>11-327-14-07</t>
  </si>
  <si>
    <t>DISSECT. SCISSORS, FINE, CVD., 14.5 CM</t>
  </si>
  <si>
    <t>11-955-14-07</t>
  </si>
  <si>
    <t>TC-DISS. SCISSORS, FINE, CVD., 14.5 CM</t>
  </si>
  <si>
    <t>13-453-22-07</t>
  </si>
  <si>
    <t>DISS. FORCEPS, MINI-GEMINI, CVD., 23 CM</t>
  </si>
  <si>
    <t>20-666-03-07</t>
  </si>
  <si>
    <t>TC-NEEDLEHOLDER, MICROVASCULAR, 20 CM</t>
  </si>
  <si>
    <t>20-666-05-07</t>
  </si>
  <si>
    <t>TC-Needleholder, microvascular, 26cm</t>
  </si>
  <si>
    <t>15-741-13-07</t>
  </si>
  <si>
    <t>SPREADER, BLUNT, 3X4 T., 20 MM, 13CM</t>
  </si>
  <si>
    <t>15-172-14-07</t>
  </si>
  <si>
    <t>HOOKLET, CUSHING, 14 MM, 24 CM</t>
  </si>
  <si>
    <t>24-539-02-07</t>
  </si>
  <si>
    <t>DISSECTOR, Robb, DOUBLE, NO. 2, 20,5 CM</t>
  </si>
  <si>
    <t>18-696-06-01</t>
  </si>
  <si>
    <t>Cannula, heparin, Mock, ø2,9x0,8mm,6,5cm</t>
  </si>
  <si>
    <t>24-459-13-07</t>
  </si>
  <si>
    <t>ATR. FORCEPS, DE BAKEY, ANG., 12.5 CM</t>
  </si>
  <si>
    <t>24-435-27-07</t>
  </si>
  <si>
    <t>ATR. FORCEPS, POTTS, CVD., 26 CM</t>
  </si>
  <si>
    <t>24-435-31-07</t>
  </si>
  <si>
    <t>ATR. FORCEPS, POTTS, CVD., 31 CM</t>
  </si>
  <si>
    <t>24-416-20-07</t>
  </si>
  <si>
    <t>ATR. FORCEPS, DE BAKEY, ANG., 20 CM</t>
  </si>
  <si>
    <t>11-285-30-07</t>
  </si>
  <si>
    <t>DISSECTING SCISSORS, CVD., 31 CM</t>
  </si>
  <si>
    <t>12-254-17-07</t>
  </si>
  <si>
    <t>TC-DRESSING FORCEPS, CUSHING, 17.5 CM</t>
  </si>
  <si>
    <t>13-461-02-07</t>
  </si>
  <si>
    <t>DISSECTING FORCEPS, RUMEL, NO. 2, 24 CM</t>
  </si>
  <si>
    <t>24-425-26-07</t>
  </si>
  <si>
    <t>ATR. TANGENT. FORCEPS, SATINSKY, 27.5 CM</t>
  </si>
  <si>
    <t>13-125-10-07</t>
  </si>
  <si>
    <t>Atr. bulldog clamp, cvd., 10 mm</t>
  </si>
  <si>
    <t>13-414-24-07</t>
  </si>
  <si>
    <t>FORCEPS, KOCHER, 1X2 T., STR., 24 CM</t>
  </si>
  <si>
    <t>15-471-01-07</t>
  </si>
  <si>
    <t>RETRACTOR, KOCHER, 78X45 MM, 25 CM</t>
  </si>
  <si>
    <t>13-909-13-07</t>
  </si>
  <si>
    <t>TOWEL FORCEPS, SHARP, GRACILE, 13 CM</t>
  </si>
  <si>
    <t>24-344-30-07</t>
  </si>
  <si>
    <t>ATR. AORTA FORCEPS, DE BAKEY, 30 CM</t>
  </si>
  <si>
    <t>12-444-18-07</t>
  </si>
  <si>
    <t>FORCEPS, STILLE-BARRAYA, 3X4 T., 18 CM</t>
  </si>
  <si>
    <t>15-777-32-07</t>
  </si>
  <si>
    <t>Spreader, Adson, bl., 4X5 T., 33 cm</t>
  </si>
  <si>
    <t>15-778-32-07</t>
  </si>
  <si>
    <t>SPREADER, BECKMANN-EATON, 7X7 T., 32 CM</t>
  </si>
  <si>
    <t>15-687-00-07</t>
  </si>
  <si>
    <t>RETRACTOR, PARKER-LANG., SET, 21.5 CM</t>
  </si>
  <si>
    <t>15-665-00-07</t>
  </si>
  <si>
    <t>RETRACTOR, DBL., FARABEUF, SET, 15.5 CM</t>
  </si>
  <si>
    <t>20-642-20-07</t>
  </si>
  <si>
    <t>TC-NEEDLEHOLDER, MAYO-HEGAR, 20 CM</t>
  </si>
  <si>
    <t>24-425-20-07</t>
  </si>
  <si>
    <t>ATR. TANGENTIAL FORCEPS, SATINSKY, 22 CM</t>
  </si>
  <si>
    <t>10-130-04-07</t>
  </si>
  <si>
    <t>SCALPEL HANDLE, NO. 3,SHAPE AS NO.4,12cm</t>
  </si>
  <si>
    <t>24-573-04-07</t>
  </si>
  <si>
    <t>ATR. FORCEPS, PEDIATRIC, 13,5 CM</t>
  </si>
  <si>
    <t>24-573-08-07</t>
  </si>
  <si>
    <t>ATR. FORCEPS, PEDIATRIC, ST. CVD., 14 CM</t>
  </si>
  <si>
    <t>Peripheral 1</t>
  </si>
  <si>
    <t>24-502-00-01</t>
  </si>
  <si>
    <t>TUNNELER-SET, MARTIN, COMPLETE</t>
  </si>
  <si>
    <t>Aortic Set</t>
  </si>
  <si>
    <t>AV Fistula</t>
  </si>
  <si>
    <t>24-417-31-07</t>
  </si>
  <si>
    <t>ATR. ANEURYSM FORCEPS, DE BAKEY, 31 CM</t>
  </si>
  <si>
    <t>Plastic Surgery</t>
  </si>
  <si>
    <t>Hand Surgery</t>
  </si>
  <si>
    <t>13-306-10-07</t>
  </si>
  <si>
    <t>HAEM. FORCEPS, HARTMANN, STR., 10 CM</t>
  </si>
  <si>
    <t>13-310-14-07</t>
  </si>
  <si>
    <t>HAEM. FORCEPS, MOSQUITO, STR., 14.5 CM</t>
  </si>
  <si>
    <t>13-307-10-07</t>
  </si>
  <si>
    <t>HAEM. FORCEPS, HARTMANN, CVD., 10 CM</t>
  </si>
  <si>
    <t>13-311-14-07</t>
  </si>
  <si>
    <t>HAEM. FORCEPS, MOSQUITO, CVD., 14 CM</t>
  </si>
  <si>
    <t>30-132-15-07</t>
  </si>
  <si>
    <t>TISSUE FORCEPS, ALLIS, 4X5 T., 15.5 CM</t>
  </si>
  <si>
    <t>30-130-12-07</t>
  </si>
  <si>
    <t>TISSUE FCPS., ALLIS-BABY, 4X5 T., 13 CM</t>
  </si>
  <si>
    <t>13-414-14-07</t>
  </si>
  <si>
    <t>FORCEPS, KOCHER, 1X2 T., STR., 14.5 CM</t>
  </si>
  <si>
    <t>13-375-16-07</t>
  </si>
  <si>
    <t>FORCEPS, PEAN, DELICATE, CVD., 16.5 CM</t>
  </si>
  <si>
    <t>13-381-14-07</t>
  </si>
  <si>
    <t>FORCEPS, PEAN-NIPPON, CVD., 14 CM</t>
  </si>
  <si>
    <t>13-421-18-07</t>
  </si>
  <si>
    <t>DISS. FORCEPS, BABY-ADSON, CVD., 18 CM</t>
  </si>
  <si>
    <t>23-312-30-07</t>
  </si>
  <si>
    <t>BONE CUR., SPRATT, OVAL, NO. 000, 17 CM</t>
  </si>
  <si>
    <t>23-313-04-07</t>
  </si>
  <si>
    <t>BONE CURETTE, SPRATT, OVAL, NO. 4, 17 CM</t>
  </si>
  <si>
    <t>23-312-10-07</t>
  </si>
  <si>
    <t>BONE CURETTE, SPRATT, OVAL, NO. 0, 17 CM</t>
  </si>
  <si>
    <t>23-313-01-07</t>
  </si>
  <si>
    <t>BONE CURETTE, SPRATT, OVAL, NO. 1, 17 CM</t>
  </si>
  <si>
    <t>23-941-15-07</t>
  </si>
  <si>
    <t>BONE CUTT. FORCEPS, CLEVELAND, 14.5 CM</t>
  </si>
  <si>
    <t>24-690-05-07</t>
  </si>
  <si>
    <t>Dissector, Penfield, 29 cm, #5</t>
  </si>
  <si>
    <t>37-531-16-07</t>
  </si>
  <si>
    <t>SEPTUM ELEVATOR, JOSEPH, 4 MM, 16.5 CM</t>
  </si>
  <si>
    <t>38-014-00-07</t>
  </si>
  <si>
    <t>ELEVATOR, TERRY, 3.0/7.0 MM, 18 CM</t>
  </si>
  <si>
    <t>23-436-07-07</t>
  </si>
  <si>
    <t>RASPATORY, WILLIGER, CVD., 7 MM, 16 CM</t>
  </si>
  <si>
    <t>23-412-20-07</t>
  </si>
  <si>
    <t>Raspatory, Cottle, cvd., 19.5 cm</t>
  </si>
  <si>
    <t>12-168-12-07</t>
  </si>
  <si>
    <t>DRESSING FORCEPS, ADSON, 12 CM</t>
  </si>
  <si>
    <t>12-368-12-07</t>
  </si>
  <si>
    <t>TISSUE FORCEPS, ADSON, 1X2 T., 12 CM</t>
  </si>
  <si>
    <t>24-386-16-07</t>
  </si>
  <si>
    <t>ATR. FORCEPS, DE BAKEY, 1.5 MM, 16 CM</t>
  </si>
  <si>
    <t>23-729-16-07</t>
  </si>
  <si>
    <t>REPOS. FORCEPS, W. THREAD LOCK, 16 CM</t>
  </si>
  <si>
    <t>37-704-05-07</t>
  </si>
  <si>
    <t>SKIN HOOKLET, JOSEPH, 2-PR., 5 MM, 16 CM</t>
  </si>
  <si>
    <t>10-130-03-07</t>
  </si>
  <si>
    <t>SCALPEL HANDLE, NO. 3, 12 CM</t>
  </si>
  <si>
    <t>23-198-05-07</t>
  </si>
  <si>
    <t>TAMPER, METAL, Ø 5 MM, 15.5 CM</t>
  </si>
  <si>
    <t>22-519-02-07</t>
  </si>
  <si>
    <t>FLAT NOSE PLIERS, W. CROSS GROOVE, 17 CM</t>
  </si>
  <si>
    <t>23-215-19-07</t>
  </si>
  <si>
    <t>MALLET, COTTLE, 300 GR., 19 CM</t>
  </si>
  <si>
    <t>20-642-16-07</t>
  </si>
  <si>
    <t>TC-NEEDLEHOLDER, MAYO-HEGAR, 16 CM</t>
  </si>
  <si>
    <t>20-642-18-07</t>
  </si>
  <si>
    <t>TC-NEEDLEHOLDER, MAYO-HEGAR, 18.5 CM</t>
  </si>
  <si>
    <t>20-604-13-07</t>
  </si>
  <si>
    <t>TC-NEEDLEHOLDER, WEBSTER, 13 CM</t>
  </si>
  <si>
    <t>20-604-15-07</t>
  </si>
  <si>
    <t>TC-NEEDLEHOLDER, CRILE-WOOD, 15 CM</t>
  </si>
  <si>
    <t>23-539-06-07</t>
  </si>
  <si>
    <t>BONE LEVER, MINI-HOHMANN, 6 MM, 16 CM</t>
  </si>
  <si>
    <t>23-539-08-07</t>
  </si>
  <si>
    <t>BONE LEVER, MINI-HOHMANN, 8 MM, 16 CM</t>
  </si>
  <si>
    <t>15-717-10-07</t>
  </si>
  <si>
    <t>WOUNDSPREADER, BLUNT, 4X4 T., 10 CM</t>
  </si>
  <si>
    <t>15-164-14-07</t>
  </si>
  <si>
    <t>HOOKLET, DOUBLE, RAGNELL-DAVIS, 15 CM</t>
  </si>
  <si>
    <t>15-166-16-07</t>
  </si>
  <si>
    <t>HOOKLET, SENN-MUELLER, SHARP, 16 CM</t>
  </si>
  <si>
    <t>15-167-16-07</t>
  </si>
  <si>
    <t>HOOKLET, SENN-MUELLER, BLUNT, 16 CM</t>
  </si>
  <si>
    <t>12-402-12-07</t>
  </si>
  <si>
    <t>FORCEPS, MINI-ADSON, 1X2 T., 12 CM</t>
  </si>
  <si>
    <t>12-406-12-07</t>
  </si>
  <si>
    <t>FORCEPS, MICRO-ADSON, 1X2 T., 12 CM</t>
  </si>
  <si>
    <t>22-523-16-07</t>
  </si>
  <si>
    <t>TC-SIDE NIPPER, W. TRANSM., 17.5 CM</t>
  </si>
  <si>
    <t>15-056-01-07</t>
  </si>
  <si>
    <t>Hooklet, Barsky, 1-t., 15 cm</t>
  </si>
  <si>
    <t>23-358-00-07</t>
  </si>
  <si>
    <t>BONE CURETTE, WILLIGER, 00/0, 14 CM</t>
  </si>
  <si>
    <t>37-545-18-07</t>
  </si>
  <si>
    <t>ELEVATOR, FREER, SH/BL, W/O PIN, 18 CM</t>
  </si>
  <si>
    <t>23-423-07-07</t>
  </si>
  <si>
    <t>Raspatory, Key, 16 mm, 20 cm</t>
  </si>
  <si>
    <t>15-748-10-07</t>
  </si>
  <si>
    <t>WOUNDSPREADER, SEMI SHARP, 2X3 T., 11 CM</t>
  </si>
  <si>
    <t>15-749-10-07</t>
  </si>
  <si>
    <t>WOUNDSPREADER, BLUNT, 2X3 T., 11 CM</t>
  </si>
  <si>
    <t>15-751-13-07</t>
  </si>
  <si>
    <t>WOUNDSPREADER, BLUNT, 3X4 T., 13.5 CM</t>
  </si>
  <si>
    <t>23-836-30-07</t>
  </si>
  <si>
    <t>RONGEUR, MICRO-FRIEDMAN, CVD. 30°,15.5CM</t>
  </si>
  <si>
    <t>23-876-15-07</t>
  </si>
  <si>
    <t>BONE RONGEUR, BOEHLER, STR., 15 CM</t>
  </si>
  <si>
    <t>23-877-15-07</t>
  </si>
  <si>
    <t>BONE RONGEUR, BOEHLER, CVD., 15 CM</t>
  </si>
  <si>
    <t>11-650-14-07</t>
  </si>
  <si>
    <t>SC Scissors, chir., sh/bl, str., 14.5 cm</t>
  </si>
  <si>
    <t>11-659-11-07</t>
  </si>
  <si>
    <t>SC-Dissect.Scissors,Metzenb.cvd. 11,5 cm</t>
  </si>
  <si>
    <t>11-691-11-07</t>
  </si>
  <si>
    <t>STRABISMUS SCISS., BL/BL, CVD., 11.5 CM</t>
  </si>
  <si>
    <t>11-508-12-07</t>
  </si>
  <si>
    <t>Scissor, Faden, Littler, 12 cm</t>
  </si>
  <si>
    <t>11-665-14-07</t>
  </si>
  <si>
    <t>SC-Diss.Scissors, Metz.fine,cvd,14,5 cm</t>
  </si>
  <si>
    <t>11-673-11-07</t>
  </si>
  <si>
    <t>SC-Iris Scissors, sh/sh, cvd., 11,5 cm</t>
  </si>
  <si>
    <t>11-666-14-07</t>
  </si>
  <si>
    <t>SC-Scissors, Joseph, sh/sh, str., 14,5cm</t>
  </si>
  <si>
    <t>21-209-18-01</t>
  </si>
  <si>
    <t>BANDAGE SCISSORS, UNIVERSAL, 19 CM</t>
  </si>
  <si>
    <t>50-501-40-07</t>
  </si>
  <si>
    <t>DEPTH GAUGE</t>
  </si>
  <si>
    <t>23-720-14-07</t>
  </si>
  <si>
    <t>PHALANGEAL FORCEPS, GRACILE, 14 CM</t>
  </si>
  <si>
    <t>18-523-08-01</t>
  </si>
  <si>
    <t>Suction tube, Frazier, ø 2.7 mm, 19.5 cm</t>
  </si>
  <si>
    <t>23-138-04-07</t>
  </si>
  <si>
    <t>Osteotome, Lambotte, 4 mm, 24 cm</t>
  </si>
  <si>
    <t>23-138-06-07</t>
  </si>
  <si>
    <t>Osteotome, Lambotte, 6 mm, 24 cm</t>
  </si>
  <si>
    <t>23-138-08-07</t>
  </si>
  <si>
    <t>Osteotome, Lambotte, 8 mm, 24 cm</t>
  </si>
  <si>
    <t>23-138-10-07</t>
  </si>
  <si>
    <t>Osteotome, Lambotte, 10 mm, 24 cm</t>
  </si>
  <si>
    <t>11-865-12-07</t>
  </si>
  <si>
    <t>WIRE SCISSORS, UNIVERSAL, ANGLED, 12 CM</t>
  </si>
  <si>
    <t>22-500-20-07</t>
  </si>
  <si>
    <t>TC-WIRE TWISTING FORCEPS, FINE, 20 CM</t>
  </si>
  <si>
    <t>24-823-20-07</t>
  </si>
  <si>
    <t>Hook, Adson, blunt, angled, 20 cm</t>
  </si>
  <si>
    <t>23-679-11-07</t>
  </si>
  <si>
    <t>TENDON SEIZING FORCEPS, CVD., 11.5 CM</t>
  </si>
  <si>
    <t>23-676-19-07</t>
  </si>
  <si>
    <t>TENDON PULLING FORCEPS, BRAND, 19 CM</t>
  </si>
  <si>
    <t>23-662-29-07</t>
  </si>
  <si>
    <t>TENDON STRIPPER, 28.5 CM</t>
  </si>
  <si>
    <t>48-177-24-07</t>
  </si>
  <si>
    <t>ZYGOMATIC AWL, OBWEGESER, 24 CM</t>
  </si>
  <si>
    <t>38-715-19-07</t>
  </si>
  <si>
    <t>HOOK, DINGMANN-WILK, SHARP, 20 CM</t>
  </si>
  <si>
    <t>General plastic surgical instruments (Burns &amp; Plastic)</t>
  </si>
  <si>
    <t xml:space="preserve">BARD PARKER HANDLE    </t>
  </si>
  <si>
    <t>10-137-07-07</t>
  </si>
  <si>
    <t>SCALPEL HANDLE, NO. 7, SOLID, 16 CM</t>
  </si>
  <si>
    <t xml:space="preserve">STRAIGHT DRESSING FORCEPS               </t>
  </si>
  <si>
    <t>12-502-10-07</t>
  </si>
  <si>
    <t>DRESSING FORCEPS, FINE, STR., 10 CM</t>
  </si>
  <si>
    <t>12-100-10-07</t>
  </si>
  <si>
    <t>DRESSING FORCEPS, 10,5 CM</t>
  </si>
  <si>
    <t xml:space="preserve">LUCAE NASAL DRESSING FORCEPS            </t>
  </si>
  <si>
    <t>36-391-14-07</t>
  </si>
  <si>
    <t>EAR FORCEPS, GRUENWALD, BAYON., 14.5 CM</t>
  </si>
  <si>
    <t>36-395-16-07</t>
  </si>
  <si>
    <t>EAR DRESS. FCPS., JANSEN, BAYO., 16 CM</t>
  </si>
  <si>
    <t xml:space="preserve">ADSON DRESSING FORCEPS                  </t>
  </si>
  <si>
    <t>12-166-12-07</t>
  </si>
  <si>
    <t>DRESSING FORCEPS, MINI-ADSON, 12 CM</t>
  </si>
  <si>
    <t xml:space="preserve">HALSTEAD HEMOSTATIC MOSQUITO FORCEPS    </t>
  </si>
  <si>
    <t xml:space="preserve">DINGMAN BONE CLAMP                      </t>
  </si>
  <si>
    <t>23-715-19-07</t>
  </si>
  <si>
    <t>CARTILAGE FORCEPS, DINGMANN, 18.5 CM</t>
  </si>
  <si>
    <t xml:space="preserve">STRAIGHT TISSUE FORCEPS                 </t>
  </si>
  <si>
    <t>12-512-10-07</t>
  </si>
  <si>
    <t>TISSUE FORCEPS, 1X2 T., STR., 10 CM</t>
  </si>
  <si>
    <t>12-301-10-07</t>
  </si>
  <si>
    <t>TISSUE FORCEPS 1X2 T, 10,5 CM</t>
  </si>
  <si>
    <t xml:space="preserve">ADSON TISSUE FORCEPS                    </t>
  </si>
  <si>
    <t>12-406-15-07</t>
  </si>
  <si>
    <t>FORCEPS, MICRO-ADSON, 1X2 T., 15 CM</t>
  </si>
  <si>
    <t xml:space="preserve">ALLIS FORCEPS                           </t>
  </si>
  <si>
    <t xml:space="preserve">BACKHAUS TOWEL FORCEPS                  </t>
  </si>
  <si>
    <t>13-915-08-07</t>
  </si>
  <si>
    <t>TOWEL FORCEPS, BACKHAUS, SHARP, 9 CM</t>
  </si>
  <si>
    <t>NERVE HOOK</t>
  </si>
  <si>
    <t xml:space="preserve">SINGLE SKIN HOOK                        </t>
  </si>
  <si>
    <t>24-835-13-07</t>
  </si>
  <si>
    <t>Hook, Frazier, sharp, 13 cm</t>
  </si>
  <si>
    <t xml:space="preserve">JOSEPH DOUBLE HOOK                      </t>
  </si>
  <si>
    <t>37-704-02-07</t>
  </si>
  <si>
    <t>SKIN HOOKLET, JOSEPH, 2-PR., 2 MM, 16 CM</t>
  </si>
  <si>
    <t xml:space="preserve">KILNER ALAE RETRACTOR                   </t>
  </si>
  <si>
    <t>37-698-10-07</t>
  </si>
  <si>
    <t>ALAR RETRACTOR, KILNER, SHARP, 8 CM</t>
  </si>
  <si>
    <t xml:space="preserve">METZENBAUM NEEDLE HOLDER                </t>
  </si>
  <si>
    <t>20-364-18-07</t>
  </si>
  <si>
    <t>NEEDLEHOLDER, METZENB., FENESTR., 18.5 C</t>
  </si>
  <si>
    <t xml:space="preserve">WEITLANER MASTOID RETRACTOR             </t>
  </si>
  <si>
    <t>15-751-16-07</t>
  </si>
  <si>
    <t>WOUNDSPREADER, BLUNT, 3X4 T., 16 CM</t>
  </si>
  <si>
    <t xml:space="preserve">WEITLANER BABY RETRACTOR                </t>
  </si>
  <si>
    <t xml:space="preserve">LEMPERT RONGEUR                         </t>
  </si>
  <si>
    <t>23-832-19-07</t>
  </si>
  <si>
    <t>BONE RONGEUR, LEMPERT, STR., 19 CM</t>
  </si>
  <si>
    <t xml:space="preserve">JUERS-LEMPERT RONGEUR                   </t>
  </si>
  <si>
    <t>23-833-19-07</t>
  </si>
  <si>
    <t>Bone Rongeur, Lempert, cvd., 19 cm</t>
  </si>
  <si>
    <t xml:space="preserve">BEYER RONGEUR                           </t>
  </si>
  <si>
    <t>23-829-18-07</t>
  </si>
  <si>
    <t>BONE RONGEUR, JANSEN, CVD., 18 CM</t>
  </si>
  <si>
    <t>LAHEY SCISSORS -cutting edge should be o</t>
  </si>
  <si>
    <t>11-965-14-07</t>
  </si>
  <si>
    <t>TC-DISS. SCISSORS, LAHEY, CVD., 14.5 CM</t>
  </si>
  <si>
    <t xml:space="preserve">STORZ STRAIGHT IRIS SCISSORS            </t>
  </si>
  <si>
    <t>11-620-10-07</t>
  </si>
  <si>
    <t>IRIS SCISSORS, SH/SH, STR., 10.5 CM</t>
  </si>
  <si>
    <t xml:space="preserve">STORZ CURVED IRIS SCISSORS              </t>
  </si>
  <si>
    <t>11-621-10-07</t>
  </si>
  <si>
    <t>IRIS SCISSORS, SH/SH, CVD., 10.5 CM</t>
  </si>
  <si>
    <t xml:space="preserve">MAYO SCISSORS                           </t>
  </si>
  <si>
    <t>11-171-14-07</t>
  </si>
  <si>
    <t>SCISSORS, MAYO, CVD., 14.5 CM</t>
  </si>
  <si>
    <t xml:space="preserve">METZENBAUM SCISSORS                     </t>
  </si>
  <si>
    <t>11-331-18-07</t>
  </si>
  <si>
    <t>DISSECT. SCISSORS, FINE, CVD., 18 CM</t>
  </si>
  <si>
    <t xml:space="preserve">COTTLE DORSAL SCISSORS                  </t>
  </si>
  <si>
    <t>11-509-16-07</t>
  </si>
  <si>
    <t>NASAL SCISSORS, COTTLE, 15.5 CM</t>
  </si>
  <si>
    <t xml:space="preserve">GORNEY PLASTIC SURGERY SCISSORS         </t>
  </si>
  <si>
    <t>11-306-19-07</t>
  </si>
  <si>
    <t>Scissors, Gorney, straight, serr., 20 cm</t>
  </si>
  <si>
    <t>11-307-19-07</t>
  </si>
  <si>
    <t>Scissors, Gorney, curved, serr., 20 cm</t>
  </si>
  <si>
    <t xml:space="preserve">FREEMAN RHYTIDECTOMY SCISSORS           </t>
  </si>
  <si>
    <t>11-969-17-07</t>
  </si>
  <si>
    <t>TC-Scissor, Gorney-Freeman, cvd., 17 cm</t>
  </si>
  <si>
    <t xml:space="preserve">STEVENS TENOTOMY SCISSORS               </t>
  </si>
  <si>
    <t>11-364-14-07</t>
  </si>
  <si>
    <t>Scissor, Diss., Reynolds, str., 14 cm</t>
  </si>
  <si>
    <t>11-365-14-07</t>
  </si>
  <si>
    <t>Scissor, Diss., Reynolds, cvd., 14 cm</t>
  </si>
  <si>
    <t xml:space="preserve">COTTLE SEPTUM SPECULUM                  </t>
  </si>
  <si>
    <t>36-859-50-07</t>
  </si>
  <si>
    <t>NASAL SPECULUM, COTTLE, 50 MM, NO. 2</t>
  </si>
  <si>
    <t>36-859-75-07</t>
  </si>
  <si>
    <t>NASAL SPECULUM, COTTLE, 75 MM, NO. 3</t>
  </si>
  <si>
    <t xml:space="preserve">FERGUSON FRAZIER SUCTION TUBE           </t>
  </si>
  <si>
    <t>18-524-81-01</t>
  </si>
  <si>
    <t>Suct. tube, Fergusson, ø 2,0 mm, 20 cm</t>
  </si>
  <si>
    <t>18-524-82-01</t>
  </si>
  <si>
    <t>Suct. tube, Fergusson, ø 2,5 mm, 20 cm</t>
  </si>
  <si>
    <t>18-524-83-01</t>
  </si>
  <si>
    <t>Suct. tube, Fergusson, ø 3,0 mm, 20 cm</t>
  </si>
  <si>
    <t xml:space="preserve">MIXTER BABY HEMOSTATIC FORECEPS         </t>
  </si>
  <si>
    <t>13-471-14-07</t>
  </si>
  <si>
    <t>DISS. FORCEPS, MIXTER-BABY, CVD., 13 CM</t>
  </si>
  <si>
    <t>13-419-18-07</t>
  </si>
  <si>
    <t>DISS. FORCEPS, BABY-MIXTER, CVD., 18.5CM</t>
  </si>
  <si>
    <t xml:space="preserve">SENN MILLER RETRACTOR                   </t>
  </si>
  <si>
    <t xml:space="preserve">LANGEN BARK RETRACTOR                   </t>
  </si>
  <si>
    <t>15-317-01-07</t>
  </si>
  <si>
    <t>RETRACT., KOCHER-LANG., 25X6 MM, 21.5 CM</t>
  </si>
  <si>
    <t xml:space="preserve">KELLAY HEMOSTATIC FORCEPS               </t>
  </si>
  <si>
    <t>13-331-14-07</t>
  </si>
  <si>
    <t>HAEM. FORCEPS, KELLY, CVD., 14 CM</t>
  </si>
  <si>
    <t xml:space="preserve">CAIRNS (DANDY) HEMOSTATIC FORCEPS       </t>
  </si>
  <si>
    <t>13-355-14-07</t>
  </si>
  <si>
    <t>FORCEPS, DANDY, CVD. SIDEW., 14.5 CM</t>
  </si>
  <si>
    <t xml:space="preserve">FURGUOSEN MOUTH GAG                     </t>
  </si>
  <si>
    <t>38-161-14-07</t>
  </si>
  <si>
    <t>MOUTH GAG, MOLT, F. ADULTS, 13 CM</t>
  </si>
  <si>
    <t xml:space="preserve">DEAVER RETRACHOR SIZE                   </t>
  </si>
  <si>
    <t xml:space="preserve">BRAND TENDON PULLING FORCEPS            </t>
  </si>
  <si>
    <t xml:space="preserve">EMESIS BASIN (KIDNEYTRAY)               </t>
  </si>
  <si>
    <t xml:space="preserve">SPONGE BOWL                             </t>
  </si>
  <si>
    <t>56-231-14-01</t>
  </si>
  <si>
    <t>BOWL, METAL, H = 65, Ø 147 MM, 0.50L</t>
  </si>
  <si>
    <t xml:space="preserve">CLASSIC SPONGE HOLDING FORCEPS          </t>
  </si>
  <si>
    <t>14-352-20-07</t>
  </si>
  <si>
    <t>FORCEPS, FOERSTER, SERR., STR., 20.5 CM</t>
  </si>
  <si>
    <t xml:space="preserve">MIXTER FORCEPS DELICATE                 </t>
  </si>
  <si>
    <t>13-485-23-07</t>
  </si>
  <si>
    <t>DISS. FORCEPS, MIXTER, STR. CVD., 23 CM</t>
  </si>
  <si>
    <t>13-487-21-07</t>
  </si>
  <si>
    <t>FORCEPS, WICKSTROEM, ANGELD, 21 CM</t>
  </si>
  <si>
    <t xml:space="preserve">BAB COCK CLASSIC TISSUE FORCEPS         </t>
  </si>
  <si>
    <t xml:space="preserve">RIBBON MALLEABLE RETRACTOR DOUBLE ENDED </t>
  </si>
  <si>
    <t>15-975-13-01</t>
  </si>
  <si>
    <t>SPATULA, MARTIN, MALLEAB., 13 MM, 20 CM</t>
  </si>
  <si>
    <t>15-975-09-01</t>
  </si>
  <si>
    <t>SPATULA, MARTIN, MALLEAB., 9.5 MM, 20 CM</t>
  </si>
  <si>
    <t>15-975-16-01</t>
  </si>
  <si>
    <t>SPATULA, MARTIN, MALLEAB., 16 MM, 20 CM</t>
  </si>
  <si>
    <t>LISTERS BANDAGE SCISSORS STANDARD FINGER</t>
  </si>
  <si>
    <t>21-165-14-07</t>
  </si>
  <si>
    <t>BANDAGE SCISSORS, LISTER, 14.5 CM</t>
  </si>
  <si>
    <t xml:space="preserve">DESMARRES EYE LID RETRACTOR             </t>
  </si>
  <si>
    <t>15-091-16-07</t>
  </si>
  <si>
    <t>HOOKLET, DESMARRES, 16 MM, 16 CM</t>
  </si>
  <si>
    <t xml:space="preserve">Tenzel double ended periosteal elevator </t>
  </si>
  <si>
    <t>37-584-21-07</t>
  </si>
  <si>
    <t>ELEVATOR, COTTLE, 4.5 MM, 22 CM</t>
  </si>
  <si>
    <t>15-070-16-07</t>
  </si>
  <si>
    <t>HOOKLET, O'CONNOR, SHARP, 1-PR., 16 CM</t>
  </si>
  <si>
    <t>10-878-00-07</t>
  </si>
  <si>
    <t>DERMATOME, HUMBY, COMPLETE, 32 CM</t>
  </si>
  <si>
    <t>10-878-01-07</t>
  </si>
  <si>
    <t xml:space="preserve">SPARE BLADE F. 10-878-00                </t>
  </si>
  <si>
    <t xml:space="preserve"> </t>
  </si>
  <si>
    <t>Mouth Gag</t>
  </si>
  <si>
    <t>Tongue Depressors</t>
  </si>
  <si>
    <t>38-297-02-01</t>
  </si>
  <si>
    <t xml:space="preserve">TONGUE DEPRESSOR, WIEDER, 43 MM, 15 CM  </t>
  </si>
  <si>
    <t>38-297-01-01</t>
  </si>
  <si>
    <t xml:space="preserve">TONGUE DEPRESSOR, WIEDER, 36 MM, 14 CM  </t>
  </si>
  <si>
    <t>Mouth Props</t>
  </si>
  <si>
    <t>38-130-58-07</t>
  </si>
  <si>
    <t xml:space="preserve">MOUTH PROP, MCKESSON, S, F. INFANTS </t>
  </si>
  <si>
    <t>38-130-56-07</t>
  </si>
  <si>
    <t xml:space="preserve">MOUTH PROP, MCKESSON, S, F. CHILDES </t>
  </si>
  <si>
    <t>38-130-54-07</t>
  </si>
  <si>
    <t>MOUTH PROP, MCKESSON, L, F. ADULTS</t>
  </si>
  <si>
    <t>38-130-52-07</t>
  </si>
  <si>
    <t xml:space="preserve">MOUTH PROP, MCKESSON, XL, F. ADULTS </t>
  </si>
  <si>
    <t xml:space="preserve">Scissors  </t>
  </si>
  <si>
    <t>11-566-13-07</t>
  </si>
  <si>
    <t>SCISSORS, GOLDM.-FOX, STR., SERR., 13 CM</t>
  </si>
  <si>
    <t>Retractors</t>
  </si>
  <si>
    <t>48-121-08-07</t>
  </si>
  <si>
    <t xml:space="preserve">CHANNEL RETR., OBWEGESER, 9 MM, 16.5 CM </t>
  </si>
  <si>
    <t>48-121-10-07</t>
  </si>
  <si>
    <t>CHANNEL RETR., OBWEGESER, 10 MM, 16.5 CM</t>
  </si>
  <si>
    <t>Maxilla Mobilizers</t>
  </si>
  <si>
    <t>38-711-01-01</t>
  </si>
  <si>
    <t>MAXILLARY MOBILIZER, TESSIER, LEFT</t>
  </si>
  <si>
    <t>38-711-02-01</t>
  </si>
  <si>
    <t xml:space="preserve">MAXILLARY MOBILIZER, TESSIER, RIGHT </t>
  </si>
  <si>
    <t xml:space="preserve">Elevators </t>
  </si>
  <si>
    <t>48-130-09-07</t>
  </si>
  <si>
    <t>RASPATORY, OBWEGESER, 9 MM, 18 CM</t>
  </si>
  <si>
    <t>48-150-01-07</t>
  </si>
  <si>
    <t xml:space="preserve">RAMUS STRIPPER, OBWEG., 7.5 MM, 17.5 CM </t>
  </si>
  <si>
    <t>Bone Rasps</t>
  </si>
  <si>
    <t>23-434-13-07</t>
  </si>
  <si>
    <t xml:space="preserve">Raspatory, str., round, 5 mm, 12.5 cm   </t>
  </si>
  <si>
    <t>Measuring instruments</t>
  </si>
  <si>
    <t>35-133-07-07</t>
  </si>
  <si>
    <t xml:space="preserve">CALIPER, CASTROV., STR., 0-20 MM, 8 CM  </t>
  </si>
  <si>
    <t>Osteotomes</t>
  </si>
  <si>
    <t>23-139-04-07</t>
  </si>
  <si>
    <t xml:space="preserve">Osteotome, Lambotte, cvd., 4 mm, 24 cm  </t>
  </si>
  <si>
    <t>23-139-06-07</t>
  </si>
  <si>
    <t xml:space="preserve">Osteotome, Lambotte, cvd., 6 mm, 24 cm  </t>
  </si>
  <si>
    <t>23-139-10-07</t>
  </si>
  <si>
    <t xml:space="preserve">Osteotome, Lambotte, cvd., 10 mm, 24 cm </t>
  </si>
  <si>
    <t xml:space="preserve">Osteotome, Lambotte, 4 mm, 24 cm </t>
  </si>
  <si>
    <t xml:space="preserve">Osteotome, Lambotte, 6 mm, 24 cm </t>
  </si>
  <si>
    <t>23-131-05-04</t>
  </si>
  <si>
    <t xml:space="preserve">Spongiosa gouge, str., si., 5mm, 24.5cm </t>
  </si>
  <si>
    <t>48-166-08-07</t>
  </si>
  <si>
    <t xml:space="preserve">OSTEOTOME, OBWEGESER, CVD., 8 MM, 23 CM </t>
  </si>
  <si>
    <t xml:space="preserve">Mallets   </t>
  </si>
  <si>
    <t xml:space="preserve">MALLET, COTTLE, 300 GR., 19 CM   </t>
  </si>
  <si>
    <t>38-700-02-07</t>
  </si>
  <si>
    <t xml:space="preserve">REPOSITION FORCEPS, ROWE, L., 24 CM </t>
  </si>
  <si>
    <t>38-701-02-07</t>
  </si>
  <si>
    <t xml:space="preserve">REPOSITION FORCEPS, ROWE, R., 24 CM </t>
  </si>
  <si>
    <t>38-700-03-07</t>
  </si>
  <si>
    <t xml:space="preserve">REPOSITION FORCEPS, ROWE, L., 24.5 CM   </t>
  </si>
  <si>
    <t>38-701-03-07</t>
  </si>
  <si>
    <t xml:space="preserve">REPOSITION FORCEPS, ROWE, R., 24.5 CM   </t>
  </si>
  <si>
    <t>38-700-01-07</t>
  </si>
  <si>
    <t xml:space="preserve">REPOSITION FORCEPS, ROWE, L., 21.5 CM   </t>
  </si>
  <si>
    <t>38-701-01-07</t>
  </si>
  <si>
    <t xml:space="preserve">REPOSITION FORCEPS, ROWE, R., 21.5 CM   </t>
  </si>
  <si>
    <t>48-117-01-07</t>
  </si>
  <si>
    <t xml:space="preserve">RAMUS FCPS., OBWEG., LARGE, R., 17 CM   </t>
  </si>
  <si>
    <t>48-117-02-07</t>
  </si>
  <si>
    <t xml:space="preserve">RAMUS FCPS., OBWEG., LARGE, L., 17 CM   </t>
  </si>
  <si>
    <t>37-724-01-07</t>
  </si>
  <si>
    <t xml:space="preserve">SEPTUM STRAIGHTENING FCPS., STR., 23 CM </t>
  </si>
  <si>
    <t>37-725-23-07</t>
  </si>
  <si>
    <t xml:space="preserve">SEPTUM STRAIGHT. FORCEPS, ASCH, 22.5 CM </t>
  </si>
  <si>
    <t xml:space="preserve">Spreader  </t>
  </si>
  <si>
    <t>38-846-20-07</t>
  </si>
  <si>
    <t xml:space="preserve">RAMUS SEPARATOR, SMITH, 23.5 CM  </t>
  </si>
  <si>
    <t xml:space="preserve">IMF related </t>
  </si>
  <si>
    <t xml:space="preserve">TC-WIRE TWISTING FORCEPS, FINE, 20 CM   </t>
  </si>
  <si>
    <t>22-523-22-07</t>
  </si>
  <si>
    <t>TC-SIDE NIPPER, W. TRANSM., 23 CM</t>
  </si>
  <si>
    <t>Condyle Retractors</t>
  </si>
  <si>
    <t>38-739-14-07</t>
  </si>
  <si>
    <t xml:space="preserve">TMJ-CONDYLE RTERACTOR, DOLWICK, 14.5 CM </t>
  </si>
  <si>
    <t xml:space="preserve">TMJ Instruments   </t>
  </si>
  <si>
    <t>38-501-24-01</t>
  </si>
  <si>
    <t xml:space="preserve">EXTRAORAL RETRACTOR, 9.5X16 MM, 22 CM   </t>
  </si>
  <si>
    <t>38-750-16-07</t>
  </si>
  <si>
    <t xml:space="preserve">TMJ-SPREADER, CHAMPY-TYPE, 16 CM </t>
  </si>
  <si>
    <t>50-325-11-07</t>
  </si>
  <si>
    <t>ECKELT TMJ CLAMP LEFT</t>
  </si>
  <si>
    <t>50-325-12-07</t>
  </si>
  <si>
    <t xml:space="preserve">ECKELT TMJ CLAMP RIGHT   </t>
  </si>
  <si>
    <t>Skin Hooks</t>
  </si>
  <si>
    <t>37-684-15-07</t>
  </si>
  <si>
    <t xml:space="preserve">MUCOUS HOOKLET, JOSEPH, SHARP, 15.5 CM  </t>
  </si>
  <si>
    <t>Bone Curette</t>
  </si>
  <si>
    <t>23-362-11-07</t>
  </si>
  <si>
    <t xml:space="preserve">LUCAS-MARTIN BONE CURETTE, FIG. 1/1 </t>
  </si>
  <si>
    <t>23-352-17-07</t>
  </si>
  <si>
    <t xml:space="preserve">BONE CURETTE, VOLKMANN, OV./OV., 17 CM  </t>
  </si>
  <si>
    <t>INSTRUMENT SET FOR WIRING</t>
  </si>
  <si>
    <t>48-175-15-07</t>
  </si>
  <si>
    <t xml:space="preserve">MANDIBULA-AWL, OBWEGESER, 15 CM  </t>
  </si>
  <si>
    <t>48-175-17-07</t>
  </si>
  <si>
    <t>MANDIBULA-AWL, OBWEGESER, 17.5 CM</t>
  </si>
  <si>
    <t xml:space="preserve">ZYGOMATIC AWL, OBWEGESER, 24 CM  </t>
  </si>
  <si>
    <t>15-240-01-07</t>
  </si>
  <si>
    <t>RETRACTOR, KOCHER, SHARP, 1-PR., 22.5 CM</t>
  </si>
  <si>
    <t>22-500-15-07</t>
  </si>
  <si>
    <t xml:space="preserve">TC-WIRE TWISTING FORCEPS, FINE, 15.5 CM </t>
  </si>
  <si>
    <t>22-523-24-07</t>
  </si>
  <si>
    <t xml:space="preserve">TC-SIDE NIPPER, PEAR-LOCK, 23CM  </t>
  </si>
  <si>
    <t>11-878-12-07</t>
  </si>
  <si>
    <t>WIRE SCISSORS, SH/SH, STR., SERR., 12 CM</t>
  </si>
  <si>
    <t>INSTRUMENT SET FOR OSTEOTOMY &amp; BONE GRAF</t>
  </si>
  <si>
    <t>23-433-18-04</t>
  </si>
  <si>
    <t>Raspatory, cvd., str., si., 20 CM</t>
  </si>
  <si>
    <t>23-946-15-07</t>
  </si>
  <si>
    <t xml:space="preserve">BONE CUTT. FORCEPS, BOEHLER, CVD.,14CM  </t>
  </si>
  <si>
    <t>23-188-00-07</t>
  </si>
  <si>
    <t xml:space="preserve">BONE BIOPSY-INSTRUMENT, CHAMPY-O.S.U.   </t>
  </si>
  <si>
    <t>15-669-13-01</t>
  </si>
  <si>
    <t xml:space="preserve">RETRACTOR, DOUBLE, BABY-ROUX, 12.5 CM   </t>
  </si>
  <si>
    <t xml:space="preserve">HOOKLET, DESMARRES, 16 MM, 16 CM </t>
  </si>
  <si>
    <t>24-137-27-07</t>
  </si>
  <si>
    <t>RIB SHEARS, GIERTZ-STILLE, 24.5 CM</t>
  </si>
  <si>
    <t>23-441-17-07</t>
  </si>
  <si>
    <t xml:space="preserve">RIB RASPATORY, DOYEN, R., ADULT, 17 CM  </t>
  </si>
  <si>
    <t>23-443-17-07</t>
  </si>
  <si>
    <t xml:space="preserve">RIB RASPATORY, DOYEN, L., ADULT, 17 CM  </t>
  </si>
  <si>
    <t>38-697-01-07</t>
  </si>
  <si>
    <t>SPATULA ORBITAL STRAIGHT MALLEABLE</t>
  </si>
  <si>
    <t>38-697-02-07</t>
  </si>
  <si>
    <t>SPATULA ORBITAL STRAIGHT MALLEAB. GRADU.</t>
  </si>
  <si>
    <t>11-394-19-07</t>
  </si>
  <si>
    <t>SCISSORS, ANGLED 40°, 18.5 CM</t>
  </si>
  <si>
    <t>US</t>
  </si>
  <si>
    <t>MICRO INSTRUMENTS FOR MICRO SURGERY</t>
  </si>
  <si>
    <t>09-005-10-07</t>
  </si>
  <si>
    <t xml:space="preserve">Micro-Singleclip, Acland, V, 11 mm      </t>
  </si>
  <si>
    <t>09-005-11-07</t>
  </si>
  <si>
    <t xml:space="preserve">Micro-Singleclip, Acland, A, 11 mm      </t>
  </si>
  <si>
    <t>09-005-14-07</t>
  </si>
  <si>
    <t xml:space="preserve">Micro-Singleclip, Acland, V, 17 mm      </t>
  </si>
  <si>
    <t>09-005-15-07</t>
  </si>
  <si>
    <t xml:space="preserve">Micro-Singleclip, Acland, A, 17 mm      </t>
  </si>
  <si>
    <t>09-005-18-07</t>
  </si>
  <si>
    <t xml:space="preserve">Doubleclip, Acland, w/frame, V, 11 mm   </t>
  </si>
  <si>
    <t>09-005-19-07</t>
  </si>
  <si>
    <t xml:space="preserve">Doubleclip, Acland, w/frame, A, 11 mm   </t>
  </si>
  <si>
    <t>09-005-42-07</t>
  </si>
  <si>
    <t xml:space="preserve">Approximator, Acland, V, 11 mm          </t>
  </si>
  <si>
    <t>09-005-43-07</t>
  </si>
  <si>
    <t xml:space="preserve">Approximator, Acland, A, 11 mm          </t>
  </si>
  <si>
    <t>09-005-46-07</t>
  </si>
  <si>
    <t xml:space="preserve">Approximator, Acland, V, 17mm           </t>
  </si>
  <si>
    <t>09-005-47-07</t>
  </si>
  <si>
    <t xml:space="preserve">Approximator, Acland, A, 17mm           </t>
  </si>
  <si>
    <t>09-005-48-07</t>
  </si>
  <si>
    <t xml:space="preserve">Approximator, Acland, V, 25 mm          </t>
  </si>
  <si>
    <t>09-005-49-07</t>
  </si>
  <si>
    <t xml:space="preserve">Approximator, Acland, A, 25 mm          </t>
  </si>
  <si>
    <t>09-005-53-07</t>
  </si>
  <si>
    <t>Applying fcps.,Acland,w.ratch.,14cm,#1-3</t>
  </si>
  <si>
    <t>12-564-15-07</t>
  </si>
  <si>
    <t>MICRO FORCEPS, STR., 6.0X0.4 MM, 15 CM</t>
  </si>
  <si>
    <t>12-565-15-07</t>
  </si>
  <si>
    <t>MICRO FORCEPS, CVD., 6.0X0.4 MM, 15 CM</t>
  </si>
  <si>
    <t>12-591-02-07</t>
  </si>
  <si>
    <t>MICRO FORCEPS, 45°, 6X0.3 MM, 15 CM</t>
  </si>
  <si>
    <t>12-561-02-07</t>
  </si>
  <si>
    <t>DILATING-FORCEPS, 10°, 5X0.2 MM, 13.5 CM</t>
  </si>
  <si>
    <t>12-561-03-07</t>
  </si>
  <si>
    <t>DILATING-FORCEPS, 10°, 5X0.3 MM, 13.5 CM</t>
  </si>
  <si>
    <t>11-710-15-07</t>
  </si>
  <si>
    <t>MICRO SCISS., SH/SH, STR., 15 CM</t>
  </si>
  <si>
    <t>11-711-19-07</t>
  </si>
  <si>
    <t>MICRO SCISS., BL/BL, CVD., 18 CM</t>
  </si>
  <si>
    <t>11-711-15-07</t>
  </si>
  <si>
    <t>MICRO SCISS., SH/SH, CVD., 15 CM</t>
  </si>
  <si>
    <t>20-002-15-07</t>
  </si>
  <si>
    <t>MICRO NEEDLEHOLDER, STR., W. LOCK, 15 CM</t>
  </si>
  <si>
    <t>20-003-15-07</t>
  </si>
  <si>
    <t>MICRO NEEDLEHOLDER, CVD., W. LOCK, 15 CM</t>
  </si>
  <si>
    <t>55-009-09-04</t>
  </si>
  <si>
    <t>Silicone Mat f. Miniset Tray</t>
  </si>
  <si>
    <t>55-302-75-01</t>
  </si>
  <si>
    <t xml:space="preserve">NEEDLE CASE, PERFORATED, 75X25X4.5 MM   </t>
  </si>
  <si>
    <t>12-410-12-07</t>
  </si>
  <si>
    <t>FORCEPS, JEWELER, STR., NO. 3, 12 CM</t>
  </si>
  <si>
    <t>12-409-12-07</t>
  </si>
  <si>
    <t>FORCEPS, JEWELER, CVD., NO. 7, 12 CM</t>
  </si>
  <si>
    <t>09-005-50-07</t>
  </si>
  <si>
    <t xml:space="preserve">Approximator, Acland, V, 36 mm          </t>
  </si>
  <si>
    <t>09-005-51-07</t>
  </si>
  <si>
    <t xml:space="preserve">Approximator, Acland, A, 36 mm          </t>
  </si>
  <si>
    <t>09-005-04-07</t>
  </si>
  <si>
    <t xml:space="preserve">Micro-Singleclip, Acland, V, 25 mm      </t>
  </si>
  <si>
    <t>09-005-05-07</t>
  </si>
  <si>
    <t xml:space="preserve">Micro-Singleclip, Acland, A, 25 mm      </t>
  </si>
  <si>
    <t>09-005-06-07</t>
  </si>
  <si>
    <t xml:space="preserve">Singleclip, Acland, ang., V, 36 mm      </t>
  </si>
  <si>
    <t>09-005-07-07</t>
  </si>
  <si>
    <t xml:space="preserve">Singleclip, Acland, ang., A, 36 mm      </t>
  </si>
  <si>
    <t>MAXILLOFACIAL SURGICAL INSTRUMENTS Product</t>
  </si>
  <si>
    <t>IMPACTION KIT</t>
  </si>
  <si>
    <t>37-557-22-07</t>
  </si>
  <si>
    <t>Elevator, Howarth, 23 cm</t>
  </si>
  <si>
    <t>42-027-00-07</t>
  </si>
  <si>
    <t>CRYER ROOT ELEVATOR FIG. 27</t>
  </si>
  <si>
    <t>42-028-00-07</t>
  </si>
  <si>
    <t>CRYER ROOT ELEVATOR FIG. 28</t>
  </si>
  <si>
    <t>23-452-09-07</t>
  </si>
  <si>
    <t>MOLT-PERIOSTEAL ELEVATOR, FIG.9, 18 CM</t>
  </si>
  <si>
    <t>38-405-03-07</t>
  </si>
  <si>
    <t>AUSTIN SOFT TISSUE RETRACTOR, LONG</t>
  </si>
  <si>
    <t>42-415-02-07</t>
  </si>
  <si>
    <t>COUPLAND ROOT ELEVATOR, 2,5 MM</t>
  </si>
  <si>
    <t>42-576-01-07</t>
  </si>
  <si>
    <t>WARWICK-JAMES ROOT ELEVATOR, FIG. 1</t>
  </si>
  <si>
    <t>42-587-02-07</t>
  </si>
  <si>
    <t>HEIDEBRINK ROOT TIP TEASER FIG.2</t>
  </si>
  <si>
    <t>LUCAS-MARTIN BONE CURETTE, FIG. 1/1</t>
  </si>
  <si>
    <t>MOUTH PROP, MCKESSON, S, F. CHILDES</t>
  </si>
  <si>
    <t>38-130-50-07</t>
  </si>
  <si>
    <t>MOUTH PROP, MCKESSON, XXL, F. TEEHTLESS</t>
  </si>
  <si>
    <t>20-350-15-07</t>
  </si>
  <si>
    <t>NEEDLEHOLDER, CRILE-WOOD, GROOVED, 15 CM</t>
  </si>
  <si>
    <t>11-633-11-07</t>
  </si>
  <si>
    <t>IRIS SCISSORS, SH/SH, CVD. DOWN, 11.5 CM</t>
  </si>
  <si>
    <t>23-491-01-07</t>
  </si>
  <si>
    <t>Bone File, Cross Serration, No.1, 17,5cm</t>
  </si>
  <si>
    <t>18-523-09-01</t>
  </si>
  <si>
    <t>Suction tube, Frazier, ø 3.0 mm, 19.5 cm</t>
  </si>
  <si>
    <t>23-136-04-07</t>
  </si>
  <si>
    <t>OSTEOTOME, MINI-LAMBOTTE, 4 MM, 12.5 CM</t>
  </si>
  <si>
    <t>09-006-12-07</t>
  </si>
  <si>
    <t xml:space="preserve">Dressing forceps. Adson, 18 cm          </t>
  </si>
  <si>
    <t>42-746-02-07</t>
  </si>
  <si>
    <t>MOUTH MIRROR HANDLE, ROUND</t>
  </si>
  <si>
    <t>42-702-24-07</t>
  </si>
  <si>
    <t>MOUTH MIRROR, PL.F.5   22 MM</t>
  </si>
  <si>
    <t>43-402-66-07</t>
  </si>
  <si>
    <t>EXPLORER, R. HANDLE FIG. 6XL</t>
  </si>
  <si>
    <t>INSTRUMENT SET FOR ORTHOGNATHIC/MAXILLOFA</t>
  </si>
  <si>
    <t>REPOSITION FORCEPS, ROWE, L., 24 CM</t>
  </si>
  <si>
    <t>REPOSITION FORCEPS, ROWE, R., 24 CM</t>
  </si>
  <si>
    <t>23-721-14-07</t>
  </si>
  <si>
    <t>REPOSITION FORCEPS, LONG RATCHET, 15 CM</t>
  </si>
  <si>
    <t>TMJ-SPREADER, CHAMPY-TYPE, 16 CM</t>
  </si>
  <si>
    <t>38-616-10-07</t>
  </si>
  <si>
    <t>OUTER PROGENY RETRACTOR, LAUER, 15 CM</t>
  </si>
  <si>
    <t>48-125-15-07</t>
  </si>
  <si>
    <t>CHIN RETRACTOR, OBWEGES., 16.5 MM, 16 CM</t>
  </si>
  <si>
    <t>38-607-22-07</t>
  </si>
  <si>
    <t>RAMUS RETRACTOR, OBWEGESER, 22 CM</t>
  </si>
  <si>
    <t>38-613-10-07</t>
  </si>
  <si>
    <t>CHANNEL RETRACT., OBWEG., 10 MM, 16 CM</t>
  </si>
  <si>
    <t>15-095-20-07</t>
  </si>
  <si>
    <t>HOOKLET, MINI-LANGENBECK, 20X6 MM, 16 CM</t>
  </si>
  <si>
    <t>15-293-01-07</t>
  </si>
  <si>
    <t>RETRACTOR, LANGENBECK, 30X11 MM, 21,5 CM</t>
  </si>
  <si>
    <t>15-299-01-07</t>
  </si>
  <si>
    <t>Retract., Langenbeck, 40x13 mm, 21,5 cm</t>
  </si>
  <si>
    <t>38-725-03-07</t>
  </si>
  <si>
    <t>RETRACTOR,SUPERI.,DUNN-DAUTREY,8.0X50 MM</t>
  </si>
  <si>
    <t>15-754-15-07</t>
  </si>
  <si>
    <t>SPREADER, MOLLISON, SHARP, 4X4T., 15,5CM</t>
  </si>
  <si>
    <t>38-691-01-07</t>
  </si>
  <si>
    <t>ORBITAL RETRACTOR, ROWE, RIGHT, 19 CM</t>
  </si>
  <si>
    <t>38-691-02-07</t>
  </si>
  <si>
    <t>ORBITAL RETRACTOR, ROWE, LEFT, 19 CM</t>
  </si>
  <si>
    <t>48-101-55-07</t>
  </si>
  <si>
    <t>RETRACTOR,OBWEG.,UPW., 57X12,5MM, 23.5CM</t>
  </si>
  <si>
    <t>09-008-43-07</t>
  </si>
  <si>
    <t xml:space="preserve">Elevator, Bristow, 23 cm                </t>
  </si>
  <si>
    <t>23-428-06-04</t>
  </si>
  <si>
    <t>Raspatory, str., str., si., 20 cm</t>
  </si>
  <si>
    <t>23-432-18-04</t>
  </si>
  <si>
    <t>Raspatory, cvd., round, si., 20 cm</t>
  </si>
  <si>
    <t>42-576-02-07</t>
  </si>
  <si>
    <t>WARWICK-JAMES ROOT ELEVATOR, FIG. 2L</t>
  </si>
  <si>
    <t>42-576-03-07</t>
  </si>
  <si>
    <t>WARWICK-JAMES ROOT ELEVATOR, FIG. 3R</t>
  </si>
  <si>
    <t xml:space="preserve">BASIC SET FOR PLASTIC SURGERY           </t>
  </si>
  <si>
    <t>28-207-18-07</t>
  </si>
  <si>
    <t>SKIN HOOKLET, GILLIES, NO. 1, 18 CM</t>
  </si>
  <si>
    <t>15-072-01-07</t>
  </si>
  <si>
    <t>HOOKLET, GUTHRIE, SHARP, 2-PR., 16 CM</t>
  </si>
  <si>
    <t>20-634-13-07</t>
  </si>
  <si>
    <t>TC-NEEDLEHOLDER, HEGAR-BAUMGART., 13 CM</t>
  </si>
  <si>
    <t>20-634-14-07</t>
  </si>
  <si>
    <t>TC-NEEDLEHOLDER, HEGAR-BAUMGAR., 14.5 CM</t>
  </si>
  <si>
    <t>20-650-13-07</t>
  </si>
  <si>
    <t>TC-NEEDLEHOLDER, RYDER-MARTIN, 12.5 CM</t>
  </si>
  <si>
    <t>20-650-15-07</t>
  </si>
  <si>
    <t>TC-NEEDLEHOLDER, RYDER-MARTIN, 15 CM</t>
  </si>
  <si>
    <t>11-681-11-07</t>
  </si>
  <si>
    <t>TENOTOMY SCISSORS, SH/SH, CVD., 11 CM</t>
  </si>
  <si>
    <t>11-677-10-07</t>
  </si>
  <si>
    <t>SC-Scissors, Stevens, bl/bl, cvd.,11cm</t>
  </si>
  <si>
    <t>11-365-15-07</t>
  </si>
  <si>
    <t>SCISSORS, REYNOLDS, CVD., 15.5 CM</t>
  </si>
  <si>
    <t>11-365-18-07</t>
  </si>
  <si>
    <t>SCISSORS, REYNOLDS, CVD., 18 CM</t>
  </si>
  <si>
    <t>28-203-15-07</t>
  </si>
  <si>
    <t>SKIN HOOKLET, KILNER, GRACILE, 14.5 CM</t>
  </si>
  <si>
    <t>13-321-10-07</t>
  </si>
  <si>
    <t>FORCEPS MICRO-MOSQUITO, CVD., 10 CM</t>
  </si>
  <si>
    <t>13-347-16-07</t>
  </si>
  <si>
    <t>FORCEPS, CRILE-RANKIN, CVD., 16 CM</t>
  </si>
  <si>
    <t>11-819-13-07</t>
  </si>
  <si>
    <t>LIGAT. SCISSORS, NORTHBENT, CVD., 13 CM</t>
  </si>
  <si>
    <t>15-091-12-07</t>
  </si>
  <si>
    <t>HOOKLET, DESMARRES, 12 MM, 16 CM</t>
  </si>
  <si>
    <t>23-136-02-07</t>
  </si>
  <si>
    <t>OSTEOTOME, MINI-LAMBOTTE, 2 MM, 12.5 CM</t>
  </si>
  <si>
    <t>23-136-03-07</t>
  </si>
  <si>
    <t>OSTEOTOME, MINI-LAMBOTTE, 3 MM, 12.5 CM</t>
  </si>
  <si>
    <t>23-136-54-07</t>
  </si>
  <si>
    <t>OSTEOTOME, MINI-LAMBOTTE, 4 MM, 17 CM</t>
  </si>
  <si>
    <t>23-136-06-07</t>
  </si>
  <si>
    <t>OSTEOTOME, MINI-LAMBOTTE, 6 MM, 12.5 CM</t>
  </si>
  <si>
    <t>23-136-58-07</t>
  </si>
  <si>
    <t>OSTEOTOME, MINI-LAMBOTTE, 8 MM, 17 CM</t>
  </si>
  <si>
    <t>23-718-17-07</t>
  </si>
  <si>
    <t>BONE HOLDING FORCEPS, LEWIN, 18 CM</t>
  </si>
  <si>
    <t>38-405-02-07</t>
  </si>
  <si>
    <t>AUSTIN SOFT TISSUE RETRACTOR, SHORT</t>
  </si>
  <si>
    <t>38-224-00-07</t>
  </si>
  <si>
    <t>MOUTH GAG, DINGMANN, COMPLETE</t>
  </si>
  <si>
    <t>15-317-07-07</t>
  </si>
  <si>
    <t>RETRACT., KOCHER-LANG., 70X14 MM, 21.5CM</t>
  </si>
  <si>
    <t>15-975-06-01</t>
  </si>
  <si>
    <t>SPATULA, MARTIN, MALLEAB., 6.5 MM, 20 CM</t>
  </si>
  <si>
    <t>15-963-01-01</t>
  </si>
  <si>
    <t>ABDOM. SPATULA, MALLEABLE, 30 MM, 33 CM</t>
  </si>
  <si>
    <t>TC-WIRE TWISTING FORCEPS, FINE, 15.5 CM</t>
  </si>
  <si>
    <t>2</t>
  </si>
  <si>
    <t>1</t>
  </si>
  <si>
    <t>10-118-03-07</t>
  </si>
  <si>
    <t>SWIVEL HEAD SCALPEL HANDLE, 15.5 CM</t>
  </si>
  <si>
    <t>CALIPER, CASTROV., STR., 0-20 MM, 8 CM</t>
  </si>
  <si>
    <t>35-134-09-07</t>
  </si>
  <si>
    <t>CALIPER, CASTROV.-EPKER, 0-40 MM, 9 CM</t>
  </si>
  <si>
    <t>13-320-12-07</t>
  </si>
  <si>
    <t>FORCEPS MICRO-MOSQUITO, STR., 12 CM</t>
  </si>
  <si>
    <t>12-250-12-07</t>
  </si>
  <si>
    <t>TC-DRESSING FORCEPS, ADSON, 12 CM</t>
  </si>
  <si>
    <t>12-400-12-07</t>
  </si>
  <si>
    <t>FORCEPS, ADSON BROWN, 12 CM</t>
  </si>
  <si>
    <t>11-631-11-07</t>
  </si>
  <si>
    <t>IRIS SCISSORS, SH/SH, CVD., 11.5 CM</t>
  </si>
  <si>
    <t>11-641-12-07</t>
  </si>
  <si>
    <t>IRIS SCISSORS, SH/SH, CVD., 12.5 CM</t>
  </si>
  <si>
    <t>11-171-17-07</t>
  </si>
  <si>
    <t>SCISSORS, MAYO, CVD., 17 CM</t>
  </si>
  <si>
    <t>11-510-20-07</t>
  </si>
  <si>
    <t>Scissor, Nose, Heymann, angl., 20 cm</t>
  </si>
  <si>
    <t>11-513-13-07</t>
  </si>
  <si>
    <t>TC-Scissor, Nose, Giunta, cvd., 13,5 cm</t>
  </si>
  <si>
    <t>11-511-18-07</t>
  </si>
  <si>
    <t>NASAL SCISSORS, HEYMANN, 18 CM</t>
  </si>
  <si>
    <t>20-638-15-07</t>
  </si>
  <si>
    <t>20-637-12-07</t>
  </si>
  <si>
    <t>TC-NEEDLEHOLD., WEBSTER, SMOOTH, 12 CM</t>
  </si>
  <si>
    <t>36-856-04-07</t>
  </si>
  <si>
    <t>Speculum, nasal, Killian, 85 mm, #4</t>
  </si>
  <si>
    <t>36-856-02-07</t>
  </si>
  <si>
    <t>Speculum, nasal, Killian, 50 mm, #2</t>
  </si>
  <si>
    <t>37-697-19-07</t>
  </si>
  <si>
    <t>NASAL RETRACT., AUFRICHT, 45X11 MM, 19CM</t>
  </si>
  <si>
    <t>37-632-20-07</t>
  </si>
  <si>
    <t>NASAL SAW, JOSEPH, ANGLED LEFT, 17 CM</t>
  </si>
  <si>
    <t>37-656-01-07</t>
  </si>
  <si>
    <t>Rasp, Maltz, draw, 34x7 mm, 17 cm</t>
  </si>
  <si>
    <t>37-671-21-07</t>
  </si>
  <si>
    <t>GLABELLUM RASP, AUFRICHT, PUSH, 21 CM</t>
  </si>
  <si>
    <t>37-680-21-07</t>
  </si>
  <si>
    <t>NASAL RASP, FOMON, DOUBLE-ENDED, 20.5 CM</t>
  </si>
  <si>
    <t>37-606-04-07</t>
  </si>
  <si>
    <t>Osteotome, Cottle, gradu., 4 mm, 18,5 cm</t>
  </si>
  <si>
    <t>23-132-04-04</t>
  </si>
  <si>
    <t>Osteotome, Mini-Lexer, si., 4 mm, 18 cm</t>
  </si>
  <si>
    <t>23-132-06-04</t>
  </si>
  <si>
    <t>Osteotome, Mini-Lexer, si., 6 mm, 18 cm</t>
  </si>
  <si>
    <t>37-620-03-07</t>
  </si>
  <si>
    <t>CHISEL, WALTER, 3 MM, 19 CM</t>
  </si>
  <si>
    <t>37-620-04-07</t>
  </si>
  <si>
    <t>CHISEL, WALTER, 4.5 MM, 19 CM</t>
  </si>
  <si>
    <t>37-608-02-07</t>
  </si>
  <si>
    <t>Osteotome, Cottle, cross-gr., 2mm,18.5cm</t>
  </si>
  <si>
    <t>37-593-16-07</t>
  </si>
  <si>
    <t>SEPTUM CHISEL, FREER, CVD.,4 MM, 16,5 CM</t>
  </si>
  <si>
    <t>23-436-16-07</t>
  </si>
  <si>
    <t>RASPATORY, WILLIGER, CVD., 5 MM, 16 CM</t>
  </si>
  <si>
    <t>37-543-19-07</t>
  </si>
  <si>
    <t>SEPTUM ELEVATOR, FREER, BL., 19 CM</t>
  </si>
  <si>
    <t>37-559-23-07</t>
  </si>
  <si>
    <t>ELEVATOR, COTTLE, 5 MM, 23.5 CM</t>
  </si>
  <si>
    <t>37-560-18-07</t>
  </si>
  <si>
    <t>SEPTUM ELEVATOR, KILLIAN, 4 MM, 18 CM</t>
  </si>
  <si>
    <t>37-652-00-07</t>
  </si>
  <si>
    <t>CARTILAGE CRUSHER, COTTLE, W. CLIP</t>
  </si>
  <si>
    <t>37-652-02-04</t>
  </si>
  <si>
    <t>Cutting block, Teflon, 5,5x8,7x1,2 cm</t>
  </si>
  <si>
    <t>56-231-08-01</t>
  </si>
  <si>
    <t>BOWL, METAL, H = 40, Ø 80 MM, 0.14 L</t>
  </si>
  <si>
    <t>56-231-06-01</t>
  </si>
  <si>
    <t>BOWL, METAL, H = 30, Ø 61 MM, 0.07 L</t>
  </si>
  <si>
    <t>23-879-18-07</t>
  </si>
  <si>
    <t>BONE RONGEUR, BEYER, CVD., 18 CM</t>
  </si>
  <si>
    <t>37-625-01-07</t>
  </si>
  <si>
    <t>OSTEOTOME, NEIVERT-ANDERSON, 7 MM, R.</t>
  </si>
  <si>
    <t>37-625-02-07</t>
  </si>
  <si>
    <t>OSTEOTOME, NEIVERT-ANDERSON, 7 MM, L.</t>
  </si>
  <si>
    <t>37-704-07-07</t>
  </si>
  <si>
    <t>SKIN HOOKLET, JOSEPH, 2-PR., 7 MM, 16 CM</t>
  </si>
  <si>
    <t>37-704-10-07</t>
  </si>
  <si>
    <t>SKIN HOOKLET, JOSEPH, 2-PR., 10 MM</t>
  </si>
  <si>
    <t>23-419-15-07</t>
  </si>
  <si>
    <t>RASPATORY, FARABEUF, CVD., 15.5 CM</t>
  </si>
  <si>
    <t>24-691-24-07</t>
  </si>
  <si>
    <t>Dissector, Davis, double-ended, 24.5 cm</t>
  </si>
  <si>
    <t>48-156-06-07</t>
  </si>
  <si>
    <t>SEPTUM OSTEOTOME, OBWEGESER, 6 MM, 19 CM</t>
  </si>
  <si>
    <t>37-627-06-07</t>
  </si>
  <si>
    <t>Osteotome, Fanous, str., ri., 4mm,19,5cm</t>
  </si>
  <si>
    <t>37-627-07-07</t>
  </si>
  <si>
    <t>Osteotome, Fanous, str., le., 4mm,19,5cm</t>
  </si>
  <si>
    <t>37-682-03-07</t>
  </si>
  <si>
    <t>TC-NASAL RASP, FOMON, NO. 5/6, 20.5 CM</t>
  </si>
  <si>
    <t>37-682-05-07</t>
  </si>
  <si>
    <t>TC-NASAL RASP, FOMON, NO. 9/10, 20.5 CM</t>
  </si>
  <si>
    <t>37-581-22-07</t>
  </si>
  <si>
    <t>SEPTUM ELEVATOR, COTTLE, 3.7 MM, 23 CM</t>
  </si>
  <si>
    <t>SE</t>
  </si>
  <si>
    <t>CRANIOFACIAL SUSPENSION SET</t>
  </si>
  <si>
    <t>RHINOPLASTY SET</t>
  </si>
  <si>
    <t>11-879-12-07</t>
  </si>
  <si>
    <t>WIRE SCISSORS, SH/SH, CVD., SERR., 12 CM</t>
  </si>
  <si>
    <t>11-915-17-07</t>
  </si>
  <si>
    <t>TC-Ligature sciss., cvd., serr., 17 cm</t>
  </si>
  <si>
    <t>12-120-16-07</t>
  </si>
  <si>
    <t>DRESSING FORCEPS, MEDIUM WIDE, 16 CM</t>
  </si>
  <si>
    <t>12-370-15-07</t>
  </si>
  <si>
    <t>Diss. forceps, Gillies, 1x2 T., 15,5 cm</t>
  </si>
  <si>
    <t>13-923-10-07</t>
  </si>
  <si>
    <t>TOWEL FORCEPS, TOHOKU, BLUNT, 10.5 CM</t>
  </si>
  <si>
    <t>14-101-27-07</t>
  </si>
  <si>
    <t>TAMPON FORCEPS, ULRICH, CVD., 26.5 CM</t>
  </si>
  <si>
    <t>15-099-16-07</t>
  </si>
  <si>
    <t>RETRACTOR, BLUNT, 2-PR., 14X8 MM, 16 CM</t>
  </si>
  <si>
    <t>15-100-01-07</t>
  </si>
  <si>
    <t>RETRACTOR, DELIC., SHARP, 1-PR., 16.5 CM</t>
  </si>
  <si>
    <t>15-100-04-07</t>
  </si>
  <si>
    <t>RETRACTOR, DELIC., SHARP, 4-PR., 16.5 CM</t>
  </si>
  <si>
    <t>15-220-01-07</t>
  </si>
  <si>
    <t>RETRACTOR, VOLKMANN, SH., 1-PR., 22.5 CM</t>
  </si>
  <si>
    <t>15-361-02-07</t>
  </si>
  <si>
    <t>RETRACTOR, MIDDELDORPF, 22X22 MM, 23 CM</t>
  </si>
  <si>
    <t>15-971-00-01</t>
  </si>
  <si>
    <t>ABDOM. SPATULA, HABERER, 16/25 MM, 20 CM</t>
  </si>
  <si>
    <t>18-523-10-01</t>
  </si>
  <si>
    <t>Suction tube, Frazier, ø 3.3 mm, 19.5 cm</t>
  </si>
  <si>
    <t>39-311-19-07</t>
  </si>
  <si>
    <t>GAUZE PACKER, LUNIATSCHEK, 3 MM, 17.5 CM</t>
  </si>
  <si>
    <t>23-124-10-07</t>
  </si>
  <si>
    <t>OSTEOTOME, STILLE, 10 MM, 20.5 CM</t>
  </si>
  <si>
    <t>BASIC INSTRUMENTS FOR PLASTIC &amp; RECONSTRUCTIVE SURGERY</t>
  </si>
  <si>
    <t>11-937-11-07</t>
  </si>
  <si>
    <t>TC-DISSECTING SCISSORS, CVD., 11.5 CM</t>
  </si>
  <si>
    <t>11-943-18-07</t>
  </si>
  <si>
    <t>TC-Dissecting Scissors, cvd., 18 cm</t>
  </si>
  <si>
    <t>11-942-18-07</t>
  </si>
  <si>
    <t>TC-DISSECTING SCISSORS, STR., 18 CM</t>
  </si>
  <si>
    <t>11-910-14-07</t>
  </si>
  <si>
    <t>TC-SCISSORS, MAYO, STR., 14.5 CM</t>
  </si>
  <si>
    <t>11-317-14-07</t>
  </si>
  <si>
    <t>NASAL SCISSORS, FOMON, CVD., 14 CM</t>
  </si>
  <si>
    <t>12-404-15-07</t>
  </si>
  <si>
    <t>DRESSING FORCEPS, MICRO-ADSON, 15 CM</t>
  </si>
  <si>
    <t>09-007-84-07</t>
  </si>
  <si>
    <t xml:space="preserve">Forceps, tissue, Adson, 1x2 T., 18 cm   </t>
  </si>
  <si>
    <t>12-192-21-07</t>
  </si>
  <si>
    <t>DRESSING FORCEPS, POTTS-SMITH, 21 CM</t>
  </si>
  <si>
    <t>12-392-21-07</t>
  </si>
  <si>
    <t>FORCEPS, POTTS-SMITH, 1X2 T., 21 CM</t>
  </si>
  <si>
    <t>37-699-11-07</t>
  </si>
  <si>
    <t>RETRACTOR, CONVERSE, 44X11 MM, 10.5 CM</t>
  </si>
  <si>
    <t>15-293-03-07</t>
  </si>
  <si>
    <t>RETRACTOR, LANGENBECK, 30X15 MM, 21,5 CM</t>
  </si>
  <si>
    <t>15-293-05-07</t>
  </si>
  <si>
    <t>RETRACTOR, LANGENBECK, 50X11 MM, 21,5 CM</t>
  </si>
  <si>
    <t>20-668-02-07</t>
  </si>
  <si>
    <t>TC-NEEDLEHOLD., MARTINI, SMOOTH, 17.5 CM</t>
  </si>
  <si>
    <t>20-630-13-07</t>
  </si>
  <si>
    <t>TC-NEEDLEHOLDER, WEBSTER, SMOOTH, 13 CM</t>
  </si>
  <si>
    <t>20-620-00-07</t>
  </si>
  <si>
    <t>TC-MICRO NEEDLEH., STR., W. LOCK,14.5CM</t>
  </si>
  <si>
    <t>20-620-18-07</t>
  </si>
  <si>
    <t>TC-MICRO NEEDELH., STR., W. LOCK, 18 CM</t>
  </si>
  <si>
    <t>13-340-14-07</t>
  </si>
  <si>
    <t>HAEMOST. FORCEPS, CRILE, STR., 14.5 CM</t>
  </si>
  <si>
    <t>13-341-14-07</t>
  </si>
  <si>
    <t>HAEMOST. FORCEPS, CRILE, CVD., 14,5 CM</t>
  </si>
  <si>
    <t>36-845-02-07</t>
  </si>
  <si>
    <t>NASAL SPECULUM, HARTMANN-HALLE, NO. 2</t>
  </si>
  <si>
    <t>18-523-07-01</t>
  </si>
  <si>
    <t>Suction tube, Frazier, ø 2.3 mm, 19.5 cm</t>
  </si>
  <si>
    <t>18-523-12-01</t>
  </si>
  <si>
    <t>Suction tube, Frazier, ø 4.0 mm, 19.5 cm</t>
  </si>
  <si>
    <t>23-676-15-07</t>
  </si>
  <si>
    <t>TENDON PULLING FORCEPS, BRAND, 15 CM</t>
  </si>
  <si>
    <t>23-676-24-07</t>
  </si>
  <si>
    <t>TENDON PULLING FORCEPS, BRAND, 24.5 CM</t>
  </si>
  <si>
    <t>23-678-01-07</t>
  </si>
  <si>
    <t>TENDON PULLING FORCEPS, CVD., 20.5 CM</t>
  </si>
  <si>
    <t>13-451-13-07</t>
  </si>
  <si>
    <t>DISS. FORCEPS, GEMINI, STR. CVD., 13 CM</t>
  </si>
  <si>
    <t>23-678-00-07</t>
  </si>
  <si>
    <t>TENDON PULLING FORCEPS, STR., 21 CM</t>
  </si>
  <si>
    <t>35-134-18-07</t>
  </si>
  <si>
    <t>CALIPER, CASTROV.-EPKER, 0-40 MM, 18 CM</t>
  </si>
  <si>
    <t>17-412-15-07</t>
  </si>
  <si>
    <t>Ruler, mm/inch, 15 cm</t>
  </si>
  <si>
    <t>17-412-30-07</t>
  </si>
  <si>
    <t>Ruler, mm/inch, 30 cm</t>
  </si>
  <si>
    <t>10-133-31-07</t>
  </si>
  <si>
    <t>SCALPEL HANDLE, NO. 3L, LONG, 21.5 CM</t>
  </si>
  <si>
    <t>12-301-25-07</t>
  </si>
  <si>
    <t>TISSUE FORCEPS, 1X2 T., 25 CM</t>
  </si>
  <si>
    <t>12-100-25-07</t>
  </si>
  <si>
    <t>DRESSING FORCEPS, 25 CM</t>
  </si>
  <si>
    <t>14-110-16-07</t>
  </si>
  <si>
    <t>SINUS FORCEPS, LISTER, STR., 16 CM</t>
  </si>
  <si>
    <t>14-110-18-07</t>
  </si>
  <si>
    <t>SINUS FORCEPS, LISTER, STR., 18.5 CM</t>
  </si>
  <si>
    <t>14-223-22-07</t>
  </si>
  <si>
    <t>FORCEPS, GROSS-MAIER, CVD., 22.5 CM</t>
  </si>
  <si>
    <t>56-231-04-01</t>
  </si>
  <si>
    <t>BOWL, METAL, H = 19, Ø 40 MM, 0.02 L</t>
  </si>
  <si>
    <t>24-541-20-07</t>
  </si>
  <si>
    <t>Hook, Crile, 90°, 20 cm</t>
  </si>
  <si>
    <t>23-934-14-07</t>
  </si>
  <si>
    <t>BONE CUTT. FORCEPS, LISTON, STR., 14 CM</t>
  </si>
  <si>
    <t>23-934-17-07</t>
  </si>
  <si>
    <t>BONE CUTT. FORCEPS, LISTON, STR., 17 CM</t>
  </si>
  <si>
    <t>23-885-20-07</t>
  </si>
  <si>
    <t>BONE RONGEUR, MARQUARD, 20.5 CM</t>
  </si>
  <si>
    <t>28-100-05-07</t>
  </si>
  <si>
    <t>Retractor, breast, 125x30 mm, 27 cm</t>
  </si>
  <si>
    <t>28-100-06-07</t>
  </si>
  <si>
    <t>Retractor, breast, 140x30 mm, 27 cm</t>
  </si>
  <si>
    <t>28-100-07-07</t>
  </si>
  <si>
    <t>Elevator, Breast, f. Mammaplasty, 28 cm</t>
  </si>
  <si>
    <t>28-100-10-07</t>
  </si>
  <si>
    <t>Areola marker, blunt, Ø 36 mm</t>
  </si>
  <si>
    <t>28-100-11-07</t>
  </si>
  <si>
    <t>Areola marker, blunt, Ø 40 mm</t>
  </si>
  <si>
    <t>11-630-11-07</t>
  </si>
  <si>
    <t>IRIS SCISSORS, SH/SH, STR., 11.5 CM</t>
  </si>
  <si>
    <t>15-683-00-07</t>
  </si>
  <si>
    <t>RETRACTOR, MATHIEU, SET, 20 CM</t>
  </si>
  <si>
    <t>15-734-20-07</t>
  </si>
  <si>
    <t>WOUNDSPREADER, SHARP, 3X4 T., 20 CM</t>
  </si>
  <si>
    <t>24-388-16-07</t>
  </si>
  <si>
    <t>ATR. FORCEPS, DE BAKEY, 2 MM, 16 CM</t>
  </si>
  <si>
    <t>11-659-14-07</t>
  </si>
  <si>
    <t>SC-Dissect.Scissors,Metzenb.cvd. 14,5 cm</t>
  </si>
  <si>
    <t>HU</t>
  </si>
  <si>
    <t>Tracheostomy instruments Set</t>
  </si>
  <si>
    <t>13-375-13-07</t>
  </si>
  <si>
    <t>FORCEPS, PEAN, DELICATE, CVD., 13 CM</t>
  </si>
  <si>
    <t>13-374-13-07</t>
  </si>
  <si>
    <t>FORCEPS, PEAN, DELICATE, STR., 13,5 CM</t>
  </si>
  <si>
    <t>12-369-12-07</t>
  </si>
  <si>
    <t>Forceps, tissue, Adson, 2x3 t., 12 cm</t>
  </si>
  <si>
    <t>12-172-12-07</t>
  </si>
  <si>
    <t>DRESSING FORCEPS, SEMKEN, 12.5 CM</t>
  </si>
  <si>
    <t>11-259-14-07</t>
  </si>
  <si>
    <t>DISSECT. SCISSORS, SH/SH, CVD., 14.5 CM</t>
  </si>
  <si>
    <t>11-104-16-07</t>
  </si>
  <si>
    <t>OPERATING SCISSORS, SH/SH, STR., 16.5 CM</t>
  </si>
  <si>
    <t>15-293-02-07</t>
  </si>
  <si>
    <t>RETRACTOR, LANGENBECK, 30X13 MM, 21,5 CM</t>
  </si>
  <si>
    <t>15-100-02-07</t>
  </si>
  <si>
    <t>RETRACTOR, DELIC., SHARP, 2-PR., 16.5 CM</t>
  </si>
  <si>
    <t>27-155-17-07</t>
  </si>
  <si>
    <t>TRACHEA RETRACTOR, JACKSON, DBL., 18 CM</t>
  </si>
  <si>
    <t>20-390-14-07</t>
  </si>
  <si>
    <t>NEEDLEHOLDER, MAYO-HEGAR, 14.5 CM</t>
  </si>
  <si>
    <t>20-390-16-07</t>
  </si>
  <si>
    <t>NEEDLEHOLDER, MAYO-HEGAR, 16 CM</t>
  </si>
  <si>
    <t>27-113-14-07</t>
  </si>
  <si>
    <t>TRACHEAL DILATOR, LABORDE, 14 CM</t>
  </si>
  <si>
    <t>18-523-11-01</t>
  </si>
  <si>
    <t>Suction tube, Frazier, ø 3.6 mm, 19.5 cm</t>
  </si>
  <si>
    <t>Cleft Lip and plastic instrument set</t>
  </si>
  <si>
    <t>12-188-17-07</t>
  </si>
  <si>
    <t>DRESSING FORCEPS, CUSHING, STR., 17.5 CM</t>
  </si>
  <si>
    <t>11-497-17-07</t>
  </si>
  <si>
    <t>SCISSORS, DEAN, SERR., ANG. UP., 17.5 CM</t>
  </si>
  <si>
    <t>11-317-11-07</t>
  </si>
  <si>
    <t>NASAL SCISSORS, CINELLI, 11.5 CM</t>
  </si>
  <si>
    <t>37-694-17-07</t>
  </si>
  <si>
    <t>ALAR RETRACTOR, FOMON, BLUNT, 17 CM</t>
  </si>
  <si>
    <t>28-215-03-07</t>
  </si>
  <si>
    <t>FACE-LIFT HOOKLET, KAYE, 4-PR., 13 CM</t>
  </si>
  <si>
    <t>37-568-21-07</t>
  </si>
  <si>
    <t>SEPTUM ELEVATOR, PENNINGTON, 21.5 CM</t>
  </si>
  <si>
    <t>39-003-18-07</t>
  </si>
  <si>
    <t>CLEFT PALATE RETRACTOR, LONG, 18 CM</t>
  </si>
  <si>
    <t>39-001-18-07</t>
  </si>
  <si>
    <t>CLEFT PALATE RETRACTOR, SHORT, 18 CM</t>
  </si>
  <si>
    <t>39-011-18-07</t>
  </si>
  <si>
    <t>DISSECTOR, SALYER, ANG., SHORT, 18 CM</t>
  </si>
  <si>
    <t>39-013-18-07</t>
  </si>
  <si>
    <t>DISSECTOR, SALYER, ANG., LONG, 18 CM</t>
  </si>
  <si>
    <t>39-021-18-07</t>
  </si>
  <si>
    <t>ELEVATOR, SALYER, SLIGHT CVD., 18 CM</t>
  </si>
  <si>
    <t>10-146-03-07</t>
  </si>
  <si>
    <t>SCALPEL HANDLE ROUND, STR., NO. 3, 14 CM</t>
  </si>
  <si>
    <t>20-638-20-07</t>
  </si>
  <si>
    <t xml:space="preserve">TC-NEEDLEHOLDER, CRILE-WOOD, 20.5 CM    </t>
  </si>
  <si>
    <t>20-636-13-07</t>
  </si>
  <si>
    <t>TC-NEEDLEHOLDER, HALSEY, SMOOTH, 13 CM</t>
  </si>
  <si>
    <t>12-279-18-07</t>
  </si>
  <si>
    <t>TC-FORCEPS, JABOMA, ANG., 1X2 T., 18 CM</t>
  </si>
  <si>
    <t>12-240-16-07</t>
  </si>
  <si>
    <t>TC-FORCEPS, SEMKEN, 1X2 T., 15.5 CM</t>
  </si>
  <si>
    <t>12-240-18-07</t>
  </si>
  <si>
    <t>TC-FORCEPS, SEMKEN, 1X2 T., 17.5 CM</t>
  </si>
  <si>
    <t>23-449-00-07</t>
  </si>
  <si>
    <t>PERIOST.ELEV. WOODSON, 17,5 CM</t>
  </si>
  <si>
    <t>39-100-17-07</t>
  </si>
  <si>
    <t>CLEFT PALATE RASPATORY, JABOMA, 17 CM</t>
  </si>
  <si>
    <t>39-027-18-07</t>
  </si>
  <si>
    <t>ELEVATOR, SALYER, ANGLED, GRADU., 18 CM</t>
  </si>
  <si>
    <t>38-243-11-01</t>
  </si>
  <si>
    <t>CHEEK RETRACTOR, MARTIN-SIMPLEX, 10.5 CM</t>
  </si>
  <si>
    <t>23-199-12-04</t>
  </si>
  <si>
    <t>Tamper, Caspar, si., Ø 12 mm, 20 cm</t>
  </si>
  <si>
    <t>23-190-05-07</t>
  </si>
  <si>
    <t>SPONGIOSA-GRAFT REMOVER, 16 MM, 22.5 CM</t>
  </si>
  <si>
    <t>37-572-19-07</t>
  </si>
  <si>
    <t>SEPTUM ELEVATOR, ROGER, 4 MM, 20 CM</t>
  </si>
  <si>
    <t>NEU BRAIN SET</t>
  </si>
  <si>
    <t>Cranial Drill</t>
  </si>
  <si>
    <t>22-152-00-07</t>
  </si>
  <si>
    <t>HAND DRILL, HUDSON, COMPLETE</t>
  </si>
  <si>
    <t>22-152-09-07</t>
  </si>
  <si>
    <t>EXTENSION F. HUDSON-DRILL</t>
  </si>
  <si>
    <t>22-152-01-07</t>
  </si>
  <si>
    <t>BURR, CONE SHAPE, HUDSON, NO. 1</t>
  </si>
  <si>
    <t>22-152-05-07</t>
  </si>
  <si>
    <t>BURR, FLAT TYPE, CUSHING, 14 MM WIDE</t>
  </si>
  <si>
    <t>22-152-02-07</t>
  </si>
  <si>
    <t>BURR, CONE SHAPE, HUDSON, NO. 2</t>
  </si>
  <si>
    <t>22-152-08-07</t>
  </si>
  <si>
    <t>DRILL, ERRICO, Ø 16 MM</t>
  </si>
  <si>
    <t>24-600-40-07</t>
  </si>
  <si>
    <t>WIRE SAW, GIGLI, FOURFOLD, 40 CM</t>
  </si>
  <si>
    <t>Sets</t>
  </si>
  <si>
    <t>10-137-71-07</t>
  </si>
  <si>
    <t>SCALPEL HANDLE,NO. 7K,SOLID,SHORT,12,5cm</t>
  </si>
  <si>
    <t>12-302-14-07</t>
  </si>
  <si>
    <t>TISSUE FORCEPS, 2X3 T., 14.5 CM</t>
  </si>
  <si>
    <t>12-170-15-07</t>
  </si>
  <si>
    <t>DRESSING FORCEPS, MCINDOE, 15 CM</t>
  </si>
  <si>
    <t>12-120-14-07</t>
  </si>
  <si>
    <t>DRESSING FORCEPS, MEDIUM WIDE, 14.5 CM</t>
  </si>
  <si>
    <t>12-100-14-07</t>
  </si>
  <si>
    <t>DRESSING FORCEPS, 14.5 CM</t>
  </si>
  <si>
    <t>12-168-15-07</t>
  </si>
  <si>
    <t>DRESSING FORCEPS, ADSON, 15 CM</t>
  </si>
  <si>
    <t>12-371-20-07</t>
  </si>
  <si>
    <t>Diss. forceps, Waugh, 1x2 T., 20 cm</t>
  </si>
  <si>
    <t>37-115-20-07</t>
  </si>
  <si>
    <t>NASAL TAMPON FORCEPS, GRUENWALD, 21.5 CM</t>
  </si>
  <si>
    <t>20-632-12-07</t>
  </si>
  <si>
    <t>TC-NEEDLEHOLDER, DERF, 12 CM</t>
  </si>
  <si>
    <t>20-646-20-07</t>
  </si>
  <si>
    <t>TC-NEEDLEHOLDER, DE BAKEY, 20.5 CM</t>
  </si>
  <si>
    <t>24-851-10-07</t>
  </si>
  <si>
    <t>Micro needleh., Yasargil,bay.str., 20cm</t>
  </si>
  <si>
    <t>13-915-11-07</t>
  </si>
  <si>
    <t>TOWEL FORCEPS, BACKHAUS, SHARP, 11 CM</t>
  </si>
  <si>
    <t>13-316-18-07</t>
  </si>
  <si>
    <t>HAEM. FORCEPS, MOSQUITO, STR., 18.5 CM</t>
  </si>
  <si>
    <t>13-317-18-07</t>
  </si>
  <si>
    <t>HAEM. FORCEPS, MOSQUITO, CVD., 18 CM</t>
  </si>
  <si>
    <t>13-357-14-07</t>
  </si>
  <si>
    <t>FORCEPS, DANDY, 1X2 T., CVD., 14 CM</t>
  </si>
  <si>
    <t>Scalpel handle</t>
  </si>
  <si>
    <t>10-149-01-07</t>
  </si>
  <si>
    <t>Scalpel handle, Landolt, bay., 21 cm</t>
  </si>
  <si>
    <t>Forceps-needle holders</t>
  </si>
  <si>
    <t>12-252-15-07</t>
  </si>
  <si>
    <t>TC-TISSUE FORCEPS, ADSON, 1X2 T., 15 CM</t>
  </si>
  <si>
    <t>12-252-12-07</t>
  </si>
  <si>
    <t>TC-TISSUE FORCEPS, ADSON, 1X2 T., 12 CM</t>
  </si>
  <si>
    <t>24-852-72-07</t>
  </si>
  <si>
    <t>Micro fcps., Yasargil, bay., 1x2T., 18cm</t>
  </si>
  <si>
    <t>20-338-13-07</t>
  </si>
  <si>
    <t>NEEDLEHOLDER, NEIVERT, GROOVED, 12.5 CM</t>
  </si>
  <si>
    <t>Artery,scissor</t>
  </si>
  <si>
    <t>13-334-16-07</t>
  </si>
  <si>
    <t>HAEM. FORCEPS, KELLY-RANKIN, STR., 16 CM</t>
  </si>
  <si>
    <t>10-149-05-07</t>
  </si>
  <si>
    <t>Scalpel handle, bay., 21 cm</t>
  </si>
  <si>
    <t xml:space="preserve">Forceps-Needle holder                   </t>
  </si>
  <si>
    <t>12-321-14-07</t>
  </si>
  <si>
    <t>TISSUE FORCEPS, 1X2 T., SLIM, 14.5 CM</t>
  </si>
  <si>
    <t>24-389-20-07</t>
  </si>
  <si>
    <t>ATR. FCPS., DE BAKEY, ANG., 2 MM, 20 CM</t>
  </si>
  <si>
    <t>12-383-17-07</t>
  </si>
  <si>
    <t>Diss. forceps, bayon., 1x2 T., 18.5 cm</t>
  </si>
  <si>
    <t>12-256-18-07</t>
  </si>
  <si>
    <t>TC-FORCEPS, CUSHING-TAYLOR, 18.5 CM</t>
  </si>
  <si>
    <t>Artery-Scissor</t>
  </si>
  <si>
    <t>SCISSORS</t>
  </si>
  <si>
    <t>11-713-15-07</t>
  </si>
  <si>
    <t>11-712-15-07</t>
  </si>
  <si>
    <t>11-635-11-07</t>
  </si>
  <si>
    <t>IRIS SCISSORS, SH/SH, ANGLED , 11.5 CM</t>
  </si>
  <si>
    <t>24-850-22-07</t>
  </si>
  <si>
    <t>Micro scissors,Yasargil,bay.str.,20cm</t>
  </si>
  <si>
    <t>24-850-23-07</t>
  </si>
  <si>
    <t>Micro scissors,Yasargil,bay.cvd., 20cm</t>
  </si>
  <si>
    <t>24-850-25-07</t>
  </si>
  <si>
    <t>Micro scissors,Yasargil,bay.str.,22.5cm</t>
  </si>
  <si>
    <t>Forceps &amp; Needle holder</t>
  </si>
  <si>
    <t>CURETTES</t>
  </si>
  <si>
    <t>24-844-13-07</t>
  </si>
  <si>
    <t>Curette, Tew #13, sharp, 90° up, 23cm</t>
  </si>
  <si>
    <t>24-844-14-07</t>
  </si>
  <si>
    <t>Curette, Tew #14, sharp, 45°, up, 23cm</t>
  </si>
  <si>
    <t>24-844-15-07</t>
  </si>
  <si>
    <t>Curette, Tew #15, sharp, 45°, down, 23cm</t>
  </si>
  <si>
    <t>24-844-16-07</t>
  </si>
  <si>
    <t>Curette, Tew #16, sharp, 90°, up, 23cm</t>
  </si>
  <si>
    <t>24-844-17-07</t>
  </si>
  <si>
    <t>Curette, Tew #17, sharp, 45°, up, 23cm</t>
  </si>
  <si>
    <t>24-844-18-07</t>
  </si>
  <si>
    <t>Curette, Tew #18, sharp, 45°, down, 23cm</t>
  </si>
  <si>
    <t>24-844-19-07</t>
  </si>
  <si>
    <t>Curette, Tew #19, blunt, 90°, up, 23cm</t>
  </si>
  <si>
    <t>24-844-20-07</t>
  </si>
  <si>
    <t>Curette, Tew #20, blunt, 45°, up, 23cm</t>
  </si>
  <si>
    <t>HYDROCEPHALUS SET</t>
  </si>
  <si>
    <t>24-866-01-07</t>
  </si>
  <si>
    <t>Hooklet, micro, sharp, 23 cm</t>
  </si>
  <si>
    <t>11-102-14-07</t>
  </si>
  <si>
    <t>OPERATING SCISSORS, SH/BL, STR., 14.5 CM</t>
  </si>
  <si>
    <t>11-364-15-07</t>
  </si>
  <si>
    <t>SCISSORS, REYNOLDS, STR., 15.5 CM</t>
  </si>
  <si>
    <t>11-950-16-07</t>
  </si>
  <si>
    <t>TC-SCISSORS, LEXER, FINE, STR., 16 CM</t>
  </si>
  <si>
    <t>11-965-17-07</t>
  </si>
  <si>
    <t>TC-DISS. SCISS., TOENNIS, CVD., 17.5 CM</t>
  </si>
  <si>
    <t>12-321-20-07</t>
  </si>
  <si>
    <t>TISSUE FORCEPS, 1X2 T., SLIM, 20.5 CM</t>
  </si>
  <si>
    <t>12-386-17-07</t>
  </si>
  <si>
    <t>FORCEPS, GERALD, 1X2 T., STR., 17.5 CM</t>
  </si>
  <si>
    <t>13-384-14-07</t>
  </si>
  <si>
    <t>FORCEPS, KOCHER, 1X2 T., STR., 14 CM</t>
  </si>
  <si>
    <t>14-355-25-07</t>
  </si>
  <si>
    <t>FORCEPS, FOERSTER, SERR., CVD., 24.5 CM</t>
  </si>
  <si>
    <t>15-074-04-07</t>
  </si>
  <si>
    <t>HOOKLET, SHARP, 4-PR., 16.5 CM</t>
  </si>
  <si>
    <t>15-161-01-07</t>
  </si>
  <si>
    <t>HOOKLET, SENN-GREEN, 20X6 MM, 16 CM</t>
  </si>
  <si>
    <t>15-161-02-07</t>
  </si>
  <si>
    <t>HOOKLET, SENN-GREEN, 10X6 MM, 16 CM</t>
  </si>
  <si>
    <t>15-171-08-07</t>
  </si>
  <si>
    <t>HOOKLET, CUSHING, 8 MM, 20.5 CM</t>
  </si>
  <si>
    <t>15-171-14-07</t>
  </si>
  <si>
    <t>HOOKLET, CUSHING, 14 MM, 20.5 CM</t>
  </si>
  <si>
    <t>15-222-02-07</t>
  </si>
  <si>
    <t>RETR., VOLKMANN, SEMISH., 2-PR., 22.5 CM</t>
  </si>
  <si>
    <t>15-765-13-07</t>
  </si>
  <si>
    <t>WOUNDSPREADER, BLUNT, 3X3 T., 13.5 CM</t>
  </si>
  <si>
    <t>20-646-18-07</t>
  </si>
  <si>
    <t>TC-NEEDLEHOLDER, DE BAKEY, 18 CM</t>
  </si>
  <si>
    <t>23-304-30-07</t>
  </si>
  <si>
    <t>BONE CUR., VOLKM., OVAL, NO. 000, 17 CM</t>
  </si>
  <si>
    <t>23-402-19-07</t>
  </si>
  <si>
    <t>RASPATORY, LANGENBECK, CVD., 19 CM</t>
  </si>
  <si>
    <t>23-887-18-07</t>
  </si>
  <si>
    <t>BONE RONGEUR, RUSKIN, CVD., 19 CM</t>
  </si>
  <si>
    <t>24-675-00-07</t>
  </si>
  <si>
    <t>SCALP CLAMP, RANEY</t>
  </si>
  <si>
    <t>24-676-00-07</t>
  </si>
  <si>
    <t>APPLYING/REMOVAL FORCEPS F. RANEY-CLIPS</t>
  </si>
  <si>
    <t>24-678-01-07</t>
  </si>
  <si>
    <t>GALEA RETRACTOR, (HOOK) YASARGIL, 30 CM</t>
  </si>
  <si>
    <t>Urology</t>
  </si>
  <si>
    <t>Urological and reproductive Surgery 1</t>
  </si>
  <si>
    <t>15-852-00-07</t>
  </si>
  <si>
    <t>ABDOMIN. RETRACTOR, BALFOUR, WIRE BLADES</t>
  </si>
  <si>
    <t>13-411-20-07</t>
  </si>
  <si>
    <t>HAEMOSTATIC FORCEPS, PEAN, CRV., 20.5 CM</t>
  </si>
  <si>
    <t>13-410-20-07</t>
  </si>
  <si>
    <t>HAEMOSTATIC FORCEPS, PEAN, STR., 20.5 CM</t>
  </si>
  <si>
    <t>13-451-20-07</t>
  </si>
  <si>
    <t>DISS. FORCEPS, GEMINI, STR. CVD., 21 CM</t>
  </si>
  <si>
    <t>11-826-13-07</t>
  </si>
  <si>
    <t>LIGATURE SCISSORS, SPENCER, STR., 13 CM</t>
  </si>
  <si>
    <t>32-697-23-07</t>
  </si>
  <si>
    <t>TENAC. FCPS., TEALE, CVD., 4X5 T., 23 CM</t>
  </si>
  <si>
    <t>31-103-22-07</t>
  </si>
  <si>
    <t>KIDNEY STONE FCP., RANDALL, NO. 2, 21 CM</t>
  </si>
  <si>
    <t>31-105-22-07</t>
  </si>
  <si>
    <t>KIDNEY STONE FCP., RANDALL, NO. 3, 19 CM</t>
  </si>
  <si>
    <t>30-134-25-07</t>
  </si>
  <si>
    <t>TISSUE FORCEPS, ALLIS, 5X6 T., 25.5 CM</t>
  </si>
  <si>
    <t>13-415-26-07</t>
  </si>
  <si>
    <t>FORCEPS, KOCHER, 1X2 T., CVD., 26 CM</t>
  </si>
  <si>
    <t>14-355-20-07</t>
  </si>
  <si>
    <t>FORCEPS, FOERSTER, SERR., CVD., 20.5 CM</t>
  </si>
  <si>
    <t>Urological and reproductive Surgery 2</t>
  </si>
  <si>
    <t>15-850-00-07</t>
  </si>
  <si>
    <t>ABD. RETRACTOR, BALFOUR-BABY, 12.5 CM</t>
  </si>
  <si>
    <t>11-285-20-07</t>
  </si>
  <si>
    <t>DISSECTING SCISSORS, CVD., 20.5 CM</t>
  </si>
  <si>
    <t>13-415-20-07</t>
  </si>
  <si>
    <t>FORCEPS, KOCHER, 1X2 T., CVD., 20 CM</t>
  </si>
  <si>
    <t>Urological and reproductive Surgery 3</t>
  </si>
  <si>
    <t>15-293-04-07</t>
  </si>
  <si>
    <t>RETRACTOR, LANGENBECK, 40X11 MM, 21,5 CM</t>
  </si>
  <si>
    <t>11-285-23-07</t>
  </si>
  <si>
    <t>DISSECTING SCISSORS, CVD., 23 CM</t>
  </si>
  <si>
    <t>11-285-25-07</t>
  </si>
  <si>
    <t>DISSECTING SCISSORS, CVD., 26 CM</t>
  </si>
  <si>
    <t>13-451-18-07</t>
  </si>
  <si>
    <t>DISS. FORCEPS, GEMINI, STR. CVD., 18 CM</t>
  </si>
  <si>
    <t>20-390-24-07</t>
  </si>
  <si>
    <t>NEEDLEHOLDER, MAYO-HEGAR, 24 CM</t>
  </si>
  <si>
    <t>31-204-20-07</t>
  </si>
  <si>
    <t>GALLSTONE FORCEPS, BLAKE, STR., 21 CM</t>
  </si>
  <si>
    <t>31-215-20-07</t>
  </si>
  <si>
    <t>GALLSTONE FORCEPS, MAYO-B., CVD., 21 CM</t>
  </si>
  <si>
    <t>13-529-23-07</t>
  </si>
  <si>
    <t>ATR. KIDNEY PEDI. FORCEPS, GUYON, 23 CM</t>
  </si>
  <si>
    <t>13-529-24-07</t>
  </si>
  <si>
    <t>ATR. KIDNEY PEDI. FORCEPS, GUYON, 24 CM</t>
  </si>
  <si>
    <t>30-551-21-07</t>
  </si>
  <si>
    <t>ATR. INTEST. FCPS., DOYEN, CVD., 21 CM</t>
  </si>
  <si>
    <t>30-550-21-07</t>
  </si>
  <si>
    <t>ATR. INTEST. FCPS., DOYEN, STR., 21.5 CM</t>
  </si>
  <si>
    <t>13-443-03-07</t>
  </si>
  <si>
    <t>DISS. FORCEPS, OVERHOLT, NO. 3, 21.5 CM</t>
  </si>
  <si>
    <t>13-448-03-07</t>
  </si>
  <si>
    <t>FORCEPS, OVERHOLT, FINE, CVD., 23 CM</t>
  </si>
  <si>
    <t>12-100-23-07</t>
  </si>
  <si>
    <t>DRESSING FORCEPS, 23 CM</t>
  </si>
  <si>
    <t xml:space="preserve"> Urological and reproductive Surgery 4</t>
  </si>
  <si>
    <t>11-265-15-07</t>
  </si>
  <si>
    <t>DISSECT. SCISSORS, BL/BL, CVD., 15.5 CM</t>
  </si>
  <si>
    <t>11-824-09-07</t>
  </si>
  <si>
    <t>LIGATURE SCISSORS, SPENCER, STR., 9 CM</t>
  </si>
  <si>
    <t>13-415-14-07</t>
  </si>
  <si>
    <t>FORCEPS, KOCHER, 1X2 T., CVD., 14 CM</t>
  </si>
  <si>
    <t>14-355-18-07</t>
  </si>
  <si>
    <t>FORCEPS, FOERSTER, SERR., CVD., 18 CM</t>
  </si>
  <si>
    <t>12-100-11-07</t>
  </si>
  <si>
    <t>DRESSING FORCEPS, 11.5 CM</t>
  </si>
  <si>
    <t>12-301-11-07</t>
  </si>
  <si>
    <t>TISSUE FORCEPS, 1X2 T., 12 CM</t>
  </si>
  <si>
    <t>15-074-02-07</t>
  </si>
  <si>
    <t>HOOKLET, SHARP, 2-PR., 16.5 CM</t>
  </si>
  <si>
    <t>Urological and reproductive Surgery 5</t>
  </si>
  <si>
    <t>15-591-04-07</t>
  </si>
  <si>
    <t>RETRACTOR, DEAVER, 25 MM WIDE, 30.5 CM</t>
  </si>
  <si>
    <t>15-591-02-07</t>
  </si>
  <si>
    <t>RETRACTOR, DEAVER, 22 MM WIDE, 21.5 CM</t>
  </si>
  <si>
    <t>15-591-01-07</t>
  </si>
  <si>
    <t>RETRACTOR, DEAVER, 19 MM WIDE, 18 CM</t>
  </si>
  <si>
    <t>15-591-00-07</t>
  </si>
  <si>
    <t>Retractor, Deaver, 16 mm, 18 cm</t>
  </si>
  <si>
    <t>15-174-15-07</t>
  </si>
  <si>
    <t>HOOKLET, MALLEABLE SHAFT, 15 MM, 24 CM</t>
  </si>
  <si>
    <t>15-174-17-07</t>
  </si>
  <si>
    <t>HOOKLET, MALLEABLE SHAFT, 17 MM, 24 CM</t>
  </si>
  <si>
    <t>15-856-00-07</t>
  </si>
  <si>
    <t>15-750-16-07</t>
  </si>
  <si>
    <t>WOUNDSPREADER, SHARP, 3X4 T., 16 CM</t>
  </si>
  <si>
    <t>15-750-13-07</t>
  </si>
  <si>
    <t>WOUNDSPREADER, SHARP, 3X4 T., 13.5 CM</t>
  </si>
  <si>
    <t>11-249-11-07</t>
  </si>
  <si>
    <t>DISSECT. SCISSORS, BL/BL, CVD., 11.5 CM</t>
  </si>
  <si>
    <t>20-396-20-07</t>
  </si>
  <si>
    <t>NEEDLEHOLDER, MAYO-HEGAR, SLIM, 20.5 CM</t>
  </si>
  <si>
    <t>13-415-16-07</t>
  </si>
  <si>
    <t>FORCEPS, KOCHER, 1X2 T., CVD., 16,5 CM</t>
  </si>
  <si>
    <t>31-599-08-07</t>
  </si>
  <si>
    <t>URETHRAL BOUGIE, V. BUREN, 8 CH, 27 CM</t>
  </si>
  <si>
    <t>31-599-10-07</t>
  </si>
  <si>
    <t>URETHRAL BOUGIE, V. BUREN, 10 CH, 27 CM</t>
  </si>
  <si>
    <t>31-599-12-07</t>
  </si>
  <si>
    <t>URETHRAL BOUGIE, V. BUREN, 12 CH, 27 CM</t>
  </si>
  <si>
    <t>31-599-14-07</t>
  </si>
  <si>
    <t>URETHRAL BOUGIE, V. BUREN, 14 CH, 27 CM</t>
  </si>
  <si>
    <t>31-599-16-07</t>
  </si>
  <si>
    <t>URETHRAL BOUGIE, V. BUREN, 16 CH, 27 CM</t>
  </si>
  <si>
    <t>31-599-18-07</t>
  </si>
  <si>
    <t>URETHRAL BOUGIE, V. BUREN, 18 CH, 27 CM</t>
  </si>
  <si>
    <t>31-599-20-07</t>
  </si>
  <si>
    <t>URETHRAL BOUGIE, V. BUREN, 20 CH, 27 CM</t>
  </si>
  <si>
    <t>31-599-22-07</t>
  </si>
  <si>
    <t>URETHRAL BOUGIE, V. BUREN, 22 CH, 27 CM</t>
  </si>
  <si>
    <t>31-599-24-07</t>
  </si>
  <si>
    <t>URETHRAL BOUGIE, V. BUREN, 24 CH, 27 CM</t>
  </si>
  <si>
    <t>31-599-26-07</t>
  </si>
  <si>
    <t>URETHRAL BOUGIE, V. BUREN, 26 CH, 27 CM</t>
  </si>
  <si>
    <t>31-599-28-07</t>
  </si>
  <si>
    <t>URETHRAL BOUGIE, V. BUREN, 28 CH, 27 CM</t>
  </si>
  <si>
    <t>15-858-00-07</t>
  </si>
  <si>
    <t>15-174-11-07</t>
  </si>
  <si>
    <t>HOOKLET, MALLEABLE SHAFT, 11 MM, 24 CM</t>
  </si>
  <si>
    <t>15-174-20-07</t>
  </si>
  <si>
    <t>HOOKLET, MALLEABLE SHAFT, 20 MM, 24 CM</t>
  </si>
  <si>
    <t>31-223-23-07</t>
  </si>
  <si>
    <t>GALLSTONE FORCEPS,DESJARDINS, NO.1 23cm</t>
  </si>
  <si>
    <t>11-393-19-07</t>
  </si>
  <si>
    <t>SCISSORS, ANGLED 60°, 18 CM</t>
  </si>
  <si>
    <t>RIB RASPATORY, DOYEN, R., ADULT, 17 CM</t>
  </si>
  <si>
    <t>RIB RASPATORY, DOYEN, L., ADULT, 17 CM</t>
  </si>
  <si>
    <t>23-954-27-07</t>
  </si>
  <si>
    <t>BONE CUTT. FORCEPS, STILLE-LISTON, 28 CM</t>
  </si>
  <si>
    <t>3</t>
  </si>
  <si>
    <t>8</t>
  </si>
  <si>
    <t>4</t>
  </si>
  <si>
    <t xml:space="preserve"> Urological and reproductive Surgery 6</t>
  </si>
  <si>
    <t>Ear, Nose and Throat Surgery</t>
  </si>
  <si>
    <t>Basic neck dissection set</t>
  </si>
  <si>
    <t>13-597-19-07</t>
  </si>
  <si>
    <t>FORCEPS, NEGUS, NARROW CVD., 20 CM</t>
  </si>
  <si>
    <t>38-385-19-01</t>
  </si>
  <si>
    <t>TONGUE DEPRESSOR, BRUENINGS, FEN., 19 CM</t>
  </si>
  <si>
    <t>37-547-20-07</t>
  </si>
  <si>
    <t>SEPTUM ELEVATOR, FREER, DOUBLE, 21 CM</t>
  </si>
  <si>
    <t>18-524-73-01</t>
  </si>
  <si>
    <t>Suct. tube, Fergusson, ø 3,0 mm, 16 cm</t>
  </si>
  <si>
    <t>18-524-74-01</t>
  </si>
  <si>
    <t>Suct. tube, Fergusson, ø 4,0 mm, 16 cm</t>
  </si>
  <si>
    <t>18-524-75-01</t>
  </si>
  <si>
    <t>Suct. tube, Fergusson, ø 5,0 mm, 16 cm</t>
  </si>
  <si>
    <t>39-423-20-07</t>
  </si>
  <si>
    <t>TONSIL FORCEPS, BLOHMKE, 1X2 T., 20 CM</t>
  </si>
  <si>
    <t>15-220-02-07</t>
  </si>
  <si>
    <t>RETRACTOR, VOLKMANN, SH., 2-PR., 22.5 CM</t>
  </si>
  <si>
    <t>15-220-04-07</t>
  </si>
  <si>
    <t>RETRACTOR, VOLKMANN, SH., 4-PR., 22.5 CM</t>
  </si>
  <si>
    <t>15-220-06-07</t>
  </si>
  <si>
    <t>RETRACTOR, VOLKMANN, SH., 6-PR., 22.5 CM</t>
  </si>
  <si>
    <t>15-221-02-07</t>
  </si>
  <si>
    <t>RETRACTOR, VOLKMANN, BL., 2-PR., 22.5 CM</t>
  </si>
  <si>
    <t>15-221-04-07</t>
  </si>
  <si>
    <t>RETRACTOR, VOLKMANN, BL., 4-PR., 22.5 CM</t>
  </si>
  <si>
    <t>15-221-06-07</t>
  </si>
  <si>
    <t>RETRACTOR, VOLKMANN, BL., 6-PR., 22.5 CM</t>
  </si>
  <si>
    <t>09-009-73-07</t>
  </si>
  <si>
    <t>Retr., thyroid, Schoenborn, 6x13mm, 21cm</t>
  </si>
  <si>
    <t>15-315-20-07</t>
  </si>
  <si>
    <t>RETRACTOR, KOCHER, 61X20 MM, 23 CM</t>
  </si>
  <si>
    <t>12-126-14-07</t>
  </si>
  <si>
    <t>DRESSING FORCEPS, DELICATE, 14.5 CM</t>
  </si>
  <si>
    <t>12-122-13-07</t>
  </si>
  <si>
    <t>Dressing forceps, medium wide, cvd.,13cm</t>
  </si>
  <si>
    <t>12-301-14-07</t>
  </si>
  <si>
    <t>TISSUE FORCEPS, 1X2 T., 14.5 CM</t>
  </si>
  <si>
    <t>12-326-14-07</t>
  </si>
  <si>
    <t>TISSUE FORCEPS, 1X2 T., DELIC., 14.5 CM</t>
  </si>
  <si>
    <t>18-580-10-07</t>
  </si>
  <si>
    <t>GUIDE NEEDLE, ANG., KNIFE SHAPE, 10 CH</t>
  </si>
  <si>
    <t>20-841-20-07</t>
  </si>
  <si>
    <t>LIGATURE NEEDLE, DESCHAMPS, BLUNT, 20 CM</t>
  </si>
  <si>
    <t>20-842-20-07</t>
  </si>
  <si>
    <t>20-637-13-07</t>
  </si>
  <si>
    <t>TC-NEEDLEHOLDER, HALSEY, 13 CM</t>
  </si>
  <si>
    <t>13-410-14-07</t>
  </si>
  <si>
    <t>HAEMOSTATIC FORCEPS, PEAN, STR., 14.5 CM</t>
  </si>
  <si>
    <t>32-738-16-07</t>
  </si>
  <si>
    <t>TENACULUM FORCEPS, BRAUN, 4X4 T., 16 CM</t>
  </si>
  <si>
    <t>11-255-14-07</t>
  </si>
  <si>
    <t>DISSECT. SCISSORS, BL/BL, CVD., 14.5 CM</t>
  </si>
  <si>
    <t>11-683-11-07</t>
  </si>
  <si>
    <t>TENOTOMY SCISSORS, BL/BL, CVD., 11 CM</t>
  </si>
  <si>
    <t>11-351-14-07</t>
  </si>
  <si>
    <t>SCISSORS, JOSEPH, SH/SH, CVD., 14.5 CM</t>
  </si>
  <si>
    <t>11-619-08-07</t>
  </si>
  <si>
    <t>SCISSORS, DELICATE, SH/SH, CVD., 9 CM</t>
  </si>
  <si>
    <t>11-107-14-07</t>
  </si>
  <si>
    <t>OPERATING SCISSORS, SH/BL, CVD., 14.5 CM</t>
  </si>
  <si>
    <t>Tonsillectomy / Adenoidectomy set</t>
  </si>
  <si>
    <t>13-365-18-07</t>
  </si>
  <si>
    <t>HAEM. FORCEPS, ADSON, CVD., 18.5 CM</t>
  </si>
  <si>
    <t>14-352-18-07</t>
  </si>
  <si>
    <t>FORCEPS, FOERSTER, SERR., STR., 18 CM</t>
  </si>
  <si>
    <t>37-756-01-07</t>
  </si>
  <si>
    <t>Adenoid Curette, cvd., 13 mm, 21,5 cm</t>
  </si>
  <si>
    <t>37-756-02-07</t>
  </si>
  <si>
    <t>Adenoid Curette, cvd., 15 mm, 21,5 cm</t>
  </si>
  <si>
    <t>37-756-03-07</t>
  </si>
  <si>
    <t>Adenoid Curette, cvd., 17 mm, 21,5 cm</t>
  </si>
  <si>
    <t>37-756-04-07</t>
  </si>
  <si>
    <t>Adenoid Curette, cvd., 19 mm, 21,5 cm</t>
  </si>
  <si>
    <t>37-756-05-07</t>
  </si>
  <si>
    <t>Adenoid Curette, cvd., 21 mm, 21,5 cm</t>
  </si>
  <si>
    <t>37-756-06-07</t>
  </si>
  <si>
    <t>Adenoid Curette, cvd., 23 mm, 21,5 cm</t>
  </si>
  <si>
    <t>38-222-00-07</t>
  </si>
  <si>
    <t>MOUTH GAG, MCIVOR, COMPLETE</t>
  </si>
  <si>
    <t>TONGUE DEPRESSOR, WIEDER, 36 MM, 14 CM</t>
  </si>
  <si>
    <t>TONGUE DEPRESSOR, WIEDER, 43 MM, 15 CM</t>
  </si>
  <si>
    <t>39-220-22-07</t>
  </si>
  <si>
    <t>TONSIL KNIFE, FISHER, 22.5 CM</t>
  </si>
  <si>
    <t>39-281-22-07</t>
  </si>
  <si>
    <t>DISSECTOR &amp; RETRACTOR, HURD, 22.5 CM</t>
  </si>
  <si>
    <t>39-419-18-07</t>
  </si>
  <si>
    <t>TONSIL SEIZ. FORCEPS, WHITE, CVD., 18 CM</t>
  </si>
  <si>
    <t>39-443-19-07</t>
  </si>
  <si>
    <t>TONSIL FORCEPS, SCHNIDT, CVD., 19 CM</t>
  </si>
  <si>
    <t>39-500-28-07</t>
  </si>
  <si>
    <t>TONSIL SNARE, EVE, W/O RATCHET, 28.5CM</t>
  </si>
  <si>
    <t>Tympanoplasty Set</t>
  </si>
  <si>
    <t>09-008-42-07</t>
  </si>
  <si>
    <t xml:space="preserve">Elevator, Lempert, blunt, 19 cm         </t>
  </si>
  <si>
    <t>36-020-11-07</t>
  </si>
  <si>
    <t>SICKLE KNIFE, WULLSTEIN, STR., 15.5 CM</t>
  </si>
  <si>
    <t>36-020-21-07</t>
  </si>
  <si>
    <t>Flap Knife, Plester, 2.5 MM, 16 CM</t>
  </si>
  <si>
    <t>36-585-03-07</t>
  </si>
  <si>
    <t>HOOK, PROBE-END, WAGENER, NO. 3, 14 CM</t>
  </si>
  <si>
    <t>36-036-05-07</t>
  </si>
  <si>
    <t>DISSECTOR, FISCH, RIGHT, ANG., 15.5 CM</t>
  </si>
  <si>
    <t>36-024-01-07</t>
  </si>
  <si>
    <t>NEEDLE, BARBARA, STR., 16 CM</t>
  </si>
  <si>
    <t>36-024-23-07</t>
  </si>
  <si>
    <t>HOOKLET, BARBARA, 90°, 1.0 MM, 16 CM</t>
  </si>
  <si>
    <t>36-044-01-07</t>
  </si>
  <si>
    <t>EAR CURETTE, HOUSE, 1.0/1.2 MM, 14.5 CM</t>
  </si>
  <si>
    <t>36-044-03-07</t>
  </si>
  <si>
    <t>16-130-10-07</t>
  </si>
  <si>
    <t>Probe, ear, Stacke, Ø 1.0 mm, 10 cm</t>
  </si>
  <si>
    <t>36-003-11-07</t>
  </si>
  <si>
    <t>MICRO-CUP SHAPED FCPS., STR., 3.5X0.5 MM</t>
  </si>
  <si>
    <t>36-011-01-07</t>
  </si>
  <si>
    <t>MALLEUS NIPPER, UPWARDS, 1.3 MM</t>
  </si>
  <si>
    <t>36-005-01-07</t>
  </si>
  <si>
    <t>MICRO-EAR SCISSORS, BELLUCI, STR., 4 MM</t>
  </si>
  <si>
    <t>18-523-06-01</t>
  </si>
  <si>
    <t>Suction tube, Frazier, ø 2.0 mm, 19.5 cm</t>
  </si>
  <si>
    <t>18-527-01-01</t>
  </si>
  <si>
    <t>Suction handle acc. to Wullstein</t>
  </si>
  <si>
    <t>18-527-04-01</t>
  </si>
  <si>
    <t>Micro-Suction tip, Wullstein, ø 0.4 mm</t>
  </si>
  <si>
    <t>18-527-06-01</t>
  </si>
  <si>
    <t>Micro-Suction tip, Wullstein, ø 0.6 mm</t>
  </si>
  <si>
    <t>18-527-08-01</t>
  </si>
  <si>
    <t>Micro-Suction tip, Wullstein, ø 0.8 mm</t>
  </si>
  <si>
    <t>18-647-20-07</t>
  </si>
  <si>
    <t>Suction cannula, ø 2.0 mm, 16 cm</t>
  </si>
  <si>
    <t>15-756-13-07</t>
  </si>
  <si>
    <t>SPREADER, PLESTER, SHARP, 2X2 T., 13 CM</t>
  </si>
  <si>
    <t>15-757-11-07</t>
  </si>
  <si>
    <t>SPREADER, PLESTER, BLUNT, L., 10.5 CM</t>
  </si>
  <si>
    <t>15-759-11-07</t>
  </si>
  <si>
    <t>SPREADER, PLESTER, BLUNT, R., 10.5 CM</t>
  </si>
  <si>
    <t>36-022-04-07</t>
  </si>
  <si>
    <t>Round Cutt. Knife, Rosen, 2.0 MM, 16 CM</t>
  </si>
  <si>
    <t>36-024-24-07</t>
  </si>
  <si>
    <t>HOOKLET, BARBARA, 90°, 1.2 MM, 16 CM</t>
  </si>
  <si>
    <t>36-495-10-07</t>
  </si>
  <si>
    <t>EAR CURETTE, BUCK, STR., BLUNT, NO. 0</t>
  </si>
  <si>
    <t>36-001-11-07</t>
  </si>
  <si>
    <t>MINI-ALLIGATOR FORCEPS, MCGEE, SMOOTH</t>
  </si>
  <si>
    <t>36-022-03-07</t>
  </si>
  <si>
    <t>Round Cutt. Knife, Rosen,  2.6 MM, 16 CM</t>
  </si>
  <si>
    <t>36-022-07-07</t>
  </si>
  <si>
    <t>Round Cutt. Knife, Rosen, 1.0 MM, 16 CM</t>
  </si>
  <si>
    <t>36-036-01-07</t>
  </si>
  <si>
    <t>DISSECTOR, FISCH, RIGHT, CVD., 15 CM</t>
  </si>
  <si>
    <t>36-036-02-07</t>
  </si>
  <si>
    <t>DISSECTOR, FISCH, LEFT, CVD., 15 CM</t>
  </si>
  <si>
    <t>18-528-10-01</t>
  </si>
  <si>
    <t>Suct. tube, Baron-Schuknecht, ø1.0, 75mm</t>
  </si>
  <si>
    <t>18-528-15-01</t>
  </si>
  <si>
    <t>Suct. tube, Baron-Schuknecht, ø1.5, 75mm</t>
  </si>
  <si>
    <t>18-528-20-01</t>
  </si>
  <si>
    <t>Suct. tube, Baron-Schuknecht, ø2.0, 75mm</t>
  </si>
  <si>
    <t>36-381-13-07</t>
  </si>
  <si>
    <t>EAR FORCEPS, TROELTSCH, BULLD., 12.5 CM</t>
  </si>
  <si>
    <t>36-375-12-07</t>
  </si>
  <si>
    <t>EAR DRESS. FORCEPS, TROELTSCH, 11 CM</t>
  </si>
  <si>
    <t>36-498-10-07</t>
  </si>
  <si>
    <t>EAR CURETTE, BUCK, CVD., SHARP, NO. 0</t>
  </si>
  <si>
    <t>36-112-12-01</t>
  </si>
  <si>
    <t>EAR SPECULUM, HARTMANN, NO. 2, Ø 5.0 MM</t>
  </si>
  <si>
    <t>16-420-16-01</t>
  </si>
  <si>
    <t>COTTON APPLIC., FARELL, Ø 1,1 MM, 16 CM</t>
  </si>
  <si>
    <t>Basic ear microsurgery set.</t>
  </si>
  <si>
    <t>36-845-01-07</t>
  </si>
  <si>
    <t>NASAL SPECULUM, HARTMANN-HALLE, NO. 1</t>
  </si>
  <si>
    <t>37-521-04-07</t>
  </si>
  <si>
    <t>SEPTUM ELEVATOR, MCKENTY, 4 MM, 15 CM</t>
  </si>
  <si>
    <t>09-008-47-07</t>
  </si>
  <si>
    <t xml:space="preserve">Raspatory, Lempert, 3.0 mm, 17 cm       </t>
  </si>
  <si>
    <t>11-107-11-07</t>
  </si>
  <si>
    <t>OPERATING SCISSORS, SH/BL, CVD., 12 CM</t>
  </si>
  <si>
    <t>15-074-01-07</t>
  </si>
  <si>
    <t>HOOKLET, SHARP, 1-PR., 16.5 CM</t>
  </si>
  <si>
    <t>36-112-13-01</t>
  </si>
  <si>
    <t>EAR SPECULUM, HARTMANN, NO. 3, Ø 6.0 MM</t>
  </si>
  <si>
    <t>36-112-14-01</t>
  </si>
  <si>
    <t>EAR SPECULUM, HARTMANN, NO. 4, Ø 7.5 MM</t>
  </si>
  <si>
    <t>36-405-12-07</t>
  </si>
  <si>
    <t>EAR POLYPUS FCPS., HARTMANN, FINE, 12 CM</t>
  </si>
  <si>
    <t>36-430-08-07</t>
  </si>
  <si>
    <t>EAR POLYPUS FORCPES, HARTMANN, 8 CM</t>
  </si>
  <si>
    <t>36-425-08-07</t>
  </si>
  <si>
    <t>EAR POLYPUS FCPS., HARTMANN-WULLS., 8 CM</t>
  </si>
  <si>
    <t>36-427-08-07</t>
  </si>
  <si>
    <t>EAR POLYPUS FCPS., HARTMANN-WULLS., 1 MM</t>
  </si>
  <si>
    <t>36-442-81-07</t>
  </si>
  <si>
    <t>EAR FCPS., SPOON-SHA., HARTMANN, 2.0 MM</t>
  </si>
  <si>
    <t>36-010-12-07</t>
  </si>
  <si>
    <t>WIRE CLOSING FORCEPS, MCGEE, 6X0.8 MM</t>
  </si>
  <si>
    <t>18-646-24-01</t>
  </si>
  <si>
    <t>Suction cannula, Verhoeven, 24 SWG</t>
  </si>
  <si>
    <t>18-646-20-01</t>
  </si>
  <si>
    <t>Suction cannula, Verhoeven, 20 SWG</t>
  </si>
  <si>
    <t>18-646-18-01</t>
  </si>
  <si>
    <t>Suction cannula, Verhoeven, 18 SWG</t>
  </si>
  <si>
    <t>18-646-16-01</t>
  </si>
  <si>
    <t>Suction cannula, Verhoeven, 16 SWG</t>
  </si>
  <si>
    <t>18-554-09-07</t>
  </si>
  <si>
    <t>Suction tube, House, ø 1.2x0.9 mm, 9 cm</t>
  </si>
  <si>
    <t>36-577-03-07</t>
  </si>
  <si>
    <t>HOOKLET, PROBE-END, LUCAE, NO. 3, 14 CM</t>
  </si>
  <si>
    <t>36-498-02-07</t>
  </si>
  <si>
    <t>EAR CURETTE, BUCK, CVD., SHARP, NO. 00</t>
  </si>
  <si>
    <t>36-027-11-07</t>
  </si>
  <si>
    <t>HOOKLET, 0.5 MM, CVD. DOWN, 15.5 CM</t>
  </si>
  <si>
    <t>36-036-23-07</t>
  </si>
  <si>
    <t>MICRO RASPATORY, ROSEN, CVD. 1.2 MM</t>
  </si>
  <si>
    <t>36-024-12-07</t>
  </si>
  <si>
    <t>HOOKLET, BARBARA, 45°, 0.6 MM, 16 CM</t>
  </si>
  <si>
    <t>36-024-06-07</t>
  </si>
  <si>
    <t>HOOKLET, BARBARA, 25°, 0.3 MM, 16 CM</t>
  </si>
  <si>
    <t>36-024-07-07</t>
  </si>
  <si>
    <t>HOOKLET, BARBARA, 25°, 0.6 MM, 16 CM</t>
  </si>
  <si>
    <t>36-024-13-07</t>
  </si>
  <si>
    <t>HOOKLET, BARBARA, 45°, 1.0 MM, 16 CM</t>
  </si>
  <si>
    <t>36-024-21-07</t>
  </si>
  <si>
    <t>HOOKLET, BARBARA, 90°, 0.3 MM, 16 CM</t>
  </si>
  <si>
    <t>36-024-22-07</t>
  </si>
  <si>
    <t>HOOKLET, BARBARA, 90°, 0.6 MM, 16 CM</t>
  </si>
  <si>
    <t>Myringotomy set</t>
  </si>
  <si>
    <t>fess set</t>
  </si>
  <si>
    <t>37-748-01-07</t>
  </si>
  <si>
    <t>CURETTE, SHARP, COAKLEY, NO. 1, 17 CM</t>
  </si>
  <si>
    <t>37-255-02-07</t>
  </si>
  <si>
    <t>NASAL CUTT. FCPS., WEIL-BLAKES., 3.5 MM</t>
  </si>
  <si>
    <t>37-255-03-07</t>
  </si>
  <si>
    <t>NASAL CUTT. FCPS., WEIL-BLAKES., 4.5 MM</t>
  </si>
  <si>
    <t>37-256-03-07</t>
  </si>
  <si>
    <t>ETHMOID. FCPS., 45° UPW., NO. 3, 4.5 MM</t>
  </si>
  <si>
    <t>37-258-03-07</t>
  </si>
  <si>
    <t>ETHMOID. FCPS., 90° UPW., NO. 3, 4.5 MM</t>
  </si>
  <si>
    <t>37-285-01-07</t>
  </si>
  <si>
    <t>NASAL CUTTING FCPS., 0.9 MM, 19 CM</t>
  </si>
  <si>
    <t>36-442-83-07</t>
  </si>
  <si>
    <t>EAR FCPS., SPOON-SHA., HARTMANN, 3.0 MM</t>
  </si>
  <si>
    <t>37-814-30-07</t>
  </si>
  <si>
    <t>Cannula, Eicken-Killian, Ø 3,0 mm, 14 cm</t>
  </si>
  <si>
    <t>37-235-12-07</t>
  </si>
  <si>
    <t>ETHMOID. FORCEPS, TAKAHASHI, STR., 19 CM</t>
  </si>
  <si>
    <t>Middle Ear Set</t>
  </si>
  <si>
    <t>11-690-11-07</t>
  </si>
  <si>
    <t>STRABISMUS SCISS., BL/BL, STR., 11.5 CM</t>
  </si>
  <si>
    <t>11-961-18-07</t>
  </si>
  <si>
    <t>TC-DISS. SCISSORS, FINE, CVD., 18 CM</t>
  </si>
  <si>
    <t>13-330-14-07</t>
  </si>
  <si>
    <t>HAEM. FORCEPS, KELLY, STR., 14.5 CM</t>
  </si>
  <si>
    <t>15-291-01-07</t>
  </si>
  <si>
    <t>RETRACTOR, LANGENBECK, 30X11 MM, 21 CM</t>
  </si>
  <si>
    <t>15-291-02-07</t>
  </si>
  <si>
    <t>RETRACTOR, LANGENBECK, 30X13 MM, 21 CM</t>
  </si>
  <si>
    <t>15-723-10-07</t>
  </si>
  <si>
    <t>SPREADER, JANSEN, BLUNT, 3X3 T., 10 CM</t>
  </si>
  <si>
    <t>36-001-16-07</t>
  </si>
  <si>
    <t>MINI-ALLIGATOR FORCEPS, MCGEE, SERRATED</t>
  </si>
  <si>
    <t>36-010-11-07</t>
  </si>
  <si>
    <t>WIRE CLOSING FORCEPS, MCGEE, 3.5X0.8 MM</t>
  </si>
  <si>
    <t>36-005-04-07</t>
  </si>
  <si>
    <t>MICRO-EAR SCISSORS, BELLUCI, L., 4 MM</t>
  </si>
  <si>
    <t>36-005-03-07</t>
  </si>
  <si>
    <t>MICRO-EAR SCISSORS, BELLUCI, R., 4 MM</t>
  </si>
  <si>
    <t>36-024-04-07</t>
  </si>
  <si>
    <t>NEEDLE, ROSEN, STRONG CVD., 16 CM</t>
  </si>
  <si>
    <t>36-134-01-07</t>
  </si>
  <si>
    <t>EAR SPECULUM, FARRIOR, NO. 1, Ø 5.5 MM</t>
  </si>
  <si>
    <t>36-134-03-07</t>
  </si>
  <si>
    <t>EAR SPECULUM, FARRIOR, NO. 3, Ø 7.5 MM</t>
  </si>
  <si>
    <t>36-134-05-07</t>
  </si>
  <si>
    <t>EAR SPECULUM, FARRIOR, NO. 5, Ø 9.5 MM</t>
  </si>
  <si>
    <t>36-134-06-07</t>
  </si>
  <si>
    <t>EAR SPECULUM, FARRIOR, NO. 6, Ø 10.5 MM</t>
  </si>
  <si>
    <t>36-554-02-07</t>
  </si>
  <si>
    <t>EAR LOOP, BILLEAU, NO. 2, 16.5 CM</t>
  </si>
  <si>
    <t>MUCOUS HOOKLET, JOSEPH, SHARP, 15.5 CM</t>
  </si>
  <si>
    <t>Total</t>
  </si>
  <si>
    <t>Total QTY</t>
  </si>
  <si>
    <t>55-240-15-04</t>
  </si>
  <si>
    <t xml:space="preserve">marSafe, red, 30x30x16cm                </t>
  </si>
  <si>
    <t>55-804-25-01</t>
  </si>
  <si>
    <t>marTray, 1/2, 240x251x44 mm</t>
  </si>
  <si>
    <t>55-258-20-04</t>
  </si>
  <si>
    <t>55-804-57-01</t>
  </si>
  <si>
    <t xml:space="preserve">marSafe +, blue, 60x30x21cm             </t>
  </si>
  <si>
    <t>marTray, 1/1, 532x251x94 mm</t>
  </si>
  <si>
    <t>55-256-15-04</t>
  </si>
  <si>
    <t xml:space="preserve">marSafe +, blue, 30x30x16cm             </t>
  </si>
  <si>
    <t>55-246-13-04</t>
  </si>
  <si>
    <t xml:space="preserve">marSafe +, red, 30x30x14cm              </t>
  </si>
  <si>
    <t>55-248-15-04</t>
  </si>
  <si>
    <t>55-804-50-01</t>
  </si>
  <si>
    <t xml:space="preserve">marSafe +, red, 60x30x16cm              </t>
  </si>
  <si>
    <t>marTray, DIN, 477x251x64 mm</t>
  </si>
  <si>
    <t>55-804-56-01</t>
  </si>
  <si>
    <t>marTray, 1/1, 532x251x64 mm</t>
  </si>
  <si>
    <t>55-804-26-01</t>
  </si>
  <si>
    <t>marTray, 1/2, 240x251x64 mm</t>
  </si>
  <si>
    <t>55-248-13-04</t>
  </si>
  <si>
    <t>55-804-49-01</t>
  </si>
  <si>
    <t xml:space="preserve">marSafe +, red, 60x30x14cm              </t>
  </si>
  <si>
    <t>marTray, DIN, 477x251x44 mm</t>
  </si>
  <si>
    <t>55-441-15-04</t>
  </si>
  <si>
    <t xml:space="preserve">CONTAINER MS, 47X30X16 CM, HANDLE GREY  </t>
  </si>
  <si>
    <t>55-804-43-01</t>
  </si>
  <si>
    <t>marTray, 3/4, 410x251x64 mm</t>
  </si>
  <si>
    <t>55-804-48-01</t>
  </si>
  <si>
    <t>marTray, DIN, 477x251x25 mm</t>
  </si>
  <si>
    <t>55-442-20-04</t>
  </si>
  <si>
    <t xml:space="preserve">CONTAINER MS, 60X30X21 CM, HANDLE GREY  </t>
  </si>
  <si>
    <t>Country of Origin</t>
  </si>
  <si>
    <t>Packing
 Unit</t>
  </si>
  <si>
    <t>Net Price Item
EUR</t>
  </si>
  <si>
    <t>Net Price Item
discount 38% EUR</t>
  </si>
  <si>
    <t>Total Price EUR</t>
  </si>
  <si>
    <t>Code No: RMK018</t>
  </si>
  <si>
    <t>Purchase Order</t>
  </si>
  <si>
    <t>REF:</t>
  </si>
  <si>
    <t>Date :</t>
  </si>
  <si>
    <t>Supplier :</t>
  </si>
  <si>
    <t>KLS Martin</t>
  </si>
  <si>
    <t xml:space="preserve">Purchase Order No.: </t>
  </si>
  <si>
    <t>Department:</t>
  </si>
  <si>
    <t>Currency Rate:</t>
  </si>
  <si>
    <t>Euro</t>
  </si>
  <si>
    <t>O. Ref :MAR00042</t>
  </si>
  <si>
    <t>Documents required:</t>
  </si>
  <si>
    <t xml:space="preserve">Delivery period: </t>
  </si>
  <si>
    <t xml:space="preserve"> Total Purchase Order In EGP</t>
  </si>
  <si>
    <t xml:space="preserve"> Total Purchase Order In Euro</t>
  </si>
  <si>
    <t>Gross Profit :</t>
  </si>
  <si>
    <t>Currency Exchange Rate:</t>
  </si>
  <si>
    <t>سعر البيع بالبنك المركزى
CBE</t>
  </si>
  <si>
    <t xml:space="preserve">Sales </t>
  </si>
  <si>
    <t>Sales Unit Manager</t>
  </si>
  <si>
    <t>CEO</t>
  </si>
  <si>
    <t>………………………</t>
  </si>
  <si>
    <t xml:space="preserve">Business Development  Manager </t>
  </si>
  <si>
    <t>1- Certificate of Origin</t>
  </si>
  <si>
    <t>Eng. Albear Emil</t>
  </si>
  <si>
    <t>6 to 8 months</t>
  </si>
  <si>
    <t>Finance Manager</t>
  </si>
  <si>
    <t>PC</t>
  </si>
  <si>
    <t>ST</t>
  </si>
  <si>
    <t>2ER</t>
  </si>
  <si>
    <t>Maxillofacial instrument sets</t>
  </si>
  <si>
    <t>LUMBER SET</t>
  </si>
  <si>
    <t xml:space="preserve">CERVAICAL SET </t>
  </si>
  <si>
    <t xml:space="preserve">NEU MICRO SET </t>
  </si>
  <si>
    <t>NEU TRANS-SPHENOIDAL MICROSCOPIC SET</t>
  </si>
  <si>
    <t>HAEMOSTATIC FORCEPS,  PEAN, CVD., 16,5 CM</t>
  </si>
  <si>
    <t>HAEMOSTATIC FORCEPS,  PEAN, CRV., 18.5 CM</t>
  </si>
  <si>
    <t>FORCEPS,  KOCHER,  1X2 T., STR., 16 CM</t>
  </si>
  <si>
    <t>FORCEPS,  KOCHER,  1X2 T., STR., 18.5 CM</t>
  </si>
  <si>
    <t>TISSUE FORCEPS,  ALLIS, 5X6 T., 15.5 CM</t>
  </si>
  <si>
    <t>SCISSORS,  MAYO, STR., 14.5 CM</t>
  </si>
  <si>
    <t>DISSECTING SCISSORS,  CVD., 18 CM</t>
  </si>
  <si>
    <t>RETRACT.,  KOCHER-LANG., 35X15 MM, 21.5CM</t>
  </si>
  <si>
    <t>Retractor,  Morris, 70x50 mm, 24 cm</t>
  </si>
  <si>
    <t>Retractor,  Morris, 70x65 mm, 24,5 cm</t>
  </si>
  <si>
    <t>SCALPEL HANDLE,  NO. 4, 13.5 CM</t>
  </si>
  <si>
    <t>TOWEL FORCEPS,  BACKHAUS, SHARP, 13 CM</t>
  </si>
  <si>
    <t>HOOK HANDLE,  F. WIRE SAWS</t>
  </si>
  <si>
    <t>BONE RONGEUR,  ECHLIN, 2 MM, 23 CM</t>
  </si>
  <si>
    <t>BONE RONGEUR,  STILLE-RUSKIN, 23.5 CM</t>
  </si>
  <si>
    <t>BONE CUTT. FORCEPS,  LISTON, STR., 20 CM</t>
  </si>
  <si>
    <t>BONE FILE, BAYONET  SHAPE, 13 MM, 25 CM</t>
  </si>
  <si>
    <t>marSafe,  red, 30x30x16cm</t>
  </si>
  <si>
    <t>marTray,  1/2, 240x251x44 mm</t>
  </si>
  <si>
    <t>UTERINE  POLYPUS  FORCEPS,  KELLY, 31.5 CM</t>
  </si>
  <si>
    <t>SCALPEL HANDLE,  NO. 3, CM-SCALE,  12 CM</t>
  </si>
  <si>
    <t>FORCEPS,  MARTIN-FUCHSIG, CVD., 20.5 CM</t>
  </si>
  <si>
    <t>HAEM. FORCEPS,  MOSQUITO, CVD., 12 CM</t>
  </si>
  <si>
    <t>HAEM. FORCEPS,  MOSQUITO, STR., 12.5 CM</t>
  </si>
  <si>
    <t>DISS. FORCEPS,  KELLY, SLIGHT CVD., 19 CM</t>
  </si>
  <si>
    <t>HAEMOSTATIC FORCEPS,  PEAN, CRV., 24 CM</t>
  </si>
  <si>
    <t>DISS. FORCEPS,  GEMINI, STR. CVD., 16 CM</t>
  </si>
  <si>
    <t>DISS. FORCEPS,  GEMINI, STR. CVD., 23 CM</t>
  </si>
  <si>
    <t>DISS. FORCEPS,  GEMINI, STR. CVD., 28 CM</t>
  </si>
  <si>
    <t>ATR. FORCEPS,  DE BAKEY, 2.7 MM, 20 CM</t>
  </si>
  <si>
    <t>ATR. FORCEPS,  DE BAKEY, 2.7 MM, 25 CM</t>
  </si>
  <si>
    <t>ATR. INT. FCPS., KOCHER,  STR., 22.5 CM</t>
  </si>
  <si>
    <t>ATR. RECTUM  FORCEPS,  RESANO,  28 CM</t>
  </si>
  <si>
    <t>ATR. FORCEPS,  DE BAKEY, ANG., 26 CM</t>
  </si>
  <si>
    <t>INTEST. FCPS., KOCHER,  SOFT, STR., 28 CM</t>
  </si>
  <si>
    <t>NEEDLEHOLDER, MASSON,  HEAVY, 26.5 CM</t>
  </si>
  <si>
    <t>SCISSORS,  TOENNIS-ADSON, CVD., 17.5 CM</t>
  </si>
  <si>
    <t>ATR. FORCEPS,  DE BAKEY, 2 MM, 20 CM</t>
  </si>
  <si>
    <t>Suct. tube, Yankauer,  compl.,ø9,4mm,31cm</t>
  </si>
  <si>
    <t>DRESSING  FORCEPS,  18 CM</t>
  </si>
  <si>
    <t>DRESSING  FORCEPS,  20 CM</t>
  </si>
  <si>
    <t>TISSUE FORCEPS,  1X2 T., 18 CM</t>
  </si>
  <si>
    <t>TISSUE FORCEPS,  1X2 T., 20.5 CM</t>
  </si>
  <si>
    <t>FORCEPS,  KOCHER,  1X2 T., STR., 20,5 CM</t>
  </si>
  <si>
    <t>FORCEPS,  KOCHER,  1X2 T., CVD., 22,5 CM</t>
  </si>
  <si>
    <t>TISSUE FORCEPS,  ALLIS, 5X6 T., 19 CM</t>
  </si>
  <si>
    <t>TISSUE FORCEPS,  BABCOCK,  17.5 CM</t>
  </si>
  <si>
    <t>TISSUE FORCEPS,  BABCOCK,  21 CM</t>
  </si>
  <si>
    <t>marSafe +, blue, 60x30x21cm</t>
  </si>
  <si>
    <t>marTray,  1/1, 532x251x94 mm</t>
  </si>
  <si>
    <t>FORCEPS,  FOERSTER,  SERR., STR., 25 CM</t>
  </si>
  <si>
    <t>marSafe +, blue, 30x30x16cm</t>
  </si>
  <si>
    <t>TOWEL FORCEPS,  LANE, STR., 20 CM</t>
  </si>
  <si>
    <t>FORCEPS  MICRO-MOSQUITO, CVD., 12 CM</t>
  </si>
  <si>
    <t>ATR. FORCEPS,  DE BAKEY, 2.7 MM, 16 CM</t>
  </si>
  <si>
    <t>CURVAL SPECULUM, SIMS, FENSTR.,  70X15 MM</t>
  </si>
  <si>
    <t>CURVAL SPECULUM, CZERNY, 105X23-28  MM</t>
  </si>
  <si>
    <t>TISSUE FORCEPS,  BABCOCK,  15,5 CM</t>
  </si>
  <si>
    <t>FORCEPS,  LERICHE,  1X2 T., STR., 15.5 CM</t>
  </si>
  <si>
    <t>DRESSING  FORCEPS,  16 CM</t>
  </si>
  <si>
    <t>FORCEPS,  KOCHER,  1X2 T., CVD., 18,5 CM</t>
  </si>
  <si>
    <t>KIDNEY PEDICLE FORCEPS,  GUYON, 21.5 CM</t>
  </si>
  <si>
    <t>TISSUE FORCEPS,  1X2 T., 16 CM</t>
  </si>
  <si>
    <t>Lid f. tray 1/2, 243X255  mm</t>
  </si>
  <si>
    <t>marSafe +, red, 30x30x14cm</t>
  </si>
  <si>
    <t>marTract  bracket, operating  table</t>
  </si>
  <si>
    <t>marTract  transverse  rod f. 15-920-34-07</t>
  </si>
  <si>
    <t>marTract  ball mount for holding arms</t>
  </si>
  <si>
    <t>marTract  holding arm for kidney add-on</t>
  </si>
  <si>
    <t>marTract  fixing clip for retractor</t>
  </si>
  <si>
    <t>marTract  blade holder, fixed</t>
  </si>
  <si>
    <t>marTract  blade holder, movable</t>
  </si>
  <si>
    <t>marTract  blade, flex., 160x75mm</t>
  </si>
  <si>
    <t>marTract  Langenbeck, blade, 150x50mm</t>
  </si>
  <si>
    <t>marTract  Deaver, blade, 200x70mm</t>
  </si>
  <si>
    <t>marTract  Harringt.,  blade, 175x65mm</t>
  </si>
  <si>
    <t>marSafe +, red, 60x30x16cm</t>
  </si>
  <si>
    <t>marTray,  DIN, 477x251x64 mm</t>
  </si>
  <si>
    <t>BULLDOG  CLAMP, DE BAKEY, CVD., 9,5 CM</t>
  </si>
  <si>
    <t>ATR. FORCEPS,  DE BAKEY, 1.5 MM, 20 CM</t>
  </si>
  <si>
    <t>ATR. FORCEPS,  DE BAKEY, 2 MM, 25 CM</t>
  </si>
  <si>
    <t>DISSECT.  SCISSORS,  FINE, CVD., 14.5 CM</t>
  </si>
  <si>
    <t>TC-DISS. SCISSORS,  FINE, CVD., 14.5 CM</t>
  </si>
  <si>
    <t>DISS. FORCEPS,  MINI-GEMINI, CVD., 23 CM</t>
  </si>
  <si>
    <t>SPREADER,  BLUNT, 3X4 T., 20 MM, 13,5 CM</t>
  </si>
  <si>
    <t>HOOKLET,  CUSHING,  14 MM, 24 CM</t>
  </si>
  <si>
    <t>DISSECTOR, Robb, DOUBLE,  NO. 2, 20,5 CM</t>
  </si>
  <si>
    <t>Cannula,  heparin, Mock, ø2,9x0,8mm,6,5cm</t>
  </si>
  <si>
    <t>ATR. FORCEPS,  DE BAKEY, ANG., 12.5 CM</t>
  </si>
  <si>
    <t>ATR. FORCEPS,  POTTS, CVD., 26 CM</t>
  </si>
  <si>
    <t>ATR. FORCEPS,  POTTS, CVD., 31 CM</t>
  </si>
  <si>
    <t>ATR. FORCEPS,  DE BAKEY, ANG., 20 CM</t>
  </si>
  <si>
    <t>DISSECTING SCISSORS,  CVD., 31 CM</t>
  </si>
  <si>
    <t>TC-DRESSING FORCEPS,  CUSHING,  17.5 CM</t>
  </si>
  <si>
    <t>DISSECTING FORCEPS,  RUMEL, NO. 2, 24 CM</t>
  </si>
  <si>
    <t>ATR. TANGENT.  FORCEPS,  SATINSKY,  27.5 CM</t>
  </si>
  <si>
    <t>FORCEPS,  KOCHER,  1X2 T., STR., 24 CM</t>
  </si>
  <si>
    <t>RETRACTOR, KOCHER,  78X45 MM, 25 CM</t>
  </si>
  <si>
    <t>TOWEL FORCEPS,  SHARP, GRACILE,  13 CM</t>
  </si>
  <si>
    <t>ATR. AORTA FORCEPS,  DE BAKEY, 30 CM</t>
  </si>
  <si>
    <t>FORCEPS,  STILLE-BARRAYA, 3X4 T., 18 CM</t>
  </si>
  <si>
    <t>Spreader,  Adson, bl., 4X5 T., 33 cm</t>
  </si>
  <si>
    <t>SPREADER,  BECKMANN-EATON, 7X7 T., 32 CM</t>
  </si>
  <si>
    <t>ATR. TANGENTIAL FORCEPS,  SATINSKY,  22 CM</t>
  </si>
  <si>
    <t>SCALPEL HANDLE,  NO. 3, SHAPE AS NO. 4</t>
  </si>
  <si>
    <t>ATR. FORCEPS,  PEDIATRIC,  13,5 CM</t>
  </si>
  <si>
    <t>ATR. FORCEPS,  PEDIATRIC,  ST. CVD., 14 CM</t>
  </si>
  <si>
    <t>TUNNELER-SET, MARTIN,  COMPLETE</t>
  </si>
  <si>
    <t>ATR. ANEURYSM FORCEPS,  DE BAKEY, 31 CM</t>
  </si>
  <si>
    <t>HAEM. FORCEPS,  HARTMANN, STR., 10 CM</t>
  </si>
  <si>
    <t>HAEM. FORCEPS,  MOSQUITO, STR., 14.5 CM</t>
  </si>
  <si>
    <t>HAEM. FORCEPS,  HARTMANN, CVD., 10 CM</t>
  </si>
  <si>
    <t>HAEM. FORCEPS,  MOSQUITO, CVD., 14 CM</t>
  </si>
  <si>
    <t>TISSUE FORCEPS,  ALLIS, 4X5 T., 15.5 CM</t>
  </si>
  <si>
    <t>FORCEPS,  KOCHER,  1X2 T., STR., 14.5 CM</t>
  </si>
  <si>
    <t>FORCEPS,  PEAN, DELICATE,  CVD., 16.5 CM</t>
  </si>
  <si>
    <t>FORCEPS,  PEAN-NIPPON, CVD., 14 CM</t>
  </si>
  <si>
    <t>DISS. FORCEPS,  BABY-ADSON, CVD., 18 CM</t>
  </si>
  <si>
    <t>BONE CURETTE,  SPRATT, OVAL, NO. 4, 17 CM</t>
  </si>
  <si>
    <t>BONE CURETTE,  SPRATT, OVAL, NO. 0, 17 CM</t>
  </si>
  <si>
    <t>BONE CURETTE,  SPRATT, OVAL, NO. 1, 17 CM</t>
  </si>
  <si>
    <t>BONE CUTT. FORCEPS,  CLEVELAND, 14.5 CM</t>
  </si>
  <si>
    <t>Dissector,  Penfield,  29 cm, #5</t>
  </si>
  <si>
    <t>SEPTUM ELEVATOR,  JOSEPH, 4 MM, 16.5 CM</t>
  </si>
  <si>
    <t>ELEVATOR,  TERRY, 3.0/7.0 MM, 18 CM</t>
  </si>
  <si>
    <t>RASPATORY, WILLIGER,  CVD., 7 MM, 16 CM</t>
  </si>
  <si>
    <t>Raspatory,  Cottle, cvd., 19.5 cm</t>
  </si>
  <si>
    <t>DRESSING  FORCEPS,  ADSON, 12 CM</t>
  </si>
  <si>
    <t>TISSUE FORCEPS,  ADSON, 1X2 T., 12 CM</t>
  </si>
  <si>
    <t>ATR. FORCEPS,  DE BAKEY, 1.5 MM, 16 CM</t>
  </si>
  <si>
    <t>REPOS. FORCEPS,  W. THREAD LOCK, 16 CM</t>
  </si>
  <si>
    <t>SKIN HOOKLET,  JOSEPH, 2-PR., 5 MM, 16 CM</t>
  </si>
  <si>
    <t>SCALPEL HANDLE,  NO. 3, 12 CM</t>
  </si>
  <si>
    <t>TAMPER,  METAL, Ø 5 MM, 15.5 CM</t>
  </si>
  <si>
    <t>FLAT NOSE PLIERS, W. CROSS GROOVE,  17 CM</t>
  </si>
  <si>
    <t>TC-NEEDLEHOLDER, WEBSTER,  13 CM</t>
  </si>
  <si>
    <t>HOOKLET,  DOUBLE,  RAGNELL-DAVIS, 15 CM</t>
  </si>
  <si>
    <t>HOOKLET,  SENN-MUELLER, SHARP, 16 CM</t>
  </si>
  <si>
    <t>HOOKLET,  SENN-MUELLER, BLUNT, 16 CM</t>
  </si>
  <si>
    <t>FORCEPS,  MINI-ADSON, 1X2 T., 12 CM</t>
  </si>
  <si>
    <t>FORCEPS,  MICRO-ADSON, 1X2 T., 12 CM</t>
  </si>
  <si>
    <t>TC-SIDE NIPPER, W. TRANSM.,  17.5 CM</t>
  </si>
  <si>
    <t>BONE CURETTE,  WILLIGER,  00/0, 14 CM</t>
  </si>
  <si>
    <t>ELEVATOR,  FREER, SH/BL, W/O PIN, 18 CM</t>
  </si>
  <si>
    <t>Raspatory,  Key, 16 mm, 20 cm</t>
  </si>
  <si>
    <t>WOUNDSPREADER, SHARP, 2X3 T., 11 CM</t>
  </si>
  <si>
    <t>RONGEUR,  MICRO-FRIEDMAN, CVD. 30°,15.5CM</t>
  </si>
  <si>
    <t>BONE RONGEUR,  BOEHLER,  STR., 15 CM</t>
  </si>
  <si>
    <t>BONE RONGEUR,  BOEHLER,  CVD., 15 CM</t>
  </si>
  <si>
    <t>BANDAGE  SCISSORS,  UNIVERSAL, 19 CM</t>
  </si>
  <si>
    <t>PHALANGEAL FORCEPS,  GRACILE,  14 CM</t>
  </si>
  <si>
    <t>Osteotome, Lambotte,  4 mm, 24 cm</t>
  </si>
  <si>
    <t>Osteotome, Lambotte,  6 mm, 24 cm</t>
  </si>
  <si>
    <t>Osteotome, Lambotte,  8 mm, 24 cm</t>
  </si>
  <si>
    <t>Osteotome, Lambotte,  10 mm, 24 cm</t>
  </si>
  <si>
    <t>WIRE SCISSORS,  UNIVERSAL, ANGLED,  12 CM</t>
  </si>
  <si>
    <t>TC-WIRE TWISTING  FORCEPS,  FINE, 20 CM</t>
  </si>
  <si>
    <t>TENDON  SEIZING FORCEPS,  CVD., 11.5 CM</t>
  </si>
  <si>
    <t>TENDON  PULLING FORCEPS,  BRAND, 19 CM</t>
  </si>
  <si>
    <t>TENDON  STRIPPER,  28.5 CM</t>
  </si>
  <si>
    <t>marTray,  1/1, 532x251x64 mm</t>
  </si>
  <si>
    <t>SCALPEL HANDLE,  NO. 7, SOLID, 16 CM</t>
  </si>
  <si>
    <t>DRESSING  FORCEPS,  FINE, STR., 10 CM</t>
  </si>
  <si>
    <t>DRESSING  FORCEPS,  10,5 CM</t>
  </si>
  <si>
    <t>EAR FORCEPS,  GRUENWALD, BAYON., 14.5 CM</t>
  </si>
  <si>
    <t>DRESSING  FORCEPS,  MINI-ADSON, 12 CM</t>
  </si>
  <si>
    <t>CARTILAGE  FORCEPS,  DINGMANN, 18.5 CM</t>
  </si>
  <si>
    <t>TISSUE FORCEPS,  1X2 T., STR., 10 CM</t>
  </si>
  <si>
    <t>TISSUE FORCEPS  1X2 T, 10,5 CM</t>
  </si>
  <si>
    <t>FORCEPS,  MICRO-ADSON, 1X2 T., 15 CM</t>
  </si>
  <si>
    <t>TOWEL FORCEPS,  BACKHAUS, SHARP, 9 CM</t>
  </si>
  <si>
    <t>SKIN HOOKLET,  JOSEPH, 2-PR., 2 MM, 16 CM</t>
  </si>
  <si>
    <t>NEEDLEHOLDER, METZENB.,  FENESTR.,  18.5 C</t>
  </si>
  <si>
    <t>BONE RONGEUR,  LEMPERT,  STR., 19 CM</t>
  </si>
  <si>
    <t>Bone Rongeur,  Lempert,  cvd., 19 cm</t>
  </si>
  <si>
    <t>BONE RONGEUR,  JANSEN, CVD., 18 CM</t>
  </si>
  <si>
    <t>TC-DISS. SCISSORS,  LAHEY, CVD., 14.5 CM</t>
  </si>
  <si>
    <t>IRIS SCISSORS,  SH/SH, STR., 10.5 CM</t>
  </si>
  <si>
    <t>IRIS SCISSORS,  SH/SH, CVD., 10.5 CM</t>
  </si>
  <si>
    <t>SCISSORS,  MAYO, CVD., 14.5 CM</t>
  </si>
  <si>
    <t>DISSECT.  SCISSORS,  FINE, CVD., 18 CM</t>
  </si>
  <si>
    <t>NASAL SCISSORS,  COTTLE, 15.5 CM</t>
  </si>
  <si>
    <t>SCISSORS,  GORNEY,  STR., SERR., 19.5 CM</t>
  </si>
  <si>
    <t>SCISSORS,  GORNEY,  CVD., SERR., 19.5 CM</t>
  </si>
  <si>
    <t>TC-Scissor,  Gorney-Freeman, cvd., 17 cm</t>
  </si>
  <si>
    <t>Scissor, Diss., Reynolds,  str., 14 cm</t>
  </si>
  <si>
    <t>Scissor, Diss., Reynolds,  cvd., 14 cm</t>
  </si>
  <si>
    <t>Suct. tube, Fergusson,  ø 2,0 mm, 20 cm</t>
  </si>
  <si>
    <t>Suct. tube, Fergusson,  ø 2,5 mm, 20 cm</t>
  </si>
  <si>
    <t>Suct. tube, Fergusson,  ø 3,0 mm, 20 cm</t>
  </si>
  <si>
    <t>DISS. FORCEPS,  MIXTER-BABY, CVD., 13 CM</t>
  </si>
  <si>
    <t>DISS. FORCEPS,  BABY-MIXTER, CVD., 18.5CM</t>
  </si>
  <si>
    <t>RETRACT.,  KOCHER-LANG., 25X6 MM, 21.5 CM</t>
  </si>
  <si>
    <t>HAEM. FORCEPS,  KELLY, CVD., 14 CM</t>
  </si>
  <si>
    <t>FORCEPS,  DANDY, CVD. SIDEW., 14.5 CM</t>
  </si>
  <si>
    <t>FORCEPS,  FOERSTER,  SERR., STR., 20.5 CM</t>
  </si>
  <si>
    <t>DISS. FORCEPS,  MIXTER, STR. CVD., 23 CM</t>
  </si>
  <si>
    <t>FORCEPS,  WICKSTROEM, ANGELD,  21 CM</t>
  </si>
  <si>
    <t>SPATULA,  MARTIN,  MALLEAB.,  13 MM, 20 CM</t>
  </si>
  <si>
    <t>SPATULA,  MARTIN,  MALLEAB.,  9.5 MM, 20 CM</t>
  </si>
  <si>
    <t>SPATULA,  MARTIN,  MALLEAB.,  16 MM, 20 CM</t>
  </si>
  <si>
    <t>BANDAGE  SCISSORS,  LISTER, 14.5 CM</t>
  </si>
  <si>
    <t>HOOKLET,  DESMARRES, 16 MM, 16 CM</t>
  </si>
  <si>
    <t>ELEVATOR,  COTTLE, 4.5 MM, 22 CM</t>
  </si>
  <si>
    <t>HOOKLET,  O'CONNOR, SHARP, 1-PR., 16 CM</t>
  </si>
  <si>
    <t>TONGUE  DEPRESSOR, WIEDER, 43 MM, 15 CM</t>
  </si>
  <si>
    <t>TONGUE  DEPRESSOR, WIEDER, 36 MM, 14 CM</t>
  </si>
  <si>
    <t>MOUTH PROP, MCKESSON, S, F. INFANTS</t>
  </si>
  <si>
    <t>MOUTH PROP, MCKESSON, XL, F. ADULTS</t>
  </si>
  <si>
    <t>SCISSORS,  GOLDM.-FOX, STR., SERR., 13 CM</t>
  </si>
  <si>
    <t>CHANNEL  RETR., OBWEGESER, 9 MM, 16.5 CM</t>
  </si>
  <si>
    <t>CHANNEL  RETR., OBWEGESER, 10 MM, 16.5 CM</t>
  </si>
  <si>
    <t>MAXILLARY MOBILIZER, TESSIER, RIGHT</t>
  </si>
  <si>
    <t>RAMUS STRIPPER,  OBWEG.,  7.5 MM, 17.5 CM</t>
  </si>
  <si>
    <t>Raspatory,  str., round, 5 mm, 12.5 cm</t>
  </si>
  <si>
    <t>CALIPER,  CASTROV.,  STR., 0-20 MM, 8 CM</t>
  </si>
  <si>
    <t>Osteotome, Lambotte,  cvd., 4 mm, 24 cm</t>
  </si>
  <si>
    <t>Osteotome, Lambotte,  cvd., 6 mm, 24 cm</t>
  </si>
  <si>
    <t>Osteotome, Lambotte,  cvd., 10 mm, 24 cm</t>
  </si>
  <si>
    <t>Spongiosa  gouge, str., si., 5mm, 24.5cm</t>
  </si>
  <si>
    <t>OSTEOTOME, OBWEGESER, CVD., 8 MM, 23 CM</t>
  </si>
  <si>
    <t>REPOSITION FORCEPS,  ROWE, L., 24 CM</t>
  </si>
  <si>
    <t>REPOSITION FORCEPS,  ROWE, R., 24 CM</t>
  </si>
  <si>
    <t>REPOSITION FORCEPS,  ROWE, L., 24.5 CM</t>
  </si>
  <si>
    <t>REPOSITION FORCEPS,  ROWE, R., 24.5 CM</t>
  </si>
  <si>
    <t>REPOSITION FORCEPS,  ROWE, L., 21.5 CM</t>
  </si>
  <si>
    <t>REPOSITION FORCEPS,  ROWE, R., 21.5 CM</t>
  </si>
  <si>
    <t>RAMUS FCPS., OBWEG.,  LARGE, R., 17 CM</t>
  </si>
  <si>
    <t>RAMUS FCPS., OBWEG.,  LARGE, L., 17 CM</t>
  </si>
  <si>
    <t>SEPTUM STRAIGHTENING FCPS., STR., 23 CM</t>
  </si>
  <si>
    <t>SEPTUM STRAIGHT.  FORCEPS,  ASCH, 22.5 CM</t>
  </si>
  <si>
    <t>RAMUS SEPARATOR, SMITH, 23.5 CM</t>
  </si>
  <si>
    <t>TC-SIDE NIPPER, W. TRANSM.,  23 CM</t>
  </si>
  <si>
    <t>TMJ-CONDYLE RTERACTOR, DOLWICK,  14.5 CM</t>
  </si>
  <si>
    <t>EXTRAORAL RETRACTOR, 9.5X16 MM, 22 CM</t>
  </si>
  <si>
    <t>ECKELT TMJ CLAMP RIGHT</t>
  </si>
  <si>
    <t>MUCOUS  HOOKLET,  JOSEPH, SHARP, 15.5 CM</t>
  </si>
  <si>
    <t>LUCAS-MARTIN BONE CURETTE,  FIG. 1/1</t>
  </si>
  <si>
    <t>BONE CURETTE,  VOLKMANN, OV./OV.,  17 CM</t>
  </si>
  <si>
    <t>MANDIBULA-AWL, OBWEGESER, 15 CM</t>
  </si>
  <si>
    <t>RETRACTOR, KOCHER,  SHARP, 1-PR., 22.5 CM</t>
  </si>
  <si>
    <t>TC-WIRE TWISTING  FORCEPS,  FINE, 15.5 CM</t>
  </si>
  <si>
    <t>TC-SIDE NIPPER, PEAR-LOCK, 23CM</t>
  </si>
  <si>
    <t>WIRE SCISSORS,  SH/SH, STR., SERR., 12 CM</t>
  </si>
  <si>
    <t>Raspatory,  cvd., str., si., 20 CM</t>
  </si>
  <si>
    <t>BONE CUTT. FORCEPS,  BOEHLER,  CVD., 14CM</t>
  </si>
  <si>
    <t>BONE BIOPSY-INSTRUMENT, CHAMPY-O.S.U.</t>
  </si>
  <si>
    <t>RETRACTOR, DOUBLE,  BABY-ROUX, 12.5 CM</t>
  </si>
  <si>
    <t>SPATULA  ORBITAL STRAIGHT  MALLEABLE</t>
  </si>
  <si>
    <t>SPATULA  ORBITAL STRAIGHT  MALLEAB.  GRADU.</t>
  </si>
  <si>
    <t>SCISSORS,  ANGLED 40°, 18.5 CM</t>
  </si>
  <si>
    <t>MICRO FORCEPS,  STR., 6.0X0.4 MM, 15 CM</t>
  </si>
  <si>
    <t>MICRO FORCEPS,  CVD., 6.0X0.4 MM, 15 CM</t>
  </si>
  <si>
    <t>MICRO FORCEPS,  45°, 6X0.3 MM, 15 CM</t>
  </si>
  <si>
    <t>FORCEPS,  JEWELER,  STR., NO. 3, 12 CM</t>
  </si>
  <si>
    <t>FORCEPS,  JEWELER,  CVD., NO. 7, 12 CM</t>
  </si>
  <si>
    <t>Elevator,  Howarth,  21.5 cm</t>
  </si>
  <si>
    <t>CRYER ROOT ELEVATOR  FIG. 27</t>
  </si>
  <si>
    <t>CRYER ROOT ELEVATOR  FIG. 28</t>
  </si>
  <si>
    <t>MOLT-PERIOSTEAL ELEVATOR,  FIG.9</t>
  </si>
  <si>
    <t>COUPLAND ROOT ELEVATOR,  2,5 MM</t>
  </si>
  <si>
    <t>WARWICK-JAMES ROOT ELEVATOR,  FIG. 1</t>
  </si>
  <si>
    <t>NEEDLEHOLDER, CRILE-WOOD, GROOVED,  15 CM</t>
  </si>
  <si>
    <t>IRIS SCISSORS,  SH/SH, CVD. DOWN, 11.5 CM</t>
  </si>
  <si>
    <t>BONE FILE, CROSS SERRATION, NO. 1, 18 CM</t>
  </si>
  <si>
    <t>Dressing forceps. Adson, 18 cm</t>
  </si>
  <si>
    <t>MOUTH MIRROR HANDLE,  ROUND</t>
  </si>
  <si>
    <t>MOUTH MIRROR,  PL.F.5   22 MM</t>
  </si>
  <si>
    <t>EXPLORER,  R. HANDLE FIG. 6XL</t>
  </si>
  <si>
    <t>REPOSITION FORCEPS,  LONG RATCHET,  15 CM</t>
  </si>
  <si>
    <t>OUTER PROGENY  RETRACTOR, LAUER, 15 CM</t>
  </si>
  <si>
    <t>CHANNEL  RETRACT.,  OBWEG.,  10 MM, 16 CM</t>
  </si>
  <si>
    <t>HOOKLET,  MINI-LANGENBECK, 20X6 MM, 16 CM</t>
  </si>
  <si>
    <t>SPREADER,  MOLLISON, SHARP, 4X4T., 15,5CM</t>
  </si>
  <si>
    <t>Elevator,  Bristow, 23 cm</t>
  </si>
  <si>
    <t>Raspatory,  str., str., si., 20 cm</t>
  </si>
  <si>
    <t>Raspatory,  cvd., round, si., 20 cm</t>
  </si>
  <si>
    <t>WARWICK-JAMES ROOT ELEVATOR,  FIG. 2L</t>
  </si>
  <si>
    <t>WARWICK-JAMES ROOT ELEVATOR,  FIG. 3R</t>
  </si>
  <si>
    <t>SKIN HOOKLET,  GILLIES, NO. 1, 18 CM</t>
  </si>
  <si>
    <t>HOOKLET,  GUTHRIE,  SHARP, 2-PR., 16 CM</t>
  </si>
  <si>
    <t>TENOTOMY SCISSORS,  SH/SH, CVD., 11 CM</t>
  </si>
  <si>
    <t>SC-Scissors, Stevens, bl/bl, cvd.,10,5cm</t>
  </si>
  <si>
    <t>SCISSORS,  REYNOLDS, CVD., 15.5 CM</t>
  </si>
  <si>
    <t>SCISSORS,  REYNOLDS, CVD., 18 CM</t>
  </si>
  <si>
    <t>SKIN HOOKLET,  KILNER, GRACILE,  14.5 CM</t>
  </si>
  <si>
    <t>FORCEPS  MICRO-MOSQUITO, CVD., 10 CM</t>
  </si>
  <si>
    <t>FORCEPS,  CRILE-RANKIN, CVD., 16 CM</t>
  </si>
  <si>
    <t>LIGAT. SCISSORS,  NORTHBENT, CVD., 13 CM</t>
  </si>
  <si>
    <t>HOOKLET,  DESMARRES, 12 MM, 16 CM</t>
  </si>
  <si>
    <t>BONE HOLDING  FORCEPS,  LEWIN, 18 CM</t>
  </si>
  <si>
    <t>RETRACT.,  KOCHER-LANG., 70X14 MM, 21.5CM</t>
  </si>
  <si>
    <t>SPATULA,  MARTIN,  MALLEAB.,  6.5 MM, 20 CM</t>
  </si>
  <si>
    <t>ABDOM. SPATULA,  MALLEABLE, 30 MM, 33 CM</t>
  </si>
  <si>
    <t>SWIVEL HEAD SCALPEL HANDLE,  15.5 CM</t>
  </si>
  <si>
    <t>CALIPER,  CASTROV.-EPKER, 0-40 MM, 9 CM</t>
  </si>
  <si>
    <t>FORCEPS  MICRO-MOSQUITO, STR., 12 CM</t>
  </si>
  <si>
    <t>TC-DRESSING FORCEPS,  ADSON, 12 CM</t>
  </si>
  <si>
    <t>FORCEPS,  ADSON BROWN, 7X7 T., 12 CM</t>
  </si>
  <si>
    <t>IRIS SCISSORS,  SH/SH, CVD., 11.5 CM</t>
  </si>
  <si>
    <t>IRIS SCISSORS,  SH/SH, CVD., 12.5 CM</t>
  </si>
  <si>
    <t>SCISSORS,  MAYO, CVD., 17 CM</t>
  </si>
  <si>
    <t>Scissor, Nose, Heymann,  angl., 20 cm</t>
  </si>
  <si>
    <t>TC-Scissor,  Nose, Giunta, cvd., 13,5 cm</t>
  </si>
  <si>
    <t>NASAL SCISSORS,  HEYMANN, 18 CM</t>
  </si>
  <si>
    <t>TC-NEEDLEHOLD., WEBSTER,  SMOOTH,  12 CM</t>
  </si>
  <si>
    <t>Speculum,  nasal, Killian, 90 mm, #4</t>
  </si>
  <si>
    <t>Speculum,  nasal, Killian, 50 mm, #2</t>
  </si>
  <si>
    <t>NASAL RETRACT.,  AUFRICHT,  45X11 MM, 19CM</t>
  </si>
  <si>
    <t>GLABELLUM RASP, AUFRICHT,  PUSH, 21 CM</t>
  </si>
  <si>
    <t>CHISEL, WALTER,  3 MM, 19 CM</t>
  </si>
  <si>
    <t>CHISEL, WALTER,  4.5 MM, 19 CM</t>
  </si>
  <si>
    <t>Osteotome, Cottle, cross-gr.,  2mm,18.5cm</t>
  </si>
  <si>
    <t>RASPATORY, WILLIGER,  CVD., 5 MM, 16 CM</t>
  </si>
  <si>
    <t>SEPTUM ELEVATOR,  FREER, BL., 19 CM</t>
  </si>
  <si>
    <t>ELEVATOR,  COTTLE, 5 MM, 23.5 CM</t>
  </si>
  <si>
    <t>SEPTUM ELEVATOR,  KILLIAN, 4 MM, 18 CM</t>
  </si>
  <si>
    <t>CARTILAGE  CRUSHER,  COTTLE, W. CLIP</t>
  </si>
  <si>
    <t>BONE RONGEUR,  BEYER, CVD., 18 CM</t>
  </si>
  <si>
    <t>SKIN HOOKLET,  JOSEPH, 2-PR., 7 MM, 16 CM</t>
  </si>
  <si>
    <t>SKIN HOOKLET,  JOSEPH, 2-PR., 10 MM</t>
  </si>
  <si>
    <t>Dissector,  Davis, double-ended, 24.5 cm</t>
  </si>
  <si>
    <t>TC-NASAL  RASP, FOMON, NO. 5/6, 20.5 CM</t>
  </si>
  <si>
    <t>TC-NASAL  RASP, FOMON, NO. 9/10, 20.5 CM</t>
  </si>
  <si>
    <t>SEPTUM ELEVATOR,  COTTLE, 3.7 MM, 23 CM</t>
  </si>
  <si>
    <t>WIRE SCISSORS,  SH/SH, CVD., SERR., 12 CM</t>
  </si>
  <si>
    <t>DRESSING  FORCEPS,  MEDIUM  WIDE, 16 CM</t>
  </si>
  <si>
    <t>TOWEL FORCEPS,  TOHOKU,  BLUNT, 10.5 CM</t>
  </si>
  <si>
    <t>TAMPON  FORCEPS,  ULRICH, CVD., 26.5 CM</t>
  </si>
  <si>
    <t>ABDOM. SPATULA,  HABERER,  16/25 MM, 20 CM</t>
  </si>
  <si>
    <t>TC-DISSECTING SCISSORS,  CVD., 11.5 CM</t>
  </si>
  <si>
    <t>TC-DISSECTING SCISSORS,  STR., 18 CM</t>
  </si>
  <si>
    <t>NASAL SCISSORS,  FOMON, CVD., 14 CM</t>
  </si>
  <si>
    <t>DRESSING  FORCEPS,  MICRO-ADSON, 15 CM</t>
  </si>
  <si>
    <t>Forceps, tissue, Adson, 1x2 T., 18 cm</t>
  </si>
  <si>
    <t>DRESSING  FORCEPS,  POTTS-SMITH, 21 CM</t>
  </si>
  <si>
    <t>FORCEPS,  POTTS-SMITH, 1X2 T., 21 CM</t>
  </si>
  <si>
    <t>TC-NEEDLEHOLD., MARTINI,  SMOOTH,  17.5 CM</t>
  </si>
  <si>
    <t>TC-NEEDLEHOLDER, WEBSTER,  SMOOTH,  13 CM</t>
  </si>
  <si>
    <t>TC-MICRO  NEEDLEH.,  STR., W. LOCK,14.5CM</t>
  </si>
  <si>
    <t>TC-MICRO  NEEDELH.,  STR., W. LOCK, 18 CM</t>
  </si>
  <si>
    <t>HAEMOST.  FORCEPS,  CRILE, STR., 14.5 CM</t>
  </si>
  <si>
    <t>HAEMOST.  FORCEPS,  CRILE, CVD., 14,5 CM</t>
  </si>
  <si>
    <t>TENDON  PULLING FORCEPS,  BRAND, 15 CM</t>
  </si>
  <si>
    <t>TENDON  PULLING FORCEPS,  BRAND, 24.5 CM</t>
  </si>
  <si>
    <t>TENDON  PULLING FORCEPS,  CVD., 20.5 CM</t>
  </si>
  <si>
    <t>DISS. FORCEPS,  GEMINI, STR. CVD., 13 CM</t>
  </si>
  <si>
    <t>TENDON  PULLING FORCEPS,  STR., 21 CM</t>
  </si>
  <si>
    <t>CALIPER,  CASTROV.-EPKER, 0-40 MM, 18 CM</t>
  </si>
  <si>
    <t>SCALPEL HANDLE,  NO. 3L, LONG, 21.5 CM</t>
  </si>
  <si>
    <t>TISSUE FORCEPS,  1X2 T., 25 CM</t>
  </si>
  <si>
    <t>DRESSING  FORCEPS,  25 CM</t>
  </si>
  <si>
    <t>SINUS FORCEPS,  LISTER, STR., 16 CM</t>
  </si>
  <si>
    <t>SINUS FORCEPS,  LISTER, STR., 18.5 CM</t>
  </si>
  <si>
    <t>FORCEPS,  GROSS-MAIER, CVD., 22.5 CM</t>
  </si>
  <si>
    <t>BONE CUTT. FORCEPS,  LISTON, STR., 14 CM</t>
  </si>
  <si>
    <t>BONE CUTT. FORCEPS,  LISTON, STR., 17 CM</t>
  </si>
  <si>
    <t>BONE RONGEUR,  MARQUARD, 20.5 CM</t>
  </si>
  <si>
    <t>Retractor,  breast, 125x30 mm, 27 cm</t>
  </si>
  <si>
    <t>Retractor,  breast, 140x30 mm, 27 cm</t>
  </si>
  <si>
    <t>Elevator,  Breast, f. Mammaplasty, 28 cm</t>
  </si>
  <si>
    <t>IRIS SCISSORS,  SH/SH, STR., 11.5 CM</t>
  </si>
  <si>
    <t>RETRACTOR, MATHIEU,  SET, 20 CM</t>
  </si>
  <si>
    <t>ATR. FORCEPS,  DE BAKEY, 2 MM, 16 CM</t>
  </si>
  <si>
    <t>FORCEPS,  PEAN, DELICATE,  CVD., 13 CM</t>
  </si>
  <si>
    <t>FORCEPS,  PEAN, DELICATE,  STR., 13,5 CM</t>
  </si>
  <si>
    <t>DRESSING  FORCEPS,  SEMKEN,  12.5 CM</t>
  </si>
  <si>
    <t>DISSECT.  SCISSORS,  SH/SH, CVD., 14.5 CM</t>
  </si>
  <si>
    <t>OPERATING SCISSORS,  SH/SH, STR., 16.5 CM</t>
  </si>
  <si>
    <t>TRACHEA  RETRACTOR, JACKSON,  DBL., 18 CM</t>
  </si>
  <si>
    <t>TRACHEAL  DILATOR,  LABORDE,  14 CM</t>
  </si>
  <si>
    <t>marTray,  1/2, 240x251x64 mm</t>
  </si>
  <si>
    <t>DRESSING  FORCEPS,  CUSHING,  STR., 17.5 CM</t>
  </si>
  <si>
    <t>SCISSORS,  DEAN, SERR., ANG. UP., 17.5 CM</t>
  </si>
  <si>
    <t>NASAL SCISSORS,  CINELLI, 11.5 CM</t>
  </si>
  <si>
    <t>FACE-LIFT  HOOKLET,  KAYE, 4-PR., 13 CM</t>
  </si>
  <si>
    <t>SEPTUM ELEVATOR,  PENNINGTON, 21.5 CM</t>
  </si>
  <si>
    <t>ELEVATOR,  SALYER, SLIGHT CVD., 18 CM</t>
  </si>
  <si>
    <t>TC-NEEDLEHOLDER, CRILE-WOOD, 20.5 CM</t>
  </si>
  <si>
    <t>TC-NEEDLEHOLDER, HALSEY, SMOOTH,  13 CM</t>
  </si>
  <si>
    <t>TC-FORCEPS, JABOMA,  ANG., 1X2 T., 18 CM</t>
  </si>
  <si>
    <t>TC-FORCEPS, SEMKEN,  1X2 T., 15.5 CM</t>
  </si>
  <si>
    <t>TC-FORCEPS, SEMKEN,  1X2 T., 17.5 CM</t>
  </si>
  <si>
    <t>CLEFT PALATE RASPATORY, JABOMA,  17 CM</t>
  </si>
  <si>
    <t>ELEVATOR,  SALYER, ANGLED,  GRADU., 18 CM</t>
  </si>
  <si>
    <t>SPONGIOSA-GRAFT REMOVER,  16 MM, 22.5 CM</t>
  </si>
  <si>
    <t>SEPTUM ELEVATOR,  ROGER, 4 MM, 20 CM</t>
  </si>
  <si>
    <t>marSafe +, red, 60x30x14cm</t>
  </si>
  <si>
    <t>marTray,  DIN, 477x251x44 mm</t>
  </si>
  <si>
    <t>HAND DRILL, HUDSON,  COMPLETE</t>
  </si>
  <si>
    <t>BURR, CONE SHAPE, HUDSON,  NO. 1</t>
  </si>
  <si>
    <t>BURR, FLAT TYPE, CUSHING,  14 MM WIDE</t>
  </si>
  <si>
    <t>BURR, CONE SHAPE, HUDSON,  NO. 2</t>
  </si>
  <si>
    <t>SCALPEL HANDLE,  NO. 7K, SOLID, SHORT</t>
  </si>
  <si>
    <t>TISSUE FORCEPS,  2X3 T., 14.5 CM</t>
  </si>
  <si>
    <t>DRESSING  FORCEPS,  MCINDOE,  15 CM</t>
  </si>
  <si>
    <t>DRESSING  FORCEPS,  MEDIUM  WIDE, 14.5 CM</t>
  </si>
  <si>
    <t>DRESSING  FORCEPS,  14.5 CM</t>
  </si>
  <si>
    <t>DRESSING  FORCEPS,  ADSON, 15 CM</t>
  </si>
  <si>
    <t>NASAL TAMPON  FORCEPS,  GRUENWALD, 21.5 CM</t>
  </si>
  <si>
    <t>Micro needleh.,  Yasargil,bay.str., 20cm</t>
  </si>
  <si>
    <t>TOWEL FORCEPS,  BACKHAUS, SHARP, 11 CM</t>
  </si>
  <si>
    <t>HAEM. FORCEPS,  MOSQUITO, STR., 18.5 CM</t>
  </si>
  <si>
    <t>HAEM. FORCEPS,  MOSQUITO, CVD., 18 CM</t>
  </si>
  <si>
    <t>FORCEPS,  DANDY, 1X2 T., CVD., 14 CM</t>
  </si>
  <si>
    <t>CONTAINER MS, 47X30X16  CM, HANDLE GREY</t>
  </si>
  <si>
    <t>marTray,  3/4, 410x251x64 mm</t>
  </si>
  <si>
    <t>TC-TISSUE  FORCEPS,  ADSON, 1X2 T., 15 CM</t>
  </si>
  <si>
    <t>TC-TISSUE  FORCEPS,  ADSON, 1X2 T., 12 CM</t>
  </si>
  <si>
    <t>NEEDLEHOLDER, NEIVERT,  GROOVED,  12.5 CM</t>
  </si>
  <si>
    <t>HAEM. FORCEPS,  KELLY-RANKIN, STR., 16 CM</t>
  </si>
  <si>
    <t>TISSUE FORCEPS,  1X2 T., SLIM, 14.5 CM</t>
  </si>
  <si>
    <t>IRIS SCISSORS,  SH/SH, ANGLED , 11.5 CM</t>
  </si>
  <si>
    <t>OPERATING SCISSORS,  SH/BL, STR., 14.5 CM</t>
  </si>
  <si>
    <t>SCISSORS,  REYNOLDS, STR., 15.5 CM</t>
  </si>
  <si>
    <t>TC-DISS. SCISS., TOENNIS,  CVD., 17.5 CM</t>
  </si>
  <si>
    <t>TISSUE FORCEPS,  1X2 T., SLIM, 20.5 CM</t>
  </si>
  <si>
    <t>FORCEPS,  GERALD, 1X2 T., STR., 17.5 CM</t>
  </si>
  <si>
    <t>FORCEPS,  KOCHER,  1X2 T., STR., 14 CM</t>
  </si>
  <si>
    <t>FORCEPS,  FOERSTER,  SERR., CVD., 24.5 CM</t>
  </si>
  <si>
    <t>HOOKLET,  SHARP, 4-PR., 16.5 CM</t>
  </si>
  <si>
    <t>HOOKLET,  SENN-GREEN, 20X6 MM, 16 CM</t>
  </si>
  <si>
    <t>HOOKLET,  SENN-GREEN, 10X6 MM, 16 CM</t>
  </si>
  <si>
    <t>HOOKLET,  CUSHING,  8 MM, 20.5 CM</t>
  </si>
  <si>
    <t>HOOKLET,  CUSHING,  14 MM, 20.5 CM</t>
  </si>
  <si>
    <t>RETR., VOLKMANN, SEMISH.,  2-PR., 22.5 CM</t>
  </si>
  <si>
    <t>BONE RONGEUR,  RUSKIN, CVD., 19 CM</t>
  </si>
  <si>
    <t>APPLYING/REMOVAL FORCEPS  F. RANEY-CLIPS</t>
  </si>
  <si>
    <t>GALEA RETRACTOR, (HOOK) YASARGIL,  30 CM</t>
  </si>
  <si>
    <t>marTray,  DIN, 477x251x25 mm</t>
  </si>
  <si>
    <t>ABDOMIN.  RETRACTOR, BALFOUR,  WIRE BLADES</t>
  </si>
  <si>
    <t>HAEMOSTATIC FORCEPS,  PEAN, CRV., 20.5 CM</t>
  </si>
  <si>
    <t>HAEMOSTATIC FORCEPS,  PEAN, STR., 20.5 CM</t>
  </si>
  <si>
    <t>DISS. FORCEPS,  GEMINI, STR. CVD., 21 CM</t>
  </si>
  <si>
    <t>LIGATURE  SCISSORS,  SPENCER,  STR., 13 CM</t>
  </si>
  <si>
    <t>KIDNEY STONE FCP., RANDALL,  NO. 2, 21 CM</t>
  </si>
  <si>
    <t>KIDNEY STONE FCP., RANDALL,  NO. 3, 19 CM</t>
  </si>
  <si>
    <t>TISSUE FORCEPS,  ALLIS, 5X6 T., 25.5 CM</t>
  </si>
  <si>
    <t>FORCEPS,  KOCHER,  1X2 T., CVD., 26 CM</t>
  </si>
  <si>
    <t>FORCEPS,  FOERSTER,  SERR., CVD., 20.5 CM</t>
  </si>
  <si>
    <t>DISSECTING SCISSORS,  CVD., 20.5 CM</t>
  </si>
  <si>
    <t>FORCEPS,  KOCHER,  1X2 T., CVD., 20 CM</t>
  </si>
  <si>
    <t>DISSECTING SCISSORS,  CVD., 23 CM</t>
  </si>
  <si>
    <t>DISSECTING SCISSORS,  CVD., 26 CM</t>
  </si>
  <si>
    <t>DISS. FORCEPS,  GEMINI, STR. CVD., 18 CM</t>
  </si>
  <si>
    <t>GALLSTONE FORCEPS,  BLAKE, STR., 21 CM</t>
  </si>
  <si>
    <t>GALLSTONE FORCEPS,  MAYO-B.,  CVD., 21 CM</t>
  </si>
  <si>
    <t>ATR. KIDNEY PEDI. FORCEPS,  GUYON, 23 CM</t>
  </si>
  <si>
    <t>ATR. KIDNEY PEDI. FORCEPS,  GUYON, 24 CM</t>
  </si>
  <si>
    <t>DISS. FORCEPS,  OVERHOLT, NO. 3, 21.5 CM</t>
  </si>
  <si>
    <t>FORCEPS,  OVERHOLT, FINE, CVD., 23 CM</t>
  </si>
  <si>
    <t>DRESSING  FORCEPS,  23 CM</t>
  </si>
  <si>
    <t>DISSECT.  SCISSORS,  BL/BL, CVD., 15.5 CM</t>
  </si>
  <si>
    <t>LIGATURE  SCISSORS,  SPENCER,  STR., 9 CM</t>
  </si>
  <si>
    <t>FORCEPS,  KOCHER,  1X2 T., CVD., 14 CM</t>
  </si>
  <si>
    <t>FORCEPS,  FOERSTER,  SERR., CVD., 18 CM</t>
  </si>
  <si>
    <t>DRESSING  FORCEPS,  11.5 CM</t>
  </si>
  <si>
    <t>TISSUE FORCEPS,  1X2 T., 12 CM</t>
  </si>
  <si>
    <t>HOOKLET,  SHARP, 2-PR., 16.5 CM</t>
  </si>
  <si>
    <t>Retractor,  Deaver, 16 mm, 18 cm</t>
  </si>
  <si>
    <t>HOOKLET,  MALLEABLE SHAFT, 15 MM, 24 CM</t>
  </si>
  <si>
    <t>HOOKLET,  MALLEABLE SHAFT, 17 MM, 24 CM</t>
  </si>
  <si>
    <t>DISSECT.  SCISSORS,  BL/BL, CVD., 11.5 CM</t>
  </si>
  <si>
    <t>FORCEPS,  KOCHER,  1X2 T., CVD., 16,5 CM</t>
  </si>
  <si>
    <t>URETHRAL  BOUGIE, V. BUREN, 8 CH, 27 CM</t>
  </si>
  <si>
    <t>URETHRAL  BOUGIE, V. BUREN, 10 CH, 27 CM</t>
  </si>
  <si>
    <t>URETHRAL  BOUGIE, V. BUREN, 12 CH, 27 CM</t>
  </si>
  <si>
    <t>URETHRAL  BOUGIE, V. BUREN, 14 CH, 27 CM</t>
  </si>
  <si>
    <t>URETHRAL  BOUGIE, V. BUREN, 16 CH, 27 CM</t>
  </si>
  <si>
    <t>URETHRAL  BOUGIE, V. BUREN, 18 CH, 27 CM</t>
  </si>
  <si>
    <t>URETHRAL  BOUGIE, V. BUREN, 20 CH, 27 CM</t>
  </si>
  <si>
    <t>URETHRAL  BOUGIE, V. BUREN, 22 CH, 27 CM</t>
  </si>
  <si>
    <t>URETHRAL  BOUGIE, V. BUREN, 24 CH, 27 CM</t>
  </si>
  <si>
    <t>URETHRAL  BOUGIE, V. BUREN, 26 CH, 27 CM</t>
  </si>
  <si>
    <t>URETHRAL  BOUGIE, V. BUREN, 28 CH, 27 CM</t>
  </si>
  <si>
    <t>CONTAINER MS, 60X30X21  CM, HANDLE GREY</t>
  </si>
  <si>
    <t>HOOKLET,  MALLEABLE SHAFT, 11 MM, 24 CM</t>
  </si>
  <si>
    <t>HOOKLET,  MALLEABLE SHAFT, 20 MM, 24 CM</t>
  </si>
  <si>
    <t>GALLSTONE FORCEPS,  DESJARDINS, NO. 1</t>
  </si>
  <si>
    <t>SCISSORS,  ANGLED 60°, 18 CM</t>
  </si>
  <si>
    <t>BONE CUTT. FORCEPS,  STILLE-LISTON, 28 CM</t>
  </si>
  <si>
    <t>FORCEPS,  NEGUS, NARROW  CVD., 20 CM</t>
  </si>
  <si>
    <t>TONGUE  DEPRESSOR, BRUENINGS, FEN., 19 CM</t>
  </si>
  <si>
    <t>SEPTUM ELEVATOR,  FREER, DOUBLE,  21 CM</t>
  </si>
  <si>
    <t>Suct. tube, Fergusson,  ø 3,0 mm, 16 cm</t>
  </si>
  <si>
    <t>Suct. tube, Fergusson,  ø 4,0 mm, 16 cm</t>
  </si>
  <si>
    <t>Suct. tube, Fergusson,  ø 5,0 mm, 16 cm</t>
  </si>
  <si>
    <t>TONSIL FORCEPS,  BLOHMKE,  1X2 T., 20 CM</t>
  </si>
  <si>
    <t>Retr., thyroid, Schoenborn, 6x13mm,  21cm</t>
  </si>
  <si>
    <t>RETRACTOR, KOCHER,  61X20 MM, 23 CM</t>
  </si>
  <si>
    <t>DRESSING  FORCEPS,  DELICATE,  14.5 CM</t>
  </si>
  <si>
    <t>TISSUE FORCEPS,  1X2 T., 14.5 CM</t>
  </si>
  <si>
    <t>TISSUE FORCEPS,  1X2 T., DELIC., 14.5 CM</t>
  </si>
  <si>
    <t>LIGATURE  NEEDLE, DESCHAMPS, BLUNT, 20 CM</t>
  </si>
  <si>
    <t>HAEMOSTATIC FORCEPS,  PEAN, STR., 14.5 CM</t>
  </si>
  <si>
    <t>TENACULUM FORCEPS,  BRAUN, 4X4 T., 16 CM</t>
  </si>
  <si>
    <t>DISSECT.  SCISSORS,  BL/BL, CVD., 14.5 CM</t>
  </si>
  <si>
    <t>TENOTOMY SCISSORS,  BL/BL, CVD., 11 CM</t>
  </si>
  <si>
    <t>SCISSORS,  JOSEPH, SH/SH, CVD., 14.5 CM</t>
  </si>
  <si>
    <t>SCISSORS,  DELICATE,  SH/SH, CVD., 9 CM</t>
  </si>
  <si>
    <t>OPERATING SCISSORS,  SH/BL, CVD., 14.5 CM</t>
  </si>
  <si>
    <t>HAEM. FORCEPS,  ADSON, CVD., 18.5 CM</t>
  </si>
  <si>
    <t>FORCEPS,  FOERSTER,  SERR., STR., 18 CM</t>
  </si>
  <si>
    <t>Adenoid Curette, cvd., 13 MM, 22 CM</t>
  </si>
  <si>
    <t>Adenoid Curette, cvd., 15 MM, 22 CM</t>
  </si>
  <si>
    <t>Adenoid Curette, cvd., 17 MM, 22 CM</t>
  </si>
  <si>
    <t>Adenoid Curette, cvd., 19 MM, 22 CM</t>
  </si>
  <si>
    <t>Adenoid Curette, cvd., 21 MM, 22 CM</t>
  </si>
  <si>
    <t>Adenoid Curette, cvd., 23 MM, 22 CM</t>
  </si>
  <si>
    <t>MOUTH GAG, MCIVOR,  COMPLETE</t>
  </si>
  <si>
    <t>DISSECTOR  &amp; RETRACTOR, HURD, 22.5 CM</t>
  </si>
  <si>
    <t>TONSIL SEIZ. FORCEPS,  WHITE, CVD., 18 CM</t>
  </si>
  <si>
    <t>TONSIL FORCEPS,  SCHNIDT,  CVD., 19 CM</t>
  </si>
  <si>
    <t>TONSIL SNARE, EVE, W/O RATCHET,  28.5CM</t>
  </si>
  <si>
    <t>Elevator,  Lempert,  blunt, 19 cm</t>
  </si>
  <si>
    <t>HOOK, PROBE-END, WAGENER,  NO. 3, 14 CM</t>
  </si>
  <si>
    <t>NEEDLE, BARBARA,  STR., 16 CM</t>
  </si>
  <si>
    <t>HOOKLET,  BARBARA,  90°, 1.0 MM, 16 CM</t>
  </si>
  <si>
    <t>EAR CURETTE,  HOUSE, 1.0/1.2 MM, 14.5 CM</t>
  </si>
  <si>
    <t>MALLEUS  NIPPER, UPWARDS,  1.3 MM</t>
  </si>
  <si>
    <t>MICRO-EAR SCISSORS,  BELLUCI,  STR., 4 MM</t>
  </si>
  <si>
    <t>Micro-Suction tip, Wullstein,  ø 0.4 mm</t>
  </si>
  <si>
    <t>Micro-Suction tip, Wullstein,  ø 0.6 mm</t>
  </si>
  <si>
    <t>Micro-Suction tip, Wullstein,  ø 0.8 mm</t>
  </si>
  <si>
    <t>SPREADER,  PLESTER,  SHARP, 2X2 T., 13 CM</t>
  </si>
  <si>
    <t>SPREADER,  PLESTER,  BLUNT, L., 10.5 CM</t>
  </si>
  <si>
    <t>SPREADER,  PLESTER,  BLUNT, R., 10.5 CM</t>
  </si>
  <si>
    <t>HOOKLET,  BARBARA,  90°, 1.2 MM, 16 CM</t>
  </si>
  <si>
    <t>EAR CURETTE,  BUCK, STR., BLUNT, NO. 0</t>
  </si>
  <si>
    <t>MINI-ALLIGATOR FORCEPS,  MCGEE, SMOOTH</t>
  </si>
  <si>
    <t>EAR FORCEPS,  TROELTSCH, BULLD., 12.5 CM</t>
  </si>
  <si>
    <t>EAR DRESS. FORCEPS,  TROELTSCH, 11 CM</t>
  </si>
  <si>
    <t>EAR CURETTE,  BUCK, CVD., SHARP, NO. 0</t>
  </si>
  <si>
    <t>COTTON APPLIC., FARELL, Ø 0.9 MM, 16 CM</t>
  </si>
  <si>
    <t>SEPTUM ELEVATOR,  MCKENTY,  4 MM, 15 CM</t>
  </si>
  <si>
    <t>Raspatory,  Lempert,  3.0 mm, 17 cm</t>
  </si>
  <si>
    <t>OPERATING SCISSORS,  SH/BL, CVD., 12 CM</t>
  </si>
  <si>
    <t>HOOKLET,  SHARP, 1-PR., 16.5 CM</t>
  </si>
  <si>
    <t>EAR POLYPUS  FCPS., HARTMANN, FINE, 12 CM</t>
  </si>
  <si>
    <t>EAR POLYPUS  FORCPES,  HARTMANN, 8 CM</t>
  </si>
  <si>
    <t>EAR POLYPUS  FCPS., HARTMANN-WULLS., 8 CM</t>
  </si>
  <si>
    <t>EAR POLYPUS  FCPS., HARTMANN-WULLS., 1 MM</t>
  </si>
  <si>
    <t>WIRE CLOSING  FORCEPS,  MCGEE, 6X0.8 MM</t>
  </si>
  <si>
    <t>HOOKLET,  PROBE-END, LUCAE, NO. 3, 14 CM</t>
  </si>
  <si>
    <t>EAR CURETTE,  BUCK, CVD., SHARP, NO. 00</t>
  </si>
  <si>
    <t>HOOKLET,  0.5 MM, CVD. DOWN, 15.5 CM</t>
  </si>
  <si>
    <t>HOOKLET,  BARBARA,  45°, 0.6 MM, 16 CM</t>
  </si>
  <si>
    <t>HOOKLET,  BARBARA,  25°, 0.3 MM, 16 CM</t>
  </si>
  <si>
    <t>HOOKLET,  BARBARA,  25°, 0.6 MM, 16 CM</t>
  </si>
  <si>
    <t>HOOKLET,  BARBARA,  45°, 1.0 MM, 16 CM</t>
  </si>
  <si>
    <t>HOOKLET,  BARBARA,  90°, 0.3 MM, 16 CM</t>
  </si>
  <si>
    <t>HOOKLET,  BARBARA,  90°, 0.6 MM, 16 CM</t>
  </si>
  <si>
    <t>CURETTE,  SHARP, COAKLEY,  NO. 1, 17 CM</t>
  </si>
  <si>
    <t>ETHMOID.  FCPS., 45° UPW., NO. 3, 4.5 MM</t>
  </si>
  <si>
    <t>ETHMOID.  FCPS., 90° UPW., NO. 3, 4.5 MM</t>
  </si>
  <si>
    <t>NASAL CUTTING  FCPS., 0.9 MM, 19 CM</t>
  </si>
  <si>
    <t>Cannula,  Eicken-Killian, Ø 3,0 mm, 14 cm</t>
  </si>
  <si>
    <t>ETHMOID.  FORCEPS,  TAKAHASHI, STR., 19 CM</t>
  </si>
  <si>
    <t>TC-DISS. SCISSORS,  FINE, CVD., 18 CM</t>
  </si>
  <si>
    <t>HAEM. FORCEPS,  KELLY, STR., 14.5 CM</t>
  </si>
  <si>
    <t>SPREADER,  JANSEN, BLUNT, 3X3 T., 10 CM</t>
  </si>
  <si>
    <t>MINI-ALLIGATOR FORCEPS,  MCGEE, SERRATED</t>
  </si>
  <si>
    <t>WIRE CLOSING  FORCEPS,  MCGEE, 3.5X0.8 MM</t>
  </si>
  <si>
    <t>MICRO-EAR SCISSORS,  BELLUCI,  L., 4 MM</t>
  </si>
  <si>
    <t>MICRO-EAR SCISSORS,  BELLUCI,  R., 4 MM</t>
  </si>
  <si>
    <t>EAR SPECULUM, FARRIOR,  NO. 1, Ø 5.5 MM</t>
  </si>
  <si>
    <t>EAR SPECULUM, FARRIOR,  NO. 3, Ø 7.5 MM</t>
  </si>
  <si>
    <t>EAR SPECULUM, FARRIOR,  NO. 5, Ø 9.5 MM</t>
  </si>
  <si>
    <t>EAR SPECULUM, FARRIOR,  NO. 6, Ø 10.5 MM</t>
  </si>
  <si>
    <t>EAR LOOP, BILLEAU,  NO. 2, 16.5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</si>
</sst>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€-2]\ #,##0.00"/>
    <numFmt numFmtId="165" formatCode="_-* #,##0.00_-;_-* #,##0.00\-;_-* &quot;-&quot;??_-;_-@_-"/>
    <numFmt numFmtId="166" formatCode="[$EGP]\ #,##0.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7" fillId="0" borderId="0"/>
    <xf numFmtId="0" fontId="9" fillId="0" borderId="0"/>
    <xf numFmtId="0" fontId="11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</cellXfs>
  <cellStyles count="7">
    <cellStyle name="Comma 3" xfId="6"/>
    <cellStyle name="Normal" xfId="0" builtinId="0"/>
    <cellStyle name="Normal 16" xfId="1"/>
    <cellStyle name="Normal 2" xfId="2"/>
    <cellStyle name="Normal 2 2" xfId="5"/>
    <cellStyle name="Normal 3" xfId="3"/>
    <cellStyle name="Percent 2" xfId="4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1528635</xdr:colOff>
      <xdr:row>0</xdr:row>
      <xdr:rowOff>821765</xdr:rowOff>
    </xdr:to>
    <xdr:pic>
      <xdr:nvPicPr>
        <xdr:cNvPr id="2" name="Picture 1" descr="Description: Description: Description: cid:image001.png@01D68F3D.E4A6C500">
          <a:extLst>
            <a:ext uri="{FF2B5EF4-FFF2-40B4-BE49-F238E27FC236}">
              <a16:creationId xmlns:a16="http://schemas.microsoft.com/office/drawing/2014/main" id="{D11AB7F8-7590-4CE9-99ED-3AC98F2BD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443035" cy="821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chnowave\Sales\KLS%20Martin\offers%20KLS\0042%20-%20&#1605;&#1587;&#1578;&#1588;&#1601;&#1609;%20&#1575;&#1604;&#1583;&#1605;&#1585;&#1583;&#1575;&#1588;\Semi%20final\&#1580;&#1585;&#1575;&#1581;&#1577;%20&#1575;&#1604;&#1578;&#1580;&#1605;&#1610;&#1604;\Plastic%20Surger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ownloads/Egypt_FSC_Certificate_Legal_Merger_2024_legalis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FFER"/>
      <sheetName val="Hand Surgery Set"/>
      <sheetName val="General plastic surgical"/>
      <sheetName val="Maxillofacial instrument sets"/>
      <sheetName val="MICRO INSTRUMENTS FOR MICRO SUR"/>
      <sheetName val="MAXILLOFACIAL SURGICAL Product"/>
      <sheetName val="RHINOPLASTY SET"/>
      <sheetName val="CRANIOFACIAL SUSPENSION SET"/>
      <sheetName val="BASIC INSTRUMENTS FOR PLASTIC"/>
      <sheetName val="Tracheostomy instruments Set"/>
    </sheetNames>
    <sheetDataSet>
      <sheetData sheetId="0">
        <row r="1">
          <cell r="A1" t="str">
            <v>ARTNO</v>
          </cell>
          <cell r="B1" t="str">
            <v>DESCRIPTION</v>
          </cell>
          <cell r="C1" t="str">
            <v>ITEM</v>
          </cell>
          <cell r="D1" t="str">
            <v>COUNTRY 
OF ORIGIN</v>
          </cell>
          <cell r="E1" t="str">
            <v>HS CODE</v>
          </cell>
          <cell r="F1" t="str">
            <v>QTY.</v>
          </cell>
          <cell r="G1" t="str">
            <v>UNIT</v>
          </cell>
          <cell r="H1" t="str">
            <v>PRICE /
ITEM (EUR)</v>
          </cell>
          <cell r="I1" t="str">
            <v xml:space="preserve"> TOTAL /
PRICE (EUR)</v>
          </cell>
        </row>
        <row r="2">
          <cell r="A2" t="str">
            <v xml:space="preserve">            </v>
          </cell>
          <cell r="B2" t="str">
            <v xml:space="preserve">Amputation Set                          </v>
          </cell>
          <cell r="C2" t="str">
            <v xml:space="preserve">                                   </v>
          </cell>
          <cell r="D2" t="str">
            <v xml:space="preserve">          </v>
          </cell>
          <cell r="E2" t="str">
            <v xml:space="preserve">                </v>
          </cell>
          <cell r="F2">
            <v>1</v>
          </cell>
          <cell r="G2" t="str">
            <v xml:space="preserve">            </v>
          </cell>
          <cell r="H2" t="str">
            <v xml:space="preserve">               </v>
          </cell>
          <cell r="I2" t="str">
            <v xml:space="preserve">               </v>
          </cell>
        </row>
        <row r="3">
          <cell r="A3" t="str">
            <v>13-411-16-07</v>
          </cell>
          <cell r="B3" t="str">
            <v>HAEMOSTATIC FORCEPS, PEAN, CVD., 16,5 CM</v>
          </cell>
          <cell r="C3" t="str">
            <v xml:space="preserve">                                   </v>
          </cell>
          <cell r="D3" t="str">
            <v xml:space="preserve">MY        </v>
          </cell>
          <cell r="E3">
            <v>90189084</v>
          </cell>
          <cell r="F3">
            <v>4</v>
          </cell>
          <cell r="G3" t="str">
            <v xml:space="preserve">PC          </v>
          </cell>
          <cell r="H3">
            <v>27.1</v>
          </cell>
          <cell r="I3">
            <v>108.4</v>
          </cell>
        </row>
        <row r="4">
          <cell r="A4" t="str">
            <v>13-411-18-07</v>
          </cell>
          <cell r="B4" t="str">
            <v>HAEMOSTATIC FORCEPS, PEAN, CRV., 18.5 CM</v>
          </cell>
          <cell r="C4" t="str">
            <v xml:space="preserve">                                   </v>
          </cell>
          <cell r="D4" t="str">
            <v xml:space="preserve">MY        </v>
          </cell>
          <cell r="E4">
            <v>90189084</v>
          </cell>
          <cell r="F4">
            <v>4</v>
          </cell>
          <cell r="G4" t="str">
            <v xml:space="preserve">ST          </v>
          </cell>
          <cell r="H4">
            <v>30.4</v>
          </cell>
          <cell r="I4">
            <v>121.6</v>
          </cell>
        </row>
        <row r="5">
          <cell r="A5" t="str">
            <v>13-414-16-07</v>
          </cell>
          <cell r="B5" t="str">
            <v xml:space="preserve">FORCEPS, KOCHER, 1X2 T., STR., 16 CM    </v>
          </cell>
          <cell r="C5" t="str">
            <v xml:space="preserve">                                   </v>
          </cell>
          <cell r="D5" t="str">
            <v xml:space="preserve">MY        </v>
          </cell>
          <cell r="E5">
            <v>90189084</v>
          </cell>
          <cell r="F5">
            <v>2</v>
          </cell>
          <cell r="G5" t="str">
            <v xml:space="preserve">ST          </v>
          </cell>
          <cell r="H5">
            <v>26.3</v>
          </cell>
          <cell r="I5">
            <v>52.6</v>
          </cell>
        </row>
        <row r="6">
          <cell r="A6" t="str">
            <v>13-414-18-07</v>
          </cell>
          <cell r="B6" t="str">
            <v xml:space="preserve">FORCEPS, KOCHER, 1X2 T., STR., 18.5 CM  </v>
          </cell>
          <cell r="C6" t="str">
            <v xml:space="preserve">                                   </v>
          </cell>
          <cell r="D6" t="str">
            <v xml:space="preserve">MY        </v>
          </cell>
          <cell r="E6">
            <v>90189084</v>
          </cell>
          <cell r="F6">
            <v>2</v>
          </cell>
          <cell r="G6" t="str">
            <v xml:space="preserve">ST          </v>
          </cell>
          <cell r="H6">
            <v>30</v>
          </cell>
          <cell r="I6">
            <v>60</v>
          </cell>
        </row>
        <row r="7">
          <cell r="A7" t="str">
            <v>30-134-15-07</v>
          </cell>
          <cell r="B7" t="str">
            <v xml:space="preserve">TISSUE FORCEPS, ALLIS, 5X6 T., 15.5 CM  </v>
          </cell>
          <cell r="C7" t="str">
            <v xml:space="preserve">                                   </v>
          </cell>
          <cell r="D7" t="str">
            <v xml:space="preserve">MY        </v>
          </cell>
          <cell r="E7">
            <v>90189084</v>
          </cell>
          <cell r="F7">
            <v>2</v>
          </cell>
          <cell r="G7" t="str">
            <v xml:space="preserve">ST          </v>
          </cell>
          <cell r="H7">
            <v>45.7</v>
          </cell>
          <cell r="I7">
            <v>91.4</v>
          </cell>
        </row>
        <row r="8">
          <cell r="A8" t="str">
            <v>11-170-14-07</v>
          </cell>
          <cell r="B8" t="str">
            <v xml:space="preserve">SCISSORS, MAYO, STR., 14.5 CM           </v>
          </cell>
          <cell r="C8" t="str">
            <v xml:space="preserve">                                   </v>
          </cell>
          <cell r="D8" t="str">
            <v xml:space="preserve">DE        </v>
          </cell>
          <cell r="E8">
            <v>90189084</v>
          </cell>
          <cell r="F8">
            <v>1</v>
          </cell>
          <cell r="G8" t="str">
            <v xml:space="preserve">ST          </v>
          </cell>
          <cell r="H8">
            <v>27.2</v>
          </cell>
          <cell r="I8">
            <v>27.2</v>
          </cell>
        </row>
        <row r="9">
          <cell r="A9" t="str">
            <v>11-285-18-07</v>
          </cell>
          <cell r="B9" t="str">
            <v xml:space="preserve">DISSECTING SCISSORS, CVD., 18 CM        </v>
          </cell>
          <cell r="C9" t="str">
            <v xml:space="preserve">                                   </v>
          </cell>
          <cell r="D9" t="str">
            <v xml:space="preserve">DE        </v>
          </cell>
          <cell r="E9">
            <v>90189084</v>
          </cell>
          <cell r="F9">
            <v>1</v>
          </cell>
          <cell r="G9" t="str">
            <v xml:space="preserve">ST          </v>
          </cell>
          <cell r="H9">
            <v>24.1</v>
          </cell>
          <cell r="I9">
            <v>24.1</v>
          </cell>
        </row>
        <row r="10">
          <cell r="A10" t="str">
            <v>20-390-18-07</v>
          </cell>
          <cell r="B10" t="str">
            <v xml:space="preserve">NEEDLEHOLDER, MAYO-HEGAR, 18.5 CM       </v>
          </cell>
          <cell r="C10" t="str">
            <v xml:space="preserve">                                   </v>
          </cell>
          <cell r="D10" t="str">
            <v xml:space="preserve">MY        </v>
          </cell>
          <cell r="E10">
            <v>90189084</v>
          </cell>
          <cell r="F10">
            <v>2</v>
          </cell>
          <cell r="G10" t="str">
            <v xml:space="preserve">ST          </v>
          </cell>
          <cell r="H10">
            <v>28</v>
          </cell>
          <cell r="I10">
            <v>56</v>
          </cell>
        </row>
        <row r="11">
          <cell r="A11" t="str">
            <v>15-317-04-07</v>
          </cell>
          <cell r="B11" t="str">
            <v>RETRACT., KOCHER-LANG., 35X15 MM, 21.5CM</v>
          </cell>
          <cell r="C11" t="str">
            <v xml:space="preserve">                                   </v>
          </cell>
          <cell r="D11" t="str">
            <v xml:space="preserve">DE        </v>
          </cell>
          <cell r="E11">
            <v>90189084</v>
          </cell>
          <cell r="F11">
            <v>2</v>
          </cell>
          <cell r="G11" t="str">
            <v xml:space="preserve">ST          </v>
          </cell>
          <cell r="H11">
            <v>59</v>
          </cell>
          <cell r="I11">
            <v>118</v>
          </cell>
        </row>
        <row r="12">
          <cell r="A12" t="str">
            <v>09-008-24-07</v>
          </cell>
          <cell r="B12" t="str">
            <v xml:space="preserve">Retractor, Morris, 70x50 mm, 24 cm      </v>
          </cell>
          <cell r="C12" t="str">
            <v xml:space="preserve">                                   </v>
          </cell>
          <cell r="D12" t="str">
            <v xml:space="preserve">DE        </v>
          </cell>
          <cell r="E12">
            <v>90189084</v>
          </cell>
          <cell r="F12">
            <v>1</v>
          </cell>
          <cell r="G12" t="str">
            <v xml:space="preserve">ST          </v>
          </cell>
          <cell r="H12">
            <v>141.5</v>
          </cell>
          <cell r="I12">
            <v>141.5</v>
          </cell>
        </row>
        <row r="13">
          <cell r="A13" t="str">
            <v>09-008-25-07</v>
          </cell>
          <cell r="B13" t="str">
            <v xml:space="preserve">Retractor, Morris, 70x65 mm, 24,5 cm    </v>
          </cell>
          <cell r="C13" t="str">
            <v xml:space="preserve">                                   </v>
          </cell>
          <cell r="D13" t="str">
            <v xml:space="preserve">DE        </v>
          </cell>
          <cell r="E13">
            <v>90189084</v>
          </cell>
          <cell r="F13">
            <v>1</v>
          </cell>
          <cell r="G13" t="str">
            <v xml:space="preserve">ST          </v>
          </cell>
          <cell r="H13">
            <v>84</v>
          </cell>
          <cell r="I13">
            <v>84</v>
          </cell>
        </row>
        <row r="14">
          <cell r="A14" t="str">
            <v>10-100-04-07</v>
          </cell>
          <cell r="B14" t="str">
            <v xml:space="preserve">SCALPEL HANDLE, NO. 4, 13.5 CM          </v>
          </cell>
          <cell r="C14" t="str">
            <v xml:space="preserve">                                   </v>
          </cell>
          <cell r="D14" t="str">
            <v xml:space="preserve">DE        </v>
          </cell>
          <cell r="E14">
            <v>90189084</v>
          </cell>
          <cell r="F14">
            <v>1</v>
          </cell>
          <cell r="G14" t="str">
            <v xml:space="preserve">ST          </v>
          </cell>
          <cell r="H14">
            <v>6.81</v>
          </cell>
          <cell r="I14">
            <v>6.81</v>
          </cell>
        </row>
        <row r="15">
          <cell r="A15" t="str">
            <v>56-231-11-01</v>
          </cell>
          <cell r="B15" t="str">
            <v xml:space="preserve">BOWL, METAL, H = 50, Ø 116 MM, 0.25 L   </v>
          </cell>
          <cell r="C15" t="str">
            <v xml:space="preserve">                                   </v>
          </cell>
          <cell r="D15" t="str">
            <v xml:space="preserve">DE        </v>
          </cell>
          <cell r="E15">
            <v>73249000</v>
          </cell>
          <cell r="F15">
            <v>1</v>
          </cell>
          <cell r="G15" t="str">
            <v xml:space="preserve">ST          </v>
          </cell>
          <cell r="H15">
            <v>25.7</v>
          </cell>
          <cell r="I15">
            <v>25.7</v>
          </cell>
        </row>
        <row r="16">
          <cell r="A16" t="str">
            <v>13-915-13-07</v>
          </cell>
          <cell r="B16" t="str">
            <v xml:space="preserve">TOWEL FORCEPS, BACKHAUS, SHARP, 13 CM   </v>
          </cell>
          <cell r="C16" t="str">
            <v xml:space="preserve">                                   </v>
          </cell>
          <cell r="D16" t="str">
            <v xml:space="preserve">MY        </v>
          </cell>
          <cell r="E16">
            <v>90189084</v>
          </cell>
          <cell r="F16">
            <v>1</v>
          </cell>
          <cell r="G16" t="str">
            <v xml:space="preserve">ST          </v>
          </cell>
          <cell r="H16">
            <v>24.3</v>
          </cell>
          <cell r="I16">
            <v>24.3</v>
          </cell>
        </row>
        <row r="17">
          <cell r="A17" t="str">
            <v>55-804-25-01</v>
          </cell>
          <cell r="B17" t="str">
            <v xml:space="preserve">marTray, 1/2, 240x251x44 mm             </v>
          </cell>
          <cell r="C17" t="str">
            <v xml:space="preserve">                                   </v>
          </cell>
          <cell r="D17" t="str">
            <v xml:space="preserve">DE        </v>
          </cell>
          <cell r="E17">
            <v>73269098</v>
          </cell>
          <cell r="F17">
            <v>1</v>
          </cell>
          <cell r="G17" t="str">
            <v xml:space="preserve">ST          </v>
          </cell>
          <cell r="H17">
            <v>96.6</v>
          </cell>
          <cell r="I17">
            <v>96.6</v>
          </cell>
        </row>
        <row r="18">
          <cell r="A18" t="str">
            <v>24-600-50-07</v>
          </cell>
          <cell r="B18" t="str">
            <v xml:space="preserve">WIRE SAW, GIGLI, FOURFOLD, 50 CM        </v>
          </cell>
          <cell r="C18" t="str">
            <v xml:space="preserve">                                   </v>
          </cell>
          <cell r="D18" t="str">
            <v xml:space="preserve">DE        </v>
          </cell>
          <cell r="E18">
            <v>90189084</v>
          </cell>
          <cell r="F18">
            <v>1</v>
          </cell>
          <cell r="G18" t="str">
            <v xml:space="preserve">ST          </v>
          </cell>
          <cell r="H18">
            <v>10.6</v>
          </cell>
          <cell r="I18">
            <v>10.6</v>
          </cell>
        </row>
        <row r="19">
          <cell r="A19" t="str">
            <v>24-602-01-01</v>
          </cell>
          <cell r="B19" t="str">
            <v xml:space="preserve">HOOK HANDLE, F. WIRE SAWS               </v>
          </cell>
          <cell r="C19" t="str">
            <v xml:space="preserve">                                   </v>
          </cell>
          <cell r="D19" t="str">
            <v xml:space="preserve">DE        </v>
          </cell>
          <cell r="E19">
            <v>90189084</v>
          </cell>
          <cell r="F19">
            <v>2</v>
          </cell>
          <cell r="G19" t="str">
            <v xml:space="preserve">ST          </v>
          </cell>
          <cell r="H19">
            <v>57.2</v>
          </cell>
          <cell r="I19">
            <v>114.4</v>
          </cell>
        </row>
        <row r="20">
          <cell r="A20" t="str">
            <v>24-618-33-07</v>
          </cell>
          <cell r="B20" t="str">
            <v xml:space="preserve">WIRE SAW CONDUCTOR, DE MARTEL           </v>
          </cell>
          <cell r="C20" t="str">
            <v xml:space="preserve">                                   </v>
          </cell>
          <cell r="D20" t="str">
            <v xml:space="preserve">DE        </v>
          </cell>
          <cell r="E20">
            <v>90189084</v>
          </cell>
          <cell r="F20">
            <v>1</v>
          </cell>
          <cell r="G20" t="str">
            <v xml:space="preserve">ST          </v>
          </cell>
          <cell r="H20">
            <v>37.6</v>
          </cell>
          <cell r="I20">
            <v>37.6</v>
          </cell>
        </row>
        <row r="21">
          <cell r="A21" t="str">
            <v>23-899-02-07</v>
          </cell>
          <cell r="B21" t="str">
            <v xml:space="preserve">BONE RONGEUR, ECHLIN, 2 MM, 23 CM       </v>
          </cell>
          <cell r="C21" t="str">
            <v xml:space="preserve">                                   </v>
          </cell>
          <cell r="D21" t="str">
            <v xml:space="preserve">DE        </v>
          </cell>
          <cell r="E21">
            <v>90189084</v>
          </cell>
          <cell r="F21">
            <v>1</v>
          </cell>
          <cell r="G21" t="str">
            <v xml:space="preserve">ST          </v>
          </cell>
          <cell r="H21">
            <v>392</v>
          </cell>
          <cell r="I21">
            <v>392</v>
          </cell>
        </row>
        <row r="22">
          <cell r="A22" t="str">
            <v>23-901-23-07</v>
          </cell>
          <cell r="B22" t="str">
            <v xml:space="preserve">BONE RONGEUR, STILLE-RUSKIN, 23.5 CM    </v>
          </cell>
          <cell r="C22" t="str">
            <v xml:space="preserve">                                   </v>
          </cell>
          <cell r="D22" t="str">
            <v xml:space="preserve">DE        </v>
          </cell>
          <cell r="E22">
            <v>90189084</v>
          </cell>
          <cell r="F22">
            <v>1</v>
          </cell>
          <cell r="G22" t="str">
            <v xml:space="preserve">ST          </v>
          </cell>
          <cell r="H22">
            <v>367.5</v>
          </cell>
          <cell r="I22">
            <v>367.5</v>
          </cell>
        </row>
        <row r="23">
          <cell r="A23" t="str">
            <v>23-934-19-07</v>
          </cell>
          <cell r="B23" t="str">
            <v xml:space="preserve">BONE CUTT. FORCEPS, LISTON, STR., 20 CM </v>
          </cell>
          <cell r="C23" t="str">
            <v xml:space="preserve">                                   </v>
          </cell>
          <cell r="D23" t="str">
            <v xml:space="preserve">DE        </v>
          </cell>
          <cell r="E23">
            <v>90189084</v>
          </cell>
          <cell r="F23">
            <v>1</v>
          </cell>
          <cell r="G23" t="str">
            <v xml:space="preserve">ST          </v>
          </cell>
          <cell r="H23">
            <v>173</v>
          </cell>
          <cell r="I23">
            <v>173</v>
          </cell>
        </row>
        <row r="24">
          <cell r="A24" t="str">
            <v>23-481-24-07</v>
          </cell>
          <cell r="B24" t="str">
            <v xml:space="preserve">BONE FILE, BAYONET SHAPE, 13 MM, 25 CM  </v>
          </cell>
          <cell r="C24" t="str">
            <v xml:space="preserve">                                   </v>
          </cell>
          <cell r="D24" t="str">
            <v xml:space="preserve">DE        </v>
          </cell>
          <cell r="E24">
            <v>90189084</v>
          </cell>
          <cell r="F24">
            <v>1</v>
          </cell>
          <cell r="G24" t="str">
            <v xml:space="preserve">ST          </v>
          </cell>
          <cell r="H24">
            <v>117.5</v>
          </cell>
          <cell r="I24">
            <v>117.5</v>
          </cell>
        </row>
        <row r="25">
          <cell r="A25" t="str">
            <v xml:space="preserve">            </v>
          </cell>
          <cell r="B25" t="str">
            <v xml:space="preserve">Abscess Set                             </v>
          </cell>
          <cell r="C25" t="str">
            <v xml:space="preserve">                                   </v>
          </cell>
          <cell r="D25" t="str">
            <v xml:space="preserve">          </v>
          </cell>
          <cell r="E25" t="str">
            <v xml:space="preserve">                </v>
          </cell>
          <cell r="F25">
            <v>1</v>
          </cell>
          <cell r="G25" t="str">
            <v xml:space="preserve">            </v>
          </cell>
          <cell r="H25" t="str">
            <v xml:space="preserve">               </v>
          </cell>
          <cell r="I25" t="str">
            <v xml:space="preserve">               </v>
          </cell>
        </row>
        <row r="26">
          <cell r="A26" t="str">
            <v>13-411-16-07</v>
          </cell>
          <cell r="B26" t="str">
            <v>HAEMOSTATIC FORCEPS, PEAN, CVD., 16,5 CM</v>
          </cell>
          <cell r="C26" t="str">
            <v xml:space="preserve">                                   </v>
          </cell>
          <cell r="D26" t="str">
            <v xml:space="preserve">MY        </v>
          </cell>
          <cell r="E26">
            <v>90189084</v>
          </cell>
          <cell r="F26">
            <v>4</v>
          </cell>
          <cell r="G26" t="str">
            <v xml:space="preserve">ST          </v>
          </cell>
          <cell r="H26">
            <v>27.1</v>
          </cell>
          <cell r="I26">
            <v>108.4</v>
          </cell>
        </row>
        <row r="27">
          <cell r="A27" t="str">
            <v>10-100-04-07</v>
          </cell>
          <cell r="B27" t="str">
            <v xml:space="preserve">SCALPEL HANDLE, NO. 4, 13.5 CM          </v>
          </cell>
          <cell r="C27" t="str">
            <v xml:space="preserve">                                   </v>
          </cell>
          <cell r="D27" t="str">
            <v xml:space="preserve">DE        </v>
          </cell>
          <cell r="E27">
            <v>90189084</v>
          </cell>
          <cell r="F27">
            <v>1</v>
          </cell>
          <cell r="G27" t="str">
            <v xml:space="preserve">ST          </v>
          </cell>
          <cell r="H27">
            <v>6.81</v>
          </cell>
          <cell r="I27">
            <v>6.81</v>
          </cell>
        </row>
        <row r="28">
          <cell r="A28" t="str">
            <v>13-915-13-07</v>
          </cell>
          <cell r="B28" t="str">
            <v xml:space="preserve">TOWEL FORCEPS, BACKHAUS, SHARP, 13 CM   </v>
          </cell>
          <cell r="C28" t="str">
            <v xml:space="preserve">                                   </v>
          </cell>
          <cell r="D28" t="str">
            <v xml:space="preserve">MY        </v>
          </cell>
          <cell r="E28">
            <v>90189084</v>
          </cell>
          <cell r="F28">
            <v>1</v>
          </cell>
          <cell r="G28" t="str">
            <v xml:space="preserve">ST          </v>
          </cell>
          <cell r="H28">
            <v>24.3</v>
          </cell>
          <cell r="I28">
            <v>24.3</v>
          </cell>
        </row>
        <row r="29">
          <cell r="A29" t="str">
            <v>56-231-11-01</v>
          </cell>
          <cell r="B29" t="str">
            <v xml:space="preserve">BOWL, METAL, H = 50, Ø 116 MM, 0.25 L   </v>
          </cell>
          <cell r="C29" t="str">
            <v xml:space="preserve">                                   </v>
          </cell>
          <cell r="D29" t="str">
            <v xml:space="preserve">DE        </v>
          </cell>
          <cell r="E29">
            <v>73249000</v>
          </cell>
          <cell r="F29">
            <v>1</v>
          </cell>
          <cell r="G29" t="str">
            <v xml:space="preserve">ST          </v>
          </cell>
          <cell r="H29">
            <v>25.7</v>
          </cell>
          <cell r="I29">
            <v>25.7</v>
          </cell>
        </row>
        <row r="30">
          <cell r="A30" t="str">
            <v>11-285-18-07</v>
          </cell>
          <cell r="B30" t="str">
            <v xml:space="preserve">DISSECTING SCISSORS, CVD., 18 CM        </v>
          </cell>
          <cell r="C30" t="str">
            <v xml:space="preserve">                                   </v>
          </cell>
          <cell r="D30" t="str">
            <v xml:space="preserve">DE        </v>
          </cell>
          <cell r="E30">
            <v>90189084</v>
          </cell>
          <cell r="F30">
            <v>1</v>
          </cell>
          <cell r="G30" t="str">
            <v xml:space="preserve">ST          </v>
          </cell>
          <cell r="H30">
            <v>24.1</v>
          </cell>
          <cell r="I30">
            <v>24.1</v>
          </cell>
        </row>
        <row r="31">
          <cell r="A31" t="str">
            <v>13-414-16-07</v>
          </cell>
          <cell r="B31" t="str">
            <v xml:space="preserve">FORCEPS, KOCHER, 1X2 T., STR., 16 CM    </v>
          </cell>
          <cell r="C31" t="str">
            <v xml:space="preserve">                                   </v>
          </cell>
          <cell r="D31" t="str">
            <v xml:space="preserve">MY        </v>
          </cell>
          <cell r="E31">
            <v>90189084</v>
          </cell>
          <cell r="F31">
            <v>2</v>
          </cell>
          <cell r="G31" t="str">
            <v xml:space="preserve">ST          </v>
          </cell>
          <cell r="H31">
            <v>26.3</v>
          </cell>
          <cell r="I31">
            <v>52.6</v>
          </cell>
        </row>
        <row r="32">
          <cell r="A32" t="str">
            <v>55-804-25-01</v>
          </cell>
          <cell r="B32" t="str">
            <v xml:space="preserve">marTray, 1/2, 240x251x44 mm             </v>
          </cell>
          <cell r="C32" t="str">
            <v xml:space="preserve">                                   </v>
          </cell>
          <cell r="D32" t="str">
            <v xml:space="preserve">DE        </v>
          </cell>
          <cell r="E32">
            <v>73269098</v>
          </cell>
          <cell r="F32">
            <v>1</v>
          </cell>
          <cell r="G32" t="str">
            <v xml:space="preserve">ST          </v>
          </cell>
          <cell r="H32">
            <v>96.6</v>
          </cell>
          <cell r="I32">
            <v>96.6</v>
          </cell>
        </row>
        <row r="33">
          <cell r="A33" t="str">
            <v xml:space="preserve">            </v>
          </cell>
          <cell r="B33" t="str">
            <v xml:space="preserve">Exploration Set                         </v>
          </cell>
          <cell r="C33" t="str">
            <v xml:space="preserve">                                   </v>
          </cell>
          <cell r="D33" t="str">
            <v xml:space="preserve">          </v>
          </cell>
          <cell r="E33" t="str">
            <v xml:space="preserve">                </v>
          </cell>
          <cell r="F33">
            <v>1</v>
          </cell>
          <cell r="G33" t="str">
            <v xml:space="preserve">            </v>
          </cell>
          <cell r="H33" t="str">
            <v xml:space="preserve">               </v>
          </cell>
          <cell r="I33" t="str">
            <v xml:space="preserve">               </v>
          </cell>
        </row>
        <row r="34">
          <cell r="A34" t="str">
            <v>13-915-13-07</v>
          </cell>
          <cell r="B34" t="str">
            <v xml:space="preserve">TOWEL FORCEPS, BACKHAUS, SHARP, 13 CM   </v>
          </cell>
          <cell r="C34" t="str">
            <v xml:space="preserve">                                   </v>
          </cell>
          <cell r="D34" t="str">
            <v xml:space="preserve">MY        </v>
          </cell>
          <cell r="E34">
            <v>90189084</v>
          </cell>
          <cell r="F34">
            <v>4</v>
          </cell>
          <cell r="G34" t="str">
            <v xml:space="preserve">ST          </v>
          </cell>
          <cell r="H34">
            <v>24.3</v>
          </cell>
          <cell r="I34">
            <v>97.2</v>
          </cell>
        </row>
        <row r="35">
          <cell r="A35" t="str">
            <v>32-741-32-07</v>
          </cell>
          <cell r="B35" t="str">
            <v xml:space="preserve">UTERINE POLYPUS FORCEPS, KELLY, 31.5 CM </v>
          </cell>
          <cell r="C35" t="str">
            <v xml:space="preserve">                                   </v>
          </cell>
          <cell r="D35" t="str">
            <v xml:space="preserve">DE        </v>
          </cell>
          <cell r="E35">
            <v>90189084</v>
          </cell>
          <cell r="F35">
            <v>1</v>
          </cell>
          <cell r="G35" t="str">
            <v xml:space="preserve">ST          </v>
          </cell>
          <cell r="H35">
            <v>126.5</v>
          </cell>
          <cell r="I35">
            <v>126.5</v>
          </cell>
        </row>
        <row r="36">
          <cell r="A36" t="str">
            <v>10-130-05-07</v>
          </cell>
          <cell r="B36" t="str">
            <v xml:space="preserve">SCALPEL HANDLE, NO. 3, CM-SCALE, 12 CM  </v>
          </cell>
          <cell r="C36" t="str">
            <v xml:space="preserve">                                   </v>
          </cell>
          <cell r="D36" t="str">
            <v xml:space="preserve">DE        </v>
          </cell>
          <cell r="E36">
            <v>90189084</v>
          </cell>
          <cell r="F36">
            <v>1</v>
          </cell>
          <cell r="G36" t="str">
            <v xml:space="preserve">ST          </v>
          </cell>
          <cell r="H36">
            <v>20.100000000000001</v>
          </cell>
          <cell r="I36">
            <v>20.100000000000001</v>
          </cell>
        </row>
        <row r="37">
          <cell r="A37" t="str">
            <v>10-100-04-07</v>
          </cell>
          <cell r="B37" t="str">
            <v xml:space="preserve">SCALPEL HANDLE, NO. 4, 13.5 CM          </v>
          </cell>
          <cell r="C37" t="str">
            <v xml:space="preserve">                                   </v>
          </cell>
          <cell r="D37" t="str">
            <v xml:space="preserve">DE        </v>
          </cell>
          <cell r="E37">
            <v>90189084</v>
          </cell>
          <cell r="F37">
            <v>1</v>
          </cell>
          <cell r="G37" t="str">
            <v xml:space="preserve">ST          </v>
          </cell>
          <cell r="H37">
            <v>6.81</v>
          </cell>
          <cell r="I37">
            <v>6.81</v>
          </cell>
        </row>
        <row r="38">
          <cell r="A38" t="str">
            <v>13-369-20-07</v>
          </cell>
          <cell r="B38" t="str">
            <v xml:space="preserve">FORCEPS, MARTIN-FUCHSIG, CVD., 20.5 CM  </v>
          </cell>
          <cell r="C38" t="str">
            <v xml:space="preserve">                                   </v>
          </cell>
          <cell r="D38" t="str">
            <v xml:space="preserve">MY        </v>
          </cell>
          <cell r="E38">
            <v>90189084</v>
          </cell>
          <cell r="F38">
            <v>6</v>
          </cell>
          <cell r="G38" t="str">
            <v xml:space="preserve">ST          </v>
          </cell>
          <cell r="H38">
            <v>55.6</v>
          </cell>
          <cell r="I38">
            <v>333.6</v>
          </cell>
        </row>
        <row r="39">
          <cell r="A39" t="str">
            <v>13-311-12-07</v>
          </cell>
          <cell r="B39" t="str">
            <v xml:space="preserve">HAEM. FORCEPS, MOSQUITO, CVD., 12 CM    </v>
          </cell>
          <cell r="C39" t="str">
            <v xml:space="preserve">                                   </v>
          </cell>
          <cell r="D39" t="str">
            <v xml:space="preserve">MY        </v>
          </cell>
          <cell r="E39">
            <v>90189084</v>
          </cell>
          <cell r="F39">
            <v>6</v>
          </cell>
          <cell r="G39" t="str">
            <v xml:space="preserve">ST          </v>
          </cell>
          <cell r="H39">
            <v>23.9</v>
          </cell>
          <cell r="I39">
            <v>143.4</v>
          </cell>
        </row>
        <row r="40">
          <cell r="A40" t="str">
            <v>13-310-12-07</v>
          </cell>
          <cell r="B40" t="str">
            <v xml:space="preserve">HAEM. FORCEPS, MOSQUITO, STR., 12.5 CM  </v>
          </cell>
          <cell r="C40" t="str">
            <v xml:space="preserve">                                   </v>
          </cell>
          <cell r="D40" t="str">
            <v xml:space="preserve">MY        </v>
          </cell>
          <cell r="E40">
            <v>90189084</v>
          </cell>
          <cell r="F40">
            <v>4</v>
          </cell>
          <cell r="G40" t="str">
            <v xml:space="preserve">ST          </v>
          </cell>
          <cell r="H40">
            <v>22.4</v>
          </cell>
          <cell r="I40">
            <v>89.6</v>
          </cell>
        </row>
        <row r="41">
          <cell r="A41" t="str">
            <v>13-577-19-07</v>
          </cell>
          <cell r="B41" t="str">
            <v>DISS. FORCEPS, KELLY, SLIGHT CVD., 19 CM</v>
          </cell>
          <cell r="C41" t="str">
            <v xml:space="preserve">                                   </v>
          </cell>
          <cell r="D41" t="str">
            <v xml:space="preserve">MY        </v>
          </cell>
          <cell r="E41">
            <v>90189084</v>
          </cell>
          <cell r="F41">
            <v>4</v>
          </cell>
          <cell r="G41" t="str">
            <v xml:space="preserve">ST          </v>
          </cell>
          <cell r="H41">
            <v>75.3</v>
          </cell>
          <cell r="I41">
            <v>301.2</v>
          </cell>
        </row>
        <row r="42">
          <cell r="A42" t="str">
            <v>13-411-16-07</v>
          </cell>
          <cell r="B42" t="str">
            <v>HAEMOSTATIC FORCEPS, PEAN, CVD., 16,5 CM</v>
          </cell>
          <cell r="C42" t="str">
            <v xml:space="preserve">                                   </v>
          </cell>
          <cell r="D42" t="str">
            <v xml:space="preserve">MY        </v>
          </cell>
          <cell r="E42">
            <v>90189084</v>
          </cell>
          <cell r="F42">
            <v>2</v>
          </cell>
          <cell r="G42" t="str">
            <v xml:space="preserve">ST          </v>
          </cell>
          <cell r="H42">
            <v>27.1</v>
          </cell>
          <cell r="I42">
            <v>54.2</v>
          </cell>
        </row>
        <row r="43">
          <cell r="A43" t="str">
            <v>13-411-18-07</v>
          </cell>
          <cell r="B43" t="str">
            <v>HAEMOSTATIC FORCEPS, PEAN, CRV., 18.5 CM</v>
          </cell>
          <cell r="C43" t="str">
            <v xml:space="preserve">                                   </v>
          </cell>
          <cell r="D43" t="str">
            <v xml:space="preserve">MY        </v>
          </cell>
          <cell r="E43">
            <v>90189084</v>
          </cell>
          <cell r="F43">
            <v>2</v>
          </cell>
          <cell r="G43" t="str">
            <v xml:space="preserve">ST          </v>
          </cell>
          <cell r="H43">
            <v>30.4</v>
          </cell>
          <cell r="I43">
            <v>60.8</v>
          </cell>
        </row>
        <row r="44">
          <cell r="A44" t="str">
            <v>13-411-24-07</v>
          </cell>
          <cell r="B44" t="str">
            <v xml:space="preserve">HAEMOSTATIC FORCEPS, PEAN, CRV., 24 CM  </v>
          </cell>
          <cell r="C44" t="str">
            <v xml:space="preserve">                                   </v>
          </cell>
          <cell r="D44" t="str">
            <v xml:space="preserve">MY        </v>
          </cell>
          <cell r="E44">
            <v>90189084</v>
          </cell>
          <cell r="F44">
            <v>2</v>
          </cell>
          <cell r="G44" t="str">
            <v xml:space="preserve">ST          </v>
          </cell>
          <cell r="H44">
            <v>62.8</v>
          </cell>
          <cell r="I44">
            <v>125.6</v>
          </cell>
        </row>
        <row r="45">
          <cell r="A45" t="str">
            <v>13-451-16-07</v>
          </cell>
          <cell r="B45" t="str">
            <v xml:space="preserve">DISS. FORCEPS, GEMINI, STR. CVD., 16 CM </v>
          </cell>
          <cell r="C45" t="str">
            <v xml:space="preserve">                                   </v>
          </cell>
          <cell r="D45" t="str">
            <v xml:space="preserve">MY        </v>
          </cell>
          <cell r="E45">
            <v>90189084</v>
          </cell>
          <cell r="F45">
            <v>1</v>
          </cell>
          <cell r="G45" t="str">
            <v xml:space="preserve">ST          </v>
          </cell>
          <cell r="H45">
            <v>86.3</v>
          </cell>
          <cell r="I45">
            <v>86.3</v>
          </cell>
        </row>
        <row r="46">
          <cell r="A46" t="str">
            <v>13-451-23-07</v>
          </cell>
          <cell r="B46" t="str">
            <v xml:space="preserve">DISS. FORCEPS, GEMINI, STR. CVD., 23 CM </v>
          </cell>
          <cell r="C46" t="str">
            <v xml:space="preserve">                                   </v>
          </cell>
          <cell r="D46" t="str">
            <v xml:space="preserve">DE        </v>
          </cell>
          <cell r="E46">
            <v>90189084</v>
          </cell>
          <cell r="F46">
            <v>2</v>
          </cell>
          <cell r="G46" t="str">
            <v xml:space="preserve">ST          </v>
          </cell>
          <cell r="H46">
            <v>70.8</v>
          </cell>
          <cell r="I46">
            <v>141.6</v>
          </cell>
        </row>
        <row r="47">
          <cell r="A47" t="str">
            <v>13-451-28-07</v>
          </cell>
          <cell r="B47" t="str">
            <v xml:space="preserve">DISS. FORCEPS, GEMINI, STR. CVD., 28 CM </v>
          </cell>
          <cell r="C47" t="str">
            <v xml:space="preserve">                                   </v>
          </cell>
          <cell r="D47" t="str">
            <v xml:space="preserve">MY        </v>
          </cell>
          <cell r="E47">
            <v>90189084</v>
          </cell>
          <cell r="F47">
            <v>1</v>
          </cell>
          <cell r="G47" t="str">
            <v xml:space="preserve">ST          </v>
          </cell>
          <cell r="H47">
            <v>140</v>
          </cell>
          <cell r="I47">
            <v>140</v>
          </cell>
        </row>
        <row r="48">
          <cell r="A48" t="str">
            <v>24-384-20-07</v>
          </cell>
          <cell r="B48" t="str">
            <v xml:space="preserve">ATR. FORCEPS, DE BAKEY, 2.7 MM, 20 CM   </v>
          </cell>
          <cell r="C48" t="str">
            <v xml:space="preserve">                                   </v>
          </cell>
          <cell r="D48" t="str">
            <v xml:space="preserve">MY        </v>
          </cell>
          <cell r="E48">
            <v>90189084</v>
          </cell>
          <cell r="F48">
            <v>1</v>
          </cell>
          <cell r="G48" t="str">
            <v xml:space="preserve">ST          </v>
          </cell>
          <cell r="H48">
            <v>72.099999999999994</v>
          </cell>
          <cell r="I48">
            <v>72.099999999999994</v>
          </cell>
        </row>
        <row r="49">
          <cell r="A49" t="str">
            <v>24-384-24-07</v>
          </cell>
          <cell r="B49" t="str">
            <v xml:space="preserve">ATR. FORCEPS, DE BAKEY, 2.7 MM, 25 CM   </v>
          </cell>
          <cell r="C49" t="str">
            <v xml:space="preserve">                                   </v>
          </cell>
          <cell r="D49" t="str">
            <v xml:space="preserve">MY        </v>
          </cell>
          <cell r="E49">
            <v>90189084</v>
          </cell>
          <cell r="F49">
            <v>1</v>
          </cell>
          <cell r="G49" t="str">
            <v xml:space="preserve">ST          </v>
          </cell>
          <cell r="H49">
            <v>77.099999999999994</v>
          </cell>
          <cell r="I49">
            <v>77.099999999999994</v>
          </cell>
        </row>
        <row r="50">
          <cell r="A50" t="str">
            <v>20-390-18-07</v>
          </cell>
          <cell r="B50" t="str">
            <v xml:space="preserve">NEEDLEHOLDER, MAYO-HEGAR, 18.5 CM       </v>
          </cell>
          <cell r="C50" t="str">
            <v xml:space="preserve">                                   </v>
          </cell>
          <cell r="D50" t="str">
            <v xml:space="preserve">MY        </v>
          </cell>
          <cell r="E50">
            <v>90189084</v>
          </cell>
          <cell r="F50">
            <v>2</v>
          </cell>
          <cell r="G50" t="str">
            <v xml:space="preserve">ST          </v>
          </cell>
          <cell r="H50">
            <v>28</v>
          </cell>
          <cell r="I50">
            <v>56</v>
          </cell>
        </row>
        <row r="51">
          <cell r="A51" t="str">
            <v>20-390-20-07</v>
          </cell>
          <cell r="B51" t="str">
            <v xml:space="preserve">NEEDLEHOLDER, MAYO-HEGAR, 20.5 CM       </v>
          </cell>
          <cell r="C51" t="str">
            <v xml:space="preserve">                                   </v>
          </cell>
          <cell r="D51" t="str">
            <v xml:space="preserve">MY        </v>
          </cell>
          <cell r="E51">
            <v>90189084</v>
          </cell>
          <cell r="F51">
            <v>2</v>
          </cell>
          <cell r="G51" t="str">
            <v xml:space="preserve">ST          </v>
          </cell>
          <cell r="H51">
            <v>30</v>
          </cell>
          <cell r="I51">
            <v>60</v>
          </cell>
        </row>
        <row r="52">
          <cell r="A52" t="str">
            <v>30-560-22-07</v>
          </cell>
          <cell r="B52" t="str">
            <v xml:space="preserve">ATR. INT. FCPS., KOCHER, STR., 22.5 CM  </v>
          </cell>
          <cell r="C52" t="str">
            <v xml:space="preserve">                                   </v>
          </cell>
          <cell r="D52" t="str">
            <v xml:space="preserve">MY        </v>
          </cell>
          <cell r="E52">
            <v>90189084</v>
          </cell>
          <cell r="F52">
            <v>2</v>
          </cell>
          <cell r="G52" t="str">
            <v xml:space="preserve">ST          </v>
          </cell>
          <cell r="H52">
            <v>161</v>
          </cell>
          <cell r="I52">
            <v>322</v>
          </cell>
        </row>
        <row r="53">
          <cell r="A53" t="str">
            <v>30-551-23-07</v>
          </cell>
          <cell r="B53" t="str">
            <v xml:space="preserve">ATR. INTEST. FCPS., DOYEN, CVD., 23 CM  </v>
          </cell>
          <cell r="C53" t="str">
            <v xml:space="preserve">                                   </v>
          </cell>
          <cell r="D53" t="str">
            <v xml:space="preserve">DE        </v>
          </cell>
          <cell r="E53">
            <v>90189084</v>
          </cell>
          <cell r="F53">
            <v>2</v>
          </cell>
          <cell r="G53" t="str">
            <v xml:space="preserve">ST          </v>
          </cell>
          <cell r="H53">
            <v>179.5</v>
          </cell>
          <cell r="I53">
            <v>359</v>
          </cell>
        </row>
        <row r="54">
          <cell r="A54" t="str">
            <v>30-587-30-07</v>
          </cell>
          <cell r="B54" t="str">
            <v xml:space="preserve">Forceps, Rectum, Resano, atr., 29  cm   </v>
          </cell>
          <cell r="C54" t="str">
            <v xml:space="preserve">                                   </v>
          </cell>
          <cell r="D54" t="str">
            <v xml:space="preserve">MY        </v>
          </cell>
          <cell r="E54">
            <v>90189084</v>
          </cell>
          <cell r="F54">
            <v>1</v>
          </cell>
          <cell r="G54" t="str">
            <v xml:space="preserve">ST          </v>
          </cell>
          <cell r="H54">
            <v>313</v>
          </cell>
          <cell r="I54">
            <v>313</v>
          </cell>
        </row>
        <row r="55">
          <cell r="A55" t="str">
            <v>24-437-25-07</v>
          </cell>
          <cell r="B55" t="str">
            <v xml:space="preserve">ATR. FORCEPS, DE BAKEY, ANG., 26 CM     </v>
          </cell>
          <cell r="C55" t="str">
            <v xml:space="preserve">                                   </v>
          </cell>
          <cell r="D55" t="str">
            <v xml:space="preserve">DE        </v>
          </cell>
          <cell r="E55">
            <v>90189084</v>
          </cell>
          <cell r="F55">
            <v>1</v>
          </cell>
          <cell r="G55" t="str">
            <v xml:space="preserve">ST          </v>
          </cell>
          <cell r="H55">
            <v>224.5</v>
          </cell>
          <cell r="I55">
            <v>224.5</v>
          </cell>
        </row>
        <row r="56">
          <cell r="A56" t="str">
            <v>30-304-28-07</v>
          </cell>
          <cell r="B56" t="str">
            <v>INTEST. FCPS., KOCHER, SOFT, STR., 28 CM</v>
          </cell>
          <cell r="C56" t="str">
            <v xml:space="preserve">                                   </v>
          </cell>
          <cell r="D56" t="str">
            <v xml:space="preserve">MY        </v>
          </cell>
          <cell r="E56">
            <v>90189084</v>
          </cell>
          <cell r="F56">
            <v>2</v>
          </cell>
          <cell r="G56" t="str">
            <v xml:space="preserve">ST          </v>
          </cell>
          <cell r="H56">
            <v>192.5</v>
          </cell>
          <cell r="I56">
            <v>385</v>
          </cell>
        </row>
        <row r="57">
          <cell r="A57" t="str">
            <v>20-408-27-07</v>
          </cell>
          <cell r="B57" t="str">
            <v xml:space="preserve">NEEDLEHOLDER, MASSON, HEAVY, 26.5 CM    </v>
          </cell>
          <cell r="C57" t="str">
            <v xml:space="preserve">                                   </v>
          </cell>
          <cell r="D57" t="str">
            <v xml:space="preserve">MY        </v>
          </cell>
          <cell r="E57">
            <v>90189084</v>
          </cell>
          <cell r="F57">
            <v>1</v>
          </cell>
          <cell r="G57" t="str">
            <v xml:space="preserve">ST          </v>
          </cell>
          <cell r="H57">
            <v>79</v>
          </cell>
          <cell r="I57">
            <v>79</v>
          </cell>
        </row>
        <row r="58">
          <cell r="A58" t="str">
            <v>15-317-04-07</v>
          </cell>
          <cell r="B58" t="str">
            <v>RETRACT., KOCHER-LANG., 35X15 MM, 21.5CM</v>
          </cell>
          <cell r="C58" t="str">
            <v xml:space="preserve">                                   </v>
          </cell>
          <cell r="D58" t="str">
            <v xml:space="preserve">DE        </v>
          </cell>
          <cell r="E58">
            <v>90189084</v>
          </cell>
          <cell r="F58">
            <v>2</v>
          </cell>
          <cell r="G58" t="str">
            <v xml:space="preserve">ST          </v>
          </cell>
          <cell r="H58">
            <v>59</v>
          </cell>
          <cell r="I58">
            <v>118</v>
          </cell>
        </row>
        <row r="59">
          <cell r="A59" t="str">
            <v>09-008-24-07</v>
          </cell>
          <cell r="B59" t="str">
            <v xml:space="preserve">Retractor, Morris, 70x50 mm, 24 cm      </v>
          </cell>
          <cell r="C59" t="str">
            <v xml:space="preserve">                                   </v>
          </cell>
          <cell r="D59" t="str">
            <v xml:space="preserve">DE        </v>
          </cell>
          <cell r="E59">
            <v>90189084</v>
          </cell>
          <cell r="F59">
            <v>2</v>
          </cell>
          <cell r="G59" t="str">
            <v xml:space="preserve">ST          </v>
          </cell>
          <cell r="H59">
            <v>141.5</v>
          </cell>
          <cell r="I59">
            <v>283</v>
          </cell>
        </row>
        <row r="60">
          <cell r="A60" t="str">
            <v>09-008-25-07</v>
          </cell>
          <cell r="B60" t="str">
            <v xml:space="preserve">Retractor, Morris, 70x65 mm, 24,5 cm    </v>
          </cell>
          <cell r="C60" t="str">
            <v xml:space="preserve">                                   </v>
          </cell>
          <cell r="D60" t="str">
            <v xml:space="preserve">DE        </v>
          </cell>
          <cell r="E60">
            <v>90189084</v>
          </cell>
          <cell r="F60">
            <v>2</v>
          </cell>
          <cell r="G60" t="str">
            <v xml:space="preserve">ST          </v>
          </cell>
          <cell r="H60">
            <v>84</v>
          </cell>
          <cell r="I60">
            <v>168</v>
          </cell>
        </row>
        <row r="61">
          <cell r="A61" t="str">
            <v>15-591-09-07</v>
          </cell>
          <cell r="B61" t="str">
            <v xml:space="preserve">RETRACTOR, DEAVER, 75 MM WIDE, 31.5 CM  </v>
          </cell>
          <cell r="C61" t="str">
            <v xml:space="preserve">                                   </v>
          </cell>
          <cell r="D61" t="str">
            <v xml:space="preserve">MY        </v>
          </cell>
          <cell r="E61">
            <v>90189084</v>
          </cell>
          <cell r="F61">
            <v>1</v>
          </cell>
          <cell r="G61" t="str">
            <v xml:space="preserve">ST          </v>
          </cell>
          <cell r="H61">
            <v>60</v>
          </cell>
          <cell r="I61">
            <v>60</v>
          </cell>
        </row>
        <row r="62">
          <cell r="A62" t="str">
            <v>15-591-07-07</v>
          </cell>
          <cell r="B62" t="str">
            <v xml:space="preserve">RETRACTOR, DEAVER, 38 MM WIDE, 32 CM    </v>
          </cell>
          <cell r="C62" t="str">
            <v xml:space="preserve">                                   </v>
          </cell>
          <cell r="D62" t="str">
            <v xml:space="preserve">DE        </v>
          </cell>
          <cell r="E62">
            <v>90189084</v>
          </cell>
          <cell r="F62">
            <v>1</v>
          </cell>
          <cell r="G62" t="str">
            <v xml:space="preserve">ST          </v>
          </cell>
          <cell r="H62">
            <v>39.4</v>
          </cell>
          <cell r="I62">
            <v>39.4</v>
          </cell>
        </row>
        <row r="63">
          <cell r="A63" t="str">
            <v>15-591-08-07</v>
          </cell>
          <cell r="B63" t="str">
            <v xml:space="preserve">RETRACTOR, DEAVER, 50 MM WIDE, 31.5 CM  </v>
          </cell>
          <cell r="C63" t="str">
            <v xml:space="preserve">                                   </v>
          </cell>
          <cell r="D63" t="str">
            <v xml:space="preserve">DE        </v>
          </cell>
          <cell r="E63">
            <v>90189084</v>
          </cell>
          <cell r="F63">
            <v>1</v>
          </cell>
          <cell r="G63" t="str">
            <v xml:space="preserve">ST          </v>
          </cell>
          <cell r="H63">
            <v>57.1</v>
          </cell>
          <cell r="I63">
            <v>57.1</v>
          </cell>
        </row>
        <row r="64">
          <cell r="A64" t="str">
            <v>15-611-01-07</v>
          </cell>
          <cell r="B64" t="str">
            <v xml:space="preserve">RETRACTOR, KELLY, 205X38 MM, 27.5 CM    </v>
          </cell>
          <cell r="C64" t="str">
            <v xml:space="preserve">                                   </v>
          </cell>
          <cell r="D64" t="str">
            <v xml:space="preserve">DE        </v>
          </cell>
          <cell r="E64">
            <v>90189084</v>
          </cell>
          <cell r="F64">
            <v>1</v>
          </cell>
          <cell r="G64" t="str">
            <v xml:space="preserve">ST          </v>
          </cell>
          <cell r="H64">
            <v>128</v>
          </cell>
          <cell r="I64">
            <v>128</v>
          </cell>
        </row>
        <row r="65">
          <cell r="A65" t="str">
            <v>15-611-02-07</v>
          </cell>
          <cell r="B65" t="str">
            <v xml:space="preserve">RETRACTOR, KELLY, 210X57 MM, 28 CM      </v>
          </cell>
          <cell r="C65" t="str">
            <v xml:space="preserve">                                   </v>
          </cell>
          <cell r="D65" t="str">
            <v xml:space="preserve">DE        </v>
          </cell>
          <cell r="E65">
            <v>90189084</v>
          </cell>
          <cell r="F65">
            <v>1</v>
          </cell>
          <cell r="G65" t="str">
            <v xml:space="preserve">ST          </v>
          </cell>
          <cell r="H65">
            <v>132.5</v>
          </cell>
          <cell r="I65">
            <v>132.5</v>
          </cell>
        </row>
        <row r="66">
          <cell r="A66" t="str">
            <v>56-231-16-01</v>
          </cell>
          <cell r="B66" t="str">
            <v xml:space="preserve">BOWL, METAL, H = 75, Ø 167 MM, 0.9 L    </v>
          </cell>
          <cell r="C66" t="str">
            <v xml:space="preserve">                                   </v>
          </cell>
          <cell r="D66" t="str">
            <v xml:space="preserve">DE        </v>
          </cell>
          <cell r="E66">
            <v>73249000</v>
          </cell>
          <cell r="F66">
            <v>1</v>
          </cell>
          <cell r="G66" t="str">
            <v xml:space="preserve">ST          </v>
          </cell>
          <cell r="H66">
            <v>37.1</v>
          </cell>
          <cell r="I66">
            <v>37.1</v>
          </cell>
        </row>
        <row r="67">
          <cell r="A67" t="str">
            <v>56-673-25-01</v>
          </cell>
          <cell r="B67" t="str">
            <v xml:space="preserve">KIDNEY DISH, 250X140X40 MM              </v>
          </cell>
          <cell r="C67" t="str">
            <v xml:space="preserve">                                   </v>
          </cell>
          <cell r="D67" t="str">
            <v xml:space="preserve">SE        </v>
          </cell>
          <cell r="E67">
            <v>73269098</v>
          </cell>
          <cell r="F67">
            <v>1</v>
          </cell>
          <cell r="G67" t="str">
            <v xml:space="preserve">ST          </v>
          </cell>
          <cell r="H67">
            <v>11.9</v>
          </cell>
          <cell r="I67">
            <v>11.9</v>
          </cell>
        </row>
        <row r="68">
          <cell r="A68" t="str">
            <v>11-459-17-07</v>
          </cell>
          <cell r="B68" t="str">
            <v xml:space="preserve">SCISSORS, TOENNIS-ADSON, CVD., 17.5 CM  </v>
          </cell>
          <cell r="C68" t="str">
            <v xml:space="preserve">                                   </v>
          </cell>
          <cell r="D68" t="str">
            <v xml:space="preserve">DE        </v>
          </cell>
          <cell r="E68">
            <v>90189084</v>
          </cell>
          <cell r="F68">
            <v>1</v>
          </cell>
          <cell r="G68" t="str">
            <v xml:space="preserve">ST          </v>
          </cell>
          <cell r="H68">
            <v>54.1</v>
          </cell>
          <cell r="I68">
            <v>54.1</v>
          </cell>
        </row>
        <row r="69">
          <cell r="A69" t="str">
            <v>11-285-18-07</v>
          </cell>
          <cell r="B69" t="str">
            <v xml:space="preserve">DISSECTING SCISSORS, CVD., 18 CM        </v>
          </cell>
          <cell r="C69" t="str">
            <v xml:space="preserve">                                   </v>
          </cell>
          <cell r="D69" t="str">
            <v xml:space="preserve">DE        </v>
          </cell>
          <cell r="E69">
            <v>90189084</v>
          </cell>
          <cell r="F69">
            <v>1</v>
          </cell>
          <cell r="G69" t="str">
            <v xml:space="preserve">ST          </v>
          </cell>
          <cell r="H69">
            <v>24.1</v>
          </cell>
          <cell r="I69">
            <v>24.1</v>
          </cell>
        </row>
        <row r="70">
          <cell r="A70" t="str">
            <v>24-388-20-07</v>
          </cell>
          <cell r="B70" t="str">
            <v xml:space="preserve">ATR. FORCEPS, DE BAKEY, 2 MM, 20 CM     </v>
          </cell>
          <cell r="C70" t="str">
            <v xml:space="preserve">                                   </v>
          </cell>
          <cell r="D70" t="str">
            <v xml:space="preserve">MY        </v>
          </cell>
          <cell r="E70">
            <v>90189084</v>
          </cell>
          <cell r="F70">
            <v>1</v>
          </cell>
          <cell r="G70" t="str">
            <v xml:space="preserve">ST          </v>
          </cell>
          <cell r="H70">
            <v>65.599999999999994</v>
          </cell>
          <cell r="I70">
            <v>65.599999999999994</v>
          </cell>
        </row>
        <row r="71">
          <cell r="A71" t="str">
            <v>18-543-27-01</v>
          </cell>
          <cell r="B71" t="str">
            <v>Suct. tube, Yankauer, compl.,ø9,4mm,31cm</v>
          </cell>
          <cell r="C71" t="str">
            <v xml:space="preserve">                                   </v>
          </cell>
          <cell r="D71" t="str">
            <v xml:space="preserve">DE        </v>
          </cell>
          <cell r="E71">
            <v>90189084</v>
          </cell>
          <cell r="F71">
            <v>1</v>
          </cell>
          <cell r="G71" t="str">
            <v xml:space="preserve">ST          </v>
          </cell>
          <cell r="H71">
            <v>43.1</v>
          </cell>
          <cell r="I71">
            <v>43.1</v>
          </cell>
        </row>
        <row r="72">
          <cell r="A72" t="str">
            <v>12-100-18-07</v>
          </cell>
          <cell r="B72" t="str">
            <v xml:space="preserve">DRESSING FORCEPS, 18 CM                 </v>
          </cell>
          <cell r="C72" t="str">
            <v xml:space="preserve">                                   </v>
          </cell>
          <cell r="D72" t="str">
            <v xml:space="preserve">MY        </v>
          </cell>
          <cell r="E72">
            <v>90189084</v>
          </cell>
          <cell r="F72">
            <v>2</v>
          </cell>
          <cell r="G72" t="str">
            <v xml:space="preserve">ST          </v>
          </cell>
          <cell r="H72">
            <v>11.9</v>
          </cell>
          <cell r="I72">
            <v>23.8</v>
          </cell>
        </row>
        <row r="73">
          <cell r="A73" t="str">
            <v>12-100-20-07</v>
          </cell>
          <cell r="B73" t="str">
            <v xml:space="preserve">DRESSING FORCEPS, 20 CM                 </v>
          </cell>
          <cell r="C73" t="str">
            <v xml:space="preserve">                                   </v>
          </cell>
          <cell r="D73" t="str">
            <v xml:space="preserve">MY        </v>
          </cell>
          <cell r="E73">
            <v>90189084</v>
          </cell>
          <cell r="F73">
            <v>2</v>
          </cell>
          <cell r="G73" t="str">
            <v xml:space="preserve">ST          </v>
          </cell>
          <cell r="H73">
            <v>21.2</v>
          </cell>
          <cell r="I73">
            <v>42.4</v>
          </cell>
        </row>
        <row r="74">
          <cell r="A74" t="str">
            <v>12-301-18-07</v>
          </cell>
          <cell r="B74" t="str">
            <v xml:space="preserve">TISSUE FORCEPS, 1X2 T., 18 CM           </v>
          </cell>
          <cell r="C74" t="str">
            <v xml:space="preserve">                                   </v>
          </cell>
          <cell r="D74" t="str">
            <v xml:space="preserve">MY        </v>
          </cell>
          <cell r="E74">
            <v>90189084</v>
          </cell>
          <cell r="F74">
            <v>2</v>
          </cell>
          <cell r="G74" t="str">
            <v xml:space="preserve">ST          </v>
          </cell>
          <cell r="H74">
            <v>13.7</v>
          </cell>
          <cell r="I74">
            <v>27.4</v>
          </cell>
        </row>
        <row r="75">
          <cell r="A75" t="str">
            <v>12-301-20-07</v>
          </cell>
          <cell r="B75" t="str">
            <v xml:space="preserve">TISSUE FORCEPS, 1X2 T., 20.5 CM         </v>
          </cell>
          <cell r="C75" t="str">
            <v xml:space="preserve">                                   </v>
          </cell>
          <cell r="D75" t="str">
            <v xml:space="preserve">MY        </v>
          </cell>
          <cell r="E75">
            <v>90189084</v>
          </cell>
          <cell r="F75">
            <v>2</v>
          </cell>
          <cell r="G75" t="str">
            <v xml:space="preserve">ST          </v>
          </cell>
          <cell r="H75">
            <v>15.9</v>
          </cell>
          <cell r="I75">
            <v>31.8</v>
          </cell>
        </row>
        <row r="76">
          <cell r="A76" t="str">
            <v>13-414-18-07</v>
          </cell>
          <cell r="B76" t="str">
            <v xml:space="preserve">FORCEPS, KOCHER, 1X2 T., STR., 18.5 CM  </v>
          </cell>
          <cell r="C76" t="str">
            <v xml:space="preserve">                                   </v>
          </cell>
          <cell r="D76" t="str">
            <v xml:space="preserve">MY        </v>
          </cell>
          <cell r="E76">
            <v>90189084</v>
          </cell>
          <cell r="F76">
            <v>2</v>
          </cell>
          <cell r="G76" t="str">
            <v xml:space="preserve">ST          </v>
          </cell>
          <cell r="H76">
            <v>30</v>
          </cell>
          <cell r="I76">
            <v>60</v>
          </cell>
        </row>
        <row r="77">
          <cell r="A77" t="str">
            <v>13-414-20-07</v>
          </cell>
          <cell r="B77" t="str">
            <v xml:space="preserve">FORCEPS, KOCHER, 1X2 T., STR., 20,5 CM  </v>
          </cell>
          <cell r="C77" t="str">
            <v xml:space="preserve">                                   </v>
          </cell>
          <cell r="D77" t="str">
            <v xml:space="preserve">MY        </v>
          </cell>
          <cell r="E77">
            <v>90189084</v>
          </cell>
          <cell r="F77">
            <v>2</v>
          </cell>
          <cell r="G77" t="str">
            <v xml:space="preserve">ST          </v>
          </cell>
          <cell r="H77">
            <v>38.6</v>
          </cell>
          <cell r="I77">
            <v>77.2</v>
          </cell>
        </row>
        <row r="78">
          <cell r="A78" t="str">
            <v>13-415-22-07</v>
          </cell>
          <cell r="B78" t="str">
            <v xml:space="preserve">FORCEPS, KOCHER, 1X2 T., CVD., 22,5 CM  </v>
          </cell>
          <cell r="C78" t="str">
            <v xml:space="preserve">                                   </v>
          </cell>
          <cell r="D78" t="str">
            <v xml:space="preserve">MY        </v>
          </cell>
          <cell r="E78">
            <v>90189084</v>
          </cell>
          <cell r="F78">
            <v>4</v>
          </cell>
          <cell r="G78" t="str">
            <v xml:space="preserve">ST          </v>
          </cell>
          <cell r="H78">
            <v>57.4</v>
          </cell>
          <cell r="I78">
            <v>229.6</v>
          </cell>
        </row>
        <row r="79">
          <cell r="A79" t="str">
            <v>11-170-14-07</v>
          </cell>
          <cell r="B79" t="str">
            <v xml:space="preserve">SCISSORS, MAYO, STR., 14.5 CM           </v>
          </cell>
          <cell r="C79" t="str">
            <v xml:space="preserve">                                   </v>
          </cell>
          <cell r="D79" t="str">
            <v xml:space="preserve">DE        </v>
          </cell>
          <cell r="E79">
            <v>90189084</v>
          </cell>
          <cell r="F79">
            <v>1</v>
          </cell>
          <cell r="G79" t="str">
            <v xml:space="preserve">ST          </v>
          </cell>
          <cell r="H79">
            <v>27.2</v>
          </cell>
          <cell r="I79">
            <v>27.2</v>
          </cell>
        </row>
        <row r="80">
          <cell r="A80" t="str">
            <v>30-134-19-07</v>
          </cell>
          <cell r="B80" t="str">
            <v xml:space="preserve">TISSUE FORCEPS, ALLIS, 5X6 T., 19 CM    </v>
          </cell>
          <cell r="C80" t="str">
            <v xml:space="preserve">                                   </v>
          </cell>
          <cell r="D80" t="str">
            <v xml:space="preserve">MY        </v>
          </cell>
          <cell r="E80">
            <v>90189084</v>
          </cell>
          <cell r="F80">
            <v>2</v>
          </cell>
          <cell r="G80" t="str">
            <v xml:space="preserve">ST          </v>
          </cell>
          <cell r="H80">
            <v>68.099999999999994</v>
          </cell>
          <cell r="I80">
            <v>136.19999999999999</v>
          </cell>
        </row>
        <row r="81">
          <cell r="A81" t="str">
            <v>30-192-18-07</v>
          </cell>
          <cell r="B81" t="str">
            <v xml:space="preserve">TISSUE FORCEPS, BABCOCK, 17.5 CM        </v>
          </cell>
          <cell r="C81" t="str">
            <v xml:space="preserve">                                   </v>
          </cell>
          <cell r="D81" t="str">
            <v xml:space="preserve">DE        </v>
          </cell>
          <cell r="E81">
            <v>90189084</v>
          </cell>
          <cell r="F81">
            <v>2</v>
          </cell>
          <cell r="G81" t="str">
            <v xml:space="preserve">ST          </v>
          </cell>
          <cell r="H81">
            <v>88</v>
          </cell>
          <cell r="I81">
            <v>176</v>
          </cell>
        </row>
        <row r="82">
          <cell r="A82" t="str">
            <v>30-192-20-07</v>
          </cell>
          <cell r="B82" t="str">
            <v xml:space="preserve">TISSUE FORCEPS, BABCOCK, 21 CM          </v>
          </cell>
          <cell r="C82" t="str">
            <v xml:space="preserve">                                   </v>
          </cell>
          <cell r="D82" t="str">
            <v xml:space="preserve">MY        </v>
          </cell>
          <cell r="E82">
            <v>90189084</v>
          </cell>
          <cell r="F82">
            <v>2</v>
          </cell>
          <cell r="G82" t="str">
            <v xml:space="preserve">ST          </v>
          </cell>
          <cell r="H82">
            <v>90.2</v>
          </cell>
          <cell r="I82">
            <v>180.4</v>
          </cell>
        </row>
        <row r="83">
          <cell r="A83" t="str">
            <v>55-804-57-01</v>
          </cell>
          <cell r="B83" t="str">
            <v xml:space="preserve">marTray, 1/1, 532x251x94 mm             </v>
          </cell>
          <cell r="C83" t="str">
            <v xml:space="preserve">                                   </v>
          </cell>
          <cell r="D83" t="str">
            <v xml:space="preserve">DE        </v>
          </cell>
          <cell r="E83">
            <v>73269098</v>
          </cell>
          <cell r="F83">
            <v>1</v>
          </cell>
          <cell r="G83" t="str">
            <v xml:space="preserve">ST          </v>
          </cell>
          <cell r="H83">
            <v>147</v>
          </cell>
          <cell r="I83">
            <v>147</v>
          </cell>
        </row>
        <row r="84">
          <cell r="A84" t="str">
            <v xml:space="preserve">            </v>
          </cell>
          <cell r="B84" t="str">
            <v xml:space="preserve">Appendix &amp; Hernia Set                   </v>
          </cell>
          <cell r="C84" t="str">
            <v xml:space="preserve">                                   </v>
          </cell>
          <cell r="D84" t="str">
            <v xml:space="preserve">          </v>
          </cell>
          <cell r="E84" t="str">
            <v xml:space="preserve">                </v>
          </cell>
          <cell r="F84">
            <v>1</v>
          </cell>
          <cell r="G84" t="str">
            <v xml:space="preserve">            </v>
          </cell>
          <cell r="H84" t="str">
            <v xml:space="preserve">               </v>
          </cell>
          <cell r="I84" t="str">
            <v xml:space="preserve">               </v>
          </cell>
        </row>
        <row r="85">
          <cell r="A85" t="str">
            <v>13-577-19-07</v>
          </cell>
          <cell r="B85" t="str">
            <v>DISS. FORCEPS, KELLY, SLIGHT CVD., 19 CM</v>
          </cell>
          <cell r="C85" t="str">
            <v xml:space="preserve">                                   </v>
          </cell>
          <cell r="D85" t="str">
            <v xml:space="preserve">MY        </v>
          </cell>
          <cell r="E85">
            <v>90189084</v>
          </cell>
          <cell r="F85">
            <v>5</v>
          </cell>
          <cell r="G85" t="str">
            <v xml:space="preserve">ST          </v>
          </cell>
          <cell r="H85">
            <v>75.3</v>
          </cell>
          <cell r="I85">
            <v>376.5</v>
          </cell>
        </row>
        <row r="86">
          <cell r="A86" t="str">
            <v>13-311-12-07</v>
          </cell>
          <cell r="B86" t="str">
            <v xml:space="preserve">HAEM. FORCEPS, MOSQUITO, CVD., 12 CM    </v>
          </cell>
          <cell r="C86" t="str">
            <v xml:space="preserve">                                   </v>
          </cell>
          <cell r="D86" t="str">
            <v xml:space="preserve">MY        </v>
          </cell>
          <cell r="E86">
            <v>90189084</v>
          </cell>
          <cell r="F86">
            <v>4</v>
          </cell>
          <cell r="G86" t="str">
            <v xml:space="preserve">ST          </v>
          </cell>
          <cell r="H86">
            <v>23.9</v>
          </cell>
          <cell r="I86">
            <v>95.6</v>
          </cell>
        </row>
        <row r="87">
          <cell r="A87" t="str">
            <v>13-310-12-07</v>
          </cell>
          <cell r="B87" t="str">
            <v xml:space="preserve">HAEM. FORCEPS, MOSQUITO, STR., 12.5 CM  </v>
          </cell>
          <cell r="C87" t="str">
            <v xml:space="preserve">                                   </v>
          </cell>
          <cell r="D87" t="str">
            <v xml:space="preserve">MY        </v>
          </cell>
          <cell r="E87">
            <v>90189084</v>
          </cell>
          <cell r="F87">
            <v>2</v>
          </cell>
          <cell r="G87" t="str">
            <v xml:space="preserve">ST          </v>
          </cell>
          <cell r="H87">
            <v>22.4</v>
          </cell>
          <cell r="I87">
            <v>44.8</v>
          </cell>
        </row>
        <row r="88">
          <cell r="A88" t="str">
            <v>13-414-16-07</v>
          </cell>
          <cell r="B88" t="str">
            <v xml:space="preserve">FORCEPS, KOCHER, 1X2 T., STR., 16 CM    </v>
          </cell>
          <cell r="C88" t="str">
            <v xml:space="preserve">                                   </v>
          </cell>
          <cell r="D88" t="str">
            <v xml:space="preserve">MY        </v>
          </cell>
          <cell r="E88">
            <v>90189084</v>
          </cell>
          <cell r="F88">
            <v>1</v>
          </cell>
          <cell r="G88" t="str">
            <v xml:space="preserve">ST          </v>
          </cell>
          <cell r="H88">
            <v>26.3</v>
          </cell>
          <cell r="I88">
            <v>26.3</v>
          </cell>
        </row>
        <row r="89">
          <cell r="A89" t="str">
            <v>13-414-18-07</v>
          </cell>
          <cell r="B89" t="str">
            <v xml:space="preserve">FORCEPS, KOCHER, 1X2 T., STR., 18.5 CM  </v>
          </cell>
          <cell r="C89" t="str">
            <v xml:space="preserve">                                   </v>
          </cell>
          <cell r="D89" t="str">
            <v xml:space="preserve">MY        </v>
          </cell>
          <cell r="E89">
            <v>90189084</v>
          </cell>
          <cell r="F89">
            <v>1</v>
          </cell>
          <cell r="G89" t="str">
            <v xml:space="preserve">ST          </v>
          </cell>
          <cell r="H89">
            <v>30</v>
          </cell>
          <cell r="I89">
            <v>30</v>
          </cell>
        </row>
        <row r="90">
          <cell r="A90" t="str">
            <v>30-134-15-07</v>
          </cell>
          <cell r="B90" t="str">
            <v xml:space="preserve">TISSUE FORCEPS, ALLIS, 5X6 T., 15.5 CM  </v>
          </cell>
          <cell r="C90" t="str">
            <v xml:space="preserve">                                   </v>
          </cell>
          <cell r="D90" t="str">
            <v xml:space="preserve">MY        </v>
          </cell>
          <cell r="E90">
            <v>90189084</v>
          </cell>
          <cell r="F90">
            <v>2</v>
          </cell>
          <cell r="G90" t="str">
            <v xml:space="preserve">ST          </v>
          </cell>
          <cell r="H90">
            <v>45.7</v>
          </cell>
          <cell r="I90">
            <v>91.4</v>
          </cell>
        </row>
        <row r="91">
          <cell r="A91" t="str">
            <v>30-192-18-07</v>
          </cell>
          <cell r="B91" t="str">
            <v xml:space="preserve">TISSUE FORCEPS, BABCOCK, 17.5 CM        </v>
          </cell>
          <cell r="C91" t="str">
            <v xml:space="preserve">                                   </v>
          </cell>
          <cell r="D91" t="str">
            <v xml:space="preserve">DE        </v>
          </cell>
          <cell r="E91">
            <v>90189084</v>
          </cell>
          <cell r="F91">
            <v>2</v>
          </cell>
          <cell r="G91" t="str">
            <v xml:space="preserve">ST          </v>
          </cell>
          <cell r="H91">
            <v>88</v>
          </cell>
          <cell r="I91">
            <v>176</v>
          </cell>
        </row>
        <row r="92">
          <cell r="A92" t="str">
            <v>30-192-20-07</v>
          </cell>
          <cell r="B92" t="str">
            <v xml:space="preserve">TISSUE FORCEPS, BABCOCK, 21 CM          </v>
          </cell>
          <cell r="C92" t="str">
            <v xml:space="preserve">                                   </v>
          </cell>
          <cell r="D92" t="str">
            <v xml:space="preserve">MY        </v>
          </cell>
          <cell r="E92">
            <v>90189084</v>
          </cell>
          <cell r="F92">
            <v>2</v>
          </cell>
          <cell r="G92" t="str">
            <v xml:space="preserve">ST          </v>
          </cell>
          <cell r="H92">
            <v>90.2</v>
          </cell>
          <cell r="I92">
            <v>180.4</v>
          </cell>
        </row>
        <row r="93">
          <cell r="A93" t="str">
            <v>11-170-14-07</v>
          </cell>
          <cell r="B93" t="str">
            <v xml:space="preserve">SCISSORS, MAYO, STR., 14.5 CM           </v>
          </cell>
          <cell r="C93" t="str">
            <v xml:space="preserve">                                   </v>
          </cell>
          <cell r="D93" t="str">
            <v xml:space="preserve">DE        </v>
          </cell>
          <cell r="E93">
            <v>90189084</v>
          </cell>
          <cell r="F93">
            <v>1</v>
          </cell>
          <cell r="G93" t="str">
            <v xml:space="preserve">ST          </v>
          </cell>
          <cell r="H93">
            <v>27.2</v>
          </cell>
          <cell r="I93">
            <v>27.2</v>
          </cell>
        </row>
        <row r="94">
          <cell r="A94" t="str">
            <v>11-285-18-07</v>
          </cell>
          <cell r="B94" t="str">
            <v xml:space="preserve">DISSECTING SCISSORS, CVD., 18 CM        </v>
          </cell>
          <cell r="C94" t="str">
            <v xml:space="preserve">                                   </v>
          </cell>
          <cell r="D94" t="str">
            <v xml:space="preserve">DE        </v>
          </cell>
          <cell r="E94">
            <v>90189084</v>
          </cell>
          <cell r="F94">
            <v>1</v>
          </cell>
          <cell r="G94" t="str">
            <v xml:space="preserve">ST          </v>
          </cell>
          <cell r="H94">
            <v>24.1</v>
          </cell>
          <cell r="I94">
            <v>24.1</v>
          </cell>
        </row>
        <row r="95">
          <cell r="A95" t="str">
            <v>10-100-04-07</v>
          </cell>
          <cell r="B95" t="str">
            <v xml:space="preserve">SCALPEL HANDLE, NO. 4, 13.5 CM          </v>
          </cell>
          <cell r="C95" t="str">
            <v xml:space="preserve">                                   </v>
          </cell>
          <cell r="D95" t="str">
            <v xml:space="preserve">DE        </v>
          </cell>
          <cell r="E95">
            <v>90189084</v>
          </cell>
          <cell r="F95">
            <v>1</v>
          </cell>
          <cell r="G95" t="str">
            <v xml:space="preserve">ST          </v>
          </cell>
          <cell r="H95">
            <v>6.81</v>
          </cell>
          <cell r="I95">
            <v>6.81</v>
          </cell>
        </row>
        <row r="96">
          <cell r="A96" t="str">
            <v>14-352-25-07</v>
          </cell>
          <cell r="B96" t="str">
            <v xml:space="preserve">FORCEPS, FOERSTER, SERR., STR., 25 CM   </v>
          </cell>
          <cell r="C96" t="str">
            <v xml:space="preserve">                                   </v>
          </cell>
          <cell r="D96" t="str">
            <v xml:space="preserve">MY        </v>
          </cell>
          <cell r="E96">
            <v>90189084</v>
          </cell>
          <cell r="F96">
            <v>1</v>
          </cell>
          <cell r="G96" t="str">
            <v xml:space="preserve">ST          </v>
          </cell>
          <cell r="H96">
            <v>41.9</v>
          </cell>
          <cell r="I96">
            <v>41.9</v>
          </cell>
        </row>
        <row r="97">
          <cell r="A97" t="str">
            <v>15-317-04-07</v>
          </cell>
          <cell r="B97" t="str">
            <v>RETRACT., KOCHER-LANG., 35X15 MM, 21.5CM</v>
          </cell>
          <cell r="C97" t="str">
            <v xml:space="preserve">                                   </v>
          </cell>
          <cell r="D97" t="str">
            <v xml:space="preserve">DE        </v>
          </cell>
          <cell r="E97">
            <v>90189084</v>
          </cell>
          <cell r="F97">
            <v>2</v>
          </cell>
          <cell r="G97" t="str">
            <v xml:space="preserve">ST          </v>
          </cell>
          <cell r="H97">
            <v>59</v>
          </cell>
          <cell r="I97">
            <v>118</v>
          </cell>
        </row>
        <row r="98">
          <cell r="A98" t="str">
            <v>09-008-24-07</v>
          </cell>
          <cell r="B98" t="str">
            <v xml:space="preserve">Retractor, Morris, 70x50 mm, 24 cm      </v>
          </cell>
          <cell r="C98" t="str">
            <v xml:space="preserve">                                   </v>
          </cell>
          <cell r="D98" t="str">
            <v xml:space="preserve">DE        </v>
          </cell>
          <cell r="E98">
            <v>90189084</v>
          </cell>
          <cell r="F98">
            <v>1</v>
          </cell>
          <cell r="G98" t="str">
            <v xml:space="preserve">ST          </v>
          </cell>
          <cell r="H98">
            <v>141.5</v>
          </cell>
          <cell r="I98">
            <v>141.5</v>
          </cell>
        </row>
        <row r="99">
          <cell r="A99" t="str">
            <v>09-008-25-07</v>
          </cell>
          <cell r="B99" t="str">
            <v xml:space="preserve">Retractor, Morris, 70x65 mm, 24,5 cm    </v>
          </cell>
          <cell r="C99" t="str">
            <v xml:space="preserve">                                   </v>
          </cell>
          <cell r="D99" t="str">
            <v xml:space="preserve">DE        </v>
          </cell>
          <cell r="E99">
            <v>90189084</v>
          </cell>
          <cell r="F99">
            <v>1</v>
          </cell>
          <cell r="G99" t="str">
            <v xml:space="preserve">ST          </v>
          </cell>
          <cell r="H99">
            <v>84</v>
          </cell>
          <cell r="I99">
            <v>84</v>
          </cell>
        </row>
        <row r="100">
          <cell r="A100" t="str">
            <v>12-301-18-07</v>
          </cell>
          <cell r="B100" t="str">
            <v xml:space="preserve">TISSUE FORCEPS, 1X2 T., 18 CM           </v>
          </cell>
          <cell r="C100" t="str">
            <v xml:space="preserve">                                   </v>
          </cell>
          <cell r="D100" t="str">
            <v xml:space="preserve">MY        </v>
          </cell>
          <cell r="E100">
            <v>90189084</v>
          </cell>
          <cell r="F100">
            <v>2</v>
          </cell>
          <cell r="G100" t="str">
            <v xml:space="preserve">ST          </v>
          </cell>
          <cell r="H100">
            <v>13.7</v>
          </cell>
          <cell r="I100">
            <v>27.4</v>
          </cell>
        </row>
        <row r="101">
          <cell r="A101" t="str">
            <v>12-301-20-07</v>
          </cell>
          <cell r="B101" t="str">
            <v xml:space="preserve">TISSUE FORCEPS, 1X2 T., 20.5 CM         </v>
          </cell>
          <cell r="C101" t="str">
            <v xml:space="preserve">                                   </v>
          </cell>
          <cell r="D101" t="str">
            <v xml:space="preserve">MY        </v>
          </cell>
          <cell r="E101">
            <v>90189084</v>
          </cell>
          <cell r="F101">
            <v>2</v>
          </cell>
          <cell r="G101" t="str">
            <v xml:space="preserve">ST          </v>
          </cell>
          <cell r="H101">
            <v>15.9</v>
          </cell>
          <cell r="I101">
            <v>31.8</v>
          </cell>
        </row>
        <row r="102">
          <cell r="A102" t="str">
            <v>12-100-18-07</v>
          </cell>
          <cell r="B102" t="str">
            <v xml:space="preserve">DRESSING FORCEPS, 18 CM                 </v>
          </cell>
          <cell r="C102" t="str">
            <v xml:space="preserve">                                   </v>
          </cell>
          <cell r="D102" t="str">
            <v xml:space="preserve">MY        </v>
          </cell>
          <cell r="E102">
            <v>90189084</v>
          </cell>
          <cell r="F102">
            <v>2</v>
          </cell>
          <cell r="G102" t="str">
            <v xml:space="preserve">ST          </v>
          </cell>
          <cell r="H102">
            <v>11.9</v>
          </cell>
          <cell r="I102">
            <v>23.8</v>
          </cell>
        </row>
        <row r="103">
          <cell r="A103" t="str">
            <v>12-100-20-07</v>
          </cell>
          <cell r="B103" t="str">
            <v xml:space="preserve">DRESSING FORCEPS, 20 CM                 </v>
          </cell>
          <cell r="C103" t="str">
            <v xml:space="preserve">                                   </v>
          </cell>
          <cell r="D103" t="str">
            <v xml:space="preserve">MY        </v>
          </cell>
          <cell r="E103">
            <v>90189084</v>
          </cell>
          <cell r="F103">
            <v>2</v>
          </cell>
          <cell r="G103" t="str">
            <v xml:space="preserve">ST          </v>
          </cell>
          <cell r="H103">
            <v>21.2</v>
          </cell>
          <cell r="I103">
            <v>42.4</v>
          </cell>
        </row>
        <row r="104">
          <cell r="A104" t="str">
            <v>20-390-18-07</v>
          </cell>
          <cell r="B104" t="str">
            <v xml:space="preserve">NEEDLEHOLDER, MAYO-HEGAR, 18.5 CM       </v>
          </cell>
          <cell r="C104" t="str">
            <v xml:space="preserve">                                   </v>
          </cell>
          <cell r="D104" t="str">
            <v xml:space="preserve">MY        </v>
          </cell>
          <cell r="E104">
            <v>90189084</v>
          </cell>
          <cell r="F104">
            <v>2</v>
          </cell>
          <cell r="G104" t="str">
            <v xml:space="preserve">ST          </v>
          </cell>
          <cell r="H104">
            <v>28</v>
          </cell>
          <cell r="I104">
            <v>56</v>
          </cell>
        </row>
        <row r="105">
          <cell r="A105" t="str">
            <v>55-804-25-01</v>
          </cell>
          <cell r="B105" t="str">
            <v xml:space="preserve">marTray, 1/2, 240x251x44 mm             </v>
          </cell>
          <cell r="C105" t="str">
            <v xml:space="preserve">                                   </v>
          </cell>
          <cell r="D105" t="str">
            <v xml:space="preserve">DE        </v>
          </cell>
          <cell r="E105">
            <v>73269098</v>
          </cell>
          <cell r="F105">
            <v>1</v>
          </cell>
          <cell r="G105" t="str">
            <v xml:space="preserve">ST          </v>
          </cell>
          <cell r="H105">
            <v>96.6</v>
          </cell>
          <cell r="I105">
            <v>96.6</v>
          </cell>
        </row>
        <row r="106">
          <cell r="A106" t="str">
            <v xml:space="preserve">            </v>
          </cell>
          <cell r="B106" t="str">
            <v xml:space="preserve">General Medical G19/Inst-Surg/04/Item : </v>
          </cell>
          <cell r="C106" t="str">
            <v xml:space="preserve">                                   </v>
          </cell>
          <cell r="D106" t="str">
            <v xml:space="preserve">          </v>
          </cell>
          <cell r="E106" t="str">
            <v xml:space="preserve">                </v>
          </cell>
          <cell r="F106">
            <v>1</v>
          </cell>
          <cell r="G106" t="str">
            <v xml:space="preserve">            </v>
          </cell>
          <cell r="H106" t="str">
            <v xml:space="preserve">               </v>
          </cell>
          <cell r="I106" t="str">
            <v xml:space="preserve">               </v>
          </cell>
        </row>
        <row r="107">
          <cell r="A107" t="str">
            <v>13-915-13-07</v>
          </cell>
          <cell r="B107" t="str">
            <v xml:space="preserve">TOWEL FORCEPS, BACKHAUS, SHARP, 13 CM   </v>
          </cell>
          <cell r="C107" t="str">
            <v xml:space="preserve">                                   </v>
          </cell>
          <cell r="D107" t="str">
            <v xml:space="preserve">MY        </v>
          </cell>
          <cell r="E107">
            <v>90189084</v>
          </cell>
          <cell r="F107">
            <v>4</v>
          </cell>
          <cell r="G107" t="str">
            <v xml:space="preserve">ST          </v>
          </cell>
          <cell r="H107">
            <v>24.3</v>
          </cell>
          <cell r="I107">
            <v>97.2</v>
          </cell>
        </row>
        <row r="108">
          <cell r="A108" t="str">
            <v>13-935-20-07</v>
          </cell>
          <cell r="B108" t="str">
            <v xml:space="preserve">TOWEL FORCEPS, LANE, STR., 20 CM        </v>
          </cell>
          <cell r="C108" t="str">
            <v xml:space="preserve">                                   </v>
          </cell>
          <cell r="D108" t="str">
            <v xml:space="preserve">MY        </v>
          </cell>
          <cell r="E108">
            <v>90189084</v>
          </cell>
          <cell r="F108">
            <v>1</v>
          </cell>
          <cell r="G108" t="str">
            <v xml:space="preserve">ST          </v>
          </cell>
          <cell r="H108">
            <v>68.400000000000006</v>
          </cell>
          <cell r="I108">
            <v>68.400000000000006</v>
          </cell>
        </row>
        <row r="109">
          <cell r="A109" t="str">
            <v>10-100-04-07</v>
          </cell>
          <cell r="B109" t="str">
            <v xml:space="preserve">SCALPEL HANDLE, NO. 4, 13.5 CM          </v>
          </cell>
          <cell r="C109" t="str">
            <v xml:space="preserve">                                   </v>
          </cell>
          <cell r="D109" t="str">
            <v xml:space="preserve">DE        </v>
          </cell>
          <cell r="E109">
            <v>90189084</v>
          </cell>
          <cell r="F109">
            <v>1</v>
          </cell>
          <cell r="G109" t="str">
            <v xml:space="preserve">ST          </v>
          </cell>
          <cell r="H109">
            <v>6.81</v>
          </cell>
          <cell r="I109">
            <v>6.81</v>
          </cell>
        </row>
        <row r="110">
          <cell r="A110" t="str">
            <v>10-130-05-07</v>
          </cell>
          <cell r="B110" t="str">
            <v xml:space="preserve">SCALPEL HANDLE, NO. 3, CM-SCALE, 12 CM  </v>
          </cell>
          <cell r="C110" t="str">
            <v xml:space="preserve">                                   </v>
          </cell>
          <cell r="D110" t="str">
            <v xml:space="preserve">DE        </v>
          </cell>
          <cell r="E110">
            <v>90189084</v>
          </cell>
          <cell r="F110">
            <v>1</v>
          </cell>
          <cell r="G110" t="str">
            <v xml:space="preserve">ST          </v>
          </cell>
          <cell r="H110">
            <v>20.100000000000001</v>
          </cell>
          <cell r="I110">
            <v>20.100000000000001</v>
          </cell>
        </row>
        <row r="111">
          <cell r="A111" t="str">
            <v>13-321-12-07</v>
          </cell>
          <cell r="B111" t="str">
            <v xml:space="preserve">FORCEPS MICRO-MOSQUITO, CVD., 12 CM     </v>
          </cell>
          <cell r="C111" t="str">
            <v xml:space="preserve">                                   </v>
          </cell>
          <cell r="D111" t="str">
            <v xml:space="preserve">MY        </v>
          </cell>
          <cell r="E111">
            <v>90189084</v>
          </cell>
          <cell r="F111">
            <v>6</v>
          </cell>
          <cell r="G111" t="str">
            <v xml:space="preserve">ST          </v>
          </cell>
          <cell r="H111">
            <v>28.2</v>
          </cell>
          <cell r="I111">
            <v>169.2</v>
          </cell>
        </row>
        <row r="112">
          <cell r="A112" t="str">
            <v>13-577-19-07</v>
          </cell>
          <cell r="B112" t="str">
            <v>DISS. FORCEPS, KELLY, SLIGHT CVD., 19 CM</v>
          </cell>
          <cell r="C112" t="str">
            <v xml:space="preserve">                                   </v>
          </cell>
          <cell r="D112" t="str">
            <v xml:space="preserve">MY        </v>
          </cell>
          <cell r="E112">
            <v>90189084</v>
          </cell>
          <cell r="F112">
            <v>6</v>
          </cell>
          <cell r="G112" t="str">
            <v xml:space="preserve">ST          </v>
          </cell>
          <cell r="H112">
            <v>75.3</v>
          </cell>
          <cell r="I112">
            <v>451.8</v>
          </cell>
        </row>
        <row r="113">
          <cell r="A113" t="str">
            <v>24-384-16-07</v>
          </cell>
          <cell r="B113" t="str">
            <v xml:space="preserve">ATR. FORCEPS, DE BAKEY, 2.7 MM, 16 CM   </v>
          </cell>
          <cell r="C113" t="str">
            <v xml:space="preserve">                                   </v>
          </cell>
          <cell r="D113" t="str">
            <v xml:space="preserve">MY        </v>
          </cell>
          <cell r="E113">
            <v>90189084</v>
          </cell>
          <cell r="F113">
            <v>1</v>
          </cell>
          <cell r="G113" t="str">
            <v xml:space="preserve">ST          </v>
          </cell>
          <cell r="H113">
            <v>68.7</v>
          </cell>
          <cell r="I113">
            <v>68.7</v>
          </cell>
        </row>
        <row r="114">
          <cell r="A114" t="str">
            <v>24-384-20-07</v>
          </cell>
          <cell r="B114" t="str">
            <v xml:space="preserve">ATR. FORCEPS, DE BAKEY, 2.7 MM, 20 CM   </v>
          </cell>
          <cell r="C114" t="str">
            <v xml:space="preserve">                                   </v>
          </cell>
          <cell r="D114" t="str">
            <v xml:space="preserve">MY        </v>
          </cell>
          <cell r="E114">
            <v>90189084</v>
          </cell>
          <cell r="F114">
            <v>1</v>
          </cell>
          <cell r="G114" t="str">
            <v xml:space="preserve">ST          </v>
          </cell>
          <cell r="H114">
            <v>72.099999999999994</v>
          </cell>
          <cell r="I114">
            <v>72.099999999999994</v>
          </cell>
        </row>
        <row r="115">
          <cell r="A115" t="str">
            <v>20-390-18-07</v>
          </cell>
          <cell r="B115" t="str">
            <v xml:space="preserve">NEEDLEHOLDER, MAYO-HEGAR, 18.5 CM       </v>
          </cell>
          <cell r="C115" t="str">
            <v xml:space="preserve">                                   </v>
          </cell>
          <cell r="D115" t="str">
            <v xml:space="preserve">MY        </v>
          </cell>
          <cell r="E115">
            <v>90189084</v>
          </cell>
          <cell r="F115">
            <v>1</v>
          </cell>
          <cell r="G115" t="str">
            <v xml:space="preserve">ST          </v>
          </cell>
          <cell r="H115">
            <v>28</v>
          </cell>
          <cell r="I115">
            <v>28</v>
          </cell>
        </row>
        <row r="116">
          <cell r="A116" t="str">
            <v>16-108-16-01</v>
          </cell>
          <cell r="B116" t="str">
            <v xml:space="preserve">PROBE WITH EYE, Ø 2.0 MM, 16 CM         </v>
          </cell>
          <cell r="C116" t="str">
            <v xml:space="preserve">                                   </v>
          </cell>
          <cell r="D116" t="str">
            <v xml:space="preserve">DE        </v>
          </cell>
          <cell r="E116">
            <v>90189084</v>
          </cell>
          <cell r="F116">
            <v>1</v>
          </cell>
          <cell r="G116" t="str">
            <v xml:space="preserve">ST          </v>
          </cell>
          <cell r="H116">
            <v>19.8</v>
          </cell>
          <cell r="I116">
            <v>19.8</v>
          </cell>
        </row>
        <row r="117">
          <cell r="A117" t="str">
            <v>16-103-20-01</v>
          </cell>
          <cell r="B117" t="str">
            <v xml:space="preserve">PROBE, BUTTON END, Ø 1.5/1.5 MM, 20 CM  </v>
          </cell>
          <cell r="C117" t="str">
            <v xml:space="preserve">                                   </v>
          </cell>
          <cell r="D117" t="str">
            <v xml:space="preserve">MY        </v>
          </cell>
          <cell r="E117">
            <v>90189084</v>
          </cell>
          <cell r="F117">
            <v>1</v>
          </cell>
          <cell r="G117" t="str">
            <v xml:space="preserve">ST          </v>
          </cell>
          <cell r="H117">
            <v>10.3</v>
          </cell>
          <cell r="I117">
            <v>10.3</v>
          </cell>
        </row>
        <row r="118">
          <cell r="A118" t="str">
            <v>30-615-15-01</v>
          </cell>
          <cell r="B118" t="str">
            <v>CURVAL SPECULUM, SIMS, FENSTR., 70X15 MM</v>
          </cell>
          <cell r="C118" t="str">
            <v xml:space="preserve">                                   </v>
          </cell>
          <cell r="D118" t="str">
            <v xml:space="preserve">DE        </v>
          </cell>
          <cell r="E118">
            <v>90189084</v>
          </cell>
          <cell r="F118">
            <v>1</v>
          </cell>
          <cell r="G118" t="str">
            <v xml:space="preserve">ST          </v>
          </cell>
          <cell r="H118">
            <v>196</v>
          </cell>
          <cell r="I118">
            <v>196</v>
          </cell>
        </row>
        <row r="119">
          <cell r="A119" t="str">
            <v>30-610-21-07</v>
          </cell>
          <cell r="B119" t="str">
            <v xml:space="preserve">CURVAL SPECULUM, CZERNY, 105X23-28 MM   </v>
          </cell>
          <cell r="C119" t="str">
            <v xml:space="preserve">                                   </v>
          </cell>
          <cell r="D119" t="str">
            <v xml:space="preserve">MY        </v>
          </cell>
          <cell r="E119">
            <v>90189084</v>
          </cell>
          <cell r="F119">
            <v>1</v>
          </cell>
          <cell r="G119" t="str">
            <v xml:space="preserve">ST          </v>
          </cell>
          <cell r="H119">
            <v>96.2</v>
          </cell>
          <cell r="I119">
            <v>96.2</v>
          </cell>
        </row>
        <row r="120">
          <cell r="A120" t="str">
            <v>56-231-11-01</v>
          </cell>
          <cell r="B120" t="str">
            <v xml:space="preserve">BOWL, METAL, H = 50, Ø 116 MM, 0.25 L   </v>
          </cell>
          <cell r="C120" t="str">
            <v xml:space="preserve">                                   </v>
          </cell>
          <cell r="D120" t="str">
            <v xml:space="preserve">DE        </v>
          </cell>
          <cell r="E120">
            <v>73249000</v>
          </cell>
          <cell r="F120">
            <v>1</v>
          </cell>
          <cell r="G120" t="str">
            <v xml:space="preserve">ST          </v>
          </cell>
          <cell r="H120">
            <v>25.7</v>
          </cell>
          <cell r="I120">
            <v>25.7</v>
          </cell>
        </row>
        <row r="121">
          <cell r="A121" t="str">
            <v>56-673-25-01</v>
          </cell>
          <cell r="B121" t="str">
            <v xml:space="preserve">KIDNEY DISH, 250X140X40 MM              </v>
          </cell>
          <cell r="C121" t="str">
            <v xml:space="preserve">                                   </v>
          </cell>
          <cell r="D121" t="str">
            <v xml:space="preserve">SE        </v>
          </cell>
          <cell r="E121">
            <v>73269098</v>
          </cell>
          <cell r="F121">
            <v>1</v>
          </cell>
          <cell r="G121" t="str">
            <v xml:space="preserve">ST          </v>
          </cell>
          <cell r="H121">
            <v>11.9</v>
          </cell>
          <cell r="I121">
            <v>11.9</v>
          </cell>
        </row>
        <row r="122">
          <cell r="A122" t="str">
            <v>11-459-17-07</v>
          </cell>
          <cell r="B122" t="str">
            <v xml:space="preserve">SCISSORS, TOENNIS-ADSON, CVD., 17.5 CM  </v>
          </cell>
          <cell r="C122" t="str">
            <v xml:space="preserve">                                   </v>
          </cell>
          <cell r="D122" t="str">
            <v xml:space="preserve">DE        </v>
          </cell>
          <cell r="E122">
            <v>90189084</v>
          </cell>
          <cell r="F122">
            <v>1</v>
          </cell>
          <cell r="G122" t="str">
            <v xml:space="preserve">ST          </v>
          </cell>
          <cell r="H122">
            <v>54.1</v>
          </cell>
          <cell r="I122">
            <v>54.1</v>
          </cell>
        </row>
        <row r="123">
          <cell r="A123" t="str">
            <v>11-285-18-07</v>
          </cell>
          <cell r="B123" t="str">
            <v xml:space="preserve">DISSECTING SCISSORS, CVD., 18 CM        </v>
          </cell>
          <cell r="C123" t="str">
            <v xml:space="preserve">                                   </v>
          </cell>
          <cell r="D123" t="str">
            <v xml:space="preserve">DE        </v>
          </cell>
          <cell r="E123">
            <v>90189084</v>
          </cell>
          <cell r="F123">
            <v>1</v>
          </cell>
          <cell r="G123" t="str">
            <v xml:space="preserve">ST          </v>
          </cell>
          <cell r="H123">
            <v>24.1</v>
          </cell>
          <cell r="I123">
            <v>24.1</v>
          </cell>
        </row>
        <row r="124">
          <cell r="A124" t="str">
            <v>30-192-16-07</v>
          </cell>
          <cell r="B124" t="str">
            <v xml:space="preserve">TISSUE FORCEPS, BABCOCK, 15,5 CM        </v>
          </cell>
          <cell r="C124" t="str">
            <v xml:space="preserve">                                   </v>
          </cell>
          <cell r="D124" t="str">
            <v xml:space="preserve">MY        </v>
          </cell>
          <cell r="E124">
            <v>90189084</v>
          </cell>
          <cell r="F124">
            <v>2</v>
          </cell>
          <cell r="G124" t="str">
            <v xml:space="preserve">ST          </v>
          </cell>
          <cell r="H124">
            <v>75.5</v>
          </cell>
          <cell r="I124">
            <v>151</v>
          </cell>
        </row>
        <row r="125">
          <cell r="A125" t="str">
            <v>30-134-19-07</v>
          </cell>
          <cell r="B125" t="str">
            <v xml:space="preserve">TISSUE FORCEPS, ALLIS, 5X6 T., 19 CM    </v>
          </cell>
          <cell r="C125" t="str">
            <v xml:space="preserve">                                   </v>
          </cell>
          <cell r="D125" t="str">
            <v xml:space="preserve">MY        </v>
          </cell>
          <cell r="E125">
            <v>90189084</v>
          </cell>
          <cell r="F125">
            <v>4</v>
          </cell>
          <cell r="G125" t="str">
            <v xml:space="preserve">ST          </v>
          </cell>
          <cell r="H125">
            <v>68.099999999999994</v>
          </cell>
          <cell r="I125">
            <v>272.39999999999998</v>
          </cell>
        </row>
        <row r="126">
          <cell r="A126" t="str">
            <v>13-328-15-07</v>
          </cell>
          <cell r="B126" t="str">
            <v xml:space="preserve">FORCEPS, LERICHE, 1X2 T., STR., 15.5 CM </v>
          </cell>
          <cell r="C126" t="str">
            <v xml:space="preserve">                                   </v>
          </cell>
          <cell r="D126" t="str">
            <v xml:space="preserve">DE        </v>
          </cell>
          <cell r="E126">
            <v>90189084</v>
          </cell>
          <cell r="F126">
            <v>2</v>
          </cell>
          <cell r="G126" t="str">
            <v xml:space="preserve">ST          </v>
          </cell>
          <cell r="H126">
            <v>39.1</v>
          </cell>
          <cell r="I126">
            <v>78.2</v>
          </cell>
        </row>
        <row r="127">
          <cell r="A127" t="str">
            <v>12-100-16-07</v>
          </cell>
          <cell r="B127" t="str">
            <v xml:space="preserve">DRESSING FORCEPS, 16 CM                 </v>
          </cell>
          <cell r="C127" t="str">
            <v xml:space="preserve">                                   </v>
          </cell>
          <cell r="D127" t="str">
            <v xml:space="preserve">MY        </v>
          </cell>
          <cell r="E127">
            <v>90189084</v>
          </cell>
          <cell r="F127">
            <v>1</v>
          </cell>
          <cell r="G127" t="str">
            <v xml:space="preserve">ST          </v>
          </cell>
          <cell r="H127">
            <v>15.3</v>
          </cell>
          <cell r="I127">
            <v>15.3</v>
          </cell>
        </row>
        <row r="128">
          <cell r="A128" t="str">
            <v>13-415-18-07</v>
          </cell>
          <cell r="B128" t="str">
            <v xml:space="preserve">FORCEPS, KOCHER, 1X2 T., CVD., 18,5 CM  </v>
          </cell>
          <cell r="C128" t="str">
            <v xml:space="preserve">                                   </v>
          </cell>
          <cell r="D128" t="str">
            <v xml:space="preserve">MY        </v>
          </cell>
          <cell r="E128">
            <v>90189084</v>
          </cell>
          <cell r="F128">
            <v>2</v>
          </cell>
          <cell r="G128" t="str">
            <v xml:space="preserve">ST          </v>
          </cell>
          <cell r="H128">
            <v>31.7</v>
          </cell>
          <cell r="I128">
            <v>63.4</v>
          </cell>
        </row>
        <row r="129">
          <cell r="A129" t="str">
            <v>13-414-18-07</v>
          </cell>
          <cell r="B129" t="str">
            <v xml:space="preserve">FORCEPS, KOCHER, 1X2 T., STR., 18.5 CM  </v>
          </cell>
          <cell r="C129" t="str">
            <v xml:space="preserve">                                   </v>
          </cell>
          <cell r="D129" t="str">
            <v xml:space="preserve">MY        </v>
          </cell>
          <cell r="E129">
            <v>90189084</v>
          </cell>
          <cell r="F129">
            <v>2</v>
          </cell>
          <cell r="G129" t="str">
            <v xml:space="preserve">ST          </v>
          </cell>
          <cell r="H129">
            <v>30</v>
          </cell>
          <cell r="I129">
            <v>60</v>
          </cell>
        </row>
        <row r="130">
          <cell r="A130" t="str">
            <v>13-531-22-07</v>
          </cell>
          <cell r="B130" t="str">
            <v xml:space="preserve">KIDNEY PEDICLE FORCEPS, GUYON, 21.5 CM  </v>
          </cell>
          <cell r="C130" t="str">
            <v xml:space="preserve">                                   </v>
          </cell>
          <cell r="D130" t="str">
            <v xml:space="preserve">DE        </v>
          </cell>
          <cell r="E130">
            <v>90189084</v>
          </cell>
          <cell r="F130">
            <v>1</v>
          </cell>
          <cell r="G130" t="str">
            <v xml:space="preserve">ST          </v>
          </cell>
          <cell r="H130">
            <v>233</v>
          </cell>
          <cell r="I130">
            <v>233</v>
          </cell>
        </row>
        <row r="131">
          <cell r="A131" t="str">
            <v>12-100-16-07</v>
          </cell>
          <cell r="B131" t="str">
            <v xml:space="preserve">DRESSING FORCEPS, 16 CM                 </v>
          </cell>
          <cell r="C131" t="str">
            <v xml:space="preserve">                                   </v>
          </cell>
          <cell r="D131" t="str">
            <v xml:space="preserve">MY        </v>
          </cell>
          <cell r="E131">
            <v>90189084</v>
          </cell>
          <cell r="F131">
            <v>1</v>
          </cell>
          <cell r="G131" t="str">
            <v xml:space="preserve">ST          </v>
          </cell>
          <cell r="H131">
            <v>15.3</v>
          </cell>
          <cell r="I131">
            <v>15.3</v>
          </cell>
        </row>
        <row r="132">
          <cell r="A132" t="str">
            <v>12-301-16-07</v>
          </cell>
          <cell r="B132" t="str">
            <v xml:space="preserve">TISSUE FORCEPS, 1X2 T., 16 CM           </v>
          </cell>
          <cell r="C132" t="str">
            <v xml:space="preserve">                                   </v>
          </cell>
          <cell r="D132" t="str">
            <v xml:space="preserve">MY        </v>
          </cell>
          <cell r="E132">
            <v>90189084</v>
          </cell>
          <cell r="F132">
            <v>1</v>
          </cell>
          <cell r="G132" t="str">
            <v xml:space="preserve">ST          </v>
          </cell>
          <cell r="H132">
            <v>11.4</v>
          </cell>
          <cell r="I132">
            <v>11.4</v>
          </cell>
        </row>
        <row r="133">
          <cell r="A133" t="str">
            <v>55-804-25-01</v>
          </cell>
          <cell r="B133" t="str">
            <v xml:space="preserve">marTray, 1/2, 240x251x44 mm             </v>
          </cell>
          <cell r="C133" t="str">
            <v xml:space="preserve">                                   </v>
          </cell>
          <cell r="D133" t="str">
            <v xml:space="preserve">DE        </v>
          </cell>
          <cell r="E133">
            <v>73269098</v>
          </cell>
          <cell r="F133">
            <v>1</v>
          </cell>
          <cell r="G133" t="str">
            <v xml:space="preserve">ST          </v>
          </cell>
          <cell r="H133">
            <v>96.6</v>
          </cell>
          <cell r="I133">
            <v>96.6</v>
          </cell>
        </row>
        <row r="134">
          <cell r="A134" t="str">
            <v>55-805-28-01</v>
          </cell>
          <cell r="B134" t="str">
            <v xml:space="preserve">Lid f. tray 1/2, 243X255 mm             </v>
          </cell>
          <cell r="C134" t="str">
            <v xml:space="preserve">                                   </v>
          </cell>
          <cell r="D134" t="str">
            <v xml:space="preserve">DE        </v>
          </cell>
          <cell r="E134">
            <v>73269098</v>
          </cell>
          <cell r="F134">
            <v>1</v>
          </cell>
          <cell r="G134" t="str">
            <v xml:space="preserve">ST          </v>
          </cell>
          <cell r="H134">
            <v>71.2</v>
          </cell>
          <cell r="I134">
            <v>71.2</v>
          </cell>
        </row>
        <row r="135">
          <cell r="A135" t="str">
            <v>55-807-24-04</v>
          </cell>
          <cell r="B135" t="str">
            <v xml:space="preserve">SILICONE MAT F. 1/2 TRAY, 234x244 MM    </v>
          </cell>
          <cell r="C135" t="str">
            <v xml:space="preserve">                                   </v>
          </cell>
          <cell r="D135" t="str">
            <v xml:space="preserve">DE        </v>
          </cell>
          <cell r="E135">
            <v>39269097</v>
          </cell>
          <cell r="F135">
            <v>1</v>
          </cell>
          <cell r="G135" t="str">
            <v xml:space="preserve">ST          </v>
          </cell>
          <cell r="H135">
            <v>31.9</v>
          </cell>
          <cell r="I135">
            <v>31.9</v>
          </cell>
        </row>
        <row r="136">
          <cell r="A136" t="str">
            <v xml:space="preserve">            </v>
          </cell>
          <cell r="B136" t="str">
            <v xml:space="preserve">Hand Surgery Set                        </v>
          </cell>
          <cell r="C136" t="str">
            <v xml:space="preserve">                                   </v>
          </cell>
          <cell r="D136" t="str">
            <v xml:space="preserve">          </v>
          </cell>
          <cell r="E136" t="str">
            <v xml:space="preserve">                </v>
          </cell>
          <cell r="F136">
            <v>1</v>
          </cell>
          <cell r="G136" t="str">
            <v xml:space="preserve">            </v>
          </cell>
          <cell r="H136" t="str">
            <v xml:space="preserve">               </v>
          </cell>
          <cell r="I136" t="str">
            <v xml:space="preserve">               </v>
          </cell>
        </row>
        <row r="137">
          <cell r="A137" t="str">
            <v>13-306-10-07</v>
          </cell>
          <cell r="B137" t="str">
            <v xml:space="preserve">HAEM. FORCEPS, HARTMANN, STR., 10 CM    </v>
          </cell>
          <cell r="C137" t="str">
            <v xml:space="preserve">                                   </v>
          </cell>
          <cell r="D137" t="str">
            <v xml:space="preserve">MY        </v>
          </cell>
          <cell r="E137">
            <v>90189084</v>
          </cell>
          <cell r="F137">
            <v>2</v>
          </cell>
          <cell r="G137" t="str">
            <v xml:space="preserve">ST          </v>
          </cell>
          <cell r="H137">
            <v>26.6</v>
          </cell>
          <cell r="I137">
            <v>53.2</v>
          </cell>
        </row>
        <row r="138">
          <cell r="A138" t="str">
            <v>13-310-12-07</v>
          </cell>
          <cell r="B138" t="str">
            <v xml:space="preserve">HAEM. FORCEPS, MOSQUITO, STR., 12.5 CM  </v>
          </cell>
          <cell r="C138" t="str">
            <v xml:space="preserve">                                   </v>
          </cell>
          <cell r="D138" t="str">
            <v xml:space="preserve">MY        </v>
          </cell>
          <cell r="E138">
            <v>90189084</v>
          </cell>
          <cell r="F138">
            <v>2</v>
          </cell>
          <cell r="G138" t="str">
            <v xml:space="preserve">ST          </v>
          </cell>
          <cell r="H138">
            <v>22.4</v>
          </cell>
          <cell r="I138">
            <v>44.8</v>
          </cell>
        </row>
        <row r="139">
          <cell r="A139" t="str">
            <v>13-310-14-07</v>
          </cell>
          <cell r="B139" t="str">
            <v xml:space="preserve">HAEM. FORCEPS, MOSQUITO, STR., 14.5 CM  </v>
          </cell>
          <cell r="C139" t="str">
            <v xml:space="preserve">                                   </v>
          </cell>
          <cell r="D139" t="str">
            <v xml:space="preserve">MY        </v>
          </cell>
          <cell r="E139">
            <v>90189084</v>
          </cell>
          <cell r="F139">
            <v>2</v>
          </cell>
          <cell r="G139" t="str">
            <v xml:space="preserve">ST          </v>
          </cell>
          <cell r="H139">
            <v>30.2</v>
          </cell>
          <cell r="I139">
            <v>60.4</v>
          </cell>
        </row>
        <row r="140">
          <cell r="A140" t="str">
            <v>13-307-10-07</v>
          </cell>
          <cell r="B140" t="str">
            <v xml:space="preserve">HAEM. FORCEPS, HARTMANN, CVD., 10 CM    </v>
          </cell>
          <cell r="C140" t="str">
            <v xml:space="preserve">                                   </v>
          </cell>
          <cell r="D140" t="str">
            <v xml:space="preserve">MY        </v>
          </cell>
          <cell r="E140">
            <v>90189084</v>
          </cell>
          <cell r="F140">
            <v>2</v>
          </cell>
          <cell r="G140" t="str">
            <v xml:space="preserve">ST          </v>
          </cell>
          <cell r="H140">
            <v>27.9</v>
          </cell>
          <cell r="I140">
            <v>55.8</v>
          </cell>
        </row>
        <row r="141">
          <cell r="A141" t="str">
            <v>13-311-12-07</v>
          </cell>
          <cell r="B141" t="str">
            <v xml:space="preserve">HAEM. FORCEPS, MOSQUITO, CVD., 12 CM    </v>
          </cell>
          <cell r="C141" t="str">
            <v xml:space="preserve">                                   </v>
          </cell>
          <cell r="D141" t="str">
            <v xml:space="preserve">MY        </v>
          </cell>
          <cell r="E141">
            <v>90189084</v>
          </cell>
          <cell r="F141">
            <v>2</v>
          </cell>
          <cell r="G141" t="str">
            <v xml:space="preserve">ST          </v>
          </cell>
          <cell r="H141">
            <v>23.9</v>
          </cell>
          <cell r="I141">
            <v>47.8</v>
          </cell>
        </row>
        <row r="142">
          <cell r="A142" t="str">
            <v>13-311-14-07</v>
          </cell>
          <cell r="B142" t="str">
            <v xml:space="preserve">HAEM. FORCEPS, MOSQUITO, CVD., 14 CM    </v>
          </cell>
          <cell r="C142" t="str">
            <v xml:space="preserve">                                   </v>
          </cell>
          <cell r="D142" t="str">
            <v xml:space="preserve">MY        </v>
          </cell>
          <cell r="E142">
            <v>90189084</v>
          </cell>
          <cell r="F142">
            <v>2</v>
          </cell>
          <cell r="G142" t="str">
            <v xml:space="preserve">ST          </v>
          </cell>
          <cell r="H142">
            <v>35.5</v>
          </cell>
          <cell r="I142">
            <v>71</v>
          </cell>
        </row>
        <row r="143">
          <cell r="A143" t="str">
            <v>30-132-15-07</v>
          </cell>
          <cell r="B143" t="str">
            <v xml:space="preserve">TISSUE FORCEPS, ALLIS, 4X5 T., 15.5 CM  </v>
          </cell>
          <cell r="C143" t="str">
            <v xml:space="preserve">                                   </v>
          </cell>
          <cell r="D143" t="str">
            <v xml:space="preserve">MY        </v>
          </cell>
          <cell r="E143">
            <v>90189084</v>
          </cell>
          <cell r="F143">
            <v>4</v>
          </cell>
          <cell r="G143" t="str">
            <v xml:space="preserve">ST          </v>
          </cell>
          <cell r="H143">
            <v>44.5</v>
          </cell>
          <cell r="I143">
            <v>178</v>
          </cell>
        </row>
        <row r="144">
          <cell r="A144" t="str">
            <v>30-130-12-07</v>
          </cell>
          <cell r="B144" t="str">
            <v xml:space="preserve">TISSUE FCPS., ALLIS-BABY, 4X5 T., 13 CM </v>
          </cell>
          <cell r="C144" t="str">
            <v xml:space="preserve">                                   </v>
          </cell>
          <cell r="D144" t="str">
            <v xml:space="preserve">DE        </v>
          </cell>
          <cell r="E144">
            <v>90189084</v>
          </cell>
          <cell r="F144">
            <v>2</v>
          </cell>
          <cell r="G144" t="str">
            <v xml:space="preserve">ST          </v>
          </cell>
          <cell r="H144">
            <v>72.900000000000006</v>
          </cell>
          <cell r="I144">
            <v>145.80000000000001</v>
          </cell>
        </row>
        <row r="145">
          <cell r="A145" t="str">
            <v>13-414-14-07</v>
          </cell>
          <cell r="B145" t="str">
            <v xml:space="preserve">FORCEPS, KOCHER, 1X2 T., STR., 14.5 CM  </v>
          </cell>
          <cell r="C145" t="str">
            <v xml:space="preserve">                                   </v>
          </cell>
          <cell r="D145" t="str">
            <v xml:space="preserve">MY        </v>
          </cell>
          <cell r="E145">
            <v>90189084</v>
          </cell>
          <cell r="F145">
            <v>2</v>
          </cell>
          <cell r="G145" t="str">
            <v xml:space="preserve">ST          </v>
          </cell>
          <cell r="H145">
            <v>36</v>
          </cell>
          <cell r="I145">
            <v>72</v>
          </cell>
        </row>
        <row r="146">
          <cell r="A146" t="str">
            <v>13-414-16-07</v>
          </cell>
          <cell r="B146" t="str">
            <v xml:space="preserve">FORCEPS, KOCHER, 1X2 T., STR., 16 CM    </v>
          </cell>
          <cell r="C146" t="str">
            <v xml:space="preserve">                                   </v>
          </cell>
          <cell r="D146" t="str">
            <v xml:space="preserve">MY        </v>
          </cell>
          <cell r="E146">
            <v>90189084</v>
          </cell>
          <cell r="F146">
            <v>2</v>
          </cell>
          <cell r="G146" t="str">
            <v xml:space="preserve">ST          </v>
          </cell>
          <cell r="H146">
            <v>26.3</v>
          </cell>
          <cell r="I146">
            <v>52.6</v>
          </cell>
        </row>
        <row r="147">
          <cell r="A147" t="str">
            <v>13-414-18-07</v>
          </cell>
          <cell r="B147" t="str">
            <v xml:space="preserve">FORCEPS, KOCHER, 1X2 T., STR., 18.5 CM  </v>
          </cell>
          <cell r="C147" t="str">
            <v xml:space="preserve">                                   </v>
          </cell>
          <cell r="D147" t="str">
            <v xml:space="preserve">MY        </v>
          </cell>
          <cell r="E147">
            <v>90189084</v>
          </cell>
          <cell r="F147">
            <v>2</v>
          </cell>
          <cell r="G147" t="str">
            <v xml:space="preserve">ST          </v>
          </cell>
          <cell r="H147">
            <v>30</v>
          </cell>
          <cell r="I147">
            <v>60</v>
          </cell>
        </row>
        <row r="148">
          <cell r="A148" t="str">
            <v>14-352-25-07</v>
          </cell>
          <cell r="B148" t="str">
            <v xml:space="preserve">FORCEPS, FOERSTER, SERR., STR., 25 CM   </v>
          </cell>
          <cell r="C148" t="str">
            <v xml:space="preserve">                                   </v>
          </cell>
          <cell r="D148" t="str">
            <v xml:space="preserve">MY        </v>
          </cell>
          <cell r="E148">
            <v>90189084</v>
          </cell>
          <cell r="F148">
            <v>4</v>
          </cell>
          <cell r="G148" t="str">
            <v xml:space="preserve">ST          </v>
          </cell>
          <cell r="H148">
            <v>41.9</v>
          </cell>
          <cell r="I148">
            <v>167.6</v>
          </cell>
        </row>
        <row r="149">
          <cell r="A149" t="str">
            <v>13-375-16-07</v>
          </cell>
          <cell r="B149" t="str">
            <v xml:space="preserve">FORCEPS, PEAN, DELICATE, CVD., 16.5 CM  </v>
          </cell>
          <cell r="C149" t="str">
            <v xml:space="preserve">                                   </v>
          </cell>
          <cell r="D149" t="str">
            <v xml:space="preserve">MY        </v>
          </cell>
          <cell r="E149">
            <v>90189084</v>
          </cell>
          <cell r="F149">
            <v>2</v>
          </cell>
          <cell r="G149" t="str">
            <v xml:space="preserve">ST          </v>
          </cell>
          <cell r="H149">
            <v>34.6</v>
          </cell>
          <cell r="I149">
            <v>69.2</v>
          </cell>
        </row>
        <row r="150">
          <cell r="A150" t="str">
            <v>13-381-14-07</v>
          </cell>
          <cell r="B150" t="str">
            <v xml:space="preserve">FORCEPS, PEAN-NIPPON, CVD., 14 CM       </v>
          </cell>
          <cell r="C150" t="str">
            <v xml:space="preserve">                                   </v>
          </cell>
          <cell r="D150" t="str">
            <v xml:space="preserve">MY        </v>
          </cell>
          <cell r="E150">
            <v>90189084</v>
          </cell>
          <cell r="F150">
            <v>2</v>
          </cell>
          <cell r="G150" t="str">
            <v xml:space="preserve">ST          </v>
          </cell>
          <cell r="H150">
            <v>24.5</v>
          </cell>
          <cell r="I150">
            <v>49</v>
          </cell>
        </row>
        <row r="151">
          <cell r="A151" t="str">
            <v>13-915-13-07</v>
          </cell>
          <cell r="B151" t="str">
            <v xml:space="preserve">TOWEL FORCEPS, BACKHAUS, SHARP, 13 CM   </v>
          </cell>
          <cell r="C151" t="str">
            <v xml:space="preserve">                                   </v>
          </cell>
          <cell r="D151" t="str">
            <v xml:space="preserve">MY        </v>
          </cell>
          <cell r="E151">
            <v>90189084</v>
          </cell>
          <cell r="F151">
            <v>8</v>
          </cell>
          <cell r="G151" t="str">
            <v xml:space="preserve">ST          </v>
          </cell>
          <cell r="H151">
            <v>24.3</v>
          </cell>
          <cell r="I151">
            <v>194.4</v>
          </cell>
        </row>
        <row r="152">
          <cell r="A152" t="str">
            <v>13-421-18-07</v>
          </cell>
          <cell r="B152" t="str">
            <v xml:space="preserve">DISS. FORCEPS, BABY-ADSON, CVD., 18 CM  </v>
          </cell>
          <cell r="C152" t="str">
            <v xml:space="preserve">                                   </v>
          </cell>
          <cell r="D152" t="str">
            <v xml:space="preserve">DE        </v>
          </cell>
          <cell r="E152">
            <v>90189084</v>
          </cell>
          <cell r="F152">
            <v>2</v>
          </cell>
          <cell r="G152" t="str">
            <v xml:space="preserve">ST          </v>
          </cell>
          <cell r="H152">
            <v>70</v>
          </cell>
          <cell r="I152">
            <v>140</v>
          </cell>
        </row>
        <row r="153">
          <cell r="A153" t="str">
            <v>23-312-30-07</v>
          </cell>
          <cell r="B153" t="str">
            <v xml:space="preserve">BONE CUR., SPRATT, OVAL, NO. 000, 17 CM </v>
          </cell>
          <cell r="C153" t="str">
            <v xml:space="preserve">                                   </v>
          </cell>
          <cell r="D153" t="str">
            <v xml:space="preserve">DE        </v>
          </cell>
          <cell r="E153">
            <v>90189084</v>
          </cell>
          <cell r="F153">
            <v>1</v>
          </cell>
          <cell r="G153" t="str">
            <v xml:space="preserve">ST          </v>
          </cell>
          <cell r="H153">
            <v>51.4</v>
          </cell>
          <cell r="I153">
            <v>51.4</v>
          </cell>
        </row>
        <row r="154">
          <cell r="A154" t="str">
            <v>23-313-04-07</v>
          </cell>
          <cell r="B154" t="str">
            <v>BONE CURETTE, SPRATT, OVAL, NO. 4, 17 CM</v>
          </cell>
          <cell r="C154" t="str">
            <v xml:space="preserve">                                   </v>
          </cell>
          <cell r="D154" t="str">
            <v xml:space="preserve">DE        </v>
          </cell>
          <cell r="E154">
            <v>90189084</v>
          </cell>
          <cell r="F154">
            <v>1</v>
          </cell>
          <cell r="G154" t="str">
            <v xml:space="preserve">ST          </v>
          </cell>
          <cell r="H154">
            <v>51.4</v>
          </cell>
          <cell r="I154">
            <v>51.4</v>
          </cell>
        </row>
        <row r="155">
          <cell r="A155" t="str">
            <v>23-312-10-07</v>
          </cell>
          <cell r="B155" t="str">
            <v>BONE CURETTE, SPRATT, OVAL, NO. 0, 17 CM</v>
          </cell>
          <cell r="C155" t="str">
            <v xml:space="preserve">                                   </v>
          </cell>
          <cell r="D155" t="str">
            <v xml:space="preserve">DE        </v>
          </cell>
          <cell r="E155">
            <v>90189084</v>
          </cell>
          <cell r="F155">
            <v>1</v>
          </cell>
          <cell r="G155" t="str">
            <v xml:space="preserve">ST          </v>
          </cell>
          <cell r="H155">
            <v>51.4</v>
          </cell>
          <cell r="I155">
            <v>51.4</v>
          </cell>
        </row>
        <row r="156">
          <cell r="A156" t="str">
            <v>23-313-01-07</v>
          </cell>
          <cell r="B156" t="str">
            <v>BONE CURETTE, SPRATT, OVAL, NO. 1, 17 CM</v>
          </cell>
          <cell r="C156" t="str">
            <v xml:space="preserve">                                   </v>
          </cell>
          <cell r="D156" t="str">
            <v xml:space="preserve">DE        </v>
          </cell>
          <cell r="E156">
            <v>90189084</v>
          </cell>
          <cell r="F156">
            <v>1</v>
          </cell>
          <cell r="G156" t="str">
            <v xml:space="preserve">ST          </v>
          </cell>
          <cell r="H156">
            <v>51.4</v>
          </cell>
          <cell r="I156">
            <v>51.4</v>
          </cell>
        </row>
        <row r="157">
          <cell r="A157" t="str">
            <v>23-941-15-07</v>
          </cell>
          <cell r="B157" t="str">
            <v xml:space="preserve">BONE CUTT. FORCEPS, CLEVELAND, 14.5 CM  </v>
          </cell>
          <cell r="C157" t="str">
            <v xml:space="preserve">                                   </v>
          </cell>
          <cell r="D157" t="str">
            <v xml:space="preserve">MY        </v>
          </cell>
          <cell r="E157">
            <v>90189084</v>
          </cell>
          <cell r="F157">
            <v>1</v>
          </cell>
          <cell r="G157" t="str">
            <v xml:space="preserve">ST          </v>
          </cell>
          <cell r="H157">
            <v>154</v>
          </cell>
          <cell r="I157">
            <v>154</v>
          </cell>
        </row>
        <row r="158">
          <cell r="A158" t="str">
            <v>24-690-05-07</v>
          </cell>
          <cell r="B158" t="str">
            <v xml:space="preserve">Dissector, Penfield, 29 cm, #5          </v>
          </cell>
          <cell r="C158" t="str">
            <v xml:space="preserve">                                   </v>
          </cell>
          <cell r="D158" t="str">
            <v xml:space="preserve">DE        </v>
          </cell>
          <cell r="E158">
            <v>90189084</v>
          </cell>
          <cell r="F158">
            <v>1</v>
          </cell>
          <cell r="G158" t="str">
            <v xml:space="preserve">ST          </v>
          </cell>
          <cell r="H158">
            <v>92.3</v>
          </cell>
          <cell r="I158">
            <v>92.3</v>
          </cell>
        </row>
        <row r="159">
          <cell r="A159" t="str">
            <v>37-531-16-07</v>
          </cell>
          <cell r="B159" t="str">
            <v xml:space="preserve">SEPTUM ELEVATOR, JOSEPH, 4 MM, 16.5 CM  </v>
          </cell>
          <cell r="C159" t="str">
            <v xml:space="preserve">                                   </v>
          </cell>
          <cell r="D159" t="str">
            <v xml:space="preserve">DE        </v>
          </cell>
          <cell r="E159">
            <v>90189084</v>
          </cell>
          <cell r="F159">
            <v>1</v>
          </cell>
          <cell r="G159" t="str">
            <v xml:space="preserve">ST          </v>
          </cell>
          <cell r="H159">
            <v>52.9</v>
          </cell>
          <cell r="I159">
            <v>52.9</v>
          </cell>
        </row>
        <row r="160">
          <cell r="A160" t="str">
            <v>38-014-00-07</v>
          </cell>
          <cell r="B160" t="str">
            <v xml:space="preserve">ELEVATOR, TERRY, 3.0/7.0 MM, 18 CM      </v>
          </cell>
          <cell r="C160" t="str">
            <v xml:space="preserve">                                   </v>
          </cell>
          <cell r="D160" t="str">
            <v xml:space="preserve">DE        </v>
          </cell>
          <cell r="E160">
            <v>90189084</v>
          </cell>
          <cell r="F160">
            <v>1</v>
          </cell>
          <cell r="G160" t="str">
            <v xml:space="preserve">ST          </v>
          </cell>
          <cell r="H160">
            <v>54.8</v>
          </cell>
          <cell r="I160">
            <v>54.8</v>
          </cell>
        </row>
        <row r="161">
          <cell r="A161" t="str">
            <v>23-436-07-07</v>
          </cell>
          <cell r="B161" t="str">
            <v xml:space="preserve">RASPATORY, WILLIGER, CVD., 7 MM, 16 CM  </v>
          </cell>
          <cell r="C161" t="str">
            <v xml:space="preserve">                                   </v>
          </cell>
          <cell r="D161" t="str">
            <v xml:space="preserve">DE        </v>
          </cell>
          <cell r="E161">
            <v>90189084</v>
          </cell>
          <cell r="F161">
            <v>1</v>
          </cell>
          <cell r="G161" t="str">
            <v xml:space="preserve">ST          </v>
          </cell>
          <cell r="H161">
            <v>34.1</v>
          </cell>
          <cell r="I161">
            <v>34.1</v>
          </cell>
        </row>
        <row r="162">
          <cell r="A162" t="str">
            <v>23-412-20-07</v>
          </cell>
          <cell r="B162" t="str">
            <v xml:space="preserve">Raspatory, Cottle, cvd., 19.5 cm        </v>
          </cell>
          <cell r="C162" t="str">
            <v xml:space="preserve">                                   </v>
          </cell>
          <cell r="D162" t="str">
            <v xml:space="preserve">DE        </v>
          </cell>
          <cell r="E162">
            <v>90189084</v>
          </cell>
          <cell r="F162">
            <v>1</v>
          </cell>
          <cell r="G162" t="str">
            <v xml:space="preserve">ST          </v>
          </cell>
          <cell r="H162">
            <v>63.7</v>
          </cell>
          <cell r="I162">
            <v>63.7</v>
          </cell>
        </row>
        <row r="163">
          <cell r="A163" t="str">
            <v>12-168-12-07</v>
          </cell>
          <cell r="B163" t="str">
            <v xml:space="preserve">DRESSING FORCEPS, ADSON, 12 CM          </v>
          </cell>
          <cell r="C163" t="str">
            <v xml:space="preserve">                                   </v>
          </cell>
          <cell r="D163" t="str">
            <v xml:space="preserve">MY        </v>
          </cell>
          <cell r="E163">
            <v>90189084</v>
          </cell>
          <cell r="F163">
            <v>1</v>
          </cell>
          <cell r="G163" t="str">
            <v xml:space="preserve">ST          </v>
          </cell>
          <cell r="H163">
            <v>10.3</v>
          </cell>
          <cell r="I163">
            <v>10.3</v>
          </cell>
        </row>
        <row r="164">
          <cell r="A164" t="str">
            <v>12-368-12-07</v>
          </cell>
          <cell r="B164" t="str">
            <v xml:space="preserve">TISSUE FORCEPS, ADSON, 1X2 T., 12 CM    </v>
          </cell>
          <cell r="C164" t="str">
            <v xml:space="preserve">                                   </v>
          </cell>
          <cell r="D164" t="str">
            <v xml:space="preserve">MY        </v>
          </cell>
          <cell r="E164">
            <v>90189084</v>
          </cell>
          <cell r="F164">
            <v>2</v>
          </cell>
          <cell r="G164" t="str">
            <v xml:space="preserve">ST          </v>
          </cell>
          <cell r="H164">
            <v>13.1</v>
          </cell>
          <cell r="I164">
            <v>26.2</v>
          </cell>
        </row>
        <row r="165">
          <cell r="A165" t="str">
            <v>24-386-16-07</v>
          </cell>
          <cell r="B165" t="str">
            <v xml:space="preserve">ATR. FORCEPS, DE BAKEY, 1.5 MM, 16 CM   </v>
          </cell>
          <cell r="C165" t="str">
            <v xml:space="preserve">                                   </v>
          </cell>
          <cell r="D165" t="str">
            <v xml:space="preserve">MY        </v>
          </cell>
          <cell r="E165">
            <v>90189084</v>
          </cell>
          <cell r="F165">
            <v>2</v>
          </cell>
          <cell r="G165" t="str">
            <v xml:space="preserve">ST          </v>
          </cell>
          <cell r="H165">
            <v>72.099999999999994</v>
          </cell>
          <cell r="I165">
            <v>144.19999999999999</v>
          </cell>
        </row>
        <row r="166">
          <cell r="A166" t="str">
            <v>23-729-16-07</v>
          </cell>
          <cell r="B166" t="str">
            <v xml:space="preserve">REPOS. FORCEPS, W. THREAD LOCK, 16 CM   </v>
          </cell>
          <cell r="C166" t="str">
            <v xml:space="preserve">                                   </v>
          </cell>
          <cell r="D166" t="str">
            <v xml:space="preserve">MY        </v>
          </cell>
          <cell r="E166">
            <v>90189084</v>
          </cell>
          <cell r="F166">
            <v>1</v>
          </cell>
          <cell r="G166" t="str">
            <v xml:space="preserve">ST          </v>
          </cell>
          <cell r="H166">
            <v>222.5</v>
          </cell>
          <cell r="I166">
            <v>222.5</v>
          </cell>
        </row>
        <row r="167">
          <cell r="A167" t="str">
            <v>37-704-05-07</v>
          </cell>
          <cell r="B167" t="str">
            <v>SKIN HOOKLET, JOSEPH, 2-PR., 5 MM, 16 CM</v>
          </cell>
          <cell r="C167" t="str">
            <v xml:space="preserve">                                   </v>
          </cell>
          <cell r="D167" t="str">
            <v xml:space="preserve">DE        </v>
          </cell>
          <cell r="E167">
            <v>90189084</v>
          </cell>
          <cell r="F167">
            <v>2</v>
          </cell>
          <cell r="G167" t="str">
            <v xml:space="preserve">ST          </v>
          </cell>
          <cell r="H167">
            <v>40.1</v>
          </cell>
          <cell r="I167">
            <v>80.2</v>
          </cell>
        </row>
        <row r="168">
          <cell r="A168" t="str">
            <v>10-130-03-07</v>
          </cell>
          <cell r="B168" t="str">
            <v xml:space="preserve">SCALPEL HANDLE, NO. 3, 12 CM            </v>
          </cell>
          <cell r="C168" t="str">
            <v xml:space="preserve">                                   </v>
          </cell>
          <cell r="D168" t="str">
            <v xml:space="preserve">DE        </v>
          </cell>
          <cell r="E168">
            <v>90189084</v>
          </cell>
          <cell r="F168">
            <v>1</v>
          </cell>
          <cell r="G168" t="str">
            <v xml:space="preserve">ST          </v>
          </cell>
          <cell r="H168">
            <v>13.1</v>
          </cell>
          <cell r="I168">
            <v>13.1</v>
          </cell>
        </row>
        <row r="169">
          <cell r="A169" t="str">
            <v>10-100-04-07</v>
          </cell>
          <cell r="B169" t="str">
            <v xml:space="preserve">SCALPEL HANDLE, NO. 4, 13.5 CM          </v>
          </cell>
          <cell r="C169" t="str">
            <v xml:space="preserve">                                   </v>
          </cell>
          <cell r="D169" t="str">
            <v xml:space="preserve">DE        </v>
          </cell>
          <cell r="E169">
            <v>90189084</v>
          </cell>
          <cell r="F169">
            <v>1</v>
          </cell>
          <cell r="G169" t="str">
            <v xml:space="preserve">ST          </v>
          </cell>
          <cell r="H169">
            <v>6.81</v>
          </cell>
          <cell r="I169">
            <v>6.81</v>
          </cell>
        </row>
        <row r="170">
          <cell r="A170" t="str">
            <v>23-198-05-07</v>
          </cell>
          <cell r="B170" t="str">
            <v xml:space="preserve">TAMPER, METAL, Ø 5 MM, 15.5 CM          </v>
          </cell>
          <cell r="C170" t="str">
            <v xml:space="preserve">                                   </v>
          </cell>
          <cell r="D170" t="str">
            <v xml:space="preserve">DE        </v>
          </cell>
          <cell r="E170">
            <v>90189084</v>
          </cell>
          <cell r="F170">
            <v>1</v>
          </cell>
          <cell r="G170" t="str">
            <v xml:space="preserve">ST          </v>
          </cell>
          <cell r="H170">
            <v>32</v>
          </cell>
          <cell r="I170">
            <v>32</v>
          </cell>
        </row>
        <row r="171">
          <cell r="A171" t="str">
            <v>22-519-02-07</v>
          </cell>
          <cell r="B171" t="str">
            <v>FLAT NOSE PLIERS, W. CROSS GROOVE, 17 CM</v>
          </cell>
          <cell r="C171" t="str">
            <v xml:space="preserve">                                   </v>
          </cell>
          <cell r="D171" t="str">
            <v xml:space="preserve">DE        </v>
          </cell>
          <cell r="E171">
            <v>90189084</v>
          </cell>
          <cell r="F171">
            <v>2</v>
          </cell>
          <cell r="G171" t="str">
            <v xml:space="preserve">ST          </v>
          </cell>
          <cell r="H171">
            <v>59.8</v>
          </cell>
          <cell r="I171">
            <v>119.6</v>
          </cell>
        </row>
        <row r="172">
          <cell r="A172" t="str">
            <v>23-215-19-07</v>
          </cell>
          <cell r="B172" t="str">
            <v xml:space="preserve">MALLET, COTTLE, 300 GR., 19 CM          </v>
          </cell>
          <cell r="C172" t="str">
            <v xml:space="preserve">                                   </v>
          </cell>
          <cell r="D172" t="str">
            <v xml:space="preserve">DE        </v>
          </cell>
          <cell r="E172">
            <v>90189084</v>
          </cell>
          <cell r="F172">
            <v>1</v>
          </cell>
          <cell r="G172" t="str">
            <v xml:space="preserve">ST          </v>
          </cell>
          <cell r="H172">
            <v>123.5</v>
          </cell>
          <cell r="I172">
            <v>123.5</v>
          </cell>
        </row>
        <row r="173">
          <cell r="A173" t="str">
            <v>20-642-16-07</v>
          </cell>
          <cell r="B173" t="str">
            <v xml:space="preserve">TC-NEEDLEHOLDER, MAYO-HEGAR, 16 CM      </v>
          </cell>
          <cell r="C173" t="str">
            <v xml:space="preserve">                                   </v>
          </cell>
          <cell r="D173" t="str">
            <v xml:space="preserve">MY        </v>
          </cell>
          <cell r="E173">
            <v>90189084</v>
          </cell>
          <cell r="F173">
            <v>1</v>
          </cell>
          <cell r="G173" t="str">
            <v xml:space="preserve">ST          </v>
          </cell>
          <cell r="H173">
            <v>86.7</v>
          </cell>
          <cell r="I173">
            <v>86.7</v>
          </cell>
        </row>
        <row r="174">
          <cell r="A174" t="str">
            <v>20-642-18-07</v>
          </cell>
          <cell r="B174" t="str">
            <v xml:space="preserve">TC-NEEDLEHOLDER, MAYO-HEGAR, 18.5 CM    </v>
          </cell>
          <cell r="C174" t="str">
            <v xml:space="preserve">                                   </v>
          </cell>
          <cell r="D174" t="str">
            <v xml:space="preserve">MY        </v>
          </cell>
          <cell r="E174">
            <v>90189084</v>
          </cell>
          <cell r="F174">
            <v>1</v>
          </cell>
          <cell r="G174" t="str">
            <v xml:space="preserve">ST          </v>
          </cell>
          <cell r="H174">
            <v>83.5</v>
          </cell>
          <cell r="I174">
            <v>83.5</v>
          </cell>
        </row>
        <row r="175">
          <cell r="A175" t="str">
            <v>20-604-13-07</v>
          </cell>
          <cell r="B175" t="str">
            <v xml:space="preserve">TC-NEEDLEHOLDER, WEBSTER, 13 CM         </v>
          </cell>
          <cell r="C175" t="str">
            <v xml:space="preserve">                                   </v>
          </cell>
          <cell r="D175" t="str">
            <v xml:space="preserve">DE        </v>
          </cell>
          <cell r="E175">
            <v>90189084</v>
          </cell>
          <cell r="F175">
            <v>1</v>
          </cell>
          <cell r="G175" t="str">
            <v xml:space="preserve">ST          </v>
          </cell>
          <cell r="H175">
            <v>143</v>
          </cell>
          <cell r="I175">
            <v>143</v>
          </cell>
        </row>
        <row r="176">
          <cell r="A176" t="str">
            <v>20-604-15-07</v>
          </cell>
          <cell r="B176" t="str">
            <v xml:space="preserve">TC-NEEDLEHOLDER, CRILE-WOOD, 15 CM      </v>
          </cell>
          <cell r="C176" t="str">
            <v xml:space="preserve">                                   </v>
          </cell>
          <cell r="D176" t="str">
            <v xml:space="preserve">DE        </v>
          </cell>
          <cell r="E176">
            <v>90189084</v>
          </cell>
          <cell r="F176">
            <v>1</v>
          </cell>
          <cell r="G176" t="str">
            <v xml:space="preserve">ST          </v>
          </cell>
          <cell r="H176">
            <v>160.5</v>
          </cell>
          <cell r="I176">
            <v>160.5</v>
          </cell>
        </row>
        <row r="177">
          <cell r="A177" t="str">
            <v>23-539-06-07</v>
          </cell>
          <cell r="B177" t="str">
            <v xml:space="preserve">BONE LEVER, MINI-HOHMANN, 6 MM, 16 CM   </v>
          </cell>
          <cell r="C177" t="str">
            <v xml:space="preserve">                                   </v>
          </cell>
          <cell r="D177" t="str">
            <v xml:space="preserve">DE        </v>
          </cell>
          <cell r="E177">
            <v>90189084</v>
          </cell>
          <cell r="F177">
            <v>1</v>
          </cell>
          <cell r="G177" t="str">
            <v xml:space="preserve">ST          </v>
          </cell>
          <cell r="H177">
            <v>51.5</v>
          </cell>
          <cell r="I177">
            <v>51.5</v>
          </cell>
        </row>
        <row r="178">
          <cell r="A178" t="str">
            <v>23-539-08-07</v>
          </cell>
          <cell r="B178" t="str">
            <v xml:space="preserve">BONE LEVER, MINI-HOHMANN, 8 MM, 16 CM   </v>
          </cell>
          <cell r="C178" t="str">
            <v xml:space="preserve">                                   </v>
          </cell>
          <cell r="D178" t="str">
            <v xml:space="preserve">DE        </v>
          </cell>
          <cell r="E178">
            <v>90189084</v>
          </cell>
          <cell r="F178">
            <v>1</v>
          </cell>
          <cell r="G178" t="str">
            <v xml:space="preserve">ST          </v>
          </cell>
          <cell r="H178">
            <v>51.5</v>
          </cell>
          <cell r="I178">
            <v>51.5</v>
          </cell>
        </row>
        <row r="179">
          <cell r="A179" t="str">
            <v>15-687-00-07</v>
          </cell>
          <cell r="B179" t="str">
            <v xml:space="preserve">RETRACTOR, PARKER-LANG., SET, 21.5 CM   </v>
          </cell>
          <cell r="C179" t="str">
            <v xml:space="preserve">                                   </v>
          </cell>
          <cell r="D179" t="str">
            <v xml:space="preserve">DE        </v>
          </cell>
          <cell r="E179">
            <v>90189084</v>
          </cell>
          <cell r="F179">
            <v>2</v>
          </cell>
          <cell r="G179" t="str">
            <v xml:space="preserve">ST          </v>
          </cell>
          <cell r="H179">
            <v>37.9</v>
          </cell>
          <cell r="I179">
            <v>75.8</v>
          </cell>
        </row>
        <row r="180">
          <cell r="A180" t="str">
            <v>15-717-10-07</v>
          </cell>
          <cell r="B180" t="str">
            <v xml:space="preserve">WOUNDSPREADER, BLUNT, 4X4 T., 10 CM     </v>
          </cell>
          <cell r="C180" t="str">
            <v xml:space="preserve">                                   </v>
          </cell>
          <cell r="D180" t="str">
            <v xml:space="preserve">MY        </v>
          </cell>
          <cell r="E180">
            <v>90189084</v>
          </cell>
          <cell r="F180">
            <v>2</v>
          </cell>
          <cell r="G180" t="str">
            <v xml:space="preserve">ST          </v>
          </cell>
          <cell r="H180">
            <v>83.7</v>
          </cell>
          <cell r="I180">
            <v>167.4</v>
          </cell>
        </row>
        <row r="181">
          <cell r="A181" t="str">
            <v>15-164-14-07</v>
          </cell>
          <cell r="B181" t="str">
            <v xml:space="preserve">HOOKLET, DOUBLE, RAGNELL-DAVIS, 15 CM   </v>
          </cell>
          <cell r="C181" t="str">
            <v xml:space="preserve">                                   </v>
          </cell>
          <cell r="D181" t="str">
            <v xml:space="preserve">DE        </v>
          </cell>
          <cell r="E181">
            <v>90189084</v>
          </cell>
          <cell r="F181">
            <v>2</v>
          </cell>
          <cell r="G181" t="str">
            <v xml:space="preserve">ST          </v>
          </cell>
          <cell r="H181">
            <v>35.1</v>
          </cell>
          <cell r="I181">
            <v>70.2</v>
          </cell>
        </row>
        <row r="182">
          <cell r="A182" t="str">
            <v>15-166-16-07</v>
          </cell>
          <cell r="B182" t="str">
            <v xml:space="preserve">HOOKLET, SENN-MUELLER, SHARP, 16 CM     </v>
          </cell>
          <cell r="C182" t="str">
            <v xml:space="preserve">                                   </v>
          </cell>
          <cell r="D182" t="str">
            <v xml:space="preserve">DE        </v>
          </cell>
          <cell r="E182">
            <v>90189084</v>
          </cell>
          <cell r="F182">
            <v>2</v>
          </cell>
          <cell r="G182" t="str">
            <v xml:space="preserve">ST          </v>
          </cell>
          <cell r="H182">
            <v>24.8</v>
          </cell>
          <cell r="I182">
            <v>49.6</v>
          </cell>
        </row>
        <row r="183">
          <cell r="A183" t="str">
            <v>15-167-16-07</v>
          </cell>
          <cell r="B183" t="str">
            <v xml:space="preserve">HOOKLET, SENN-MUELLER, BLUNT, 16 CM     </v>
          </cell>
          <cell r="C183" t="str">
            <v xml:space="preserve">                                   </v>
          </cell>
          <cell r="D183" t="str">
            <v xml:space="preserve">DE        </v>
          </cell>
          <cell r="E183">
            <v>90189084</v>
          </cell>
          <cell r="F183">
            <v>2</v>
          </cell>
          <cell r="G183" t="str">
            <v xml:space="preserve">ST          </v>
          </cell>
          <cell r="H183">
            <v>24.8</v>
          </cell>
          <cell r="I183">
            <v>49.6</v>
          </cell>
        </row>
        <row r="184">
          <cell r="A184" t="str">
            <v>12-402-12-07</v>
          </cell>
          <cell r="B184" t="str">
            <v xml:space="preserve">FORCEPS, MINI-ADSON, 1X2 T., 12 CM      </v>
          </cell>
          <cell r="C184" t="str">
            <v xml:space="preserve">                                   </v>
          </cell>
          <cell r="D184" t="str">
            <v xml:space="preserve">MY        </v>
          </cell>
          <cell r="E184">
            <v>90189084</v>
          </cell>
          <cell r="F184">
            <v>2</v>
          </cell>
          <cell r="G184" t="str">
            <v xml:space="preserve">ST          </v>
          </cell>
          <cell r="H184">
            <v>19.899999999999999</v>
          </cell>
          <cell r="I184">
            <v>39.799999999999997</v>
          </cell>
        </row>
        <row r="185">
          <cell r="A185" t="str">
            <v>12-406-12-07</v>
          </cell>
          <cell r="B185" t="str">
            <v xml:space="preserve">FORCEPS, MICRO-ADSON, 1X2 T., 12 CM     </v>
          </cell>
          <cell r="C185" t="str">
            <v xml:space="preserve">                                   </v>
          </cell>
          <cell r="D185" t="str">
            <v xml:space="preserve">MY        </v>
          </cell>
          <cell r="E185">
            <v>90189084</v>
          </cell>
          <cell r="F185">
            <v>2</v>
          </cell>
          <cell r="G185" t="str">
            <v xml:space="preserve">ST          </v>
          </cell>
          <cell r="H185">
            <v>21</v>
          </cell>
          <cell r="I185">
            <v>42</v>
          </cell>
        </row>
        <row r="186">
          <cell r="A186" t="str">
            <v>99-999-99-99</v>
          </cell>
          <cell r="B186" t="str">
            <v xml:space="preserve">NO BID                                  </v>
          </cell>
          <cell r="C186" t="str">
            <v xml:space="preserve">                                   </v>
          </cell>
          <cell r="D186" t="str">
            <v xml:space="preserve">DE        </v>
          </cell>
          <cell r="E186">
            <v>90189084</v>
          </cell>
          <cell r="F186">
            <v>1</v>
          </cell>
          <cell r="G186" t="str">
            <v xml:space="preserve">ST          </v>
          </cell>
          <cell r="H186" t="str">
            <v xml:space="preserve">               </v>
          </cell>
          <cell r="I186" t="str">
            <v xml:space="preserve">               </v>
          </cell>
        </row>
        <row r="187">
          <cell r="A187" t="str">
            <v>22-523-16-07</v>
          </cell>
          <cell r="B187" t="str">
            <v xml:space="preserve">TC-SIDE NIPPER, W. TRANSM., 17.5 CM     </v>
          </cell>
          <cell r="C187" t="str">
            <v xml:space="preserve">                                   </v>
          </cell>
          <cell r="D187" t="str">
            <v xml:space="preserve">DE        </v>
          </cell>
          <cell r="E187">
            <v>90189084</v>
          </cell>
          <cell r="F187">
            <v>1</v>
          </cell>
          <cell r="G187" t="str">
            <v xml:space="preserve">ST          </v>
          </cell>
          <cell r="H187">
            <v>387.5</v>
          </cell>
          <cell r="I187">
            <v>387.5</v>
          </cell>
        </row>
        <row r="188">
          <cell r="A188" t="str">
            <v>15-056-01-07</v>
          </cell>
          <cell r="B188" t="str">
            <v xml:space="preserve">Hooklet, Barsky, 1-t., 15 cm            </v>
          </cell>
          <cell r="C188" t="str">
            <v xml:space="preserve">                                   </v>
          </cell>
          <cell r="D188" t="str">
            <v xml:space="preserve">DE        </v>
          </cell>
          <cell r="E188">
            <v>90189084</v>
          </cell>
          <cell r="F188">
            <v>2</v>
          </cell>
          <cell r="G188" t="str">
            <v xml:space="preserve">ST          </v>
          </cell>
          <cell r="H188">
            <v>16</v>
          </cell>
          <cell r="I188">
            <v>32</v>
          </cell>
        </row>
        <row r="189">
          <cell r="A189" t="str">
            <v>23-358-00-07</v>
          </cell>
          <cell r="B189" t="str">
            <v xml:space="preserve">BONE CURETTE, WILLIGER, 00/0, 14 CM     </v>
          </cell>
          <cell r="C189" t="str">
            <v xml:space="preserve">                                   </v>
          </cell>
          <cell r="D189" t="str">
            <v xml:space="preserve">DE        </v>
          </cell>
          <cell r="E189">
            <v>90189084</v>
          </cell>
          <cell r="F189">
            <v>1</v>
          </cell>
          <cell r="G189" t="str">
            <v xml:space="preserve">ST          </v>
          </cell>
          <cell r="H189">
            <v>27.4</v>
          </cell>
          <cell r="I189">
            <v>27.4</v>
          </cell>
        </row>
        <row r="190">
          <cell r="A190" t="str">
            <v>37-545-18-07</v>
          </cell>
          <cell r="B190" t="str">
            <v xml:space="preserve">ELEVATOR, FREER, SH/BL, W/O PIN, 18 CM  </v>
          </cell>
          <cell r="C190" t="str">
            <v xml:space="preserve">                                   </v>
          </cell>
          <cell r="D190" t="str">
            <v xml:space="preserve">DE        </v>
          </cell>
          <cell r="E190">
            <v>90189084</v>
          </cell>
          <cell r="F190">
            <v>2</v>
          </cell>
          <cell r="G190" t="str">
            <v xml:space="preserve">ST          </v>
          </cell>
          <cell r="H190">
            <v>36.200000000000003</v>
          </cell>
          <cell r="I190">
            <v>72.400000000000006</v>
          </cell>
        </row>
        <row r="191">
          <cell r="A191" t="str">
            <v>23-423-07-07</v>
          </cell>
          <cell r="B191" t="str">
            <v xml:space="preserve">Raspatory, Key, 16 mm, 20 cm            </v>
          </cell>
          <cell r="C191" t="str">
            <v xml:space="preserve">                                   </v>
          </cell>
          <cell r="D191" t="str">
            <v xml:space="preserve">DE        </v>
          </cell>
          <cell r="E191">
            <v>90189084</v>
          </cell>
          <cell r="F191">
            <v>1</v>
          </cell>
          <cell r="G191" t="str">
            <v xml:space="preserve">ST          </v>
          </cell>
          <cell r="H191">
            <v>55</v>
          </cell>
          <cell r="I191">
            <v>55</v>
          </cell>
        </row>
        <row r="192">
          <cell r="A192" t="str">
            <v>15-748-10-07</v>
          </cell>
          <cell r="B192" t="str">
            <v>WOUNDSPREADER, SEMI SHARP, 2X3 T., 11 CM</v>
          </cell>
          <cell r="C192" t="str">
            <v xml:space="preserve">                                   </v>
          </cell>
          <cell r="D192" t="str">
            <v xml:space="preserve">MY        </v>
          </cell>
          <cell r="E192">
            <v>90189084</v>
          </cell>
          <cell r="F192">
            <v>1</v>
          </cell>
          <cell r="G192" t="str">
            <v xml:space="preserve">ST          </v>
          </cell>
          <cell r="H192">
            <v>118.5</v>
          </cell>
          <cell r="I192">
            <v>118.5</v>
          </cell>
        </row>
        <row r="193">
          <cell r="A193" t="str">
            <v>15-749-10-07</v>
          </cell>
          <cell r="B193" t="str">
            <v xml:space="preserve">WOUNDSPREADER, BLUNT, 2X3 T., 11 CM     </v>
          </cell>
          <cell r="C193" t="str">
            <v xml:space="preserve">                                   </v>
          </cell>
          <cell r="D193" t="str">
            <v xml:space="preserve">MY        </v>
          </cell>
          <cell r="E193">
            <v>90189084</v>
          </cell>
          <cell r="F193">
            <v>1</v>
          </cell>
          <cell r="G193" t="str">
            <v xml:space="preserve">ST          </v>
          </cell>
          <cell r="H193">
            <v>108.5</v>
          </cell>
          <cell r="I193">
            <v>108.5</v>
          </cell>
        </row>
        <row r="194">
          <cell r="A194" t="str">
            <v>15-751-13-07</v>
          </cell>
          <cell r="B194" t="str">
            <v xml:space="preserve">WOUNDSPREADER, BLUNT, 3X4 T., 13.5 CM   </v>
          </cell>
          <cell r="C194" t="str">
            <v xml:space="preserve">                                   </v>
          </cell>
          <cell r="D194" t="str">
            <v xml:space="preserve">MY        </v>
          </cell>
          <cell r="E194">
            <v>90189084</v>
          </cell>
          <cell r="F194">
            <v>1</v>
          </cell>
          <cell r="G194" t="str">
            <v xml:space="preserve">ST          </v>
          </cell>
          <cell r="H194">
            <v>113</v>
          </cell>
          <cell r="I194">
            <v>113</v>
          </cell>
        </row>
        <row r="195">
          <cell r="A195" t="str">
            <v>23-836-30-07</v>
          </cell>
          <cell r="B195" t="str">
            <v>RONGEUR, MICRO-FRIEDMAN, CVD. 30°,15.5CM</v>
          </cell>
          <cell r="C195" t="str">
            <v xml:space="preserve">                                   </v>
          </cell>
          <cell r="D195" t="str">
            <v xml:space="preserve">MY        </v>
          </cell>
          <cell r="E195">
            <v>90184990</v>
          </cell>
          <cell r="F195">
            <v>1</v>
          </cell>
          <cell r="G195" t="str">
            <v xml:space="preserve">ST          </v>
          </cell>
          <cell r="H195">
            <v>317</v>
          </cell>
          <cell r="I195">
            <v>317</v>
          </cell>
        </row>
        <row r="196">
          <cell r="A196" t="str">
            <v>23-876-15-07</v>
          </cell>
          <cell r="B196" t="str">
            <v xml:space="preserve">BONE RONGEUR, BOEHLER, STR., 15 CM      </v>
          </cell>
          <cell r="C196" t="str">
            <v xml:space="preserve">                                   </v>
          </cell>
          <cell r="D196" t="str">
            <v xml:space="preserve">MY        </v>
          </cell>
          <cell r="E196">
            <v>90189084</v>
          </cell>
          <cell r="F196">
            <v>1</v>
          </cell>
          <cell r="G196" t="str">
            <v xml:space="preserve">ST          </v>
          </cell>
          <cell r="H196">
            <v>320</v>
          </cell>
          <cell r="I196">
            <v>320</v>
          </cell>
        </row>
        <row r="197">
          <cell r="A197" t="str">
            <v>23-877-15-07</v>
          </cell>
          <cell r="B197" t="str">
            <v xml:space="preserve">BONE RONGEUR, BOEHLER, CVD., 15 CM      </v>
          </cell>
          <cell r="C197" t="str">
            <v xml:space="preserve">                                   </v>
          </cell>
          <cell r="D197" t="str">
            <v xml:space="preserve">MY        </v>
          </cell>
          <cell r="E197">
            <v>90189084</v>
          </cell>
          <cell r="F197">
            <v>1</v>
          </cell>
          <cell r="G197" t="str">
            <v xml:space="preserve">ST          </v>
          </cell>
          <cell r="H197">
            <v>320</v>
          </cell>
          <cell r="I197">
            <v>320</v>
          </cell>
        </row>
        <row r="198">
          <cell r="A198" t="str">
            <v>11-650-14-07</v>
          </cell>
          <cell r="B198" t="str">
            <v>SC Scissors, chir., sh/bl, str., 14.5 cm</v>
          </cell>
          <cell r="C198" t="str">
            <v xml:space="preserve">                                   </v>
          </cell>
          <cell r="D198" t="str">
            <v xml:space="preserve">DE        </v>
          </cell>
          <cell r="E198">
            <v>90189084</v>
          </cell>
          <cell r="F198">
            <v>2</v>
          </cell>
          <cell r="G198" t="str">
            <v xml:space="preserve">ST          </v>
          </cell>
          <cell r="H198">
            <v>38.5</v>
          </cell>
          <cell r="I198">
            <v>77</v>
          </cell>
        </row>
        <row r="199">
          <cell r="A199" t="str">
            <v>11-659-11-07</v>
          </cell>
          <cell r="B199" t="str">
            <v>SC-Dissect.Scissors,Metzenb.cvd. 11,5 cm</v>
          </cell>
          <cell r="C199" t="str">
            <v xml:space="preserve">                                   </v>
          </cell>
          <cell r="D199" t="str">
            <v xml:space="preserve">DE        </v>
          </cell>
          <cell r="E199">
            <v>90189084</v>
          </cell>
          <cell r="F199">
            <v>2</v>
          </cell>
          <cell r="G199" t="str">
            <v xml:space="preserve">ST          </v>
          </cell>
          <cell r="H199">
            <v>38.6</v>
          </cell>
          <cell r="I199">
            <v>77.2</v>
          </cell>
        </row>
        <row r="200">
          <cell r="A200" t="str">
            <v>11-691-11-07</v>
          </cell>
          <cell r="B200" t="str">
            <v xml:space="preserve">STRABISMUS SCISS., BL/BL, CVD., 11.5 CM </v>
          </cell>
          <cell r="C200" t="str">
            <v xml:space="preserve">                                   </v>
          </cell>
          <cell r="D200" t="str">
            <v xml:space="preserve">DE        </v>
          </cell>
          <cell r="E200">
            <v>90189084</v>
          </cell>
          <cell r="F200">
            <v>1</v>
          </cell>
          <cell r="G200" t="str">
            <v xml:space="preserve">ST          </v>
          </cell>
          <cell r="H200">
            <v>85.9</v>
          </cell>
          <cell r="I200">
            <v>85.9</v>
          </cell>
        </row>
        <row r="201">
          <cell r="A201" t="str">
            <v>11-508-12-07</v>
          </cell>
          <cell r="B201" t="str">
            <v xml:space="preserve">Scissor, Faden, Littler, 12 cm          </v>
          </cell>
          <cell r="C201" t="str">
            <v xml:space="preserve">                                   </v>
          </cell>
          <cell r="D201" t="str">
            <v xml:space="preserve">DE        </v>
          </cell>
          <cell r="E201">
            <v>90189084</v>
          </cell>
          <cell r="F201">
            <v>1</v>
          </cell>
          <cell r="G201" t="str">
            <v xml:space="preserve">ST          </v>
          </cell>
          <cell r="H201">
            <v>72.7</v>
          </cell>
          <cell r="I201">
            <v>72.7</v>
          </cell>
        </row>
        <row r="202">
          <cell r="A202" t="str">
            <v>11-665-14-07</v>
          </cell>
          <cell r="B202" t="str">
            <v xml:space="preserve">SC-Diss.Scissors, Metz.fine,cvd,14,5 cm </v>
          </cell>
          <cell r="C202" t="str">
            <v xml:space="preserve">                                   </v>
          </cell>
          <cell r="D202" t="str">
            <v xml:space="preserve">DE        </v>
          </cell>
          <cell r="E202">
            <v>90189084</v>
          </cell>
          <cell r="F202">
            <v>1</v>
          </cell>
          <cell r="G202" t="str">
            <v xml:space="preserve">ST          </v>
          </cell>
          <cell r="H202">
            <v>40.6</v>
          </cell>
          <cell r="I202">
            <v>40.6</v>
          </cell>
        </row>
        <row r="203">
          <cell r="A203" t="str">
            <v>11-673-11-07</v>
          </cell>
          <cell r="B203" t="str">
            <v xml:space="preserve">SC-Iris Scissors, sh/sh, cvd., 11,5 cm  </v>
          </cell>
          <cell r="C203" t="str">
            <v xml:space="preserve">                                   </v>
          </cell>
          <cell r="D203" t="str">
            <v xml:space="preserve">DE        </v>
          </cell>
          <cell r="E203">
            <v>90189084</v>
          </cell>
          <cell r="F203">
            <v>1</v>
          </cell>
          <cell r="G203" t="str">
            <v xml:space="preserve">ST          </v>
          </cell>
          <cell r="H203">
            <v>38.6</v>
          </cell>
          <cell r="I203">
            <v>38.6</v>
          </cell>
        </row>
        <row r="204">
          <cell r="A204" t="str">
            <v>11-666-14-07</v>
          </cell>
          <cell r="B204" t="str">
            <v>SC-Scissors, Joseph, sh/sh, str., 14,5cm</v>
          </cell>
          <cell r="C204" t="str">
            <v xml:space="preserve">                                   </v>
          </cell>
          <cell r="D204" t="str">
            <v xml:space="preserve">DE        </v>
          </cell>
          <cell r="E204">
            <v>90189084</v>
          </cell>
          <cell r="F204">
            <v>1</v>
          </cell>
          <cell r="G204" t="str">
            <v>ST</v>
          </cell>
          <cell r="H204">
            <v>40.6</v>
          </cell>
          <cell r="I204">
            <v>40.6</v>
          </cell>
        </row>
        <row r="205">
          <cell r="A205" t="str">
            <v>21-209-18-01</v>
          </cell>
          <cell r="B205" t="str">
            <v xml:space="preserve">BANDAGE SCISSORS, UNIVERSAL, 19 CM      </v>
          </cell>
          <cell r="C205" t="str">
            <v xml:space="preserve">                                   </v>
          </cell>
          <cell r="D205" t="str">
            <v xml:space="preserve">DE        </v>
          </cell>
          <cell r="E205">
            <v>90189084</v>
          </cell>
          <cell r="F205">
            <v>1</v>
          </cell>
          <cell r="G205" t="str">
            <v xml:space="preserve">ST          </v>
          </cell>
          <cell r="H205">
            <v>6.29</v>
          </cell>
          <cell r="I205">
            <v>6.29</v>
          </cell>
        </row>
        <row r="206">
          <cell r="A206" t="str">
            <v>55-804-56-01</v>
          </cell>
          <cell r="B206" t="str">
            <v xml:space="preserve">marTray, 1/1, 532x251x64 mm             </v>
          </cell>
          <cell r="C206" t="str">
            <v xml:space="preserve">                                   </v>
          </cell>
          <cell r="D206" t="str">
            <v xml:space="preserve">DE        </v>
          </cell>
          <cell r="E206">
            <v>73269098</v>
          </cell>
          <cell r="F206">
            <v>1</v>
          </cell>
          <cell r="G206" t="str">
            <v xml:space="preserve">ST          </v>
          </cell>
          <cell r="H206">
            <v>136.5</v>
          </cell>
          <cell r="I206">
            <v>136.5</v>
          </cell>
        </row>
        <row r="207">
          <cell r="A207" t="str">
            <v>50-501-40-07</v>
          </cell>
          <cell r="B207" t="str">
            <v xml:space="preserve">DEPTH GAUGE                             </v>
          </cell>
          <cell r="C207" t="str">
            <v xml:space="preserve">                                   </v>
          </cell>
          <cell r="D207" t="str">
            <v xml:space="preserve">DE        </v>
          </cell>
          <cell r="E207">
            <v>90189084</v>
          </cell>
          <cell r="F207">
            <v>1</v>
          </cell>
          <cell r="G207" t="str">
            <v xml:space="preserve">ST          </v>
          </cell>
          <cell r="H207">
            <v>213.5</v>
          </cell>
          <cell r="I207">
            <v>213.5</v>
          </cell>
        </row>
        <row r="208">
          <cell r="A208" t="str">
            <v>22-523-16-07</v>
          </cell>
          <cell r="B208" t="str">
            <v xml:space="preserve">TC-SIDE NIPPER, W. TRANSM., 17.5 CM     </v>
          </cell>
          <cell r="C208" t="str">
            <v xml:space="preserve">                                   </v>
          </cell>
          <cell r="D208" t="str">
            <v xml:space="preserve">DE        </v>
          </cell>
          <cell r="E208">
            <v>90189084</v>
          </cell>
          <cell r="F208">
            <v>1</v>
          </cell>
          <cell r="G208" t="str">
            <v xml:space="preserve">ST          </v>
          </cell>
          <cell r="H208">
            <v>387.5</v>
          </cell>
          <cell r="I208">
            <v>387.5</v>
          </cell>
        </row>
        <row r="209">
          <cell r="A209" t="str">
            <v>23-720-14-07</v>
          </cell>
          <cell r="B209" t="str">
            <v xml:space="preserve">PHALANGEAL FORCEPS, GRACILE, 14 CM      </v>
          </cell>
          <cell r="C209" t="str">
            <v xml:space="preserve">                                   </v>
          </cell>
          <cell r="D209" t="str">
            <v xml:space="preserve">DE        </v>
          </cell>
          <cell r="E209">
            <v>90189084</v>
          </cell>
          <cell r="F209">
            <v>2</v>
          </cell>
          <cell r="G209" t="str">
            <v xml:space="preserve">ST          </v>
          </cell>
          <cell r="H209">
            <v>290</v>
          </cell>
          <cell r="I209">
            <v>580</v>
          </cell>
        </row>
        <row r="210">
          <cell r="A210" t="str">
            <v>18-523-08-01</v>
          </cell>
          <cell r="B210" t="str">
            <v>Suction tube, Frazier, ø 2.7 mm, 19.5 cm</v>
          </cell>
          <cell r="C210" t="str">
            <v xml:space="preserve">                                   </v>
          </cell>
          <cell r="D210" t="str">
            <v xml:space="preserve">MY        </v>
          </cell>
          <cell r="E210">
            <v>90183900</v>
          </cell>
          <cell r="F210">
            <v>1</v>
          </cell>
          <cell r="G210" t="str">
            <v xml:space="preserve">ST          </v>
          </cell>
          <cell r="H210">
            <v>21.7</v>
          </cell>
          <cell r="I210">
            <v>21.7</v>
          </cell>
        </row>
        <row r="211">
          <cell r="A211" t="str">
            <v>23-138-04-07</v>
          </cell>
          <cell r="B211" t="str">
            <v xml:space="preserve">Osteotome, Lambotte, 4 mm, 24 cm        </v>
          </cell>
          <cell r="C211" t="str">
            <v xml:space="preserve">                                   </v>
          </cell>
          <cell r="D211" t="str">
            <v xml:space="preserve">DE        </v>
          </cell>
          <cell r="E211">
            <v>90189084</v>
          </cell>
          <cell r="F211">
            <v>1</v>
          </cell>
          <cell r="G211" t="str">
            <v xml:space="preserve">ST          </v>
          </cell>
          <cell r="H211">
            <v>61.8</v>
          </cell>
          <cell r="I211">
            <v>61.8</v>
          </cell>
        </row>
        <row r="212">
          <cell r="A212" t="str">
            <v>23-138-06-07</v>
          </cell>
          <cell r="B212" t="str">
            <v xml:space="preserve">Osteotome, Lambotte, 6 mm, 24 cm        </v>
          </cell>
          <cell r="C212" t="str">
            <v xml:space="preserve">                                   </v>
          </cell>
          <cell r="D212" t="str">
            <v xml:space="preserve">DE        </v>
          </cell>
          <cell r="E212">
            <v>90189084</v>
          </cell>
          <cell r="F212">
            <v>1</v>
          </cell>
          <cell r="G212" t="str">
            <v xml:space="preserve">ST          </v>
          </cell>
          <cell r="H212">
            <v>61.8</v>
          </cell>
          <cell r="I212">
            <v>61.8</v>
          </cell>
        </row>
        <row r="213">
          <cell r="A213" t="str">
            <v>23-138-08-07</v>
          </cell>
          <cell r="B213" t="str">
            <v xml:space="preserve">Osteotome, Lambotte, 8 mm, 24 cm        </v>
          </cell>
          <cell r="C213" t="str">
            <v xml:space="preserve">                                   </v>
          </cell>
          <cell r="D213" t="str">
            <v xml:space="preserve">DE        </v>
          </cell>
          <cell r="E213">
            <v>90189084</v>
          </cell>
          <cell r="F213">
            <v>1</v>
          </cell>
          <cell r="G213" t="str">
            <v xml:space="preserve">ST          </v>
          </cell>
          <cell r="H213">
            <v>60</v>
          </cell>
          <cell r="I213">
            <v>60</v>
          </cell>
        </row>
        <row r="214">
          <cell r="A214" t="str">
            <v>23-138-10-07</v>
          </cell>
          <cell r="B214" t="str">
            <v xml:space="preserve">Osteotome, Lambotte, 10 mm, 24 cm       </v>
          </cell>
          <cell r="C214" t="str">
            <v xml:space="preserve">                                   </v>
          </cell>
          <cell r="D214" t="str">
            <v xml:space="preserve">DE        </v>
          </cell>
          <cell r="E214">
            <v>90189084</v>
          </cell>
          <cell r="F214">
            <v>1</v>
          </cell>
          <cell r="G214" t="str">
            <v xml:space="preserve">ST          </v>
          </cell>
          <cell r="H214">
            <v>60</v>
          </cell>
          <cell r="I214">
            <v>60</v>
          </cell>
        </row>
        <row r="215">
          <cell r="A215" t="str">
            <v>11-865-12-07</v>
          </cell>
          <cell r="B215" t="str">
            <v xml:space="preserve">WIRE SCISSORS, UNIVERSAL, ANGLED, 12 CM </v>
          </cell>
          <cell r="C215" t="str">
            <v xml:space="preserve">                                   </v>
          </cell>
          <cell r="D215" t="str">
            <v xml:space="preserve">DE        </v>
          </cell>
          <cell r="E215">
            <v>90189084</v>
          </cell>
          <cell r="F215">
            <v>1</v>
          </cell>
          <cell r="G215" t="str">
            <v xml:space="preserve">ST          </v>
          </cell>
          <cell r="H215">
            <v>41.3</v>
          </cell>
          <cell r="I215">
            <v>41.3</v>
          </cell>
        </row>
        <row r="216">
          <cell r="A216" t="str">
            <v>22-500-20-07</v>
          </cell>
          <cell r="B216" t="str">
            <v xml:space="preserve">TC-WIRE TWISTING FORCEPS, FINE, 20 CM   </v>
          </cell>
          <cell r="C216" t="str">
            <v xml:space="preserve">                                   </v>
          </cell>
          <cell r="D216" t="str">
            <v xml:space="preserve">DE        </v>
          </cell>
          <cell r="E216">
            <v>90189084</v>
          </cell>
          <cell r="F216">
            <v>2</v>
          </cell>
          <cell r="G216" t="str">
            <v xml:space="preserve">ST          </v>
          </cell>
          <cell r="H216">
            <v>94.9</v>
          </cell>
          <cell r="I216">
            <v>189.8</v>
          </cell>
        </row>
        <row r="217">
          <cell r="A217" t="str">
            <v>24-823-20-07</v>
          </cell>
          <cell r="B217" t="str">
            <v xml:space="preserve">Hook, Adson, blunt, angled, 20 cm       </v>
          </cell>
          <cell r="C217" t="str">
            <v xml:space="preserve">                                   </v>
          </cell>
          <cell r="D217" t="str">
            <v xml:space="preserve">DE        </v>
          </cell>
          <cell r="E217">
            <v>90189084</v>
          </cell>
          <cell r="F217">
            <v>2</v>
          </cell>
          <cell r="G217" t="str">
            <v xml:space="preserve">ST          </v>
          </cell>
          <cell r="H217">
            <v>39</v>
          </cell>
          <cell r="I217">
            <v>78</v>
          </cell>
        </row>
        <row r="218">
          <cell r="A218" t="str">
            <v>23-679-11-07</v>
          </cell>
          <cell r="B218" t="str">
            <v xml:space="preserve">TENDON SEIZING FORCEPS, CVD., 11.5 CM   </v>
          </cell>
          <cell r="C218" t="str">
            <v xml:space="preserve">                                   </v>
          </cell>
          <cell r="D218" t="str">
            <v xml:space="preserve">DE        </v>
          </cell>
          <cell r="E218">
            <v>90189084</v>
          </cell>
          <cell r="F218">
            <v>1</v>
          </cell>
          <cell r="G218" t="str">
            <v xml:space="preserve">ST          </v>
          </cell>
          <cell r="H218">
            <v>294.5</v>
          </cell>
          <cell r="I218">
            <v>294.5</v>
          </cell>
        </row>
        <row r="219">
          <cell r="A219" t="str">
            <v>23-676-19-07</v>
          </cell>
          <cell r="B219" t="str">
            <v xml:space="preserve">TENDON PULLING FORCEPS, BRAND, 19 CM    </v>
          </cell>
          <cell r="C219" t="str">
            <v xml:space="preserve">                                   </v>
          </cell>
          <cell r="D219" t="str">
            <v xml:space="preserve">DE        </v>
          </cell>
          <cell r="E219">
            <v>90189084</v>
          </cell>
          <cell r="F219">
            <v>1</v>
          </cell>
          <cell r="G219" t="str">
            <v xml:space="preserve">ST          </v>
          </cell>
          <cell r="H219">
            <v>359</v>
          </cell>
          <cell r="I219">
            <v>359</v>
          </cell>
        </row>
        <row r="220">
          <cell r="A220" t="str">
            <v>56-673-25-01</v>
          </cell>
          <cell r="B220" t="str">
            <v xml:space="preserve">KIDNEY DISH, 250X140X40 MM              </v>
          </cell>
          <cell r="C220" t="str">
            <v xml:space="preserve">                                   </v>
          </cell>
          <cell r="D220" t="str">
            <v xml:space="preserve">SE        </v>
          </cell>
          <cell r="E220">
            <v>73269098</v>
          </cell>
          <cell r="F220">
            <v>2</v>
          </cell>
          <cell r="G220" t="str">
            <v xml:space="preserve">ST          </v>
          </cell>
          <cell r="H220">
            <v>11.9</v>
          </cell>
          <cell r="I220">
            <v>23.8</v>
          </cell>
        </row>
        <row r="221">
          <cell r="A221" t="str">
            <v>56-231-11-01</v>
          </cell>
          <cell r="B221" t="str">
            <v xml:space="preserve">BOWL, METAL, H = 50, Ø 116 MM, 0.25 L   </v>
          </cell>
          <cell r="C221" t="str">
            <v xml:space="preserve">                                   </v>
          </cell>
          <cell r="D221" t="str">
            <v xml:space="preserve">DE        </v>
          </cell>
          <cell r="E221">
            <v>73249000</v>
          </cell>
          <cell r="F221">
            <v>2</v>
          </cell>
          <cell r="G221" t="str">
            <v xml:space="preserve">ST          </v>
          </cell>
          <cell r="H221">
            <v>25.7</v>
          </cell>
          <cell r="I221">
            <v>51.4</v>
          </cell>
        </row>
        <row r="222">
          <cell r="A222" t="str">
            <v>23-662-29-07</v>
          </cell>
          <cell r="B222" t="str">
            <v xml:space="preserve">TENDON STRIPPER, 28.5 CM                </v>
          </cell>
          <cell r="C222" t="str">
            <v xml:space="preserve">                                   </v>
          </cell>
          <cell r="D222" t="str">
            <v xml:space="preserve">DE        </v>
          </cell>
          <cell r="E222">
            <v>90189084</v>
          </cell>
          <cell r="F222">
            <v>1</v>
          </cell>
          <cell r="G222" t="str">
            <v xml:space="preserve">ST          </v>
          </cell>
          <cell r="H222">
            <v>241.5</v>
          </cell>
          <cell r="I222">
            <v>241.5</v>
          </cell>
        </row>
        <row r="223">
          <cell r="A223" t="str">
            <v>48-177-24-07</v>
          </cell>
          <cell r="B223" t="str">
            <v xml:space="preserve">ZYGOMATIC AWL, OBWEGESER, 24 CM         </v>
          </cell>
          <cell r="C223" t="str">
            <v xml:space="preserve">                                   </v>
          </cell>
          <cell r="D223" t="str">
            <v xml:space="preserve">DE        </v>
          </cell>
          <cell r="E223">
            <v>90189084</v>
          </cell>
          <cell r="F223">
            <v>1</v>
          </cell>
          <cell r="G223" t="str">
            <v xml:space="preserve">ST          </v>
          </cell>
          <cell r="H223">
            <v>85.3</v>
          </cell>
          <cell r="I223">
            <v>85.3</v>
          </cell>
        </row>
        <row r="224">
          <cell r="A224" t="str">
            <v>38-715-19-07</v>
          </cell>
          <cell r="B224" t="str">
            <v xml:space="preserve">HOOK, DINGMANN-WILK, SHARP, 20 CM       </v>
          </cell>
          <cell r="C224" t="str">
            <v xml:space="preserve">                                   </v>
          </cell>
          <cell r="D224" t="str">
            <v xml:space="preserve">DE        </v>
          </cell>
          <cell r="E224">
            <v>90189084</v>
          </cell>
          <cell r="F224">
            <v>1</v>
          </cell>
          <cell r="G224" t="str">
            <v xml:space="preserve">ST          </v>
          </cell>
          <cell r="H224">
            <v>79.599999999999994</v>
          </cell>
          <cell r="I224">
            <v>79.599999999999994</v>
          </cell>
        </row>
        <row r="225">
          <cell r="A225" t="str">
            <v xml:space="preserve">            </v>
          </cell>
          <cell r="B225" t="str">
            <v>General plastic surgical instruments (Bu</v>
          </cell>
          <cell r="C225" t="str">
            <v xml:space="preserve">                                   </v>
          </cell>
          <cell r="D225" t="str">
            <v xml:space="preserve">          </v>
          </cell>
          <cell r="E225" t="str">
            <v xml:space="preserve">                </v>
          </cell>
          <cell r="F225">
            <v>1</v>
          </cell>
          <cell r="G225" t="str">
            <v xml:space="preserve">            </v>
          </cell>
          <cell r="H225" t="str">
            <v xml:space="preserve">               </v>
          </cell>
          <cell r="I225" t="str">
            <v xml:space="preserve">               </v>
          </cell>
        </row>
        <row r="226">
          <cell r="A226" t="str">
            <v xml:space="preserve">            </v>
          </cell>
          <cell r="B226" t="str">
            <v xml:space="preserve">BARD PARKER HANDLE                      </v>
          </cell>
          <cell r="C226" t="str">
            <v xml:space="preserve">                                   </v>
          </cell>
          <cell r="D226" t="str">
            <v xml:space="preserve">          </v>
          </cell>
          <cell r="E226" t="str">
            <v xml:space="preserve">                </v>
          </cell>
          <cell r="F226">
            <v>1</v>
          </cell>
          <cell r="G226" t="str">
            <v xml:space="preserve">            </v>
          </cell>
          <cell r="H226" t="str">
            <v xml:space="preserve">               </v>
          </cell>
          <cell r="I226" t="str">
            <v xml:space="preserve">               </v>
          </cell>
        </row>
        <row r="227">
          <cell r="A227" t="str">
            <v>10-130-03-07</v>
          </cell>
          <cell r="B227" t="str">
            <v xml:space="preserve">SCALPEL HANDLE, NO. 3, 12 CM            </v>
          </cell>
          <cell r="C227" t="str">
            <v xml:space="preserve">                                   </v>
          </cell>
          <cell r="D227" t="str">
            <v xml:space="preserve">DE        </v>
          </cell>
          <cell r="E227">
            <v>90189084</v>
          </cell>
          <cell r="F227">
            <v>1</v>
          </cell>
          <cell r="G227" t="str">
            <v xml:space="preserve">ST          </v>
          </cell>
          <cell r="H227">
            <v>13.1</v>
          </cell>
          <cell r="I227">
            <v>13.1</v>
          </cell>
        </row>
        <row r="228">
          <cell r="A228" t="str">
            <v>10-100-04-07</v>
          </cell>
          <cell r="B228" t="str">
            <v xml:space="preserve">SCALPEL HANDLE, NO. 4, 13.5 CM          </v>
          </cell>
          <cell r="C228" t="str">
            <v xml:space="preserve">                                   </v>
          </cell>
          <cell r="D228" t="str">
            <v xml:space="preserve">DE        </v>
          </cell>
          <cell r="E228">
            <v>90189084</v>
          </cell>
          <cell r="F228">
            <v>1</v>
          </cell>
          <cell r="G228" t="str">
            <v xml:space="preserve">ST          </v>
          </cell>
          <cell r="H228">
            <v>6.81</v>
          </cell>
          <cell r="I228">
            <v>6.81</v>
          </cell>
        </row>
        <row r="229">
          <cell r="A229" t="str">
            <v>10-137-07-07</v>
          </cell>
          <cell r="B229" t="str">
            <v xml:space="preserve">SCALPEL HANDLE, NO. 7, SOLID, 16 CM     </v>
          </cell>
          <cell r="C229" t="str">
            <v xml:space="preserve">                                   </v>
          </cell>
          <cell r="D229" t="str">
            <v xml:space="preserve">DE        </v>
          </cell>
          <cell r="E229">
            <v>90189084</v>
          </cell>
          <cell r="F229">
            <v>1</v>
          </cell>
          <cell r="G229" t="str">
            <v xml:space="preserve">ST          </v>
          </cell>
          <cell r="H229">
            <v>16</v>
          </cell>
          <cell r="I229">
            <v>16</v>
          </cell>
        </row>
        <row r="230">
          <cell r="A230" t="str">
            <v xml:space="preserve">            </v>
          </cell>
          <cell r="B230" t="str">
            <v xml:space="preserve">STRAIGHT DRESSING FORCEPS               </v>
          </cell>
          <cell r="C230" t="str">
            <v xml:space="preserve">                                   </v>
          </cell>
          <cell r="D230" t="str">
            <v xml:space="preserve">          </v>
          </cell>
          <cell r="E230" t="str">
            <v xml:space="preserve">                </v>
          </cell>
          <cell r="F230">
            <v>1</v>
          </cell>
          <cell r="G230" t="str">
            <v xml:space="preserve">            </v>
          </cell>
          <cell r="H230" t="str">
            <v xml:space="preserve">               </v>
          </cell>
          <cell r="I230" t="str">
            <v xml:space="preserve">               </v>
          </cell>
        </row>
        <row r="231">
          <cell r="A231" t="str">
            <v>12-502-10-07</v>
          </cell>
          <cell r="B231" t="str">
            <v xml:space="preserve">DRESSING FORCEPS, FINE, STR., 10 CM     </v>
          </cell>
          <cell r="C231" t="str">
            <v xml:space="preserve">                                   </v>
          </cell>
          <cell r="D231" t="str">
            <v xml:space="preserve">DE        </v>
          </cell>
          <cell r="E231">
            <v>90189084</v>
          </cell>
          <cell r="F231">
            <v>1</v>
          </cell>
          <cell r="G231" t="str">
            <v xml:space="preserve">ST          </v>
          </cell>
          <cell r="H231">
            <v>24</v>
          </cell>
          <cell r="I231">
            <v>24</v>
          </cell>
        </row>
        <row r="232">
          <cell r="A232" t="str">
            <v>12-100-10-07</v>
          </cell>
          <cell r="B232" t="str">
            <v xml:space="preserve">DRESSING FORCEPS, 10,5 CM               </v>
          </cell>
          <cell r="C232" t="str">
            <v xml:space="preserve">                                   </v>
          </cell>
          <cell r="D232" t="str">
            <v xml:space="preserve">DE        </v>
          </cell>
          <cell r="E232">
            <v>90189084</v>
          </cell>
          <cell r="F232">
            <v>1</v>
          </cell>
          <cell r="G232" t="str">
            <v xml:space="preserve">ST          </v>
          </cell>
          <cell r="H232">
            <v>9.56</v>
          </cell>
          <cell r="I232">
            <v>9.56</v>
          </cell>
        </row>
        <row r="233">
          <cell r="A233" t="str">
            <v xml:space="preserve">            </v>
          </cell>
          <cell r="B233" t="str">
            <v xml:space="preserve">LUCAE NASAL DRESSING FORCEPS            </v>
          </cell>
          <cell r="C233" t="str">
            <v xml:space="preserve">                                   </v>
          </cell>
          <cell r="D233" t="str">
            <v xml:space="preserve">          </v>
          </cell>
          <cell r="E233" t="str">
            <v xml:space="preserve">                </v>
          </cell>
          <cell r="F233">
            <v>1</v>
          </cell>
          <cell r="G233" t="str">
            <v xml:space="preserve">            </v>
          </cell>
          <cell r="H233" t="str">
            <v xml:space="preserve">               </v>
          </cell>
          <cell r="I233" t="str">
            <v xml:space="preserve">               </v>
          </cell>
        </row>
        <row r="234">
          <cell r="A234" t="str">
            <v>36-391-14-07</v>
          </cell>
          <cell r="B234" t="str">
            <v xml:space="preserve">EAR FORCEPS, GRUENWALD, BAYON., 14.5 CM </v>
          </cell>
          <cell r="C234" t="str">
            <v xml:space="preserve">                                   </v>
          </cell>
          <cell r="D234" t="str">
            <v xml:space="preserve">DE        </v>
          </cell>
          <cell r="E234">
            <v>90189084</v>
          </cell>
          <cell r="F234">
            <v>1</v>
          </cell>
          <cell r="G234" t="str">
            <v xml:space="preserve">ST          </v>
          </cell>
          <cell r="H234">
            <v>20.7</v>
          </cell>
          <cell r="I234">
            <v>20.7</v>
          </cell>
        </row>
        <row r="235">
          <cell r="A235" t="str">
            <v>36-395-16-07</v>
          </cell>
          <cell r="B235" t="str">
            <v xml:space="preserve">EAR DRESS. FCPS., JANSEN, BAYO., 16 CM  </v>
          </cell>
          <cell r="C235" t="str">
            <v xml:space="preserve">                                   </v>
          </cell>
          <cell r="D235" t="str">
            <v xml:space="preserve">MY        </v>
          </cell>
          <cell r="E235">
            <v>90189084</v>
          </cell>
          <cell r="F235">
            <v>1</v>
          </cell>
          <cell r="G235" t="str">
            <v xml:space="preserve">ST          </v>
          </cell>
          <cell r="H235">
            <v>32</v>
          </cell>
          <cell r="I235">
            <v>32</v>
          </cell>
        </row>
        <row r="236">
          <cell r="A236" t="str">
            <v xml:space="preserve">            </v>
          </cell>
          <cell r="B236" t="str">
            <v xml:space="preserve">ADSON DRESSING FORCEPS                  </v>
          </cell>
          <cell r="C236" t="str">
            <v xml:space="preserve">                                   </v>
          </cell>
          <cell r="D236" t="str">
            <v xml:space="preserve">          </v>
          </cell>
          <cell r="E236" t="str">
            <v xml:space="preserve">                </v>
          </cell>
          <cell r="F236">
            <v>1</v>
          </cell>
          <cell r="G236" t="str">
            <v xml:space="preserve">            </v>
          </cell>
          <cell r="H236" t="str">
            <v xml:space="preserve">               </v>
          </cell>
          <cell r="I236" t="str">
            <v xml:space="preserve">               </v>
          </cell>
        </row>
        <row r="237">
          <cell r="A237" t="str">
            <v>12-168-12-07</v>
          </cell>
          <cell r="B237" t="str">
            <v xml:space="preserve">DRESSING FORCEPS, ADSON, 12 CM          </v>
          </cell>
          <cell r="C237" t="str">
            <v xml:space="preserve">                                   </v>
          </cell>
          <cell r="D237" t="str">
            <v xml:space="preserve">MY        </v>
          </cell>
          <cell r="E237">
            <v>90189084</v>
          </cell>
          <cell r="F237">
            <v>1</v>
          </cell>
          <cell r="G237" t="str">
            <v xml:space="preserve">ST          </v>
          </cell>
          <cell r="H237">
            <v>10.3</v>
          </cell>
          <cell r="I237">
            <v>10.3</v>
          </cell>
        </row>
        <row r="238">
          <cell r="A238" t="str">
            <v>12-166-12-07</v>
          </cell>
          <cell r="B238" t="str">
            <v xml:space="preserve">DRESSING FORCEPS, MINI-ADSON, 12 CM     </v>
          </cell>
          <cell r="C238" t="str">
            <v xml:space="preserve">                                   </v>
          </cell>
          <cell r="D238" t="str">
            <v xml:space="preserve">MY        </v>
          </cell>
          <cell r="E238">
            <v>90189084</v>
          </cell>
          <cell r="F238">
            <v>1</v>
          </cell>
          <cell r="G238" t="str">
            <v xml:space="preserve">ST          </v>
          </cell>
          <cell r="H238">
            <v>22.7</v>
          </cell>
          <cell r="I238">
            <v>22.7</v>
          </cell>
        </row>
        <row r="239">
          <cell r="A239" t="str">
            <v xml:space="preserve">            </v>
          </cell>
          <cell r="B239" t="str">
            <v xml:space="preserve">HALSTEAD HEMOSTATIC MOSQUITO FORCEPS    </v>
          </cell>
          <cell r="C239" t="str">
            <v xml:space="preserve">                                   </v>
          </cell>
          <cell r="D239" t="str">
            <v xml:space="preserve">          </v>
          </cell>
          <cell r="E239" t="str">
            <v xml:space="preserve">                </v>
          </cell>
          <cell r="F239">
            <v>1</v>
          </cell>
          <cell r="G239" t="str">
            <v xml:space="preserve">            </v>
          </cell>
          <cell r="H239" t="str">
            <v xml:space="preserve">               </v>
          </cell>
          <cell r="I239" t="str">
            <v xml:space="preserve">               </v>
          </cell>
        </row>
        <row r="240">
          <cell r="A240" t="str">
            <v>13-310-12-07</v>
          </cell>
          <cell r="B240" t="str">
            <v xml:space="preserve">HAEM. FORCEPS, MOSQUITO, STR., 12.5 CM  </v>
          </cell>
          <cell r="C240" t="str">
            <v xml:space="preserve">                                   </v>
          </cell>
          <cell r="D240" t="str">
            <v xml:space="preserve">MY        </v>
          </cell>
          <cell r="E240">
            <v>90189084</v>
          </cell>
          <cell r="F240">
            <v>6</v>
          </cell>
          <cell r="G240" t="str">
            <v xml:space="preserve">ST          </v>
          </cell>
          <cell r="H240">
            <v>22.4</v>
          </cell>
          <cell r="I240">
            <v>134.4</v>
          </cell>
        </row>
        <row r="241">
          <cell r="A241" t="str">
            <v>13-311-12-07</v>
          </cell>
          <cell r="B241" t="str">
            <v xml:space="preserve">HAEM. FORCEPS, MOSQUITO, CVD., 12 CM    </v>
          </cell>
          <cell r="C241" t="str">
            <v xml:space="preserve">                                   </v>
          </cell>
          <cell r="D241" t="str">
            <v xml:space="preserve">MY        </v>
          </cell>
          <cell r="E241">
            <v>90189084</v>
          </cell>
          <cell r="F241">
            <v>6</v>
          </cell>
          <cell r="G241" t="str">
            <v xml:space="preserve">ST          </v>
          </cell>
          <cell r="H241">
            <v>23.9</v>
          </cell>
          <cell r="I241">
            <v>143.4</v>
          </cell>
        </row>
        <row r="242">
          <cell r="A242" t="str">
            <v xml:space="preserve">            </v>
          </cell>
          <cell r="B242" t="str">
            <v xml:space="preserve">DINGMAN BONE CLAMP                      </v>
          </cell>
          <cell r="C242" t="str">
            <v xml:space="preserve">                                   </v>
          </cell>
          <cell r="D242" t="str">
            <v xml:space="preserve">          </v>
          </cell>
          <cell r="E242" t="str">
            <v xml:space="preserve">                </v>
          </cell>
          <cell r="F242">
            <v>1</v>
          </cell>
          <cell r="G242" t="str">
            <v xml:space="preserve">            </v>
          </cell>
          <cell r="H242" t="str">
            <v xml:space="preserve">               </v>
          </cell>
          <cell r="I242" t="str">
            <v xml:space="preserve">               </v>
          </cell>
        </row>
        <row r="243">
          <cell r="A243" t="str">
            <v>23-715-19-07</v>
          </cell>
          <cell r="B243" t="str">
            <v xml:space="preserve">CARTILAGE FORCEPS, DINGMANN, 18.5 CM    </v>
          </cell>
          <cell r="C243" t="str">
            <v xml:space="preserve">                                   </v>
          </cell>
          <cell r="D243" t="str">
            <v xml:space="preserve">DE        </v>
          </cell>
          <cell r="E243">
            <v>90189084</v>
          </cell>
          <cell r="F243">
            <v>2</v>
          </cell>
          <cell r="G243" t="str">
            <v xml:space="preserve">ST          </v>
          </cell>
          <cell r="H243">
            <v>143</v>
          </cell>
          <cell r="I243">
            <v>286</v>
          </cell>
        </row>
        <row r="244">
          <cell r="A244" t="str">
            <v xml:space="preserve">            </v>
          </cell>
          <cell r="B244" t="str">
            <v xml:space="preserve">STRAIGHT TISSUE FORCEPS                 </v>
          </cell>
          <cell r="C244" t="str">
            <v xml:space="preserve">                                   </v>
          </cell>
          <cell r="D244" t="str">
            <v xml:space="preserve">          </v>
          </cell>
          <cell r="E244" t="str">
            <v xml:space="preserve">                </v>
          </cell>
          <cell r="F244">
            <v>1</v>
          </cell>
          <cell r="G244" t="str">
            <v xml:space="preserve">            </v>
          </cell>
          <cell r="H244" t="str">
            <v xml:space="preserve">               </v>
          </cell>
          <cell r="I244" t="str">
            <v xml:space="preserve">               </v>
          </cell>
        </row>
        <row r="245">
          <cell r="A245" t="str">
            <v>12-512-10-07</v>
          </cell>
          <cell r="B245" t="str">
            <v xml:space="preserve">TISSUE FORCEPS, 1X2 T., STR., 10 CM     </v>
          </cell>
          <cell r="C245" t="str">
            <v xml:space="preserve">                                   </v>
          </cell>
          <cell r="D245" t="str">
            <v xml:space="preserve">DE        </v>
          </cell>
          <cell r="E245">
            <v>90189084</v>
          </cell>
          <cell r="F245">
            <v>1</v>
          </cell>
          <cell r="G245" t="str">
            <v xml:space="preserve">ST          </v>
          </cell>
          <cell r="H245">
            <v>22.6</v>
          </cell>
          <cell r="I245">
            <v>22.6</v>
          </cell>
        </row>
        <row r="246">
          <cell r="A246" t="str">
            <v>12-301-10-07</v>
          </cell>
          <cell r="B246" t="str">
            <v xml:space="preserve">TISSUE FORCEPS 1X2 T, 10,5 CM           </v>
          </cell>
          <cell r="C246" t="str">
            <v xml:space="preserve">                                   </v>
          </cell>
          <cell r="D246" t="str">
            <v xml:space="preserve">MY        </v>
          </cell>
          <cell r="E246">
            <v>90189084</v>
          </cell>
          <cell r="F246">
            <v>1</v>
          </cell>
          <cell r="G246" t="str">
            <v xml:space="preserve">ST          </v>
          </cell>
          <cell r="H246">
            <v>8.26</v>
          </cell>
          <cell r="I246">
            <v>8.26</v>
          </cell>
        </row>
        <row r="247">
          <cell r="A247" t="str">
            <v xml:space="preserve">            </v>
          </cell>
          <cell r="B247" t="str">
            <v xml:space="preserve">ADSON TISSUE FORCEPS                    </v>
          </cell>
          <cell r="C247" t="str">
            <v xml:space="preserve">                                   </v>
          </cell>
          <cell r="D247" t="str">
            <v xml:space="preserve">          </v>
          </cell>
          <cell r="E247" t="str">
            <v xml:space="preserve">                </v>
          </cell>
          <cell r="F247">
            <v>1</v>
          </cell>
          <cell r="G247" t="str">
            <v xml:space="preserve">            </v>
          </cell>
          <cell r="H247" t="str">
            <v xml:space="preserve">               </v>
          </cell>
          <cell r="I247" t="str">
            <v xml:space="preserve">               </v>
          </cell>
        </row>
        <row r="248">
          <cell r="A248" t="str">
            <v>12-406-12-07</v>
          </cell>
          <cell r="B248" t="str">
            <v xml:space="preserve">FORCEPS, MICRO-ADSON, 1X2 T., 12 CM     </v>
          </cell>
          <cell r="C248" t="str">
            <v xml:space="preserve">                                   </v>
          </cell>
          <cell r="D248" t="str">
            <v xml:space="preserve">MY        </v>
          </cell>
          <cell r="E248">
            <v>90189084</v>
          </cell>
          <cell r="F248">
            <v>1</v>
          </cell>
          <cell r="G248" t="str">
            <v xml:space="preserve">ST          </v>
          </cell>
          <cell r="H248">
            <v>21</v>
          </cell>
          <cell r="I248">
            <v>21</v>
          </cell>
        </row>
        <row r="249">
          <cell r="A249" t="str">
            <v>12-402-12-07</v>
          </cell>
          <cell r="B249" t="str">
            <v xml:space="preserve">FORCEPS, MINI-ADSON, 1X2 T., 12 CM      </v>
          </cell>
          <cell r="C249" t="str">
            <v xml:space="preserve">                                   </v>
          </cell>
          <cell r="D249" t="str">
            <v xml:space="preserve">MY        </v>
          </cell>
          <cell r="E249">
            <v>90189084</v>
          </cell>
          <cell r="F249">
            <v>1</v>
          </cell>
          <cell r="G249" t="str">
            <v xml:space="preserve">ST          </v>
          </cell>
          <cell r="H249">
            <v>19.899999999999999</v>
          </cell>
          <cell r="I249">
            <v>19.899999999999999</v>
          </cell>
        </row>
        <row r="250">
          <cell r="A250" t="str">
            <v>12-406-15-07</v>
          </cell>
          <cell r="B250" t="str">
            <v xml:space="preserve">FORCEPS, MICRO-ADSON, 1X2 T., 15 CM     </v>
          </cell>
          <cell r="C250" t="str">
            <v xml:space="preserve">                                   </v>
          </cell>
          <cell r="D250" t="str">
            <v xml:space="preserve">MY        </v>
          </cell>
          <cell r="E250">
            <v>90189084</v>
          </cell>
          <cell r="F250">
            <v>1</v>
          </cell>
          <cell r="G250" t="str">
            <v xml:space="preserve">ST          </v>
          </cell>
          <cell r="H250">
            <v>30.8</v>
          </cell>
          <cell r="I250">
            <v>30.8</v>
          </cell>
        </row>
        <row r="251">
          <cell r="A251" t="str">
            <v xml:space="preserve">            </v>
          </cell>
          <cell r="B251" t="str">
            <v xml:space="preserve">ALLIS FORCEPS                           </v>
          </cell>
          <cell r="C251" t="str">
            <v xml:space="preserve">                                   </v>
          </cell>
          <cell r="D251" t="str">
            <v xml:space="preserve">          </v>
          </cell>
          <cell r="E251" t="str">
            <v xml:space="preserve">                </v>
          </cell>
          <cell r="F251">
            <v>1</v>
          </cell>
          <cell r="G251" t="str">
            <v xml:space="preserve">            </v>
          </cell>
          <cell r="H251" t="str">
            <v xml:space="preserve">               </v>
          </cell>
          <cell r="I251" t="str">
            <v xml:space="preserve">               </v>
          </cell>
        </row>
        <row r="252">
          <cell r="A252" t="str">
            <v>30-132-15-07</v>
          </cell>
          <cell r="B252" t="str">
            <v xml:space="preserve">TISSUE FORCEPS, ALLIS, 4X5 T., 15.5 CM  </v>
          </cell>
          <cell r="C252" t="str">
            <v xml:space="preserve">                                   </v>
          </cell>
          <cell r="D252" t="str">
            <v xml:space="preserve">MY        </v>
          </cell>
          <cell r="E252">
            <v>90189084</v>
          </cell>
          <cell r="F252">
            <v>6</v>
          </cell>
          <cell r="G252" t="str">
            <v xml:space="preserve">ST          </v>
          </cell>
          <cell r="H252">
            <v>44.5</v>
          </cell>
          <cell r="I252">
            <v>267</v>
          </cell>
        </row>
        <row r="253">
          <cell r="A253" t="str">
            <v xml:space="preserve">            </v>
          </cell>
          <cell r="B253" t="str">
            <v xml:space="preserve">BACKHAUS TOWEL FORCEPS                  </v>
          </cell>
          <cell r="C253" t="str">
            <v xml:space="preserve">                                   </v>
          </cell>
          <cell r="D253" t="str">
            <v xml:space="preserve">          </v>
          </cell>
          <cell r="E253" t="str">
            <v xml:space="preserve">                </v>
          </cell>
          <cell r="F253">
            <v>1</v>
          </cell>
          <cell r="G253" t="str">
            <v xml:space="preserve">            </v>
          </cell>
          <cell r="H253" t="str">
            <v xml:space="preserve">               </v>
          </cell>
          <cell r="I253" t="str">
            <v xml:space="preserve">               </v>
          </cell>
        </row>
        <row r="254">
          <cell r="A254" t="str">
            <v>13-915-08-07</v>
          </cell>
          <cell r="B254" t="str">
            <v xml:space="preserve">TOWEL FORCEPS, BACKHAUS, SHARP, 9 CM    </v>
          </cell>
          <cell r="C254" t="str">
            <v xml:space="preserve">                                   </v>
          </cell>
          <cell r="D254" t="str">
            <v xml:space="preserve">MY        </v>
          </cell>
          <cell r="E254">
            <v>90189084</v>
          </cell>
          <cell r="F254">
            <v>8</v>
          </cell>
          <cell r="G254" t="str">
            <v xml:space="preserve">ST          </v>
          </cell>
          <cell r="H254">
            <v>21.7</v>
          </cell>
          <cell r="I254">
            <v>173.6</v>
          </cell>
        </row>
        <row r="255">
          <cell r="A255" t="str">
            <v xml:space="preserve">            </v>
          </cell>
          <cell r="B255" t="str">
            <v xml:space="preserve">NERVE HOOK                              </v>
          </cell>
          <cell r="C255" t="str">
            <v xml:space="preserve">                                   </v>
          </cell>
          <cell r="D255" t="str">
            <v xml:space="preserve">          </v>
          </cell>
          <cell r="E255" t="str">
            <v xml:space="preserve">                </v>
          </cell>
          <cell r="F255">
            <v>1</v>
          </cell>
          <cell r="G255" t="str">
            <v xml:space="preserve">            </v>
          </cell>
          <cell r="H255" t="str">
            <v xml:space="preserve">               </v>
          </cell>
          <cell r="I255" t="str">
            <v xml:space="preserve">               </v>
          </cell>
        </row>
        <row r="256">
          <cell r="A256" t="str">
            <v>24-823-20-07</v>
          </cell>
          <cell r="B256" t="str">
            <v xml:space="preserve">Hook, Adson, blunt, angled, 20 cm       </v>
          </cell>
          <cell r="C256" t="str">
            <v xml:space="preserve">                                   </v>
          </cell>
          <cell r="D256" t="str">
            <v xml:space="preserve">DE        </v>
          </cell>
          <cell r="E256">
            <v>90189084</v>
          </cell>
          <cell r="F256">
            <v>1</v>
          </cell>
          <cell r="G256" t="str">
            <v xml:space="preserve">ST          </v>
          </cell>
          <cell r="H256">
            <v>39</v>
          </cell>
          <cell r="I256">
            <v>39</v>
          </cell>
        </row>
        <row r="257">
          <cell r="A257" t="str">
            <v xml:space="preserve">            </v>
          </cell>
          <cell r="B257" t="str">
            <v xml:space="preserve">SINGLE SKIN HOOK                        </v>
          </cell>
          <cell r="C257" t="str">
            <v xml:space="preserve">                                   </v>
          </cell>
          <cell r="D257" t="str">
            <v xml:space="preserve">          </v>
          </cell>
          <cell r="E257" t="str">
            <v xml:space="preserve">                </v>
          </cell>
          <cell r="F257">
            <v>1</v>
          </cell>
          <cell r="G257" t="str">
            <v xml:space="preserve">            </v>
          </cell>
          <cell r="H257" t="str">
            <v xml:space="preserve">               </v>
          </cell>
          <cell r="I257" t="str">
            <v xml:space="preserve">               </v>
          </cell>
        </row>
        <row r="258">
          <cell r="A258" t="str">
            <v>24-835-13-07</v>
          </cell>
          <cell r="B258" t="str">
            <v xml:space="preserve">Hook, Frazier, sharp, 13 cm             </v>
          </cell>
          <cell r="C258" t="str">
            <v xml:space="preserve">                                   </v>
          </cell>
          <cell r="D258" t="str">
            <v xml:space="preserve">DE        </v>
          </cell>
          <cell r="E258">
            <v>90189084</v>
          </cell>
          <cell r="F258">
            <v>5</v>
          </cell>
          <cell r="G258" t="str">
            <v xml:space="preserve">ST          </v>
          </cell>
          <cell r="H258">
            <v>29.6</v>
          </cell>
          <cell r="I258">
            <v>148</v>
          </cell>
        </row>
        <row r="259">
          <cell r="A259" t="str">
            <v xml:space="preserve">            </v>
          </cell>
          <cell r="B259" t="str">
            <v xml:space="preserve">JOSEPH DOUBLE HOOK                      </v>
          </cell>
          <cell r="C259" t="str">
            <v xml:space="preserve">                                   </v>
          </cell>
          <cell r="D259" t="str">
            <v xml:space="preserve">          </v>
          </cell>
          <cell r="E259" t="str">
            <v xml:space="preserve">                </v>
          </cell>
          <cell r="F259">
            <v>1</v>
          </cell>
          <cell r="G259" t="str">
            <v xml:space="preserve">            </v>
          </cell>
          <cell r="H259" t="str">
            <v xml:space="preserve">               </v>
          </cell>
          <cell r="I259" t="str">
            <v xml:space="preserve">               </v>
          </cell>
        </row>
        <row r="260">
          <cell r="A260" t="str">
            <v>37-704-02-07</v>
          </cell>
          <cell r="B260" t="str">
            <v>SKIN HOOKLET, JOSEPH, 2-PR., 2 MM, 16 CM</v>
          </cell>
          <cell r="C260" t="str">
            <v xml:space="preserve">                                   </v>
          </cell>
          <cell r="D260" t="str">
            <v xml:space="preserve">DE        </v>
          </cell>
          <cell r="E260">
            <v>90189084</v>
          </cell>
          <cell r="F260">
            <v>1</v>
          </cell>
          <cell r="G260" t="str">
            <v xml:space="preserve">ST          </v>
          </cell>
          <cell r="H260">
            <v>40.1</v>
          </cell>
          <cell r="I260">
            <v>40.1</v>
          </cell>
        </row>
        <row r="261">
          <cell r="A261" t="str">
            <v>37-704-05-07</v>
          </cell>
          <cell r="B261" t="str">
            <v>SKIN HOOKLET, JOSEPH, 2-PR., 5 MM, 16 CM</v>
          </cell>
          <cell r="C261" t="str">
            <v xml:space="preserve">                                   </v>
          </cell>
          <cell r="D261" t="str">
            <v xml:space="preserve">DE        </v>
          </cell>
          <cell r="E261">
            <v>90189084</v>
          </cell>
          <cell r="F261">
            <v>1</v>
          </cell>
          <cell r="G261" t="str">
            <v xml:space="preserve">ST          </v>
          </cell>
          <cell r="H261">
            <v>40.1</v>
          </cell>
          <cell r="I261">
            <v>40.1</v>
          </cell>
        </row>
        <row r="262">
          <cell r="A262" t="str">
            <v xml:space="preserve">            </v>
          </cell>
          <cell r="B262" t="str">
            <v xml:space="preserve">KILNER ALAE RETRACTOR                   </v>
          </cell>
          <cell r="C262" t="str">
            <v xml:space="preserve">                                   </v>
          </cell>
          <cell r="D262" t="str">
            <v xml:space="preserve">          </v>
          </cell>
          <cell r="E262" t="str">
            <v xml:space="preserve">                </v>
          </cell>
          <cell r="F262">
            <v>1</v>
          </cell>
          <cell r="G262" t="str">
            <v xml:space="preserve">            </v>
          </cell>
          <cell r="H262" t="str">
            <v xml:space="preserve">               </v>
          </cell>
          <cell r="I262" t="str">
            <v xml:space="preserve">               </v>
          </cell>
        </row>
        <row r="263">
          <cell r="A263" t="str">
            <v>37-698-10-07</v>
          </cell>
          <cell r="B263" t="str">
            <v xml:space="preserve">ALAR RETRACTOR, KILNER, SHARP, 8 CM     </v>
          </cell>
          <cell r="C263" t="str">
            <v xml:space="preserve">                                   </v>
          </cell>
          <cell r="D263" t="str">
            <v xml:space="preserve">DE        </v>
          </cell>
          <cell r="E263">
            <v>90189084</v>
          </cell>
          <cell r="F263">
            <v>1</v>
          </cell>
          <cell r="G263" t="str">
            <v xml:space="preserve">ST          </v>
          </cell>
          <cell r="H263">
            <v>62.9</v>
          </cell>
          <cell r="I263">
            <v>62.9</v>
          </cell>
        </row>
        <row r="264">
          <cell r="A264" t="str">
            <v xml:space="preserve">            </v>
          </cell>
          <cell r="B264" t="str">
            <v xml:space="preserve">METZENBAUM NEEDLE HOLDER                </v>
          </cell>
          <cell r="C264" t="str">
            <v xml:space="preserve">                                   </v>
          </cell>
          <cell r="D264" t="str">
            <v xml:space="preserve">          </v>
          </cell>
          <cell r="E264" t="str">
            <v xml:space="preserve">                </v>
          </cell>
          <cell r="F264">
            <v>1</v>
          </cell>
          <cell r="G264" t="str">
            <v xml:space="preserve">            </v>
          </cell>
          <cell r="H264" t="str">
            <v xml:space="preserve">               </v>
          </cell>
          <cell r="I264" t="str">
            <v xml:space="preserve">               </v>
          </cell>
        </row>
        <row r="265">
          <cell r="A265" t="str">
            <v>20-364-18-07</v>
          </cell>
          <cell r="B265" t="str">
            <v>NEEDLEHOLDER, METZENB., FENESTR., 18.5 C</v>
          </cell>
          <cell r="C265" t="str">
            <v xml:space="preserve">                                   </v>
          </cell>
          <cell r="D265" t="str">
            <v xml:space="preserve">DE        </v>
          </cell>
          <cell r="E265">
            <v>90189084</v>
          </cell>
          <cell r="F265">
            <v>2</v>
          </cell>
          <cell r="G265" t="str">
            <v xml:space="preserve">ST          </v>
          </cell>
          <cell r="H265">
            <v>127</v>
          </cell>
          <cell r="I265">
            <v>254</v>
          </cell>
        </row>
        <row r="266">
          <cell r="A266" t="str">
            <v xml:space="preserve">            </v>
          </cell>
          <cell r="B266" t="str">
            <v xml:space="preserve">WEITLANER MASTOID RETRACTOR             </v>
          </cell>
          <cell r="C266" t="str">
            <v xml:space="preserve">                                   </v>
          </cell>
          <cell r="D266" t="str">
            <v xml:space="preserve">          </v>
          </cell>
          <cell r="E266" t="str">
            <v xml:space="preserve">                </v>
          </cell>
          <cell r="F266">
            <v>1</v>
          </cell>
          <cell r="G266" t="str">
            <v xml:space="preserve">            </v>
          </cell>
          <cell r="H266" t="str">
            <v xml:space="preserve">               </v>
          </cell>
          <cell r="I266" t="str">
            <v xml:space="preserve">               </v>
          </cell>
        </row>
        <row r="267">
          <cell r="A267" t="str">
            <v>15-751-13-07</v>
          </cell>
          <cell r="B267" t="str">
            <v xml:space="preserve">WOUNDSPREADER, BLUNT, 3X4 T., 13.5 CM   </v>
          </cell>
          <cell r="C267" t="str">
            <v xml:space="preserve">                                   </v>
          </cell>
          <cell r="D267" t="str">
            <v xml:space="preserve">MY        </v>
          </cell>
          <cell r="E267">
            <v>90189084</v>
          </cell>
          <cell r="F267">
            <v>1</v>
          </cell>
          <cell r="G267" t="str">
            <v xml:space="preserve">ST          </v>
          </cell>
          <cell r="H267">
            <v>113</v>
          </cell>
          <cell r="I267">
            <v>113</v>
          </cell>
        </row>
        <row r="268">
          <cell r="A268" t="str">
            <v xml:space="preserve">            </v>
          </cell>
          <cell r="B268" t="str">
            <v xml:space="preserve">WEITLANER MASTOID RETRACTOR             </v>
          </cell>
          <cell r="C268" t="str">
            <v xml:space="preserve">                                   </v>
          </cell>
          <cell r="D268" t="str">
            <v xml:space="preserve">          </v>
          </cell>
          <cell r="E268" t="str">
            <v xml:space="preserve">                </v>
          </cell>
          <cell r="F268">
            <v>1</v>
          </cell>
          <cell r="G268" t="str">
            <v xml:space="preserve">            </v>
          </cell>
          <cell r="H268" t="str">
            <v xml:space="preserve">               </v>
          </cell>
          <cell r="I268" t="str">
            <v xml:space="preserve">               </v>
          </cell>
        </row>
        <row r="269">
          <cell r="A269" t="str">
            <v>15-751-16-07</v>
          </cell>
          <cell r="B269" t="str">
            <v xml:space="preserve">WOUNDSPREADER, BLUNT, 3X4 T., 16 CM     </v>
          </cell>
          <cell r="C269" t="str">
            <v xml:space="preserve">                                   </v>
          </cell>
          <cell r="D269" t="str">
            <v xml:space="preserve">MY        </v>
          </cell>
          <cell r="E269">
            <v>90189084</v>
          </cell>
          <cell r="F269">
            <v>1</v>
          </cell>
          <cell r="G269" t="str">
            <v xml:space="preserve">ST          </v>
          </cell>
          <cell r="H269">
            <v>123</v>
          </cell>
          <cell r="I269">
            <v>123</v>
          </cell>
        </row>
        <row r="270">
          <cell r="A270" t="str">
            <v xml:space="preserve">            </v>
          </cell>
          <cell r="B270" t="str">
            <v xml:space="preserve">WEITLANER BABY RETRACTOR                </v>
          </cell>
          <cell r="C270" t="str">
            <v xml:space="preserve">                                   </v>
          </cell>
          <cell r="D270" t="str">
            <v xml:space="preserve">          </v>
          </cell>
          <cell r="E270" t="str">
            <v xml:space="preserve">                </v>
          </cell>
          <cell r="F270">
            <v>1</v>
          </cell>
          <cell r="G270" t="str">
            <v xml:space="preserve">            </v>
          </cell>
          <cell r="H270" t="str">
            <v xml:space="preserve">               </v>
          </cell>
          <cell r="I270" t="str">
            <v xml:space="preserve">               </v>
          </cell>
        </row>
        <row r="271">
          <cell r="A271" t="str">
            <v>15-749-10-07</v>
          </cell>
          <cell r="B271" t="str">
            <v xml:space="preserve">WOUNDSPREADER, BLUNT, 2X3 T., 11 CM     </v>
          </cell>
          <cell r="C271" t="str">
            <v xml:space="preserve">                                   </v>
          </cell>
          <cell r="D271" t="str">
            <v xml:space="preserve">MY        </v>
          </cell>
          <cell r="E271">
            <v>90189084</v>
          </cell>
          <cell r="F271">
            <v>1</v>
          </cell>
          <cell r="G271" t="str">
            <v xml:space="preserve">ST          </v>
          </cell>
          <cell r="H271">
            <v>108.5</v>
          </cell>
          <cell r="I271">
            <v>108.5</v>
          </cell>
        </row>
        <row r="272">
          <cell r="A272" t="str">
            <v xml:space="preserve">            </v>
          </cell>
          <cell r="B272" t="str">
            <v xml:space="preserve">LEMPERT RONGEUR                         </v>
          </cell>
          <cell r="C272" t="str">
            <v xml:space="preserve">                                   </v>
          </cell>
          <cell r="D272" t="str">
            <v xml:space="preserve">          </v>
          </cell>
          <cell r="E272" t="str">
            <v xml:space="preserve">                </v>
          </cell>
          <cell r="F272">
            <v>1</v>
          </cell>
          <cell r="G272" t="str">
            <v xml:space="preserve">            </v>
          </cell>
          <cell r="H272" t="str">
            <v xml:space="preserve">               </v>
          </cell>
          <cell r="I272" t="str">
            <v xml:space="preserve">               </v>
          </cell>
        </row>
        <row r="273">
          <cell r="A273" t="str">
            <v>23-832-19-07</v>
          </cell>
          <cell r="B273" t="str">
            <v xml:space="preserve">BONE RONGEUR, LEMPERT, STR., 19 CM      </v>
          </cell>
          <cell r="C273" t="str">
            <v xml:space="preserve">                                   </v>
          </cell>
          <cell r="D273" t="str">
            <v xml:space="preserve">MY        </v>
          </cell>
          <cell r="E273">
            <v>90189084</v>
          </cell>
          <cell r="F273">
            <v>1</v>
          </cell>
          <cell r="G273" t="str">
            <v xml:space="preserve">ST          </v>
          </cell>
          <cell r="H273">
            <v>169.5</v>
          </cell>
          <cell r="I273">
            <v>169.5</v>
          </cell>
        </row>
        <row r="274">
          <cell r="A274" t="str">
            <v xml:space="preserve">            </v>
          </cell>
          <cell r="B274" t="str">
            <v xml:space="preserve">JUERS-LEMPERT RONGEUR                   </v>
          </cell>
          <cell r="C274" t="str">
            <v xml:space="preserve">                                   </v>
          </cell>
          <cell r="D274" t="str">
            <v xml:space="preserve">          </v>
          </cell>
          <cell r="E274" t="str">
            <v xml:space="preserve">                </v>
          </cell>
          <cell r="F274">
            <v>1</v>
          </cell>
          <cell r="G274" t="str">
            <v xml:space="preserve">            </v>
          </cell>
          <cell r="H274" t="str">
            <v xml:space="preserve">               </v>
          </cell>
          <cell r="I274" t="str">
            <v xml:space="preserve">               </v>
          </cell>
        </row>
        <row r="275">
          <cell r="A275" t="str">
            <v>23-833-19-07</v>
          </cell>
          <cell r="B275" t="str">
            <v xml:space="preserve">Bone Rongeur, Lempert, cvd., 19 cm      </v>
          </cell>
          <cell r="C275" t="str">
            <v xml:space="preserve">                                   </v>
          </cell>
          <cell r="D275" t="str">
            <v xml:space="preserve">MY        </v>
          </cell>
          <cell r="E275">
            <v>90189084</v>
          </cell>
          <cell r="F275">
            <v>1</v>
          </cell>
          <cell r="G275" t="str">
            <v xml:space="preserve">ST          </v>
          </cell>
          <cell r="H275">
            <v>161.5</v>
          </cell>
          <cell r="I275">
            <v>161.5</v>
          </cell>
        </row>
        <row r="276">
          <cell r="A276" t="str">
            <v xml:space="preserve">            </v>
          </cell>
          <cell r="B276" t="str">
            <v xml:space="preserve">BEYER RONGEUR                           </v>
          </cell>
          <cell r="C276" t="str">
            <v xml:space="preserve">                                   </v>
          </cell>
          <cell r="D276" t="str">
            <v xml:space="preserve">          </v>
          </cell>
          <cell r="E276" t="str">
            <v xml:space="preserve">                </v>
          </cell>
          <cell r="F276">
            <v>1</v>
          </cell>
          <cell r="G276" t="str">
            <v xml:space="preserve">            </v>
          </cell>
          <cell r="H276" t="str">
            <v xml:space="preserve">               </v>
          </cell>
          <cell r="I276" t="str">
            <v xml:space="preserve">               </v>
          </cell>
        </row>
        <row r="277">
          <cell r="A277" t="str">
            <v>23-829-18-07</v>
          </cell>
          <cell r="B277" t="str">
            <v xml:space="preserve">BONE RONGEUR, JANSEN, CVD., 18 CM       </v>
          </cell>
          <cell r="C277" t="str">
            <v xml:space="preserve">                                   </v>
          </cell>
          <cell r="D277" t="str">
            <v xml:space="preserve">MY        </v>
          </cell>
          <cell r="E277">
            <v>90189084</v>
          </cell>
          <cell r="F277">
            <v>1</v>
          </cell>
          <cell r="G277" t="str">
            <v xml:space="preserve">ST          </v>
          </cell>
          <cell r="H277">
            <v>179.5</v>
          </cell>
          <cell r="I277">
            <v>179.5</v>
          </cell>
        </row>
        <row r="278">
          <cell r="A278" t="str">
            <v xml:space="preserve">            </v>
          </cell>
          <cell r="B278" t="str">
            <v>LAHEY SCISSORS -cutting edge should be o</v>
          </cell>
          <cell r="C278" t="str">
            <v xml:space="preserve">                                   </v>
          </cell>
          <cell r="D278" t="str">
            <v xml:space="preserve">          </v>
          </cell>
          <cell r="E278" t="str">
            <v xml:space="preserve">                </v>
          </cell>
          <cell r="F278">
            <v>1</v>
          </cell>
          <cell r="G278" t="str">
            <v xml:space="preserve">            </v>
          </cell>
          <cell r="H278" t="str">
            <v xml:space="preserve">               </v>
          </cell>
          <cell r="I278" t="str">
            <v xml:space="preserve">               </v>
          </cell>
        </row>
        <row r="279">
          <cell r="A279" t="str">
            <v>11-965-14-07</v>
          </cell>
          <cell r="B279" t="str">
            <v xml:space="preserve">TC-DISS. SCISSORS, LAHEY, CVD., 14.5 CM </v>
          </cell>
          <cell r="C279" t="str">
            <v xml:space="preserve">                                   </v>
          </cell>
          <cell r="D279" t="str">
            <v xml:space="preserve">DE        </v>
          </cell>
          <cell r="E279">
            <v>90189084</v>
          </cell>
          <cell r="F279">
            <v>1</v>
          </cell>
          <cell r="G279" t="str">
            <v xml:space="preserve">ST          </v>
          </cell>
          <cell r="H279">
            <v>134.5</v>
          </cell>
          <cell r="I279">
            <v>134.5</v>
          </cell>
        </row>
        <row r="280">
          <cell r="A280" t="str">
            <v xml:space="preserve">            </v>
          </cell>
          <cell r="B280" t="str">
            <v xml:space="preserve">STORZ STRAIGHT IRIS SCISSORS            </v>
          </cell>
          <cell r="C280" t="str">
            <v xml:space="preserve">                                   </v>
          </cell>
          <cell r="D280" t="str">
            <v xml:space="preserve">          </v>
          </cell>
          <cell r="E280" t="str">
            <v xml:space="preserve">                </v>
          </cell>
          <cell r="F280">
            <v>1</v>
          </cell>
          <cell r="G280" t="str">
            <v xml:space="preserve">            </v>
          </cell>
          <cell r="H280" t="str">
            <v xml:space="preserve">               </v>
          </cell>
          <cell r="I280" t="str">
            <v xml:space="preserve">               </v>
          </cell>
        </row>
        <row r="281">
          <cell r="A281" t="str">
            <v>11-620-10-07</v>
          </cell>
          <cell r="B281" t="str">
            <v xml:space="preserve">IRIS SCISSORS, SH/SH, STR., 10.5 CM     </v>
          </cell>
          <cell r="C281" t="str">
            <v xml:space="preserve">                                   </v>
          </cell>
          <cell r="D281" t="str">
            <v xml:space="preserve">DE        </v>
          </cell>
          <cell r="E281">
            <v>90189084</v>
          </cell>
          <cell r="F281">
            <v>1</v>
          </cell>
          <cell r="G281" t="str">
            <v xml:space="preserve">ST          </v>
          </cell>
          <cell r="H281">
            <v>20.399999999999999</v>
          </cell>
          <cell r="I281">
            <v>20.399999999999999</v>
          </cell>
        </row>
        <row r="282">
          <cell r="A282" t="str">
            <v xml:space="preserve">            </v>
          </cell>
          <cell r="B282" t="str">
            <v xml:space="preserve">STORZ CURVED IRIS SCISSORS              </v>
          </cell>
          <cell r="C282" t="str">
            <v xml:space="preserve">                                   </v>
          </cell>
          <cell r="D282" t="str">
            <v xml:space="preserve">          </v>
          </cell>
          <cell r="E282" t="str">
            <v xml:space="preserve">                </v>
          </cell>
          <cell r="F282">
            <v>1</v>
          </cell>
          <cell r="G282" t="str">
            <v xml:space="preserve">            </v>
          </cell>
          <cell r="H282" t="str">
            <v xml:space="preserve">               </v>
          </cell>
          <cell r="I282" t="str">
            <v xml:space="preserve">               </v>
          </cell>
        </row>
        <row r="283">
          <cell r="A283" t="str">
            <v>11-621-10-07</v>
          </cell>
          <cell r="B283" t="str">
            <v xml:space="preserve">IRIS SCISSORS, SH/SH, CVD., 10.5 CM     </v>
          </cell>
          <cell r="C283" t="str">
            <v xml:space="preserve">                                   </v>
          </cell>
          <cell r="D283" t="str">
            <v xml:space="preserve">DE        </v>
          </cell>
          <cell r="E283">
            <v>90189084</v>
          </cell>
          <cell r="F283">
            <v>1</v>
          </cell>
          <cell r="G283" t="str">
            <v xml:space="preserve">ST          </v>
          </cell>
          <cell r="H283">
            <v>22.9</v>
          </cell>
          <cell r="I283">
            <v>22.9</v>
          </cell>
        </row>
        <row r="284">
          <cell r="A284" t="str">
            <v xml:space="preserve">            </v>
          </cell>
          <cell r="B284" t="str">
            <v xml:space="preserve">MAYO SCISSORS                           </v>
          </cell>
          <cell r="C284" t="str">
            <v xml:space="preserve">                                   </v>
          </cell>
          <cell r="D284" t="str">
            <v xml:space="preserve">          </v>
          </cell>
          <cell r="E284" t="str">
            <v xml:space="preserve">                </v>
          </cell>
          <cell r="F284">
            <v>1</v>
          </cell>
          <cell r="G284" t="str">
            <v xml:space="preserve">            </v>
          </cell>
          <cell r="H284" t="str">
            <v xml:space="preserve">               </v>
          </cell>
          <cell r="I284" t="str">
            <v xml:space="preserve">               </v>
          </cell>
        </row>
        <row r="285">
          <cell r="A285" t="str">
            <v>11-170-14-07</v>
          </cell>
          <cell r="B285" t="str">
            <v xml:space="preserve">SCISSORS, MAYO, STR., 14.5 CM           </v>
          </cell>
          <cell r="C285" t="str">
            <v xml:space="preserve">                                   </v>
          </cell>
          <cell r="D285" t="str">
            <v xml:space="preserve">DE        </v>
          </cell>
          <cell r="E285">
            <v>90189084</v>
          </cell>
          <cell r="F285">
            <v>1</v>
          </cell>
          <cell r="G285" t="str">
            <v xml:space="preserve">ST          </v>
          </cell>
          <cell r="H285">
            <v>27.2</v>
          </cell>
          <cell r="I285">
            <v>27.2</v>
          </cell>
        </row>
        <row r="286">
          <cell r="A286" t="str">
            <v xml:space="preserve">            </v>
          </cell>
          <cell r="B286" t="str">
            <v xml:space="preserve">MAYO SCISSORS                           </v>
          </cell>
          <cell r="C286" t="str">
            <v xml:space="preserve">                                   </v>
          </cell>
          <cell r="D286" t="str">
            <v xml:space="preserve">          </v>
          </cell>
          <cell r="E286" t="str">
            <v xml:space="preserve">                </v>
          </cell>
          <cell r="F286">
            <v>1</v>
          </cell>
          <cell r="G286" t="str">
            <v xml:space="preserve">            </v>
          </cell>
          <cell r="H286" t="str">
            <v xml:space="preserve">               </v>
          </cell>
          <cell r="I286" t="str">
            <v xml:space="preserve">               </v>
          </cell>
        </row>
        <row r="287">
          <cell r="A287" t="str">
            <v>11-171-14-07</v>
          </cell>
          <cell r="B287" t="str">
            <v xml:space="preserve">SCISSORS, MAYO, CVD., 14.5 CM           </v>
          </cell>
          <cell r="C287" t="str">
            <v xml:space="preserve">                                   </v>
          </cell>
          <cell r="D287" t="str">
            <v xml:space="preserve">DE        </v>
          </cell>
          <cell r="E287">
            <v>90189084</v>
          </cell>
          <cell r="F287">
            <v>1</v>
          </cell>
          <cell r="G287" t="str">
            <v xml:space="preserve">ST          </v>
          </cell>
          <cell r="H287">
            <v>19.7</v>
          </cell>
          <cell r="I287">
            <v>19.7</v>
          </cell>
        </row>
        <row r="288">
          <cell r="A288" t="str">
            <v xml:space="preserve">            </v>
          </cell>
          <cell r="B288" t="str">
            <v xml:space="preserve">METZENBAUM SCISSORS                     </v>
          </cell>
          <cell r="C288" t="str">
            <v xml:space="preserve">                                   </v>
          </cell>
          <cell r="D288" t="str">
            <v xml:space="preserve">          </v>
          </cell>
          <cell r="E288" t="str">
            <v xml:space="preserve">                </v>
          </cell>
          <cell r="F288">
            <v>1</v>
          </cell>
          <cell r="G288" t="str">
            <v xml:space="preserve">            </v>
          </cell>
          <cell r="H288" t="str">
            <v xml:space="preserve">               </v>
          </cell>
          <cell r="I288" t="str">
            <v xml:space="preserve">               </v>
          </cell>
        </row>
        <row r="289">
          <cell r="A289" t="str">
            <v>11-327-14-07</v>
          </cell>
          <cell r="B289" t="str">
            <v xml:space="preserve">DISSECT. SCISSORS, FINE, CVD., 14.5 CM  </v>
          </cell>
          <cell r="C289" t="str">
            <v xml:space="preserve">                                   </v>
          </cell>
          <cell r="D289" t="str">
            <v xml:space="preserve">DE        </v>
          </cell>
          <cell r="E289">
            <v>90189084</v>
          </cell>
          <cell r="F289">
            <v>1</v>
          </cell>
          <cell r="G289" t="str">
            <v xml:space="preserve">ST          </v>
          </cell>
          <cell r="H289">
            <v>25.2</v>
          </cell>
          <cell r="I289">
            <v>25.2</v>
          </cell>
        </row>
        <row r="290">
          <cell r="A290" t="str">
            <v xml:space="preserve">            </v>
          </cell>
          <cell r="B290" t="str">
            <v xml:space="preserve">METZENBAUM SCISSORS                     </v>
          </cell>
          <cell r="C290" t="str">
            <v xml:space="preserve">                                   </v>
          </cell>
          <cell r="D290" t="str">
            <v xml:space="preserve">          </v>
          </cell>
          <cell r="E290" t="str">
            <v xml:space="preserve">                </v>
          </cell>
          <cell r="F290">
            <v>1</v>
          </cell>
          <cell r="G290" t="str">
            <v xml:space="preserve">            </v>
          </cell>
          <cell r="H290" t="str">
            <v xml:space="preserve">               </v>
          </cell>
          <cell r="I290" t="str">
            <v xml:space="preserve">               </v>
          </cell>
        </row>
        <row r="291">
          <cell r="A291" t="str">
            <v>11-331-18-07</v>
          </cell>
          <cell r="B291" t="str">
            <v xml:space="preserve">DISSECT. SCISSORS, FINE, CVD., 18 CM    </v>
          </cell>
          <cell r="C291" t="str">
            <v xml:space="preserve">                                   </v>
          </cell>
          <cell r="D291" t="str">
            <v xml:space="preserve">DE        </v>
          </cell>
          <cell r="E291">
            <v>90189084</v>
          </cell>
          <cell r="F291">
            <v>1</v>
          </cell>
          <cell r="G291" t="str">
            <v xml:space="preserve">ST          </v>
          </cell>
          <cell r="H291">
            <v>47.4</v>
          </cell>
          <cell r="I291">
            <v>47.4</v>
          </cell>
        </row>
        <row r="292">
          <cell r="A292" t="str">
            <v xml:space="preserve">            </v>
          </cell>
          <cell r="B292" t="str">
            <v xml:space="preserve">COTTLE DORSAL SCISSORS                  </v>
          </cell>
          <cell r="C292" t="str">
            <v xml:space="preserve">                                   </v>
          </cell>
          <cell r="D292" t="str">
            <v xml:space="preserve">          </v>
          </cell>
          <cell r="E292" t="str">
            <v xml:space="preserve">                </v>
          </cell>
          <cell r="F292">
            <v>1</v>
          </cell>
          <cell r="G292" t="str">
            <v xml:space="preserve">            </v>
          </cell>
          <cell r="H292" t="str">
            <v xml:space="preserve">               </v>
          </cell>
          <cell r="I292" t="str">
            <v xml:space="preserve">               </v>
          </cell>
        </row>
        <row r="293">
          <cell r="A293" t="str">
            <v>11-509-16-07</v>
          </cell>
          <cell r="B293" t="str">
            <v xml:space="preserve">NASAL SCISSORS, COTTLE, 15.5 CM         </v>
          </cell>
          <cell r="C293" t="str">
            <v xml:space="preserve">                                   </v>
          </cell>
          <cell r="D293" t="str">
            <v xml:space="preserve">DE        </v>
          </cell>
          <cell r="E293">
            <v>90189084</v>
          </cell>
          <cell r="F293">
            <v>1</v>
          </cell>
          <cell r="G293" t="str">
            <v xml:space="preserve">ST          </v>
          </cell>
          <cell r="H293">
            <v>65.2</v>
          </cell>
          <cell r="I293">
            <v>65.2</v>
          </cell>
        </row>
        <row r="294">
          <cell r="A294" t="str">
            <v xml:space="preserve">            </v>
          </cell>
          <cell r="B294" t="str">
            <v xml:space="preserve">GORNEY PLASTIC SURGERY SCISSORS         </v>
          </cell>
          <cell r="C294" t="str">
            <v xml:space="preserve">                                   </v>
          </cell>
          <cell r="D294" t="str">
            <v xml:space="preserve">          </v>
          </cell>
          <cell r="E294" t="str">
            <v xml:space="preserve">                </v>
          </cell>
          <cell r="F294">
            <v>1</v>
          </cell>
          <cell r="G294" t="str">
            <v xml:space="preserve">            </v>
          </cell>
          <cell r="H294" t="str">
            <v xml:space="preserve">               </v>
          </cell>
          <cell r="I294" t="str">
            <v xml:space="preserve">               </v>
          </cell>
        </row>
        <row r="295">
          <cell r="A295" t="str">
            <v>11-306-19-07</v>
          </cell>
          <cell r="B295" t="str">
            <v>Scissors, Gorney, straight, serr., 20 cm</v>
          </cell>
          <cell r="C295" t="str">
            <v xml:space="preserve">                                   </v>
          </cell>
          <cell r="D295" t="str">
            <v xml:space="preserve">DE        </v>
          </cell>
          <cell r="E295">
            <v>90189084</v>
          </cell>
          <cell r="F295">
            <v>1</v>
          </cell>
          <cell r="G295" t="str">
            <v xml:space="preserve">ST          </v>
          </cell>
          <cell r="H295">
            <v>61.3</v>
          </cell>
          <cell r="I295">
            <v>61.3</v>
          </cell>
        </row>
        <row r="296">
          <cell r="A296" t="str">
            <v xml:space="preserve">            </v>
          </cell>
          <cell r="B296" t="str">
            <v xml:space="preserve">GORNEY PLASTIC SURGERY SCISSORS         </v>
          </cell>
          <cell r="C296" t="str">
            <v xml:space="preserve">                                   </v>
          </cell>
          <cell r="D296" t="str">
            <v xml:space="preserve">          </v>
          </cell>
          <cell r="E296" t="str">
            <v xml:space="preserve">                </v>
          </cell>
          <cell r="F296">
            <v>1</v>
          </cell>
          <cell r="G296" t="str">
            <v xml:space="preserve">            </v>
          </cell>
          <cell r="H296" t="str">
            <v xml:space="preserve">               </v>
          </cell>
          <cell r="I296" t="str">
            <v xml:space="preserve">               </v>
          </cell>
        </row>
        <row r="297">
          <cell r="A297" t="str">
            <v>11-307-19-07</v>
          </cell>
          <cell r="B297" t="str">
            <v xml:space="preserve">Scissors, Gorney, curved, serr., 20 cm  </v>
          </cell>
          <cell r="C297" t="str">
            <v xml:space="preserve">                                   </v>
          </cell>
          <cell r="D297" t="str">
            <v xml:space="preserve">DE        </v>
          </cell>
          <cell r="E297">
            <v>90189084</v>
          </cell>
          <cell r="F297">
            <v>1</v>
          </cell>
          <cell r="G297" t="str">
            <v xml:space="preserve">ST          </v>
          </cell>
          <cell r="H297">
            <v>60.9</v>
          </cell>
          <cell r="I297">
            <v>60.9</v>
          </cell>
        </row>
        <row r="298">
          <cell r="A298" t="str">
            <v xml:space="preserve">            </v>
          </cell>
          <cell r="B298" t="str">
            <v xml:space="preserve">FREEMAN RHYTIDECTOMY SCISSORS           </v>
          </cell>
          <cell r="C298" t="str">
            <v xml:space="preserve">                                   </v>
          </cell>
          <cell r="D298" t="str">
            <v xml:space="preserve">          </v>
          </cell>
          <cell r="E298" t="str">
            <v xml:space="preserve">                </v>
          </cell>
          <cell r="F298">
            <v>1</v>
          </cell>
          <cell r="G298" t="str">
            <v xml:space="preserve">            </v>
          </cell>
          <cell r="H298" t="str">
            <v xml:space="preserve">               </v>
          </cell>
          <cell r="I298" t="str">
            <v xml:space="preserve">               </v>
          </cell>
        </row>
        <row r="299">
          <cell r="A299" t="str">
            <v>11-969-17-07</v>
          </cell>
          <cell r="B299" t="str">
            <v xml:space="preserve">TC-Scissor, Gorney-Freeman, cvd., 17 cm </v>
          </cell>
          <cell r="C299" t="str">
            <v xml:space="preserve">                                   </v>
          </cell>
          <cell r="D299" t="str">
            <v xml:space="preserve">DE        </v>
          </cell>
          <cell r="E299">
            <v>90189084</v>
          </cell>
          <cell r="F299">
            <v>1</v>
          </cell>
          <cell r="G299" t="str">
            <v xml:space="preserve">ST          </v>
          </cell>
          <cell r="H299">
            <v>155.5</v>
          </cell>
          <cell r="I299">
            <v>155.5</v>
          </cell>
        </row>
        <row r="300">
          <cell r="A300" t="str">
            <v xml:space="preserve">            </v>
          </cell>
          <cell r="B300" t="str">
            <v xml:space="preserve">STEVENS TENOTOMY SCISSORS               </v>
          </cell>
          <cell r="C300" t="str">
            <v xml:space="preserve">                                   </v>
          </cell>
          <cell r="D300" t="str">
            <v xml:space="preserve">          </v>
          </cell>
          <cell r="E300" t="str">
            <v xml:space="preserve">                </v>
          </cell>
          <cell r="F300">
            <v>1</v>
          </cell>
          <cell r="G300" t="str">
            <v xml:space="preserve">            </v>
          </cell>
          <cell r="H300" t="str">
            <v xml:space="preserve">               </v>
          </cell>
          <cell r="I300" t="str">
            <v xml:space="preserve">               </v>
          </cell>
        </row>
        <row r="301">
          <cell r="A301" t="str">
            <v>11-364-14-07</v>
          </cell>
          <cell r="B301" t="str">
            <v xml:space="preserve">Scissor, Diss., Reynolds, str., 14 cm   </v>
          </cell>
          <cell r="C301" t="str">
            <v xml:space="preserve">                                   </v>
          </cell>
          <cell r="D301" t="str">
            <v xml:space="preserve">MY        </v>
          </cell>
          <cell r="E301">
            <v>90189084</v>
          </cell>
          <cell r="F301">
            <v>1</v>
          </cell>
          <cell r="G301" t="str">
            <v xml:space="preserve">ST          </v>
          </cell>
          <cell r="H301">
            <v>49.3</v>
          </cell>
          <cell r="I301">
            <v>49.3</v>
          </cell>
        </row>
        <row r="302">
          <cell r="A302" t="str">
            <v xml:space="preserve">            </v>
          </cell>
          <cell r="B302" t="str">
            <v xml:space="preserve">STEVENS TENOTOMY SCISSORS               </v>
          </cell>
          <cell r="C302" t="str">
            <v xml:space="preserve">                                   </v>
          </cell>
          <cell r="D302" t="str">
            <v xml:space="preserve">          </v>
          </cell>
          <cell r="E302" t="str">
            <v xml:space="preserve">                </v>
          </cell>
          <cell r="F302">
            <v>1</v>
          </cell>
          <cell r="G302" t="str">
            <v xml:space="preserve">            </v>
          </cell>
          <cell r="H302" t="str">
            <v xml:space="preserve">               </v>
          </cell>
          <cell r="I302" t="str">
            <v xml:space="preserve">               </v>
          </cell>
        </row>
        <row r="303">
          <cell r="A303" t="str">
            <v>11-365-14-07</v>
          </cell>
          <cell r="B303" t="str">
            <v xml:space="preserve">Scissor, Diss., Reynolds, cvd., 14 cm   </v>
          </cell>
          <cell r="C303" t="str">
            <v xml:space="preserve">                                   </v>
          </cell>
          <cell r="D303" t="str">
            <v xml:space="preserve">MY        </v>
          </cell>
          <cell r="E303">
            <v>90189084</v>
          </cell>
          <cell r="F303">
            <v>1</v>
          </cell>
          <cell r="G303" t="str">
            <v xml:space="preserve">ST          </v>
          </cell>
          <cell r="H303">
            <v>51.8</v>
          </cell>
          <cell r="I303">
            <v>51.8</v>
          </cell>
        </row>
        <row r="304">
          <cell r="A304" t="str">
            <v xml:space="preserve">            </v>
          </cell>
          <cell r="B304" t="str">
            <v xml:space="preserve">COTTLE SEPTUM SPECULUM                  </v>
          </cell>
          <cell r="C304" t="str">
            <v xml:space="preserve">                                   </v>
          </cell>
          <cell r="D304" t="str">
            <v xml:space="preserve">          </v>
          </cell>
          <cell r="E304" t="str">
            <v xml:space="preserve">                </v>
          </cell>
          <cell r="F304">
            <v>1</v>
          </cell>
          <cell r="G304" t="str">
            <v xml:space="preserve">            </v>
          </cell>
          <cell r="H304" t="str">
            <v xml:space="preserve">               </v>
          </cell>
          <cell r="I304" t="str">
            <v xml:space="preserve">               </v>
          </cell>
        </row>
        <row r="305">
          <cell r="A305" t="str">
            <v>36-859-50-07</v>
          </cell>
          <cell r="B305" t="str">
            <v xml:space="preserve">NASAL SPECULUM, COTTLE, 50 MM, NO. 2    </v>
          </cell>
          <cell r="C305" t="str">
            <v xml:space="preserve">                                   </v>
          </cell>
          <cell r="D305" t="str">
            <v xml:space="preserve">MY        </v>
          </cell>
          <cell r="E305">
            <v>90189084</v>
          </cell>
          <cell r="F305">
            <v>1</v>
          </cell>
          <cell r="G305" t="str">
            <v xml:space="preserve">ST          </v>
          </cell>
          <cell r="H305">
            <v>161</v>
          </cell>
          <cell r="I305">
            <v>161</v>
          </cell>
        </row>
        <row r="306">
          <cell r="A306" t="str">
            <v>36-859-75-07</v>
          </cell>
          <cell r="B306" t="str">
            <v xml:space="preserve">NASAL SPECULUM, COTTLE, 75 MM, NO. 3    </v>
          </cell>
          <cell r="C306" t="str">
            <v xml:space="preserve">                                   </v>
          </cell>
          <cell r="D306" t="str">
            <v xml:space="preserve">MY        </v>
          </cell>
          <cell r="E306">
            <v>90189084</v>
          </cell>
          <cell r="F306">
            <v>1</v>
          </cell>
          <cell r="G306" t="str">
            <v xml:space="preserve">ST          </v>
          </cell>
          <cell r="H306">
            <v>161</v>
          </cell>
          <cell r="I306">
            <v>161</v>
          </cell>
        </row>
        <row r="307">
          <cell r="A307" t="str">
            <v xml:space="preserve">            </v>
          </cell>
          <cell r="B307" t="str">
            <v xml:space="preserve">FERGUSON FRAZIER SUCTION TUBE           </v>
          </cell>
          <cell r="C307" t="str">
            <v xml:space="preserve">                                   </v>
          </cell>
          <cell r="D307" t="str">
            <v xml:space="preserve">          </v>
          </cell>
          <cell r="E307" t="str">
            <v xml:space="preserve">                </v>
          </cell>
          <cell r="F307">
            <v>1</v>
          </cell>
          <cell r="G307" t="str">
            <v xml:space="preserve">            </v>
          </cell>
          <cell r="H307" t="str">
            <v xml:space="preserve">               </v>
          </cell>
          <cell r="I307" t="str">
            <v xml:space="preserve">               </v>
          </cell>
        </row>
        <row r="308">
          <cell r="A308" t="str">
            <v>18-524-81-01</v>
          </cell>
          <cell r="B308" t="str">
            <v xml:space="preserve">Suct. tube, Fergusson, ø 2,0 mm, 20 cm  </v>
          </cell>
          <cell r="C308" t="str">
            <v xml:space="preserve">                                   </v>
          </cell>
          <cell r="D308" t="str">
            <v xml:space="preserve">MY        </v>
          </cell>
          <cell r="E308">
            <v>90183900</v>
          </cell>
          <cell r="F308">
            <v>1</v>
          </cell>
          <cell r="G308" t="str">
            <v xml:space="preserve">ST          </v>
          </cell>
          <cell r="H308">
            <v>32.700000000000003</v>
          </cell>
          <cell r="I308">
            <v>32.700000000000003</v>
          </cell>
        </row>
        <row r="309">
          <cell r="A309" t="str">
            <v>18-524-82-01</v>
          </cell>
          <cell r="B309" t="str">
            <v xml:space="preserve">Suct. tube, Fergusson, ø 2,5 mm, 20 cm  </v>
          </cell>
          <cell r="C309" t="str">
            <v xml:space="preserve">                                   </v>
          </cell>
          <cell r="D309" t="str">
            <v xml:space="preserve">MY        </v>
          </cell>
          <cell r="E309">
            <v>90183900</v>
          </cell>
          <cell r="F309">
            <v>1</v>
          </cell>
          <cell r="G309" t="str">
            <v xml:space="preserve">ST          </v>
          </cell>
          <cell r="H309">
            <v>32.700000000000003</v>
          </cell>
          <cell r="I309">
            <v>32.700000000000003</v>
          </cell>
        </row>
        <row r="310">
          <cell r="A310" t="str">
            <v>18-524-83-01</v>
          </cell>
          <cell r="B310" t="str">
            <v xml:space="preserve">Suct. tube, Fergusson, ø 3,0 mm, 20 cm  </v>
          </cell>
          <cell r="C310" t="str">
            <v xml:space="preserve">                                   </v>
          </cell>
          <cell r="D310" t="str">
            <v xml:space="preserve">MY        </v>
          </cell>
          <cell r="E310">
            <v>90183900</v>
          </cell>
          <cell r="F310">
            <v>1</v>
          </cell>
          <cell r="G310" t="str">
            <v xml:space="preserve">ST          </v>
          </cell>
          <cell r="H310">
            <v>32.700000000000003</v>
          </cell>
          <cell r="I310">
            <v>32.700000000000003</v>
          </cell>
        </row>
        <row r="311">
          <cell r="A311" t="str">
            <v xml:space="preserve">            </v>
          </cell>
          <cell r="B311" t="str">
            <v xml:space="preserve">MIXTER BABY HEMOSTATIC FORECEPS         </v>
          </cell>
          <cell r="C311" t="str">
            <v xml:space="preserve">                                   </v>
          </cell>
          <cell r="D311" t="str">
            <v xml:space="preserve">          </v>
          </cell>
          <cell r="E311" t="str">
            <v xml:space="preserve">                </v>
          </cell>
          <cell r="F311">
            <v>1</v>
          </cell>
          <cell r="G311" t="str">
            <v xml:space="preserve">            </v>
          </cell>
          <cell r="H311" t="str">
            <v xml:space="preserve">               </v>
          </cell>
          <cell r="I311" t="str">
            <v xml:space="preserve">               </v>
          </cell>
        </row>
        <row r="312">
          <cell r="A312" t="str">
            <v>13-471-14-07</v>
          </cell>
          <cell r="B312" t="str">
            <v xml:space="preserve">DISS. FORCEPS, MIXTER-BABY, CVD., 13 CM </v>
          </cell>
          <cell r="C312" t="str">
            <v xml:space="preserve">                                   </v>
          </cell>
          <cell r="D312" t="str">
            <v xml:space="preserve">MY        </v>
          </cell>
          <cell r="E312">
            <v>90189084</v>
          </cell>
          <cell r="F312">
            <v>4</v>
          </cell>
          <cell r="G312" t="str">
            <v xml:space="preserve">ST          </v>
          </cell>
          <cell r="H312">
            <v>59.4</v>
          </cell>
          <cell r="I312">
            <v>237.6</v>
          </cell>
        </row>
        <row r="313">
          <cell r="A313" t="str">
            <v>13-451-16-07</v>
          </cell>
          <cell r="B313" t="str">
            <v xml:space="preserve">DISS. FORCEPS, GEMINI, STR. CVD., 16 CM </v>
          </cell>
          <cell r="C313" t="str">
            <v xml:space="preserve">                                   </v>
          </cell>
          <cell r="D313" t="str">
            <v xml:space="preserve">MY        </v>
          </cell>
          <cell r="E313">
            <v>90189084</v>
          </cell>
          <cell r="F313">
            <v>2</v>
          </cell>
          <cell r="G313" t="str">
            <v xml:space="preserve">ST          </v>
          </cell>
          <cell r="H313">
            <v>86.3</v>
          </cell>
          <cell r="I313">
            <v>172.6</v>
          </cell>
        </row>
        <row r="314">
          <cell r="A314" t="str">
            <v>13-419-18-07</v>
          </cell>
          <cell r="B314" t="str">
            <v>DISS. FORCEPS, BABY-MIXTER, CVD., 18.5CM</v>
          </cell>
          <cell r="C314" t="str">
            <v xml:space="preserve">                                   </v>
          </cell>
          <cell r="D314" t="str">
            <v xml:space="preserve">DE        </v>
          </cell>
          <cell r="E314">
            <v>90189084</v>
          </cell>
          <cell r="F314">
            <v>6</v>
          </cell>
          <cell r="G314" t="str">
            <v xml:space="preserve">ST          </v>
          </cell>
          <cell r="H314">
            <v>69.8</v>
          </cell>
          <cell r="I314">
            <v>418.8</v>
          </cell>
        </row>
        <row r="315">
          <cell r="A315" t="str">
            <v xml:space="preserve">            </v>
          </cell>
          <cell r="B315" t="str">
            <v xml:space="preserve">SENN MILLER RETRACTOR                   </v>
          </cell>
          <cell r="C315" t="str">
            <v xml:space="preserve">                                   </v>
          </cell>
          <cell r="D315" t="str">
            <v xml:space="preserve">          </v>
          </cell>
          <cell r="E315" t="str">
            <v xml:space="preserve">                </v>
          </cell>
          <cell r="F315">
            <v>1</v>
          </cell>
          <cell r="G315" t="str">
            <v xml:space="preserve">            </v>
          </cell>
          <cell r="H315" t="str">
            <v xml:space="preserve">               </v>
          </cell>
          <cell r="I315" t="str">
            <v xml:space="preserve">               </v>
          </cell>
        </row>
        <row r="316">
          <cell r="A316" t="str">
            <v>15-167-16-07</v>
          </cell>
          <cell r="B316" t="str">
            <v xml:space="preserve">HOOKLET, SENN-MUELLER, BLUNT, 16 CM     </v>
          </cell>
          <cell r="C316" t="str">
            <v xml:space="preserve">                                   </v>
          </cell>
          <cell r="D316" t="str">
            <v xml:space="preserve">DE        </v>
          </cell>
          <cell r="E316">
            <v>90189084</v>
          </cell>
          <cell r="F316">
            <v>2</v>
          </cell>
          <cell r="G316" t="str">
            <v xml:space="preserve">ST          </v>
          </cell>
          <cell r="H316">
            <v>24.8</v>
          </cell>
          <cell r="I316">
            <v>49.6</v>
          </cell>
        </row>
        <row r="317">
          <cell r="A317" t="str">
            <v xml:space="preserve">            </v>
          </cell>
          <cell r="B317" t="str">
            <v xml:space="preserve">LANGEN BARK RETRACTOR                   </v>
          </cell>
          <cell r="C317" t="str">
            <v xml:space="preserve">                                   </v>
          </cell>
          <cell r="D317" t="str">
            <v xml:space="preserve">          </v>
          </cell>
          <cell r="E317" t="str">
            <v xml:space="preserve">                </v>
          </cell>
          <cell r="F317">
            <v>1</v>
          </cell>
          <cell r="G317" t="str">
            <v xml:space="preserve">            </v>
          </cell>
          <cell r="H317" t="str">
            <v xml:space="preserve">               </v>
          </cell>
          <cell r="I317" t="str">
            <v xml:space="preserve">               </v>
          </cell>
        </row>
        <row r="318">
          <cell r="A318" t="str">
            <v>15-317-01-07</v>
          </cell>
          <cell r="B318" t="str">
            <v>RETRACT., KOCHER-LANG., 25X6 MM, 21.5 CM</v>
          </cell>
          <cell r="C318" t="str">
            <v xml:space="preserve">                                   </v>
          </cell>
          <cell r="D318" t="str">
            <v xml:space="preserve">DE        </v>
          </cell>
          <cell r="E318">
            <v>90189084</v>
          </cell>
          <cell r="F318">
            <v>2</v>
          </cell>
          <cell r="G318" t="str">
            <v xml:space="preserve">ST          </v>
          </cell>
          <cell r="H318">
            <v>59</v>
          </cell>
          <cell r="I318">
            <v>118</v>
          </cell>
        </row>
        <row r="319">
          <cell r="A319" t="str">
            <v xml:space="preserve">            </v>
          </cell>
          <cell r="B319" t="str">
            <v xml:space="preserve">KELLAY HEMOSTATIC FORCEPS               </v>
          </cell>
          <cell r="C319" t="str">
            <v xml:space="preserve">                                   </v>
          </cell>
          <cell r="D319" t="str">
            <v xml:space="preserve">          </v>
          </cell>
          <cell r="E319" t="str">
            <v xml:space="preserve">                </v>
          </cell>
          <cell r="F319">
            <v>1</v>
          </cell>
          <cell r="G319" t="str">
            <v xml:space="preserve">            </v>
          </cell>
          <cell r="H319" t="str">
            <v xml:space="preserve">               </v>
          </cell>
          <cell r="I319" t="str">
            <v xml:space="preserve">               </v>
          </cell>
        </row>
        <row r="320">
          <cell r="A320" t="str">
            <v>13-331-14-07</v>
          </cell>
          <cell r="B320" t="str">
            <v xml:space="preserve">HAEM. FORCEPS, KELLY, CVD., 14 CM       </v>
          </cell>
          <cell r="C320" t="str">
            <v xml:space="preserve">                                   </v>
          </cell>
          <cell r="D320" t="str">
            <v xml:space="preserve">MY        </v>
          </cell>
          <cell r="E320">
            <v>90189084</v>
          </cell>
          <cell r="F320">
            <v>6</v>
          </cell>
          <cell r="G320" t="str">
            <v xml:space="preserve">ST          </v>
          </cell>
          <cell r="H320">
            <v>22.7</v>
          </cell>
          <cell r="I320">
            <v>136.19999999999999</v>
          </cell>
        </row>
        <row r="321">
          <cell r="A321" t="str">
            <v xml:space="preserve">            </v>
          </cell>
          <cell r="B321" t="str">
            <v xml:space="preserve">CAIRNS (DANDY) HEMOSTATIC FORCEPS       </v>
          </cell>
          <cell r="C321" t="str">
            <v xml:space="preserve">                                   </v>
          </cell>
          <cell r="D321" t="str">
            <v xml:space="preserve">          </v>
          </cell>
          <cell r="E321" t="str">
            <v xml:space="preserve">                </v>
          </cell>
          <cell r="F321">
            <v>1</v>
          </cell>
          <cell r="G321" t="str">
            <v xml:space="preserve">            </v>
          </cell>
          <cell r="H321" t="str">
            <v xml:space="preserve">               </v>
          </cell>
          <cell r="I321" t="str">
            <v xml:space="preserve">               </v>
          </cell>
        </row>
        <row r="322">
          <cell r="A322" t="str">
            <v>13-355-14-07</v>
          </cell>
          <cell r="B322" t="str">
            <v xml:space="preserve">FORCEPS, DANDY, CVD. SIDEW., 14.5 CM    </v>
          </cell>
          <cell r="C322" t="str">
            <v xml:space="preserve">                                   </v>
          </cell>
          <cell r="D322" t="str">
            <v xml:space="preserve">MY        </v>
          </cell>
          <cell r="E322">
            <v>90189084</v>
          </cell>
          <cell r="F322">
            <v>6</v>
          </cell>
          <cell r="G322" t="str">
            <v xml:space="preserve">ST          </v>
          </cell>
          <cell r="H322">
            <v>51.6</v>
          </cell>
          <cell r="I322">
            <v>309.60000000000002</v>
          </cell>
        </row>
        <row r="323">
          <cell r="A323" t="str">
            <v xml:space="preserve">            </v>
          </cell>
          <cell r="B323" t="str">
            <v xml:space="preserve">INSTRUMENT TRAY COVERED                 </v>
          </cell>
          <cell r="C323" t="str">
            <v xml:space="preserve">                                   </v>
          </cell>
          <cell r="D323" t="str">
            <v xml:space="preserve">          </v>
          </cell>
          <cell r="E323" t="str">
            <v xml:space="preserve">                </v>
          </cell>
          <cell r="F323">
            <v>1</v>
          </cell>
          <cell r="G323" t="str">
            <v xml:space="preserve">            </v>
          </cell>
          <cell r="H323" t="str">
            <v xml:space="preserve">               </v>
          </cell>
          <cell r="I323" t="str">
            <v xml:space="preserve">               </v>
          </cell>
        </row>
        <row r="324">
          <cell r="A324" t="str">
            <v>55-804-56-01</v>
          </cell>
          <cell r="B324" t="str">
            <v xml:space="preserve">marTray, 1/1, 532x251x64 mm             </v>
          </cell>
          <cell r="C324" t="str">
            <v xml:space="preserve">                                   </v>
          </cell>
          <cell r="D324" t="str">
            <v xml:space="preserve">DE        </v>
          </cell>
          <cell r="E324">
            <v>73269098</v>
          </cell>
          <cell r="F324">
            <v>1</v>
          </cell>
          <cell r="G324" t="str">
            <v xml:space="preserve">ST          </v>
          </cell>
          <cell r="H324">
            <v>136.5</v>
          </cell>
          <cell r="I324">
            <v>136.5</v>
          </cell>
        </row>
        <row r="325">
          <cell r="A325" t="str">
            <v xml:space="preserve">            </v>
          </cell>
          <cell r="B325" t="str">
            <v xml:space="preserve">FURGUOSEN MOUTH GAG                     </v>
          </cell>
          <cell r="C325" t="str">
            <v xml:space="preserve">                                   </v>
          </cell>
          <cell r="D325" t="str">
            <v xml:space="preserve">          </v>
          </cell>
          <cell r="E325" t="str">
            <v xml:space="preserve">                </v>
          </cell>
          <cell r="F325">
            <v>1</v>
          </cell>
          <cell r="G325" t="str">
            <v xml:space="preserve">            </v>
          </cell>
          <cell r="H325" t="str">
            <v xml:space="preserve">               </v>
          </cell>
          <cell r="I325" t="str">
            <v xml:space="preserve">               </v>
          </cell>
        </row>
        <row r="326">
          <cell r="A326" t="str">
            <v>38-161-14-07</v>
          </cell>
          <cell r="B326" t="str">
            <v xml:space="preserve">MOUTH GAG, MOLT, F. ADULTS, 13 CM       </v>
          </cell>
          <cell r="C326" t="str">
            <v xml:space="preserve">                                   </v>
          </cell>
          <cell r="D326" t="str">
            <v xml:space="preserve">DE        </v>
          </cell>
          <cell r="E326">
            <v>90189084</v>
          </cell>
          <cell r="F326">
            <v>1</v>
          </cell>
          <cell r="G326" t="str">
            <v xml:space="preserve">ST          </v>
          </cell>
          <cell r="H326">
            <v>221.5</v>
          </cell>
          <cell r="I326">
            <v>221.5</v>
          </cell>
        </row>
        <row r="327">
          <cell r="A327" t="str">
            <v xml:space="preserve">            </v>
          </cell>
          <cell r="B327" t="str">
            <v xml:space="preserve">DEAVER RETRACHOR SIZE                   </v>
          </cell>
          <cell r="C327" t="str">
            <v xml:space="preserve">                                   </v>
          </cell>
          <cell r="D327" t="str">
            <v xml:space="preserve">          </v>
          </cell>
          <cell r="E327" t="str">
            <v xml:space="preserve">                </v>
          </cell>
          <cell r="F327">
            <v>1</v>
          </cell>
          <cell r="G327" t="str">
            <v xml:space="preserve">            </v>
          </cell>
          <cell r="H327" t="str">
            <v xml:space="preserve">               </v>
          </cell>
          <cell r="I327" t="str">
            <v xml:space="preserve">               </v>
          </cell>
        </row>
        <row r="328">
          <cell r="A328" t="str">
            <v>15-591-07-07</v>
          </cell>
          <cell r="B328" t="str">
            <v xml:space="preserve">RETRACTOR, DEAVER, 38 MM WIDE, 32 CM    </v>
          </cell>
          <cell r="C328" t="str">
            <v xml:space="preserve">                                   </v>
          </cell>
          <cell r="D328" t="str">
            <v xml:space="preserve">DE        </v>
          </cell>
          <cell r="E328">
            <v>90189084</v>
          </cell>
          <cell r="F328">
            <v>2</v>
          </cell>
          <cell r="G328" t="str">
            <v xml:space="preserve">ST          </v>
          </cell>
          <cell r="H328">
            <v>39.4</v>
          </cell>
          <cell r="I328">
            <v>78.8</v>
          </cell>
        </row>
        <row r="329">
          <cell r="A329" t="str">
            <v>15-591-08-07</v>
          </cell>
          <cell r="B329" t="str">
            <v xml:space="preserve">RETRACTOR, DEAVER, 50 MM WIDE, 31.5 CM  </v>
          </cell>
          <cell r="C329" t="str">
            <v xml:space="preserve">                                   </v>
          </cell>
          <cell r="D329" t="str">
            <v xml:space="preserve">DE        </v>
          </cell>
          <cell r="E329">
            <v>90189084</v>
          </cell>
          <cell r="F329">
            <v>2</v>
          </cell>
          <cell r="G329" t="str">
            <v xml:space="preserve">ST          </v>
          </cell>
          <cell r="H329">
            <v>57.1</v>
          </cell>
          <cell r="I329">
            <v>114.2</v>
          </cell>
        </row>
        <row r="330">
          <cell r="A330" t="str">
            <v xml:space="preserve">            </v>
          </cell>
          <cell r="B330" t="str">
            <v xml:space="preserve">BRAND TENDON PULLING FORCEPS            </v>
          </cell>
          <cell r="C330" t="str">
            <v xml:space="preserve">                                   </v>
          </cell>
          <cell r="D330" t="str">
            <v xml:space="preserve">          </v>
          </cell>
          <cell r="E330" t="str">
            <v xml:space="preserve">                </v>
          </cell>
          <cell r="F330">
            <v>1</v>
          </cell>
          <cell r="G330" t="str">
            <v xml:space="preserve">            </v>
          </cell>
          <cell r="H330" t="str">
            <v xml:space="preserve">               </v>
          </cell>
          <cell r="I330" t="str">
            <v xml:space="preserve">               </v>
          </cell>
        </row>
        <row r="331">
          <cell r="A331" t="str">
            <v>23-676-19-07</v>
          </cell>
          <cell r="B331" t="str">
            <v xml:space="preserve">TENDON PULLING FORCEPS, BRAND, 19 CM    </v>
          </cell>
          <cell r="C331" t="str">
            <v xml:space="preserve">                                   </v>
          </cell>
          <cell r="D331" t="str">
            <v xml:space="preserve">DE        </v>
          </cell>
          <cell r="E331">
            <v>90189084</v>
          </cell>
          <cell r="F331">
            <v>1</v>
          </cell>
          <cell r="G331" t="str">
            <v xml:space="preserve">ST          </v>
          </cell>
          <cell r="H331">
            <v>359</v>
          </cell>
          <cell r="I331">
            <v>359</v>
          </cell>
        </row>
        <row r="332">
          <cell r="A332" t="str">
            <v>23-679-11-07</v>
          </cell>
          <cell r="B332" t="str">
            <v xml:space="preserve">TENDON SEIZING FORCEPS, CVD., 11.5 CM   </v>
          </cell>
          <cell r="C332" t="str">
            <v xml:space="preserve">                                   </v>
          </cell>
          <cell r="D332" t="str">
            <v xml:space="preserve">DE        </v>
          </cell>
          <cell r="E332">
            <v>90189084</v>
          </cell>
          <cell r="F332">
            <v>1</v>
          </cell>
          <cell r="G332" t="str">
            <v xml:space="preserve">ST          </v>
          </cell>
          <cell r="H332">
            <v>294.5</v>
          </cell>
          <cell r="I332">
            <v>294.5</v>
          </cell>
        </row>
        <row r="333">
          <cell r="A333" t="str">
            <v xml:space="preserve">            </v>
          </cell>
          <cell r="B333" t="str">
            <v xml:space="preserve">EMESIS BASIN (KIDNEYTRAY)               </v>
          </cell>
          <cell r="C333" t="str">
            <v xml:space="preserve">                                   </v>
          </cell>
          <cell r="D333" t="str">
            <v xml:space="preserve">          </v>
          </cell>
          <cell r="E333" t="str">
            <v xml:space="preserve">                </v>
          </cell>
          <cell r="F333">
            <v>1</v>
          </cell>
          <cell r="G333" t="str">
            <v xml:space="preserve">            </v>
          </cell>
          <cell r="H333" t="str">
            <v xml:space="preserve">               </v>
          </cell>
          <cell r="I333" t="str">
            <v xml:space="preserve">               </v>
          </cell>
        </row>
        <row r="334">
          <cell r="A334" t="str">
            <v>56-673-25-01</v>
          </cell>
          <cell r="B334" t="str">
            <v xml:space="preserve">KIDNEY DISH, 250X140X40 MM              </v>
          </cell>
          <cell r="C334" t="str">
            <v xml:space="preserve">                                   </v>
          </cell>
          <cell r="D334" t="str">
            <v xml:space="preserve">SE        </v>
          </cell>
          <cell r="E334">
            <v>73269098</v>
          </cell>
          <cell r="F334">
            <v>2</v>
          </cell>
          <cell r="G334" t="str">
            <v xml:space="preserve">ST          </v>
          </cell>
          <cell r="H334">
            <v>11.9</v>
          </cell>
          <cell r="I334">
            <v>23.8</v>
          </cell>
        </row>
        <row r="335">
          <cell r="A335" t="str">
            <v xml:space="preserve">            </v>
          </cell>
          <cell r="B335" t="str">
            <v xml:space="preserve">SPONGE BOWL                             </v>
          </cell>
          <cell r="C335" t="str">
            <v xml:space="preserve">                                   </v>
          </cell>
          <cell r="D335" t="str">
            <v xml:space="preserve">          </v>
          </cell>
          <cell r="E335" t="str">
            <v xml:space="preserve">                </v>
          </cell>
          <cell r="F335">
            <v>1</v>
          </cell>
          <cell r="G335" t="str">
            <v xml:space="preserve">            </v>
          </cell>
          <cell r="H335" t="str">
            <v xml:space="preserve">               </v>
          </cell>
          <cell r="I335" t="str">
            <v xml:space="preserve">               </v>
          </cell>
        </row>
        <row r="336">
          <cell r="A336" t="str">
            <v>56-231-16-01</v>
          </cell>
          <cell r="B336" t="str">
            <v xml:space="preserve">BOWL, METAL, H = 75, Ø 167 MM, 0.9 L    </v>
          </cell>
          <cell r="C336" t="str">
            <v xml:space="preserve">                                   </v>
          </cell>
          <cell r="D336" t="str">
            <v xml:space="preserve">DE        </v>
          </cell>
          <cell r="E336">
            <v>73249000</v>
          </cell>
          <cell r="F336">
            <v>2</v>
          </cell>
          <cell r="G336" t="str">
            <v xml:space="preserve">ST          </v>
          </cell>
          <cell r="H336">
            <v>37.1</v>
          </cell>
          <cell r="I336">
            <v>74.2</v>
          </cell>
        </row>
        <row r="337">
          <cell r="A337" t="str">
            <v>56-231-14-01</v>
          </cell>
          <cell r="B337" t="str">
            <v xml:space="preserve">BOWL, METAL, H = 65, Ø 147 MM, 0.50L    </v>
          </cell>
          <cell r="C337" t="str">
            <v xml:space="preserve">                                   </v>
          </cell>
          <cell r="D337" t="str">
            <v xml:space="preserve">DE        </v>
          </cell>
          <cell r="E337">
            <v>73249000</v>
          </cell>
          <cell r="F337">
            <v>2</v>
          </cell>
          <cell r="G337" t="str">
            <v xml:space="preserve">ST          </v>
          </cell>
          <cell r="H337">
            <v>33</v>
          </cell>
          <cell r="I337">
            <v>66</v>
          </cell>
        </row>
        <row r="338">
          <cell r="A338" t="str">
            <v xml:space="preserve">            </v>
          </cell>
          <cell r="B338" t="str">
            <v xml:space="preserve">CLASSIC SPONGE HOLDING FORCEPS          </v>
          </cell>
          <cell r="C338" t="str">
            <v xml:space="preserve">                                   </v>
          </cell>
          <cell r="D338" t="str">
            <v xml:space="preserve">          </v>
          </cell>
          <cell r="E338" t="str">
            <v xml:space="preserve">                </v>
          </cell>
          <cell r="F338">
            <v>1</v>
          </cell>
          <cell r="G338" t="str">
            <v xml:space="preserve">            </v>
          </cell>
          <cell r="H338" t="str">
            <v xml:space="preserve">               </v>
          </cell>
          <cell r="I338" t="str">
            <v xml:space="preserve">               </v>
          </cell>
        </row>
        <row r="339">
          <cell r="A339" t="str">
            <v>14-352-20-07</v>
          </cell>
          <cell r="B339" t="str">
            <v xml:space="preserve">FORCEPS, FOERSTER, SERR., STR., 20.5 CM </v>
          </cell>
          <cell r="C339" t="str">
            <v xml:space="preserve">                                   </v>
          </cell>
          <cell r="D339" t="str">
            <v xml:space="preserve">MY        </v>
          </cell>
          <cell r="E339">
            <v>90189084</v>
          </cell>
          <cell r="F339">
            <v>4</v>
          </cell>
          <cell r="G339" t="str">
            <v xml:space="preserve">ST          </v>
          </cell>
          <cell r="H339">
            <v>39.799999999999997</v>
          </cell>
          <cell r="I339">
            <v>159.19999999999999</v>
          </cell>
        </row>
        <row r="340">
          <cell r="A340" t="str">
            <v xml:space="preserve">            </v>
          </cell>
          <cell r="B340" t="str">
            <v xml:space="preserve">MIXTER FORCEPS DELICATE                 </v>
          </cell>
          <cell r="C340" t="str">
            <v xml:space="preserve">                                   </v>
          </cell>
          <cell r="D340" t="str">
            <v xml:space="preserve">          </v>
          </cell>
          <cell r="E340" t="str">
            <v xml:space="preserve">                </v>
          </cell>
          <cell r="F340">
            <v>1</v>
          </cell>
          <cell r="G340" t="str">
            <v xml:space="preserve">            </v>
          </cell>
          <cell r="H340" t="str">
            <v xml:space="preserve">               </v>
          </cell>
          <cell r="I340" t="str">
            <v xml:space="preserve">               </v>
          </cell>
        </row>
        <row r="341">
          <cell r="A341" t="str">
            <v>13-485-23-07</v>
          </cell>
          <cell r="B341" t="str">
            <v xml:space="preserve">DISS. FORCEPS, MIXTER, STR. CVD., 23 CM </v>
          </cell>
          <cell r="C341" t="str">
            <v xml:space="preserve">                                   </v>
          </cell>
          <cell r="D341" t="str">
            <v xml:space="preserve">MY        </v>
          </cell>
          <cell r="E341">
            <v>90189084</v>
          </cell>
          <cell r="F341">
            <v>1</v>
          </cell>
          <cell r="G341" t="str">
            <v xml:space="preserve">ST          </v>
          </cell>
          <cell r="H341">
            <v>59.4</v>
          </cell>
          <cell r="I341">
            <v>59.4</v>
          </cell>
        </row>
        <row r="342">
          <cell r="A342" t="str">
            <v>13-487-21-07</v>
          </cell>
          <cell r="B342" t="str">
            <v xml:space="preserve">FORCEPS, WICKSTROEM, ANGELD, 21 CM      </v>
          </cell>
          <cell r="C342" t="str">
            <v xml:space="preserve">                                   </v>
          </cell>
          <cell r="D342" t="str">
            <v xml:space="preserve">DE        </v>
          </cell>
          <cell r="E342">
            <v>90189084</v>
          </cell>
          <cell r="F342">
            <v>1</v>
          </cell>
          <cell r="G342" t="str">
            <v xml:space="preserve">ST          </v>
          </cell>
          <cell r="H342">
            <v>97.4</v>
          </cell>
          <cell r="I342">
            <v>97.4</v>
          </cell>
        </row>
        <row r="343">
          <cell r="A343" t="str">
            <v xml:space="preserve">            </v>
          </cell>
          <cell r="B343" t="str">
            <v xml:space="preserve">BAB COCK CLASSIC TISSUE FORCEPS         </v>
          </cell>
          <cell r="C343" t="str">
            <v xml:space="preserve">                                   </v>
          </cell>
          <cell r="D343" t="str">
            <v xml:space="preserve">          </v>
          </cell>
          <cell r="E343" t="str">
            <v xml:space="preserve">                </v>
          </cell>
          <cell r="F343">
            <v>1</v>
          </cell>
          <cell r="G343" t="str">
            <v xml:space="preserve">            </v>
          </cell>
          <cell r="H343" t="str">
            <v xml:space="preserve">               </v>
          </cell>
          <cell r="I343" t="str">
            <v xml:space="preserve">               </v>
          </cell>
        </row>
        <row r="344">
          <cell r="A344" t="str">
            <v>30-192-16-07</v>
          </cell>
          <cell r="B344" t="str">
            <v xml:space="preserve">TISSUE FORCEPS, BABCOCK, 15,5 CM        </v>
          </cell>
          <cell r="C344" t="str">
            <v xml:space="preserve">                                   </v>
          </cell>
          <cell r="D344" t="str">
            <v xml:space="preserve">MY        </v>
          </cell>
          <cell r="E344">
            <v>90189084</v>
          </cell>
          <cell r="F344">
            <v>4</v>
          </cell>
          <cell r="G344" t="str">
            <v xml:space="preserve">ST          </v>
          </cell>
          <cell r="H344">
            <v>75.5</v>
          </cell>
          <cell r="I344">
            <v>302</v>
          </cell>
        </row>
        <row r="345">
          <cell r="A345" t="str">
            <v xml:space="preserve">            </v>
          </cell>
          <cell r="B345" t="str">
            <v xml:space="preserve">RIBBON MALLEABLE RETRACTOR DOUBLE ENDED </v>
          </cell>
          <cell r="C345" t="str">
            <v xml:space="preserve">                                   </v>
          </cell>
          <cell r="D345" t="str">
            <v xml:space="preserve">          </v>
          </cell>
          <cell r="E345" t="str">
            <v xml:space="preserve">                </v>
          </cell>
          <cell r="F345">
            <v>1</v>
          </cell>
          <cell r="G345" t="str">
            <v xml:space="preserve">            </v>
          </cell>
          <cell r="H345" t="str">
            <v xml:space="preserve">               </v>
          </cell>
          <cell r="I345" t="str">
            <v xml:space="preserve">               </v>
          </cell>
        </row>
        <row r="346">
          <cell r="A346" t="str">
            <v>15-975-13-01</v>
          </cell>
          <cell r="B346" t="str">
            <v xml:space="preserve">SPATULA, MARTIN, MALLEAB., 13 MM, 20 CM </v>
          </cell>
          <cell r="C346" t="str">
            <v xml:space="preserve">                                   </v>
          </cell>
          <cell r="D346" t="str">
            <v xml:space="preserve">MY        </v>
          </cell>
          <cell r="E346">
            <v>90189084</v>
          </cell>
          <cell r="F346">
            <v>1</v>
          </cell>
          <cell r="G346" t="str">
            <v xml:space="preserve">ST          </v>
          </cell>
          <cell r="H346">
            <v>21.3</v>
          </cell>
          <cell r="I346">
            <v>21.3</v>
          </cell>
        </row>
        <row r="347">
          <cell r="A347" t="str">
            <v>15-975-09-01</v>
          </cell>
          <cell r="B347" t="str">
            <v>SPATULA, MARTIN, MALLEAB., 9.5 MM, 20 CM</v>
          </cell>
          <cell r="C347" t="str">
            <v xml:space="preserve">                                   </v>
          </cell>
          <cell r="D347" t="str">
            <v xml:space="preserve">MY        </v>
          </cell>
          <cell r="E347">
            <v>90189084</v>
          </cell>
          <cell r="F347">
            <v>1</v>
          </cell>
          <cell r="G347" t="str">
            <v xml:space="preserve">ST          </v>
          </cell>
          <cell r="H347">
            <v>21.3</v>
          </cell>
          <cell r="I347">
            <v>21.3</v>
          </cell>
        </row>
        <row r="348">
          <cell r="A348" t="str">
            <v>15-975-16-01</v>
          </cell>
          <cell r="B348" t="str">
            <v xml:space="preserve">SPATULA, MARTIN, MALLEAB., 16 MM, 20 CM </v>
          </cell>
          <cell r="C348" t="str">
            <v xml:space="preserve">                                   </v>
          </cell>
          <cell r="D348" t="str">
            <v xml:space="preserve">MY        </v>
          </cell>
          <cell r="E348">
            <v>90189084</v>
          </cell>
          <cell r="F348">
            <v>1</v>
          </cell>
          <cell r="G348" t="str">
            <v xml:space="preserve">ST          </v>
          </cell>
          <cell r="H348">
            <v>21.3</v>
          </cell>
          <cell r="I348">
            <v>21.3</v>
          </cell>
        </row>
        <row r="349">
          <cell r="A349" t="str">
            <v xml:space="preserve">            </v>
          </cell>
          <cell r="B349" t="str">
            <v>LISTERS BANDAGE SCISSORS STANDARD FINGER</v>
          </cell>
          <cell r="C349" t="str">
            <v xml:space="preserve">                                   </v>
          </cell>
          <cell r="D349" t="str">
            <v xml:space="preserve">          </v>
          </cell>
          <cell r="E349" t="str">
            <v xml:space="preserve">                </v>
          </cell>
          <cell r="F349">
            <v>1</v>
          </cell>
          <cell r="G349" t="str">
            <v xml:space="preserve">            </v>
          </cell>
          <cell r="H349" t="str">
            <v xml:space="preserve">               </v>
          </cell>
          <cell r="I349" t="str">
            <v xml:space="preserve">               </v>
          </cell>
        </row>
        <row r="350">
          <cell r="A350" t="str">
            <v>21-165-14-07</v>
          </cell>
          <cell r="B350" t="str">
            <v xml:space="preserve">BANDAGE SCISSORS, LISTER, 14.5 CM       </v>
          </cell>
          <cell r="C350" t="str">
            <v xml:space="preserve">                                   </v>
          </cell>
          <cell r="D350" t="str">
            <v xml:space="preserve">DE        </v>
          </cell>
          <cell r="E350">
            <v>90189084</v>
          </cell>
          <cell r="F350">
            <v>2</v>
          </cell>
          <cell r="G350" t="str">
            <v xml:space="preserve">ST          </v>
          </cell>
          <cell r="H350">
            <v>19.899999999999999</v>
          </cell>
          <cell r="I350">
            <v>39.799999999999997</v>
          </cell>
        </row>
        <row r="351">
          <cell r="A351" t="str">
            <v xml:space="preserve">            </v>
          </cell>
          <cell r="B351" t="str">
            <v xml:space="preserve">DESMARRES EYE LID RETRACTOR             </v>
          </cell>
          <cell r="C351" t="str">
            <v xml:space="preserve">                                   </v>
          </cell>
          <cell r="D351" t="str">
            <v xml:space="preserve">          </v>
          </cell>
          <cell r="E351" t="str">
            <v xml:space="preserve">                </v>
          </cell>
          <cell r="F351">
            <v>1</v>
          </cell>
          <cell r="G351" t="str">
            <v xml:space="preserve">            </v>
          </cell>
          <cell r="H351" t="str">
            <v xml:space="preserve">               </v>
          </cell>
          <cell r="I351" t="str">
            <v xml:space="preserve">               </v>
          </cell>
        </row>
        <row r="352">
          <cell r="A352" t="str">
            <v>15-091-16-07</v>
          </cell>
          <cell r="B352" t="str">
            <v xml:space="preserve">HOOKLET, DESMARRES, 16 MM, 16 CM        </v>
          </cell>
          <cell r="C352" t="str">
            <v xml:space="preserve">                                   </v>
          </cell>
          <cell r="D352" t="str">
            <v xml:space="preserve">DE        </v>
          </cell>
          <cell r="E352">
            <v>90189084</v>
          </cell>
          <cell r="F352">
            <v>2</v>
          </cell>
          <cell r="G352" t="str">
            <v xml:space="preserve">ST          </v>
          </cell>
          <cell r="H352">
            <v>42.4</v>
          </cell>
          <cell r="I352">
            <v>84.8</v>
          </cell>
        </row>
        <row r="353">
          <cell r="A353" t="str">
            <v xml:space="preserve">            </v>
          </cell>
          <cell r="B353" t="str">
            <v xml:space="preserve">Tenzel double ended periosteal elevator </v>
          </cell>
          <cell r="C353" t="str">
            <v xml:space="preserve">                                   </v>
          </cell>
          <cell r="D353" t="str">
            <v xml:space="preserve">          </v>
          </cell>
          <cell r="E353" t="str">
            <v xml:space="preserve">                </v>
          </cell>
          <cell r="F353">
            <v>1</v>
          </cell>
          <cell r="G353" t="str">
            <v xml:space="preserve">            </v>
          </cell>
          <cell r="H353" t="str">
            <v xml:space="preserve">               </v>
          </cell>
          <cell r="I353" t="str">
            <v xml:space="preserve">               </v>
          </cell>
        </row>
        <row r="354">
          <cell r="A354" t="str">
            <v>37-584-21-07</v>
          </cell>
          <cell r="B354" t="str">
            <v xml:space="preserve">ELEVATOR, COTTLE, 4.5 MM, 22 CM         </v>
          </cell>
          <cell r="C354" t="str">
            <v xml:space="preserve">                                   </v>
          </cell>
          <cell r="D354" t="str">
            <v xml:space="preserve">DE        </v>
          </cell>
          <cell r="E354">
            <v>90189084</v>
          </cell>
          <cell r="F354">
            <v>1</v>
          </cell>
          <cell r="G354" t="str">
            <v xml:space="preserve">ST          </v>
          </cell>
          <cell r="H354">
            <v>63.3</v>
          </cell>
          <cell r="I354">
            <v>63.3</v>
          </cell>
        </row>
        <row r="355">
          <cell r="A355" t="str">
            <v>15-070-16-07</v>
          </cell>
          <cell r="B355" t="str">
            <v xml:space="preserve">HOOKLET, O'CONNOR, SHARP, 1-PR., 16 CM  </v>
          </cell>
          <cell r="C355" t="str">
            <v xml:space="preserve">                                   </v>
          </cell>
          <cell r="D355" t="str">
            <v xml:space="preserve">DE        </v>
          </cell>
          <cell r="E355">
            <v>90189084</v>
          </cell>
          <cell r="F355">
            <v>1</v>
          </cell>
          <cell r="G355" t="str">
            <v xml:space="preserve">ST          </v>
          </cell>
          <cell r="H355">
            <v>56.9</v>
          </cell>
          <cell r="I355">
            <v>56.9</v>
          </cell>
        </row>
        <row r="356">
          <cell r="A356" t="str">
            <v>10-878-00-07</v>
          </cell>
          <cell r="B356" t="str">
            <v xml:space="preserve">DERMATOME, HUMBY, COMPLETE, 32 CM       </v>
          </cell>
          <cell r="C356" t="str">
            <v xml:space="preserve">                                   </v>
          </cell>
          <cell r="D356" t="str">
            <v xml:space="preserve">DE        </v>
          </cell>
          <cell r="E356">
            <v>90189084</v>
          </cell>
          <cell r="F356">
            <v>1</v>
          </cell>
          <cell r="G356" t="str">
            <v xml:space="preserve">ST          </v>
          </cell>
          <cell r="H356">
            <v>1090</v>
          </cell>
          <cell r="I356">
            <v>1090</v>
          </cell>
        </row>
        <row r="357">
          <cell r="A357" t="str">
            <v>10-878-01-07</v>
          </cell>
          <cell r="B357" t="str">
            <v xml:space="preserve">SPARE BLADE F. 10-878-00                </v>
          </cell>
          <cell r="C357" t="str">
            <v xml:space="preserve">                                   </v>
          </cell>
          <cell r="D357" t="str">
            <v xml:space="preserve">DE        </v>
          </cell>
          <cell r="E357">
            <v>90189084</v>
          </cell>
          <cell r="F357">
            <v>50</v>
          </cell>
          <cell r="G357" t="str">
            <v xml:space="preserve">ST          </v>
          </cell>
          <cell r="H357">
            <v>10.3</v>
          </cell>
          <cell r="I357">
            <v>515</v>
          </cell>
        </row>
        <row r="358">
          <cell r="A358" t="str">
            <v xml:space="preserve">            </v>
          </cell>
          <cell r="B358" t="str">
            <v xml:space="preserve">Maxillofacial instrument sets           </v>
          </cell>
          <cell r="C358" t="str">
            <v xml:space="preserve">                                   </v>
          </cell>
          <cell r="D358" t="str">
            <v xml:space="preserve">          </v>
          </cell>
          <cell r="E358" t="str">
            <v xml:space="preserve">                </v>
          </cell>
          <cell r="F358">
            <v>1</v>
          </cell>
          <cell r="G358" t="str">
            <v xml:space="preserve">            </v>
          </cell>
          <cell r="H358" t="str">
            <v xml:space="preserve">               </v>
          </cell>
          <cell r="I358" t="str">
            <v xml:space="preserve">               </v>
          </cell>
        </row>
        <row r="359">
          <cell r="A359" t="str">
            <v xml:space="preserve">            </v>
          </cell>
          <cell r="B359" t="str">
            <v xml:space="preserve">Mouth Gags                              </v>
          </cell>
          <cell r="C359" t="str">
            <v xml:space="preserve">                                   </v>
          </cell>
          <cell r="D359" t="str">
            <v xml:space="preserve">          </v>
          </cell>
          <cell r="E359" t="str">
            <v xml:space="preserve">                </v>
          </cell>
          <cell r="F359">
            <v>1</v>
          </cell>
          <cell r="G359" t="str">
            <v xml:space="preserve">            </v>
          </cell>
          <cell r="H359" t="str">
            <v xml:space="preserve">               </v>
          </cell>
          <cell r="I359" t="str">
            <v xml:space="preserve">               </v>
          </cell>
        </row>
        <row r="360">
          <cell r="A360" t="str">
            <v>38-161-14-07</v>
          </cell>
          <cell r="B360" t="str">
            <v xml:space="preserve">MOUTH GAG, MOLT, F. ADULTS, 13 CM       </v>
          </cell>
          <cell r="C360" t="str">
            <v xml:space="preserve">                                   </v>
          </cell>
          <cell r="D360" t="str">
            <v xml:space="preserve">DE        </v>
          </cell>
          <cell r="E360">
            <v>90189084</v>
          </cell>
          <cell r="F360">
            <v>2</v>
          </cell>
          <cell r="G360" t="str">
            <v xml:space="preserve">ST          </v>
          </cell>
          <cell r="H360">
            <v>221.5</v>
          </cell>
          <cell r="I360">
            <v>443</v>
          </cell>
        </row>
        <row r="361">
          <cell r="A361" t="str">
            <v xml:space="preserve">            </v>
          </cell>
          <cell r="B361" t="str">
            <v xml:space="preserve">Tongue Depressors                       </v>
          </cell>
          <cell r="C361" t="str">
            <v xml:space="preserve">                                   </v>
          </cell>
          <cell r="D361" t="str">
            <v xml:space="preserve">          </v>
          </cell>
          <cell r="E361" t="str">
            <v xml:space="preserve">                </v>
          </cell>
          <cell r="F361">
            <v>1</v>
          </cell>
          <cell r="G361" t="str">
            <v xml:space="preserve">            </v>
          </cell>
          <cell r="H361" t="str">
            <v xml:space="preserve">               </v>
          </cell>
          <cell r="I361" t="str">
            <v xml:space="preserve">               </v>
          </cell>
        </row>
        <row r="362">
          <cell r="A362" t="str">
            <v>38-297-02-01</v>
          </cell>
          <cell r="B362" t="str">
            <v xml:space="preserve">TONGUE DEPRESSOR, WIEDER, 43 MM, 15 CM  </v>
          </cell>
          <cell r="C362" t="str">
            <v xml:space="preserve">                                   </v>
          </cell>
          <cell r="D362" t="str">
            <v xml:space="preserve">DE        </v>
          </cell>
          <cell r="E362">
            <v>90189084</v>
          </cell>
          <cell r="F362">
            <v>1</v>
          </cell>
          <cell r="G362" t="str">
            <v xml:space="preserve">ST          </v>
          </cell>
          <cell r="H362">
            <v>25.6</v>
          </cell>
          <cell r="I362">
            <v>25.6</v>
          </cell>
        </row>
        <row r="363">
          <cell r="A363" t="str">
            <v>38-297-01-01</v>
          </cell>
          <cell r="B363" t="str">
            <v xml:space="preserve">TONGUE DEPRESSOR, WIEDER, 36 MM, 14 CM  </v>
          </cell>
          <cell r="C363" t="str">
            <v xml:space="preserve">                                   </v>
          </cell>
          <cell r="D363" t="str">
            <v xml:space="preserve">DE        </v>
          </cell>
          <cell r="E363">
            <v>90189084</v>
          </cell>
          <cell r="F363">
            <v>1</v>
          </cell>
          <cell r="G363" t="str">
            <v xml:space="preserve">ST          </v>
          </cell>
          <cell r="H363">
            <v>25.6</v>
          </cell>
          <cell r="I363">
            <v>25.6</v>
          </cell>
        </row>
        <row r="364">
          <cell r="A364" t="str">
            <v xml:space="preserve">            </v>
          </cell>
          <cell r="B364" t="str">
            <v xml:space="preserve">Mouth Props                             </v>
          </cell>
          <cell r="C364" t="str">
            <v xml:space="preserve">                                   </v>
          </cell>
          <cell r="D364" t="str">
            <v xml:space="preserve">          </v>
          </cell>
          <cell r="E364" t="str">
            <v xml:space="preserve">                </v>
          </cell>
          <cell r="F364">
            <v>1</v>
          </cell>
          <cell r="G364" t="str">
            <v xml:space="preserve">            </v>
          </cell>
          <cell r="H364" t="str">
            <v xml:space="preserve">               </v>
          </cell>
          <cell r="I364" t="str">
            <v xml:space="preserve">               </v>
          </cell>
        </row>
        <row r="365">
          <cell r="A365" t="str">
            <v>38-130-58-07</v>
          </cell>
          <cell r="B365" t="str">
            <v xml:space="preserve">MOUTH PROP, MCKESSON, S, F. INFANTS     </v>
          </cell>
          <cell r="C365" t="str">
            <v xml:space="preserve">                                   </v>
          </cell>
          <cell r="D365" t="str">
            <v xml:space="preserve">US        </v>
          </cell>
          <cell r="E365">
            <v>90189084</v>
          </cell>
          <cell r="F365">
            <v>1</v>
          </cell>
          <cell r="G365" t="str">
            <v xml:space="preserve">ST          </v>
          </cell>
          <cell r="H365">
            <v>48.2</v>
          </cell>
          <cell r="I365">
            <v>48.2</v>
          </cell>
        </row>
        <row r="366">
          <cell r="A366" t="str">
            <v>38-130-56-07</v>
          </cell>
          <cell r="B366" t="str">
            <v xml:space="preserve">MOUTH PROP, MCKESSON, S, F. CHILDES     </v>
          </cell>
          <cell r="C366" t="str">
            <v xml:space="preserve">                                   </v>
          </cell>
          <cell r="D366" t="str">
            <v xml:space="preserve">US        </v>
          </cell>
          <cell r="E366">
            <v>90189084</v>
          </cell>
          <cell r="F366">
            <v>1</v>
          </cell>
          <cell r="G366" t="str">
            <v xml:space="preserve">ST          </v>
          </cell>
          <cell r="H366">
            <v>48.2</v>
          </cell>
          <cell r="I366">
            <v>48.2</v>
          </cell>
        </row>
        <row r="367">
          <cell r="A367" t="str">
            <v>38-130-54-07</v>
          </cell>
          <cell r="B367" t="str">
            <v xml:space="preserve">MOUTH PROP, MCKESSON, L, F. ADULTS      </v>
          </cell>
          <cell r="C367" t="str">
            <v xml:space="preserve">                                   </v>
          </cell>
          <cell r="D367" t="str">
            <v xml:space="preserve">US        </v>
          </cell>
          <cell r="E367">
            <v>90189084</v>
          </cell>
          <cell r="F367">
            <v>1</v>
          </cell>
          <cell r="G367" t="str">
            <v xml:space="preserve">ST          </v>
          </cell>
          <cell r="H367">
            <v>48.2</v>
          </cell>
          <cell r="I367">
            <v>48.2</v>
          </cell>
        </row>
        <row r="368">
          <cell r="A368" t="str">
            <v>38-130-52-07</v>
          </cell>
          <cell r="B368" t="str">
            <v xml:space="preserve">MOUTH PROP, MCKESSON, XL, F. ADULTS     </v>
          </cell>
          <cell r="C368" t="str">
            <v xml:space="preserve">                                   </v>
          </cell>
          <cell r="D368" t="str">
            <v xml:space="preserve">US        </v>
          </cell>
          <cell r="E368">
            <v>90189084</v>
          </cell>
          <cell r="F368">
            <v>1</v>
          </cell>
          <cell r="G368" t="str">
            <v xml:space="preserve">ST          </v>
          </cell>
          <cell r="H368">
            <v>48.1</v>
          </cell>
          <cell r="I368">
            <v>48.1</v>
          </cell>
        </row>
        <row r="369">
          <cell r="A369" t="str">
            <v xml:space="preserve">            </v>
          </cell>
          <cell r="B369" t="str">
            <v xml:space="preserve">Scissors                                </v>
          </cell>
          <cell r="C369" t="str">
            <v xml:space="preserve">                                   </v>
          </cell>
          <cell r="D369" t="str">
            <v xml:space="preserve">          </v>
          </cell>
          <cell r="E369" t="str">
            <v xml:space="preserve">                </v>
          </cell>
          <cell r="F369">
            <v>1</v>
          </cell>
          <cell r="G369" t="str">
            <v xml:space="preserve">            </v>
          </cell>
          <cell r="H369" t="str">
            <v xml:space="preserve">               </v>
          </cell>
          <cell r="I369" t="str">
            <v xml:space="preserve">               </v>
          </cell>
        </row>
        <row r="370">
          <cell r="A370" t="str">
            <v>11-566-13-07</v>
          </cell>
          <cell r="B370" t="str">
            <v>SCISSORS, GOLDM.-FOX, STR., SERR., 13 CM</v>
          </cell>
          <cell r="C370" t="str">
            <v xml:space="preserve">                                   </v>
          </cell>
          <cell r="D370" t="str">
            <v xml:space="preserve">DE        </v>
          </cell>
          <cell r="E370">
            <v>90189084</v>
          </cell>
          <cell r="F370">
            <v>2</v>
          </cell>
          <cell r="G370" t="str">
            <v xml:space="preserve">ST          </v>
          </cell>
          <cell r="H370">
            <v>28.5</v>
          </cell>
          <cell r="I370">
            <v>57</v>
          </cell>
        </row>
        <row r="371">
          <cell r="A371" t="str">
            <v>11-566-13-07</v>
          </cell>
          <cell r="B371" t="str">
            <v>SCISSORS, GOLDM.-FOX, STR., SERR., 13 CM</v>
          </cell>
          <cell r="C371" t="str">
            <v xml:space="preserve">                                   </v>
          </cell>
          <cell r="D371" t="str">
            <v xml:space="preserve">DE        </v>
          </cell>
          <cell r="E371">
            <v>90189084</v>
          </cell>
          <cell r="F371">
            <v>2</v>
          </cell>
          <cell r="G371" t="str">
            <v xml:space="preserve">ST          </v>
          </cell>
          <cell r="H371">
            <v>28.5</v>
          </cell>
          <cell r="I371">
            <v>57</v>
          </cell>
        </row>
        <row r="372">
          <cell r="A372" t="str">
            <v xml:space="preserve">            </v>
          </cell>
          <cell r="B372" t="str">
            <v xml:space="preserve">Retractors                              </v>
          </cell>
          <cell r="C372" t="str">
            <v xml:space="preserve">                                   </v>
          </cell>
          <cell r="D372" t="str">
            <v xml:space="preserve">          </v>
          </cell>
          <cell r="E372" t="str">
            <v xml:space="preserve">                </v>
          </cell>
          <cell r="F372">
            <v>1</v>
          </cell>
          <cell r="G372" t="str">
            <v xml:space="preserve">            </v>
          </cell>
          <cell r="H372" t="str">
            <v xml:space="preserve">               </v>
          </cell>
          <cell r="I372" t="str">
            <v xml:space="preserve">               </v>
          </cell>
        </row>
        <row r="373">
          <cell r="A373" t="str">
            <v>48-121-08-07</v>
          </cell>
          <cell r="B373" t="str">
            <v xml:space="preserve">CHANNEL RETR., OBWEGESER, 9 MM, 16.5 CM </v>
          </cell>
          <cell r="C373" t="str">
            <v xml:space="preserve">                                   </v>
          </cell>
          <cell r="D373" t="str">
            <v xml:space="preserve">DE        </v>
          </cell>
          <cell r="E373">
            <v>90189084</v>
          </cell>
          <cell r="F373">
            <v>1</v>
          </cell>
          <cell r="G373" t="str">
            <v xml:space="preserve">ST          </v>
          </cell>
          <cell r="H373">
            <v>85.3</v>
          </cell>
          <cell r="I373">
            <v>85.3</v>
          </cell>
        </row>
        <row r="374">
          <cell r="A374" t="str">
            <v>48-121-10-07</v>
          </cell>
          <cell r="B374" t="str">
            <v>CHANNEL RETR., OBWEGESER, 10 MM, 16.5 CM</v>
          </cell>
          <cell r="C374" t="str">
            <v xml:space="preserve">                                   </v>
          </cell>
          <cell r="D374" t="str">
            <v xml:space="preserve">DE        </v>
          </cell>
          <cell r="E374">
            <v>90189084</v>
          </cell>
          <cell r="F374">
            <v>1</v>
          </cell>
          <cell r="G374" t="str">
            <v xml:space="preserve">ST          </v>
          </cell>
          <cell r="H374">
            <v>85.3</v>
          </cell>
          <cell r="I374">
            <v>85.3</v>
          </cell>
        </row>
        <row r="375">
          <cell r="A375" t="str">
            <v xml:space="preserve">            </v>
          </cell>
          <cell r="B375" t="str">
            <v xml:space="preserve">Maxilla Mobilizers                      </v>
          </cell>
          <cell r="C375" t="str">
            <v xml:space="preserve">                                   </v>
          </cell>
          <cell r="D375" t="str">
            <v xml:space="preserve">          </v>
          </cell>
          <cell r="E375" t="str">
            <v xml:space="preserve">                </v>
          </cell>
          <cell r="F375">
            <v>1</v>
          </cell>
          <cell r="G375" t="str">
            <v xml:space="preserve">            </v>
          </cell>
          <cell r="H375" t="str">
            <v xml:space="preserve">               </v>
          </cell>
          <cell r="I375" t="str">
            <v xml:space="preserve">               </v>
          </cell>
        </row>
        <row r="376">
          <cell r="A376" t="str">
            <v>38-711-01-01</v>
          </cell>
          <cell r="B376" t="str">
            <v xml:space="preserve">MAXILLARY MOBILIZER, TESSIER, LEFT      </v>
          </cell>
          <cell r="C376" t="str">
            <v xml:space="preserve">                                   </v>
          </cell>
          <cell r="D376" t="str">
            <v xml:space="preserve">DE        </v>
          </cell>
          <cell r="E376">
            <v>90189084</v>
          </cell>
          <cell r="F376">
            <v>1</v>
          </cell>
          <cell r="G376" t="str">
            <v xml:space="preserve">ST          </v>
          </cell>
          <cell r="H376">
            <v>81.5</v>
          </cell>
          <cell r="I376">
            <v>81.5</v>
          </cell>
        </row>
        <row r="377">
          <cell r="A377" t="str">
            <v>38-711-02-01</v>
          </cell>
          <cell r="B377" t="str">
            <v xml:space="preserve">MAXILLARY MOBILIZER, TESSIER, RIGHT     </v>
          </cell>
          <cell r="C377" t="str">
            <v xml:space="preserve">                                   </v>
          </cell>
          <cell r="D377" t="str">
            <v xml:space="preserve">DE        </v>
          </cell>
          <cell r="E377">
            <v>90189084</v>
          </cell>
          <cell r="F377">
            <v>1</v>
          </cell>
          <cell r="G377" t="str">
            <v xml:space="preserve">ST          </v>
          </cell>
          <cell r="H377">
            <v>81.5</v>
          </cell>
          <cell r="I377">
            <v>81.5</v>
          </cell>
        </row>
        <row r="378">
          <cell r="A378" t="str">
            <v xml:space="preserve">            </v>
          </cell>
          <cell r="B378" t="str">
            <v xml:space="preserve">Elevators                               </v>
          </cell>
          <cell r="C378" t="str">
            <v xml:space="preserve">                                   </v>
          </cell>
          <cell r="D378" t="str">
            <v xml:space="preserve">          </v>
          </cell>
          <cell r="E378" t="str">
            <v xml:space="preserve">                </v>
          </cell>
          <cell r="F378">
            <v>1</v>
          </cell>
          <cell r="G378" t="str">
            <v xml:space="preserve">            </v>
          </cell>
          <cell r="H378" t="str">
            <v xml:space="preserve">               </v>
          </cell>
          <cell r="I378" t="str">
            <v xml:space="preserve">               </v>
          </cell>
        </row>
        <row r="379">
          <cell r="A379" t="str">
            <v>48-130-09-07</v>
          </cell>
          <cell r="B379" t="str">
            <v xml:space="preserve">RASPATORY, OBWEGESER, 9 MM, 18 CM       </v>
          </cell>
          <cell r="C379" t="str">
            <v xml:space="preserve">                                   </v>
          </cell>
          <cell r="D379" t="str">
            <v xml:space="preserve">DE        </v>
          </cell>
          <cell r="E379">
            <v>90189084</v>
          </cell>
          <cell r="F379">
            <v>1</v>
          </cell>
          <cell r="G379" t="str">
            <v xml:space="preserve">ST          </v>
          </cell>
          <cell r="H379">
            <v>88.1</v>
          </cell>
          <cell r="I379">
            <v>88.1</v>
          </cell>
        </row>
        <row r="380">
          <cell r="A380" t="str">
            <v>48-150-01-07</v>
          </cell>
          <cell r="B380" t="str">
            <v xml:space="preserve">RAMUS STRIPPER, OBWEG., 7.5 MM, 17.5 CM </v>
          </cell>
          <cell r="C380" t="str">
            <v xml:space="preserve">                                   </v>
          </cell>
          <cell r="D380" t="str">
            <v xml:space="preserve">DE        </v>
          </cell>
          <cell r="E380">
            <v>90189084</v>
          </cell>
          <cell r="F380">
            <v>1</v>
          </cell>
          <cell r="G380" t="str">
            <v xml:space="preserve">ST          </v>
          </cell>
          <cell r="H380">
            <v>85.3</v>
          </cell>
          <cell r="I380">
            <v>85.3</v>
          </cell>
        </row>
        <row r="381">
          <cell r="A381" t="str">
            <v xml:space="preserve">            </v>
          </cell>
          <cell r="B381" t="str">
            <v xml:space="preserve">Bone Rasps                              </v>
          </cell>
          <cell r="C381" t="str">
            <v xml:space="preserve">                                   </v>
          </cell>
          <cell r="D381" t="str">
            <v xml:space="preserve">          </v>
          </cell>
          <cell r="E381" t="str">
            <v xml:space="preserve">                </v>
          </cell>
          <cell r="F381">
            <v>1</v>
          </cell>
          <cell r="G381" t="str">
            <v xml:space="preserve">            </v>
          </cell>
          <cell r="H381" t="str">
            <v xml:space="preserve">               </v>
          </cell>
          <cell r="I381" t="str">
            <v xml:space="preserve">               </v>
          </cell>
        </row>
        <row r="382">
          <cell r="A382" t="str">
            <v>23-434-13-07</v>
          </cell>
          <cell r="B382" t="str">
            <v xml:space="preserve">Raspatory, str., round, 5 mm, 12.5 cm   </v>
          </cell>
          <cell r="C382" t="str">
            <v xml:space="preserve">                                   </v>
          </cell>
          <cell r="D382" t="str">
            <v xml:space="preserve">DE        </v>
          </cell>
          <cell r="E382">
            <v>90189084</v>
          </cell>
          <cell r="F382">
            <v>1</v>
          </cell>
          <cell r="G382" t="str">
            <v xml:space="preserve">ST          </v>
          </cell>
          <cell r="H382">
            <v>30.4</v>
          </cell>
          <cell r="I382">
            <v>30.4</v>
          </cell>
        </row>
        <row r="383">
          <cell r="A383" t="str">
            <v xml:space="preserve">            </v>
          </cell>
          <cell r="B383" t="str">
            <v xml:space="preserve">Measuring instruments                   </v>
          </cell>
          <cell r="C383" t="str">
            <v xml:space="preserve">                                   </v>
          </cell>
          <cell r="D383" t="str">
            <v xml:space="preserve">          </v>
          </cell>
          <cell r="E383" t="str">
            <v xml:space="preserve">                </v>
          </cell>
          <cell r="F383">
            <v>1</v>
          </cell>
          <cell r="G383" t="str">
            <v xml:space="preserve">            </v>
          </cell>
          <cell r="H383" t="str">
            <v xml:space="preserve">               </v>
          </cell>
          <cell r="I383" t="str">
            <v xml:space="preserve">               </v>
          </cell>
        </row>
        <row r="384">
          <cell r="A384" t="str">
            <v>35-133-07-07</v>
          </cell>
          <cell r="B384" t="str">
            <v xml:space="preserve">CALIPER, CASTROV., STR., 0-20 MM, 8 CM  </v>
          </cell>
          <cell r="C384" t="str">
            <v xml:space="preserve">                                   </v>
          </cell>
          <cell r="D384" t="str">
            <v xml:space="preserve">DE        </v>
          </cell>
          <cell r="E384">
            <v>90189084</v>
          </cell>
          <cell r="F384">
            <v>1</v>
          </cell>
          <cell r="G384" t="str">
            <v xml:space="preserve">ST          </v>
          </cell>
          <cell r="H384">
            <v>176.5</v>
          </cell>
          <cell r="I384">
            <v>176.5</v>
          </cell>
        </row>
        <row r="385">
          <cell r="A385" t="str">
            <v xml:space="preserve">            </v>
          </cell>
          <cell r="B385" t="str">
            <v xml:space="preserve">Osteotomes                              </v>
          </cell>
          <cell r="C385" t="str">
            <v xml:space="preserve">                                   </v>
          </cell>
          <cell r="D385" t="str">
            <v xml:space="preserve">          </v>
          </cell>
          <cell r="E385" t="str">
            <v xml:space="preserve">                </v>
          </cell>
          <cell r="F385">
            <v>1</v>
          </cell>
          <cell r="G385" t="str">
            <v xml:space="preserve">            </v>
          </cell>
          <cell r="H385" t="str">
            <v xml:space="preserve">               </v>
          </cell>
          <cell r="I385" t="str">
            <v xml:space="preserve">               </v>
          </cell>
        </row>
        <row r="386">
          <cell r="A386" t="str">
            <v>23-139-04-07</v>
          </cell>
          <cell r="B386" t="str">
            <v xml:space="preserve">Osteotome, Lambotte, cvd., 4 mm, 24 cm  </v>
          </cell>
          <cell r="C386" t="str">
            <v xml:space="preserve">                                   </v>
          </cell>
          <cell r="D386" t="str">
            <v xml:space="preserve">DE        </v>
          </cell>
          <cell r="E386">
            <v>90189084</v>
          </cell>
          <cell r="F386">
            <v>1</v>
          </cell>
          <cell r="G386" t="str">
            <v xml:space="preserve">ST          </v>
          </cell>
          <cell r="H386">
            <v>64.3</v>
          </cell>
          <cell r="I386">
            <v>64.3</v>
          </cell>
        </row>
        <row r="387">
          <cell r="A387" t="str">
            <v>23-139-06-07</v>
          </cell>
          <cell r="B387" t="str">
            <v xml:space="preserve">Osteotome, Lambotte, cvd., 6 mm, 24 cm  </v>
          </cell>
          <cell r="C387" t="str">
            <v xml:space="preserve">                                   </v>
          </cell>
          <cell r="D387" t="str">
            <v xml:space="preserve">DE        </v>
          </cell>
          <cell r="E387">
            <v>90189084</v>
          </cell>
          <cell r="F387">
            <v>1</v>
          </cell>
          <cell r="G387" t="str">
            <v xml:space="preserve">ST          </v>
          </cell>
          <cell r="H387">
            <v>64.3</v>
          </cell>
          <cell r="I387">
            <v>64.3</v>
          </cell>
        </row>
        <row r="388">
          <cell r="A388" t="str">
            <v>23-139-10-07</v>
          </cell>
          <cell r="B388" t="str">
            <v xml:space="preserve">Osteotome, Lambotte, cvd., 10 mm, 24 cm </v>
          </cell>
          <cell r="C388" t="str">
            <v xml:space="preserve">                                   </v>
          </cell>
          <cell r="D388" t="str">
            <v xml:space="preserve">DE        </v>
          </cell>
          <cell r="E388">
            <v>90189084</v>
          </cell>
          <cell r="F388">
            <v>1</v>
          </cell>
          <cell r="G388" t="str">
            <v xml:space="preserve">ST          </v>
          </cell>
          <cell r="H388">
            <v>64.3</v>
          </cell>
          <cell r="I388">
            <v>64.3</v>
          </cell>
        </row>
        <row r="389">
          <cell r="A389" t="str">
            <v>23-138-04-07</v>
          </cell>
          <cell r="B389" t="str">
            <v xml:space="preserve">Osteotome, Lambotte, 4 mm, 24 cm        </v>
          </cell>
          <cell r="C389" t="str">
            <v xml:space="preserve">                                   </v>
          </cell>
          <cell r="D389" t="str">
            <v xml:space="preserve">DE        </v>
          </cell>
          <cell r="E389">
            <v>90189084</v>
          </cell>
          <cell r="F389">
            <v>2</v>
          </cell>
          <cell r="G389" t="str">
            <v xml:space="preserve">ST          </v>
          </cell>
          <cell r="H389">
            <v>61.8</v>
          </cell>
          <cell r="I389">
            <v>123.6</v>
          </cell>
        </row>
        <row r="390">
          <cell r="A390" t="str">
            <v>23-138-06-07</v>
          </cell>
          <cell r="B390" t="str">
            <v xml:space="preserve">Osteotome, Lambotte, 6 mm, 24 cm        </v>
          </cell>
          <cell r="C390" t="str">
            <v xml:space="preserve">                                   </v>
          </cell>
          <cell r="D390" t="str">
            <v xml:space="preserve">DE        </v>
          </cell>
          <cell r="E390">
            <v>90189084</v>
          </cell>
          <cell r="F390">
            <v>2</v>
          </cell>
          <cell r="G390" t="str">
            <v xml:space="preserve">ST          </v>
          </cell>
          <cell r="H390">
            <v>61.8</v>
          </cell>
          <cell r="I390">
            <v>123.6</v>
          </cell>
        </row>
        <row r="391">
          <cell r="A391" t="str">
            <v>23-138-10-07</v>
          </cell>
          <cell r="B391" t="str">
            <v xml:space="preserve">Osteotome, Lambotte, 10 mm, 24 cm       </v>
          </cell>
          <cell r="C391" t="str">
            <v xml:space="preserve">                                   </v>
          </cell>
          <cell r="D391" t="str">
            <v xml:space="preserve">DE        </v>
          </cell>
          <cell r="E391">
            <v>90189084</v>
          </cell>
          <cell r="F391">
            <v>2</v>
          </cell>
          <cell r="G391" t="str">
            <v xml:space="preserve">ST          </v>
          </cell>
          <cell r="H391">
            <v>60</v>
          </cell>
          <cell r="I391">
            <v>120</v>
          </cell>
        </row>
        <row r="392">
          <cell r="A392" t="str">
            <v>23-131-05-04</v>
          </cell>
          <cell r="B392" t="str">
            <v xml:space="preserve">Spongiosa gouge, str., si., 5mm, 24.5cm </v>
          </cell>
          <cell r="C392" t="str">
            <v xml:space="preserve">                                   </v>
          </cell>
          <cell r="D392" t="str">
            <v xml:space="preserve">DE        </v>
          </cell>
          <cell r="E392">
            <v>90189084</v>
          </cell>
          <cell r="F392">
            <v>1</v>
          </cell>
          <cell r="G392" t="str">
            <v xml:space="preserve">ST          </v>
          </cell>
          <cell r="H392">
            <v>166</v>
          </cell>
          <cell r="I392">
            <v>166</v>
          </cell>
        </row>
        <row r="393">
          <cell r="A393" t="str">
            <v>48-166-08-07</v>
          </cell>
          <cell r="B393" t="str">
            <v xml:space="preserve">OSTEOTOME, OBWEGESER, CVD., 8 MM, 23 CM </v>
          </cell>
          <cell r="C393" t="str">
            <v xml:space="preserve">                                   </v>
          </cell>
          <cell r="D393" t="str">
            <v xml:space="preserve">DE        </v>
          </cell>
          <cell r="E393">
            <v>90189084</v>
          </cell>
          <cell r="F393">
            <v>2</v>
          </cell>
          <cell r="G393" t="str">
            <v xml:space="preserve">ST          </v>
          </cell>
          <cell r="H393">
            <v>139.5</v>
          </cell>
          <cell r="I393">
            <v>279</v>
          </cell>
        </row>
        <row r="394">
          <cell r="A394" t="str">
            <v xml:space="preserve">            </v>
          </cell>
          <cell r="B394" t="str">
            <v xml:space="preserve">Mallets                                 </v>
          </cell>
          <cell r="C394" t="str">
            <v xml:space="preserve">                                   </v>
          </cell>
          <cell r="D394" t="str">
            <v xml:space="preserve">          </v>
          </cell>
          <cell r="E394" t="str">
            <v xml:space="preserve">                </v>
          </cell>
          <cell r="F394">
            <v>1</v>
          </cell>
          <cell r="G394" t="str">
            <v xml:space="preserve">            </v>
          </cell>
          <cell r="H394" t="str">
            <v xml:space="preserve">               </v>
          </cell>
          <cell r="I394" t="str">
            <v xml:space="preserve">               </v>
          </cell>
        </row>
        <row r="395">
          <cell r="A395" t="str">
            <v>23-215-19-07</v>
          </cell>
          <cell r="B395" t="str">
            <v xml:space="preserve">MALLET, COTTLE, 300 GR., 19 CM          </v>
          </cell>
          <cell r="C395" t="str">
            <v xml:space="preserve">                                   </v>
          </cell>
          <cell r="D395" t="str">
            <v xml:space="preserve">DE        </v>
          </cell>
          <cell r="E395">
            <v>90189084</v>
          </cell>
          <cell r="F395">
            <v>1</v>
          </cell>
          <cell r="G395" t="str">
            <v xml:space="preserve">ST          </v>
          </cell>
          <cell r="H395">
            <v>123.5</v>
          </cell>
          <cell r="I395">
            <v>123.5</v>
          </cell>
        </row>
        <row r="396">
          <cell r="A396" t="str">
            <v>38-700-02-07</v>
          </cell>
          <cell r="B396" t="str">
            <v xml:space="preserve">REPOSITION FORCEPS, ROWE, L., 24 CM     </v>
          </cell>
          <cell r="C396" t="str">
            <v xml:space="preserve">                                   </v>
          </cell>
          <cell r="D396" t="str">
            <v xml:space="preserve">DE        </v>
          </cell>
          <cell r="E396">
            <v>90189084</v>
          </cell>
          <cell r="F396">
            <v>1</v>
          </cell>
          <cell r="G396" t="str">
            <v xml:space="preserve">ST          </v>
          </cell>
          <cell r="H396">
            <v>312</v>
          </cell>
          <cell r="I396">
            <v>312</v>
          </cell>
        </row>
        <row r="397">
          <cell r="A397" t="str">
            <v>38-701-02-07</v>
          </cell>
          <cell r="B397" t="str">
            <v xml:space="preserve">REPOSITION FORCEPS, ROWE, R., 24 CM     </v>
          </cell>
          <cell r="C397" t="str">
            <v xml:space="preserve">                                   </v>
          </cell>
          <cell r="D397" t="str">
            <v xml:space="preserve">DE        </v>
          </cell>
          <cell r="E397">
            <v>90189084</v>
          </cell>
          <cell r="F397">
            <v>1</v>
          </cell>
          <cell r="G397" t="str">
            <v xml:space="preserve">ST          </v>
          </cell>
          <cell r="H397">
            <v>312</v>
          </cell>
          <cell r="I397">
            <v>312</v>
          </cell>
        </row>
        <row r="398">
          <cell r="A398" t="str">
            <v>38-700-03-07</v>
          </cell>
          <cell r="B398" t="str">
            <v xml:space="preserve">REPOSITION FORCEPS, ROWE, L., 24.5 CM   </v>
          </cell>
          <cell r="C398" t="str">
            <v xml:space="preserve">                                   </v>
          </cell>
          <cell r="D398" t="str">
            <v xml:space="preserve">DE        </v>
          </cell>
          <cell r="E398">
            <v>90189084</v>
          </cell>
          <cell r="F398">
            <v>1</v>
          </cell>
          <cell r="G398" t="str">
            <v xml:space="preserve">ST          </v>
          </cell>
          <cell r="H398">
            <v>312</v>
          </cell>
          <cell r="I398">
            <v>312</v>
          </cell>
        </row>
        <row r="399">
          <cell r="A399" t="str">
            <v>38-701-03-07</v>
          </cell>
          <cell r="B399" t="str">
            <v xml:space="preserve">REPOSITION FORCEPS, ROWE, R., 24.5 CM   </v>
          </cell>
          <cell r="C399" t="str">
            <v xml:space="preserve">                                   </v>
          </cell>
          <cell r="D399" t="str">
            <v xml:space="preserve">DE        </v>
          </cell>
          <cell r="E399">
            <v>90189084</v>
          </cell>
          <cell r="F399">
            <v>1</v>
          </cell>
          <cell r="G399" t="str">
            <v xml:space="preserve">ST          </v>
          </cell>
          <cell r="H399">
            <v>312</v>
          </cell>
          <cell r="I399">
            <v>312</v>
          </cell>
        </row>
        <row r="400">
          <cell r="A400" t="str">
            <v>38-700-01-07</v>
          </cell>
          <cell r="B400" t="str">
            <v xml:space="preserve">REPOSITION FORCEPS, ROWE, L., 21.5 CM   </v>
          </cell>
          <cell r="C400" t="str">
            <v xml:space="preserve">                                   </v>
          </cell>
          <cell r="D400" t="str">
            <v xml:space="preserve">DE        </v>
          </cell>
          <cell r="E400">
            <v>90189084</v>
          </cell>
          <cell r="F400">
            <v>1</v>
          </cell>
          <cell r="G400" t="str">
            <v xml:space="preserve">ST          </v>
          </cell>
          <cell r="H400">
            <v>312</v>
          </cell>
          <cell r="I400">
            <v>312</v>
          </cell>
        </row>
        <row r="401">
          <cell r="A401" t="str">
            <v>38-701-01-07</v>
          </cell>
          <cell r="B401" t="str">
            <v xml:space="preserve">REPOSITION FORCEPS, ROWE, R., 21.5 CM   </v>
          </cell>
          <cell r="C401" t="str">
            <v xml:space="preserve">                                   </v>
          </cell>
          <cell r="D401" t="str">
            <v xml:space="preserve">DE        </v>
          </cell>
          <cell r="E401">
            <v>90189084</v>
          </cell>
          <cell r="F401">
            <v>1</v>
          </cell>
          <cell r="G401" t="str">
            <v xml:space="preserve">ST          </v>
          </cell>
          <cell r="H401">
            <v>312</v>
          </cell>
          <cell r="I401">
            <v>312</v>
          </cell>
        </row>
        <row r="402">
          <cell r="A402" t="str">
            <v>48-117-01-07</v>
          </cell>
          <cell r="B402" t="str">
            <v xml:space="preserve">RAMUS FCPS., OBWEG., LARGE, R., 17 CM   </v>
          </cell>
          <cell r="C402" t="str">
            <v xml:space="preserve">                                   </v>
          </cell>
          <cell r="D402" t="str">
            <v xml:space="preserve">DE        </v>
          </cell>
          <cell r="E402">
            <v>90189084</v>
          </cell>
          <cell r="F402">
            <v>1</v>
          </cell>
          <cell r="G402" t="str">
            <v xml:space="preserve">ST          </v>
          </cell>
          <cell r="H402">
            <v>196</v>
          </cell>
          <cell r="I402">
            <v>196</v>
          </cell>
        </row>
        <row r="403">
          <cell r="A403" t="str">
            <v>48-117-02-07</v>
          </cell>
          <cell r="B403" t="str">
            <v xml:space="preserve">RAMUS FCPS., OBWEG., LARGE, L., 17 CM   </v>
          </cell>
          <cell r="C403" t="str">
            <v xml:space="preserve">                                   </v>
          </cell>
          <cell r="D403" t="str">
            <v xml:space="preserve">DE        </v>
          </cell>
          <cell r="E403">
            <v>90189084</v>
          </cell>
          <cell r="F403">
            <v>1</v>
          </cell>
          <cell r="G403" t="str">
            <v xml:space="preserve">ST          </v>
          </cell>
          <cell r="H403">
            <v>196</v>
          </cell>
          <cell r="I403">
            <v>196</v>
          </cell>
        </row>
        <row r="404">
          <cell r="A404" t="str">
            <v>37-724-01-07</v>
          </cell>
          <cell r="B404" t="str">
            <v xml:space="preserve">SEPTUM STRAIGHTENING FCPS., STR., 23 CM </v>
          </cell>
          <cell r="C404" t="str">
            <v xml:space="preserve">                                   </v>
          </cell>
          <cell r="D404" t="str">
            <v xml:space="preserve">DE        </v>
          </cell>
          <cell r="E404">
            <v>90189084</v>
          </cell>
          <cell r="F404">
            <v>1</v>
          </cell>
          <cell r="G404" t="str">
            <v xml:space="preserve">ST          </v>
          </cell>
          <cell r="H404">
            <v>178</v>
          </cell>
          <cell r="I404">
            <v>178</v>
          </cell>
        </row>
        <row r="405">
          <cell r="A405" t="str">
            <v>37-725-23-07</v>
          </cell>
          <cell r="B405" t="str">
            <v xml:space="preserve">SEPTUM STRAIGHT. FORCEPS, ASCH, 22.5 CM </v>
          </cell>
          <cell r="C405" t="str">
            <v xml:space="preserve">                                   </v>
          </cell>
          <cell r="D405" t="str">
            <v xml:space="preserve">DE        </v>
          </cell>
          <cell r="E405">
            <v>90189084</v>
          </cell>
          <cell r="F405">
            <v>1</v>
          </cell>
          <cell r="G405" t="str">
            <v xml:space="preserve">ST          </v>
          </cell>
          <cell r="H405">
            <v>180</v>
          </cell>
          <cell r="I405">
            <v>180</v>
          </cell>
        </row>
        <row r="406">
          <cell r="A406" t="str">
            <v xml:space="preserve">            </v>
          </cell>
          <cell r="B406" t="str">
            <v xml:space="preserve">Spreader                                </v>
          </cell>
          <cell r="C406" t="str">
            <v xml:space="preserve">                                   </v>
          </cell>
          <cell r="D406" t="str">
            <v xml:space="preserve">          </v>
          </cell>
          <cell r="E406" t="str">
            <v xml:space="preserve">                </v>
          </cell>
          <cell r="F406">
            <v>1</v>
          </cell>
          <cell r="G406" t="str">
            <v xml:space="preserve">            </v>
          </cell>
          <cell r="H406" t="str">
            <v xml:space="preserve">               </v>
          </cell>
          <cell r="I406" t="str">
            <v xml:space="preserve">               </v>
          </cell>
        </row>
        <row r="407">
          <cell r="A407" t="str">
            <v>38-846-20-07</v>
          </cell>
          <cell r="B407" t="str">
            <v xml:space="preserve">RAMUS SEPARATOR, SMITH, 23.5 CM         </v>
          </cell>
          <cell r="C407" t="str">
            <v xml:space="preserve">                                   </v>
          </cell>
          <cell r="D407" t="str">
            <v xml:space="preserve">DE        </v>
          </cell>
          <cell r="E407">
            <v>90189084</v>
          </cell>
          <cell r="F407">
            <v>2</v>
          </cell>
          <cell r="G407" t="str">
            <v xml:space="preserve">ST          </v>
          </cell>
          <cell r="H407">
            <v>304</v>
          </cell>
          <cell r="I407">
            <v>608</v>
          </cell>
        </row>
        <row r="408">
          <cell r="A408" t="str">
            <v xml:space="preserve">            </v>
          </cell>
          <cell r="B408" t="str">
            <v xml:space="preserve">IMF related                             </v>
          </cell>
          <cell r="C408" t="str">
            <v xml:space="preserve">                                   </v>
          </cell>
          <cell r="D408" t="str">
            <v xml:space="preserve">          </v>
          </cell>
          <cell r="E408" t="str">
            <v xml:space="preserve">                </v>
          </cell>
          <cell r="F408">
            <v>1</v>
          </cell>
          <cell r="G408" t="str">
            <v xml:space="preserve">            </v>
          </cell>
          <cell r="H408" t="str">
            <v xml:space="preserve">               </v>
          </cell>
          <cell r="I408" t="str">
            <v xml:space="preserve">               </v>
          </cell>
        </row>
        <row r="409">
          <cell r="A409" t="str">
            <v>22-500-20-07</v>
          </cell>
          <cell r="B409" t="str">
            <v xml:space="preserve">TC-WIRE TWISTING FORCEPS, FINE, 20 CM   </v>
          </cell>
          <cell r="C409" t="str">
            <v xml:space="preserve">                                   </v>
          </cell>
          <cell r="D409" t="str">
            <v xml:space="preserve">DE        </v>
          </cell>
          <cell r="E409">
            <v>90189084</v>
          </cell>
          <cell r="F409">
            <v>2</v>
          </cell>
          <cell r="G409" t="str">
            <v xml:space="preserve">ST          </v>
          </cell>
          <cell r="H409">
            <v>94.9</v>
          </cell>
          <cell r="I409">
            <v>189.8</v>
          </cell>
        </row>
        <row r="410">
          <cell r="A410" t="str">
            <v>22-523-22-07</v>
          </cell>
          <cell r="B410" t="str">
            <v xml:space="preserve">TC-SIDE NIPPER, W. TRANSM., 23 CM       </v>
          </cell>
          <cell r="C410" t="str">
            <v xml:space="preserve">                                   </v>
          </cell>
          <cell r="D410" t="str">
            <v xml:space="preserve">DE        </v>
          </cell>
          <cell r="E410">
            <v>90189084</v>
          </cell>
          <cell r="F410">
            <v>2</v>
          </cell>
          <cell r="G410" t="str">
            <v xml:space="preserve">ST          </v>
          </cell>
          <cell r="H410">
            <v>429</v>
          </cell>
          <cell r="I410">
            <v>858</v>
          </cell>
        </row>
        <row r="411">
          <cell r="A411" t="str">
            <v xml:space="preserve">            </v>
          </cell>
          <cell r="B411" t="str">
            <v xml:space="preserve">Condyle Retractors                      </v>
          </cell>
          <cell r="C411" t="str">
            <v xml:space="preserve">                                   </v>
          </cell>
          <cell r="D411" t="str">
            <v xml:space="preserve">          </v>
          </cell>
          <cell r="E411" t="str">
            <v xml:space="preserve">                </v>
          </cell>
          <cell r="F411">
            <v>1</v>
          </cell>
          <cell r="G411" t="str">
            <v xml:space="preserve">            </v>
          </cell>
          <cell r="H411" t="str">
            <v xml:space="preserve">               </v>
          </cell>
          <cell r="I411" t="str">
            <v xml:space="preserve">               </v>
          </cell>
        </row>
        <row r="412">
          <cell r="A412" t="str">
            <v>38-739-14-07</v>
          </cell>
          <cell r="B412" t="str">
            <v xml:space="preserve">TMJ-CONDYLE RTERACTOR, DOLWICK, 14.5 CM </v>
          </cell>
          <cell r="C412" t="str">
            <v xml:space="preserve">                                   </v>
          </cell>
          <cell r="D412" t="str">
            <v xml:space="preserve">DE        </v>
          </cell>
          <cell r="E412">
            <v>90189084</v>
          </cell>
          <cell r="F412">
            <v>1</v>
          </cell>
          <cell r="G412" t="str">
            <v xml:space="preserve">ST          </v>
          </cell>
          <cell r="H412">
            <v>193</v>
          </cell>
          <cell r="I412">
            <v>193</v>
          </cell>
        </row>
        <row r="413">
          <cell r="A413" t="str">
            <v xml:space="preserve">            </v>
          </cell>
          <cell r="B413" t="str">
            <v xml:space="preserve">TMJ Instruments                         </v>
          </cell>
          <cell r="C413" t="str">
            <v xml:space="preserve">                                   </v>
          </cell>
          <cell r="D413" t="str">
            <v xml:space="preserve">          </v>
          </cell>
          <cell r="E413" t="str">
            <v xml:space="preserve">                </v>
          </cell>
          <cell r="F413">
            <v>1</v>
          </cell>
          <cell r="G413" t="str">
            <v xml:space="preserve">            </v>
          </cell>
          <cell r="H413" t="str">
            <v xml:space="preserve">               </v>
          </cell>
          <cell r="I413" t="str">
            <v xml:space="preserve">               </v>
          </cell>
        </row>
        <row r="414">
          <cell r="A414" t="str">
            <v>38-501-24-01</v>
          </cell>
          <cell r="B414" t="str">
            <v xml:space="preserve">EXTRAORAL RETRACTOR, 9.5X16 MM, 22 CM   </v>
          </cell>
          <cell r="C414" t="str">
            <v xml:space="preserve">                                   </v>
          </cell>
          <cell r="D414" t="str">
            <v xml:space="preserve">DE        </v>
          </cell>
          <cell r="E414">
            <v>90189084</v>
          </cell>
          <cell r="F414">
            <v>1</v>
          </cell>
          <cell r="G414" t="str">
            <v xml:space="preserve">ST          </v>
          </cell>
          <cell r="H414">
            <v>61.3</v>
          </cell>
          <cell r="I414">
            <v>61.3</v>
          </cell>
        </row>
        <row r="415">
          <cell r="A415" t="str">
            <v>38-750-16-07</v>
          </cell>
          <cell r="B415" t="str">
            <v xml:space="preserve">TMJ-SPREADER, CHAMPY-TYPE, 16 CM        </v>
          </cell>
          <cell r="C415" t="str">
            <v xml:space="preserve">                                   </v>
          </cell>
          <cell r="D415" t="str">
            <v xml:space="preserve">DE        </v>
          </cell>
          <cell r="E415">
            <v>90189084</v>
          </cell>
          <cell r="F415">
            <v>1</v>
          </cell>
          <cell r="G415" t="str">
            <v xml:space="preserve">ST          </v>
          </cell>
          <cell r="H415">
            <v>293.5</v>
          </cell>
          <cell r="I415">
            <v>293.5</v>
          </cell>
        </row>
        <row r="416">
          <cell r="A416" t="str">
            <v>50-325-11-07</v>
          </cell>
          <cell r="B416" t="str">
            <v xml:space="preserve">ECKELT TMJ CLAMP LEFT                   </v>
          </cell>
          <cell r="C416" t="str">
            <v xml:space="preserve">                                   </v>
          </cell>
          <cell r="D416" t="str">
            <v xml:space="preserve">DE        </v>
          </cell>
          <cell r="E416">
            <v>90189084</v>
          </cell>
          <cell r="F416">
            <v>1</v>
          </cell>
          <cell r="G416" t="str">
            <v xml:space="preserve">ST          </v>
          </cell>
          <cell r="H416">
            <v>268.5</v>
          </cell>
          <cell r="I416">
            <v>268.5</v>
          </cell>
        </row>
        <row r="417">
          <cell r="A417" t="str">
            <v>50-325-12-07</v>
          </cell>
          <cell r="B417" t="str">
            <v xml:space="preserve">ECKELT TMJ CLAMP RIGHT                  </v>
          </cell>
          <cell r="C417" t="str">
            <v xml:space="preserve">                                   </v>
          </cell>
          <cell r="D417" t="str">
            <v xml:space="preserve">DE        </v>
          </cell>
          <cell r="E417">
            <v>90189084</v>
          </cell>
          <cell r="F417">
            <v>1</v>
          </cell>
          <cell r="G417" t="str">
            <v xml:space="preserve">ST          </v>
          </cell>
          <cell r="H417">
            <v>268.5</v>
          </cell>
          <cell r="I417">
            <v>268.5</v>
          </cell>
        </row>
        <row r="418">
          <cell r="A418" t="str">
            <v xml:space="preserve">            </v>
          </cell>
          <cell r="B418" t="str">
            <v xml:space="preserve">Skin Hooks                              </v>
          </cell>
          <cell r="C418" t="str">
            <v xml:space="preserve">                                   </v>
          </cell>
          <cell r="D418" t="str">
            <v xml:space="preserve">          </v>
          </cell>
          <cell r="E418" t="str">
            <v xml:space="preserve">                </v>
          </cell>
          <cell r="F418">
            <v>1</v>
          </cell>
          <cell r="G418" t="str">
            <v xml:space="preserve">            </v>
          </cell>
          <cell r="H418" t="str">
            <v xml:space="preserve">               </v>
          </cell>
          <cell r="I418" t="str">
            <v xml:space="preserve">               </v>
          </cell>
        </row>
        <row r="419">
          <cell r="A419" t="str">
            <v>37-684-15-07</v>
          </cell>
          <cell r="B419" t="str">
            <v xml:space="preserve">MUCOUS HOOKLET, JOSEPH, SHARP, 15.5 CM  </v>
          </cell>
          <cell r="C419" t="str">
            <v xml:space="preserve">                                   </v>
          </cell>
          <cell r="D419" t="str">
            <v xml:space="preserve">DE        </v>
          </cell>
          <cell r="E419">
            <v>90189084</v>
          </cell>
          <cell r="F419">
            <v>5</v>
          </cell>
          <cell r="G419" t="str">
            <v xml:space="preserve">ST          </v>
          </cell>
          <cell r="H419">
            <v>25.4</v>
          </cell>
          <cell r="I419">
            <v>127</v>
          </cell>
        </row>
        <row r="420">
          <cell r="A420" t="str">
            <v xml:space="preserve">            </v>
          </cell>
          <cell r="B420" t="str">
            <v xml:space="preserve">Bone Curette                            </v>
          </cell>
          <cell r="C420" t="str">
            <v xml:space="preserve">                                   </v>
          </cell>
          <cell r="D420" t="str">
            <v xml:space="preserve">          </v>
          </cell>
          <cell r="E420" t="str">
            <v xml:space="preserve">                </v>
          </cell>
          <cell r="F420">
            <v>1</v>
          </cell>
          <cell r="G420" t="str">
            <v xml:space="preserve">            </v>
          </cell>
          <cell r="H420" t="str">
            <v xml:space="preserve">               </v>
          </cell>
          <cell r="I420" t="str">
            <v xml:space="preserve">               </v>
          </cell>
        </row>
        <row r="421">
          <cell r="A421" t="str">
            <v>23-362-11-07</v>
          </cell>
          <cell r="B421" t="str">
            <v xml:space="preserve">LUCAS-MARTIN BONE CURETTE, FIG. 1/1     </v>
          </cell>
          <cell r="C421" t="str">
            <v xml:space="preserve">                                   </v>
          </cell>
          <cell r="D421" t="str">
            <v xml:space="preserve">DE        </v>
          </cell>
          <cell r="E421">
            <v>90184990</v>
          </cell>
          <cell r="F421">
            <v>2</v>
          </cell>
          <cell r="G421" t="str">
            <v xml:space="preserve">ST          </v>
          </cell>
          <cell r="H421">
            <v>22.9</v>
          </cell>
          <cell r="I421">
            <v>45.8</v>
          </cell>
        </row>
        <row r="422">
          <cell r="A422" t="str">
            <v>23-352-17-07</v>
          </cell>
          <cell r="B422" t="str">
            <v xml:space="preserve">BONE CURETTE, VOLKMANN, OV./OV., 17 CM  </v>
          </cell>
          <cell r="C422" t="str">
            <v xml:space="preserve">                                   </v>
          </cell>
          <cell r="D422" t="str">
            <v xml:space="preserve">DE        </v>
          </cell>
          <cell r="E422">
            <v>90189084</v>
          </cell>
          <cell r="F422">
            <v>2</v>
          </cell>
          <cell r="G422" t="str">
            <v xml:space="preserve">ST          </v>
          </cell>
          <cell r="H422">
            <v>37.1</v>
          </cell>
          <cell r="I422">
            <v>74.2</v>
          </cell>
        </row>
        <row r="423">
          <cell r="A423" t="str">
            <v xml:space="preserve">            </v>
          </cell>
          <cell r="B423" t="str">
            <v xml:space="preserve">INSTRUMENT SET FOR WIRING               </v>
          </cell>
          <cell r="C423" t="str">
            <v xml:space="preserve">                                   </v>
          </cell>
          <cell r="D423" t="str">
            <v xml:space="preserve">          </v>
          </cell>
          <cell r="E423" t="str">
            <v xml:space="preserve">                </v>
          </cell>
          <cell r="F423">
            <v>1</v>
          </cell>
          <cell r="G423" t="str">
            <v xml:space="preserve">            </v>
          </cell>
          <cell r="H423" t="str">
            <v xml:space="preserve">               </v>
          </cell>
          <cell r="I423" t="str">
            <v xml:space="preserve">               </v>
          </cell>
        </row>
        <row r="424">
          <cell r="A424" t="str">
            <v>48-175-15-07</v>
          </cell>
          <cell r="B424" t="str">
            <v xml:space="preserve">MANDIBULA-AWL, OBWEGESER, 15 CM         </v>
          </cell>
          <cell r="C424" t="str">
            <v xml:space="preserve">                                   </v>
          </cell>
          <cell r="D424" t="str">
            <v xml:space="preserve">DE        </v>
          </cell>
          <cell r="E424">
            <v>90189084</v>
          </cell>
          <cell r="F424">
            <v>2</v>
          </cell>
          <cell r="G424" t="str">
            <v xml:space="preserve">ST          </v>
          </cell>
          <cell r="H424">
            <v>78.599999999999994</v>
          </cell>
          <cell r="I424">
            <v>157.19999999999999</v>
          </cell>
        </row>
        <row r="425">
          <cell r="A425" t="str">
            <v>48-175-15-07</v>
          </cell>
          <cell r="B425" t="str">
            <v xml:space="preserve">MANDIBULA-AWL, OBWEGESER, 15 CM         </v>
          </cell>
          <cell r="C425" t="str">
            <v xml:space="preserve">                                   </v>
          </cell>
          <cell r="D425" t="str">
            <v xml:space="preserve">DE        </v>
          </cell>
          <cell r="E425">
            <v>90189084</v>
          </cell>
          <cell r="F425">
            <v>2</v>
          </cell>
          <cell r="G425" t="str">
            <v xml:space="preserve">ST          </v>
          </cell>
          <cell r="H425">
            <v>78.599999999999994</v>
          </cell>
          <cell r="I425">
            <v>157.19999999999999</v>
          </cell>
        </row>
        <row r="426">
          <cell r="A426" t="str">
            <v>48-175-17-07</v>
          </cell>
          <cell r="B426" t="str">
            <v xml:space="preserve">MANDIBULA-AWL, OBWEGESER, 17.5 CM       </v>
          </cell>
          <cell r="C426" t="str">
            <v xml:space="preserve">                                   </v>
          </cell>
          <cell r="D426" t="str">
            <v xml:space="preserve">DE        </v>
          </cell>
          <cell r="E426">
            <v>90189084</v>
          </cell>
          <cell r="F426">
            <v>1</v>
          </cell>
          <cell r="G426" t="str">
            <v xml:space="preserve">ST          </v>
          </cell>
          <cell r="H426">
            <v>83</v>
          </cell>
          <cell r="I426">
            <v>83</v>
          </cell>
        </row>
        <row r="427">
          <cell r="A427" t="str">
            <v>48-177-24-07</v>
          </cell>
          <cell r="B427" t="str">
            <v xml:space="preserve">ZYGOMATIC AWL, OBWEGESER, 24 CM         </v>
          </cell>
          <cell r="C427" t="str">
            <v xml:space="preserve">                                   </v>
          </cell>
          <cell r="D427" t="str">
            <v xml:space="preserve">DE        </v>
          </cell>
          <cell r="E427">
            <v>90189084</v>
          </cell>
          <cell r="F427">
            <v>2</v>
          </cell>
          <cell r="G427" t="str">
            <v xml:space="preserve">ST          </v>
          </cell>
          <cell r="H427">
            <v>85.3</v>
          </cell>
          <cell r="I427">
            <v>170.6</v>
          </cell>
        </row>
        <row r="428">
          <cell r="A428" t="str">
            <v>15-240-01-07</v>
          </cell>
          <cell r="B428" t="str">
            <v>RETRACTOR, KOCHER, SHARP, 1-PR., 22.5 CM</v>
          </cell>
          <cell r="C428" t="str">
            <v xml:space="preserve">                                   </v>
          </cell>
          <cell r="D428" t="str">
            <v xml:space="preserve">MY        </v>
          </cell>
          <cell r="E428">
            <v>90189084</v>
          </cell>
          <cell r="F428">
            <v>2</v>
          </cell>
          <cell r="G428" t="str">
            <v xml:space="preserve">ST          </v>
          </cell>
          <cell r="H428">
            <v>50.4</v>
          </cell>
          <cell r="I428">
            <v>100.8</v>
          </cell>
        </row>
        <row r="429">
          <cell r="A429" t="str">
            <v>38-715-19-07</v>
          </cell>
          <cell r="B429" t="str">
            <v xml:space="preserve">HOOK, DINGMANN-WILK, SHARP, 20 CM       </v>
          </cell>
          <cell r="C429" t="str">
            <v xml:space="preserve">                                   </v>
          </cell>
          <cell r="D429" t="str">
            <v xml:space="preserve">DE        </v>
          </cell>
          <cell r="E429">
            <v>90189084</v>
          </cell>
          <cell r="F429">
            <v>2</v>
          </cell>
          <cell r="G429" t="str">
            <v xml:space="preserve">ST          </v>
          </cell>
          <cell r="H429">
            <v>79.599999999999994</v>
          </cell>
          <cell r="I429">
            <v>159.19999999999999</v>
          </cell>
        </row>
        <row r="430">
          <cell r="A430" t="str">
            <v>22-500-15-07</v>
          </cell>
          <cell r="B430" t="str">
            <v xml:space="preserve">TC-WIRE TWISTING FORCEPS, FINE, 15.5 CM </v>
          </cell>
          <cell r="C430" t="str">
            <v xml:space="preserve">                                   </v>
          </cell>
          <cell r="D430" t="str">
            <v xml:space="preserve">DE        </v>
          </cell>
          <cell r="E430">
            <v>90189084</v>
          </cell>
          <cell r="F430">
            <v>2</v>
          </cell>
          <cell r="G430" t="str">
            <v xml:space="preserve">ST          </v>
          </cell>
          <cell r="H430">
            <v>84.9</v>
          </cell>
          <cell r="I430">
            <v>169.8</v>
          </cell>
        </row>
        <row r="431">
          <cell r="A431" t="str">
            <v>22-523-24-07</v>
          </cell>
          <cell r="B431" t="str">
            <v xml:space="preserve">TC-SIDE NIPPER, PEAR-LOCK, 23CM         </v>
          </cell>
          <cell r="C431" t="str">
            <v xml:space="preserve">                                   </v>
          </cell>
          <cell r="D431" t="str">
            <v xml:space="preserve">DE        </v>
          </cell>
          <cell r="E431">
            <v>90189084</v>
          </cell>
          <cell r="F431">
            <v>2</v>
          </cell>
          <cell r="G431" t="str">
            <v xml:space="preserve">ST          </v>
          </cell>
          <cell r="H431">
            <v>436</v>
          </cell>
          <cell r="I431">
            <v>872</v>
          </cell>
        </row>
        <row r="432">
          <cell r="A432" t="str">
            <v>11-878-12-07</v>
          </cell>
          <cell r="B432" t="str">
            <v>WIRE SCISSORS, SH/SH, STR., SERR., 12 CM</v>
          </cell>
          <cell r="C432" t="str">
            <v xml:space="preserve">                                   </v>
          </cell>
          <cell r="D432" t="str">
            <v xml:space="preserve">DE        </v>
          </cell>
          <cell r="E432">
            <v>90189084</v>
          </cell>
          <cell r="F432">
            <v>2</v>
          </cell>
          <cell r="G432" t="str">
            <v xml:space="preserve">ST          </v>
          </cell>
          <cell r="H432">
            <v>33.200000000000003</v>
          </cell>
          <cell r="I432">
            <v>66.400000000000006</v>
          </cell>
        </row>
        <row r="433">
          <cell r="A433" t="str">
            <v>55-804-25-01</v>
          </cell>
          <cell r="B433" t="str">
            <v xml:space="preserve">marTray, 1/2, 240x251x44 mm             </v>
          </cell>
          <cell r="C433" t="str">
            <v xml:space="preserve">                                   </v>
          </cell>
          <cell r="D433" t="str">
            <v xml:space="preserve">DE        </v>
          </cell>
          <cell r="E433">
            <v>73269098</v>
          </cell>
          <cell r="F433">
            <v>1</v>
          </cell>
          <cell r="G433" t="str">
            <v xml:space="preserve">ST          </v>
          </cell>
          <cell r="H433">
            <v>96.6</v>
          </cell>
          <cell r="I433">
            <v>96.6</v>
          </cell>
        </row>
        <row r="434">
          <cell r="A434" t="str">
            <v>55-807-24-04</v>
          </cell>
          <cell r="B434" t="str">
            <v xml:space="preserve">SILICONE MAT F. 1/2 TRAY, 234x244 MM    </v>
          </cell>
          <cell r="C434" t="str">
            <v xml:space="preserve">                                   </v>
          </cell>
          <cell r="D434" t="str">
            <v xml:space="preserve">DE        </v>
          </cell>
          <cell r="E434">
            <v>39269097</v>
          </cell>
          <cell r="F434">
            <v>1</v>
          </cell>
          <cell r="G434" t="str">
            <v xml:space="preserve">ST          </v>
          </cell>
          <cell r="H434">
            <v>31.9</v>
          </cell>
          <cell r="I434">
            <v>31.9</v>
          </cell>
        </row>
        <row r="435">
          <cell r="A435" t="str">
            <v xml:space="preserve">            </v>
          </cell>
          <cell r="B435" t="str">
            <v>INSTRUMENT SET FOR OSTEOTOMY &amp; BONE GRAF</v>
          </cell>
          <cell r="C435" t="str">
            <v xml:space="preserve">                                   </v>
          </cell>
          <cell r="D435" t="str">
            <v xml:space="preserve">          </v>
          </cell>
          <cell r="E435" t="str">
            <v xml:space="preserve">                </v>
          </cell>
          <cell r="F435">
            <v>1</v>
          </cell>
          <cell r="G435" t="str">
            <v xml:space="preserve">            </v>
          </cell>
          <cell r="H435" t="str">
            <v xml:space="preserve">               </v>
          </cell>
          <cell r="I435" t="str">
            <v xml:space="preserve">               </v>
          </cell>
        </row>
        <row r="436">
          <cell r="A436" t="str">
            <v>23-433-18-04</v>
          </cell>
          <cell r="B436" t="str">
            <v xml:space="preserve">Raspatory, cvd., str., si., 20 CM       </v>
          </cell>
          <cell r="C436" t="str">
            <v xml:space="preserve">                                   </v>
          </cell>
          <cell r="D436" t="str">
            <v xml:space="preserve">DE        </v>
          </cell>
          <cell r="E436">
            <v>90189084</v>
          </cell>
          <cell r="F436">
            <v>1</v>
          </cell>
          <cell r="G436" t="str">
            <v xml:space="preserve">ST          </v>
          </cell>
          <cell r="H436">
            <v>93.7</v>
          </cell>
          <cell r="I436">
            <v>93.7</v>
          </cell>
        </row>
        <row r="437">
          <cell r="A437" t="str">
            <v>23-946-15-07</v>
          </cell>
          <cell r="B437" t="str">
            <v xml:space="preserve">BONE CUTT. FORCEPS, BOEHLER, CVD.,14CM  </v>
          </cell>
          <cell r="C437" t="str">
            <v xml:space="preserve">                                   </v>
          </cell>
          <cell r="D437" t="str">
            <v xml:space="preserve">MY        </v>
          </cell>
          <cell r="E437">
            <v>90189084</v>
          </cell>
          <cell r="F437">
            <v>1</v>
          </cell>
          <cell r="G437" t="str">
            <v xml:space="preserve">ST          </v>
          </cell>
          <cell r="H437">
            <v>304</v>
          </cell>
          <cell r="I437">
            <v>304</v>
          </cell>
        </row>
        <row r="438">
          <cell r="A438" t="str">
            <v>23-877-15-07</v>
          </cell>
          <cell r="B438" t="str">
            <v xml:space="preserve">BONE RONGEUR, BOEHLER, CVD., 15 CM      </v>
          </cell>
          <cell r="C438" t="str">
            <v xml:space="preserve">                                   </v>
          </cell>
          <cell r="D438" t="str">
            <v xml:space="preserve">MY        </v>
          </cell>
          <cell r="E438">
            <v>90189084</v>
          </cell>
          <cell r="F438">
            <v>1</v>
          </cell>
          <cell r="G438" t="str">
            <v xml:space="preserve">ST          </v>
          </cell>
          <cell r="H438">
            <v>320</v>
          </cell>
          <cell r="I438">
            <v>320</v>
          </cell>
        </row>
        <row r="439">
          <cell r="A439" t="str">
            <v>23-188-00-07</v>
          </cell>
          <cell r="B439" t="str">
            <v xml:space="preserve">BONE BIOPSY-INSTRUMENT, CHAMPY-O.S.U.   </v>
          </cell>
          <cell r="C439" t="str">
            <v xml:space="preserve">                                   </v>
          </cell>
          <cell r="D439" t="str">
            <v xml:space="preserve">DE        </v>
          </cell>
          <cell r="E439">
            <v>90189084</v>
          </cell>
          <cell r="F439">
            <v>1</v>
          </cell>
          <cell r="G439" t="str">
            <v xml:space="preserve">ST          </v>
          </cell>
          <cell r="H439">
            <v>434</v>
          </cell>
          <cell r="I439">
            <v>434</v>
          </cell>
        </row>
        <row r="440">
          <cell r="A440" t="str">
            <v>15-669-13-01</v>
          </cell>
          <cell r="B440" t="str">
            <v xml:space="preserve">RETRACTOR, DOUBLE, BABY-ROUX, 12.5 CM   </v>
          </cell>
          <cell r="C440" t="str">
            <v xml:space="preserve">                                   </v>
          </cell>
          <cell r="D440" t="str">
            <v xml:space="preserve">DE        </v>
          </cell>
          <cell r="E440">
            <v>90189084</v>
          </cell>
          <cell r="F440">
            <v>2</v>
          </cell>
          <cell r="G440" t="str">
            <v xml:space="preserve">ST          </v>
          </cell>
          <cell r="H440">
            <v>18.399999999999999</v>
          </cell>
          <cell r="I440">
            <v>36.799999999999997</v>
          </cell>
        </row>
        <row r="441">
          <cell r="A441" t="str">
            <v>15-091-16-07</v>
          </cell>
          <cell r="B441" t="str">
            <v xml:space="preserve">HOOKLET, DESMARRES, 16 MM, 16 CM        </v>
          </cell>
          <cell r="C441" t="str">
            <v xml:space="preserve">                                   </v>
          </cell>
          <cell r="D441" t="str">
            <v xml:space="preserve">DE        </v>
          </cell>
          <cell r="E441">
            <v>90189084</v>
          </cell>
          <cell r="F441">
            <v>1</v>
          </cell>
          <cell r="G441" t="str">
            <v xml:space="preserve">ST          </v>
          </cell>
          <cell r="H441">
            <v>42.4</v>
          </cell>
          <cell r="I441">
            <v>42.4</v>
          </cell>
        </row>
        <row r="442">
          <cell r="A442" t="str">
            <v>24-137-27-07</v>
          </cell>
          <cell r="B442" t="str">
            <v xml:space="preserve">RIB SHEARS, GIERTZ-STILLE, 24.5 CM      </v>
          </cell>
          <cell r="C442" t="str">
            <v xml:space="preserve">                                   </v>
          </cell>
          <cell r="D442" t="str">
            <v xml:space="preserve">DE        </v>
          </cell>
          <cell r="E442">
            <v>90189084</v>
          </cell>
          <cell r="F442">
            <v>1</v>
          </cell>
          <cell r="G442" t="str">
            <v xml:space="preserve">ST          </v>
          </cell>
          <cell r="H442">
            <v>617</v>
          </cell>
          <cell r="I442">
            <v>617</v>
          </cell>
        </row>
        <row r="443">
          <cell r="A443" t="str">
            <v>23-441-17-07</v>
          </cell>
          <cell r="B443" t="str">
            <v xml:space="preserve">RIB RASPATORY, DOYEN, R., ADULT, 17 CM  </v>
          </cell>
          <cell r="C443" t="str">
            <v xml:space="preserve">                                   </v>
          </cell>
          <cell r="D443" t="str">
            <v xml:space="preserve">DE        </v>
          </cell>
          <cell r="E443">
            <v>90189084</v>
          </cell>
          <cell r="F443">
            <v>1</v>
          </cell>
          <cell r="G443" t="str">
            <v xml:space="preserve">ST          </v>
          </cell>
          <cell r="H443">
            <v>64.400000000000006</v>
          </cell>
          <cell r="I443">
            <v>64.400000000000006</v>
          </cell>
        </row>
        <row r="444">
          <cell r="A444" t="str">
            <v>23-443-17-07</v>
          </cell>
          <cell r="B444" t="str">
            <v xml:space="preserve">RIB RASPATORY, DOYEN, L., ADULT, 17 CM  </v>
          </cell>
          <cell r="C444" t="str">
            <v xml:space="preserve">                                   </v>
          </cell>
          <cell r="D444" t="str">
            <v xml:space="preserve">DE        </v>
          </cell>
          <cell r="E444">
            <v>90189084</v>
          </cell>
          <cell r="F444">
            <v>1</v>
          </cell>
          <cell r="G444" t="str">
            <v xml:space="preserve">ST          </v>
          </cell>
          <cell r="H444">
            <v>64.400000000000006</v>
          </cell>
          <cell r="I444">
            <v>64.400000000000006</v>
          </cell>
        </row>
        <row r="445">
          <cell r="A445" t="str">
            <v>38-697-01-07</v>
          </cell>
          <cell r="B445" t="str">
            <v xml:space="preserve">SPATULA ORBITAL STRAIGHT MALLEABLE      </v>
          </cell>
          <cell r="C445" t="str">
            <v xml:space="preserve">                                   </v>
          </cell>
          <cell r="D445" t="str">
            <v xml:space="preserve">DE        </v>
          </cell>
          <cell r="E445">
            <v>90189084</v>
          </cell>
          <cell r="F445">
            <v>1</v>
          </cell>
          <cell r="G445" t="str">
            <v xml:space="preserve">ST          </v>
          </cell>
          <cell r="H445">
            <v>78.8</v>
          </cell>
          <cell r="I445">
            <v>78.8</v>
          </cell>
        </row>
        <row r="446">
          <cell r="A446" t="str">
            <v>38-697-02-07</v>
          </cell>
          <cell r="B446" t="str">
            <v>SPATULA ORBITAL STRAIGHT MALLEAB. GRADU.</v>
          </cell>
          <cell r="C446" t="str">
            <v xml:space="preserve">                                   </v>
          </cell>
          <cell r="D446" t="str">
            <v xml:space="preserve">DE        </v>
          </cell>
          <cell r="E446">
            <v>90189084</v>
          </cell>
          <cell r="F446">
            <v>1</v>
          </cell>
          <cell r="G446" t="str">
            <v xml:space="preserve">ST          </v>
          </cell>
          <cell r="H446">
            <v>119</v>
          </cell>
          <cell r="I446">
            <v>119</v>
          </cell>
        </row>
        <row r="447">
          <cell r="A447" t="str">
            <v>11-394-19-07</v>
          </cell>
          <cell r="B447" t="str">
            <v xml:space="preserve">SCISSORS, ANGLED 40°, 18.5 CM           </v>
          </cell>
          <cell r="C447" t="str">
            <v xml:space="preserve">                                   </v>
          </cell>
          <cell r="D447" t="str">
            <v xml:space="preserve">DE        </v>
          </cell>
          <cell r="E447">
            <v>90189084</v>
          </cell>
          <cell r="F447">
            <v>1</v>
          </cell>
          <cell r="G447" t="str">
            <v xml:space="preserve">ST          </v>
          </cell>
          <cell r="H447">
            <v>101</v>
          </cell>
          <cell r="I447">
            <v>101</v>
          </cell>
        </row>
        <row r="448">
          <cell r="A448" t="str">
            <v xml:space="preserve">            </v>
          </cell>
          <cell r="B448" t="str">
            <v xml:space="preserve">MICRO INSTRUMENTS FOR MICRO SURGERY     </v>
          </cell>
          <cell r="C448" t="str">
            <v xml:space="preserve">                                   </v>
          </cell>
          <cell r="D448" t="str">
            <v xml:space="preserve">          </v>
          </cell>
          <cell r="E448" t="str">
            <v xml:space="preserve">                </v>
          </cell>
          <cell r="F448">
            <v>1</v>
          </cell>
          <cell r="G448" t="str">
            <v xml:space="preserve">            </v>
          </cell>
          <cell r="H448" t="str">
            <v xml:space="preserve">               </v>
          </cell>
          <cell r="I448" t="str">
            <v xml:space="preserve">               </v>
          </cell>
        </row>
        <row r="449">
          <cell r="A449" t="str">
            <v>09-005-10-07</v>
          </cell>
          <cell r="B449" t="str">
            <v xml:space="preserve">Micro-Singleclip, Acland, V, 11 mm      </v>
          </cell>
          <cell r="C449" t="str">
            <v xml:space="preserve">                                   </v>
          </cell>
          <cell r="D449" t="str">
            <v xml:space="preserve">DE        </v>
          </cell>
          <cell r="E449">
            <v>90189084</v>
          </cell>
          <cell r="F449">
            <v>2</v>
          </cell>
          <cell r="G449" t="str">
            <v xml:space="preserve">2ER         </v>
          </cell>
          <cell r="H449">
            <v>85</v>
          </cell>
          <cell r="I449">
            <v>170</v>
          </cell>
        </row>
        <row r="450">
          <cell r="A450" t="str">
            <v>09-005-11-07</v>
          </cell>
          <cell r="B450" t="str">
            <v xml:space="preserve">Micro-Singleclip, Acland, A, 11 mm      </v>
          </cell>
          <cell r="C450" t="str">
            <v xml:space="preserve">                                   </v>
          </cell>
          <cell r="D450" t="str">
            <v xml:space="preserve">DE        </v>
          </cell>
          <cell r="E450">
            <v>90189084</v>
          </cell>
          <cell r="F450">
            <v>2</v>
          </cell>
          <cell r="G450" t="str">
            <v xml:space="preserve">2ER         </v>
          </cell>
          <cell r="H450">
            <v>85</v>
          </cell>
          <cell r="I450">
            <v>170</v>
          </cell>
        </row>
        <row r="451">
          <cell r="A451" t="str">
            <v>09-005-14-07</v>
          </cell>
          <cell r="B451" t="str">
            <v xml:space="preserve">Micro-Singleclip, Acland, V, 17 mm      </v>
          </cell>
          <cell r="C451" t="str">
            <v xml:space="preserve">                                   </v>
          </cell>
          <cell r="D451" t="str">
            <v xml:space="preserve">DE        </v>
          </cell>
          <cell r="E451">
            <v>90189084</v>
          </cell>
          <cell r="F451">
            <v>2</v>
          </cell>
          <cell r="G451" t="str">
            <v xml:space="preserve">2ER         </v>
          </cell>
          <cell r="H451">
            <v>82.5</v>
          </cell>
          <cell r="I451">
            <v>165</v>
          </cell>
        </row>
        <row r="452">
          <cell r="A452" t="str">
            <v>09-005-15-07</v>
          </cell>
          <cell r="B452" t="str">
            <v xml:space="preserve">Micro-Singleclip, Acland, A, 17 mm      </v>
          </cell>
          <cell r="C452" t="str">
            <v xml:space="preserve">                                   </v>
          </cell>
          <cell r="D452" t="str">
            <v xml:space="preserve">DE        </v>
          </cell>
          <cell r="E452">
            <v>90189084</v>
          </cell>
          <cell r="F452">
            <v>2</v>
          </cell>
          <cell r="G452" t="str">
            <v xml:space="preserve">2ER         </v>
          </cell>
          <cell r="H452">
            <v>82.5</v>
          </cell>
          <cell r="I452">
            <v>165</v>
          </cell>
        </row>
        <row r="453">
          <cell r="A453" t="str">
            <v>09-005-18-07</v>
          </cell>
          <cell r="B453" t="str">
            <v xml:space="preserve">Doubleclip, Acland, w/frame, V, 11 mm   </v>
          </cell>
          <cell r="C453" t="str">
            <v xml:space="preserve">                                   </v>
          </cell>
          <cell r="D453" t="str">
            <v xml:space="preserve">DE        </v>
          </cell>
          <cell r="E453">
            <v>90189084</v>
          </cell>
          <cell r="F453">
            <v>2</v>
          </cell>
          <cell r="G453" t="str">
            <v xml:space="preserve">ST          </v>
          </cell>
          <cell r="H453">
            <v>120</v>
          </cell>
          <cell r="I453">
            <v>240</v>
          </cell>
        </row>
        <row r="454">
          <cell r="A454" t="str">
            <v>09-005-19-07</v>
          </cell>
          <cell r="B454" t="str">
            <v xml:space="preserve">Doubleclip, Acland, w/frame, A, 11 mm   </v>
          </cell>
          <cell r="C454" t="str">
            <v xml:space="preserve">                                   </v>
          </cell>
          <cell r="D454" t="str">
            <v xml:space="preserve">DE        </v>
          </cell>
          <cell r="E454">
            <v>90189084</v>
          </cell>
          <cell r="F454">
            <v>2</v>
          </cell>
          <cell r="G454" t="str">
            <v xml:space="preserve">ST          </v>
          </cell>
          <cell r="H454">
            <v>120</v>
          </cell>
          <cell r="I454">
            <v>240</v>
          </cell>
        </row>
        <row r="455">
          <cell r="A455" t="str">
            <v>09-005-42-07</v>
          </cell>
          <cell r="B455" t="str">
            <v xml:space="preserve">Approximator, Acland, V, 11 mm          </v>
          </cell>
          <cell r="C455" t="str">
            <v xml:space="preserve">                                   </v>
          </cell>
          <cell r="D455" t="str">
            <v xml:space="preserve">DE        </v>
          </cell>
          <cell r="E455">
            <v>90189084</v>
          </cell>
          <cell r="F455">
            <v>2</v>
          </cell>
          <cell r="G455" t="str">
            <v xml:space="preserve">ST          </v>
          </cell>
          <cell r="H455">
            <v>161</v>
          </cell>
          <cell r="I455">
            <v>322</v>
          </cell>
        </row>
        <row r="456">
          <cell r="A456" t="str">
            <v>09-005-43-07</v>
          </cell>
          <cell r="B456" t="str">
            <v xml:space="preserve">Approximator, Acland, A, 11 mm          </v>
          </cell>
          <cell r="C456" t="str">
            <v xml:space="preserve">                                   </v>
          </cell>
          <cell r="D456" t="str">
            <v xml:space="preserve">DE        </v>
          </cell>
          <cell r="E456">
            <v>90189084</v>
          </cell>
          <cell r="F456">
            <v>2</v>
          </cell>
          <cell r="G456" t="str">
            <v xml:space="preserve">ST          </v>
          </cell>
          <cell r="H456">
            <v>161</v>
          </cell>
          <cell r="I456">
            <v>322</v>
          </cell>
        </row>
        <row r="457">
          <cell r="A457" t="str">
            <v>09-005-46-07</v>
          </cell>
          <cell r="B457" t="str">
            <v xml:space="preserve">Approximator, Acland, V, 17mm           </v>
          </cell>
          <cell r="C457" t="str">
            <v xml:space="preserve">                                   </v>
          </cell>
          <cell r="D457" t="str">
            <v xml:space="preserve">DE        </v>
          </cell>
          <cell r="E457">
            <v>90189084</v>
          </cell>
          <cell r="F457">
            <v>2</v>
          </cell>
          <cell r="G457" t="str">
            <v xml:space="preserve">ST          </v>
          </cell>
          <cell r="H457">
            <v>148</v>
          </cell>
          <cell r="I457">
            <v>296</v>
          </cell>
        </row>
        <row r="458">
          <cell r="A458" t="str">
            <v>09-005-47-07</v>
          </cell>
          <cell r="B458" t="str">
            <v xml:space="preserve">Approximator, Acland, A, 17mm           </v>
          </cell>
          <cell r="C458" t="str">
            <v xml:space="preserve">                                   </v>
          </cell>
          <cell r="D458" t="str">
            <v xml:space="preserve">DE        </v>
          </cell>
          <cell r="E458">
            <v>90189084</v>
          </cell>
          <cell r="F458">
            <v>2</v>
          </cell>
          <cell r="G458" t="str">
            <v xml:space="preserve">ST          </v>
          </cell>
          <cell r="H458">
            <v>148</v>
          </cell>
          <cell r="I458">
            <v>296</v>
          </cell>
        </row>
        <row r="459">
          <cell r="A459" t="str">
            <v>09-005-48-07</v>
          </cell>
          <cell r="B459" t="str">
            <v xml:space="preserve">Approximator, Acland, V, 25 mm          </v>
          </cell>
          <cell r="C459" t="str">
            <v xml:space="preserve">                                   </v>
          </cell>
          <cell r="D459" t="str">
            <v xml:space="preserve">DE        </v>
          </cell>
          <cell r="E459">
            <v>90189084</v>
          </cell>
          <cell r="F459">
            <v>2</v>
          </cell>
          <cell r="G459" t="str">
            <v xml:space="preserve">ST          </v>
          </cell>
          <cell r="H459">
            <v>155.5</v>
          </cell>
          <cell r="I459">
            <v>311</v>
          </cell>
        </row>
        <row r="460">
          <cell r="A460" t="str">
            <v>09-005-49-07</v>
          </cell>
          <cell r="B460" t="str">
            <v xml:space="preserve">Approximator, Acland, A, 25 mm          </v>
          </cell>
          <cell r="C460" t="str">
            <v xml:space="preserve">                                   </v>
          </cell>
          <cell r="D460" t="str">
            <v xml:space="preserve">DE        </v>
          </cell>
          <cell r="E460">
            <v>90189084</v>
          </cell>
          <cell r="F460">
            <v>2</v>
          </cell>
          <cell r="G460" t="str">
            <v xml:space="preserve">ST          </v>
          </cell>
          <cell r="H460">
            <v>155.5</v>
          </cell>
          <cell r="I460">
            <v>311</v>
          </cell>
        </row>
        <row r="461">
          <cell r="A461" t="str">
            <v>09-005-53-07</v>
          </cell>
          <cell r="B461" t="str">
            <v>Applying fcps.,Acland,w.ratch.,14cm,#1-3</v>
          </cell>
          <cell r="C461" t="str">
            <v xml:space="preserve">                                   </v>
          </cell>
          <cell r="D461" t="str">
            <v xml:space="preserve">DE        </v>
          </cell>
          <cell r="E461">
            <v>90189084</v>
          </cell>
          <cell r="F461">
            <v>2</v>
          </cell>
          <cell r="G461" t="str">
            <v xml:space="preserve">ST          </v>
          </cell>
          <cell r="H461">
            <v>134.5</v>
          </cell>
          <cell r="I461">
            <v>269</v>
          </cell>
        </row>
        <row r="462">
          <cell r="A462" t="str">
            <v>12-564-15-07</v>
          </cell>
          <cell r="B462" t="str">
            <v xml:space="preserve">MICRO FORCEPS, STR., 6.0X0.4 MM, 15 CM  </v>
          </cell>
          <cell r="C462" t="str">
            <v xml:space="preserve">                                   </v>
          </cell>
          <cell r="D462" t="str">
            <v xml:space="preserve">DE        </v>
          </cell>
          <cell r="E462">
            <v>90189084</v>
          </cell>
          <cell r="F462">
            <v>2</v>
          </cell>
          <cell r="G462" t="str">
            <v xml:space="preserve">ST          </v>
          </cell>
          <cell r="H462">
            <v>212.5</v>
          </cell>
          <cell r="I462">
            <v>425</v>
          </cell>
        </row>
        <row r="463">
          <cell r="A463" t="str">
            <v>12-565-15-07</v>
          </cell>
          <cell r="B463" t="str">
            <v xml:space="preserve">MICRO FORCEPS, CVD., 6.0X0.4 MM, 15 CM  </v>
          </cell>
          <cell r="C463" t="str">
            <v xml:space="preserve">                                   </v>
          </cell>
          <cell r="D463" t="str">
            <v xml:space="preserve">DE        </v>
          </cell>
          <cell r="E463">
            <v>90189084</v>
          </cell>
          <cell r="F463">
            <v>2</v>
          </cell>
          <cell r="G463" t="str">
            <v xml:space="preserve">ST          </v>
          </cell>
          <cell r="H463">
            <v>222</v>
          </cell>
          <cell r="I463">
            <v>444</v>
          </cell>
        </row>
        <row r="464">
          <cell r="A464" t="str">
            <v>12-591-02-07</v>
          </cell>
          <cell r="B464" t="str">
            <v xml:space="preserve">MICRO FORCEPS, 45°, 6X0.3 MM, 15 CM     </v>
          </cell>
          <cell r="C464" t="str">
            <v xml:space="preserve">                                   </v>
          </cell>
          <cell r="D464" t="str">
            <v xml:space="preserve">DE        </v>
          </cell>
          <cell r="E464">
            <v>90189084</v>
          </cell>
          <cell r="F464">
            <v>2</v>
          </cell>
          <cell r="G464" t="str">
            <v xml:space="preserve">ST          </v>
          </cell>
          <cell r="H464">
            <v>265.5</v>
          </cell>
          <cell r="I464">
            <v>531</v>
          </cell>
        </row>
        <row r="465">
          <cell r="A465" t="str">
            <v>12-561-02-07</v>
          </cell>
          <cell r="B465" t="str">
            <v>DILATING-FORCEPS, 10°, 5X0.2 MM, 13.5 CM</v>
          </cell>
          <cell r="C465" t="str">
            <v xml:space="preserve">                                   </v>
          </cell>
          <cell r="D465" t="str">
            <v xml:space="preserve">DE        </v>
          </cell>
          <cell r="E465">
            <v>90189084</v>
          </cell>
          <cell r="F465">
            <v>2</v>
          </cell>
          <cell r="G465" t="str">
            <v xml:space="preserve">ST          </v>
          </cell>
          <cell r="H465">
            <v>174.5</v>
          </cell>
          <cell r="I465">
            <v>349</v>
          </cell>
        </row>
        <row r="466">
          <cell r="A466" t="str">
            <v>12-561-03-07</v>
          </cell>
          <cell r="B466" t="str">
            <v>DILATING-FORCEPS, 10°, 5X0.3 MM, 13.5 CM</v>
          </cell>
          <cell r="C466" t="str">
            <v xml:space="preserve">                                   </v>
          </cell>
          <cell r="D466" t="str">
            <v xml:space="preserve">DE        </v>
          </cell>
          <cell r="E466">
            <v>90189084</v>
          </cell>
          <cell r="F466">
            <v>2</v>
          </cell>
          <cell r="G466" t="str">
            <v xml:space="preserve">ST          </v>
          </cell>
          <cell r="H466">
            <v>143.5</v>
          </cell>
          <cell r="I466">
            <v>287</v>
          </cell>
        </row>
        <row r="467">
          <cell r="A467" t="str">
            <v>11-710-15-07</v>
          </cell>
          <cell r="B467" t="str">
            <v xml:space="preserve">MICRO SCISS., SH/SH, STR., 15 CM        </v>
          </cell>
          <cell r="C467" t="str">
            <v xml:space="preserve">                                   </v>
          </cell>
          <cell r="D467" t="str">
            <v xml:space="preserve">DE        </v>
          </cell>
          <cell r="E467">
            <v>90189084</v>
          </cell>
          <cell r="F467">
            <v>2</v>
          </cell>
          <cell r="G467" t="str">
            <v xml:space="preserve">ST          </v>
          </cell>
          <cell r="H467">
            <v>240</v>
          </cell>
          <cell r="I467">
            <v>480</v>
          </cell>
        </row>
        <row r="468">
          <cell r="A468" t="str">
            <v>11-711-19-07</v>
          </cell>
          <cell r="B468" t="str">
            <v xml:space="preserve">MICRO SCISS., BL/BL, CVD., 18 CM        </v>
          </cell>
          <cell r="C468" t="str">
            <v xml:space="preserve">                                   </v>
          </cell>
          <cell r="D468" t="str">
            <v xml:space="preserve">DE        </v>
          </cell>
          <cell r="E468">
            <v>90189084</v>
          </cell>
          <cell r="F468">
            <v>2</v>
          </cell>
          <cell r="G468" t="str">
            <v xml:space="preserve">ST          </v>
          </cell>
          <cell r="H468">
            <v>276</v>
          </cell>
          <cell r="I468">
            <v>552</v>
          </cell>
        </row>
        <row r="469">
          <cell r="A469" t="str">
            <v>11-711-15-07</v>
          </cell>
          <cell r="B469" t="str">
            <v xml:space="preserve">MICRO SCISS., SH/SH, CVD., 15 CM        </v>
          </cell>
          <cell r="C469" t="str">
            <v xml:space="preserve">                                   </v>
          </cell>
          <cell r="D469" t="str">
            <v xml:space="preserve">DE        </v>
          </cell>
          <cell r="E469">
            <v>90189084</v>
          </cell>
          <cell r="F469">
            <v>2</v>
          </cell>
          <cell r="G469" t="str">
            <v xml:space="preserve">ST          </v>
          </cell>
          <cell r="H469">
            <v>261</v>
          </cell>
          <cell r="I469">
            <v>522</v>
          </cell>
        </row>
        <row r="470">
          <cell r="A470" t="str">
            <v>20-002-15-07</v>
          </cell>
          <cell r="B470" t="str">
            <v>MICRO NEEDLEHOLDER, STR., W. LOCK, 15 CM</v>
          </cell>
          <cell r="C470" t="str">
            <v xml:space="preserve">                                   </v>
          </cell>
          <cell r="D470" t="str">
            <v xml:space="preserve">DE        </v>
          </cell>
          <cell r="E470">
            <v>90189084</v>
          </cell>
          <cell r="F470">
            <v>2</v>
          </cell>
          <cell r="G470" t="str">
            <v xml:space="preserve">ST          </v>
          </cell>
          <cell r="H470">
            <v>338</v>
          </cell>
          <cell r="I470">
            <v>676</v>
          </cell>
        </row>
        <row r="471">
          <cell r="A471" t="str">
            <v>20-003-15-07</v>
          </cell>
          <cell r="B471" t="str">
            <v>MICRO NEEDLEHOLDER, CVD., W. LOCK, 15 CM</v>
          </cell>
          <cell r="C471" t="str">
            <v xml:space="preserve">                                   </v>
          </cell>
          <cell r="D471" t="str">
            <v xml:space="preserve">DE        </v>
          </cell>
          <cell r="E471">
            <v>90189084</v>
          </cell>
          <cell r="F471">
            <v>2</v>
          </cell>
          <cell r="G471" t="str">
            <v xml:space="preserve">ST          </v>
          </cell>
          <cell r="H471">
            <v>346.5</v>
          </cell>
          <cell r="I471">
            <v>693</v>
          </cell>
        </row>
        <row r="472">
          <cell r="A472" t="str">
            <v>55-804-15-01</v>
          </cell>
          <cell r="B472" t="str">
            <v xml:space="preserve">marTray, mini, 277x172x51 mm            </v>
          </cell>
          <cell r="C472" t="str">
            <v xml:space="preserve">                                   </v>
          </cell>
          <cell r="D472" t="str">
            <v xml:space="preserve">DE        </v>
          </cell>
          <cell r="E472">
            <v>73269098</v>
          </cell>
          <cell r="F472">
            <v>2</v>
          </cell>
          <cell r="G472" t="str">
            <v xml:space="preserve">ST          </v>
          </cell>
          <cell r="H472">
            <v>191</v>
          </cell>
          <cell r="I472">
            <v>382</v>
          </cell>
        </row>
        <row r="473">
          <cell r="A473" t="str">
            <v>55-009-09-04</v>
          </cell>
          <cell r="B473" t="str">
            <v xml:space="preserve">Silicone Mat f. Miniset Tray            </v>
          </cell>
          <cell r="C473" t="str">
            <v xml:space="preserve">                                   </v>
          </cell>
          <cell r="D473" t="str">
            <v xml:space="preserve">DE        </v>
          </cell>
          <cell r="E473">
            <v>39269097</v>
          </cell>
          <cell r="F473">
            <v>2</v>
          </cell>
          <cell r="G473" t="str">
            <v xml:space="preserve">ST          </v>
          </cell>
          <cell r="H473">
            <v>31.9</v>
          </cell>
          <cell r="I473">
            <v>63.8</v>
          </cell>
        </row>
        <row r="474">
          <cell r="A474" t="str">
            <v>55-302-75-01</v>
          </cell>
          <cell r="B474" t="str">
            <v xml:space="preserve">NEEDLE CASE, PERFORATED, 75X25X4.5 MM   </v>
          </cell>
          <cell r="C474" t="str">
            <v xml:space="preserve">                                   </v>
          </cell>
          <cell r="D474" t="str">
            <v xml:space="preserve">DE        </v>
          </cell>
          <cell r="E474">
            <v>73269098</v>
          </cell>
          <cell r="F474">
            <v>2</v>
          </cell>
          <cell r="G474" t="str">
            <v xml:space="preserve">ST          </v>
          </cell>
          <cell r="H474">
            <v>44</v>
          </cell>
          <cell r="I474">
            <v>88</v>
          </cell>
        </row>
        <row r="475">
          <cell r="A475" t="str">
            <v>55-302-75-01</v>
          </cell>
          <cell r="B475" t="str">
            <v xml:space="preserve">NEEDLE CASE, PERFORATED, 75X25X4.5 MM   </v>
          </cell>
          <cell r="C475" t="str">
            <v xml:space="preserve">                                   </v>
          </cell>
          <cell r="D475" t="str">
            <v xml:space="preserve">DE        </v>
          </cell>
          <cell r="E475">
            <v>73269098</v>
          </cell>
          <cell r="F475">
            <v>2</v>
          </cell>
          <cell r="G475" t="str">
            <v xml:space="preserve">ST          </v>
          </cell>
          <cell r="H475">
            <v>44</v>
          </cell>
          <cell r="I475">
            <v>88</v>
          </cell>
        </row>
        <row r="476">
          <cell r="A476" t="str">
            <v>12-410-12-07</v>
          </cell>
          <cell r="B476" t="str">
            <v xml:space="preserve">FORCEPS, JEWELER, STR., NO. 3, 12 CM    </v>
          </cell>
          <cell r="C476" t="str">
            <v xml:space="preserve">                                   </v>
          </cell>
          <cell r="D476" t="str">
            <v xml:space="preserve">MY        </v>
          </cell>
          <cell r="E476">
            <v>90189084</v>
          </cell>
          <cell r="F476">
            <v>3</v>
          </cell>
          <cell r="G476" t="str">
            <v xml:space="preserve">ST          </v>
          </cell>
          <cell r="H476">
            <v>47.4</v>
          </cell>
          <cell r="I476">
            <v>142.19999999999999</v>
          </cell>
        </row>
        <row r="477">
          <cell r="A477" t="str">
            <v>12-409-12-07</v>
          </cell>
          <cell r="B477" t="str">
            <v xml:space="preserve">FORCEPS, JEWELER, CVD., NO. 7, 12 CM    </v>
          </cell>
          <cell r="C477" t="str">
            <v xml:space="preserve">                                   </v>
          </cell>
          <cell r="D477" t="str">
            <v xml:space="preserve">MY        </v>
          </cell>
          <cell r="E477">
            <v>90189084</v>
          </cell>
          <cell r="F477">
            <v>3</v>
          </cell>
          <cell r="G477" t="str">
            <v xml:space="preserve">ST          </v>
          </cell>
          <cell r="H477">
            <v>59.6</v>
          </cell>
          <cell r="I477">
            <v>178.8</v>
          </cell>
        </row>
        <row r="478">
          <cell r="A478" t="str">
            <v>09-005-50-07</v>
          </cell>
          <cell r="B478" t="str">
            <v xml:space="preserve">Approximator, Acland, V, 36 mm          </v>
          </cell>
          <cell r="C478" t="str">
            <v xml:space="preserve">                                   </v>
          </cell>
          <cell r="D478" t="str">
            <v xml:space="preserve">DE        </v>
          </cell>
          <cell r="E478">
            <v>90189084</v>
          </cell>
          <cell r="F478">
            <v>1</v>
          </cell>
          <cell r="G478" t="str">
            <v xml:space="preserve">ST          </v>
          </cell>
          <cell r="H478">
            <v>159.5</v>
          </cell>
          <cell r="I478">
            <v>159.5</v>
          </cell>
        </row>
        <row r="479">
          <cell r="A479" t="str">
            <v>09-005-51-07</v>
          </cell>
          <cell r="B479" t="str">
            <v xml:space="preserve">Approximator, Acland, A, 36 mm          </v>
          </cell>
          <cell r="C479" t="str">
            <v xml:space="preserve">                                   </v>
          </cell>
          <cell r="D479" t="str">
            <v xml:space="preserve">DE        </v>
          </cell>
          <cell r="E479">
            <v>90189084</v>
          </cell>
          <cell r="F479">
            <v>1</v>
          </cell>
          <cell r="G479" t="str">
            <v xml:space="preserve">ST          </v>
          </cell>
          <cell r="H479">
            <v>159.5</v>
          </cell>
          <cell r="I479">
            <v>159.5</v>
          </cell>
        </row>
        <row r="480">
          <cell r="A480" t="str">
            <v>09-005-04-07</v>
          </cell>
          <cell r="B480" t="str">
            <v xml:space="preserve">Micro-Singleclip, Acland, V, 25 mm      </v>
          </cell>
          <cell r="C480" t="str">
            <v xml:space="preserve">                                   </v>
          </cell>
          <cell r="D480" t="str">
            <v xml:space="preserve">DE        </v>
          </cell>
          <cell r="E480">
            <v>90189084</v>
          </cell>
          <cell r="F480">
            <v>2</v>
          </cell>
          <cell r="G480" t="str">
            <v xml:space="preserve">2ER         </v>
          </cell>
          <cell r="H480">
            <v>88.8</v>
          </cell>
          <cell r="I480">
            <v>177.6</v>
          </cell>
        </row>
        <row r="481">
          <cell r="A481" t="str">
            <v>09-005-05-07</v>
          </cell>
          <cell r="B481" t="str">
            <v xml:space="preserve">Micro-Singleclip, Acland, A, 25 mm      </v>
          </cell>
          <cell r="C481" t="str">
            <v xml:space="preserve">                                   </v>
          </cell>
          <cell r="D481" t="str">
            <v xml:space="preserve">DE        </v>
          </cell>
          <cell r="E481">
            <v>90189084</v>
          </cell>
          <cell r="F481">
            <v>2</v>
          </cell>
          <cell r="G481" t="str">
            <v xml:space="preserve">2ER         </v>
          </cell>
          <cell r="H481">
            <v>88.8</v>
          </cell>
          <cell r="I481">
            <v>177.6</v>
          </cell>
        </row>
        <row r="482">
          <cell r="A482" t="str">
            <v>09-005-06-07</v>
          </cell>
          <cell r="B482" t="str">
            <v xml:space="preserve">Singleclip, Acland, ang., V, 36 mm      </v>
          </cell>
          <cell r="C482" t="str">
            <v xml:space="preserve">                                   </v>
          </cell>
          <cell r="D482" t="str">
            <v xml:space="preserve">DE        </v>
          </cell>
          <cell r="E482">
            <v>90189084</v>
          </cell>
          <cell r="F482">
            <v>2</v>
          </cell>
          <cell r="G482" t="str">
            <v xml:space="preserve">2ER         </v>
          </cell>
          <cell r="H482">
            <v>93.8</v>
          </cell>
          <cell r="I482">
            <v>187.6</v>
          </cell>
        </row>
        <row r="483">
          <cell r="A483" t="str">
            <v>09-005-07-07</v>
          </cell>
          <cell r="B483" t="str">
            <v xml:space="preserve">Singleclip, Acland, ang., A, 36 mm      </v>
          </cell>
          <cell r="C483" t="str">
            <v xml:space="preserve">                                   </v>
          </cell>
          <cell r="D483" t="str">
            <v xml:space="preserve">DE        </v>
          </cell>
          <cell r="E483">
            <v>90189084</v>
          </cell>
          <cell r="F483">
            <v>2</v>
          </cell>
          <cell r="G483" t="str">
            <v xml:space="preserve">2ER         </v>
          </cell>
          <cell r="H483">
            <v>93.8</v>
          </cell>
          <cell r="I483">
            <v>187.6</v>
          </cell>
        </row>
        <row r="484">
          <cell r="A484" t="str">
            <v xml:space="preserve">            </v>
          </cell>
          <cell r="B484" t="str">
            <v>MAXILLOFACIAL SURGICAL INSTRUMENTS Produ</v>
          </cell>
          <cell r="C484" t="str">
            <v xml:space="preserve">                                   </v>
          </cell>
          <cell r="D484" t="str">
            <v xml:space="preserve">          </v>
          </cell>
          <cell r="E484" t="str">
            <v xml:space="preserve">                </v>
          </cell>
          <cell r="F484">
            <v>1</v>
          </cell>
          <cell r="G484" t="str">
            <v xml:space="preserve">            </v>
          </cell>
          <cell r="H484" t="str">
            <v xml:space="preserve">               </v>
          </cell>
          <cell r="I484" t="str">
            <v xml:space="preserve">               </v>
          </cell>
        </row>
        <row r="485">
          <cell r="A485" t="str">
            <v xml:space="preserve">            </v>
          </cell>
          <cell r="B485" t="str">
            <v xml:space="preserve">IMPACTION KIT                           </v>
          </cell>
          <cell r="C485" t="str">
            <v xml:space="preserve">                                   </v>
          </cell>
          <cell r="D485" t="str">
            <v xml:space="preserve">          </v>
          </cell>
          <cell r="E485" t="str">
            <v xml:space="preserve">                </v>
          </cell>
          <cell r="F485">
            <v>1</v>
          </cell>
          <cell r="G485" t="str">
            <v xml:space="preserve">            </v>
          </cell>
          <cell r="H485" t="str">
            <v xml:space="preserve">               </v>
          </cell>
          <cell r="I485" t="str">
            <v xml:space="preserve">               </v>
          </cell>
        </row>
        <row r="486">
          <cell r="A486" t="str">
            <v>10-130-03-07</v>
          </cell>
          <cell r="B486" t="str">
            <v xml:space="preserve">SCALPEL HANDLE, NO. 3, 12 CM            </v>
          </cell>
          <cell r="C486" t="str">
            <v xml:space="preserve">                                   </v>
          </cell>
          <cell r="D486" t="str">
            <v xml:space="preserve">DE        </v>
          </cell>
          <cell r="E486">
            <v>90189084</v>
          </cell>
          <cell r="F486">
            <v>1</v>
          </cell>
          <cell r="G486" t="str">
            <v xml:space="preserve">ST          </v>
          </cell>
          <cell r="H486">
            <v>13.1</v>
          </cell>
          <cell r="I486">
            <v>13.1</v>
          </cell>
        </row>
        <row r="487">
          <cell r="A487" t="str">
            <v>37-557-22-07</v>
          </cell>
          <cell r="B487" t="str">
            <v xml:space="preserve">Elevator, Howarth, 23 cm                </v>
          </cell>
          <cell r="C487" t="str">
            <v xml:space="preserve">                                   </v>
          </cell>
          <cell r="D487" t="str">
            <v xml:space="preserve">DE        </v>
          </cell>
          <cell r="E487">
            <v>90189084</v>
          </cell>
          <cell r="F487">
            <v>1</v>
          </cell>
          <cell r="G487" t="str">
            <v xml:space="preserve">ST          </v>
          </cell>
          <cell r="H487">
            <v>55.3</v>
          </cell>
          <cell r="I487">
            <v>55.3</v>
          </cell>
        </row>
        <row r="488">
          <cell r="A488" t="str">
            <v>42-027-00-07</v>
          </cell>
          <cell r="B488" t="str">
            <v xml:space="preserve">CRYER ROOT ELEVATOR FIG. 27             </v>
          </cell>
          <cell r="C488" t="str">
            <v xml:space="preserve">                                   </v>
          </cell>
          <cell r="D488" t="str">
            <v xml:space="preserve">DE        </v>
          </cell>
          <cell r="E488">
            <v>90184990</v>
          </cell>
          <cell r="F488">
            <v>1</v>
          </cell>
          <cell r="G488" t="str">
            <v xml:space="preserve">ST          </v>
          </cell>
          <cell r="H488">
            <v>51.9</v>
          </cell>
          <cell r="I488">
            <v>51.9</v>
          </cell>
        </row>
        <row r="489">
          <cell r="A489" t="str">
            <v>42-028-00-07</v>
          </cell>
          <cell r="B489" t="str">
            <v xml:space="preserve">CRYER ROOT ELEVATOR FIG. 28             </v>
          </cell>
          <cell r="C489" t="str">
            <v xml:space="preserve">                                   </v>
          </cell>
          <cell r="D489" t="str">
            <v xml:space="preserve">DE        </v>
          </cell>
          <cell r="E489">
            <v>90184990</v>
          </cell>
          <cell r="F489">
            <v>1</v>
          </cell>
          <cell r="G489" t="str">
            <v xml:space="preserve">ST          </v>
          </cell>
          <cell r="H489">
            <v>51.9</v>
          </cell>
          <cell r="I489">
            <v>51.9</v>
          </cell>
        </row>
        <row r="490">
          <cell r="A490" t="str">
            <v>23-452-09-07</v>
          </cell>
          <cell r="B490" t="str">
            <v xml:space="preserve">MOLT-PERIOSTEAL ELEVATOR, FIG.9, 18 CM  </v>
          </cell>
          <cell r="C490" t="str">
            <v xml:space="preserve">                                   </v>
          </cell>
          <cell r="D490" t="str">
            <v xml:space="preserve">DE        </v>
          </cell>
          <cell r="E490">
            <v>90189084</v>
          </cell>
          <cell r="F490">
            <v>1</v>
          </cell>
          <cell r="G490" t="str">
            <v xml:space="preserve">ST          </v>
          </cell>
          <cell r="H490">
            <v>26.7</v>
          </cell>
          <cell r="I490">
            <v>26.7</v>
          </cell>
        </row>
        <row r="491">
          <cell r="A491" t="str">
            <v>38-405-03-07</v>
          </cell>
          <cell r="B491" t="str">
            <v xml:space="preserve">AUSTIN SOFT TISSUE RETRACTOR, LONG      </v>
          </cell>
          <cell r="C491" t="str">
            <v xml:space="preserve">                                   </v>
          </cell>
          <cell r="D491" t="str">
            <v xml:space="preserve">DE        </v>
          </cell>
          <cell r="E491">
            <v>90189084</v>
          </cell>
          <cell r="F491">
            <v>1</v>
          </cell>
          <cell r="G491" t="str">
            <v xml:space="preserve">ST          </v>
          </cell>
          <cell r="H491">
            <v>27.1</v>
          </cell>
          <cell r="I491">
            <v>27.1</v>
          </cell>
        </row>
        <row r="492">
          <cell r="A492" t="str">
            <v>42-415-02-07</v>
          </cell>
          <cell r="B492" t="str">
            <v xml:space="preserve">COUPLAND ROOT ELEVATOR, 2,5 MM          </v>
          </cell>
          <cell r="C492" t="str">
            <v xml:space="preserve">                                   </v>
          </cell>
          <cell r="D492" t="str">
            <v xml:space="preserve">DE        </v>
          </cell>
          <cell r="E492">
            <v>90184990</v>
          </cell>
          <cell r="F492">
            <v>1</v>
          </cell>
          <cell r="G492" t="str">
            <v xml:space="preserve">ST          </v>
          </cell>
          <cell r="H492">
            <v>48.1</v>
          </cell>
          <cell r="I492">
            <v>48.1</v>
          </cell>
        </row>
        <row r="493">
          <cell r="A493" t="str">
            <v>42-576-01-07</v>
          </cell>
          <cell r="B493" t="str">
            <v xml:space="preserve">WARWICK-JAMES ROOT ELEVATOR, FIG. 1     </v>
          </cell>
          <cell r="C493" t="str">
            <v xml:space="preserve">                                   </v>
          </cell>
          <cell r="D493" t="str">
            <v xml:space="preserve">DE        </v>
          </cell>
          <cell r="E493">
            <v>90184990</v>
          </cell>
          <cell r="F493">
            <v>1</v>
          </cell>
          <cell r="G493" t="str">
            <v xml:space="preserve">ST          </v>
          </cell>
          <cell r="H493">
            <v>44.6</v>
          </cell>
          <cell r="I493">
            <v>44.6</v>
          </cell>
        </row>
        <row r="494">
          <cell r="A494" t="str">
            <v>42-587-02-07</v>
          </cell>
          <cell r="B494" t="str">
            <v xml:space="preserve">HEIDEBRINK ROOT TIP TEASER FIG.2        </v>
          </cell>
          <cell r="C494" t="str">
            <v xml:space="preserve">                                   </v>
          </cell>
          <cell r="D494" t="str">
            <v xml:space="preserve">DE        </v>
          </cell>
          <cell r="E494">
            <v>90184990</v>
          </cell>
          <cell r="F494">
            <v>1</v>
          </cell>
          <cell r="G494" t="str">
            <v xml:space="preserve">ST          </v>
          </cell>
          <cell r="H494">
            <v>52.1</v>
          </cell>
          <cell r="I494">
            <v>52.1</v>
          </cell>
        </row>
        <row r="495">
          <cell r="A495" t="str">
            <v>23-362-11-07</v>
          </cell>
          <cell r="B495" t="str">
            <v xml:space="preserve">LUCAS-MARTIN BONE CURETTE, FIG. 1/1     </v>
          </cell>
          <cell r="C495" t="str">
            <v xml:space="preserve">                                   </v>
          </cell>
          <cell r="D495" t="str">
            <v xml:space="preserve">DE        </v>
          </cell>
          <cell r="E495">
            <v>90184990</v>
          </cell>
          <cell r="F495">
            <v>1</v>
          </cell>
          <cell r="G495" t="str">
            <v xml:space="preserve">ST          </v>
          </cell>
          <cell r="H495">
            <v>22.9</v>
          </cell>
          <cell r="I495">
            <v>22.9</v>
          </cell>
        </row>
        <row r="496">
          <cell r="A496" t="str">
            <v>38-130-56-07</v>
          </cell>
          <cell r="B496" t="str">
            <v xml:space="preserve">MOUTH PROP, MCKESSON, S, F. CHILDES     </v>
          </cell>
          <cell r="C496" t="str">
            <v xml:space="preserve">                                   </v>
          </cell>
          <cell r="D496" t="str">
            <v xml:space="preserve">US        </v>
          </cell>
          <cell r="E496">
            <v>90189084</v>
          </cell>
          <cell r="F496">
            <v>1</v>
          </cell>
          <cell r="G496" t="str">
            <v xml:space="preserve">ST          </v>
          </cell>
          <cell r="H496">
            <v>48.2</v>
          </cell>
          <cell r="I496">
            <v>48.2</v>
          </cell>
        </row>
        <row r="497">
          <cell r="A497" t="str">
            <v>38-130-54-07</v>
          </cell>
          <cell r="B497" t="str">
            <v xml:space="preserve">MOUTH PROP, MCKESSON, L, F. ADULTS      </v>
          </cell>
          <cell r="C497" t="str">
            <v xml:space="preserve">                                   </v>
          </cell>
          <cell r="D497" t="str">
            <v xml:space="preserve">US        </v>
          </cell>
          <cell r="E497">
            <v>90189084</v>
          </cell>
          <cell r="F497">
            <v>1</v>
          </cell>
          <cell r="G497" t="str">
            <v xml:space="preserve">ST          </v>
          </cell>
          <cell r="H497">
            <v>48.2</v>
          </cell>
          <cell r="I497">
            <v>48.2</v>
          </cell>
        </row>
        <row r="498">
          <cell r="A498" t="str">
            <v>38-130-50-07</v>
          </cell>
          <cell r="B498" t="str">
            <v xml:space="preserve">MOUTH PROP, MCKESSON, XXL, F. TEEHTLESS </v>
          </cell>
          <cell r="C498" t="str">
            <v xml:space="preserve">                                   </v>
          </cell>
          <cell r="D498" t="str">
            <v xml:space="preserve">US        </v>
          </cell>
          <cell r="E498">
            <v>90189084</v>
          </cell>
          <cell r="F498">
            <v>1</v>
          </cell>
          <cell r="G498" t="str">
            <v xml:space="preserve">ST          </v>
          </cell>
          <cell r="H498">
            <v>48.1</v>
          </cell>
          <cell r="I498">
            <v>48.1</v>
          </cell>
        </row>
        <row r="499">
          <cell r="A499" t="str">
            <v>20-350-15-07</v>
          </cell>
          <cell r="B499" t="str">
            <v>NEEDLEHOLDER, CRILE-WOOD, GROOVED, 15 CM</v>
          </cell>
          <cell r="C499" t="str">
            <v xml:space="preserve">                                   </v>
          </cell>
          <cell r="D499" t="str">
            <v xml:space="preserve">MY        </v>
          </cell>
          <cell r="E499">
            <v>90189084</v>
          </cell>
          <cell r="F499">
            <v>1</v>
          </cell>
          <cell r="G499" t="str">
            <v xml:space="preserve">ST          </v>
          </cell>
          <cell r="H499">
            <v>54</v>
          </cell>
          <cell r="I499">
            <v>54</v>
          </cell>
        </row>
        <row r="500">
          <cell r="A500" t="str">
            <v>11-633-11-07</v>
          </cell>
          <cell r="B500" t="str">
            <v>IRIS SCISSORS, SH/SH, CVD. DOWN, 11.5 CM</v>
          </cell>
          <cell r="C500" t="str">
            <v xml:space="preserve">                                   </v>
          </cell>
          <cell r="D500" t="str">
            <v xml:space="preserve">DE        </v>
          </cell>
          <cell r="E500">
            <v>90189084</v>
          </cell>
          <cell r="F500">
            <v>1</v>
          </cell>
          <cell r="G500" t="str">
            <v xml:space="preserve">ST          </v>
          </cell>
          <cell r="H500">
            <v>53.9</v>
          </cell>
          <cell r="I500">
            <v>53.9</v>
          </cell>
        </row>
        <row r="501">
          <cell r="A501" t="str">
            <v>23-491-01-07</v>
          </cell>
          <cell r="B501" t="str">
            <v>Bone File, Cross Serration, No.1, 17,5cm</v>
          </cell>
          <cell r="C501" t="str">
            <v xml:space="preserve">                                   </v>
          </cell>
          <cell r="D501" t="str">
            <v xml:space="preserve">DE        </v>
          </cell>
          <cell r="E501">
            <v>90189084</v>
          </cell>
          <cell r="F501">
            <v>1</v>
          </cell>
          <cell r="G501" t="str">
            <v xml:space="preserve">ST          </v>
          </cell>
          <cell r="H501">
            <v>55</v>
          </cell>
          <cell r="I501">
            <v>55</v>
          </cell>
        </row>
        <row r="502">
          <cell r="A502" t="str">
            <v>18-523-09-01</v>
          </cell>
          <cell r="B502" t="str">
            <v>Suction tube, Frazier, ø 3.0 mm, 19.5 cm</v>
          </cell>
          <cell r="C502" t="str">
            <v xml:space="preserve">                                   </v>
          </cell>
          <cell r="D502" t="str">
            <v xml:space="preserve">MY        </v>
          </cell>
          <cell r="E502">
            <v>90183900</v>
          </cell>
          <cell r="F502">
            <v>1</v>
          </cell>
          <cell r="G502" t="str">
            <v xml:space="preserve">ST          </v>
          </cell>
          <cell r="H502">
            <v>21.7</v>
          </cell>
          <cell r="I502">
            <v>21.7</v>
          </cell>
        </row>
        <row r="503">
          <cell r="A503" t="str">
            <v>23-136-04-07</v>
          </cell>
          <cell r="B503" t="str">
            <v xml:space="preserve">OSTEOTOME, MINI-LAMBOTTE, 4 MM, 12.5 CM </v>
          </cell>
          <cell r="C503" t="str">
            <v xml:space="preserve">                                   </v>
          </cell>
          <cell r="D503" t="str">
            <v xml:space="preserve">DE        </v>
          </cell>
          <cell r="E503">
            <v>90189084</v>
          </cell>
          <cell r="F503">
            <v>1</v>
          </cell>
          <cell r="G503" t="str">
            <v xml:space="preserve">ST          </v>
          </cell>
          <cell r="H503">
            <v>27.4</v>
          </cell>
          <cell r="I503">
            <v>27.4</v>
          </cell>
        </row>
        <row r="504">
          <cell r="A504" t="str">
            <v>09-006-12-07</v>
          </cell>
          <cell r="B504" t="str">
            <v xml:space="preserve">Dressing forceps. Adson, 18 cm          </v>
          </cell>
          <cell r="C504" t="str">
            <v xml:space="preserve">                                   </v>
          </cell>
          <cell r="D504" t="str">
            <v xml:space="preserve">DE        </v>
          </cell>
          <cell r="E504">
            <v>90189084</v>
          </cell>
          <cell r="F504">
            <v>1</v>
          </cell>
          <cell r="G504" t="str">
            <v xml:space="preserve">ST          </v>
          </cell>
          <cell r="H504">
            <v>26.2</v>
          </cell>
          <cell r="I504">
            <v>26.2</v>
          </cell>
        </row>
        <row r="505">
          <cell r="A505" t="str">
            <v>55-804-50-01</v>
          </cell>
          <cell r="B505" t="str">
            <v xml:space="preserve">marTray, DIN, 477x251x64 mm             </v>
          </cell>
          <cell r="C505" t="str">
            <v xml:space="preserve">                                   </v>
          </cell>
          <cell r="D505" t="str">
            <v xml:space="preserve">DE        </v>
          </cell>
          <cell r="E505">
            <v>73269098</v>
          </cell>
          <cell r="F505">
            <v>1</v>
          </cell>
          <cell r="G505" t="str">
            <v xml:space="preserve">ST          </v>
          </cell>
          <cell r="H505">
            <v>123</v>
          </cell>
          <cell r="I505">
            <v>123</v>
          </cell>
        </row>
        <row r="506">
          <cell r="A506" t="str">
            <v>42-746-02-07</v>
          </cell>
          <cell r="B506" t="str">
            <v xml:space="preserve">MOUTH MIRROR HANDLE, ROUND              </v>
          </cell>
          <cell r="C506" t="str">
            <v xml:space="preserve">                                   </v>
          </cell>
          <cell r="D506" t="str">
            <v xml:space="preserve">MY        </v>
          </cell>
          <cell r="E506">
            <v>90184990</v>
          </cell>
          <cell r="F506">
            <v>1</v>
          </cell>
          <cell r="G506" t="str">
            <v xml:space="preserve">ST          </v>
          </cell>
          <cell r="H506">
            <v>4.3899999999999997</v>
          </cell>
          <cell r="I506">
            <v>4.3899999999999997</v>
          </cell>
        </row>
        <row r="507">
          <cell r="A507" t="str">
            <v>42-702-24-07</v>
          </cell>
          <cell r="B507" t="str">
            <v xml:space="preserve">MOUTH MIRROR, PL.F.5   22 MM            </v>
          </cell>
          <cell r="C507" t="str">
            <v xml:space="preserve">                                   </v>
          </cell>
          <cell r="D507" t="str">
            <v xml:space="preserve">MY        </v>
          </cell>
          <cell r="E507">
            <v>90184990</v>
          </cell>
          <cell r="F507">
            <v>1</v>
          </cell>
          <cell r="G507" t="str">
            <v xml:space="preserve">ST          </v>
          </cell>
          <cell r="H507">
            <v>2.31</v>
          </cell>
          <cell r="I507">
            <v>2.31</v>
          </cell>
        </row>
        <row r="508">
          <cell r="A508" t="str">
            <v>43-402-66-07</v>
          </cell>
          <cell r="B508" t="str">
            <v xml:space="preserve">EXPLORER, R. HANDLE FIG. 6XL            </v>
          </cell>
          <cell r="C508" t="str">
            <v xml:space="preserve">                                   </v>
          </cell>
          <cell r="D508" t="str">
            <v xml:space="preserve">DE        </v>
          </cell>
          <cell r="E508">
            <v>90184990</v>
          </cell>
          <cell r="F508">
            <v>1</v>
          </cell>
          <cell r="G508" t="str">
            <v xml:space="preserve">ST          </v>
          </cell>
          <cell r="H508">
            <v>7.93</v>
          </cell>
          <cell r="I508">
            <v>7.93</v>
          </cell>
        </row>
        <row r="509">
          <cell r="A509" t="str">
            <v xml:space="preserve">            </v>
          </cell>
          <cell r="B509" t="str">
            <v>INSTRUMENT SET FOR ORTHOGNATHIC/MAXILLOFA</v>
          </cell>
          <cell r="C509" t="str">
            <v xml:space="preserve">                                   </v>
          </cell>
          <cell r="D509" t="str">
            <v xml:space="preserve">          </v>
          </cell>
          <cell r="E509" t="str">
            <v xml:space="preserve">                </v>
          </cell>
          <cell r="F509">
            <v>1</v>
          </cell>
          <cell r="G509" t="str">
            <v xml:space="preserve">            </v>
          </cell>
          <cell r="H509" t="str">
            <v xml:space="preserve">               </v>
          </cell>
          <cell r="I509" t="str">
            <v xml:space="preserve">               </v>
          </cell>
        </row>
        <row r="510">
          <cell r="A510" t="str">
            <v>38-700-02-07</v>
          </cell>
          <cell r="B510" t="str">
            <v xml:space="preserve">REPOSITION FORCEPS, ROWE, L., 24 CM     </v>
          </cell>
          <cell r="C510" t="str">
            <v xml:space="preserve">                                   </v>
          </cell>
          <cell r="D510" t="str">
            <v xml:space="preserve">DE        </v>
          </cell>
          <cell r="E510">
            <v>90189084</v>
          </cell>
          <cell r="F510">
            <v>1</v>
          </cell>
          <cell r="G510" t="str">
            <v xml:space="preserve">ST          </v>
          </cell>
          <cell r="H510">
            <v>312</v>
          </cell>
          <cell r="I510">
            <v>312</v>
          </cell>
        </row>
        <row r="511">
          <cell r="A511" t="str">
            <v>38-701-02-07</v>
          </cell>
          <cell r="B511" t="str">
            <v xml:space="preserve">REPOSITION FORCEPS, ROWE, R., 24 CM     </v>
          </cell>
          <cell r="C511" t="str">
            <v xml:space="preserve">                                   </v>
          </cell>
          <cell r="D511" t="str">
            <v xml:space="preserve">DE        </v>
          </cell>
          <cell r="E511">
            <v>90189084</v>
          </cell>
          <cell r="F511">
            <v>1</v>
          </cell>
          <cell r="G511" t="str">
            <v xml:space="preserve">ST          </v>
          </cell>
          <cell r="H511">
            <v>312</v>
          </cell>
          <cell r="I511">
            <v>312</v>
          </cell>
        </row>
        <row r="512">
          <cell r="A512" t="str">
            <v>23-721-14-07</v>
          </cell>
          <cell r="B512" t="str">
            <v xml:space="preserve">REPOSITION FORCEPS, LONG RATCHET, 15 CM </v>
          </cell>
          <cell r="C512" t="str">
            <v xml:space="preserve">                                   </v>
          </cell>
          <cell r="D512" t="str">
            <v xml:space="preserve">DE        </v>
          </cell>
          <cell r="E512">
            <v>90189084</v>
          </cell>
          <cell r="F512">
            <v>1</v>
          </cell>
          <cell r="G512" t="str">
            <v xml:space="preserve">ST          </v>
          </cell>
          <cell r="H512">
            <v>164.5</v>
          </cell>
          <cell r="I512">
            <v>164.5</v>
          </cell>
        </row>
        <row r="513">
          <cell r="A513" t="str">
            <v>38-750-16-07</v>
          </cell>
          <cell r="B513" t="str">
            <v xml:space="preserve">TMJ-SPREADER, CHAMPY-TYPE, 16 CM        </v>
          </cell>
          <cell r="C513" t="str">
            <v xml:space="preserve">                                   </v>
          </cell>
          <cell r="D513" t="str">
            <v xml:space="preserve">DE        </v>
          </cell>
          <cell r="E513">
            <v>90189084</v>
          </cell>
          <cell r="F513">
            <v>1</v>
          </cell>
          <cell r="G513" t="str">
            <v xml:space="preserve">ST          </v>
          </cell>
          <cell r="H513">
            <v>293.5</v>
          </cell>
          <cell r="I513">
            <v>293.5</v>
          </cell>
        </row>
        <row r="514">
          <cell r="A514" t="str">
            <v>37-704-02-07</v>
          </cell>
          <cell r="B514" t="str">
            <v>SKIN HOOKLET, JOSEPH, 2-PR., 2 MM, 16 CM</v>
          </cell>
          <cell r="C514" t="str">
            <v xml:space="preserve">                                   </v>
          </cell>
          <cell r="D514" t="str">
            <v xml:space="preserve">DE        </v>
          </cell>
          <cell r="E514">
            <v>90189084</v>
          </cell>
          <cell r="F514">
            <v>2</v>
          </cell>
          <cell r="G514" t="str">
            <v xml:space="preserve">ST          </v>
          </cell>
          <cell r="H514">
            <v>40.1</v>
          </cell>
          <cell r="I514">
            <v>80.2</v>
          </cell>
        </row>
        <row r="515">
          <cell r="A515" t="str">
            <v>38-616-10-07</v>
          </cell>
          <cell r="B515" t="str">
            <v xml:space="preserve">OUTER PROGENY RETRACTOR, LAUER, 15 CM   </v>
          </cell>
          <cell r="C515" t="str">
            <v xml:space="preserve">                                   </v>
          </cell>
          <cell r="D515" t="str">
            <v xml:space="preserve">DE        </v>
          </cell>
          <cell r="E515">
            <v>90189084</v>
          </cell>
          <cell r="F515">
            <v>1</v>
          </cell>
          <cell r="G515" t="str">
            <v xml:space="preserve">ST          </v>
          </cell>
          <cell r="H515">
            <v>186.5</v>
          </cell>
          <cell r="I515">
            <v>186.5</v>
          </cell>
        </row>
        <row r="516">
          <cell r="A516" t="str">
            <v>48-125-15-07</v>
          </cell>
          <cell r="B516" t="str">
            <v>CHIN RETRACTOR, OBWEGES., 16.5 MM, 16 CM</v>
          </cell>
          <cell r="C516" t="str">
            <v xml:space="preserve">                                   </v>
          </cell>
          <cell r="D516" t="str">
            <v xml:space="preserve">DE        </v>
          </cell>
          <cell r="E516">
            <v>90189084</v>
          </cell>
          <cell r="F516">
            <v>1</v>
          </cell>
          <cell r="G516" t="str">
            <v xml:space="preserve">ST          </v>
          </cell>
          <cell r="H516">
            <v>108</v>
          </cell>
          <cell r="I516">
            <v>108</v>
          </cell>
        </row>
        <row r="517">
          <cell r="A517" t="str">
            <v>38-607-22-07</v>
          </cell>
          <cell r="B517" t="str">
            <v xml:space="preserve">RAMUS RETRACTOR, OBWEGESER, 22 CM       </v>
          </cell>
          <cell r="C517" t="str">
            <v xml:space="preserve">                                   </v>
          </cell>
          <cell r="D517" t="str">
            <v xml:space="preserve">DE        </v>
          </cell>
          <cell r="E517">
            <v>90189084</v>
          </cell>
          <cell r="F517">
            <v>1</v>
          </cell>
          <cell r="G517" t="str">
            <v xml:space="preserve">ST          </v>
          </cell>
          <cell r="H517">
            <v>72.2</v>
          </cell>
          <cell r="I517">
            <v>72.2</v>
          </cell>
        </row>
        <row r="518">
          <cell r="A518" t="str">
            <v>38-613-10-07</v>
          </cell>
          <cell r="B518" t="str">
            <v xml:space="preserve">CHANNEL RETRACT., OBWEG., 10 MM, 16 CM  </v>
          </cell>
          <cell r="C518" t="str">
            <v xml:space="preserve">                                   </v>
          </cell>
          <cell r="D518" t="str">
            <v xml:space="preserve">DE        </v>
          </cell>
          <cell r="E518">
            <v>90189084</v>
          </cell>
          <cell r="F518">
            <v>1</v>
          </cell>
          <cell r="G518" t="str">
            <v xml:space="preserve">ST          </v>
          </cell>
          <cell r="H518">
            <v>65.599999999999994</v>
          </cell>
          <cell r="I518">
            <v>65.599999999999994</v>
          </cell>
        </row>
        <row r="519">
          <cell r="A519" t="str">
            <v>15-166-16-07</v>
          </cell>
          <cell r="B519" t="str">
            <v xml:space="preserve">HOOKLET, SENN-MUELLER, SHARP, 16 CM     </v>
          </cell>
          <cell r="C519" t="str">
            <v xml:space="preserve">                                   </v>
          </cell>
          <cell r="D519" t="str">
            <v xml:space="preserve">DE        </v>
          </cell>
          <cell r="E519">
            <v>90189084</v>
          </cell>
          <cell r="F519">
            <v>1</v>
          </cell>
          <cell r="G519" t="str">
            <v xml:space="preserve">ST          </v>
          </cell>
          <cell r="H519">
            <v>24.8</v>
          </cell>
          <cell r="I519">
            <v>24.8</v>
          </cell>
        </row>
        <row r="520">
          <cell r="A520" t="str">
            <v>38-405-03-07</v>
          </cell>
          <cell r="B520" t="str">
            <v xml:space="preserve">AUSTIN SOFT TISSUE RETRACTOR, LONG      </v>
          </cell>
          <cell r="C520" t="str">
            <v xml:space="preserve">                                   </v>
          </cell>
          <cell r="D520" t="str">
            <v xml:space="preserve">DE        </v>
          </cell>
          <cell r="E520">
            <v>90189084</v>
          </cell>
          <cell r="F520">
            <v>1</v>
          </cell>
          <cell r="G520" t="str">
            <v xml:space="preserve">ST          </v>
          </cell>
          <cell r="H520">
            <v>27.1</v>
          </cell>
          <cell r="I520">
            <v>27.1</v>
          </cell>
        </row>
        <row r="521">
          <cell r="A521" t="str">
            <v>15-095-20-07</v>
          </cell>
          <cell r="B521" t="str">
            <v>HOOKLET, MINI-LANGENBECK, 20X6 MM, 16 CM</v>
          </cell>
          <cell r="C521" t="str">
            <v xml:space="preserve">                                   </v>
          </cell>
          <cell r="D521" t="str">
            <v xml:space="preserve">DE        </v>
          </cell>
          <cell r="E521">
            <v>90189084</v>
          </cell>
          <cell r="F521">
            <v>1</v>
          </cell>
          <cell r="G521" t="str">
            <v xml:space="preserve">ST          </v>
          </cell>
          <cell r="H521">
            <v>45.5</v>
          </cell>
          <cell r="I521">
            <v>45.5</v>
          </cell>
        </row>
        <row r="522">
          <cell r="A522" t="str">
            <v>15-293-01-07</v>
          </cell>
          <cell r="B522" t="str">
            <v>RETRACTOR, LANGENBECK, 30X11 MM, 21,5 CM</v>
          </cell>
          <cell r="C522" t="str">
            <v xml:space="preserve">                                   </v>
          </cell>
          <cell r="D522" t="str">
            <v xml:space="preserve">DE        </v>
          </cell>
          <cell r="E522">
            <v>90189084</v>
          </cell>
          <cell r="F522">
            <v>1</v>
          </cell>
          <cell r="G522" t="str">
            <v xml:space="preserve">ST          </v>
          </cell>
          <cell r="H522">
            <v>39.6</v>
          </cell>
          <cell r="I522">
            <v>39.6</v>
          </cell>
        </row>
        <row r="523">
          <cell r="A523" t="str">
            <v>15-299-01-07</v>
          </cell>
          <cell r="B523" t="str">
            <v xml:space="preserve">Retract., Langenbeck, 40x13 mm, 21,5 cm </v>
          </cell>
          <cell r="C523" t="str">
            <v xml:space="preserve">                                   </v>
          </cell>
          <cell r="D523" t="str">
            <v xml:space="preserve">DE        </v>
          </cell>
          <cell r="E523">
            <v>90189084</v>
          </cell>
          <cell r="F523">
            <v>1</v>
          </cell>
          <cell r="G523" t="str">
            <v xml:space="preserve">ST          </v>
          </cell>
          <cell r="H523">
            <v>54.6</v>
          </cell>
          <cell r="I523">
            <v>54.6</v>
          </cell>
        </row>
        <row r="524">
          <cell r="A524" t="str">
            <v>38-725-03-07</v>
          </cell>
          <cell r="B524" t="str">
            <v>RETRACTOR,SUPERI.,DUNN-DAUTREY,8.0X50 MM</v>
          </cell>
          <cell r="C524" t="str">
            <v xml:space="preserve">                                   </v>
          </cell>
          <cell r="D524" t="str">
            <v xml:space="preserve">DE        </v>
          </cell>
          <cell r="E524">
            <v>90189084</v>
          </cell>
          <cell r="F524">
            <v>2</v>
          </cell>
          <cell r="G524" t="str">
            <v xml:space="preserve">ST          </v>
          </cell>
          <cell r="H524">
            <v>88.1</v>
          </cell>
          <cell r="I524">
            <v>176.2</v>
          </cell>
        </row>
        <row r="525">
          <cell r="A525" t="str">
            <v>15-754-15-07</v>
          </cell>
          <cell r="B525" t="str">
            <v>SPREADER, MOLLISON, SHARP, 4X4T., 15,5CM</v>
          </cell>
          <cell r="C525" t="str">
            <v xml:space="preserve">                                   </v>
          </cell>
          <cell r="D525" t="str">
            <v xml:space="preserve">MY        </v>
          </cell>
          <cell r="E525">
            <v>90189084</v>
          </cell>
          <cell r="F525">
            <v>1</v>
          </cell>
          <cell r="G525" t="str">
            <v xml:space="preserve">ST          </v>
          </cell>
          <cell r="H525">
            <v>220.5</v>
          </cell>
          <cell r="I525">
            <v>220.5</v>
          </cell>
        </row>
        <row r="526">
          <cell r="A526" t="str">
            <v>38-691-01-07</v>
          </cell>
          <cell r="B526" t="str">
            <v xml:space="preserve">ORBITAL RETRACTOR, ROWE, RIGHT, 19 CM   </v>
          </cell>
          <cell r="C526" t="str">
            <v xml:space="preserve">                                   </v>
          </cell>
          <cell r="D526" t="str">
            <v xml:space="preserve">DE        </v>
          </cell>
          <cell r="E526">
            <v>90189084</v>
          </cell>
          <cell r="F526">
            <v>2</v>
          </cell>
          <cell r="G526" t="str">
            <v xml:space="preserve">ST          </v>
          </cell>
          <cell r="H526">
            <v>160.5</v>
          </cell>
          <cell r="I526">
            <v>321</v>
          </cell>
        </row>
        <row r="527">
          <cell r="A527" t="str">
            <v>38-691-02-07</v>
          </cell>
          <cell r="B527" t="str">
            <v xml:space="preserve">ORBITAL RETRACTOR, ROWE, LEFT, 19 CM    </v>
          </cell>
          <cell r="C527" t="str">
            <v xml:space="preserve">                                   </v>
          </cell>
          <cell r="D527" t="str">
            <v xml:space="preserve">DE        </v>
          </cell>
          <cell r="E527">
            <v>90189084</v>
          </cell>
          <cell r="F527">
            <v>2</v>
          </cell>
          <cell r="G527" t="str">
            <v xml:space="preserve">ST          </v>
          </cell>
          <cell r="H527">
            <v>160.5</v>
          </cell>
          <cell r="I527">
            <v>321</v>
          </cell>
        </row>
        <row r="528">
          <cell r="A528" t="str">
            <v>48-101-55-07</v>
          </cell>
          <cell r="B528" t="str">
            <v>RETRACTOR,OBWEG.,UPW., 57X12,5MM, 23.5CM</v>
          </cell>
          <cell r="C528" t="str">
            <v xml:space="preserve">                                   </v>
          </cell>
          <cell r="D528" t="str">
            <v xml:space="preserve">DE        </v>
          </cell>
          <cell r="E528">
            <v>90189084</v>
          </cell>
          <cell r="F528">
            <v>1</v>
          </cell>
          <cell r="G528" t="str">
            <v xml:space="preserve">ST          </v>
          </cell>
          <cell r="H528">
            <v>111</v>
          </cell>
          <cell r="I528">
            <v>111</v>
          </cell>
        </row>
        <row r="529">
          <cell r="A529" t="str">
            <v>09-008-43-07</v>
          </cell>
          <cell r="B529" t="str">
            <v xml:space="preserve">Elevator, Bristow, 23 cm                </v>
          </cell>
          <cell r="C529" t="str">
            <v xml:space="preserve">                                   </v>
          </cell>
          <cell r="D529" t="str">
            <v xml:space="preserve">DE        </v>
          </cell>
          <cell r="E529">
            <v>90189084</v>
          </cell>
          <cell r="F529">
            <v>1</v>
          </cell>
          <cell r="G529" t="str">
            <v xml:space="preserve">ST          </v>
          </cell>
          <cell r="H529">
            <v>44.4</v>
          </cell>
          <cell r="I529">
            <v>44.4</v>
          </cell>
        </row>
        <row r="530">
          <cell r="A530" t="str">
            <v>23-428-06-04</v>
          </cell>
          <cell r="B530" t="str">
            <v xml:space="preserve">Raspatory, str., str., si., 20 cm       </v>
          </cell>
          <cell r="C530" t="str">
            <v xml:space="preserve">                                   </v>
          </cell>
          <cell r="D530" t="str">
            <v xml:space="preserve">DE        </v>
          </cell>
          <cell r="E530">
            <v>90189084</v>
          </cell>
          <cell r="F530">
            <v>1</v>
          </cell>
          <cell r="G530" t="str">
            <v xml:space="preserve">ST          </v>
          </cell>
          <cell r="H530">
            <v>93.7</v>
          </cell>
          <cell r="I530">
            <v>93.7</v>
          </cell>
        </row>
        <row r="531">
          <cell r="A531" t="str">
            <v>23-432-18-04</v>
          </cell>
          <cell r="B531" t="str">
            <v xml:space="preserve">Raspatory, cvd., round, si., 20 cm      </v>
          </cell>
          <cell r="C531" t="str">
            <v xml:space="preserve">                                   </v>
          </cell>
          <cell r="D531" t="str">
            <v xml:space="preserve">DE        </v>
          </cell>
          <cell r="E531">
            <v>90189084</v>
          </cell>
          <cell r="F531">
            <v>1</v>
          </cell>
          <cell r="G531" t="str">
            <v xml:space="preserve">ST          </v>
          </cell>
          <cell r="H531">
            <v>97</v>
          </cell>
          <cell r="I531">
            <v>97</v>
          </cell>
        </row>
        <row r="532">
          <cell r="A532" t="str">
            <v>42-576-02-07</v>
          </cell>
          <cell r="B532" t="str">
            <v xml:space="preserve">WARWICK-JAMES ROOT ELEVATOR, FIG. 2L    </v>
          </cell>
          <cell r="C532" t="str">
            <v xml:space="preserve">                                   </v>
          </cell>
          <cell r="D532" t="str">
            <v xml:space="preserve">MY        </v>
          </cell>
          <cell r="E532">
            <v>90184990</v>
          </cell>
          <cell r="F532">
            <v>1</v>
          </cell>
          <cell r="G532" t="str">
            <v xml:space="preserve">ST          </v>
          </cell>
          <cell r="H532">
            <v>44.6</v>
          </cell>
          <cell r="I532">
            <v>44.6</v>
          </cell>
        </row>
        <row r="533">
          <cell r="A533" t="str">
            <v>42-576-03-07</v>
          </cell>
          <cell r="B533" t="str">
            <v xml:space="preserve">WARWICK-JAMES ROOT ELEVATOR, FIG. 3R    </v>
          </cell>
          <cell r="C533" t="str">
            <v xml:space="preserve">                                   </v>
          </cell>
          <cell r="D533" t="str">
            <v xml:space="preserve">MY        </v>
          </cell>
          <cell r="E533">
            <v>90184990</v>
          </cell>
          <cell r="F533">
            <v>1</v>
          </cell>
          <cell r="G533" t="str">
            <v xml:space="preserve">ST          </v>
          </cell>
          <cell r="H533">
            <v>44.6</v>
          </cell>
          <cell r="I533">
            <v>44.6</v>
          </cell>
        </row>
        <row r="534">
          <cell r="A534" t="str">
            <v>55-804-50-01</v>
          </cell>
          <cell r="B534" t="str">
            <v xml:space="preserve">marTray, DIN, 477x251x64 mm             </v>
          </cell>
          <cell r="C534" t="str">
            <v xml:space="preserve">                                   </v>
          </cell>
          <cell r="D534" t="str">
            <v xml:space="preserve">DE        </v>
          </cell>
          <cell r="E534">
            <v>73269098</v>
          </cell>
          <cell r="F534">
            <v>1</v>
          </cell>
          <cell r="G534" t="str">
            <v xml:space="preserve">ST          </v>
          </cell>
          <cell r="H534">
            <v>123</v>
          </cell>
          <cell r="I534">
            <v>123</v>
          </cell>
        </row>
        <row r="535">
          <cell r="A535" t="str">
            <v xml:space="preserve">            </v>
          </cell>
          <cell r="B535" t="str">
            <v xml:space="preserve">BASIC SET FOR PLASTIC SURGERY           </v>
          </cell>
          <cell r="C535" t="str">
            <v xml:space="preserve">                                   </v>
          </cell>
          <cell r="D535" t="str">
            <v xml:space="preserve">          </v>
          </cell>
          <cell r="E535" t="str">
            <v xml:space="preserve">                </v>
          </cell>
          <cell r="F535">
            <v>1</v>
          </cell>
          <cell r="G535" t="str">
            <v xml:space="preserve">            </v>
          </cell>
          <cell r="H535" t="str">
            <v xml:space="preserve">               </v>
          </cell>
          <cell r="I535" t="str">
            <v xml:space="preserve">               </v>
          </cell>
        </row>
        <row r="536">
          <cell r="A536" t="str">
            <v>28-207-18-07</v>
          </cell>
          <cell r="B536" t="str">
            <v xml:space="preserve">SKIN HOOKLET, GILLIES, NO. 1, 18 CM     </v>
          </cell>
          <cell r="C536" t="str">
            <v xml:space="preserve">                                   </v>
          </cell>
          <cell r="D536" t="str">
            <v xml:space="preserve">DE        </v>
          </cell>
          <cell r="E536">
            <v>90189084</v>
          </cell>
          <cell r="F536">
            <v>2</v>
          </cell>
          <cell r="G536" t="str">
            <v xml:space="preserve">ST          </v>
          </cell>
          <cell r="H536">
            <v>26.9</v>
          </cell>
          <cell r="I536">
            <v>53.8</v>
          </cell>
        </row>
        <row r="537">
          <cell r="A537" t="str">
            <v>15-072-01-07</v>
          </cell>
          <cell r="B537" t="str">
            <v xml:space="preserve">HOOKLET, GUTHRIE, SHARP, 2-PR., 16 CM   </v>
          </cell>
          <cell r="C537" t="str">
            <v xml:space="preserve">                                   </v>
          </cell>
          <cell r="D537" t="str">
            <v xml:space="preserve">DE        </v>
          </cell>
          <cell r="E537">
            <v>90189084</v>
          </cell>
          <cell r="F537">
            <v>2</v>
          </cell>
          <cell r="G537" t="str">
            <v xml:space="preserve">ST          </v>
          </cell>
          <cell r="H537">
            <v>77.8</v>
          </cell>
          <cell r="I537">
            <v>155.6</v>
          </cell>
        </row>
        <row r="538">
          <cell r="A538" t="str">
            <v>20-634-13-07</v>
          </cell>
          <cell r="B538" t="str">
            <v xml:space="preserve">TC-NEEDLEHOLDER, HEGAR-BAUMGART., 13 CM </v>
          </cell>
          <cell r="C538" t="str">
            <v xml:space="preserve">                                   </v>
          </cell>
          <cell r="D538" t="str">
            <v xml:space="preserve">MY        </v>
          </cell>
          <cell r="E538">
            <v>90189084</v>
          </cell>
          <cell r="F538">
            <v>1</v>
          </cell>
          <cell r="G538" t="str">
            <v xml:space="preserve">ST          </v>
          </cell>
          <cell r="H538">
            <v>83.5</v>
          </cell>
          <cell r="I538">
            <v>83.5</v>
          </cell>
        </row>
        <row r="539">
          <cell r="A539" t="str">
            <v>20-634-14-07</v>
          </cell>
          <cell r="B539" t="str">
            <v>TC-NEEDLEHOLDER, HEGAR-BAUMGAR., 14.5 CM</v>
          </cell>
          <cell r="C539" t="str">
            <v xml:space="preserve">                                   </v>
          </cell>
          <cell r="D539" t="str">
            <v xml:space="preserve">MY        </v>
          </cell>
          <cell r="E539">
            <v>90189084</v>
          </cell>
          <cell r="F539">
            <v>1</v>
          </cell>
          <cell r="G539" t="str">
            <v xml:space="preserve">ST          </v>
          </cell>
          <cell r="H539">
            <v>83.4</v>
          </cell>
          <cell r="I539">
            <v>83.4</v>
          </cell>
        </row>
        <row r="540">
          <cell r="A540" t="str">
            <v>20-650-13-07</v>
          </cell>
          <cell r="B540" t="str">
            <v xml:space="preserve">TC-NEEDLEHOLDER, RYDER-MARTIN, 12.5 CM  </v>
          </cell>
          <cell r="C540" t="str">
            <v xml:space="preserve">                                   </v>
          </cell>
          <cell r="D540" t="str">
            <v xml:space="preserve">DE        </v>
          </cell>
          <cell r="E540">
            <v>90189084</v>
          </cell>
          <cell r="F540">
            <v>1</v>
          </cell>
          <cell r="G540" t="str">
            <v xml:space="preserve">ST          </v>
          </cell>
          <cell r="H540">
            <v>163</v>
          </cell>
          <cell r="I540">
            <v>163</v>
          </cell>
        </row>
        <row r="541">
          <cell r="A541" t="str">
            <v>20-650-15-07</v>
          </cell>
          <cell r="B541" t="str">
            <v xml:space="preserve">TC-NEEDLEHOLDER, RYDER-MARTIN, 15 CM    </v>
          </cell>
          <cell r="C541" t="str">
            <v xml:space="preserve">                                   </v>
          </cell>
          <cell r="D541" t="str">
            <v xml:space="preserve">MY        </v>
          </cell>
          <cell r="E541">
            <v>90189084</v>
          </cell>
          <cell r="F541">
            <v>1</v>
          </cell>
          <cell r="G541" t="str">
            <v xml:space="preserve">ST          </v>
          </cell>
          <cell r="H541">
            <v>117</v>
          </cell>
          <cell r="I541">
            <v>117</v>
          </cell>
        </row>
        <row r="542">
          <cell r="A542" t="str">
            <v>11-681-11-07</v>
          </cell>
          <cell r="B542" t="str">
            <v xml:space="preserve">TENOTOMY SCISSORS, SH/SH, CVD., 11 CM   </v>
          </cell>
          <cell r="C542" t="str">
            <v xml:space="preserve">                                   </v>
          </cell>
          <cell r="D542" t="str">
            <v xml:space="preserve">DE        </v>
          </cell>
          <cell r="E542">
            <v>90189084</v>
          </cell>
          <cell r="F542">
            <v>1</v>
          </cell>
          <cell r="G542" t="str">
            <v xml:space="preserve">ST          </v>
          </cell>
          <cell r="H542">
            <v>61.9</v>
          </cell>
          <cell r="I542">
            <v>61.9</v>
          </cell>
        </row>
        <row r="543">
          <cell r="A543" t="str">
            <v>11-677-10-07</v>
          </cell>
          <cell r="B543" t="str">
            <v xml:space="preserve">SC-Scissors, Stevens, bl/bl, cvd.,11cm  </v>
          </cell>
          <cell r="C543" t="str">
            <v xml:space="preserve">                                   </v>
          </cell>
          <cell r="D543" t="str">
            <v xml:space="preserve">DE        </v>
          </cell>
          <cell r="E543">
            <v>90189084</v>
          </cell>
          <cell r="F543">
            <v>1</v>
          </cell>
          <cell r="G543" t="str">
            <v xml:space="preserve">ST          </v>
          </cell>
          <cell r="H543">
            <v>39.5</v>
          </cell>
          <cell r="I543">
            <v>39.5</v>
          </cell>
        </row>
        <row r="544">
          <cell r="A544" t="str">
            <v>11-365-15-07</v>
          </cell>
          <cell r="B544" t="str">
            <v xml:space="preserve">SCISSORS, REYNOLDS, CVD., 15.5 CM       </v>
          </cell>
          <cell r="C544" t="str">
            <v xml:space="preserve">                                   </v>
          </cell>
          <cell r="D544" t="str">
            <v xml:space="preserve">DE        </v>
          </cell>
          <cell r="E544">
            <v>90189084</v>
          </cell>
          <cell r="F544">
            <v>1</v>
          </cell>
          <cell r="G544" t="str">
            <v xml:space="preserve">ST          </v>
          </cell>
          <cell r="H544">
            <v>71.7</v>
          </cell>
          <cell r="I544">
            <v>71.7</v>
          </cell>
        </row>
        <row r="545">
          <cell r="A545" t="str">
            <v>11-365-18-07</v>
          </cell>
          <cell r="B545" t="str">
            <v xml:space="preserve">SCISSORS, REYNOLDS, CVD., 18 CM         </v>
          </cell>
          <cell r="C545" t="str">
            <v xml:space="preserve">                                   </v>
          </cell>
          <cell r="D545" t="str">
            <v xml:space="preserve">DE        </v>
          </cell>
          <cell r="E545">
            <v>90189084</v>
          </cell>
          <cell r="F545">
            <v>1</v>
          </cell>
          <cell r="G545" t="str">
            <v xml:space="preserve">ST          </v>
          </cell>
          <cell r="H545">
            <v>75.099999999999994</v>
          </cell>
          <cell r="I545">
            <v>75.099999999999994</v>
          </cell>
        </row>
        <row r="546">
          <cell r="A546" t="str">
            <v>12-368-12-07</v>
          </cell>
          <cell r="B546" t="str">
            <v xml:space="preserve">TISSUE FORCEPS, ADSON, 1X2 T., 12 CM    </v>
          </cell>
          <cell r="C546" t="str">
            <v xml:space="preserve">                                   </v>
          </cell>
          <cell r="D546" t="str">
            <v xml:space="preserve">MY        </v>
          </cell>
          <cell r="E546">
            <v>90189084</v>
          </cell>
          <cell r="F546">
            <v>1</v>
          </cell>
          <cell r="G546" t="str">
            <v xml:space="preserve">ST          </v>
          </cell>
          <cell r="H546">
            <v>13.1</v>
          </cell>
          <cell r="I546">
            <v>13.1</v>
          </cell>
        </row>
        <row r="547">
          <cell r="A547" t="str">
            <v>12-168-12-07</v>
          </cell>
          <cell r="B547" t="str">
            <v xml:space="preserve">DRESSING FORCEPS, ADSON, 12 CM          </v>
          </cell>
          <cell r="C547" t="str">
            <v xml:space="preserve">                                   </v>
          </cell>
          <cell r="D547" t="str">
            <v xml:space="preserve">MY        </v>
          </cell>
          <cell r="E547">
            <v>90189084</v>
          </cell>
          <cell r="F547">
            <v>1</v>
          </cell>
          <cell r="G547" t="str">
            <v xml:space="preserve">ST          </v>
          </cell>
          <cell r="H547">
            <v>10.3</v>
          </cell>
          <cell r="I547">
            <v>10.3</v>
          </cell>
        </row>
        <row r="548">
          <cell r="A548" t="str">
            <v>28-203-15-07</v>
          </cell>
          <cell r="B548" t="str">
            <v xml:space="preserve">SKIN HOOKLET, KILNER, GRACILE, 14.5 CM  </v>
          </cell>
          <cell r="C548" t="str">
            <v xml:space="preserve">                                   </v>
          </cell>
          <cell r="D548" t="str">
            <v xml:space="preserve">DE        </v>
          </cell>
          <cell r="E548">
            <v>90189084</v>
          </cell>
          <cell r="F548">
            <v>2</v>
          </cell>
          <cell r="G548" t="str">
            <v xml:space="preserve">ST          </v>
          </cell>
          <cell r="H548">
            <v>27.2</v>
          </cell>
          <cell r="I548">
            <v>54.4</v>
          </cell>
        </row>
        <row r="549">
          <cell r="A549" t="str">
            <v>13-321-10-07</v>
          </cell>
          <cell r="B549" t="str">
            <v xml:space="preserve">FORCEPS MICRO-MOSQUITO, CVD., 10 CM     </v>
          </cell>
          <cell r="C549" t="str">
            <v xml:space="preserve">                                   </v>
          </cell>
          <cell r="D549" t="str">
            <v xml:space="preserve">MY        </v>
          </cell>
          <cell r="E549">
            <v>90189084</v>
          </cell>
          <cell r="F549">
            <v>1</v>
          </cell>
          <cell r="G549" t="str">
            <v xml:space="preserve">ST          </v>
          </cell>
          <cell r="H549">
            <v>34.299999999999997</v>
          </cell>
          <cell r="I549">
            <v>34.299999999999997</v>
          </cell>
        </row>
        <row r="550">
          <cell r="A550" t="str">
            <v>13-311-12-07</v>
          </cell>
          <cell r="B550" t="str">
            <v xml:space="preserve">HAEM. FORCEPS, MOSQUITO, CVD., 12 CM    </v>
          </cell>
          <cell r="C550" t="str">
            <v xml:space="preserve">                                   </v>
          </cell>
          <cell r="D550" t="str">
            <v xml:space="preserve">MY        </v>
          </cell>
          <cell r="E550">
            <v>90189084</v>
          </cell>
          <cell r="F550">
            <v>1</v>
          </cell>
          <cell r="G550" t="str">
            <v xml:space="preserve">ST          </v>
          </cell>
          <cell r="H550">
            <v>23.9</v>
          </cell>
          <cell r="I550">
            <v>23.9</v>
          </cell>
        </row>
        <row r="551">
          <cell r="A551" t="str">
            <v>13-347-16-07</v>
          </cell>
          <cell r="B551" t="str">
            <v xml:space="preserve">FORCEPS, CRILE-RANKIN, CVD., 16 CM      </v>
          </cell>
          <cell r="C551" t="str">
            <v xml:space="preserve">                                   </v>
          </cell>
          <cell r="D551" t="str">
            <v xml:space="preserve">MY        </v>
          </cell>
          <cell r="E551">
            <v>90189084</v>
          </cell>
          <cell r="F551">
            <v>1</v>
          </cell>
          <cell r="G551" t="str">
            <v xml:space="preserve">ST          </v>
          </cell>
          <cell r="H551">
            <v>24</v>
          </cell>
          <cell r="I551">
            <v>24</v>
          </cell>
        </row>
        <row r="552">
          <cell r="A552" t="str">
            <v>11-819-13-07</v>
          </cell>
          <cell r="B552" t="str">
            <v xml:space="preserve">LIGAT. SCISSORS, NORTHBENT, CVD., 13 CM </v>
          </cell>
          <cell r="C552" t="str">
            <v xml:space="preserve">                                   </v>
          </cell>
          <cell r="D552" t="str">
            <v xml:space="preserve">DE        </v>
          </cell>
          <cell r="E552">
            <v>90189084</v>
          </cell>
          <cell r="F552">
            <v>1</v>
          </cell>
          <cell r="G552" t="str">
            <v xml:space="preserve">ST          </v>
          </cell>
          <cell r="H552">
            <v>59.8</v>
          </cell>
          <cell r="I552">
            <v>59.8</v>
          </cell>
        </row>
        <row r="553">
          <cell r="A553" t="str">
            <v>11-633-11-07</v>
          </cell>
          <cell r="B553" t="str">
            <v>IRIS SCISSORS, SH/SH, CVD. DOWN, 11.5 CM</v>
          </cell>
          <cell r="C553" t="str">
            <v xml:space="preserve">                                   </v>
          </cell>
          <cell r="D553" t="str">
            <v xml:space="preserve">DE        </v>
          </cell>
          <cell r="E553">
            <v>90189084</v>
          </cell>
          <cell r="F553">
            <v>1</v>
          </cell>
          <cell r="G553" t="str">
            <v xml:space="preserve">ST          </v>
          </cell>
          <cell r="H553">
            <v>53.9</v>
          </cell>
          <cell r="I553">
            <v>53.9</v>
          </cell>
        </row>
        <row r="554">
          <cell r="A554" t="str">
            <v>30-130-12-07</v>
          </cell>
          <cell r="B554" t="str">
            <v xml:space="preserve">TISSUE FCPS., ALLIS-BABY, 4X5 T., 13 CM </v>
          </cell>
          <cell r="C554" t="str">
            <v xml:space="preserve">                                   </v>
          </cell>
          <cell r="D554" t="str">
            <v xml:space="preserve">DE        </v>
          </cell>
          <cell r="E554">
            <v>90189084</v>
          </cell>
          <cell r="F554">
            <v>1</v>
          </cell>
          <cell r="G554" t="str">
            <v xml:space="preserve">ST          </v>
          </cell>
          <cell r="H554">
            <v>72.900000000000006</v>
          </cell>
          <cell r="I554">
            <v>72.900000000000006</v>
          </cell>
        </row>
        <row r="555">
          <cell r="A555" t="str">
            <v>30-132-15-07</v>
          </cell>
          <cell r="B555" t="str">
            <v xml:space="preserve">TISSUE FORCEPS, ALLIS, 4X5 T., 15.5 CM  </v>
          </cell>
          <cell r="C555" t="str">
            <v xml:space="preserve">                                   </v>
          </cell>
          <cell r="D555" t="str">
            <v xml:space="preserve">MY        </v>
          </cell>
          <cell r="E555">
            <v>90189084</v>
          </cell>
          <cell r="F555">
            <v>1</v>
          </cell>
          <cell r="G555" t="str">
            <v xml:space="preserve">ST          </v>
          </cell>
          <cell r="H555">
            <v>44.5</v>
          </cell>
          <cell r="I555">
            <v>44.5</v>
          </cell>
        </row>
        <row r="556">
          <cell r="A556" t="str">
            <v>55-804-50-01</v>
          </cell>
          <cell r="B556" t="str">
            <v xml:space="preserve">marTray, DIN, 477x251x64 mm             </v>
          </cell>
          <cell r="C556" t="str">
            <v xml:space="preserve">                                   </v>
          </cell>
          <cell r="D556" t="str">
            <v xml:space="preserve">DE        </v>
          </cell>
          <cell r="E556">
            <v>73269098</v>
          </cell>
          <cell r="F556">
            <v>1</v>
          </cell>
          <cell r="G556" t="str">
            <v xml:space="preserve">ST          </v>
          </cell>
          <cell r="H556">
            <v>123</v>
          </cell>
          <cell r="I556">
            <v>123</v>
          </cell>
        </row>
        <row r="557">
          <cell r="A557" t="str">
            <v>15-091-12-07</v>
          </cell>
          <cell r="B557" t="str">
            <v xml:space="preserve">HOOKLET, DESMARRES, 12 MM, 16 CM        </v>
          </cell>
          <cell r="C557" t="str">
            <v xml:space="preserve">                                   </v>
          </cell>
          <cell r="D557" t="str">
            <v xml:space="preserve">DE        </v>
          </cell>
          <cell r="E557">
            <v>90189084</v>
          </cell>
          <cell r="F557">
            <v>1</v>
          </cell>
          <cell r="G557" t="str">
            <v xml:space="preserve">ST          </v>
          </cell>
          <cell r="H557">
            <v>52.7</v>
          </cell>
          <cell r="I557">
            <v>52.7</v>
          </cell>
        </row>
        <row r="558">
          <cell r="A558" t="str">
            <v>15-091-16-07</v>
          </cell>
          <cell r="B558" t="str">
            <v xml:space="preserve">HOOKLET, DESMARRES, 16 MM, 16 CM        </v>
          </cell>
          <cell r="C558" t="str">
            <v xml:space="preserve">                                   </v>
          </cell>
          <cell r="D558" t="str">
            <v xml:space="preserve">DE        </v>
          </cell>
          <cell r="E558">
            <v>90189084</v>
          </cell>
          <cell r="F558">
            <v>1</v>
          </cell>
          <cell r="G558" t="str">
            <v xml:space="preserve">ST          </v>
          </cell>
          <cell r="H558">
            <v>42.4</v>
          </cell>
          <cell r="I558">
            <v>42.4</v>
          </cell>
        </row>
        <row r="559">
          <cell r="A559" t="str">
            <v>23-136-02-07</v>
          </cell>
          <cell r="B559" t="str">
            <v xml:space="preserve">OSTEOTOME, MINI-LAMBOTTE, 2 MM, 12.5 CM </v>
          </cell>
          <cell r="C559" t="str">
            <v xml:space="preserve">                                   </v>
          </cell>
          <cell r="D559" t="str">
            <v xml:space="preserve">DE        </v>
          </cell>
          <cell r="E559">
            <v>90189084</v>
          </cell>
          <cell r="F559">
            <v>1</v>
          </cell>
          <cell r="G559" t="str">
            <v xml:space="preserve">ST          </v>
          </cell>
          <cell r="H559">
            <v>27.4</v>
          </cell>
          <cell r="I559">
            <v>27.4</v>
          </cell>
        </row>
        <row r="560">
          <cell r="A560" t="str">
            <v>23-136-03-07</v>
          </cell>
          <cell r="B560" t="str">
            <v xml:space="preserve">OSTEOTOME, MINI-LAMBOTTE, 3 MM, 12.5 CM </v>
          </cell>
          <cell r="C560" t="str">
            <v xml:space="preserve">                                   </v>
          </cell>
          <cell r="D560" t="str">
            <v xml:space="preserve">DE        </v>
          </cell>
          <cell r="E560">
            <v>90189084</v>
          </cell>
          <cell r="F560">
            <v>1</v>
          </cell>
          <cell r="G560" t="str">
            <v xml:space="preserve">ST          </v>
          </cell>
          <cell r="H560">
            <v>27.4</v>
          </cell>
          <cell r="I560">
            <v>27.4</v>
          </cell>
        </row>
        <row r="561">
          <cell r="A561" t="str">
            <v>23-136-54-07</v>
          </cell>
          <cell r="B561" t="str">
            <v xml:space="preserve">OSTEOTOME, MINI-LAMBOTTE, 4 MM, 17 CM   </v>
          </cell>
          <cell r="C561" t="str">
            <v xml:space="preserve">                                   </v>
          </cell>
          <cell r="D561" t="str">
            <v xml:space="preserve">DE        </v>
          </cell>
          <cell r="E561">
            <v>90189084</v>
          </cell>
          <cell r="F561">
            <v>1</v>
          </cell>
          <cell r="G561" t="str">
            <v xml:space="preserve">ST          </v>
          </cell>
          <cell r="H561">
            <v>30.6</v>
          </cell>
          <cell r="I561">
            <v>30.6</v>
          </cell>
        </row>
        <row r="562">
          <cell r="A562" t="str">
            <v>23-136-06-07</v>
          </cell>
          <cell r="B562" t="str">
            <v xml:space="preserve">OSTEOTOME, MINI-LAMBOTTE, 6 MM, 12.5 CM </v>
          </cell>
          <cell r="C562" t="str">
            <v xml:space="preserve">                                   </v>
          </cell>
          <cell r="D562" t="str">
            <v xml:space="preserve">DE        </v>
          </cell>
          <cell r="E562">
            <v>90189084</v>
          </cell>
          <cell r="F562">
            <v>1</v>
          </cell>
          <cell r="G562" t="str">
            <v xml:space="preserve">ST          </v>
          </cell>
          <cell r="H562">
            <v>27.4</v>
          </cell>
          <cell r="I562">
            <v>27.4</v>
          </cell>
        </row>
        <row r="563">
          <cell r="A563" t="str">
            <v xml:space="preserve">            </v>
          </cell>
          <cell r="B563" t="str">
            <v xml:space="preserve">RHINOPLASTY SET                         </v>
          </cell>
          <cell r="C563" t="str">
            <v xml:space="preserve">                                   </v>
          </cell>
          <cell r="D563" t="str">
            <v xml:space="preserve">          </v>
          </cell>
          <cell r="E563" t="str">
            <v xml:space="preserve">                </v>
          </cell>
          <cell r="F563">
            <v>1</v>
          </cell>
          <cell r="G563" t="str">
            <v xml:space="preserve">            </v>
          </cell>
          <cell r="H563" t="str">
            <v xml:space="preserve">               </v>
          </cell>
          <cell r="I563" t="str">
            <v xml:space="preserve">               </v>
          </cell>
        </row>
        <row r="564">
          <cell r="A564" t="str">
            <v>10-130-05-07</v>
          </cell>
          <cell r="B564" t="str">
            <v xml:space="preserve">SCALPEL HANDLE, NO. 3, CM-SCALE, 12 CM  </v>
          </cell>
          <cell r="C564" t="str">
            <v xml:space="preserve">                                   </v>
          </cell>
          <cell r="D564" t="str">
            <v xml:space="preserve">DE        </v>
          </cell>
          <cell r="E564">
            <v>90189084</v>
          </cell>
          <cell r="F564">
            <v>2</v>
          </cell>
          <cell r="G564" t="str">
            <v xml:space="preserve">ST          </v>
          </cell>
          <cell r="H564">
            <v>20.100000000000001</v>
          </cell>
          <cell r="I564">
            <v>40.200000000000003</v>
          </cell>
        </row>
        <row r="565">
          <cell r="A565" t="str">
            <v>10-118-03-07</v>
          </cell>
          <cell r="B565" t="str">
            <v xml:space="preserve">SWIVEL HEAD SCALPEL HANDLE, 15.5 CM     </v>
          </cell>
          <cell r="C565" t="str">
            <v xml:space="preserve">                                   </v>
          </cell>
          <cell r="D565" t="str">
            <v xml:space="preserve">DE        </v>
          </cell>
          <cell r="E565">
            <v>90189084</v>
          </cell>
          <cell r="F565">
            <v>1</v>
          </cell>
          <cell r="G565" t="str">
            <v xml:space="preserve">ST          </v>
          </cell>
          <cell r="H565">
            <v>97.9</v>
          </cell>
          <cell r="I565">
            <v>97.9</v>
          </cell>
        </row>
        <row r="566">
          <cell r="A566" t="str">
            <v>35-133-07-07</v>
          </cell>
          <cell r="B566" t="str">
            <v xml:space="preserve">CALIPER, CASTROV., STR., 0-20 MM, 8 CM  </v>
          </cell>
          <cell r="C566" t="str">
            <v xml:space="preserve">                                   </v>
          </cell>
          <cell r="D566" t="str">
            <v xml:space="preserve">DE        </v>
          </cell>
          <cell r="E566">
            <v>90189084</v>
          </cell>
          <cell r="F566">
            <v>1</v>
          </cell>
          <cell r="G566" t="str">
            <v xml:space="preserve">ST          </v>
          </cell>
          <cell r="H566">
            <v>176.5</v>
          </cell>
          <cell r="I566">
            <v>176.5</v>
          </cell>
        </row>
        <row r="567">
          <cell r="A567" t="str">
            <v>35-134-09-07</v>
          </cell>
          <cell r="B567" t="str">
            <v xml:space="preserve">CALIPER, CASTROV.-EPKER, 0-40 MM, 9 CM  </v>
          </cell>
          <cell r="C567" t="str">
            <v xml:space="preserve">                                   </v>
          </cell>
          <cell r="D567" t="str">
            <v xml:space="preserve">DE        </v>
          </cell>
          <cell r="E567">
            <v>90189084</v>
          </cell>
          <cell r="F567">
            <v>1</v>
          </cell>
          <cell r="G567" t="str">
            <v xml:space="preserve">ST          </v>
          </cell>
          <cell r="H567">
            <v>211.5</v>
          </cell>
          <cell r="I567">
            <v>211.5</v>
          </cell>
        </row>
        <row r="568">
          <cell r="A568" t="str">
            <v>13-320-12-07</v>
          </cell>
          <cell r="B568" t="str">
            <v xml:space="preserve">FORCEPS MICRO-MOSQUITO, STR., 12 CM     </v>
          </cell>
          <cell r="C568" t="str">
            <v xml:space="preserve">                                   </v>
          </cell>
          <cell r="D568" t="str">
            <v xml:space="preserve">MY        </v>
          </cell>
          <cell r="E568">
            <v>90189084</v>
          </cell>
          <cell r="F568">
            <v>6</v>
          </cell>
          <cell r="G568" t="str">
            <v xml:space="preserve">ST          </v>
          </cell>
          <cell r="H568">
            <v>27</v>
          </cell>
          <cell r="I568">
            <v>162</v>
          </cell>
        </row>
        <row r="569">
          <cell r="A569" t="str">
            <v>13-321-12-07</v>
          </cell>
          <cell r="B569" t="str">
            <v xml:space="preserve">FORCEPS MICRO-MOSQUITO, CVD., 12 CM     </v>
          </cell>
          <cell r="C569" t="str">
            <v xml:space="preserve">                                   </v>
          </cell>
          <cell r="D569" t="str">
            <v xml:space="preserve">MY        </v>
          </cell>
          <cell r="E569">
            <v>90189084</v>
          </cell>
          <cell r="F569">
            <v>6</v>
          </cell>
          <cell r="G569" t="str">
            <v xml:space="preserve">ST          </v>
          </cell>
          <cell r="H569">
            <v>28.2</v>
          </cell>
          <cell r="I569">
            <v>169.2</v>
          </cell>
        </row>
        <row r="570">
          <cell r="A570" t="str">
            <v>12-250-12-07</v>
          </cell>
          <cell r="B570" t="str">
            <v xml:space="preserve">TC-DRESSING FORCEPS, ADSON, 12 CM       </v>
          </cell>
          <cell r="C570" t="str">
            <v xml:space="preserve">                                   </v>
          </cell>
          <cell r="D570" t="str">
            <v xml:space="preserve">MY        </v>
          </cell>
          <cell r="E570">
            <v>90189084</v>
          </cell>
          <cell r="F570">
            <v>2</v>
          </cell>
          <cell r="G570" t="str">
            <v xml:space="preserve">ST          </v>
          </cell>
          <cell r="H570">
            <v>68.3</v>
          </cell>
          <cell r="I570">
            <v>136.6</v>
          </cell>
        </row>
        <row r="571">
          <cell r="A571" t="str">
            <v>12-400-12-07</v>
          </cell>
          <cell r="B571" t="str">
            <v xml:space="preserve">FORCEPS, ADSON BROWN, 12 CM             </v>
          </cell>
          <cell r="C571" t="str">
            <v xml:space="preserve">                                   </v>
          </cell>
          <cell r="D571" t="str">
            <v xml:space="preserve">MY        </v>
          </cell>
          <cell r="E571">
            <v>90189084</v>
          </cell>
          <cell r="F571">
            <v>2</v>
          </cell>
          <cell r="G571" t="str">
            <v xml:space="preserve">ST          </v>
          </cell>
          <cell r="H571">
            <v>31.7</v>
          </cell>
          <cell r="I571">
            <v>63.4</v>
          </cell>
        </row>
        <row r="572">
          <cell r="A572" t="str">
            <v>36-395-16-07</v>
          </cell>
          <cell r="B572" t="str">
            <v xml:space="preserve">EAR DRESS. FCPS., JANSEN, BAYO., 16 CM  </v>
          </cell>
          <cell r="C572" t="str">
            <v xml:space="preserve">                                   </v>
          </cell>
          <cell r="D572" t="str">
            <v xml:space="preserve">MY        </v>
          </cell>
          <cell r="E572">
            <v>90189084</v>
          </cell>
          <cell r="F572">
            <v>1</v>
          </cell>
          <cell r="G572" t="str">
            <v xml:space="preserve">ST          </v>
          </cell>
          <cell r="H572">
            <v>32</v>
          </cell>
          <cell r="I572">
            <v>32</v>
          </cell>
        </row>
        <row r="573">
          <cell r="A573" t="str">
            <v>11-285-18-07</v>
          </cell>
          <cell r="B573" t="str">
            <v xml:space="preserve">DISSECTING SCISSORS, CVD., 18 CM        </v>
          </cell>
          <cell r="C573" t="str">
            <v xml:space="preserve">                                   </v>
          </cell>
          <cell r="D573" t="str">
            <v xml:space="preserve">DE        </v>
          </cell>
          <cell r="E573">
            <v>90189084</v>
          </cell>
          <cell r="F573">
            <v>2</v>
          </cell>
          <cell r="G573" t="str">
            <v xml:space="preserve">ST          </v>
          </cell>
          <cell r="H573">
            <v>24.1</v>
          </cell>
          <cell r="I573">
            <v>48.2</v>
          </cell>
        </row>
        <row r="574">
          <cell r="A574" t="str">
            <v>11-631-11-07</v>
          </cell>
          <cell r="B574" t="str">
            <v xml:space="preserve">IRIS SCISSORS, SH/SH, CVD., 11.5 CM     </v>
          </cell>
          <cell r="C574" t="str">
            <v xml:space="preserve">                                   </v>
          </cell>
          <cell r="D574" t="str">
            <v xml:space="preserve">DE        </v>
          </cell>
          <cell r="E574">
            <v>90189084</v>
          </cell>
          <cell r="F574">
            <v>1</v>
          </cell>
          <cell r="G574" t="str">
            <v xml:space="preserve">ST          </v>
          </cell>
          <cell r="H574">
            <v>23.5</v>
          </cell>
          <cell r="I574">
            <v>23.5</v>
          </cell>
        </row>
        <row r="575">
          <cell r="A575" t="str">
            <v>11-641-12-07</v>
          </cell>
          <cell r="B575" t="str">
            <v xml:space="preserve">IRIS SCISSORS, SH/SH, CVD., 12.5 CM     </v>
          </cell>
          <cell r="C575" t="str">
            <v xml:space="preserve">                                   </v>
          </cell>
          <cell r="D575" t="str">
            <v xml:space="preserve">DE        </v>
          </cell>
          <cell r="E575">
            <v>90189084</v>
          </cell>
          <cell r="F575">
            <v>1</v>
          </cell>
          <cell r="G575" t="str">
            <v xml:space="preserve">ST          </v>
          </cell>
          <cell r="H575">
            <v>35.9</v>
          </cell>
          <cell r="I575">
            <v>35.9</v>
          </cell>
        </row>
        <row r="576">
          <cell r="A576" t="str">
            <v>11-171-17-07</v>
          </cell>
          <cell r="B576" t="str">
            <v xml:space="preserve">SCISSORS, MAYO, CVD., 17 CM             </v>
          </cell>
          <cell r="C576" t="str">
            <v xml:space="preserve">                                   </v>
          </cell>
          <cell r="D576" t="str">
            <v xml:space="preserve">DE        </v>
          </cell>
          <cell r="E576">
            <v>90189084</v>
          </cell>
          <cell r="F576">
            <v>1</v>
          </cell>
          <cell r="G576" t="str">
            <v xml:space="preserve">ST          </v>
          </cell>
          <cell r="H576">
            <v>26.4</v>
          </cell>
          <cell r="I576">
            <v>26.4</v>
          </cell>
        </row>
        <row r="577">
          <cell r="A577" t="str">
            <v>11-170-14-07</v>
          </cell>
          <cell r="B577" t="str">
            <v xml:space="preserve">SCISSORS, MAYO, STR., 14.5 CM           </v>
          </cell>
          <cell r="C577" t="str">
            <v xml:space="preserve">                                   </v>
          </cell>
          <cell r="D577" t="str">
            <v xml:space="preserve">DE        </v>
          </cell>
          <cell r="E577">
            <v>90189084</v>
          </cell>
          <cell r="F577">
            <v>1</v>
          </cell>
          <cell r="G577" t="str">
            <v xml:space="preserve">ST          </v>
          </cell>
          <cell r="H577">
            <v>27.2</v>
          </cell>
          <cell r="I577">
            <v>27.2</v>
          </cell>
        </row>
        <row r="578">
          <cell r="A578" t="str">
            <v>11-510-20-07</v>
          </cell>
          <cell r="B578" t="str">
            <v xml:space="preserve">Scissor, Nose, Heymann, angl., 20 cm    </v>
          </cell>
          <cell r="C578" t="str">
            <v xml:space="preserve">                                   </v>
          </cell>
          <cell r="D578" t="str">
            <v xml:space="preserve">DE        </v>
          </cell>
          <cell r="E578">
            <v>90189084</v>
          </cell>
          <cell r="F578">
            <v>1</v>
          </cell>
          <cell r="G578" t="str">
            <v xml:space="preserve">ST          </v>
          </cell>
          <cell r="H578">
            <v>100.5</v>
          </cell>
          <cell r="I578">
            <v>100.5</v>
          </cell>
        </row>
        <row r="579">
          <cell r="A579" t="str">
            <v>11-513-13-07</v>
          </cell>
          <cell r="B579" t="str">
            <v xml:space="preserve">TC-Scissor, Nose, Giunta, cvd., 13,5 cm </v>
          </cell>
          <cell r="C579" t="str">
            <v xml:space="preserve">                                   </v>
          </cell>
          <cell r="D579" t="str">
            <v xml:space="preserve">MY        </v>
          </cell>
          <cell r="E579">
            <v>90189084</v>
          </cell>
          <cell r="F579">
            <v>1</v>
          </cell>
          <cell r="G579" t="str">
            <v xml:space="preserve">ST          </v>
          </cell>
          <cell r="H579">
            <v>171</v>
          </cell>
          <cell r="I579">
            <v>171</v>
          </cell>
        </row>
        <row r="580">
          <cell r="A580" t="str">
            <v>23-436-16-07</v>
          </cell>
          <cell r="B580" t="str">
            <v xml:space="preserve">RASPATORY, WILLIGER, CVD., 5 MM, 16 CM  </v>
          </cell>
          <cell r="C580" t="str">
            <v xml:space="preserve">                                   </v>
          </cell>
          <cell r="D580" t="str">
            <v xml:space="preserve">DE        </v>
          </cell>
          <cell r="E580">
            <v>90189084</v>
          </cell>
          <cell r="F580">
            <v>1</v>
          </cell>
          <cell r="G580" t="str">
            <v xml:space="preserve">ST          </v>
          </cell>
          <cell r="H580">
            <v>34.1</v>
          </cell>
          <cell r="I580">
            <v>34.1</v>
          </cell>
        </row>
        <row r="581">
          <cell r="A581" t="str">
            <v>23-436-07-07</v>
          </cell>
          <cell r="B581" t="str">
            <v xml:space="preserve">RASPATORY, WILLIGER, CVD., 7 MM, 16 CM  </v>
          </cell>
          <cell r="C581" t="str">
            <v xml:space="preserve">                                   </v>
          </cell>
          <cell r="D581" t="str">
            <v xml:space="preserve">DE        </v>
          </cell>
          <cell r="E581">
            <v>90189084</v>
          </cell>
          <cell r="F581">
            <v>1</v>
          </cell>
          <cell r="G581" t="str">
            <v xml:space="preserve">ST          </v>
          </cell>
          <cell r="H581">
            <v>34.1</v>
          </cell>
          <cell r="I581">
            <v>34.1</v>
          </cell>
        </row>
        <row r="582">
          <cell r="A582" t="str">
            <v>37-543-19-07</v>
          </cell>
          <cell r="B582" t="str">
            <v xml:space="preserve">SEPTUM ELEVATOR, FREER, BL., 19 CM      </v>
          </cell>
          <cell r="C582" t="str">
            <v xml:space="preserve">                                   </v>
          </cell>
          <cell r="D582" t="str">
            <v xml:space="preserve">DE        </v>
          </cell>
          <cell r="E582">
            <v>90189084</v>
          </cell>
          <cell r="F582">
            <v>2</v>
          </cell>
          <cell r="G582" t="str">
            <v xml:space="preserve">ST          </v>
          </cell>
          <cell r="H582">
            <v>36.9</v>
          </cell>
          <cell r="I582">
            <v>73.8</v>
          </cell>
        </row>
        <row r="583">
          <cell r="A583" t="str">
            <v>37-531-16-07</v>
          </cell>
          <cell r="B583" t="str">
            <v xml:space="preserve">SEPTUM ELEVATOR, JOSEPH, 4 MM, 16.5 CM  </v>
          </cell>
          <cell r="C583" t="str">
            <v xml:space="preserve">                                   </v>
          </cell>
          <cell r="D583" t="str">
            <v xml:space="preserve">DE        </v>
          </cell>
          <cell r="E583">
            <v>90189084</v>
          </cell>
          <cell r="F583">
            <v>2</v>
          </cell>
          <cell r="G583" t="str">
            <v xml:space="preserve">ST          </v>
          </cell>
          <cell r="H583">
            <v>52.9</v>
          </cell>
          <cell r="I583">
            <v>105.8</v>
          </cell>
        </row>
        <row r="584">
          <cell r="A584" t="str">
            <v>37-559-23-07</v>
          </cell>
          <cell r="B584" t="str">
            <v xml:space="preserve">ELEVATOR, COTTLE, 5 MM, 23.5 CM         </v>
          </cell>
          <cell r="C584" t="str">
            <v xml:space="preserve">                                   </v>
          </cell>
          <cell r="D584" t="str">
            <v xml:space="preserve">DE        </v>
          </cell>
          <cell r="E584">
            <v>90189084</v>
          </cell>
          <cell r="F584">
            <v>1</v>
          </cell>
          <cell r="G584" t="str">
            <v xml:space="preserve">ST          </v>
          </cell>
          <cell r="H584">
            <v>68.5</v>
          </cell>
          <cell r="I584">
            <v>68.5</v>
          </cell>
        </row>
        <row r="585">
          <cell r="A585" t="str">
            <v>37-560-18-07</v>
          </cell>
          <cell r="B585" t="str">
            <v xml:space="preserve">SEPTUM ELEVATOR, KILLIAN, 4 MM, 18 CM   </v>
          </cell>
          <cell r="C585" t="str">
            <v xml:space="preserve">                                   </v>
          </cell>
          <cell r="D585" t="str">
            <v xml:space="preserve">DE        </v>
          </cell>
          <cell r="E585">
            <v>90189084</v>
          </cell>
          <cell r="F585">
            <v>2</v>
          </cell>
          <cell r="G585" t="str">
            <v xml:space="preserve">ST          </v>
          </cell>
          <cell r="H585">
            <v>44.6</v>
          </cell>
          <cell r="I585">
            <v>89.2</v>
          </cell>
        </row>
        <row r="586">
          <cell r="A586" t="str">
            <v>37-652-00-07</v>
          </cell>
          <cell r="B586" t="str">
            <v xml:space="preserve">CARTILAGE CRUSHER, COTTLE, W. CLIP      </v>
          </cell>
          <cell r="C586" t="str">
            <v xml:space="preserve">                                   </v>
          </cell>
          <cell r="D586" t="str">
            <v xml:space="preserve">DE        </v>
          </cell>
          <cell r="E586">
            <v>90189084</v>
          </cell>
          <cell r="F586">
            <v>1</v>
          </cell>
          <cell r="G586" t="str">
            <v xml:space="preserve">ST          </v>
          </cell>
          <cell r="H586">
            <v>112</v>
          </cell>
          <cell r="I586">
            <v>112</v>
          </cell>
        </row>
        <row r="587">
          <cell r="A587" t="str">
            <v>37-652-02-04</v>
          </cell>
          <cell r="B587" t="str">
            <v xml:space="preserve">Cutting block, Teflon, 5,5x8,7x1,2 cm   </v>
          </cell>
          <cell r="C587" t="str">
            <v xml:space="preserve">                                   </v>
          </cell>
          <cell r="D587" t="str">
            <v xml:space="preserve">DE        </v>
          </cell>
          <cell r="E587">
            <v>90189084</v>
          </cell>
          <cell r="F587">
            <v>1</v>
          </cell>
          <cell r="G587" t="str">
            <v xml:space="preserve">ST          </v>
          </cell>
          <cell r="H587">
            <v>67.7</v>
          </cell>
          <cell r="I587">
            <v>67.7</v>
          </cell>
        </row>
        <row r="588">
          <cell r="A588" t="str">
            <v>56-231-08-01</v>
          </cell>
          <cell r="B588" t="str">
            <v xml:space="preserve">BOWL, METAL, H = 40, Ø 80 MM, 0.14 L    </v>
          </cell>
          <cell r="C588" t="str">
            <v xml:space="preserve">                                   </v>
          </cell>
          <cell r="D588" t="str">
            <v xml:space="preserve">DE        </v>
          </cell>
          <cell r="E588">
            <v>73249000</v>
          </cell>
          <cell r="F588">
            <v>1</v>
          </cell>
          <cell r="G588" t="str">
            <v xml:space="preserve">ST          </v>
          </cell>
          <cell r="H588">
            <v>10.3</v>
          </cell>
          <cell r="I588">
            <v>10.3</v>
          </cell>
        </row>
        <row r="589">
          <cell r="A589" t="str">
            <v>56-231-06-01</v>
          </cell>
          <cell r="B589" t="str">
            <v xml:space="preserve">BOWL, METAL, H = 30, Ø 61 MM, 0.07 L    </v>
          </cell>
          <cell r="C589" t="str">
            <v xml:space="preserve">                                   </v>
          </cell>
          <cell r="D589" t="str">
            <v xml:space="preserve">SE        </v>
          </cell>
          <cell r="E589">
            <v>73249000</v>
          </cell>
          <cell r="F589">
            <v>1</v>
          </cell>
          <cell r="G589" t="str">
            <v xml:space="preserve">ST          </v>
          </cell>
          <cell r="H589">
            <v>7.77</v>
          </cell>
          <cell r="I589">
            <v>7.77</v>
          </cell>
        </row>
        <row r="590">
          <cell r="A590" t="str">
            <v>23-879-18-07</v>
          </cell>
          <cell r="B590" t="str">
            <v xml:space="preserve">BONE RONGEUR, BEYER, CVD., 18 CM        </v>
          </cell>
          <cell r="C590" t="str">
            <v xml:space="preserve">                                   </v>
          </cell>
          <cell r="D590" t="str">
            <v xml:space="preserve">DE        </v>
          </cell>
          <cell r="E590">
            <v>90189084</v>
          </cell>
          <cell r="F590">
            <v>2</v>
          </cell>
          <cell r="G590" t="str">
            <v xml:space="preserve">ST          </v>
          </cell>
          <cell r="H590">
            <v>336</v>
          </cell>
          <cell r="I590">
            <v>672</v>
          </cell>
        </row>
        <row r="591">
          <cell r="A591" t="str">
            <v>37-680-21-07</v>
          </cell>
          <cell r="B591" t="str">
            <v>NASAL RASP, FOMON, DOUBLE-ENDED, 20.5 CM</v>
          </cell>
          <cell r="C591" t="str">
            <v xml:space="preserve">                                   </v>
          </cell>
          <cell r="D591" t="str">
            <v xml:space="preserve">DE        </v>
          </cell>
          <cell r="E591">
            <v>90189084</v>
          </cell>
          <cell r="F591">
            <v>1</v>
          </cell>
          <cell r="G591" t="str">
            <v xml:space="preserve">ST          </v>
          </cell>
          <cell r="H591">
            <v>83.3</v>
          </cell>
          <cell r="I591">
            <v>83.3</v>
          </cell>
        </row>
        <row r="592">
          <cell r="A592" t="str">
            <v>37-625-01-07</v>
          </cell>
          <cell r="B592" t="str">
            <v xml:space="preserve">OSTEOTOME, NEIVERT-ANDERSON, 7 MM, R.   </v>
          </cell>
          <cell r="C592" t="str">
            <v xml:space="preserve">                                   </v>
          </cell>
          <cell r="D592" t="str">
            <v xml:space="preserve">DE        </v>
          </cell>
          <cell r="E592">
            <v>90189084</v>
          </cell>
          <cell r="F592">
            <v>1</v>
          </cell>
          <cell r="G592" t="str">
            <v xml:space="preserve">ST          </v>
          </cell>
          <cell r="H592">
            <v>95.2</v>
          </cell>
          <cell r="I592">
            <v>95.2</v>
          </cell>
        </row>
        <row r="593">
          <cell r="A593" t="str">
            <v>37-625-02-07</v>
          </cell>
          <cell r="B593" t="str">
            <v xml:space="preserve">OSTEOTOME, NEIVERT-ANDERSON, 7 MM, L.   </v>
          </cell>
          <cell r="C593" t="str">
            <v xml:space="preserve">                                   </v>
          </cell>
          <cell r="D593" t="str">
            <v xml:space="preserve">DE        </v>
          </cell>
          <cell r="E593">
            <v>90189084</v>
          </cell>
          <cell r="F593">
            <v>1</v>
          </cell>
          <cell r="G593" t="str">
            <v xml:space="preserve">ST          </v>
          </cell>
          <cell r="H593">
            <v>95.2</v>
          </cell>
          <cell r="I593">
            <v>95.2</v>
          </cell>
        </row>
        <row r="594">
          <cell r="A594" t="str">
            <v>28-207-18-07</v>
          </cell>
          <cell r="B594" t="str">
            <v xml:space="preserve">SKIN HOOKLET, GILLIES, NO. 1, 18 CM     </v>
          </cell>
          <cell r="C594" t="str">
            <v xml:space="preserve">                                   </v>
          </cell>
          <cell r="D594" t="str">
            <v xml:space="preserve">DE        </v>
          </cell>
          <cell r="E594">
            <v>90189084</v>
          </cell>
          <cell r="F594">
            <v>1</v>
          </cell>
          <cell r="G594" t="str">
            <v xml:space="preserve">ST          </v>
          </cell>
          <cell r="H594">
            <v>26.9</v>
          </cell>
          <cell r="I594">
            <v>26.9</v>
          </cell>
        </row>
        <row r="595">
          <cell r="A595" t="str">
            <v>28-207-18-07</v>
          </cell>
          <cell r="B595" t="str">
            <v xml:space="preserve">SKIN HOOKLET, GILLIES, NO. 1, 18 CM     </v>
          </cell>
          <cell r="C595" t="str">
            <v xml:space="preserve">                                   </v>
          </cell>
          <cell r="D595" t="str">
            <v xml:space="preserve">DE        </v>
          </cell>
          <cell r="E595">
            <v>90189084</v>
          </cell>
          <cell r="F595">
            <v>1</v>
          </cell>
          <cell r="G595" t="str">
            <v xml:space="preserve">ST          </v>
          </cell>
          <cell r="H595">
            <v>26.9</v>
          </cell>
          <cell r="I595">
            <v>26.9</v>
          </cell>
        </row>
        <row r="596">
          <cell r="A596" t="str">
            <v>37-704-02-07</v>
          </cell>
          <cell r="B596" t="str">
            <v>SKIN HOOKLET, JOSEPH, 2-PR., 2 MM, 16 CM</v>
          </cell>
          <cell r="C596" t="str">
            <v xml:space="preserve">                                   </v>
          </cell>
          <cell r="D596" t="str">
            <v xml:space="preserve">DE        </v>
          </cell>
          <cell r="E596">
            <v>90189084</v>
          </cell>
          <cell r="F596">
            <v>1</v>
          </cell>
          <cell r="G596" t="str">
            <v xml:space="preserve">ST          </v>
          </cell>
          <cell r="H596">
            <v>40.1</v>
          </cell>
          <cell r="I596">
            <v>40.1</v>
          </cell>
        </row>
        <row r="597">
          <cell r="A597" t="str">
            <v>37-704-05-07</v>
          </cell>
          <cell r="B597" t="str">
            <v>SKIN HOOKLET, JOSEPH, 2-PR., 5 MM, 16 CM</v>
          </cell>
          <cell r="C597" t="str">
            <v xml:space="preserve">                                   </v>
          </cell>
          <cell r="D597" t="str">
            <v xml:space="preserve">DE        </v>
          </cell>
          <cell r="E597">
            <v>90189084</v>
          </cell>
          <cell r="F597">
            <v>1</v>
          </cell>
          <cell r="G597" t="str">
            <v xml:space="preserve">ST          </v>
          </cell>
          <cell r="H597">
            <v>40.1</v>
          </cell>
          <cell r="I597">
            <v>40.1</v>
          </cell>
        </row>
        <row r="598">
          <cell r="A598" t="str">
            <v>37-704-07-07</v>
          </cell>
          <cell r="B598" t="str">
            <v>SKIN HOOKLET, JOSEPH, 2-PR., 7 MM, 16 CM</v>
          </cell>
          <cell r="C598" t="str">
            <v xml:space="preserve">                                   </v>
          </cell>
          <cell r="D598" t="str">
            <v xml:space="preserve">DE        </v>
          </cell>
          <cell r="E598">
            <v>90189084</v>
          </cell>
          <cell r="F598">
            <v>1</v>
          </cell>
          <cell r="G598" t="str">
            <v xml:space="preserve">ST          </v>
          </cell>
          <cell r="H598">
            <v>40.1</v>
          </cell>
          <cell r="I598">
            <v>40.1</v>
          </cell>
        </row>
        <row r="599">
          <cell r="A599" t="str">
            <v>37-704-10-07</v>
          </cell>
          <cell r="B599" t="str">
            <v xml:space="preserve">SKIN HOOKLET, JOSEPH, 2-PR., 10 MM      </v>
          </cell>
          <cell r="C599" t="str">
            <v xml:space="preserve">                                   </v>
          </cell>
          <cell r="D599" t="str">
            <v xml:space="preserve">DE        </v>
          </cell>
          <cell r="E599">
            <v>90189084</v>
          </cell>
          <cell r="F599">
            <v>1</v>
          </cell>
          <cell r="G599" t="str">
            <v xml:space="preserve">ST          </v>
          </cell>
          <cell r="H599">
            <v>40.1</v>
          </cell>
          <cell r="I599">
            <v>40.1</v>
          </cell>
        </row>
        <row r="600">
          <cell r="A600" t="str">
            <v>37-584-21-07</v>
          </cell>
          <cell r="B600" t="str">
            <v xml:space="preserve">ELEVATOR, COTTLE, 4.5 MM, 22 CM         </v>
          </cell>
          <cell r="C600" t="str">
            <v xml:space="preserve">                                   </v>
          </cell>
          <cell r="D600" t="str">
            <v xml:space="preserve">DE        </v>
          </cell>
          <cell r="E600">
            <v>90189084</v>
          </cell>
          <cell r="F600">
            <v>1</v>
          </cell>
          <cell r="G600" t="str">
            <v xml:space="preserve">ST          </v>
          </cell>
          <cell r="H600">
            <v>63.3</v>
          </cell>
          <cell r="I600">
            <v>63.3</v>
          </cell>
        </row>
        <row r="601">
          <cell r="A601" t="str">
            <v>23-419-15-07</v>
          </cell>
          <cell r="B601" t="str">
            <v xml:space="preserve">RASPATORY, FARABEUF, CVD., 15.5 CM      </v>
          </cell>
          <cell r="C601" t="str">
            <v xml:space="preserve">                                   </v>
          </cell>
          <cell r="D601" t="str">
            <v xml:space="preserve">DE        </v>
          </cell>
          <cell r="E601">
            <v>90189084</v>
          </cell>
          <cell r="F601">
            <v>1</v>
          </cell>
          <cell r="G601" t="str">
            <v xml:space="preserve">ST          </v>
          </cell>
          <cell r="H601">
            <v>57.1</v>
          </cell>
          <cell r="I601">
            <v>57.1</v>
          </cell>
        </row>
        <row r="602">
          <cell r="A602" t="str">
            <v>15-166-16-07</v>
          </cell>
          <cell r="B602" t="str">
            <v xml:space="preserve">HOOKLET, SENN-MUELLER, SHARP, 16 CM     </v>
          </cell>
          <cell r="C602" t="str">
            <v xml:space="preserve">                                   </v>
          </cell>
          <cell r="D602" t="str">
            <v xml:space="preserve">DE        </v>
          </cell>
          <cell r="E602">
            <v>90189084</v>
          </cell>
          <cell r="F602">
            <v>4</v>
          </cell>
          <cell r="G602" t="str">
            <v xml:space="preserve">ST          </v>
          </cell>
          <cell r="H602">
            <v>24.8</v>
          </cell>
          <cell r="I602">
            <v>99.2</v>
          </cell>
        </row>
        <row r="603">
          <cell r="A603" t="str">
            <v>24-691-24-07</v>
          </cell>
          <cell r="B603" t="str">
            <v xml:space="preserve">Dissector, Davis, double-ended, 24.5 cm </v>
          </cell>
          <cell r="C603" t="str">
            <v xml:space="preserve">                                   </v>
          </cell>
          <cell r="D603" t="str">
            <v xml:space="preserve">DE        </v>
          </cell>
          <cell r="E603">
            <v>90189084</v>
          </cell>
          <cell r="F603">
            <v>1</v>
          </cell>
          <cell r="G603" t="str">
            <v xml:space="preserve">ST          </v>
          </cell>
          <cell r="H603">
            <v>51.4</v>
          </cell>
          <cell r="I603">
            <v>51.4</v>
          </cell>
        </row>
        <row r="604">
          <cell r="A604" t="str">
            <v>48-156-06-07</v>
          </cell>
          <cell r="B604" t="str">
            <v>SEPTUM OSTEOTOME, OBWEGESER, 6 MM, 19 CM</v>
          </cell>
          <cell r="C604" t="str">
            <v xml:space="preserve">                                   </v>
          </cell>
          <cell r="D604" t="str">
            <v xml:space="preserve">DE        </v>
          </cell>
          <cell r="E604">
            <v>90189084</v>
          </cell>
          <cell r="F604">
            <v>1</v>
          </cell>
          <cell r="G604" t="str">
            <v xml:space="preserve">ST          </v>
          </cell>
          <cell r="H604">
            <v>181.5</v>
          </cell>
          <cell r="I604">
            <v>181.5</v>
          </cell>
        </row>
        <row r="605">
          <cell r="A605" t="str">
            <v>37-627-06-07</v>
          </cell>
          <cell r="B605" t="str">
            <v>Osteotome, Fanous, str., ri., 4mm,19,5cm</v>
          </cell>
          <cell r="C605" t="str">
            <v xml:space="preserve">                                   </v>
          </cell>
          <cell r="D605" t="str">
            <v xml:space="preserve">DE        </v>
          </cell>
          <cell r="E605">
            <v>90189084</v>
          </cell>
          <cell r="F605">
            <v>1</v>
          </cell>
          <cell r="G605" t="str">
            <v xml:space="preserve">ST          </v>
          </cell>
          <cell r="H605">
            <v>177</v>
          </cell>
          <cell r="I605">
            <v>177</v>
          </cell>
        </row>
        <row r="606">
          <cell r="A606" t="str">
            <v>37-627-07-07</v>
          </cell>
          <cell r="B606" t="str">
            <v>Osteotome, Fanous, str., le., 4mm,19,5cm</v>
          </cell>
          <cell r="C606" t="str">
            <v xml:space="preserve">                                   </v>
          </cell>
          <cell r="D606" t="str">
            <v xml:space="preserve">DE        </v>
          </cell>
          <cell r="E606">
            <v>90189084</v>
          </cell>
          <cell r="F606">
            <v>1</v>
          </cell>
          <cell r="G606" t="str">
            <v xml:space="preserve">ST          </v>
          </cell>
          <cell r="H606">
            <v>177</v>
          </cell>
          <cell r="I606">
            <v>177</v>
          </cell>
        </row>
        <row r="607">
          <cell r="A607" t="str">
            <v>37-682-03-07</v>
          </cell>
          <cell r="B607" t="str">
            <v xml:space="preserve">TC-NASAL RASP, FOMON, NO. 5/6, 20.5 CM  </v>
          </cell>
          <cell r="C607" t="str">
            <v xml:space="preserve">                                   </v>
          </cell>
          <cell r="D607" t="str">
            <v xml:space="preserve">DE        </v>
          </cell>
          <cell r="E607">
            <v>90189084</v>
          </cell>
          <cell r="F607">
            <v>1</v>
          </cell>
          <cell r="G607" t="str">
            <v xml:space="preserve">ST          </v>
          </cell>
          <cell r="H607">
            <v>167</v>
          </cell>
          <cell r="I607">
            <v>167</v>
          </cell>
        </row>
        <row r="608">
          <cell r="A608" t="str">
            <v>37-682-05-07</v>
          </cell>
          <cell r="B608" t="str">
            <v xml:space="preserve">TC-NASAL RASP, FOMON, NO. 9/10, 20.5 CM </v>
          </cell>
          <cell r="C608" t="str">
            <v xml:space="preserve">                                   </v>
          </cell>
          <cell r="D608" t="str">
            <v xml:space="preserve">DE        </v>
          </cell>
          <cell r="E608">
            <v>90189084</v>
          </cell>
          <cell r="F608">
            <v>1</v>
          </cell>
          <cell r="G608" t="str">
            <v xml:space="preserve">ST          </v>
          </cell>
          <cell r="H608">
            <v>167</v>
          </cell>
          <cell r="I608">
            <v>167</v>
          </cell>
        </row>
        <row r="609">
          <cell r="A609" t="str">
            <v>55-804-50-01</v>
          </cell>
          <cell r="B609" t="str">
            <v xml:space="preserve">marTray, DIN, 477x251x64 mm             </v>
          </cell>
          <cell r="C609" t="str">
            <v xml:space="preserve">                                   </v>
          </cell>
          <cell r="D609" t="str">
            <v xml:space="preserve">DE        </v>
          </cell>
          <cell r="E609">
            <v>73269098</v>
          </cell>
          <cell r="F609">
            <v>1</v>
          </cell>
          <cell r="G609" t="str">
            <v xml:space="preserve">ST          </v>
          </cell>
          <cell r="H609">
            <v>123</v>
          </cell>
          <cell r="I609">
            <v>123</v>
          </cell>
        </row>
        <row r="610">
          <cell r="A610" t="str">
            <v>37-581-22-07</v>
          </cell>
          <cell r="B610" t="str">
            <v xml:space="preserve">SEPTUM ELEVATOR, COTTLE, 3.7 MM, 23 CM  </v>
          </cell>
          <cell r="C610" t="str">
            <v xml:space="preserve">                                   </v>
          </cell>
          <cell r="D610" t="str">
            <v xml:space="preserve">DE        </v>
          </cell>
          <cell r="E610">
            <v>90189084</v>
          </cell>
          <cell r="F610">
            <v>1</v>
          </cell>
          <cell r="G610" t="str">
            <v xml:space="preserve">ST          </v>
          </cell>
          <cell r="H610">
            <v>63.1</v>
          </cell>
          <cell r="I610">
            <v>63.1</v>
          </cell>
        </row>
        <row r="611">
          <cell r="A611" t="str">
            <v>37-698-10-07</v>
          </cell>
          <cell r="B611" t="str">
            <v xml:space="preserve">ALAR RETRACTOR, KILNER, SHARP, 8 CM     </v>
          </cell>
          <cell r="C611" t="str">
            <v xml:space="preserve">                                   </v>
          </cell>
          <cell r="D611" t="str">
            <v xml:space="preserve">DE        </v>
          </cell>
          <cell r="E611">
            <v>90189084</v>
          </cell>
          <cell r="F611">
            <v>2</v>
          </cell>
          <cell r="G611" t="str">
            <v xml:space="preserve">ST          </v>
          </cell>
          <cell r="H611">
            <v>62.9</v>
          </cell>
          <cell r="I611">
            <v>125.8</v>
          </cell>
        </row>
        <row r="612">
          <cell r="A612" t="str">
            <v xml:space="preserve">            </v>
          </cell>
          <cell r="B612" t="str">
            <v xml:space="preserve">CRANIOFACIAL SUSPENSION SET             </v>
          </cell>
          <cell r="C612" t="str">
            <v xml:space="preserve">                                   </v>
          </cell>
          <cell r="D612" t="str">
            <v xml:space="preserve">          </v>
          </cell>
          <cell r="E612" t="str">
            <v xml:space="preserve">                </v>
          </cell>
          <cell r="F612">
            <v>1</v>
          </cell>
          <cell r="G612" t="str">
            <v xml:space="preserve">            </v>
          </cell>
          <cell r="H612" t="str">
            <v xml:space="preserve">               </v>
          </cell>
          <cell r="I612" t="str">
            <v xml:space="preserve">               </v>
          </cell>
        </row>
        <row r="613">
          <cell r="A613" t="str">
            <v>10-130-03-07</v>
          </cell>
          <cell r="B613" t="str">
            <v xml:space="preserve">SCALPEL HANDLE, NO. 3, 12 CM            </v>
          </cell>
          <cell r="C613" t="str">
            <v xml:space="preserve">                                   </v>
          </cell>
          <cell r="D613" t="str">
            <v xml:space="preserve">DE        </v>
          </cell>
          <cell r="E613">
            <v>90189084</v>
          </cell>
          <cell r="F613">
            <v>2</v>
          </cell>
          <cell r="G613" t="str">
            <v xml:space="preserve">ST          </v>
          </cell>
          <cell r="H613">
            <v>13.1</v>
          </cell>
          <cell r="I613">
            <v>26.2</v>
          </cell>
        </row>
        <row r="614">
          <cell r="A614" t="str">
            <v>11-365-15-07</v>
          </cell>
          <cell r="B614" t="str">
            <v xml:space="preserve">SCISSORS, REYNOLDS, CVD., 15.5 CM       </v>
          </cell>
          <cell r="C614" t="str">
            <v xml:space="preserve">                                   </v>
          </cell>
          <cell r="D614" t="str">
            <v xml:space="preserve">DE        </v>
          </cell>
          <cell r="E614">
            <v>90189084</v>
          </cell>
          <cell r="F614">
            <v>1</v>
          </cell>
          <cell r="G614" t="str">
            <v xml:space="preserve">ST          </v>
          </cell>
          <cell r="H614">
            <v>71.7</v>
          </cell>
          <cell r="I614">
            <v>71.7</v>
          </cell>
        </row>
        <row r="615">
          <cell r="A615" t="str">
            <v>11-879-12-07</v>
          </cell>
          <cell r="B615" t="str">
            <v>WIRE SCISSORS, SH/SH, CVD., SERR., 12 CM</v>
          </cell>
          <cell r="C615" t="str">
            <v xml:space="preserve">                                   </v>
          </cell>
          <cell r="D615" t="str">
            <v xml:space="preserve">DE        </v>
          </cell>
          <cell r="E615">
            <v>90189084</v>
          </cell>
          <cell r="F615">
            <v>1</v>
          </cell>
          <cell r="G615" t="str">
            <v xml:space="preserve">ST          </v>
          </cell>
          <cell r="H615">
            <v>31.5</v>
          </cell>
          <cell r="I615">
            <v>31.5</v>
          </cell>
        </row>
        <row r="616">
          <cell r="A616" t="str">
            <v>11-915-17-07</v>
          </cell>
          <cell r="B616" t="str">
            <v xml:space="preserve">TC-Ligature sciss., cvd., serr., 17 cm  </v>
          </cell>
          <cell r="C616" t="str">
            <v xml:space="preserve">                                   </v>
          </cell>
          <cell r="D616" t="str">
            <v xml:space="preserve">DE        </v>
          </cell>
          <cell r="E616">
            <v>90189084</v>
          </cell>
          <cell r="F616">
            <v>1</v>
          </cell>
          <cell r="G616" t="str">
            <v xml:space="preserve">ST          </v>
          </cell>
          <cell r="H616">
            <v>138.5</v>
          </cell>
          <cell r="I616">
            <v>138.5</v>
          </cell>
        </row>
        <row r="617">
          <cell r="A617" t="str">
            <v>12-120-16-07</v>
          </cell>
          <cell r="B617" t="str">
            <v xml:space="preserve">DRESSING FORCEPS, MEDIUM WIDE, 16 CM    </v>
          </cell>
          <cell r="C617" t="str">
            <v xml:space="preserve">                                   </v>
          </cell>
          <cell r="D617" t="str">
            <v xml:space="preserve">MY        </v>
          </cell>
          <cell r="E617">
            <v>90189084</v>
          </cell>
          <cell r="F617">
            <v>1</v>
          </cell>
          <cell r="G617" t="str">
            <v xml:space="preserve">ST          </v>
          </cell>
          <cell r="H617">
            <v>9.6300000000000008</v>
          </cell>
          <cell r="I617">
            <v>9.6300000000000008</v>
          </cell>
        </row>
        <row r="618">
          <cell r="A618" t="str">
            <v>12-370-15-07</v>
          </cell>
          <cell r="B618" t="str">
            <v xml:space="preserve">Diss. forceps, Gillies, 1x2 T., 15,5 cm </v>
          </cell>
          <cell r="C618" t="str">
            <v xml:space="preserve">                                   </v>
          </cell>
          <cell r="D618" t="str">
            <v xml:space="preserve">DE        </v>
          </cell>
          <cell r="E618">
            <v>90189084</v>
          </cell>
          <cell r="F618">
            <v>2</v>
          </cell>
          <cell r="G618" t="str">
            <v xml:space="preserve">ST          </v>
          </cell>
          <cell r="H618">
            <v>20</v>
          </cell>
          <cell r="I618">
            <v>40</v>
          </cell>
        </row>
        <row r="619">
          <cell r="A619" t="str">
            <v>12-406-12-07</v>
          </cell>
          <cell r="B619" t="str">
            <v xml:space="preserve">FORCEPS, MICRO-ADSON, 1X2 T., 12 CM     </v>
          </cell>
          <cell r="C619" t="str">
            <v xml:space="preserve">                                   </v>
          </cell>
          <cell r="D619" t="str">
            <v xml:space="preserve">MY        </v>
          </cell>
          <cell r="E619">
            <v>90189084</v>
          </cell>
          <cell r="F619">
            <v>1</v>
          </cell>
          <cell r="G619" t="str">
            <v xml:space="preserve">ST          </v>
          </cell>
          <cell r="H619">
            <v>21</v>
          </cell>
          <cell r="I619">
            <v>21</v>
          </cell>
        </row>
        <row r="620">
          <cell r="A620" t="str">
            <v>13-923-10-07</v>
          </cell>
          <cell r="B620" t="str">
            <v xml:space="preserve">TOWEL FORCEPS, TOHOKU, BLUNT, 10.5 CM   </v>
          </cell>
          <cell r="C620" t="str">
            <v xml:space="preserve">                                   </v>
          </cell>
          <cell r="D620" t="str">
            <v xml:space="preserve">DE        </v>
          </cell>
          <cell r="E620">
            <v>90189084</v>
          </cell>
          <cell r="F620">
            <v>4</v>
          </cell>
          <cell r="G620" t="str">
            <v xml:space="preserve">ST          </v>
          </cell>
          <cell r="H620">
            <v>24.8</v>
          </cell>
          <cell r="I620">
            <v>99.2</v>
          </cell>
        </row>
        <row r="621">
          <cell r="A621" t="str">
            <v>14-101-27-07</v>
          </cell>
          <cell r="B621" t="str">
            <v xml:space="preserve">TAMPON FORCEPS, ULRICH, CVD., 26.5 CM   </v>
          </cell>
          <cell r="C621" t="str">
            <v xml:space="preserve">                                   </v>
          </cell>
          <cell r="D621" t="str">
            <v xml:space="preserve">DE        </v>
          </cell>
          <cell r="E621">
            <v>90189084</v>
          </cell>
          <cell r="F621">
            <v>1</v>
          </cell>
          <cell r="G621" t="str">
            <v xml:space="preserve">ST          </v>
          </cell>
          <cell r="H621">
            <v>52.9</v>
          </cell>
          <cell r="I621">
            <v>52.9</v>
          </cell>
        </row>
        <row r="622">
          <cell r="A622" t="str">
            <v>15-099-16-07</v>
          </cell>
          <cell r="B622" t="str">
            <v xml:space="preserve">RETRACTOR, BLUNT, 2-PR., 14X8 MM, 16 CM </v>
          </cell>
          <cell r="C622" t="str">
            <v xml:space="preserve">                                   </v>
          </cell>
          <cell r="D622" t="str">
            <v xml:space="preserve">DE        </v>
          </cell>
          <cell r="E622">
            <v>90189084</v>
          </cell>
          <cell r="F622">
            <v>2</v>
          </cell>
          <cell r="G622" t="str">
            <v xml:space="preserve">ST          </v>
          </cell>
          <cell r="H622">
            <v>47.7</v>
          </cell>
          <cell r="I622">
            <v>95.4</v>
          </cell>
        </row>
        <row r="623">
          <cell r="A623" t="str">
            <v>15-100-01-07</v>
          </cell>
          <cell r="B623" t="str">
            <v>RETRACTOR, DELIC., SHARP, 1-PR., 16.5 CM</v>
          </cell>
          <cell r="C623" t="str">
            <v xml:space="preserve">                                   </v>
          </cell>
          <cell r="D623" t="str">
            <v xml:space="preserve">DE        </v>
          </cell>
          <cell r="E623">
            <v>90189084</v>
          </cell>
          <cell r="F623">
            <v>1</v>
          </cell>
          <cell r="G623" t="str">
            <v xml:space="preserve">ST          </v>
          </cell>
          <cell r="H623">
            <v>20.3</v>
          </cell>
          <cell r="I623">
            <v>20.3</v>
          </cell>
        </row>
        <row r="624">
          <cell r="A624" t="str">
            <v>15-100-04-07</v>
          </cell>
          <cell r="B624" t="str">
            <v>RETRACTOR, DELIC., SHARP, 4-PR., 16.5 CM</v>
          </cell>
          <cell r="C624" t="str">
            <v xml:space="preserve">                                   </v>
          </cell>
          <cell r="D624" t="str">
            <v xml:space="preserve">DE        </v>
          </cell>
          <cell r="E624">
            <v>90189084</v>
          </cell>
          <cell r="F624">
            <v>2</v>
          </cell>
          <cell r="G624" t="str">
            <v xml:space="preserve">ST          </v>
          </cell>
          <cell r="H624">
            <v>34.9</v>
          </cell>
          <cell r="I624">
            <v>69.8</v>
          </cell>
        </row>
        <row r="625">
          <cell r="A625" t="str">
            <v>15-220-01-07</v>
          </cell>
          <cell r="B625" t="str">
            <v>RETRACTOR, VOLKMANN, SH., 1-PR., 22.5 CM</v>
          </cell>
          <cell r="C625" t="str">
            <v xml:space="preserve">                                   </v>
          </cell>
          <cell r="D625" t="str">
            <v xml:space="preserve">MY        </v>
          </cell>
          <cell r="E625">
            <v>90189084</v>
          </cell>
          <cell r="F625">
            <v>1</v>
          </cell>
          <cell r="G625" t="str">
            <v xml:space="preserve">ST          </v>
          </cell>
          <cell r="H625">
            <v>43.7</v>
          </cell>
          <cell r="I625">
            <v>43.7</v>
          </cell>
        </row>
        <row r="626">
          <cell r="A626" t="str">
            <v>15-240-01-07</v>
          </cell>
          <cell r="B626" t="str">
            <v>RETRACTOR, KOCHER, SHARP, 1-PR., 22.5 CM</v>
          </cell>
          <cell r="C626" t="str">
            <v xml:space="preserve">                                   </v>
          </cell>
          <cell r="D626" t="str">
            <v xml:space="preserve">MY        </v>
          </cell>
          <cell r="E626">
            <v>90189084</v>
          </cell>
          <cell r="F626">
            <v>2</v>
          </cell>
          <cell r="G626" t="str">
            <v xml:space="preserve">ST          </v>
          </cell>
          <cell r="H626">
            <v>50.4</v>
          </cell>
          <cell r="I626">
            <v>100.8</v>
          </cell>
        </row>
        <row r="627">
          <cell r="A627" t="str">
            <v>15-317-07-07</v>
          </cell>
          <cell r="B627" t="str">
            <v>RETRACT., KOCHER-LANG., 70X14 MM, 21.5CM</v>
          </cell>
          <cell r="C627" t="str">
            <v xml:space="preserve">                                   </v>
          </cell>
          <cell r="D627" t="str">
            <v xml:space="preserve">DE        </v>
          </cell>
          <cell r="E627">
            <v>90189084</v>
          </cell>
          <cell r="F627">
            <v>1</v>
          </cell>
          <cell r="G627" t="str">
            <v xml:space="preserve">ST          </v>
          </cell>
          <cell r="H627">
            <v>74.099999999999994</v>
          </cell>
          <cell r="I627">
            <v>74.099999999999994</v>
          </cell>
        </row>
        <row r="628">
          <cell r="A628" t="str">
            <v>15-361-02-07</v>
          </cell>
          <cell r="B628" t="str">
            <v xml:space="preserve">RETRACTOR, MIDDELDORPF, 22X22 MM, 23 CM </v>
          </cell>
          <cell r="C628" t="str">
            <v xml:space="preserve">                                   </v>
          </cell>
          <cell r="D628" t="str">
            <v xml:space="preserve">DE        </v>
          </cell>
          <cell r="E628">
            <v>90189084</v>
          </cell>
          <cell r="F628">
            <v>1</v>
          </cell>
          <cell r="G628" t="str">
            <v xml:space="preserve">ST          </v>
          </cell>
          <cell r="H628">
            <v>62.8</v>
          </cell>
          <cell r="I628">
            <v>62.8</v>
          </cell>
        </row>
        <row r="629">
          <cell r="A629" t="str">
            <v>15-971-00-01</v>
          </cell>
          <cell r="B629" t="str">
            <v>ABDOM. SPATULA, HABERER, 16/25 MM, 20 CM</v>
          </cell>
          <cell r="C629" t="str">
            <v xml:space="preserve">                                   </v>
          </cell>
          <cell r="D629" t="str">
            <v xml:space="preserve">DE        </v>
          </cell>
          <cell r="E629">
            <v>90189084</v>
          </cell>
          <cell r="F629">
            <v>2</v>
          </cell>
          <cell r="G629" t="str">
            <v xml:space="preserve">ST          </v>
          </cell>
          <cell r="H629">
            <v>23.6</v>
          </cell>
          <cell r="I629">
            <v>47.2</v>
          </cell>
        </row>
        <row r="630">
          <cell r="A630" t="str">
            <v>18-523-10-01</v>
          </cell>
          <cell r="B630" t="str">
            <v>Suction tube, Frazier, ø 3.3 mm, 19.5 cm</v>
          </cell>
          <cell r="C630" t="str">
            <v xml:space="preserve">                                   </v>
          </cell>
          <cell r="D630" t="str">
            <v xml:space="preserve">MY        </v>
          </cell>
          <cell r="E630">
            <v>90183900</v>
          </cell>
          <cell r="F630">
            <v>1</v>
          </cell>
          <cell r="G630" t="str">
            <v xml:space="preserve">ST          </v>
          </cell>
          <cell r="H630">
            <v>21.7</v>
          </cell>
          <cell r="I630">
            <v>21.7</v>
          </cell>
        </row>
        <row r="631">
          <cell r="A631" t="str">
            <v>20-604-15-07</v>
          </cell>
          <cell r="B631" t="str">
            <v xml:space="preserve">TC-NEEDLEHOLDER, CRILE-WOOD, 15 CM      </v>
          </cell>
          <cell r="C631" t="str">
            <v xml:space="preserve">                                   </v>
          </cell>
          <cell r="D631" t="str">
            <v xml:space="preserve">DE        </v>
          </cell>
          <cell r="E631">
            <v>90189084</v>
          </cell>
          <cell r="F631">
            <v>1</v>
          </cell>
          <cell r="G631" t="str">
            <v xml:space="preserve">ST          </v>
          </cell>
          <cell r="H631">
            <v>160.5</v>
          </cell>
          <cell r="I631">
            <v>160.5</v>
          </cell>
        </row>
        <row r="632">
          <cell r="A632" t="str">
            <v>23-436-16-07</v>
          </cell>
          <cell r="B632" t="str">
            <v xml:space="preserve">RASPATORY, WILLIGER, CVD., 5 MM, 16 CM  </v>
          </cell>
          <cell r="C632" t="str">
            <v xml:space="preserve">                                   </v>
          </cell>
          <cell r="D632" t="str">
            <v xml:space="preserve">DE        </v>
          </cell>
          <cell r="E632">
            <v>90189084</v>
          </cell>
          <cell r="F632">
            <v>1</v>
          </cell>
          <cell r="G632" t="str">
            <v xml:space="preserve">ST          </v>
          </cell>
          <cell r="H632">
            <v>34.1</v>
          </cell>
          <cell r="I632">
            <v>34.1</v>
          </cell>
        </row>
        <row r="633">
          <cell r="A633" t="str">
            <v>37-545-18-07</v>
          </cell>
          <cell r="B633" t="str">
            <v xml:space="preserve">ELEVATOR, FREER, SH/BL, W/O PIN, 18 CM  </v>
          </cell>
          <cell r="C633" t="str">
            <v xml:space="preserve">                                   </v>
          </cell>
          <cell r="D633" t="str">
            <v xml:space="preserve">DE        </v>
          </cell>
          <cell r="E633">
            <v>90189084</v>
          </cell>
          <cell r="F633">
            <v>1</v>
          </cell>
          <cell r="G633" t="str">
            <v xml:space="preserve">ST          </v>
          </cell>
          <cell r="H633">
            <v>36.200000000000003</v>
          </cell>
          <cell r="I633">
            <v>36.200000000000003</v>
          </cell>
        </row>
        <row r="634">
          <cell r="A634" t="str">
            <v>39-311-19-07</v>
          </cell>
          <cell r="B634" t="str">
            <v>GAUZE PACKER, LUNIATSCHEK, 3 MM, 17.5 CM</v>
          </cell>
          <cell r="C634" t="str">
            <v xml:space="preserve">                                   </v>
          </cell>
          <cell r="D634" t="str">
            <v xml:space="preserve">DE        </v>
          </cell>
          <cell r="E634">
            <v>90189084</v>
          </cell>
          <cell r="F634">
            <v>2</v>
          </cell>
          <cell r="G634" t="str">
            <v xml:space="preserve">ST          </v>
          </cell>
          <cell r="H634">
            <v>19.3</v>
          </cell>
          <cell r="I634">
            <v>38.6</v>
          </cell>
        </row>
        <row r="635">
          <cell r="A635" t="str">
            <v>55-804-26-01</v>
          </cell>
          <cell r="B635" t="str">
            <v xml:space="preserve">marTray, 1/2, 240x251x64 mm             </v>
          </cell>
          <cell r="C635" t="str">
            <v xml:space="preserve">                                   </v>
          </cell>
          <cell r="D635" t="str">
            <v xml:space="preserve">DE        </v>
          </cell>
          <cell r="E635">
            <v>73269098</v>
          </cell>
          <cell r="F635">
            <v>1</v>
          </cell>
          <cell r="G635" t="str">
            <v xml:space="preserve">ST          </v>
          </cell>
          <cell r="H635">
            <v>99.5</v>
          </cell>
          <cell r="I635">
            <v>99.5</v>
          </cell>
        </row>
        <row r="636">
          <cell r="A636" t="str">
            <v>13-320-12-07</v>
          </cell>
          <cell r="B636" t="str">
            <v xml:space="preserve">FORCEPS MICRO-MOSQUITO, STR., 12 CM     </v>
          </cell>
          <cell r="C636" t="str">
            <v xml:space="preserve">                                   </v>
          </cell>
          <cell r="D636" t="str">
            <v xml:space="preserve">MY        </v>
          </cell>
          <cell r="E636">
            <v>90189084</v>
          </cell>
          <cell r="F636">
            <v>15</v>
          </cell>
          <cell r="G636" t="str">
            <v xml:space="preserve">ST          </v>
          </cell>
          <cell r="H636">
            <v>27</v>
          </cell>
          <cell r="I636">
            <v>405</v>
          </cell>
        </row>
        <row r="637">
          <cell r="A637" t="str">
            <v>13-321-12-07</v>
          </cell>
          <cell r="B637" t="str">
            <v xml:space="preserve">FORCEPS MICRO-MOSQUITO, CVD., 12 CM     </v>
          </cell>
          <cell r="C637" t="str">
            <v xml:space="preserve">                                   </v>
          </cell>
          <cell r="D637" t="str">
            <v xml:space="preserve">MY        </v>
          </cell>
          <cell r="E637">
            <v>90189084</v>
          </cell>
          <cell r="F637">
            <v>15</v>
          </cell>
          <cell r="G637" t="str">
            <v xml:space="preserve">ST          </v>
          </cell>
          <cell r="H637">
            <v>28.2</v>
          </cell>
          <cell r="I637">
            <v>423</v>
          </cell>
        </row>
        <row r="638">
          <cell r="A638" t="str">
            <v>23-124-10-07</v>
          </cell>
          <cell r="B638" t="str">
            <v xml:space="preserve">OSTEOTOME, STILLE, 10 MM, 20.5 CM       </v>
          </cell>
          <cell r="C638" t="str">
            <v xml:space="preserve">                                   </v>
          </cell>
          <cell r="D638" t="str">
            <v xml:space="preserve">DE        </v>
          </cell>
          <cell r="E638">
            <v>90189084</v>
          </cell>
          <cell r="F638">
            <v>2</v>
          </cell>
          <cell r="G638" t="str">
            <v xml:space="preserve">ST          </v>
          </cell>
          <cell r="H638">
            <v>70.400000000000006</v>
          </cell>
          <cell r="I638">
            <v>140.80000000000001</v>
          </cell>
        </row>
        <row r="639">
          <cell r="A639" t="str">
            <v>38-691-01-07</v>
          </cell>
          <cell r="B639" t="str">
            <v xml:space="preserve">ORBITAL RETRACTOR, ROWE, RIGHT, 19 CM   </v>
          </cell>
          <cell r="C639" t="str">
            <v xml:space="preserve">                                   </v>
          </cell>
          <cell r="D639" t="str">
            <v xml:space="preserve">DE        </v>
          </cell>
          <cell r="E639">
            <v>90189084</v>
          </cell>
          <cell r="F639">
            <v>1</v>
          </cell>
          <cell r="G639" t="str">
            <v xml:space="preserve">ST          </v>
          </cell>
          <cell r="H639">
            <v>160.5</v>
          </cell>
          <cell r="I639">
            <v>160.5</v>
          </cell>
        </row>
        <row r="640">
          <cell r="A640" t="str">
            <v>38-691-02-07</v>
          </cell>
          <cell r="B640" t="str">
            <v xml:space="preserve">ORBITAL RETRACTOR, ROWE, LEFT, 19 CM    </v>
          </cell>
          <cell r="C640" t="str">
            <v xml:space="preserve">                                   </v>
          </cell>
          <cell r="D640" t="str">
            <v xml:space="preserve">DE        </v>
          </cell>
          <cell r="E640">
            <v>90189084</v>
          </cell>
          <cell r="F640">
            <v>1</v>
          </cell>
          <cell r="G640" t="str">
            <v xml:space="preserve">ST          </v>
          </cell>
          <cell r="H640">
            <v>160.5</v>
          </cell>
          <cell r="I640">
            <v>160.5</v>
          </cell>
        </row>
        <row r="641">
          <cell r="A641" t="str">
            <v xml:space="preserve">            </v>
          </cell>
          <cell r="B641" t="str">
            <v>BASIC INSTRUMENTS FOR PLASTIC &amp; RECONSTR</v>
          </cell>
          <cell r="C641" t="str">
            <v xml:space="preserve">                                   </v>
          </cell>
          <cell r="D641" t="str">
            <v xml:space="preserve">          </v>
          </cell>
          <cell r="E641" t="str">
            <v xml:space="preserve">                </v>
          </cell>
          <cell r="F641">
            <v>1</v>
          </cell>
          <cell r="G641" t="str">
            <v xml:space="preserve">            </v>
          </cell>
          <cell r="H641" t="str">
            <v xml:space="preserve">               </v>
          </cell>
          <cell r="I641" t="str">
            <v xml:space="preserve">               </v>
          </cell>
        </row>
        <row r="642">
          <cell r="A642" t="str">
            <v>10-130-03-07</v>
          </cell>
          <cell r="B642" t="str">
            <v xml:space="preserve">SCALPEL HANDLE, NO. 3, 12 CM            </v>
          </cell>
          <cell r="C642" t="str">
            <v xml:space="preserve">                                   </v>
          </cell>
          <cell r="D642" t="str">
            <v xml:space="preserve">DE        </v>
          </cell>
          <cell r="E642">
            <v>90189084</v>
          </cell>
          <cell r="F642">
            <v>2</v>
          </cell>
          <cell r="G642" t="str">
            <v xml:space="preserve">ST          </v>
          </cell>
          <cell r="H642">
            <v>13.1</v>
          </cell>
          <cell r="I642">
            <v>26.2</v>
          </cell>
        </row>
        <row r="643">
          <cell r="A643" t="str">
            <v>10-100-04-07</v>
          </cell>
          <cell r="B643" t="str">
            <v xml:space="preserve">SCALPEL HANDLE, NO. 4, 13.5 CM          </v>
          </cell>
          <cell r="C643" t="str">
            <v xml:space="preserve">                                   </v>
          </cell>
          <cell r="D643" t="str">
            <v xml:space="preserve">DE        </v>
          </cell>
          <cell r="E643">
            <v>90189084</v>
          </cell>
          <cell r="F643">
            <v>2</v>
          </cell>
          <cell r="G643" t="str">
            <v xml:space="preserve">ST          </v>
          </cell>
          <cell r="H643">
            <v>6.81</v>
          </cell>
          <cell r="I643">
            <v>13.62</v>
          </cell>
        </row>
        <row r="644">
          <cell r="A644" t="str">
            <v>11-937-11-07</v>
          </cell>
          <cell r="B644" t="str">
            <v xml:space="preserve">TC-DISSECTING SCISSORS, CVD., 11.5 CM   </v>
          </cell>
          <cell r="C644" t="str">
            <v xml:space="preserve">                                   </v>
          </cell>
          <cell r="D644" t="str">
            <v xml:space="preserve">DE        </v>
          </cell>
          <cell r="E644">
            <v>90189084</v>
          </cell>
          <cell r="F644">
            <v>1</v>
          </cell>
          <cell r="G644" t="str">
            <v xml:space="preserve">ST          </v>
          </cell>
          <cell r="H644">
            <v>80.3</v>
          </cell>
          <cell r="I644">
            <v>80.3</v>
          </cell>
        </row>
        <row r="645">
          <cell r="A645" t="str">
            <v>11-943-18-07</v>
          </cell>
          <cell r="B645" t="str">
            <v xml:space="preserve">TC-Dissecting Scissors, cvd., 18 cm     </v>
          </cell>
          <cell r="C645" t="str">
            <v xml:space="preserve">                                   </v>
          </cell>
          <cell r="D645" t="str">
            <v xml:space="preserve">MY        </v>
          </cell>
          <cell r="E645">
            <v>90189084</v>
          </cell>
          <cell r="F645">
            <v>1</v>
          </cell>
          <cell r="G645" t="str">
            <v xml:space="preserve">ST          </v>
          </cell>
          <cell r="H645">
            <v>136</v>
          </cell>
          <cell r="I645">
            <v>136</v>
          </cell>
        </row>
        <row r="646">
          <cell r="A646" t="str">
            <v>11-942-18-07</v>
          </cell>
          <cell r="B646" t="str">
            <v xml:space="preserve">TC-DISSECTING SCISSORS, STR., 18 CM     </v>
          </cell>
          <cell r="C646" t="str">
            <v xml:space="preserve">                                   </v>
          </cell>
          <cell r="D646" t="str">
            <v xml:space="preserve">MY        </v>
          </cell>
          <cell r="E646">
            <v>90189084</v>
          </cell>
          <cell r="F646">
            <v>1</v>
          </cell>
          <cell r="G646" t="str">
            <v xml:space="preserve">ST          </v>
          </cell>
          <cell r="H646">
            <v>121.5</v>
          </cell>
          <cell r="I646">
            <v>121.5</v>
          </cell>
        </row>
        <row r="647">
          <cell r="A647" t="str">
            <v>11-910-14-07</v>
          </cell>
          <cell r="B647" t="str">
            <v xml:space="preserve">TC-SCISSORS, MAYO, STR., 14.5 CM        </v>
          </cell>
          <cell r="C647" t="str">
            <v xml:space="preserve">                                   </v>
          </cell>
          <cell r="D647" t="str">
            <v xml:space="preserve">MY        </v>
          </cell>
          <cell r="E647">
            <v>90189084</v>
          </cell>
          <cell r="F647">
            <v>1</v>
          </cell>
          <cell r="G647" t="str">
            <v xml:space="preserve">ST          </v>
          </cell>
          <cell r="H647">
            <v>211.5</v>
          </cell>
          <cell r="I647">
            <v>211.5</v>
          </cell>
        </row>
        <row r="648">
          <cell r="A648" t="str">
            <v>11-317-14-07</v>
          </cell>
          <cell r="B648" t="str">
            <v xml:space="preserve">NASAL SCISSORS, FOMON, CVD., 14 CM      </v>
          </cell>
          <cell r="C648" t="str">
            <v xml:space="preserve">                                   </v>
          </cell>
          <cell r="D648" t="str">
            <v xml:space="preserve">DE        </v>
          </cell>
          <cell r="E648">
            <v>90189084</v>
          </cell>
          <cell r="F648">
            <v>1</v>
          </cell>
          <cell r="G648" t="str">
            <v xml:space="preserve">ST          </v>
          </cell>
          <cell r="H648">
            <v>68.5</v>
          </cell>
          <cell r="I648">
            <v>68.5</v>
          </cell>
        </row>
        <row r="649">
          <cell r="A649" t="str">
            <v>15-166-16-07</v>
          </cell>
          <cell r="B649" t="str">
            <v xml:space="preserve">HOOKLET, SENN-MUELLER, SHARP, 16 CM     </v>
          </cell>
          <cell r="C649" t="str">
            <v xml:space="preserve">                                   </v>
          </cell>
          <cell r="D649" t="str">
            <v xml:space="preserve">DE        </v>
          </cell>
          <cell r="E649">
            <v>90189084</v>
          </cell>
          <cell r="F649">
            <v>2</v>
          </cell>
          <cell r="G649" t="str">
            <v xml:space="preserve">ST          </v>
          </cell>
          <cell r="H649">
            <v>24.8</v>
          </cell>
          <cell r="I649">
            <v>49.6</v>
          </cell>
        </row>
        <row r="650">
          <cell r="A650" t="str">
            <v>12-368-12-07</v>
          </cell>
          <cell r="B650" t="str">
            <v xml:space="preserve">TISSUE FORCEPS, ADSON, 1X2 T., 12 CM    </v>
          </cell>
          <cell r="C650" t="str">
            <v xml:space="preserve">                                   </v>
          </cell>
          <cell r="D650" t="str">
            <v xml:space="preserve">MY        </v>
          </cell>
          <cell r="E650">
            <v>90189084</v>
          </cell>
          <cell r="F650">
            <v>2</v>
          </cell>
          <cell r="G650" t="str">
            <v xml:space="preserve">ST          </v>
          </cell>
          <cell r="H650">
            <v>13.1</v>
          </cell>
          <cell r="I650">
            <v>26.2</v>
          </cell>
        </row>
        <row r="651">
          <cell r="A651" t="str">
            <v>12-404-15-07</v>
          </cell>
          <cell r="B651" t="str">
            <v xml:space="preserve">DRESSING FORCEPS, MICRO-ADSON, 15 CM    </v>
          </cell>
          <cell r="C651" t="str">
            <v xml:space="preserve">                                   </v>
          </cell>
          <cell r="D651" t="str">
            <v xml:space="preserve">MY        </v>
          </cell>
          <cell r="E651">
            <v>90189084</v>
          </cell>
          <cell r="F651">
            <v>1</v>
          </cell>
          <cell r="G651" t="str">
            <v xml:space="preserve">ST          </v>
          </cell>
          <cell r="H651">
            <v>24</v>
          </cell>
          <cell r="I651">
            <v>24</v>
          </cell>
        </row>
        <row r="652">
          <cell r="A652" t="str">
            <v>09-007-84-07</v>
          </cell>
          <cell r="B652" t="str">
            <v xml:space="preserve">Forceps, tissue, Adson, 1x2 T., 18 cm   </v>
          </cell>
          <cell r="C652" t="str">
            <v xml:space="preserve">                                   </v>
          </cell>
          <cell r="D652" t="str">
            <v xml:space="preserve">DE        </v>
          </cell>
          <cell r="E652">
            <v>90189084</v>
          </cell>
          <cell r="F652">
            <v>1</v>
          </cell>
          <cell r="G652" t="str">
            <v xml:space="preserve">ST          </v>
          </cell>
          <cell r="H652">
            <v>32.700000000000003</v>
          </cell>
          <cell r="I652">
            <v>32.700000000000003</v>
          </cell>
        </row>
        <row r="653">
          <cell r="A653" t="str">
            <v>09-006-12-07</v>
          </cell>
          <cell r="B653" t="str">
            <v xml:space="preserve">Dressing forceps. Adson, 18 cm          </v>
          </cell>
          <cell r="C653" t="str">
            <v xml:space="preserve">                                   </v>
          </cell>
          <cell r="D653" t="str">
            <v xml:space="preserve">DE        </v>
          </cell>
          <cell r="E653">
            <v>90189084</v>
          </cell>
          <cell r="F653">
            <v>1</v>
          </cell>
          <cell r="G653" t="str">
            <v xml:space="preserve">ST          </v>
          </cell>
          <cell r="H653">
            <v>26.2</v>
          </cell>
          <cell r="I653">
            <v>26.2</v>
          </cell>
        </row>
        <row r="654">
          <cell r="A654" t="str">
            <v>12-192-21-07</v>
          </cell>
          <cell r="B654" t="str">
            <v xml:space="preserve">DRESSING FORCEPS, POTTS-SMITH, 21 CM    </v>
          </cell>
          <cell r="C654" t="str">
            <v xml:space="preserve">                                   </v>
          </cell>
          <cell r="D654" t="str">
            <v xml:space="preserve">DE        </v>
          </cell>
          <cell r="E654">
            <v>90189084</v>
          </cell>
          <cell r="F654">
            <v>1</v>
          </cell>
          <cell r="G654" t="str">
            <v xml:space="preserve">ST          </v>
          </cell>
          <cell r="H654">
            <v>21</v>
          </cell>
          <cell r="I654">
            <v>21</v>
          </cell>
        </row>
        <row r="655">
          <cell r="A655" t="str">
            <v>12-392-21-07</v>
          </cell>
          <cell r="B655" t="str">
            <v xml:space="preserve">FORCEPS, POTTS-SMITH, 1X2 T., 21 CM     </v>
          </cell>
          <cell r="C655" t="str">
            <v xml:space="preserve">                                   </v>
          </cell>
          <cell r="D655" t="str">
            <v xml:space="preserve">MY        </v>
          </cell>
          <cell r="E655">
            <v>90189084</v>
          </cell>
          <cell r="F655">
            <v>1</v>
          </cell>
          <cell r="G655" t="str">
            <v xml:space="preserve">ST          </v>
          </cell>
          <cell r="H655">
            <v>25.9</v>
          </cell>
          <cell r="I655">
            <v>25.9</v>
          </cell>
        </row>
        <row r="656">
          <cell r="A656" t="str">
            <v>28-207-18-07</v>
          </cell>
          <cell r="B656" t="str">
            <v xml:space="preserve">SKIN HOOKLET, GILLIES, NO. 1, 18 CM     </v>
          </cell>
          <cell r="C656" t="str">
            <v xml:space="preserve">                                   </v>
          </cell>
          <cell r="D656" t="str">
            <v xml:space="preserve">DE        </v>
          </cell>
          <cell r="E656">
            <v>90189084</v>
          </cell>
          <cell r="F656">
            <v>2</v>
          </cell>
          <cell r="G656" t="str">
            <v xml:space="preserve">ST          </v>
          </cell>
          <cell r="H656">
            <v>26.9</v>
          </cell>
          <cell r="I656">
            <v>53.8</v>
          </cell>
        </row>
        <row r="657">
          <cell r="A657" t="str">
            <v>15-072-01-07</v>
          </cell>
          <cell r="B657" t="str">
            <v xml:space="preserve">HOOKLET, GUTHRIE, SHARP, 2-PR., 16 CM   </v>
          </cell>
          <cell r="C657" t="str">
            <v xml:space="preserve">                                   </v>
          </cell>
          <cell r="D657" t="str">
            <v xml:space="preserve">DE        </v>
          </cell>
          <cell r="E657">
            <v>90189084</v>
          </cell>
          <cell r="F657">
            <v>2</v>
          </cell>
          <cell r="G657" t="str">
            <v xml:space="preserve">ST          </v>
          </cell>
          <cell r="H657">
            <v>77.8</v>
          </cell>
          <cell r="I657">
            <v>155.6</v>
          </cell>
        </row>
        <row r="658">
          <cell r="A658" t="str">
            <v>37-699-11-07</v>
          </cell>
          <cell r="B658" t="str">
            <v xml:space="preserve">RETRACTOR, CONVERSE, 44X11 MM, 10.5 CM  </v>
          </cell>
          <cell r="C658" t="str">
            <v xml:space="preserve">                                   </v>
          </cell>
          <cell r="D658" t="str">
            <v xml:space="preserve">DE        </v>
          </cell>
          <cell r="E658">
            <v>90189084</v>
          </cell>
          <cell r="F658">
            <v>2</v>
          </cell>
          <cell r="G658" t="str">
            <v xml:space="preserve">ST          </v>
          </cell>
          <cell r="H658">
            <v>105.5</v>
          </cell>
          <cell r="I658">
            <v>211</v>
          </cell>
        </row>
        <row r="659">
          <cell r="A659" t="str">
            <v>15-293-01-07</v>
          </cell>
          <cell r="B659" t="str">
            <v>RETRACTOR, LANGENBECK, 30X11 MM, 21,5 CM</v>
          </cell>
          <cell r="C659" t="str">
            <v xml:space="preserve">                                   </v>
          </cell>
          <cell r="D659" t="str">
            <v xml:space="preserve">DE        </v>
          </cell>
          <cell r="E659">
            <v>90189084</v>
          </cell>
          <cell r="F659">
            <v>2</v>
          </cell>
          <cell r="G659" t="str">
            <v xml:space="preserve">ST          </v>
          </cell>
          <cell r="H659">
            <v>39.6</v>
          </cell>
          <cell r="I659">
            <v>79.2</v>
          </cell>
        </row>
        <row r="660">
          <cell r="A660" t="str">
            <v>15-293-03-07</v>
          </cell>
          <cell r="B660" t="str">
            <v>RETRACTOR, LANGENBECK, 30X15 MM, 21,5 CM</v>
          </cell>
          <cell r="C660" t="str">
            <v xml:space="preserve">                                   </v>
          </cell>
          <cell r="D660" t="str">
            <v xml:space="preserve">DE        </v>
          </cell>
          <cell r="E660">
            <v>90189084</v>
          </cell>
          <cell r="F660">
            <v>2</v>
          </cell>
          <cell r="G660" t="str">
            <v xml:space="preserve">ST          </v>
          </cell>
          <cell r="H660">
            <v>41.1</v>
          </cell>
          <cell r="I660">
            <v>82.2</v>
          </cell>
        </row>
        <row r="661">
          <cell r="A661" t="str">
            <v>15-293-05-07</v>
          </cell>
          <cell r="B661" t="str">
            <v>RETRACTOR, LANGENBECK, 50X11 MM, 21,5 CM</v>
          </cell>
          <cell r="C661" t="str">
            <v xml:space="preserve">                                   </v>
          </cell>
          <cell r="D661" t="str">
            <v xml:space="preserve">DE        </v>
          </cell>
          <cell r="E661">
            <v>90189084</v>
          </cell>
          <cell r="F661">
            <v>2</v>
          </cell>
          <cell r="G661" t="str">
            <v xml:space="preserve">ST          </v>
          </cell>
          <cell r="H661">
            <v>54.2</v>
          </cell>
          <cell r="I661">
            <v>108.4</v>
          </cell>
        </row>
        <row r="662">
          <cell r="A662" t="str">
            <v>20-668-02-07</v>
          </cell>
          <cell r="B662" t="str">
            <v>TC-NEEDLEHOLD., MARTINI, SMOOTH, 17.5 CM</v>
          </cell>
          <cell r="C662" t="str">
            <v xml:space="preserve">                                   </v>
          </cell>
          <cell r="D662" t="str">
            <v xml:space="preserve">MY        </v>
          </cell>
          <cell r="E662">
            <v>90189084</v>
          </cell>
          <cell r="F662">
            <v>1</v>
          </cell>
          <cell r="G662" t="str">
            <v xml:space="preserve">ST          </v>
          </cell>
          <cell r="H662">
            <v>144.5</v>
          </cell>
          <cell r="I662">
            <v>144.5</v>
          </cell>
        </row>
        <row r="663">
          <cell r="A663" t="str">
            <v>20-630-13-07</v>
          </cell>
          <cell r="B663" t="str">
            <v xml:space="preserve">TC-NEEDLEHOLDER, WEBSTER, SMOOTH, 13 CM </v>
          </cell>
          <cell r="C663" t="str">
            <v xml:space="preserve">                                   </v>
          </cell>
          <cell r="D663" t="str">
            <v xml:space="preserve">MY        </v>
          </cell>
          <cell r="E663">
            <v>90189084</v>
          </cell>
          <cell r="F663">
            <v>1</v>
          </cell>
          <cell r="G663" t="str">
            <v xml:space="preserve">ST          </v>
          </cell>
          <cell r="H663">
            <v>88.9</v>
          </cell>
          <cell r="I663">
            <v>88.9</v>
          </cell>
        </row>
        <row r="664">
          <cell r="A664" t="str">
            <v>20-620-00-07</v>
          </cell>
          <cell r="B664" t="str">
            <v xml:space="preserve">TC-MICRO NEEDLEH., STR., W. LOCK,14.5CM </v>
          </cell>
          <cell r="C664" t="str">
            <v xml:space="preserve">                                   </v>
          </cell>
          <cell r="D664" t="str">
            <v xml:space="preserve">DE        </v>
          </cell>
          <cell r="E664">
            <v>90189084</v>
          </cell>
          <cell r="F664">
            <v>1</v>
          </cell>
          <cell r="G664" t="str">
            <v xml:space="preserve">ST          </v>
          </cell>
          <cell r="H664">
            <v>349</v>
          </cell>
          <cell r="I664">
            <v>349</v>
          </cell>
        </row>
        <row r="665">
          <cell r="A665" t="str">
            <v>20-620-18-07</v>
          </cell>
          <cell r="B665" t="str">
            <v xml:space="preserve">TC-MICRO NEEDELH., STR., W. LOCK, 18 CM </v>
          </cell>
          <cell r="C665" t="str">
            <v xml:space="preserve">                                   </v>
          </cell>
          <cell r="D665" t="str">
            <v xml:space="preserve">DE        </v>
          </cell>
          <cell r="E665">
            <v>90189084</v>
          </cell>
          <cell r="F665">
            <v>1</v>
          </cell>
          <cell r="G665" t="str">
            <v xml:space="preserve">ST          </v>
          </cell>
          <cell r="H665">
            <v>356</v>
          </cell>
          <cell r="I665">
            <v>356</v>
          </cell>
        </row>
        <row r="666">
          <cell r="A666" t="str">
            <v>13-340-14-07</v>
          </cell>
          <cell r="B666" t="str">
            <v xml:space="preserve">HAEMOST. FORCEPS, CRILE, STR., 14.5 CM  </v>
          </cell>
          <cell r="C666" t="str">
            <v xml:space="preserve">                                   </v>
          </cell>
          <cell r="D666" t="str">
            <v xml:space="preserve">MY        </v>
          </cell>
          <cell r="E666">
            <v>90189084</v>
          </cell>
          <cell r="F666">
            <v>6</v>
          </cell>
          <cell r="G666" t="str">
            <v xml:space="preserve">ST          </v>
          </cell>
          <cell r="H666">
            <v>21.9</v>
          </cell>
          <cell r="I666">
            <v>131.4</v>
          </cell>
        </row>
        <row r="667">
          <cell r="A667" t="str">
            <v>13-341-14-07</v>
          </cell>
          <cell r="B667" t="str">
            <v xml:space="preserve">HAEMOST. FORCEPS, CRILE, CVD., 14,5 CM  </v>
          </cell>
          <cell r="C667" t="str">
            <v xml:space="preserve">                                   </v>
          </cell>
          <cell r="D667" t="str">
            <v xml:space="preserve">MY        </v>
          </cell>
          <cell r="E667">
            <v>90189084</v>
          </cell>
          <cell r="F667">
            <v>6</v>
          </cell>
          <cell r="G667" t="str">
            <v xml:space="preserve">ST          </v>
          </cell>
          <cell r="H667">
            <v>22.7</v>
          </cell>
          <cell r="I667">
            <v>136.19999999999999</v>
          </cell>
        </row>
        <row r="668">
          <cell r="A668" t="str">
            <v>13-306-10-07</v>
          </cell>
          <cell r="B668" t="str">
            <v xml:space="preserve">HAEM. FORCEPS, HARTMANN, STR., 10 CM    </v>
          </cell>
          <cell r="C668" t="str">
            <v xml:space="preserve">                                   </v>
          </cell>
          <cell r="D668" t="str">
            <v xml:space="preserve">MY        </v>
          </cell>
          <cell r="E668">
            <v>90189084</v>
          </cell>
          <cell r="F668">
            <v>6</v>
          </cell>
          <cell r="G668" t="str">
            <v xml:space="preserve">ST          </v>
          </cell>
          <cell r="H668">
            <v>26.6</v>
          </cell>
          <cell r="I668">
            <v>159.6</v>
          </cell>
        </row>
        <row r="669">
          <cell r="A669" t="str">
            <v>13-307-10-07</v>
          </cell>
          <cell r="B669" t="str">
            <v xml:space="preserve">HAEM. FORCEPS, HARTMANN, CVD., 10 CM    </v>
          </cell>
          <cell r="C669" t="str">
            <v xml:space="preserve">                                   </v>
          </cell>
          <cell r="D669" t="str">
            <v xml:space="preserve">MY        </v>
          </cell>
          <cell r="E669">
            <v>90189084</v>
          </cell>
          <cell r="F669">
            <v>6</v>
          </cell>
          <cell r="G669" t="str">
            <v xml:space="preserve">ST          </v>
          </cell>
          <cell r="H669">
            <v>27.9</v>
          </cell>
          <cell r="I669">
            <v>167.4</v>
          </cell>
        </row>
        <row r="670">
          <cell r="A670" t="str">
            <v>36-845-02-07</v>
          </cell>
          <cell r="B670" t="str">
            <v xml:space="preserve">NASAL SPECULUM, HARTMANN-HALLE, NO. 2   </v>
          </cell>
          <cell r="C670" t="str">
            <v xml:space="preserve">                                   </v>
          </cell>
          <cell r="D670" t="str">
            <v xml:space="preserve">MY        </v>
          </cell>
          <cell r="E670">
            <v>90189084</v>
          </cell>
          <cell r="F670">
            <v>1</v>
          </cell>
          <cell r="G670" t="str">
            <v xml:space="preserve">ST          </v>
          </cell>
          <cell r="H670">
            <v>108</v>
          </cell>
          <cell r="I670">
            <v>108</v>
          </cell>
        </row>
        <row r="671">
          <cell r="A671" t="str">
            <v>18-523-07-01</v>
          </cell>
          <cell r="B671" t="str">
            <v>Suction tube, Frazier, ø 2.3 mm, 19.5 cm</v>
          </cell>
          <cell r="C671" t="str">
            <v xml:space="preserve">                                   </v>
          </cell>
          <cell r="D671" t="str">
            <v xml:space="preserve">MY        </v>
          </cell>
          <cell r="E671">
            <v>90183900</v>
          </cell>
          <cell r="F671">
            <v>1</v>
          </cell>
          <cell r="G671" t="str">
            <v xml:space="preserve">ST          </v>
          </cell>
          <cell r="H671">
            <v>21.7</v>
          </cell>
          <cell r="I671">
            <v>21.7</v>
          </cell>
        </row>
        <row r="672">
          <cell r="A672" t="str">
            <v>18-523-12-01</v>
          </cell>
          <cell r="B672" t="str">
            <v>Suction tube, Frazier, ø 4.0 mm, 19.5 cm</v>
          </cell>
          <cell r="C672" t="str">
            <v xml:space="preserve">                                   </v>
          </cell>
          <cell r="D672" t="str">
            <v xml:space="preserve">MY        </v>
          </cell>
          <cell r="E672">
            <v>90183900</v>
          </cell>
          <cell r="F672">
            <v>1</v>
          </cell>
          <cell r="G672" t="str">
            <v xml:space="preserve">ST          </v>
          </cell>
          <cell r="H672">
            <v>21.7</v>
          </cell>
          <cell r="I672">
            <v>21.7</v>
          </cell>
        </row>
        <row r="673">
          <cell r="A673" t="str">
            <v>30-130-12-07</v>
          </cell>
          <cell r="B673" t="str">
            <v xml:space="preserve">TISSUE FCPS., ALLIS-BABY, 4X5 T., 13 CM </v>
          </cell>
          <cell r="C673" t="str">
            <v xml:space="preserve">                                   </v>
          </cell>
          <cell r="D673" t="str">
            <v xml:space="preserve">DE        </v>
          </cell>
          <cell r="E673">
            <v>90189084</v>
          </cell>
          <cell r="F673">
            <v>2</v>
          </cell>
          <cell r="G673" t="str">
            <v xml:space="preserve">ST          </v>
          </cell>
          <cell r="H673">
            <v>72.900000000000006</v>
          </cell>
          <cell r="I673">
            <v>145.80000000000001</v>
          </cell>
        </row>
        <row r="674">
          <cell r="A674" t="str">
            <v>30-132-15-07</v>
          </cell>
          <cell r="B674" t="str">
            <v xml:space="preserve">TISSUE FORCEPS, ALLIS, 4X5 T., 15.5 CM  </v>
          </cell>
          <cell r="C674" t="str">
            <v xml:space="preserve">                                   </v>
          </cell>
          <cell r="D674" t="str">
            <v xml:space="preserve">MY        </v>
          </cell>
          <cell r="E674">
            <v>90189084</v>
          </cell>
          <cell r="F674">
            <v>1</v>
          </cell>
          <cell r="G674" t="str">
            <v xml:space="preserve">ST          </v>
          </cell>
          <cell r="H674">
            <v>44.5</v>
          </cell>
          <cell r="I674">
            <v>44.5</v>
          </cell>
        </row>
        <row r="675">
          <cell r="A675" t="str">
            <v>23-662-29-07</v>
          </cell>
          <cell r="B675" t="str">
            <v xml:space="preserve">TENDON STRIPPER, 28.5 CM                </v>
          </cell>
          <cell r="C675" t="str">
            <v xml:space="preserve">                                   </v>
          </cell>
          <cell r="D675" t="str">
            <v xml:space="preserve">DE        </v>
          </cell>
          <cell r="E675">
            <v>90189084</v>
          </cell>
          <cell r="F675">
            <v>1</v>
          </cell>
          <cell r="G675" t="str">
            <v xml:space="preserve">ST          </v>
          </cell>
          <cell r="H675">
            <v>241.5</v>
          </cell>
          <cell r="I675">
            <v>241.5</v>
          </cell>
        </row>
        <row r="676">
          <cell r="A676" t="str">
            <v>23-676-15-07</v>
          </cell>
          <cell r="B676" t="str">
            <v xml:space="preserve">TENDON PULLING FORCEPS, BRAND, 15 CM    </v>
          </cell>
          <cell r="C676" t="str">
            <v xml:space="preserve">                                   </v>
          </cell>
          <cell r="D676" t="str">
            <v xml:space="preserve">DE        </v>
          </cell>
          <cell r="E676">
            <v>90189084</v>
          </cell>
          <cell r="F676">
            <v>1</v>
          </cell>
          <cell r="G676" t="str">
            <v xml:space="preserve">ST          </v>
          </cell>
          <cell r="H676">
            <v>326</v>
          </cell>
          <cell r="I676">
            <v>326</v>
          </cell>
        </row>
        <row r="677">
          <cell r="A677" t="str">
            <v>23-676-19-07</v>
          </cell>
          <cell r="B677" t="str">
            <v xml:space="preserve">TENDON PULLING FORCEPS, BRAND, 19 CM    </v>
          </cell>
          <cell r="C677" t="str">
            <v xml:space="preserve">                                   </v>
          </cell>
          <cell r="D677" t="str">
            <v xml:space="preserve">DE        </v>
          </cell>
          <cell r="E677">
            <v>90189084</v>
          </cell>
          <cell r="F677">
            <v>1</v>
          </cell>
          <cell r="G677" t="str">
            <v xml:space="preserve">ST          </v>
          </cell>
          <cell r="H677">
            <v>359</v>
          </cell>
          <cell r="I677">
            <v>359</v>
          </cell>
        </row>
        <row r="678">
          <cell r="A678" t="str">
            <v>23-676-24-07</v>
          </cell>
          <cell r="B678" t="str">
            <v xml:space="preserve">TENDON PULLING FORCEPS, BRAND, 24.5 CM  </v>
          </cell>
          <cell r="C678" t="str">
            <v xml:space="preserve">                                   </v>
          </cell>
          <cell r="D678" t="str">
            <v xml:space="preserve">DE        </v>
          </cell>
          <cell r="E678">
            <v>90189084</v>
          </cell>
          <cell r="F678">
            <v>1</v>
          </cell>
          <cell r="G678" t="str">
            <v xml:space="preserve">ST          </v>
          </cell>
          <cell r="H678">
            <v>369.5</v>
          </cell>
          <cell r="I678">
            <v>369.5</v>
          </cell>
        </row>
        <row r="679">
          <cell r="A679" t="str">
            <v>23-678-01-07</v>
          </cell>
          <cell r="B679" t="str">
            <v xml:space="preserve">TENDON PULLING FORCEPS, CVD., 20.5 CM   </v>
          </cell>
          <cell r="C679" t="str">
            <v xml:space="preserve">                                   </v>
          </cell>
          <cell r="D679" t="str">
            <v xml:space="preserve">DE        </v>
          </cell>
          <cell r="E679">
            <v>90189084</v>
          </cell>
          <cell r="F679">
            <v>1</v>
          </cell>
          <cell r="G679" t="str">
            <v xml:space="preserve">ST          </v>
          </cell>
          <cell r="H679">
            <v>418</v>
          </cell>
          <cell r="I679">
            <v>418</v>
          </cell>
        </row>
        <row r="680">
          <cell r="A680" t="str">
            <v>13-451-13-07</v>
          </cell>
          <cell r="B680" t="str">
            <v xml:space="preserve">DISS. FORCEPS, GEMINI, STR. CVD., 13 CM </v>
          </cell>
          <cell r="C680" t="str">
            <v xml:space="preserve">                                   </v>
          </cell>
          <cell r="D680" t="str">
            <v xml:space="preserve">MY        </v>
          </cell>
          <cell r="E680">
            <v>90189084</v>
          </cell>
          <cell r="F680">
            <v>2</v>
          </cell>
          <cell r="G680" t="str">
            <v xml:space="preserve">ST          </v>
          </cell>
          <cell r="H680">
            <v>42.4</v>
          </cell>
          <cell r="I680">
            <v>84.8</v>
          </cell>
        </row>
        <row r="681">
          <cell r="A681" t="str">
            <v>23-678-01-07</v>
          </cell>
          <cell r="B681" t="str">
            <v xml:space="preserve">TENDON PULLING FORCEPS, CVD., 20.5 CM   </v>
          </cell>
          <cell r="C681" t="str">
            <v xml:space="preserve">                                   </v>
          </cell>
          <cell r="D681" t="str">
            <v xml:space="preserve">DE        </v>
          </cell>
          <cell r="E681">
            <v>90189084</v>
          </cell>
          <cell r="F681">
            <v>1</v>
          </cell>
          <cell r="G681" t="str">
            <v xml:space="preserve">ST          </v>
          </cell>
          <cell r="H681">
            <v>418</v>
          </cell>
          <cell r="I681">
            <v>418</v>
          </cell>
        </row>
        <row r="682">
          <cell r="A682" t="str">
            <v>23-678-00-07</v>
          </cell>
          <cell r="B682" t="str">
            <v xml:space="preserve">TENDON PULLING FORCEPS, STR., 21 CM     </v>
          </cell>
          <cell r="C682" t="str">
            <v xml:space="preserve">                                   </v>
          </cell>
          <cell r="D682" t="str">
            <v xml:space="preserve">DE        </v>
          </cell>
          <cell r="E682">
            <v>90189084</v>
          </cell>
          <cell r="F682">
            <v>1</v>
          </cell>
          <cell r="G682" t="str">
            <v xml:space="preserve">ST          </v>
          </cell>
          <cell r="H682">
            <v>418</v>
          </cell>
          <cell r="I682">
            <v>418</v>
          </cell>
        </row>
        <row r="683">
          <cell r="A683" t="str">
            <v>35-134-09-07</v>
          </cell>
          <cell r="B683" t="str">
            <v xml:space="preserve">CALIPER, CASTROV.-EPKER, 0-40 MM, 9 CM  </v>
          </cell>
          <cell r="C683" t="str">
            <v xml:space="preserve">                                   </v>
          </cell>
          <cell r="D683" t="str">
            <v xml:space="preserve">DE        </v>
          </cell>
          <cell r="E683">
            <v>90189084</v>
          </cell>
          <cell r="F683">
            <v>1</v>
          </cell>
          <cell r="G683" t="str">
            <v xml:space="preserve">ST          </v>
          </cell>
          <cell r="H683">
            <v>211.5</v>
          </cell>
          <cell r="I683">
            <v>211.5</v>
          </cell>
        </row>
        <row r="684">
          <cell r="A684" t="str">
            <v>35-134-18-07</v>
          </cell>
          <cell r="B684" t="str">
            <v xml:space="preserve">CALIPER, CASTROV.-EPKER, 0-40 MM, 18 CM </v>
          </cell>
          <cell r="C684" t="str">
            <v xml:space="preserve">                                   </v>
          </cell>
          <cell r="D684" t="str">
            <v xml:space="preserve">DE        </v>
          </cell>
          <cell r="E684">
            <v>90189084</v>
          </cell>
          <cell r="F684">
            <v>1</v>
          </cell>
          <cell r="G684" t="str">
            <v xml:space="preserve">ST          </v>
          </cell>
          <cell r="H684">
            <v>298.5</v>
          </cell>
          <cell r="I684">
            <v>298.5</v>
          </cell>
        </row>
        <row r="685">
          <cell r="A685" t="str">
            <v>17-412-15-07</v>
          </cell>
          <cell r="B685" t="str">
            <v xml:space="preserve">Ruler, mm/inch, 15 cm                   </v>
          </cell>
          <cell r="C685" t="str">
            <v xml:space="preserve">                                   </v>
          </cell>
          <cell r="D685" t="str">
            <v xml:space="preserve">DE        </v>
          </cell>
          <cell r="E685">
            <v>90178010</v>
          </cell>
          <cell r="F685">
            <v>1</v>
          </cell>
          <cell r="G685" t="str">
            <v xml:space="preserve">ST          </v>
          </cell>
          <cell r="H685">
            <v>2.7</v>
          </cell>
          <cell r="I685">
            <v>2.7</v>
          </cell>
        </row>
        <row r="686">
          <cell r="A686" t="str">
            <v>17-412-30-07</v>
          </cell>
          <cell r="B686" t="str">
            <v xml:space="preserve">Ruler, mm/inch, 30 cm                   </v>
          </cell>
          <cell r="C686" t="str">
            <v xml:space="preserve">                                   </v>
          </cell>
          <cell r="D686" t="str">
            <v xml:space="preserve">DE        </v>
          </cell>
          <cell r="E686">
            <v>90178010</v>
          </cell>
          <cell r="F686">
            <v>1</v>
          </cell>
          <cell r="G686" t="str">
            <v xml:space="preserve">ST          </v>
          </cell>
          <cell r="H686">
            <v>3.7</v>
          </cell>
          <cell r="I686">
            <v>3.7</v>
          </cell>
        </row>
        <row r="687">
          <cell r="A687" t="str">
            <v>10-133-31-07</v>
          </cell>
          <cell r="B687" t="str">
            <v xml:space="preserve">SCALPEL HANDLE, NO. 3L, LONG, 21.5 CM   </v>
          </cell>
          <cell r="C687" t="str">
            <v xml:space="preserve">                                   </v>
          </cell>
          <cell r="D687" t="str">
            <v xml:space="preserve">DE        </v>
          </cell>
          <cell r="E687">
            <v>90189084</v>
          </cell>
          <cell r="F687">
            <v>1</v>
          </cell>
          <cell r="G687" t="str">
            <v xml:space="preserve">ST          </v>
          </cell>
          <cell r="H687">
            <v>23.8</v>
          </cell>
          <cell r="I687">
            <v>23.8</v>
          </cell>
        </row>
        <row r="688">
          <cell r="A688" t="str">
            <v>12-301-25-07</v>
          </cell>
          <cell r="B688" t="str">
            <v xml:space="preserve">TISSUE FORCEPS, 1X2 T., 25 CM           </v>
          </cell>
          <cell r="C688" t="str">
            <v xml:space="preserve">                                   </v>
          </cell>
          <cell r="D688" t="str">
            <v xml:space="preserve">MY        </v>
          </cell>
          <cell r="E688">
            <v>90189084</v>
          </cell>
          <cell r="F688">
            <v>1</v>
          </cell>
          <cell r="G688" t="str">
            <v xml:space="preserve">ST          </v>
          </cell>
          <cell r="H688">
            <v>22.4</v>
          </cell>
          <cell r="I688">
            <v>22.4</v>
          </cell>
        </row>
        <row r="689">
          <cell r="A689" t="str">
            <v>12-100-25-07</v>
          </cell>
          <cell r="B689" t="str">
            <v xml:space="preserve">DRESSING FORCEPS, 25 CM                 </v>
          </cell>
          <cell r="C689" t="str">
            <v xml:space="preserve">                                   </v>
          </cell>
          <cell r="D689" t="str">
            <v xml:space="preserve">MY        </v>
          </cell>
          <cell r="E689">
            <v>90189084</v>
          </cell>
          <cell r="F689">
            <v>1</v>
          </cell>
          <cell r="G689" t="str">
            <v xml:space="preserve">ST          </v>
          </cell>
          <cell r="H689">
            <v>16.7</v>
          </cell>
          <cell r="I689">
            <v>16.7</v>
          </cell>
        </row>
        <row r="690">
          <cell r="A690" t="str">
            <v>37-557-22-07</v>
          </cell>
          <cell r="B690" t="str">
            <v xml:space="preserve">Elevator, Howarth, 23 cm                </v>
          </cell>
          <cell r="C690" t="str">
            <v xml:space="preserve">                                   </v>
          </cell>
          <cell r="D690" t="str">
            <v xml:space="preserve">DE        </v>
          </cell>
          <cell r="E690">
            <v>90189084</v>
          </cell>
          <cell r="F690">
            <v>1</v>
          </cell>
          <cell r="G690" t="str">
            <v xml:space="preserve">ST          </v>
          </cell>
          <cell r="H690">
            <v>55.3</v>
          </cell>
          <cell r="I690">
            <v>55.3</v>
          </cell>
        </row>
        <row r="691">
          <cell r="A691" t="str">
            <v>30-192-16-07</v>
          </cell>
          <cell r="B691" t="str">
            <v xml:space="preserve">TISSUE FORCEPS, BABCOCK, 15,5 CM        </v>
          </cell>
          <cell r="C691" t="str">
            <v xml:space="preserve">                                   </v>
          </cell>
          <cell r="D691" t="str">
            <v xml:space="preserve">MY        </v>
          </cell>
          <cell r="E691">
            <v>90189084</v>
          </cell>
          <cell r="F691">
            <v>4</v>
          </cell>
          <cell r="G691" t="str">
            <v xml:space="preserve">ST          </v>
          </cell>
          <cell r="H691">
            <v>75.5</v>
          </cell>
          <cell r="I691">
            <v>302</v>
          </cell>
        </row>
        <row r="692">
          <cell r="A692" t="str">
            <v>14-110-16-07</v>
          </cell>
          <cell r="B692" t="str">
            <v xml:space="preserve">SINUS FORCEPS, LISTER, STR., 16 CM      </v>
          </cell>
          <cell r="C692" t="str">
            <v xml:space="preserve">                                   </v>
          </cell>
          <cell r="D692" t="str">
            <v xml:space="preserve">DE        </v>
          </cell>
          <cell r="E692">
            <v>90189084</v>
          </cell>
          <cell r="F692">
            <v>1</v>
          </cell>
          <cell r="G692" t="str">
            <v xml:space="preserve">ST          </v>
          </cell>
          <cell r="H692">
            <v>35</v>
          </cell>
          <cell r="I692">
            <v>35</v>
          </cell>
        </row>
        <row r="693">
          <cell r="A693" t="str">
            <v>14-110-18-07</v>
          </cell>
          <cell r="B693" t="str">
            <v xml:space="preserve">SINUS FORCEPS, LISTER, STR., 18.5 CM    </v>
          </cell>
          <cell r="C693" t="str">
            <v xml:space="preserve">                                   </v>
          </cell>
          <cell r="D693" t="str">
            <v xml:space="preserve">MY        </v>
          </cell>
          <cell r="E693">
            <v>90189084</v>
          </cell>
          <cell r="F693">
            <v>1</v>
          </cell>
          <cell r="G693" t="str">
            <v xml:space="preserve">ST          </v>
          </cell>
          <cell r="H693">
            <v>40.299999999999997</v>
          </cell>
          <cell r="I693">
            <v>40.299999999999997</v>
          </cell>
        </row>
        <row r="694">
          <cell r="A694" t="str">
            <v>14-223-22-07</v>
          </cell>
          <cell r="B694" t="str">
            <v xml:space="preserve">FORCEPS, GROSS-MAIER, CVD., 22.5 CM     </v>
          </cell>
          <cell r="C694" t="str">
            <v xml:space="preserve">                                   </v>
          </cell>
          <cell r="D694" t="str">
            <v xml:space="preserve">MY        </v>
          </cell>
          <cell r="E694">
            <v>90189084</v>
          </cell>
          <cell r="F694">
            <v>4</v>
          </cell>
          <cell r="G694" t="str">
            <v xml:space="preserve">ST          </v>
          </cell>
          <cell r="H694">
            <v>54.5</v>
          </cell>
          <cell r="I694">
            <v>218</v>
          </cell>
        </row>
        <row r="695">
          <cell r="A695" t="str">
            <v>21-209-18-01</v>
          </cell>
          <cell r="B695" t="str">
            <v xml:space="preserve">BANDAGE SCISSORS, UNIVERSAL, 19 CM      </v>
          </cell>
          <cell r="C695" t="str">
            <v xml:space="preserve">                                   </v>
          </cell>
          <cell r="D695" t="str">
            <v xml:space="preserve">DE        </v>
          </cell>
          <cell r="E695">
            <v>90189084</v>
          </cell>
          <cell r="F695">
            <v>1</v>
          </cell>
          <cell r="G695" t="str">
            <v xml:space="preserve">ST          </v>
          </cell>
          <cell r="H695">
            <v>6.29</v>
          </cell>
          <cell r="I695">
            <v>6.29</v>
          </cell>
        </row>
        <row r="696">
          <cell r="A696" t="str">
            <v>56-673-25-01</v>
          </cell>
          <cell r="B696" t="str">
            <v xml:space="preserve">KIDNEY DISH, 250X140X40 MM              </v>
          </cell>
          <cell r="C696" t="str">
            <v xml:space="preserve">                                   </v>
          </cell>
          <cell r="D696" t="str">
            <v xml:space="preserve">SE        </v>
          </cell>
          <cell r="E696">
            <v>73269098</v>
          </cell>
          <cell r="F696">
            <v>2</v>
          </cell>
          <cell r="G696" t="str">
            <v xml:space="preserve">ST          </v>
          </cell>
          <cell r="H696">
            <v>11.9</v>
          </cell>
          <cell r="I696">
            <v>23.8</v>
          </cell>
        </row>
        <row r="697">
          <cell r="A697" t="str">
            <v>56-231-04-01</v>
          </cell>
          <cell r="B697" t="str">
            <v xml:space="preserve">BOWL, METAL, H = 19, Ø 40 MM, 0.02 L    </v>
          </cell>
          <cell r="C697" t="str">
            <v xml:space="preserve">                                   </v>
          </cell>
          <cell r="D697" t="str">
            <v xml:space="preserve">SE        </v>
          </cell>
          <cell r="E697">
            <v>73249000</v>
          </cell>
          <cell r="F697">
            <v>1</v>
          </cell>
          <cell r="G697" t="str">
            <v xml:space="preserve">ST          </v>
          </cell>
          <cell r="H697">
            <v>6.42</v>
          </cell>
          <cell r="I697">
            <v>6.42</v>
          </cell>
        </row>
        <row r="698">
          <cell r="A698" t="str">
            <v>56-231-06-01</v>
          </cell>
          <cell r="B698" t="str">
            <v xml:space="preserve">BOWL, METAL, H = 30, Ø 61 MM, 0.07 L    </v>
          </cell>
          <cell r="C698" t="str">
            <v xml:space="preserve">                                   </v>
          </cell>
          <cell r="D698" t="str">
            <v xml:space="preserve">SE        </v>
          </cell>
          <cell r="E698">
            <v>73249000</v>
          </cell>
          <cell r="F698">
            <v>1</v>
          </cell>
          <cell r="G698" t="str">
            <v xml:space="preserve">ST          </v>
          </cell>
          <cell r="H698">
            <v>7.77</v>
          </cell>
          <cell r="I698">
            <v>7.77</v>
          </cell>
        </row>
        <row r="699">
          <cell r="A699" t="str">
            <v>56-231-08-01</v>
          </cell>
          <cell r="B699" t="str">
            <v xml:space="preserve">BOWL, METAL, H = 40, Ø 80 MM, 0.14 L    </v>
          </cell>
          <cell r="C699" t="str">
            <v xml:space="preserve">                                   </v>
          </cell>
          <cell r="D699" t="str">
            <v xml:space="preserve">DE        </v>
          </cell>
          <cell r="E699">
            <v>73249000</v>
          </cell>
          <cell r="F699">
            <v>1</v>
          </cell>
          <cell r="G699" t="str">
            <v xml:space="preserve">ST          </v>
          </cell>
          <cell r="H699">
            <v>10.3</v>
          </cell>
          <cell r="I699">
            <v>10.3</v>
          </cell>
        </row>
        <row r="700">
          <cell r="A700" t="str">
            <v>24-541-20-07</v>
          </cell>
          <cell r="B700" t="str">
            <v xml:space="preserve">Hook, Crile, 90°, 20 cm                 </v>
          </cell>
          <cell r="C700" t="str">
            <v xml:space="preserve">                                   </v>
          </cell>
          <cell r="D700" t="str">
            <v xml:space="preserve">DE        </v>
          </cell>
          <cell r="E700">
            <v>90189084</v>
          </cell>
          <cell r="F700">
            <v>1</v>
          </cell>
          <cell r="G700" t="str">
            <v xml:space="preserve">ST          </v>
          </cell>
          <cell r="H700">
            <v>35.9</v>
          </cell>
          <cell r="I700">
            <v>35.9</v>
          </cell>
        </row>
        <row r="701">
          <cell r="A701" t="str">
            <v>23-934-14-07</v>
          </cell>
          <cell r="B701" t="str">
            <v xml:space="preserve">BONE CUTT. FORCEPS, LISTON, STR., 14 CM </v>
          </cell>
          <cell r="C701" t="str">
            <v xml:space="preserve">                                   </v>
          </cell>
          <cell r="D701" t="str">
            <v xml:space="preserve">DE        </v>
          </cell>
          <cell r="E701">
            <v>90189084</v>
          </cell>
          <cell r="F701">
            <v>1</v>
          </cell>
          <cell r="G701" t="str">
            <v xml:space="preserve">ST          </v>
          </cell>
          <cell r="H701">
            <v>151.5</v>
          </cell>
          <cell r="I701">
            <v>151.5</v>
          </cell>
        </row>
        <row r="702">
          <cell r="A702" t="str">
            <v>23-934-17-07</v>
          </cell>
          <cell r="B702" t="str">
            <v xml:space="preserve">BONE CUTT. FORCEPS, LISTON, STR., 17 CM </v>
          </cell>
          <cell r="C702" t="str">
            <v xml:space="preserve">                                   </v>
          </cell>
          <cell r="D702" t="str">
            <v xml:space="preserve">DE        </v>
          </cell>
          <cell r="E702">
            <v>90189084</v>
          </cell>
          <cell r="F702">
            <v>1</v>
          </cell>
          <cell r="G702" t="str">
            <v xml:space="preserve">ST          </v>
          </cell>
          <cell r="H702">
            <v>168</v>
          </cell>
          <cell r="I702">
            <v>168</v>
          </cell>
        </row>
        <row r="703">
          <cell r="A703" t="str">
            <v>23-877-15-07</v>
          </cell>
          <cell r="B703" t="str">
            <v xml:space="preserve">BONE RONGEUR, BOEHLER, CVD., 15 CM      </v>
          </cell>
          <cell r="C703" t="str">
            <v xml:space="preserve">                                   </v>
          </cell>
          <cell r="D703" t="str">
            <v xml:space="preserve">MY        </v>
          </cell>
          <cell r="E703">
            <v>90189084</v>
          </cell>
          <cell r="F703">
            <v>1</v>
          </cell>
          <cell r="G703" t="str">
            <v xml:space="preserve">ST          </v>
          </cell>
          <cell r="H703">
            <v>320</v>
          </cell>
          <cell r="I703">
            <v>320</v>
          </cell>
        </row>
        <row r="704">
          <cell r="A704" t="str">
            <v>23-885-20-07</v>
          </cell>
          <cell r="B704" t="str">
            <v xml:space="preserve">BONE RONGEUR, MARQUARD, 20.5 CM         </v>
          </cell>
          <cell r="C704" t="str">
            <v xml:space="preserve">                                   </v>
          </cell>
          <cell r="D704" t="str">
            <v xml:space="preserve">DE        </v>
          </cell>
          <cell r="E704">
            <v>90189084</v>
          </cell>
          <cell r="F704">
            <v>1</v>
          </cell>
          <cell r="G704" t="str">
            <v xml:space="preserve">ST          </v>
          </cell>
          <cell r="H704">
            <v>364.5</v>
          </cell>
          <cell r="I704">
            <v>364.5</v>
          </cell>
        </row>
        <row r="705">
          <cell r="A705" t="str">
            <v>28-100-05-07</v>
          </cell>
          <cell r="B705" t="str">
            <v xml:space="preserve">Retractor, breast, 125x30 mm, 27 cm     </v>
          </cell>
          <cell r="C705" t="str">
            <v xml:space="preserve">                                   </v>
          </cell>
          <cell r="D705" t="str">
            <v xml:space="preserve">DE        </v>
          </cell>
          <cell r="E705">
            <v>90189084</v>
          </cell>
          <cell r="F705">
            <v>1</v>
          </cell>
          <cell r="G705" t="str">
            <v xml:space="preserve">ST          </v>
          </cell>
          <cell r="H705">
            <v>537</v>
          </cell>
          <cell r="I705">
            <v>537</v>
          </cell>
        </row>
        <row r="706">
          <cell r="A706" t="str">
            <v>28-100-06-07</v>
          </cell>
          <cell r="B706" t="str">
            <v xml:space="preserve">Retractor, breast, 140x30 mm, 27 cm     </v>
          </cell>
          <cell r="C706" t="str">
            <v xml:space="preserve">                                   </v>
          </cell>
          <cell r="D706" t="str">
            <v xml:space="preserve">DE        </v>
          </cell>
          <cell r="E706">
            <v>90189084</v>
          </cell>
          <cell r="F706">
            <v>1</v>
          </cell>
          <cell r="G706" t="str">
            <v xml:space="preserve">ST          </v>
          </cell>
          <cell r="H706">
            <v>537</v>
          </cell>
          <cell r="I706">
            <v>537</v>
          </cell>
        </row>
        <row r="707">
          <cell r="A707" t="str">
            <v>28-100-07-07</v>
          </cell>
          <cell r="B707" t="str">
            <v xml:space="preserve">Elevator, Breast, f. Mammaplasty, 28 cm </v>
          </cell>
          <cell r="C707" t="str">
            <v xml:space="preserve">                                   </v>
          </cell>
          <cell r="D707" t="str">
            <v xml:space="preserve">DE        </v>
          </cell>
          <cell r="E707">
            <v>90189084</v>
          </cell>
          <cell r="F707">
            <v>1</v>
          </cell>
          <cell r="G707" t="str">
            <v xml:space="preserve">ST          </v>
          </cell>
          <cell r="H707">
            <v>867</v>
          </cell>
          <cell r="I707">
            <v>867</v>
          </cell>
        </row>
        <row r="708">
          <cell r="A708" t="str">
            <v>28-100-10-07</v>
          </cell>
          <cell r="B708" t="str">
            <v xml:space="preserve">Areola marker, blunt, Ø 36 mm           </v>
          </cell>
          <cell r="C708" t="str">
            <v xml:space="preserve">                                   </v>
          </cell>
          <cell r="D708" t="str">
            <v xml:space="preserve">DE        </v>
          </cell>
          <cell r="E708">
            <v>90189084</v>
          </cell>
          <cell r="F708">
            <v>1</v>
          </cell>
          <cell r="G708" t="str">
            <v xml:space="preserve">ST          </v>
          </cell>
          <cell r="H708">
            <v>57.7</v>
          </cell>
          <cell r="I708">
            <v>57.7</v>
          </cell>
        </row>
        <row r="709">
          <cell r="A709" t="str">
            <v>28-100-11-07</v>
          </cell>
          <cell r="B709" t="str">
            <v xml:space="preserve">Areola marker, blunt, Ø 40 mm           </v>
          </cell>
          <cell r="C709" t="str">
            <v xml:space="preserve">                                   </v>
          </cell>
          <cell r="D709" t="str">
            <v xml:space="preserve">DE        </v>
          </cell>
          <cell r="E709">
            <v>90189084</v>
          </cell>
          <cell r="F709">
            <v>1</v>
          </cell>
          <cell r="G709" t="str">
            <v xml:space="preserve">ST          </v>
          </cell>
          <cell r="H709">
            <v>60.2</v>
          </cell>
          <cell r="I709">
            <v>60.2</v>
          </cell>
        </row>
        <row r="710">
          <cell r="A710" t="str">
            <v>11-630-11-07</v>
          </cell>
          <cell r="B710" t="str">
            <v xml:space="preserve">IRIS SCISSORS, SH/SH, STR., 11.5 CM     </v>
          </cell>
          <cell r="C710" t="str">
            <v xml:space="preserve">                                   </v>
          </cell>
          <cell r="D710" t="str">
            <v xml:space="preserve">DE        </v>
          </cell>
          <cell r="E710">
            <v>90189084</v>
          </cell>
          <cell r="F710">
            <v>2</v>
          </cell>
          <cell r="G710" t="str">
            <v xml:space="preserve">ST          </v>
          </cell>
          <cell r="H710">
            <v>22.3</v>
          </cell>
          <cell r="I710">
            <v>44.6</v>
          </cell>
        </row>
        <row r="711">
          <cell r="A711" t="str">
            <v>15-683-00-07</v>
          </cell>
          <cell r="B711" t="str">
            <v xml:space="preserve">RETRACTOR, MATHIEU, SET, 20 CM          </v>
          </cell>
          <cell r="C711" t="str">
            <v xml:space="preserve">                                   </v>
          </cell>
          <cell r="D711" t="str">
            <v xml:space="preserve">DE        </v>
          </cell>
          <cell r="E711">
            <v>90189084</v>
          </cell>
          <cell r="F711">
            <v>2</v>
          </cell>
          <cell r="G711" t="str">
            <v xml:space="preserve">ST          </v>
          </cell>
          <cell r="H711">
            <v>128</v>
          </cell>
          <cell r="I711">
            <v>256</v>
          </cell>
        </row>
        <row r="712">
          <cell r="A712" t="str">
            <v>15-734-20-07</v>
          </cell>
          <cell r="B712" t="str">
            <v xml:space="preserve">WOUNDSPREADER, SHARP, 3X4 T., 20 CM     </v>
          </cell>
          <cell r="C712" t="str">
            <v xml:space="preserve">                                   </v>
          </cell>
          <cell r="D712" t="str">
            <v xml:space="preserve">DE        </v>
          </cell>
          <cell r="E712">
            <v>90189084</v>
          </cell>
          <cell r="F712">
            <v>1</v>
          </cell>
          <cell r="G712" t="str">
            <v xml:space="preserve">ST          </v>
          </cell>
          <cell r="H712">
            <v>203</v>
          </cell>
          <cell r="I712">
            <v>203</v>
          </cell>
        </row>
        <row r="713">
          <cell r="A713" t="str">
            <v>17-412-15-07</v>
          </cell>
          <cell r="B713" t="str">
            <v xml:space="preserve">Ruler, mm/inch, 15 cm                   </v>
          </cell>
          <cell r="C713" t="str">
            <v xml:space="preserve">                                   </v>
          </cell>
          <cell r="D713" t="str">
            <v xml:space="preserve">DE        </v>
          </cell>
          <cell r="E713">
            <v>90178010</v>
          </cell>
          <cell r="F713">
            <v>1</v>
          </cell>
          <cell r="G713" t="str">
            <v xml:space="preserve">ST          </v>
          </cell>
          <cell r="H713">
            <v>2.7</v>
          </cell>
          <cell r="I713">
            <v>2.7</v>
          </cell>
        </row>
        <row r="714">
          <cell r="A714" t="str">
            <v>17-412-30-07</v>
          </cell>
          <cell r="B714" t="str">
            <v xml:space="preserve">Ruler, mm/inch, 30 cm                   </v>
          </cell>
          <cell r="C714" t="str">
            <v xml:space="preserve">                                   </v>
          </cell>
          <cell r="D714" t="str">
            <v xml:space="preserve">DE        </v>
          </cell>
          <cell r="E714">
            <v>90178010</v>
          </cell>
          <cell r="F714">
            <v>1</v>
          </cell>
          <cell r="G714" t="str">
            <v xml:space="preserve">ST          </v>
          </cell>
          <cell r="H714">
            <v>3.7</v>
          </cell>
          <cell r="I714">
            <v>3.7</v>
          </cell>
        </row>
        <row r="715">
          <cell r="A715" t="str">
            <v>12-406-12-07</v>
          </cell>
          <cell r="B715" t="str">
            <v xml:space="preserve">FORCEPS, MICRO-ADSON, 1X2 T., 12 CM     </v>
          </cell>
          <cell r="C715" t="str">
            <v xml:space="preserve">                                   </v>
          </cell>
          <cell r="D715" t="str">
            <v xml:space="preserve">MY        </v>
          </cell>
          <cell r="E715">
            <v>90189084</v>
          </cell>
          <cell r="F715">
            <v>1</v>
          </cell>
          <cell r="G715" t="str">
            <v xml:space="preserve">ST          </v>
          </cell>
          <cell r="H715">
            <v>21</v>
          </cell>
          <cell r="I715">
            <v>21</v>
          </cell>
        </row>
        <row r="716">
          <cell r="A716" t="str">
            <v>12-168-12-07</v>
          </cell>
          <cell r="B716" t="str">
            <v xml:space="preserve">DRESSING FORCEPS, ADSON, 12 CM          </v>
          </cell>
          <cell r="C716" t="str">
            <v xml:space="preserve">                                   </v>
          </cell>
          <cell r="D716" t="str">
            <v xml:space="preserve">MY        </v>
          </cell>
          <cell r="E716">
            <v>90189084</v>
          </cell>
          <cell r="F716">
            <v>1</v>
          </cell>
          <cell r="G716" t="str">
            <v xml:space="preserve">ST          </v>
          </cell>
          <cell r="H716">
            <v>10.3</v>
          </cell>
          <cell r="I716">
            <v>10.3</v>
          </cell>
        </row>
        <row r="717">
          <cell r="A717" t="str">
            <v>24-388-16-07</v>
          </cell>
          <cell r="B717" t="str">
            <v xml:space="preserve">ATR. FORCEPS, DE BAKEY, 2 MM, 16 CM     </v>
          </cell>
          <cell r="C717" t="str">
            <v xml:space="preserve">                                   </v>
          </cell>
          <cell r="D717" t="str">
            <v xml:space="preserve">DE        </v>
          </cell>
          <cell r="E717">
            <v>90189084</v>
          </cell>
          <cell r="F717">
            <v>1</v>
          </cell>
          <cell r="G717" t="str">
            <v xml:space="preserve">ST          </v>
          </cell>
          <cell r="H717">
            <v>60</v>
          </cell>
          <cell r="I717">
            <v>60</v>
          </cell>
        </row>
        <row r="718">
          <cell r="A718" t="str">
            <v>11-673-11-07</v>
          </cell>
          <cell r="B718" t="str">
            <v xml:space="preserve">SC-Iris Scissors, sh/sh, cvd., 11,5 cm  </v>
          </cell>
          <cell r="C718" t="str">
            <v xml:space="preserve">                                   </v>
          </cell>
          <cell r="D718" t="str">
            <v xml:space="preserve">DE        </v>
          </cell>
          <cell r="E718">
            <v>90189084</v>
          </cell>
          <cell r="F718">
            <v>1</v>
          </cell>
          <cell r="G718" t="str">
            <v xml:space="preserve">ST          </v>
          </cell>
          <cell r="H718">
            <v>38.6</v>
          </cell>
          <cell r="I718">
            <v>38.6</v>
          </cell>
        </row>
        <row r="719">
          <cell r="A719" t="str">
            <v>11-677-10-07</v>
          </cell>
          <cell r="B719" t="str">
            <v xml:space="preserve">SC-Scissors, Stevens, bl/bl, cvd.,11cm  </v>
          </cell>
          <cell r="C719" t="str">
            <v xml:space="preserve">                                   </v>
          </cell>
          <cell r="D719" t="str">
            <v xml:space="preserve">DE        </v>
          </cell>
          <cell r="E719">
            <v>90189084</v>
          </cell>
          <cell r="F719">
            <v>1</v>
          </cell>
          <cell r="G719" t="str">
            <v xml:space="preserve">ST          </v>
          </cell>
          <cell r="H719">
            <v>39.5</v>
          </cell>
          <cell r="I719">
            <v>39.5</v>
          </cell>
        </row>
        <row r="720">
          <cell r="A720" t="str">
            <v>18-523-08-01</v>
          </cell>
          <cell r="B720" t="str">
            <v>Suction tube, Frazier, ø 2.7 mm, 19.5 cm</v>
          </cell>
          <cell r="C720" t="str">
            <v xml:space="preserve">                                   </v>
          </cell>
          <cell r="D720" t="str">
            <v xml:space="preserve">MY        </v>
          </cell>
          <cell r="E720">
            <v>90183900</v>
          </cell>
          <cell r="F720">
            <v>1</v>
          </cell>
          <cell r="G720" t="str">
            <v xml:space="preserve">ST          </v>
          </cell>
          <cell r="H720">
            <v>21.7</v>
          </cell>
          <cell r="I720">
            <v>21.7</v>
          </cell>
        </row>
        <row r="721">
          <cell r="A721" t="str">
            <v>55-804-56-01</v>
          </cell>
          <cell r="B721" t="str">
            <v xml:space="preserve">marTray, 1/1, 532x251x64 mm             </v>
          </cell>
          <cell r="C721" t="str">
            <v xml:space="preserve">                                   </v>
          </cell>
          <cell r="D721" t="str">
            <v xml:space="preserve">DE        </v>
          </cell>
          <cell r="E721">
            <v>73269098</v>
          </cell>
          <cell r="F721">
            <v>1</v>
          </cell>
          <cell r="G721" t="str">
            <v xml:space="preserve">ST          </v>
          </cell>
          <cell r="H721">
            <v>136.5</v>
          </cell>
          <cell r="I721">
            <v>136.5</v>
          </cell>
        </row>
        <row r="722">
          <cell r="A722" t="str">
            <v>11-659-14-07</v>
          </cell>
          <cell r="B722" t="str">
            <v>SC-Dissect.Scissors,Metzenb.cvd. 14,5 cm</v>
          </cell>
          <cell r="C722" t="str">
            <v xml:space="preserve">                                   </v>
          </cell>
          <cell r="D722" t="str">
            <v xml:space="preserve">DE        </v>
          </cell>
          <cell r="E722">
            <v>90189084</v>
          </cell>
          <cell r="F722">
            <v>1</v>
          </cell>
          <cell r="G722" t="str">
            <v xml:space="preserve">ST          </v>
          </cell>
          <cell r="H722">
            <v>39</v>
          </cell>
          <cell r="I722">
            <v>39</v>
          </cell>
        </row>
        <row r="723">
          <cell r="A723" t="str">
            <v>15-164-14-07</v>
          </cell>
          <cell r="B723" t="str">
            <v xml:space="preserve">HOOKLET, DOUBLE, RAGNELL-DAVIS, 15 CM   </v>
          </cell>
          <cell r="C723" t="str">
            <v xml:space="preserve">                                   </v>
          </cell>
          <cell r="D723" t="str">
            <v xml:space="preserve">DE        </v>
          </cell>
          <cell r="E723">
            <v>90189084</v>
          </cell>
          <cell r="F723">
            <v>1</v>
          </cell>
          <cell r="G723" t="str">
            <v xml:space="preserve">ST          </v>
          </cell>
          <cell r="H723">
            <v>35.1</v>
          </cell>
          <cell r="I723">
            <v>35.1</v>
          </cell>
        </row>
        <row r="724">
          <cell r="A724" t="str">
            <v xml:space="preserve">            </v>
          </cell>
          <cell r="B724" t="str">
            <v xml:space="preserve">Tracheostomy instruments Set            </v>
          </cell>
          <cell r="C724" t="str">
            <v xml:space="preserve">                                   </v>
          </cell>
          <cell r="D724" t="str">
            <v xml:space="preserve">          </v>
          </cell>
          <cell r="E724" t="str">
            <v xml:space="preserve">                </v>
          </cell>
          <cell r="F724">
            <v>1</v>
          </cell>
          <cell r="G724" t="str">
            <v xml:space="preserve">            </v>
          </cell>
          <cell r="H724" t="str">
            <v xml:space="preserve">               </v>
          </cell>
          <cell r="I724" t="str">
            <v xml:space="preserve">               </v>
          </cell>
        </row>
        <row r="725">
          <cell r="A725" t="str">
            <v>10-100-04-07</v>
          </cell>
          <cell r="B725" t="str">
            <v xml:space="preserve">SCALPEL HANDLE, NO. 4, 13.5 CM          </v>
          </cell>
          <cell r="C725" t="str">
            <v xml:space="preserve">                                   </v>
          </cell>
          <cell r="D725" t="str">
            <v xml:space="preserve">DE        </v>
          </cell>
          <cell r="E725">
            <v>90189084</v>
          </cell>
          <cell r="F725">
            <v>1</v>
          </cell>
          <cell r="G725" t="str">
            <v xml:space="preserve">ST          </v>
          </cell>
          <cell r="H725">
            <v>6.81</v>
          </cell>
          <cell r="I725">
            <v>6.81</v>
          </cell>
        </row>
        <row r="726">
          <cell r="A726" t="str">
            <v>10-130-03-07</v>
          </cell>
          <cell r="B726" t="str">
            <v xml:space="preserve">SCALPEL HANDLE, NO. 3, 12 CM            </v>
          </cell>
          <cell r="C726" t="str">
            <v xml:space="preserve">                                   </v>
          </cell>
          <cell r="D726" t="str">
            <v xml:space="preserve">DE        </v>
          </cell>
          <cell r="E726">
            <v>90189084</v>
          </cell>
          <cell r="F726">
            <v>1</v>
          </cell>
          <cell r="G726" t="str">
            <v xml:space="preserve">ST          </v>
          </cell>
          <cell r="H726">
            <v>13.1</v>
          </cell>
          <cell r="I726">
            <v>13.1</v>
          </cell>
        </row>
        <row r="727">
          <cell r="A727" t="str">
            <v>13-321-12-07</v>
          </cell>
          <cell r="B727" t="str">
            <v xml:space="preserve">FORCEPS MICRO-MOSQUITO, CVD., 12 CM     </v>
          </cell>
          <cell r="C727" t="str">
            <v xml:space="preserve">                                   </v>
          </cell>
          <cell r="D727" t="str">
            <v xml:space="preserve">MY        </v>
          </cell>
          <cell r="E727">
            <v>90189084</v>
          </cell>
          <cell r="F727">
            <v>2</v>
          </cell>
          <cell r="G727" t="str">
            <v xml:space="preserve">ST          </v>
          </cell>
          <cell r="H727">
            <v>28.2</v>
          </cell>
          <cell r="I727">
            <v>56.4</v>
          </cell>
        </row>
        <row r="728">
          <cell r="A728" t="str">
            <v>13-320-12-07</v>
          </cell>
          <cell r="B728" t="str">
            <v xml:space="preserve">FORCEPS MICRO-MOSQUITO, STR., 12 CM     </v>
          </cell>
          <cell r="C728" t="str">
            <v xml:space="preserve">                                   </v>
          </cell>
          <cell r="D728" t="str">
            <v xml:space="preserve">MY        </v>
          </cell>
          <cell r="E728">
            <v>90189084</v>
          </cell>
          <cell r="F728">
            <v>2</v>
          </cell>
          <cell r="G728" t="str">
            <v xml:space="preserve">ST          </v>
          </cell>
          <cell r="H728">
            <v>27</v>
          </cell>
          <cell r="I728">
            <v>54</v>
          </cell>
        </row>
        <row r="729">
          <cell r="A729" t="str">
            <v>13-375-13-07</v>
          </cell>
          <cell r="B729" t="str">
            <v xml:space="preserve">FORCEPS, PEAN, DELICATE, CVD., 13 CM    </v>
          </cell>
          <cell r="C729" t="str">
            <v xml:space="preserve">                                   </v>
          </cell>
          <cell r="D729" t="str">
            <v xml:space="preserve">MY        </v>
          </cell>
          <cell r="E729">
            <v>90189084</v>
          </cell>
          <cell r="F729">
            <v>2</v>
          </cell>
          <cell r="G729" t="str">
            <v xml:space="preserve">ST          </v>
          </cell>
          <cell r="H729">
            <v>25.3</v>
          </cell>
          <cell r="I729">
            <v>50.6</v>
          </cell>
        </row>
        <row r="730">
          <cell r="A730" t="str">
            <v>13-374-13-07</v>
          </cell>
          <cell r="B730" t="str">
            <v xml:space="preserve">FORCEPS, PEAN, DELICATE, STR., 13,5 CM  </v>
          </cell>
          <cell r="C730" t="str">
            <v xml:space="preserve">                                   </v>
          </cell>
          <cell r="D730" t="str">
            <v xml:space="preserve">MY        </v>
          </cell>
          <cell r="E730">
            <v>90189084</v>
          </cell>
          <cell r="F730">
            <v>2</v>
          </cell>
          <cell r="G730" t="str">
            <v xml:space="preserve">ST          </v>
          </cell>
          <cell r="H730">
            <v>24.8</v>
          </cell>
          <cell r="I730">
            <v>49.6</v>
          </cell>
        </row>
        <row r="731">
          <cell r="A731" t="str">
            <v>12-369-12-07</v>
          </cell>
          <cell r="B731" t="str">
            <v xml:space="preserve">Forceps, tissue, Adson, 2x3 t., 12 cm   </v>
          </cell>
          <cell r="C731" t="str">
            <v xml:space="preserve">                                   </v>
          </cell>
          <cell r="D731" t="str">
            <v xml:space="preserve">MY        </v>
          </cell>
          <cell r="E731">
            <v>90189084</v>
          </cell>
          <cell r="F731">
            <v>2</v>
          </cell>
          <cell r="G731" t="str">
            <v xml:space="preserve">ST          </v>
          </cell>
          <cell r="H731">
            <v>38.1</v>
          </cell>
          <cell r="I731">
            <v>76.2</v>
          </cell>
        </row>
        <row r="732">
          <cell r="A732" t="str">
            <v>12-172-12-07</v>
          </cell>
          <cell r="B732" t="str">
            <v xml:space="preserve">DRESSING FORCEPS, SEMKEN, 12.5 CM       </v>
          </cell>
          <cell r="C732" t="str">
            <v xml:space="preserve">                                   </v>
          </cell>
          <cell r="D732" t="str">
            <v xml:space="preserve">DE        </v>
          </cell>
          <cell r="E732">
            <v>90189084</v>
          </cell>
          <cell r="F732">
            <v>2</v>
          </cell>
          <cell r="G732" t="str">
            <v xml:space="preserve">ST          </v>
          </cell>
          <cell r="H732">
            <v>10.199999999999999</v>
          </cell>
          <cell r="I732">
            <v>20.399999999999999</v>
          </cell>
        </row>
        <row r="733">
          <cell r="A733" t="str">
            <v>12-400-12-07</v>
          </cell>
          <cell r="B733" t="str">
            <v xml:space="preserve">FORCEPS, ADSON BROWN, 12 CM             </v>
          </cell>
          <cell r="C733" t="str">
            <v xml:space="preserve">                                   </v>
          </cell>
          <cell r="D733" t="str">
            <v xml:space="preserve">MY        </v>
          </cell>
          <cell r="E733">
            <v>90189084</v>
          </cell>
          <cell r="F733">
            <v>1</v>
          </cell>
          <cell r="G733" t="str">
            <v xml:space="preserve">ST          </v>
          </cell>
          <cell r="H733">
            <v>31.7</v>
          </cell>
          <cell r="I733">
            <v>31.7</v>
          </cell>
        </row>
        <row r="734">
          <cell r="A734" t="str">
            <v>24-386-16-07</v>
          </cell>
          <cell r="B734" t="str">
            <v xml:space="preserve">ATR. FORCEPS, DE BAKEY, 1.5 MM, 16 CM   </v>
          </cell>
          <cell r="C734" t="str">
            <v xml:space="preserve">                                   </v>
          </cell>
          <cell r="D734" t="str">
            <v xml:space="preserve">MY        </v>
          </cell>
          <cell r="E734">
            <v>90189084</v>
          </cell>
          <cell r="F734">
            <v>1</v>
          </cell>
          <cell r="G734" t="str">
            <v xml:space="preserve">ST          </v>
          </cell>
          <cell r="H734">
            <v>72.099999999999994</v>
          </cell>
          <cell r="I734">
            <v>72.099999999999994</v>
          </cell>
        </row>
        <row r="735">
          <cell r="A735" t="str">
            <v>11-259-14-07</v>
          </cell>
          <cell r="B735" t="str">
            <v xml:space="preserve">DISSECT. SCISSORS, SH/SH, CVD., 14.5 CM </v>
          </cell>
          <cell r="C735" t="str">
            <v xml:space="preserve">                                   </v>
          </cell>
          <cell r="D735" t="str">
            <v xml:space="preserve">DE        </v>
          </cell>
          <cell r="E735">
            <v>90189084</v>
          </cell>
          <cell r="F735">
            <v>1</v>
          </cell>
          <cell r="G735" t="str">
            <v xml:space="preserve">ST          </v>
          </cell>
          <cell r="H735">
            <v>36.9</v>
          </cell>
          <cell r="I735">
            <v>36.9</v>
          </cell>
        </row>
        <row r="736">
          <cell r="A736" t="str">
            <v>11-104-16-07</v>
          </cell>
          <cell r="B736" t="str">
            <v>OPERATING SCISSORS, SH/SH, STR., 16.5 CM</v>
          </cell>
          <cell r="C736" t="str">
            <v xml:space="preserve">                                   </v>
          </cell>
          <cell r="D736" t="str">
            <v xml:space="preserve">DE        </v>
          </cell>
          <cell r="E736">
            <v>90189084</v>
          </cell>
          <cell r="F736">
            <v>1</v>
          </cell>
          <cell r="G736" t="str">
            <v xml:space="preserve">ST          </v>
          </cell>
          <cell r="H736">
            <v>21.6</v>
          </cell>
          <cell r="I736">
            <v>21.6</v>
          </cell>
        </row>
        <row r="737">
          <cell r="A737" t="str">
            <v>15-293-03-07</v>
          </cell>
          <cell r="B737" t="str">
            <v>RETRACTOR, LANGENBECK, 30X15 MM, 21,5 CM</v>
          </cell>
          <cell r="C737" t="str">
            <v xml:space="preserve">                                   </v>
          </cell>
          <cell r="D737" t="str">
            <v xml:space="preserve">DE        </v>
          </cell>
          <cell r="E737">
            <v>90189084</v>
          </cell>
          <cell r="F737">
            <v>2</v>
          </cell>
          <cell r="G737" t="str">
            <v xml:space="preserve">ST          </v>
          </cell>
          <cell r="H737">
            <v>41.1</v>
          </cell>
          <cell r="I737">
            <v>82.2</v>
          </cell>
        </row>
        <row r="738">
          <cell r="A738" t="str">
            <v>15-293-02-07</v>
          </cell>
          <cell r="B738" t="str">
            <v>RETRACTOR, LANGENBECK, 30X13 MM, 21,5 CM</v>
          </cell>
          <cell r="C738" t="str">
            <v xml:space="preserve">                                   </v>
          </cell>
          <cell r="D738" t="str">
            <v xml:space="preserve">DE        </v>
          </cell>
          <cell r="E738">
            <v>90189084</v>
          </cell>
          <cell r="F738">
            <v>2</v>
          </cell>
          <cell r="G738" t="str">
            <v xml:space="preserve">ST          </v>
          </cell>
          <cell r="H738">
            <v>39.6</v>
          </cell>
          <cell r="I738">
            <v>79.2</v>
          </cell>
        </row>
        <row r="739">
          <cell r="A739" t="str">
            <v>15-665-00-07</v>
          </cell>
          <cell r="B739" t="str">
            <v xml:space="preserve">RETRACTOR, DBL., FARABEUF, SET, 15.5 CM </v>
          </cell>
          <cell r="C739" t="str">
            <v xml:space="preserve">                                   </v>
          </cell>
          <cell r="D739" t="str">
            <v xml:space="preserve">DE        </v>
          </cell>
          <cell r="E739">
            <v>90189084</v>
          </cell>
          <cell r="F739">
            <v>2</v>
          </cell>
          <cell r="G739" t="str">
            <v xml:space="preserve">ST          </v>
          </cell>
          <cell r="H739">
            <v>28.9</v>
          </cell>
          <cell r="I739">
            <v>57.8</v>
          </cell>
        </row>
        <row r="740">
          <cell r="A740" t="str">
            <v>15-100-02-07</v>
          </cell>
          <cell r="B740" t="str">
            <v>RETRACTOR, DELIC., SHARP, 2-PR., 16.5 CM</v>
          </cell>
          <cell r="C740" t="str">
            <v xml:space="preserve">                                   </v>
          </cell>
          <cell r="D740" t="str">
            <v xml:space="preserve">DE        </v>
          </cell>
          <cell r="E740">
            <v>90189084</v>
          </cell>
          <cell r="F740">
            <v>2</v>
          </cell>
          <cell r="G740" t="str">
            <v xml:space="preserve">ST          </v>
          </cell>
          <cell r="H740">
            <v>25.3</v>
          </cell>
          <cell r="I740">
            <v>50.6</v>
          </cell>
        </row>
        <row r="741">
          <cell r="A741" t="str">
            <v>27-155-17-07</v>
          </cell>
          <cell r="B741" t="str">
            <v xml:space="preserve">TRACHEA RETRACTOR, JACKSON, DBL., 18 CM </v>
          </cell>
          <cell r="C741" t="str">
            <v xml:space="preserve">                                   </v>
          </cell>
          <cell r="D741" t="str">
            <v xml:space="preserve">DE        </v>
          </cell>
          <cell r="E741">
            <v>90189084</v>
          </cell>
          <cell r="F741">
            <v>2</v>
          </cell>
          <cell r="G741" t="str">
            <v xml:space="preserve">ST          </v>
          </cell>
          <cell r="H741">
            <v>45.5</v>
          </cell>
          <cell r="I741">
            <v>91</v>
          </cell>
        </row>
        <row r="742">
          <cell r="A742" t="str">
            <v>30-134-15-07</v>
          </cell>
          <cell r="B742" t="str">
            <v xml:space="preserve">TISSUE FORCEPS, ALLIS, 5X6 T., 15.5 CM  </v>
          </cell>
          <cell r="C742" t="str">
            <v xml:space="preserve">                                   </v>
          </cell>
          <cell r="D742" t="str">
            <v xml:space="preserve">MY        </v>
          </cell>
          <cell r="E742">
            <v>90189084</v>
          </cell>
          <cell r="F742">
            <v>3</v>
          </cell>
          <cell r="G742" t="str">
            <v xml:space="preserve">ST          </v>
          </cell>
          <cell r="H742">
            <v>45.7</v>
          </cell>
          <cell r="I742">
            <v>137.1</v>
          </cell>
        </row>
        <row r="743">
          <cell r="A743" t="str">
            <v>20-390-14-07</v>
          </cell>
          <cell r="B743" t="str">
            <v xml:space="preserve">NEEDLEHOLDER, MAYO-HEGAR, 14.5 CM       </v>
          </cell>
          <cell r="C743" t="str">
            <v xml:space="preserve">                                   </v>
          </cell>
          <cell r="D743" t="str">
            <v xml:space="preserve">MY        </v>
          </cell>
          <cell r="E743">
            <v>90189084</v>
          </cell>
          <cell r="F743">
            <v>1</v>
          </cell>
          <cell r="G743" t="str">
            <v xml:space="preserve">ST          </v>
          </cell>
          <cell r="H743">
            <v>40</v>
          </cell>
          <cell r="I743">
            <v>40</v>
          </cell>
        </row>
        <row r="744">
          <cell r="A744" t="str">
            <v>20-390-16-07</v>
          </cell>
          <cell r="B744" t="str">
            <v xml:space="preserve">NEEDLEHOLDER, MAYO-HEGAR, 16 CM         </v>
          </cell>
          <cell r="C744" t="str">
            <v xml:space="preserve">                                   </v>
          </cell>
          <cell r="D744" t="str">
            <v xml:space="preserve">MY        </v>
          </cell>
          <cell r="E744">
            <v>90189084</v>
          </cell>
          <cell r="F744">
            <v>1</v>
          </cell>
          <cell r="G744" t="str">
            <v xml:space="preserve">ST          </v>
          </cell>
          <cell r="H744">
            <v>25.2</v>
          </cell>
          <cell r="I744">
            <v>25.2</v>
          </cell>
        </row>
        <row r="745">
          <cell r="A745" t="str">
            <v>27-113-14-07</v>
          </cell>
          <cell r="B745" t="str">
            <v xml:space="preserve">TRACHEAL DILATOR, LABORDE, 14 CM        </v>
          </cell>
          <cell r="C745" t="str">
            <v xml:space="preserve">                                   </v>
          </cell>
          <cell r="D745" t="str">
            <v xml:space="preserve">DE        </v>
          </cell>
          <cell r="E745">
            <v>90189084</v>
          </cell>
          <cell r="F745">
            <v>1</v>
          </cell>
          <cell r="G745" t="str">
            <v xml:space="preserve">ST          </v>
          </cell>
          <cell r="H745">
            <v>218.5</v>
          </cell>
          <cell r="I745">
            <v>218.5</v>
          </cell>
        </row>
        <row r="746">
          <cell r="A746" t="str">
            <v>18-523-10-01</v>
          </cell>
          <cell r="B746" t="str">
            <v>Suction tube, Frazier, ø 3.3 mm, 19.5 cm</v>
          </cell>
          <cell r="C746" t="str">
            <v xml:space="preserve">                                   </v>
          </cell>
          <cell r="D746" t="str">
            <v xml:space="preserve">MY        </v>
          </cell>
          <cell r="E746">
            <v>90183900</v>
          </cell>
          <cell r="F746">
            <v>1</v>
          </cell>
          <cell r="G746" t="str">
            <v xml:space="preserve">ST          </v>
          </cell>
          <cell r="H746">
            <v>21.7</v>
          </cell>
          <cell r="I746">
            <v>21.7</v>
          </cell>
        </row>
        <row r="747">
          <cell r="A747" t="str">
            <v>18-523-11-01</v>
          </cell>
          <cell r="B747" t="str">
            <v>Suction tube, Frazier, ø 3.6 mm, 19.5 cm</v>
          </cell>
          <cell r="C747" t="str">
            <v xml:space="preserve">                                   </v>
          </cell>
          <cell r="D747" t="str">
            <v xml:space="preserve">MY        </v>
          </cell>
          <cell r="E747">
            <v>90183900</v>
          </cell>
          <cell r="F747">
            <v>1</v>
          </cell>
          <cell r="G747" t="str">
            <v xml:space="preserve">ST          </v>
          </cell>
          <cell r="H747">
            <v>21.7</v>
          </cell>
          <cell r="I747">
            <v>21.7</v>
          </cell>
        </row>
        <row r="748">
          <cell r="A748" t="str">
            <v>18-523-12-01</v>
          </cell>
          <cell r="B748" t="str">
            <v>Suction tube, Frazier, ø 4.0 mm, 19.5 cm</v>
          </cell>
          <cell r="C748" t="str">
            <v xml:space="preserve">                                   </v>
          </cell>
          <cell r="D748" t="str">
            <v xml:space="preserve">MY        </v>
          </cell>
          <cell r="E748">
            <v>90183900</v>
          </cell>
          <cell r="F748">
            <v>1</v>
          </cell>
          <cell r="G748" t="str">
            <v xml:space="preserve">ST          </v>
          </cell>
          <cell r="H748">
            <v>21.7</v>
          </cell>
          <cell r="I748">
            <v>21.7</v>
          </cell>
        </row>
        <row r="749">
          <cell r="A749" t="str">
            <v>55-804-26-01</v>
          </cell>
          <cell r="B749" t="str">
            <v xml:space="preserve">marTray, 1/2, 240x251x64 mm             </v>
          </cell>
          <cell r="C749" t="str">
            <v xml:space="preserve">                                   </v>
          </cell>
          <cell r="D749" t="str">
            <v xml:space="preserve">DE        </v>
          </cell>
          <cell r="E749">
            <v>73269098</v>
          </cell>
          <cell r="F749">
            <v>1</v>
          </cell>
          <cell r="G749" t="str">
            <v xml:space="preserve">ST          </v>
          </cell>
          <cell r="H749">
            <v>99.5</v>
          </cell>
          <cell r="I749">
            <v>99.5</v>
          </cell>
        </row>
        <row r="750">
          <cell r="A750" t="str">
            <v xml:space="preserve">            </v>
          </cell>
          <cell r="B750" t="str">
            <v xml:space="preserve">G19/Inst- Neuro/01 Iteit :NEU BRAIN SET </v>
          </cell>
          <cell r="C750" t="str">
            <v xml:space="preserve">                                   </v>
          </cell>
          <cell r="D750" t="str">
            <v xml:space="preserve">          </v>
          </cell>
          <cell r="E750" t="str">
            <v xml:space="preserve">                </v>
          </cell>
          <cell r="F750">
            <v>1</v>
          </cell>
          <cell r="G750" t="str">
            <v xml:space="preserve">            </v>
          </cell>
          <cell r="H750" t="str">
            <v xml:space="preserve">               </v>
          </cell>
          <cell r="I750" t="str">
            <v xml:space="preserve">               </v>
          </cell>
        </row>
        <row r="751">
          <cell r="A751" t="str">
            <v xml:space="preserve">            </v>
          </cell>
          <cell r="B751" t="str">
            <v xml:space="preserve">Cranial Drill                           </v>
          </cell>
          <cell r="C751" t="str">
            <v xml:space="preserve">                                   </v>
          </cell>
          <cell r="D751" t="str">
            <v xml:space="preserve">          </v>
          </cell>
          <cell r="E751" t="str">
            <v xml:space="preserve">                </v>
          </cell>
          <cell r="F751">
            <v>1</v>
          </cell>
          <cell r="G751" t="str">
            <v xml:space="preserve">            </v>
          </cell>
          <cell r="H751" t="str">
            <v xml:space="preserve">               </v>
          </cell>
          <cell r="I751" t="str">
            <v xml:space="preserve">               </v>
          </cell>
        </row>
        <row r="752">
          <cell r="A752" t="str">
            <v>22-152-00-07</v>
          </cell>
          <cell r="B752" t="str">
            <v xml:space="preserve">HAND DRILL, HUDSON, COMPLETE            </v>
          </cell>
          <cell r="C752" t="str">
            <v xml:space="preserve">                                   </v>
          </cell>
          <cell r="D752" t="str">
            <v xml:space="preserve">DE        </v>
          </cell>
          <cell r="E752">
            <v>90189084</v>
          </cell>
          <cell r="F752">
            <v>1</v>
          </cell>
          <cell r="G752" t="str">
            <v xml:space="preserve">ST          </v>
          </cell>
          <cell r="H752">
            <v>791</v>
          </cell>
          <cell r="I752">
            <v>791</v>
          </cell>
        </row>
        <row r="753">
          <cell r="A753" t="str">
            <v>22-152-09-07</v>
          </cell>
          <cell r="B753" t="str">
            <v xml:space="preserve">EXTENSION F. HUDSON-DRILL               </v>
          </cell>
          <cell r="C753" t="str">
            <v xml:space="preserve">                                   </v>
          </cell>
          <cell r="D753" t="str">
            <v xml:space="preserve">DE        </v>
          </cell>
          <cell r="E753">
            <v>90189084</v>
          </cell>
          <cell r="F753">
            <v>1</v>
          </cell>
          <cell r="G753" t="str">
            <v xml:space="preserve">ST          </v>
          </cell>
          <cell r="H753">
            <v>60.8</v>
          </cell>
          <cell r="I753">
            <v>60.8</v>
          </cell>
        </row>
        <row r="754">
          <cell r="A754" t="str">
            <v>22-152-01-07</v>
          </cell>
          <cell r="B754" t="str">
            <v xml:space="preserve">BURR, CONE SHAPE, HUDSON, NO. 1         </v>
          </cell>
          <cell r="C754" t="str">
            <v xml:space="preserve">                                   </v>
          </cell>
          <cell r="D754" t="str">
            <v xml:space="preserve">DE        </v>
          </cell>
          <cell r="E754">
            <v>90189084</v>
          </cell>
          <cell r="F754">
            <v>1</v>
          </cell>
          <cell r="G754" t="str">
            <v xml:space="preserve">ST          </v>
          </cell>
          <cell r="H754">
            <v>113.5</v>
          </cell>
          <cell r="I754">
            <v>113.5</v>
          </cell>
        </row>
        <row r="755">
          <cell r="A755" t="str">
            <v>22-152-05-07</v>
          </cell>
          <cell r="B755" t="str">
            <v xml:space="preserve">BURR, FLAT TYPE, CUSHING, 14 MM WIDE    </v>
          </cell>
          <cell r="C755" t="str">
            <v xml:space="preserve">                                   </v>
          </cell>
          <cell r="D755" t="str">
            <v xml:space="preserve">DE        </v>
          </cell>
          <cell r="E755">
            <v>90189084</v>
          </cell>
          <cell r="F755">
            <v>1</v>
          </cell>
          <cell r="G755" t="str">
            <v xml:space="preserve">ST          </v>
          </cell>
          <cell r="H755">
            <v>81</v>
          </cell>
          <cell r="I755">
            <v>81</v>
          </cell>
        </row>
        <row r="756">
          <cell r="A756" t="str">
            <v>22-152-02-07</v>
          </cell>
          <cell r="B756" t="str">
            <v xml:space="preserve">BURR, CONE SHAPE, HUDSON, NO. 2         </v>
          </cell>
          <cell r="C756" t="str">
            <v xml:space="preserve">                                   </v>
          </cell>
          <cell r="D756" t="str">
            <v xml:space="preserve">DE        </v>
          </cell>
          <cell r="E756">
            <v>90189084</v>
          </cell>
          <cell r="F756">
            <v>1</v>
          </cell>
          <cell r="G756" t="str">
            <v xml:space="preserve">ST          </v>
          </cell>
          <cell r="H756">
            <v>81.400000000000006</v>
          </cell>
          <cell r="I756">
            <v>81.400000000000006</v>
          </cell>
        </row>
        <row r="757">
          <cell r="A757" t="str">
            <v>22-152-08-07</v>
          </cell>
          <cell r="B757" t="str">
            <v xml:space="preserve">DRILL, ERRICO, Ø 16 MM                  </v>
          </cell>
          <cell r="C757" t="str">
            <v xml:space="preserve">                                   </v>
          </cell>
          <cell r="D757" t="str">
            <v xml:space="preserve">DE        </v>
          </cell>
          <cell r="E757">
            <v>90189084</v>
          </cell>
          <cell r="F757">
            <v>1</v>
          </cell>
          <cell r="G757" t="str">
            <v xml:space="preserve">ST          </v>
          </cell>
          <cell r="H757">
            <v>136</v>
          </cell>
          <cell r="I757">
            <v>136</v>
          </cell>
        </row>
        <row r="758">
          <cell r="A758" t="str">
            <v>24-600-40-07</v>
          </cell>
          <cell r="B758" t="str">
            <v xml:space="preserve">WIRE SAW, GIGLI, FOURFOLD, 40 CM        </v>
          </cell>
          <cell r="C758" t="str">
            <v xml:space="preserve">                                   </v>
          </cell>
          <cell r="D758" t="str">
            <v xml:space="preserve">DE        </v>
          </cell>
          <cell r="E758">
            <v>90189084</v>
          </cell>
          <cell r="F758">
            <v>10</v>
          </cell>
          <cell r="G758" t="str">
            <v xml:space="preserve">ST          </v>
          </cell>
          <cell r="H758">
            <v>10.6</v>
          </cell>
          <cell r="I758">
            <v>106</v>
          </cell>
        </row>
        <row r="759">
          <cell r="A759" t="str">
            <v>24-602-01-01</v>
          </cell>
          <cell r="B759" t="str">
            <v xml:space="preserve">HOOK HANDLE, F. WIRE SAWS               </v>
          </cell>
          <cell r="C759" t="str">
            <v xml:space="preserve">                                   </v>
          </cell>
          <cell r="D759" t="str">
            <v xml:space="preserve">DE        </v>
          </cell>
          <cell r="E759">
            <v>90189084</v>
          </cell>
          <cell r="F759">
            <v>2</v>
          </cell>
          <cell r="G759" t="str">
            <v xml:space="preserve">ST          </v>
          </cell>
          <cell r="H759">
            <v>57.2</v>
          </cell>
          <cell r="I759">
            <v>114.4</v>
          </cell>
        </row>
        <row r="760">
          <cell r="A760" t="str">
            <v>24-618-33-07</v>
          </cell>
          <cell r="B760" t="str">
            <v xml:space="preserve">WIRE SAW CONDUCTOR, DE MARTEL           </v>
          </cell>
          <cell r="C760" t="str">
            <v xml:space="preserve">                                   </v>
          </cell>
          <cell r="D760" t="str">
            <v xml:space="preserve">DE        </v>
          </cell>
          <cell r="E760">
            <v>90189084</v>
          </cell>
          <cell r="F760">
            <v>2</v>
          </cell>
          <cell r="G760" t="str">
            <v xml:space="preserve">ST          </v>
          </cell>
          <cell r="H760">
            <v>37.6</v>
          </cell>
          <cell r="I760">
            <v>75.2</v>
          </cell>
        </row>
        <row r="761">
          <cell r="A761" t="str">
            <v xml:space="preserve">            </v>
          </cell>
          <cell r="B761" t="str">
            <v xml:space="preserve">Sets                                    </v>
          </cell>
          <cell r="C761" t="str">
            <v xml:space="preserve">                                   </v>
          </cell>
          <cell r="D761" t="str">
            <v xml:space="preserve">          </v>
          </cell>
          <cell r="E761" t="str">
            <v xml:space="preserve">                </v>
          </cell>
          <cell r="F761">
            <v>1</v>
          </cell>
          <cell r="G761" t="str">
            <v xml:space="preserve">            </v>
          </cell>
          <cell r="H761" t="str">
            <v xml:space="preserve">               </v>
          </cell>
          <cell r="I761" t="str">
            <v xml:space="preserve">               </v>
          </cell>
        </row>
        <row r="762">
          <cell r="A762" t="str">
            <v>10-130-03-07</v>
          </cell>
          <cell r="B762" t="str">
            <v xml:space="preserve">SCALPEL HANDLE, NO. 3, 12 CM            </v>
          </cell>
          <cell r="C762" t="str">
            <v xml:space="preserve">                                   </v>
          </cell>
          <cell r="D762" t="str">
            <v xml:space="preserve">DE        </v>
          </cell>
          <cell r="E762">
            <v>90189084</v>
          </cell>
          <cell r="F762">
            <v>1</v>
          </cell>
          <cell r="G762" t="str">
            <v xml:space="preserve">ST          </v>
          </cell>
          <cell r="H762">
            <v>13.1</v>
          </cell>
          <cell r="I762">
            <v>13.1</v>
          </cell>
        </row>
        <row r="763">
          <cell r="A763" t="str">
            <v>10-137-71-07</v>
          </cell>
          <cell r="B763" t="str">
            <v>SCALPEL HANDLE,NO. 7K,SOLID,SHORT,12,5cm</v>
          </cell>
          <cell r="C763" t="str">
            <v xml:space="preserve">                                   </v>
          </cell>
          <cell r="D763" t="str">
            <v xml:space="preserve">DE        </v>
          </cell>
          <cell r="E763">
            <v>90189084</v>
          </cell>
          <cell r="F763">
            <v>1</v>
          </cell>
          <cell r="G763" t="str">
            <v xml:space="preserve">ST          </v>
          </cell>
          <cell r="H763">
            <v>14.6</v>
          </cell>
          <cell r="I763">
            <v>14.6</v>
          </cell>
        </row>
        <row r="764">
          <cell r="A764" t="str">
            <v>10-137-07-07</v>
          </cell>
          <cell r="B764" t="str">
            <v xml:space="preserve">SCALPEL HANDLE, NO. 7, SOLID, 16 CM     </v>
          </cell>
          <cell r="C764" t="str">
            <v xml:space="preserve">                                   </v>
          </cell>
          <cell r="D764" t="str">
            <v xml:space="preserve">DE        </v>
          </cell>
          <cell r="E764">
            <v>90189084</v>
          </cell>
          <cell r="F764">
            <v>1</v>
          </cell>
          <cell r="G764" t="str">
            <v xml:space="preserve">ST          </v>
          </cell>
          <cell r="H764">
            <v>16</v>
          </cell>
          <cell r="I764">
            <v>16</v>
          </cell>
        </row>
        <row r="765">
          <cell r="A765" t="str">
            <v>12-302-14-07</v>
          </cell>
          <cell r="B765" t="str">
            <v xml:space="preserve">TISSUE FORCEPS, 2X3 T., 14.5 CM         </v>
          </cell>
          <cell r="C765" t="str">
            <v xml:space="preserve">                                   </v>
          </cell>
          <cell r="D765" t="str">
            <v xml:space="preserve">MY        </v>
          </cell>
          <cell r="E765">
            <v>90189084</v>
          </cell>
          <cell r="F765">
            <v>1</v>
          </cell>
          <cell r="G765" t="str">
            <v xml:space="preserve">ST          </v>
          </cell>
          <cell r="H765">
            <v>19.399999999999999</v>
          </cell>
          <cell r="I765">
            <v>19.399999999999999</v>
          </cell>
        </row>
        <row r="766">
          <cell r="A766" t="str">
            <v>12-370-15-07</v>
          </cell>
          <cell r="B766" t="str">
            <v xml:space="preserve">Diss. forceps, Gillies, 1x2 T., 15,5 cm </v>
          </cell>
          <cell r="C766" t="str">
            <v xml:space="preserve">                                   </v>
          </cell>
          <cell r="D766" t="str">
            <v xml:space="preserve">DE        </v>
          </cell>
          <cell r="E766">
            <v>90189084</v>
          </cell>
          <cell r="F766">
            <v>1</v>
          </cell>
          <cell r="G766" t="str">
            <v xml:space="preserve">ST          </v>
          </cell>
          <cell r="H766">
            <v>20</v>
          </cell>
          <cell r="I766">
            <v>20</v>
          </cell>
        </row>
        <row r="767">
          <cell r="A767" t="str">
            <v>12-170-15-07</v>
          </cell>
          <cell r="B767" t="str">
            <v xml:space="preserve">DRESSING FORCEPS, MCINDOE, 15 CM        </v>
          </cell>
          <cell r="C767" t="str">
            <v xml:space="preserve">                                   </v>
          </cell>
          <cell r="D767" t="str">
            <v xml:space="preserve">MY        </v>
          </cell>
          <cell r="E767">
            <v>90189084</v>
          </cell>
          <cell r="F767">
            <v>1</v>
          </cell>
          <cell r="G767" t="str">
            <v xml:space="preserve">ST          </v>
          </cell>
          <cell r="H767">
            <v>30.6</v>
          </cell>
          <cell r="I767">
            <v>30.6</v>
          </cell>
        </row>
        <row r="768">
          <cell r="A768" t="str">
            <v>12-120-14-07</v>
          </cell>
          <cell r="B768" t="str">
            <v xml:space="preserve">DRESSING FORCEPS, MEDIUM WIDE, 14.5 CM  </v>
          </cell>
          <cell r="C768" t="str">
            <v xml:space="preserve">                                   </v>
          </cell>
          <cell r="D768" t="str">
            <v xml:space="preserve">MY        </v>
          </cell>
          <cell r="E768">
            <v>90189084</v>
          </cell>
          <cell r="F768">
            <v>1</v>
          </cell>
          <cell r="G768" t="str">
            <v xml:space="preserve">ST          </v>
          </cell>
          <cell r="H768">
            <v>10.1</v>
          </cell>
          <cell r="I768">
            <v>10.1</v>
          </cell>
        </row>
        <row r="769">
          <cell r="A769" t="str">
            <v>12-100-14-07</v>
          </cell>
          <cell r="B769" t="str">
            <v xml:space="preserve">DRESSING FORCEPS, 14.5 CM               </v>
          </cell>
          <cell r="C769" t="str">
            <v xml:space="preserve">                                   </v>
          </cell>
          <cell r="D769" t="str">
            <v xml:space="preserve">MY        </v>
          </cell>
          <cell r="E769">
            <v>90189084</v>
          </cell>
          <cell r="F769">
            <v>1</v>
          </cell>
          <cell r="G769" t="str">
            <v xml:space="preserve">ST          </v>
          </cell>
          <cell r="H769">
            <v>10.1</v>
          </cell>
          <cell r="I769">
            <v>10.1</v>
          </cell>
        </row>
        <row r="770">
          <cell r="A770" t="str">
            <v>12-406-12-07</v>
          </cell>
          <cell r="B770" t="str">
            <v xml:space="preserve">FORCEPS, MICRO-ADSON, 1X2 T., 12 CM     </v>
          </cell>
          <cell r="C770" t="str">
            <v xml:space="preserve">                                   </v>
          </cell>
          <cell r="D770" t="str">
            <v xml:space="preserve">MY        </v>
          </cell>
          <cell r="E770">
            <v>90189084</v>
          </cell>
          <cell r="F770">
            <v>2</v>
          </cell>
          <cell r="G770" t="str">
            <v xml:space="preserve">ST          </v>
          </cell>
          <cell r="H770">
            <v>21</v>
          </cell>
          <cell r="I770">
            <v>42</v>
          </cell>
        </row>
        <row r="771">
          <cell r="A771" t="str">
            <v>12-402-12-07</v>
          </cell>
          <cell r="B771" t="str">
            <v xml:space="preserve">FORCEPS, MINI-ADSON, 1X2 T., 12 CM      </v>
          </cell>
          <cell r="C771" t="str">
            <v xml:space="preserve">                                   </v>
          </cell>
          <cell r="D771" t="str">
            <v xml:space="preserve">MY        </v>
          </cell>
          <cell r="E771">
            <v>90189084</v>
          </cell>
          <cell r="F771">
            <v>1</v>
          </cell>
          <cell r="G771" t="str">
            <v xml:space="preserve">ST          </v>
          </cell>
          <cell r="H771">
            <v>19.899999999999999</v>
          </cell>
          <cell r="I771">
            <v>19.899999999999999</v>
          </cell>
        </row>
        <row r="772">
          <cell r="A772" t="str">
            <v>12-168-15-07</v>
          </cell>
          <cell r="B772" t="str">
            <v xml:space="preserve">DRESSING FORCEPS, ADSON, 15 CM          </v>
          </cell>
          <cell r="C772" t="str">
            <v xml:space="preserve">                                   </v>
          </cell>
          <cell r="D772" t="str">
            <v xml:space="preserve">MY        </v>
          </cell>
          <cell r="E772">
            <v>90189084</v>
          </cell>
          <cell r="F772">
            <v>1</v>
          </cell>
          <cell r="G772" t="str">
            <v xml:space="preserve">ST          </v>
          </cell>
          <cell r="H772">
            <v>27.3</v>
          </cell>
          <cell r="I772">
            <v>27.3</v>
          </cell>
        </row>
        <row r="773">
          <cell r="A773" t="str">
            <v>12-371-20-07</v>
          </cell>
          <cell r="B773" t="str">
            <v xml:space="preserve">Diss. forceps, Waugh, 1x2 T., 20 cm     </v>
          </cell>
          <cell r="C773" t="str">
            <v xml:space="preserve">                                   </v>
          </cell>
          <cell r="D773" t="str">
            <v xml:space="preserve">DE        </v>
          </cell>
          <cell r="E773">
            <v>90189084</v>
          </cell>
          <cell r="F773">
            <v>2</v>
          </cell>
          <cell r="G773" t="str">
            <v xml:space="preserve">ST          </v>
          </cell>
          <cell r="H773">
            <v>25.7</v>
          </cell>
          <cell r="I773">
            <v>51.4</v>
          </cell>
        </row>
        <row r="774">
          <cell r="A774" t="str">
            <v>14-352-20-07</v>
          </cell>
          <cell r="B774" t="str">
            <v xml:space="preserve">FORCEPS, FOERSTER, SERR., STR., 20.5 CM </v>
          </cell>
          <cell r="C774" t="str">
            <v xml:space="preserve">                                   </v>
          </cell>
          <cell r="D774" t="str">
            <v xml:space="preserve">MY        </v>
          </cell>
          <cell r="E774">
            <v>90189084</v>
          </cell>
          <cell r="F774">
            <v>2</v>
          </cell>
          <cell r="G774" t="str">
            <v xml:space="preserve">ST          </v>
          </cell>
          <cell r="H774">
            <v>39.799999999999997</v>
          </cell>
          <cell r="I774">
            <v>79.599999999999994</v>
          </cell>
        </row>
        <row r="775">
          <cell r="A775" t="str">
            <v>37-115-20-07</v>
          </cell>
          <cell r="B775" t="str">
            <v>NASAL TAMPON FORCEPS, GRUENWALD, 21.5 CM</v>
          </cell>
          <cell r="C775" t="str">
            <v xml:space="preserve">                                   </v>
          </cell>
          <cell r="D775" t="str">
            <v xml:space="preserve">DE        </v>
          </cell>
          <cell r="E775">
            <v>90189084</v>
          </cell>
          <cell r="F775">
            <v>2</v>
          </cell>
          <cell r="G775" t="str">
            <v xml:space="preserve">ST          </v>
          </cell>
          <cell r="H775">
            <v>46.4</v>
          </cell>
          <cell r="I775">
            <v>92.8</v>
          </cell>
        </row>
        <row r="776">
          <cell r="A776" t="str">
            <v>20-632-12-07</v>
          </cell>
          <cell r="B776" t="str">
            <v xml:space="preserve">TC-NEEDLEHOLDER, DERF, 12 CM            </v>
          </cell>
          <cell r="C776" t="str">
            <v xml:space="preserve">                                   </v>
          </cell>
          <cell r="D776" t="str">
            <v xml:space="preserve">MY        </v>
          </cell>
          <cell r="E776">
            <v>90189084</v>
          </cell>
          <cell r="F776">
            <v>2</v>
          </cell>
          <cell r="G776" t="str">
            <v xml:space="preserve">ST          </v>
          </cell>
          <cell r="H776">
            <v>109</v>
          </cell>
          <cell r="I776">
            <v>218</v>
          </cell>
        </row>
        <row r="777">
          <cell r="A777" t="str">
            <v>20-638-15-07</v>
          </cell>
          <cell r="B777" t="str">
            <v xml:space="preserve">TC-NEEDLEHOLDER, CRILE-WOOD, 15 CM      </v>
          </cell>
          <cell r="C777" t="str">
            <v xml:space="preserve">                                   </v>
          </cell>
          <cell r="D777" t="str">
            <v xml:space="preserve">MY        </v>
          </cell>
          <cell r="E777">
            <v>90189084</v>
          </cell>
          <cell r="F777">
            <v>3</v>
          </cell>
          <cell r="G777" t="str">
            <v xml:space="preserve">ST          </v>
          </cell>
          <cell r="H777">
            <v>86.7</v>
          </cell>
          <cell r="I777">
            <v>260.10000000000002</v>
          </cell>
        </row>
        <row r="778">
          <cell r="A778" t="str">
            <v>20-646-20-07</v>
          </cell>
          <cell r="B778" t="str">
            <v xml:space="preserve">TC-NEEDLEHOLDER, DE BAKEY, 20.5 CM      </v>
          </cell>
          <cell r="C778" t="str">
            <v xml:space="preserve">                                   </v>
          </cell>
          <cell r="D778" t="str">
            <v xml:space="preserve">MY        </v>
          </cell>
          <cell r="E778">
            <v>90189084</v>
          </cell>
          <cell r="F778">
            <v>2</v>
          </cell>
          <cell r="G778" t="str">
            <v xml:space="preserve">ST          </v>
          </cell>
          <cell r="H778">
            <v>104.5</v>
          </cell>
          <cell r="I778">
            <v>209</v>
          </cell>
        </row>
        <row r="779">
          <cell r="A779" t="str">
            <v>24-851-10-07</v>
          </cell>
          <cell r="B779" t="str">
            <v xml:space="preserve">Micro needleh., Yasargil,bay.str., 20cm </v>
          </cell>
          <cell r="C779" t="str">
            <v xml:space="preserve">                                   </v>
          </cell>
          <cell r="D779" t="str">
            <v xml:space="preserve">DE        </v>
          </cell>
          <cell r="E779">
            <v>90189084</v>
          </cell>
          <cell r="F779">
            <v>1</v>
          </cell>
          <cell r="G779" t="str">
            <v xml:space="preserve">ST          </v>
          </cell>
          <cell r="H779">
            <v>314</v>
          </cell>
          <cell r="I779">
            <v>314</v>
          </cell>
        </row>
        <row r="780">
          <cell r="A780" t="str">
            <v>13-310-14-07</v>
          </cell>
          <cell r="B780" t="str">
            <v xml:space="preserve">HAEM. FORCEPS, MOSQUITO, STR., 14.5 CM  </v>
          </cell>
          <cell r="C780" t="str">
            <v xml:space="preserve">                                   </v>
          </cell>
          <cell r="D780" t="str">
            <v xml:space="preserve">MY        </v>
          </cell>
          <cell r="E780">
            <v>90189084</v>
          </cell>
          <cell r="F780">
            <v>10</v>
          </cell>
          <cell r="G780" t="str">
            <v xml:space="preserve">ST          </v>
          </cell>
          <cell r="H780">
            <v>30.2</v>
          </cell>
          <cell r="I780">
            <v>302</v>
          </cell>
        </row>
        <row r="781">
          <cell r="A781" t="str">
            <v>13-311-14-07</v>
          </cell>
          <cell r="B781" t="str">
            <v xml:space="preserve">HAEM. FORCEPS, MOSQUITO, CVD., 14 CM    </v>
          </cell>
          <cell r="C781" t="str">
            <v xml:space="preserve">                                   </v>
          </cell>
          <cell r="D781" t="str">
            <v xml:space="preserve">MY        </v>
          </cell>
          <cell r="E781">
            <v>90189084</v>
          </cell>
          <cell r="F781">
            <v>10</v>
          </cell>
          <cell r="G781" t="str">
            <v xml:space="preserve">ST          </v>
          </cell>
          <cell r="H781">
            <v>35.5</v>
          </cell>
          <cell r="I781">
            <v>355</v>
          </cell>
        </row>
        <row r="782">
          <cell r="A782" t="str">
            <v>13-320-12-07</v>
          </cell>
          <cell r="B782" t="str">
            <v xml:space="preserve">FORCEPS MICRO-MOSQUITO, STR., 12 CM     </v>
          </cell>
          <cell r="C782" t="str">
            <v xml:space="preserve">                                   </v>
          </cell>
          <cell r="D782" t="str">
            <v xml:space="preserve">MY        </v>
          </cell>
          <cell r="E782">
            <v>90189084</v>
          </cell>
          <cell r="F782">
            <v>5</v>
          </cell>
          <cell r="G782" t="str">
            <v xml:space="preserve">ST          </v>
          </cell>
          <cell r="H782">
            <v>27</v>
          </cell>
          <cell r="I782">
            <v>135</v>
          </cell>
        </row>
        <row r="783">
          <cell r="A783" t="str">
            <v>13-321-12-07</v>
          </cell>
          <cell r="B783" t="str">
            <v xml:space="preserve">FORCEPS MICRO-MOSQUITO, CVD., 12 CM     </v>
          </cell>
          <cell r="C783" t="str">
            <v xml:space="preserve">                                   </v>
          </cell>
          <cell r="D783" t="str">
            <v xml:space="preserve">MY        </v>
          </cell>
          <cell r="E783">
            <v>90189084</v>
          </cell>
          <cell r="F783">
            <v>5</v>
          </cell>
          <cell r="G783" t="str">
            <v xml:space="preserve">ST          </v>
          </cell>
          <cell r="H783">
            <v>28.2</v>
          </cell>
          <cell r="I783">
            <v>141</v>
          </cell>
        </row>
        <row r="784">
          <cell r="A784" t="str">
            <v>13-915-11-07</v>
          </cell>
          <cell r="B784" t="str">
            <v xml:space="preserve">TOWEL FORCEPS, BACKHAUS, SHARP, 11 CM   </v>
          </cell>
          <cell r="C784" t="str">
            <v xml:space="preserve">                                   </v>
          </cell>
          <cell r="D784" t="str">
            <v xml:space="preserve">MY        </v>
          </cell>
          <cell r="E784">
            <v>90189084</v>
          </cell>
          <cell r="F784">
            <v>5</v>
          </cell>
          <cell r="G784" t="str">
            <v xml:space="preserve">ST          </v>
          </cell>
          <cell r="H784">
            <v>24.3</v>
          </cell>
          <cell r="I784">
            <v>121.5</v>
          </cell>
        </row>
        <row r="785">
          <cell r="A785" t="str">
            <v>13-915-13-07</v>
          </cell>
          <cell r="B785" t="str">
            <v xml:space="preserve">TOWEL FORCEPS, BACKHAUS, SHARP, 13 CM   </v>
          </cell>
          <cell r="C785" t="str">
            <v xml:space="preserve">                                   </v>
          </cell>
          <cell r="D785" t="str">
            <v xml:space="preserve">MY        </v>
          </cell>
          <cell r="E785">
            <v>90189084</v>
          </cell>
          <cell r="F785">
            <v>5</v>
          </cell>
          <cell r="G785" t="str">
            <v xml:space="preserve">ST          </v>
          </cell>
          <cell r="H785">
            <v>24.3</v>
          </cell>
          <cell r="I785">
            <v>121.5</v>
          </cell>
        </row>
        <row r="786">
          <cell r="A786" t="str">
            <v>13-316-18-07</v>
          </cell>
          <cell r="B786" t="str">
            <v xml:space="preserve">HAEM. FORCEPS, MOSQUITO, STR., 18.5 CM  </v>
          </cell>
          <cell r="C786" t="str">
            <v xml:space="preserve">                                   </v>
          </cell>
          <cell r="D786" t="str">
            <v xml:space="preserve">DE        </v>
          </cell>
          <cell r="E786">
            <v>90189084</v>
          </cell>
          <cell r="F786">
            <v>1</v>
          </cell>
          <cell r="G786" t="str">
            <v xml:space="preserve">ST          </v>
          </cell>
          <cell r="H786">
            <v>42</v>
          </cell>
          <cell r="I786">
            <v>42</v>
          </cell>
        </row>
        <row r="787">
          <cell r="A787" t="str">
            <v>13-317-18-07</v>
          </cell>
          <cell r="B787" t="str">
            <v xml:space="preserve">HAEM. FORCEPS, MOSQUITO, CVD., 18 CM    </v>
          </cell>
          <cell r="C787" t="str">
            <v xml:space="preserve">                                   </v>
          </cell>
          <cell r="D787" t="str">
            <v xml:space="preserve">DE        </v>
          </cell>
          <cell r="E787">
            <v>90189084</v>
          </cell>
          <cell r="F787">
            <v>1</v>
          </cell>
          <cell r="G787" t="str">
            <v xml:space="preserve">ST          </v>
          </cell>
          <cell r="H787">
            <v>44.2</v>
          </cell>
          <cell r="I787">
            <v>44.2</v>
          </cell>
        </row>
        <row r="788">
          <cell r="A788" t="str">
            <v>13-355-14-07</v>
          </cell>
          <cell r="B788" t="str">
            <v xml:space="preserve">FORCEPS, DANDY, CVD. SIDEW., 14.5 CM    </v>
          </cell>
          <cell r="C788" t="str">
            <v xml:space="preserve">                                   </v>
          </cell>
          <cell r="D788" t="str">
            <v xml:space="preserve">MY        </v>
          </cell>
          <cell r="E788">
            <v>90189084</v>
          </cell>
          <cell r="F788">
            <v>1</v>
          </cell>
          <cell r="G788" t="str">
            <v xml:space="preserve">ST          </v>
          </cell>
          <cell r="H788">
            <v>51.6</v>
          </cell>
          <cell r="I788">
            <v>51.6</v>
          </cell>
        </row>
        <row r="789">
          <cell r="A789" t="str">
            <v>13-357-14-07</v>
          </cell>
          <cell r="B789" t="str">
            <v xml:space="preserve">FORCEPS, DANDY, 1X2 T., CVD., 14 CM     </v>
          </cell>
          <cell r="C789" t="str">
            <v xml:space="preserve">                                   </v>
          </cell>
          <cell r="D789" t="str">
            <v xml:space="preserve">DE        </v>
          </cell>
          <cell r="E789">
            <v>90189084</v>
          </cell>
          <cell r="F789">
            <v>1</v>
          </cell>
          <cell r="G789" t="str">
            <v xml:space="preserve">ST          </v>
          </cell>
          <cell r="H789">
            <v>62.5</v>
          </cell>
          <cell r="I789">
            <v>62.5</v>
          </cell>
        </row>
        <row r="790">
          <cell r="A790" t="str">
            <v xml:space="preserve">            </v>
          </cell>
          <cell r="B790" t="str">
            <v xml:space="preserve">G19/Inst- Neuro/01 Iteit :NEU BRAIN SET </v>
          </cell>
          <cell r="C790" t="str">
            <v xml:space="preserve">LUMBER SET                         </v>
          </cell>
          <cell r="D790" t="str">
            <v xml:space="preserve">          </v>
          </cell>
          <cell r="E790" t="str">
            <v xml:space="preserve">                </v>
          </cell>
          <cell r="F790">
            <v>1</v>
          </cell>
          <cell r="G790" t="str">
            <v xml:space="preserve">            </v>
          </cell>
          <cell r="H790" t="str">
            <v xml:space="preserve">               </v>
          </cell>
          <cell r="I790" t="str">
            <v xml:space="preserve">               </v>
          </cell>
        </row>
        <row r="791">
          <cell r="A791" t="str">
            <v xml:space="preserve">            </v>
          </cell>
          <cell r="B791" t="str">
            <v xml:space="preserve">Scalpel handle                          </v>
          </cell>
          <cell r="C791" t="str">
            <v xml:space="preserve">                                   </v>
          </cell>
          <cell r="D791" t="str">
            <v xml:space="preserve">          </v>
          </cell>
          <cell r="E791" t="str">
            <v xml:space="preserve">                </v>
          </cell>
          <cell r="F791">
            <v>1</v>
          </cell>
          <cell r="G791" t="str">
            <v xml:space="preserve">            </v>
          </cell>
          <cell r="H791" t="str">
            <v xml:space="preserve">               </v>
          </cell>
          <cell r="I791" t="str">
            <v xml:space="preserve">               </v>
          </cell>
        </row>
        <row r="792">
          <cell r="A792" t="str">
            <v>10-100-04-07</v>
          </cell>
          <cell r="B792" t="str">
            <v xml:space="preserve">SCALPEL HANDLE, NO. 4, 13.5 CM          </v>
          </cell>
          <cell r="C792" t="str">
            <v xml:space="preserve">                                   </v>
          </cell>
          <cell r="D792" t="str">
            <v xml:space="preserve">DE        </v>
          </cell>
          <cell r="E792">
            <v>90189084</v>
          </cell>
          <cell r="F792">
            <v>2</v>
          </cell>
          <cell r="G792" t="str">
            <v xml:space="preserve">ST          </v>
          </cell>
          <cell r="H792">
            <v>6.81</v>
          </cell>
          <cell r="I792">
            <v>13.62</v>
          </cell>
        </row>
        <row r="793">
          <cell r="A793" t="str">
            <v>10-137-71-07</v>
          </cell>
          <cell r="B793" t="str">
            <v>SCALPEL HANDLE,NO. 7K,SOLID,SHORT,12,5cm</v>
          </cell>
          <cell r="C793" t="str">
            <v xml:space="preserve">                                   </v>
          </cell>
          <cell r="D793" t="str">
            <v xml:space="preserve">DE        </v>
          </cell>
          <cell r="E793">
            <v>90189084</v>
          </cell>
          <cell r="F793">
            <v>1</v>
          </cell>
          <cell r="G793" t="str">
            <v xml:space="preserve">ST          </v>
          </cell>
          <cell r="H793">
            <v>14.6</v>
          </cell>
          <cell r="I793">
            <v>14.6</v>
          </cell>
        </row>
        <row r="794">
          <cell r="A794" t="str">
            <v>10-137-07-07</v>
          </cell>
          <cell r="B794" t="str">
            <v xml:space="preserve">SCALPEL HANDLE, NO. 7, SOLID, 16 CM     </v>
          </cell>
          <cell r="C794" t="str">
            <v xml:space="preserve">                                   </v>
          </cell>
          <cell r="D794" t="str">
            <v xml:space="preserve">DE        </v>
          </cell>
          <cell r="E794">
            <v>90189084</v>
          </cell>
          <cell r="F794">
            <v>1</v>
          </cell>
          <cell r="G794" t="str">
            <v xml:space="preserve">ST          </v>
          </cell>
          <cell r="H794">
            <v>16</v>
          </cell>
          <cell r="I794">
            <v>16</v>
          </cell>
        </row>
        <row r="795">
          <cell r="A795" t="str">
            <v>10-149-01-07</v>
          </cell>
          <cell r="B795" t="str">
            <v xml:space="preserve">Scalpel handle, Landolt, bay., 21 cm    </v>
          </cell>
          <cell r="C795" t="str">
            <v xml:space="preserve">                                   </v>
          </cell>
          <cell r="D795" t="str">
            <v xml:space="preserve">DE        </v>
          </cell>
          <cell r="E795">
            <v>90189084</v>
          </cell>
          <cell r="F795">
            <v>1</v>
          </cell>
          <cell r="G795" t="str">
            <v xml:space="preserve">ST          </v>
          </cell>
          <cell r="H795">
            <v>96</v>
          </cell>
          <cell r="I795">
            <v>96</v>
          </cell>
        </row>
        <row r="796">
          <cell r="A796" t="str">
            <v xml:space="preserve">            </v>
          </cell>
          <cell r="B796" t="str">
            <v xml:space="preserve">Forceps-needle holders                  </v>
          </cell>
          <cell r="C796" t="str">
            <v xml:space="preserve">                                   </v>
          </cell>
          <cell r="D796" t="str">
            <v xml:space="preserve">          </v>
          </cell>
          <cell r="E796" t="str">
            <v xml:space="preserve">                </v>
          </cell>
          <cell r="F796">
            <v>1</v>
          </cell>
          <cell r="G796" t="str">
            <v xml:space="preserve">            </v>
          </cell>
          <cell r="H796" t="str">
            <v xml:space="preserve">               </v>
          </cell>
          <cell r="I796" t="str">
            <v xml:space="preserve">               </v>
          </cell>
        </row>
        <row r="797">
          <cell r="A797" t="str">
            <v>12-170-15-07</v>
          </cell>
          <cell r="B797" t="str">
            <v xml:space="preserve">DRESSING FORCEPS, MCINDOE, 15 CM        </v>
          </cell>
          <cell r="C797" t="str">
            <v xml:space="preserve">                                   </v>
          </cell>
          <cell r="D797" t="str">
            <v xml:space="preserve">MY        </v>
          </cell>
          <cell r="E797">
            <v>90189084</v>
          </cell>
          <cell r="F797">
            <v>2</v>
          </cell>
          <cell r="G797" t="str">
            <v xml:space="preserve">ST          </v>
          </cell>
          <cell r="H797">
            <v>30.6</v>
          </cell>
          <cell r="I797">
            <v>61.2</v>
          </cell>
        </row>
        <row r="798">
          <cell r="A798" t="str">
            <v>24-600-40-07</v>
          </cell>
          <cell r="B798" t="str">
            <v xml:space="preserve">WIRE SAW, GIGLI, FOURFOLD, 40 CM        </v>
          </cell>
          <cell r="C798" t="str">
            <v xml:space="preserve">                                   </v>
          </cell>
          <cell r="D798" t="str">
            <v xml:space="preserve">DE        </v>
          </cell>
          <cell r="E798">
            <v>90189084</v>
          </cell>
          <cell r="F798">
            <v>10</v>
          </cell>
          <cell r="G798" t="str">
            <v xml:space="preserve">ST          </v>
          </cell>
          <cell r="H798">
            <v>10.6</v>
          </cell>
          <cell r="I798">
            <v>106</v>
          </cell>
        </row>
        <row r="799">
          <cell r="A799" t="str">
            <v>24-602-01-01</v>
          </cell>
          <cell r="B799" t="str">
            <v xml:space="preserve">HOOK HANDLE, F. WIRE SAWS               </v>
          </cell>
          <cell r="C799" t="str">
            <v xml:space="preserve">                                   </v>
          </cell>
          <cell r="D799" t="str">
            <v xml:space="preserve">DE        </v>
          </cell>
          <cell r="E799">
            <v>90189084</v>
          </cell>
          <cell r="F799">
            <v>2</v>
          </cell>
          <cell r="G799" t="str">
            <v xml:space="preserve">ST          </v>
          </cell>
          <cell r="H799">
            <v>57.2</v>
          </cell>
          <cell r="I799">
            <v>114.4</v>
          </cell>
        </row>
        <row r="800">
          <cell r="A800" t="str">
            <v>12-252-15-07</v>
          </cell>
          <cell r="B800" t="str">
            <v xml:space="preserve">TC-TISSUE FORCEPS, ADSON, 1X2 T., 15 CM </v>
          </cell>
          <cell r="C800" t="str">
            <v xml:space="preserve">                                   </v>
          </cell>
          <cell r="D800" t="str">
            <v xml:space="preserve">MY        </v>
          </cell>
          <cell r="E800">
            <v>90189084</v>
          </cell>
          <cell r="F800">
            <v>1</v>
          </cell>
          <cell r="G800" t="str">
            <v xml:space="preserve">ST          </v>
          </cell>
          <cell r="H800">
            <v>110</v>
          </cell>
          <cell r="I800">
            <v>110</v>
          </cell>
        </row>
        <row r="801">
          <cell r="A801" t="str">
            <v>12-252-12-07</v>
          </cell>
          <cell r="B801" t="str">
            <v xml:space="preserve">TC-TISSUE FORCEPS, ADSON, 1X2 T., 12 CM </v>
          </cell>
          <cell r="C801" t="str">
            <v xml:space="preserve">                                   </v>
          </cell>
          <cell r="D801" t="str">
            <v xml:space="preserve">DE        </v>
          </cell>
          <cell r="E801">
            <v>90189084</v>
          </cell>
          <cell r="F801">
            <v>2</v>
          </cell>
          <cell r="G801" t="str">
            <v xml:space="preserve">ST          </v>
          </cell>
          <cell r="H801">
            <v>92.1</v>
          </cell>
          <cell r="I801">
            <v>184.2</v>
          </cell>
        </row>
        <row r="802">
          <cell r="A802" t="str">
            <v>24-852-72-07</v>
          </cell>
          <cell r="B802" t="str">
            <v>Micro fcps., Yasargil, bay., 1x2T., 18cm</v>
          </cell>
          <cell r="C802" t="str">
            <v xml:space="preserve">                                   </v>
          </cell>
          <cell r="D802" t="str">
            <v xml:space="preserve">DE        </v>
          </cell>
          <cell r="E802">
            <v>90189084</v>
          </cell>
          <cell r="F802">
            <v>2</v>
          </cell>
          <cell r="G802" t="str">
            <v xml:space="preserve">ST          </v>
          </cell>
          <cell r="H802">
            <v>200</v>
          </cell>
          <cell r="I802">
            <v>400</v>
          </cell>
        </row>
        <row r="803">
          <cell r="A803" t="str">
            <v>37-115-20-07</v>
          </cell>
          <cell r="B803" t="str">
            <v>NASAL TAMPON FORCEPS, GRUENWALD, 21.5 CM</v>
          </cell>
          <cell r="C803" t="str">
            <v xml:space="preserve">                                   </v>
          </cell>
          <cell r="D803" t="str">
            <v xml:space="preserve">DE        </v>
          </cell>
          <cell r="E803">
            <v>90189084</v>
          </cell>
          <cell r="F803">
            <v>2</v>
          </cell>
          <cell r="G803" t="str">
            <v xml:space="preserve">ST          </v>
          </cell>
          <cell r="H803">
            <v>46.4</v>
          </cell>
          <cell r="I803">
            <v>92.8</v>
          </cell>
        </row>
        <row r="804">
          <cell r="A804" t="str">
            <v>14-352-20-07</v>
          </cell>
          <cell r="B804" t="str">
            <v xml:space="preserve">FORCEPS, FOERSTER, SERR., STR., 20.5 CM </v>
          </cell>
          <cell r="C804" t="str">
            <v xml:space="preserve">                                   </v>
          </cell>
          <cell r="D804" t="str">
            <v xml:space="preserve">MY        </v>
          </cell>
          <cell r="E804">
            <v>90189084</v>
          </cell>
          <cell r="F804">
            <v>1</v>
          </cell>
          <cell r="G804" t="str">
            <v xml:space="preserve">ST          </v>
          </cell>
          <cell r="H804">
            <v>39.799999999999997</v>
          </cell>
          <cell r="I804">
            <v>39.799999999999997</v>
          </cell>
        </row>
        <row r="805">
          <cell r="A805" t="str">
            <v>20-338-13-07</v>
          </cell>
          <cell r="B805" t="str">
            <v xml:space="preserve">NEEDLEHOLDER, NEIVERT, GROOVED, 12.5 CM </v>
          </cell>
          <cell r="C805" t="str">
            <v xml:space="preserve">                                   </v>
          </cell>
          <cell r="D805" t="str">
            <v xml:space="preserve">DE        </v>
          </cell>
          <cell r="E805">
            <v>90189084</v>
          </cell>
          <cell r="F805">
            <v>1</v>
          </cell>
          <cell r="G805" t="str">
            <v xml:space="preserve">ST          </v>
          </cell>
          <cell r="H805">
            <v>94</v>
          </cell>
          <cell r="I805">
            <v>94</v>
          </cell>
        </row>
        <row r="806">
          <cell r="A806" t="str">
            <v>20-390-14-07</v>
          </cell>
          <cell r="B806" t="str">
            <v xml:space="preserve">NEEDLEHOLDER, MAYO-HEGAR, 14.5 CM       </v>
          </cell>
          <cell r="C806" t="str">
            <v xml:space="preserve">                                   </v>
          </cell>
          <cell r="D806" t="str">
            <v xml:space="preserve">MY        </v>
          </cell>
          <cell r="E806">
            <v>90189084</v>
          </cell>
          <cell r="F806">
            <v>2</v>
          </cell>
          <cell r="G806" t="str">
            <v xml:space="preserve">ST          </v>
          </cell>
          <cell r="H806">
            <v>40</v>
          </cell>
          <cell r="I806">
            <v>80</v>
          </cell>
        </row>
        <row r="807">
          <cell r="A807" t="str">
            <v>20-390-20-07</v>
          </cell>
          <cell r="B807" t="str">
            <v xml:space="preserve">NEEDLEHOLDER, MAYO-HEGAR, 20.5 CM       </v>
          </cell>
          <cell r="C807" t="str">
            <v xml:space="preserve">                                   </v>
          </cell>
          <cell r="D807" t="str">
            <v xml:space="preserve">MY        </v>
          </cell>
          <cell r="E807">
            <v>90189084</v>
          </cell>
          <cell r="F807">
            <v>2</v>
          </cell>
          <cell r="G807" t="str">
            <v xml:space="preserve">ST          </v>
          </cell>
          <cell r="H807">
            <v>30</v>
          </cell>
          <cell r="I807">
            <v>60</v>
          </cell>
        </row>
        <row r="808">
          <cell r="A808" t="str">
            <v xml:space="preserve">            </v>
          </cell>
          <cell r="B808" t="str">
            <v xml:space="preserve">Artery,scissor                          </v>
          </cell>
          <cell r="C808" t="str">
            <v xml:space="preserve">                                   </v>
          </cell>
          <cell r="D808" t="str">
            <v xml:space="preserve">          </v>
          </cell>
          <cell r="E808" t="str">
            <v xml:space="preserve">                </v>
          </cell>
          <cell r="F808">
            <v>1</v>
          </cell>
          <cell r="G808" t="str">
            <v xml:space="preserve">            </v>
          </cell>
          <cell r="H808" t="str">
            <v xml:space="preserve">               </v>
          </cell>
          <cell r="I808" t="str">
            <v xml:space="preserve">               </v>
          </cell>
        </row>
        <row r="809">
          <cell r="A809" t="str">
            <v>13-334-16-07</v>
          </cell>
          <cell r="B809" t="str">
            <v>HAEM. FORCEPS, KELLY-RANKIN, STR., 16 CM</v>
          </cell>
          <cell r="C809" t="str">
            <v xml:space="preserve">                                   </v>
          </cell>
          <cell r="D809" t="str">
            <v xml:space="preserve">MY        </v>
          </cell>
          <cell r="E809">
            <v>90189084</v>
          </cell>
          <cell r="F809">
            <v>5</v>
          </cell>
          <cell r="G809" t="str">
            <v xml:space="preserve">ST          </v>
          </cell>
          <cell r="H809">
            <v>23</v>
          </cell>
          <cell r="I809">
            <v>115</v>
          </cell>
        </row>
        <row r="810">
          <cell r="A810" t="str">
            <v>13-355-14-07</v>
          </cell>
          <cell r="B810" t="str">
            <v xml:space="preserve">FORCEPS, DANDY, CVD. SIDEW., 14.5 CM    </v>
          </cell>
          <cell r="C810" t="str">
            <v xml:space="preserve">                                   </v>
          </cell>
          <cell r="D810" t="str">
            <v xml:space="preserve">MY        </v>
          </cell>
          <cell r="E810">
            <v>90189084</v>
          </cell>
          <cell r="F810">
            <v>5</v>
          </cell>
          <cell r="G810" t="str">
            <v xml:space="preserve">ST          </v>
          </cell>
          <cell r="H810">
            <v>51.6</v>
          </cell>
          <cell r="I810">
            <v>258</v>
          </cell>
        </row>
        <row r="811">
          <cell r="A811" t="str">
            <v>13-310-12-07</v>
          </cell>
          <cell r="B811" t="str">
            <v xml:space="preserve">HAEM. FORCEPS, MOSQUITO, STR., 12.5 CM  </v>
          </cell>
          <cell r="C811" t="str">
            <v xml:space="preserve">                                   </v>
          </cell>
          <cell r="D811" t="str">
            <v xml:space="preserve">MY        </v>
          </cell>
          <cell r="E811">
            <v>90189084</v>
          </cell>
          <cell r="F811">
            <v>5</v>
          </cell>
          <cell r="G811" t="str">
            <v xml:space="preserve">ST          </v>
          </cell>
          <cell r="H811">
            <v>22.4</v>
          </cell>
          <cell r="I811">
            <v>112</v>
          </cell>
        </row>
        <row r="812">
          <cell r="A812" t="str">
            <v xml:space="preserve">            </v>
          </cell>
          <cell r="B812" t="str">
            <v xml:space="preserve">G19/Inst- Neuro/01 Iteit :NEU BRAIN SET </v>
          </cell>
          <cell r="C812" t="str">
            <v xml:space="preserve">CERVAICAL                          </v>
          </cell>
          <cell r="D812" t="str">
            <v xml:space="preserve">          </v>
          </cell>
          <cell r="E812" t="str">
            <v xml:space="preserve">                </v>
          </cell>
          <cell r="F812">
            <v>1</v>
          </cell>
          <cell r="G812" t="str">
            <v xml:space="preserve">            </v>
          </cell>
          <cell r="H812" t="str">
            <v xml:space="preserve">               </v>
          </cell>
          <cell r="I812" t="str">
            <v xml:space="preserve">               </v>
          </cell>
        </row>
        <row r="813">
          <cell r="A813" t="str">
            <v xml:space="preserve">            </v>
          </cell>
          <cell r="B813" t="str">
            <v xml:space="preserve">Scalpel handle                          </v>
          </cell>
          <cell r="C813" t="str">
            <v xml:space="preserve">                                   </v>
          </cell>
          <cell r="D813" t="str">
            <v xml:space="preserve">          </v>
          </cell>
          <cell r="E813" t="str">
            <v xml:space="preserve">                </v>
          </cell>
          <cell r="F813">
            <v>1</v>
          </cell>
          <cell r="G813" t="str">
            <v xml:space="preserve">            </v>
          </cell>
          <cell r="H813" t="str">
            <v xml:space="preserve">               </v>
          </cell>
          <cell r="I813" t="str">
            <v xml:space="preserve">               </v>
          </cell>
        </row>
        <row r="814">
          <cell r="A814" t="str">
            <v>10-130-03-07</v>
          </cell>
          <cell r="B814" t="str">
            <v xml:space="preserve">SCALPEL HANDLE, NO. 3, 12 CM            </v>
          </cell>
          <cell r="C814" t="str">
            <v xml:space="preserve">                                   </v>
          </cell>
          <cell r="D814" t="str">
            <v xml:space="preserve">DE        </v>
          </cell>
          <cell r="E814">
            <v>90189084</v>
          </cell>
          <cell r="F814">
            <v>1</v>
          </cell>
          <cell r="G814" t="str">
            <v xml:space="preserve">ST          </v>
          </cell>
          <cell r="H814">
            <v>13.1</v>
          </cell>
          <cell r="I814">
            <v>13.1</v>
          </cell>
        </row>
        <row r="815">
          <cell r="A815" t="str">
            <v>10-137-71-07</v>
          </cell>
          <cell r="B815" t="str">
            <v>SCALPEL HANDLE,NO. 7K,SOLID,SHORT,12,5cm</v>
          </cell>
          <cell r="C815" t="str">
            <v xml:space="preserve">                                   </v>
          </cell>
          <cell r="D815" t="str">
            <v xml:space="preserve">DE        </v>
          </cell>
          <cell r="E815">
            <v>90189084</v>
          </cell>
          <cell r="F815">
            <v>1</v>
          </cell>
          <cell r="G815" t="str">
            <v xml:space="preserve">ST          </v>
          </cell>
          <cell r="H815">
            <v>14.6</v>
          </cell>
          <cell r="I815">
            <v>14.6</v>
          </cell>
        </row>
        <row r="816">
          <cell r="A816" t="str">
            <v>10-137-07-07</v>
          </cell>
          <cell r="B816" t="str">
            <v xml:space="preserve">SCALPEL HANDLE, NO. 7, SOLID, 16 CM     </v>
          </cell>
          <cell r="C816" t="str">
            <v xml:space="preserve">                                   </v>
          </cell>
          <cell r="D816" t="str">
            <v xml:space="preserve">DE        </v>
          </cell>
          <cell r="E816">
            <v>90189084</v>
          </cell>
          <cell r="F816">
            <v>1</v>
          </cell>
          <cell r="G816" t="str">
            <v xml:space="preserve">ST          </v>
          </cell>
          <cell r="H816">
            <v>16</v>
          </cell>
          <cell r="I816">
            <v>16</v>
          </cell>
        </row>
        <row r="817">
          <cell r="A817" t="str">
            <v>10-149-05-07</v>
          </cell>
          <cell r="B817" t="str">
            <v xml:space="preserve">Scalpel handle, bay., 21 cm             </v>
          </cell>
          <cell r="C817" t="str">
            <v xml:space="preserve">                                   </v>
          </cell>
          <cell r="D817" t="str">
            <v xml:space="preserve">DE        </v>
          </cell>
          <cell r="E817">
            <v>90189084</v>
          </cell>
          <cell r="F817">
            <v>1</v>
          </cell>
          <cell r="G817" t="str">
            <v xml:space="preserve">ST          </v>
          </cell>
          <cell r="H817">
            <v>11.6</v>
          </cell>
          <cell r="I817">
            <v>11.6</v>
          </cell>
        </row>
        <row r="818">
          <cell r="A818" t="str">
            <v xml:space="preserve">            </v>
          </cell>
          <cell r="B818" t="str">
            <v xml:space="preserve">Forceps-Needle holder                   </v>
          </cell>
          <cell r="C818" t="str">
            <v xml:space="preserve">                                   </v>
          </cell>
          <cell r="D818" t="str">
            <v xml:space="preserve">          </v>
          </cell>
          <cell r="E818" t="str">
            <v xml:space="preserve">                </v>
          </cell>
          <cell r="F818">
            <v>1</v>
          </cell>
          <cell r="G818" t="str">
            <v xml:space="preserve">            </v>
          </cell>
          <cell r="H818" t="str">
            <v xml:space="preserve">               </v>
          </cell>
          <cell r="I818" t="str">
            <v xml:space="preserve">               </v>
          </cell>
        </row>
        <row r="819">
          <cell r="A819" t="str">
            <v>12-170-15-07</v>
          </cell>
          <cell r="B819" t="str">
            <v xml:space="preserve">DRESSING FORCEPS, MCINDOE, 15 CM        </v>
          </cell>
          <cell r="C819" t="str">
            <v xml:space="preserve">                                   </v>
          </cell>
          <cell r="D819" t="str">
            <v xml:space="preserve">MY        </v>
          </cell>
          <cell r="E819">
            <v>90189084</v>
          </cell>
          <cell r="F819">
            <v>1</v>
          </cell>
          <cell r="G819" t="str">
            <v xml:space="preserve">ST          </v>
          </cell>
          <cell r="H819">
            <v>30.6</v>
          </cell>
          <cell r="I819">
            <v>30.6</v>
          </cell>
        </row>
        <row r="820">
          <cell r="A820" t="str">
            <v>24-600-40-07</v>
          </cell>
          <cell r="B820" t="str">
            <v xml:space="preserve">WIRE SAW, GIGLI, FOURFOLD, 40 CM        </v>
          </cell>
          <cell r="C820" t="str">
            <v xml:space="preserve">                                   </v>
          </cell>
          <cell r="D820" t="str">
            <v xml:space="preserve">DE        </v>
          </cell>
          <cell r="E820">
            <v>90189084</v>
          </cell>
          <cell r="F820">
            <v>10</v>
          </cell>
          <cell r="G820" t="str">
            <v xml:space="preserve">ST          </v>
          </cell>
          <cell r="H820">
            <v>10.6</v>
          </cell>
          <cell r="I820">
            <v>106</v>
          </cell>
        </row>
        <row r="821">
          <cell r="A821" t="str">
            <v>24-602-01-01</v>
          </cell>
          <cell r="B821" t="str">
            <v xml:space="preserve">HOOK HANDLE, F. WIRE SAWS               </v>
          </cell>
          <cell r="C821" t="str">
            <v xml:space="preserve">                                   </v>
          </cell>
          <cell r="D821" t="str">
            <v xml:space="preserve">DE        </v>
          </cell>
          <cell r="E821">
            <v>90189084</v>
          </cell>
          <cell r="F821">
            <v>2</v>
          </cell>
          <cell r="G821" t="str">
            <v xml:space="preserve">ST          </v>
          </cell>
          <cell r="H821">
            <v>57.2</v>
          </cell>
          <cell r="I821">
            <v>114.4</v>
          </cell>
        </row>
        <row r="822">
          <cell r="A822" t="str">
            <v>12-321-14-07</v>
          </cell>
          <cell r="B822" t="str">
            <v xml:space="preserve">TISSUE FORCEPS, 1X2 T., SLIM, 14.5 CM   </v>
          </cell>
          <cell r="C822" t="str">
            <v xml:space="preserve">                                   </v>
          </cell>
          <cell r="D822" t="str">
            <v xml:space="preserve">MY        </v>
          </cell>
          <cell r="E822">
            <v>90189084</v>
          </cell>
          <cell r="F822">
            <v>2</v>
          </cell>
          <cell r="G822" t="str">
            <v xml:space="preserve">ST          </v>
          </cell>
          <cell r="H822">
            <v>9.85</v>
          </cell>
          <cell r="I822">
            <v>19.7</v>
          </cell>
        </row>
        <row r="823">
          <cell r="A823" t="str">
            <v>24-388-20-07</v>
          </cell>
          <cell r="B823" t="str">
            <v xml:space="preserve">ATR. FORCEPS, DE BAKEY, 2 MM, 20 CM     </v>
          </cell>
          <cell r="C823" t="str">
            <v xml:space="preserve">                                   </v>
          </cell>
          <cell r="D823" t="str">
            <v xml:space="preserve">MY        </v>
          </cell>
          <cell r="E823">
            <v>90189084</v>
          </cell>
          <cell r="F823">
            <v>1</v>
          </cell>
          <cell r="G823" t="str">
            <v xml:space="preserve">ST          </v>
          </cell>
          <cell r="H823">
            <v>65.599999999999994</v>
          </cell>
          <cell r="I823">
            <v>65.599999999999994</v>
          </cell>
        </row>
        <row r="824">
          <cell r="A824" t="str">
            <v>24-389-20-07</v>
          </cell>
          <cell r="B824" t="str">
            <v xml:space="preserve">ATR. FCPS., DE BAKEY, ANG., 2 MM, 20 CM </v>
          </cell>
          <cell r="C824" t="str">
            <v xml:space="preserve">                                   </v>
          </cell>
          <cell r="D824" t="str">
            <v xml:space="preserve">DE        </v>
          </cell>
          <cell r="E824">
            <v>90189084</v>
          </cell>
          <cell r="F824">
            <v>1</v>
          </cell>
          <cell r="G824" t="str">
            <v xml:space="preserve">ST          </v>
          </cell>
          <cell r="H824">
            <v>79.7</v>
          </cell>
          <cell r="I824">
            <v>79.7</v>
          </cell>
        </row>
        <row r="825">
          <cell r="A825" t="str">
            <v>12-383-17-07</v>
          </cell>
          <cell r="B825" t="str">
            <v xml:space="preserve">Diss. forceps, bayon., 1x2 T., 18.5 cm  </v>
          </cell>
          <cell r="C825" t="str">
            <v xml:space="preserve">                                   </v>
          </cell>
          <cell r="D825" t="str">
            <v xml:space="preserve">DE        </v>
          </cell>
          <cell r="E825">
            <v>90189084</v>
          </cell>
          <cell r="F825">
            <v>1</v>
          </cell>
          <cell r="G825" t="str">
            <v xml:space="preserve">ST          </v>
          </cell>
          <cell r="H825">
            <v>45.1</v>
          </cell>
          <cell r="I825">
            <v>45.1</v>
          </cell>
        </row>
        <row r="826">
          <cell r="A826" t="str">
            <v>12-256-18-07</v>
          </cell>
          <cell r="B826" t="str">
            <v xml:space="preserve">TC-FORCEPS, CUSHING-TAYLOR, 18.5 CM     </v>
          </cell>
          <cell r="C826" t="str">
            <v xml:space="preserve">                                   </v>
          </cell>
          <cell r="D826" t="str">
            <v xml:space="preserve">DE        </v>
          </cell>
          <cell r="E826">
            <v>90189084</v>
          </cell>
          <cell r="F826">
            <v>1</v>
          </cell>
          <cell r="G826" t="str">
            <v xml:space="preserve">ST          </v>
          </cell>
          <cell r="H826">
            <v>92.7</v>
          </cell>
          <cell r="I826">
            <v>92.7</v>
          </cell>
        </row>
        <row r="827">
          <cell r="A827" t="str">
            <v>14-352-20-07</v>
          </cell>
          <cell r="B827" t="str">
            <v xml:space="preserve">FORCEPS, FOERSTER, SERR., STR., 20.5 CM </v>
          </cell>
          <cell r="C827" t="str">
            <v xml:space="preserve">                                   </v>
          </cell>
          <cell r="D827" t="str">
            <v xml:space="preserve">MY        </v>
          </cell>
          <cell r="E827">
            <v>90189084</v>
          </cell>
          <cell r="F827">
            <v>1</v>
          </cell>
          <cell r="G827" t="str">
            <v xml:space="preserve">ST          </v>
          </cell>
          <cell r="H827">
            <v>39.799999999999997</v>
          </cell>
          <cell r="I827">
            <v>39.799999999999997</v>
          </cell>
        </row>
        <row r="828">
          <cell r="A828" t="str">
            <v>20-636-13-07</v>
          </cell>
          <cell r="B828" t="str">
            <v xml:space="preserve">TC-NEEDLEHOLDER, HALSEY, SMOOTH, 13 CM  </v>
          </cell>
          <cell r="C828" t="str">
            <v xml:space="preserve">                                   </v>
          </cell>
          <cell r="D828" t="str">
            <v xml:space="preserve">DE        </v>
          </cell>
          <cell r="E828">
            <v>90189084</v>
          </cell>
          <cell r="F828">
            <v>1</v>
          </cell>
          <cell r="G828" t="str">
            <v xml:space="preserve">ST          </v>
          </cell>
          <cell r="H828">
            <v>89.2</v>
          </cell>
          <cell r="I828">
            <v>89.2</v>
          </cell>
        </row>
        <row r="829">
          <cell r="A829" t="str">
            <v>20-390-14-07</v>
          </cell>
          <cell r="B829" t="str">
            <v xml:space="preserve">NEEDLEHOLDER, MAYO-HEGAR, 14.5 CM       </v>
          </cell>
          <cell r="C829" t="str">
            <v xml:space="preserve">                                   </v>
          </cell>
          <cell r="D829" t="str">
            <v xml:space="preserve">MY        </v>
          </cell>
          <cell r="E829">
            <v>90189084</v>
          </cell>
          <cell r="F829">
            <v>1</v>
          </cell>
          <cell r="G829" t="str">
            <v xml:space="preserve">ST          </v>
          </cell>
          <cell r="H829">
            <v>40</v>
          </cell>
          <cell r="I829">
            <v>40</v>
          </cell>
        </row>
        <row r="830">
          <cell r="A830" t="str">
            <v>20-390-20-07</v>
          </cell>
          <cell r="B830" t="str">
            <v xml:space="preserve">NEEDLEHOLDER, MAYO-HEGAR, 20.5 CM       </v>
          </cell>
          <cell r="C830" t="str">
            <v xml:space="preserve">                                   </v>
          </cell>
          <cell r="D830" t="str">
            <v xml:space="preserve">MY        </v>
          </cell>
          <cell r="E830">
            <v>90189084</v>
          </cell>
          <cell r="F830">
            <v>1</v>
          </cell>
          <cell r="G830" t="str">
            <v xml:space="preserve">ST          </v>
          </cell>
          <cell r="H830">
            <v>30</v>
          </cell>
          <cell r="I830">
            <v>30</v>
          </cell>
        </row>
        <row r="831">
          <cell r="A831" t="str">
            <v xml:space="preserve">            </v>
          </cell>
          <cell r="B831" t="str">
            <v xml:space="preserve">Artery-Scissor                          </v>
          </cell>
          <cell r="C831" t="str">
            <v xml:space="preserve">                                   </v>
          </cell>
          <cell r="D831" t="str">
            <v xml:space="preserve">          </v>
          </cell>
          <cell r="E831" t="str">
            <v xml:space="preserve">                </v>
          </cell>
          <cell r="F831">
            <v>1</v>
          </cell>
          <cell r="G831" t="str">
            <v xml:space="preserve">            </v>
          </cell>
          <cell r="H831" t="str">
            <v xml:space="preserve">               </v>
          </cell>
          <cell r="I831" t="str">
            <v xml:space="preserve">               </v>
          </cell>
        </row>
        <row r="832">
          <cell r="A832" t="str">
            <v>13-334-16-07</v>
          </cell>
          <cell r="B832" t="str">
            <v>HAEM. FORCEPS, KELLY-RANKIN, STR., 16 CM</v>
          </cell>
          <cell r="C832" t="str">
            <v xml:space="preserve">                                   </v>
          </cell>
          <cell r="D832" t="str">
            <v xml:space="preserve">MY        </v>
          </cell>
          <cell r="E832">
            <v>90189084</v>
          </cell>
          <cell r="F832">
            <v>3</v>
          </cell>
          <cell r="G832" t="str">
            <v xml:space="preserve">ST          </v>
          </cell>
          <cell r="H832">
            <v>23</v>
          </cell>
          <cell r="I832">
            <v>69</v>
          </cell>
        </row>
        <row r="833">
          <cell r="A833" t="str">
            <v>13-355-14-07</v>
          </cell>
          <cell r="B833" t="str">
            <v xml:space="preserve">FORCEPS, DANDY, CVD. SIDEW., 14.5 CM    </v>
          </cell>
          <cell r="C833" t="str">
            <v xml:space="preserve">                                   </v>
          </cell>
          <cell r="D833" t="str">
            <v xml:space="preserve">MY        </v>
          </cell>
          <cell r="E833">
            <v>90189084</v>
          </cell>
          <cell r="F833">
            <v>3</v>
          </cell>
          <cell r="G833" t="str">
            <v xml:space="preserve">ST          </v>
          </cell>
          <cell r="H833">
            <v>51.6</v>
          </cell>
          <cell r="I833">
            <v>154.80000000000001</v>
          </cell>
        </row>
        <row r="834">
          <cell r="A834" t="str">
            <v>13-310-12-07</v>
          </cell>
          <cell r="B834" t="str">
            <v xml:space="preserve">HAEM. FORCEPS, MOSQUITO, STR., 12.5 CM  </v>
          </cell>
          <cell r="C834" t="str">
            <v xml:space="preserve">                                   </v>
          </cell>
          <cell r="D834" t="str">
            <v xml:space="preserve">MY        </v>
          </cell>
          <cell r="E834">
            <v>90189084</v>
          </cell>
          <cell r="F834">
            <v>10</v>
          </cell>
          <cell r="G834" t="str">
            <v xml:space="preserve">ST          </v>
          </cell>
          <cell r="H834">
            <v>22.4</v>
          </cell>
          <cell r="I834">
            <v>224</v>
          </cell>
        </row>
        <row r="835">
          <cell r="A835" t="str">
            <v>13-311-12-07</v>
          </cell>
          <cell r="B835" t="str">
            <v xml:space="preserve">HAEM. FORCEPS, MOSQUITO, CVD., 12 CM    </v>
          </cell>
          <cell r="C835" t="str">
            <v xml:space="preserve">                                   </v>
          </cell>
          <cell r="D835" t="str">
            <v xml:space="preserve">MY        </v>
          </cell>
          <cell r="E835">
            <v>90189084</v>
          </cell>
          <cell r="F835">
            <v>10</v>
          </cell>
          <cell r="G835" t="str">
            <v xml:space="preserve">ST          </v>
          </cell>
          <cell r="H835">
            <v>23.9</v>
          </cell>
          <cell r="I835">
            <v>239</v>
          </cell>
        </row>
        <row r="836">
          <cell r="A836" t="str">
            <v>13-915-13-07</v>
          </cell>
          <cell r="B836" t="str">
            <v xml:space="preserve">TOWEL FORCEPS, BACKHAUS, SHARP, 13 CM   </v>
          </cell>
          <cell r="C836" t="str">
            <v xml:space="preserve">                                   </v>
          </cell>
          <cell r="D836" t="str">
            <v xml:space="preserve">MY        </v>
          </cell>
          <cell r="E836">
            <v>90189084</v>
          </cell>
          <cell r="F836">
            <v>10</v>
          </cell>
          <cell r="G836" t="str">
            <v xml:space="preserve">ST          </v>
          </cell>
          <cell r="H836">
            <v>24.3</v>
          </cell>
          <cell r="I836">
            <v>243</v>
          </cell>
        </row>
        <row r="837">
          <cell r="A837" t="str">
            <v xml:space="preserve">            </v>
          </cell>
          <cell r="B837" t="str">
            <v xml:space="preserve">NEU MICRO SET                           </v>
          </cell>
          <cell r="C837" t="str">
            <v xml:space="preserve">                                   </v>
          </cell>
          <cell r="D837" t="str">
            <v xml:space="preserve">          </v>
          </cell>
          <cell r="E837" t="str">
            <v xml:space="preserve">                </v>
          </cell>
          <cell r="F837">
            <v>1</v>
          </cell>
          <cell r="G837" t="str">
            <v xml:space="preserve">            </v>
          </cell>
          <cell r="H837" t="str">
            <v xml:space="preserve">               </v>
          </cell>
          <cell r="I837" t="str">
            <v xml:space="preserve">               </v>
          </cell>
        </row>
        <row r="838">
          <cell r="A838" t="str">
            <v xml:space="preserve">            </v>
          </cell>
          <cell r="B838" t="str">
            <v xml:space="preserve">SCISSORS                                </v>
          </cell>
          <cell r="C838" t="str">
            <v xml:space="preserve">                                   </v>
          </cell>
          <cell r="D838" t="str">
            <v xml:space="preserve">          </v>
          </cell>
          <cell r="E838" t="str">
            <v xml:space="preserve">                </v>
          </cell>
          <cell r="F838">
            <v>1</v>
          </cell>
          <cell r="G838" t="str">
            <v xml:space="preserve">            </v>
          </cell>
          <cell r="H838" t="str">
            <v xml:space="preserve">               </v>
          </cell>
          <cell r="I838" t="str">
            <v xml:space="preserve">               </v>
          </cell>
        </row>
        <row r="839">
          <cell r="A839" t="str">
            <v>11-713-15-07</v>
          </cell>
          <cell r="B839" t="str">
            <v xml:space="preserve">MICRO SCISS., SH/SH, CVD., 15 CM        </v>
          </cell>
          <cell r="C839" t="str">
            <v xml:space="preserve">                                   </v>
          </cell>
          <cell r="D839" t="str">
            <v xml:space="preserve">DE        </v>
          </cell>
          <cell r="E839">
            <v>90189084</v>
          </cell>
          <cell r="F839">
            <v>1</v>
          </cell>
          <cell r="G839" t="str">
            <v xml:space="preserve">ST          </v>
          </cell>
          <cell r="H839">
            <v>248.5</v>
          </cell>
          <cell r="I839">
            <v>248.5</v>
          </cell>
        </row>
        <row r="840">
          <cell r="A840" t="str">
            <v>11-712-15-07</v>
          </cell>
          <cell r="B840" t="str">
            <v xml:space="preserve">MICRO SCISS., SH/SH, STR., 15 CM        </v>
          </cell>
          <cell r="C840" t="str">
            <v xml:space="preserve">                                   </v>
          </cell>
          <cell r="D840" t="str">
            <v xml:space="preserve">DE        </v>
          </cell>
          <cell r="E840">
            <v>90189084</v>
          </cell>
          <cell r="F840">
            <v>1</v>
          </cell>
          <cell r="G840" t="str">
            <v xml:space="preserve">ST          </v>
          </cell>
          <cell r="H840">
            <v>241</v>
          </cell>
          <cell r="I840">
            <v>241</v>
          </cell>
        </row>
        <row r="841">
          <cell r="A841" t="str">
            <v>11-635-11-07</v>
          </cell>
          <cell r="B841" t="str">
            <v xml:space="preserve">IRIS SCISSORS, SH/SH, ANGLED , 11.5 CM  </v>
          </cell>
          <cell r="C841" t="str">
            <v xml:space="preserve">                                   </v>
          </cell>
          <cell r="D841" t="str">
            <v xml:space="preserve">DE        </v>
          </cell>
          <cell r="E841">
            <v>90189084</v>
          </cell>
          <cell r="F841">
            <v>1</v>
          </cell>
          <cell r="G841" t="str">
            <v xml:space="preserve">ST          </v>
          </cell>
          <cell r="H841">
            <v>57.2</v>
          </cell>
          <cell r="I841">
            <v>57.2</v>
          </cell>
        </row>
        <row r="842">
          <cell r="A842" t="str">
            <v>24-850-22-07</v>
          </cell>
          <cell r="B842" t="str">
            <v xml:space="preserve">Micro scissors,Yasargil,bay.str.,20cm   </v>
          </cell>
          <cell r="C842" t="str">
            <v xml:space="preserve">                                   </v>
          </cell>
          <cell r="D842" t="str">
            <v xml:space="preserve">DE        </v>
          </cell>
          <cell r="E842">
            <v>90189084</v>
          </cell>
          <cell r="F842">
            <v>1</v>
          </cell>
          <cell r="G842" t="str">
            <v xml:space="preserve">ST          </v>
          </cell>
          <cell r="H842">
            <v>337</v>
          </cell>
          <cell r="I842">
            <v>337</v>
          </cell>
        </row>
        <row r="843">
          <cell r="A843" t="str">
            <v>24-850-23-07</v>
          </cell>
          <cell r="B843" t="str">
            <v xml:space="preserve">Micro scissors,Yasargil,bay.cvd., 20cm  </v>
          </cell>
          <cell r="C843" t="str">
            <v xml:space="preserve">                                   </v>
          </cell>
          <cell r="D843" t="str">
            <v xml:space="preserve">DE        </v>
          </cell>
          <cell r="E843">
            <v>90189084</v>
          </cell>
          <cell r="F843">
            <v>1</v>
          </cell>
          <cell r="G843" t="str">
            <v xml:space="preserve">ST          </v>
          </cell>
          <cell r="H843">
            <v>354.5</v>
          </cell>
          <cell r="I843">
            <v>354.5</v>
          </cell>
        </row>
        <row r="844">
          <cell r="A844" t="str">
            <v>24-850-25-07</v>
          </cell>
          <cell r="B844" t="str">
            <v xml:space="preserve">Micro scissors,Yasargil,bay.str.,22.5cm </v>
          </cell>
          <cell r="C844" t="str">
            <v xml:space="preserve">                                   </v>
          </cell>
          <cell r="D844" t="str">
            <v xml:space="preserve">DE        </v>
          </cell>
          <cell r="E844">
            <v>90189084</v>
          </cell>
          <cell r="F844">
            <v>1</v>
          </cell>
          <cell r="G844" t="str">
            <v xml:space="preserve">ST          </v>
          </cell>
          <cell r="H844">
            <v>349.5</v>
          </cell>
          <cell r="I844">
            <v>349.5</v>
          </cell>
        </row>
        <row r="845">
          <cell r="A845" t="str">
            <v xml:space="preserve">            </v>
          </cell>
          <cell r="B845" t="str">
            <v xml:space="preserve">Forceps &amp; Needle holder                 </v>
          </cell>
          <cell r="C845" t="str">
            <v xml:space="preserve">                                   </v>
          </cell>
          <cell r="D845" t="str">
            <v xml:space="preserve">          </v>
          </cell>
          <cell r="E845" t="str">
            <v xml:space="preserve">                </v>
          </cell>
          <cell r="F845">
            <v>1</v>
          </cell>
          <cell r="G845" t="str">
            <v xml:space="preserve">            </v>
          </cell>
          <cell r="H845" t="str">
            <v xml:space="preserve">               </v>
          </cell>
          <cell r="I845" t="str">
            <v xml:space="preserve">               </v>
          </cell>
        </row>
        <row r="846">
          <cell r="A846" t="str">
            <v>12-410-12-07</v>
          </cell>
          <cell r="B846" t="str">
            <v xml:space="preserve">FORCEPS, JEWELER, STR., NO. 3, 12 CM    </v>
          </cell>
          <cell r="C846" t="str">
            <v xml:space="preserve">                                   </v>
          </cell>
          <cell r="D846" t="str">
            <v xml:space="preserve">MY        </v>
          </cell>
          <cell r="E846">
            <v>90189084</v>
          </cell>
          <cell r="F846">
            <v>2</v>
          </cell>
          <cell r="G846" t="str">
            <v xml:space="preserve">ST          </v>
          </cell>
          <cell r="H846">
            <v>47.4</v>
          </cell>
          <cell r="I846">
            <v>94.8</v>
          </cell>
        </row>
        <row r="847">
          <cell r="A847" t="str">
            <v xml:space="preserve">            </v>
          </cell>
          <cell r="B847" t="str">
            <v xml:space="preserve">NEU TRANS-SPHENOIDAL MICROSCOPIC SET    </v>
          </cell>
          <cell r="C847" t="str">
            <v xml:space="preserve">                                   </v>
          </cell>
          <cell r="D847" t="str">
            <v xml:space="preserve">          </v>
          </cell>
          <cell r="E847" t="str">
            <v xml:space="preserve">                </v>
          </cell>
          <cell r="F847">
            <v>1</v>
          </cell>
          <cell r="G847" t="str">
            <v xml:space="preserve">            </v>
          </cell>
          <cell r="H847" t="str">
            <v xml:space="preserve">               </v>
          </cell>
          <cell r="I847" t="str">
            <v xml:space="preserve">               </v>
          </cell>
        </row>
        <row r="848">
          <cell r="A848" t="str">
            <v xml:space="preserve">            </v>
          </cell>
          <cell r="B848" t="str">
            <v xml:space="preserve">CURETTES                                </v>
          </cell>
          <cell r="C848" t="str">
            <v xml:space="preserve">                                   </v>
          </cell>
          <cell r="D848" t="str">
            <v xml:space="preserve">          </v>
          </cell>
          <cell r="E848" t="str">
            <v xml:space="preserve">                </v>
          </cell>
          <cell r="F848">
            <v>1</v>
          </cell>
          <cell r="G848" t="str">
            <v xml:space="preserve">            </v>
          </cell>
          <cell r="H848" t="str">
            <v xml:space="preserve">               </v>
          </cell>
          <cell r="I848" t="str">
            <v xml:space="preserve">               </v>
          </cell>
        </row>
        <row r="849">
          <cell r="A849" t="str">
            <v>24-844-13-07</v>
          </cell>
          <cell r="B849" t="str">
            <v xml:space="preserve">Curette, Tew #13, sharp, 90° up, 23cm   </v>
          </cell>
          <cell r="C849" t="str">
            <v xml:space="preserve">                                   </v>
          </cell>
          <cell r="D849" t="str">
            <v xml:space="preserve">DE        </v>
          </cell>
          <cell r="E849">
            <v>90189084</v>
          </cell>
          <cell r="F849">
            <v>1</v>
          </cell>
          <cell r="G849" t="str">
            <v xml:space="preserve">ST          </v>
          </cell>
          <cell r="H849">
            <v>175.5</v>
          </cell>
          <cell r="I849">
            <v>175.5</v>
          </cell>
        </row>
        <row r="850">
          <cell r="A850" t="str">
            <v>24-844-14-07</v>
          </cell>
          <cell r="B850" t="str">
            <v xml:space="preserve">Curette, Tew #14, sharp, 45°, up, 23cm  </v>
          </cell>
          <cell r="C850" t="str">
            <v xml:space="preserve">                                   </v>
          </cell>
          <cell r="D850" t="str">
            <v xml:space="preserve">DE        </v>
          </cell>
          <cell r="E850">
            <v>90189084</v>
          </cell>
          <cell r="F850">
            <v>1</v>
          </cell>
          <cell r="G850" t="str">
            <v xml:space="preserve">ST          </v>
          </cell>
          <cell r="H850">
            <v>175.5</v>
          </cell>
          <cell r="I850">
            <v>175.5</v>
          </cell>
        </row>
        <row r="851">
          <cell r="A851" t="str">
            <v>24-844-15-07</v>
          </cell>
          <cell r="B851" t="str">
            <v>Curette, Tew #15, sharp, 45°, down, 23cm</v>
          </cell>
          <cell r="C851" t="str">
            <v xml:space="preserve">                                   </v>
          </cell>
          <cell r="D851" t="str">
            <v xml:space="preserve">DE        </v>
          </cell>
          <cell r="E851">
            <v>90189084</v>
          </cell>
          <cell r="F851">
            <v>1</v>
          </cell>
          <cell r="G851" t="str">
            <v xml:space="preserve">ST          </v>
          </cell>
          <cell r="H851">
            <v>175.5</v>
          </cell>
          <cell r="I851">
            <v>175.5</v>
          </cell>
        </row>
        <row r="852">
          <cell r="A852" t="str">
            <v>24-844-16-07</v>
          </cell>
          <cell r="B852" t="str">
            <v xml:space="preserve">Curette, Tew #16, sharp, 90°, up, 23cm  </v>
          </cell>
          <cell r="C852" t="str">
            <v xml:space="preserve">                                   </v>
          </cell>
          <cell r="D852" t="str">
            <v xml:space="preserve">DE        </v>
          </cell>
          <cell r="E852">
            <v>90189084</v>
          </cell>
          <cell r="F852">
            <v>1</v>
          </cell>
          <cell r="G852" t="str">
            <v xml:space="preserve">ST          </v>
          </cell>
          <cell r="H852">
            <v>175.5</v>
          </cell>
          <cell r="I852">
            <v>175.5</v>
          </cell>
        </row>
        <row r="853">
          <cell r="A853" t="str">
            <v>24-844-17-07</v>
          </cell>
          <cell r="B853" t="str">
            <v xml:space="preserve">Curette, Tew #17, sharp, 45°, up, 23cm  </v>
          </cell>
          <cell r="C853" t="str">
            <v xml:space="preserve">                                   </v>
          </cell>
          <cell r="D853" t="str">
            <v xml:space="preserve">DE        </v>
          </cell>
          <cell r="E853">
            <v>90189084</v>
          </cell>
          <cell r="F853">
            <v>1</v>
          </cell>
          <cell r="G853" t="str">
            <v xml:space="preserve">ST          </v>
          </cell>
          <cell r="H853">
            <v>175.5</v>
          </cell>
          <cell r="I853">
            <v>175.5</v>
          </cell>
        </row>
        <row r="854">
          <cell r="A854" t="str">
            <v>24-844-18-07</v>
          </cell>
          <cell r="B854" t="str">
            <v>Curette, Tew #18, sharp, 45°, down, 23cm</v>
          </cell>
          <cell r="C854" t="str">
            <v xml:space="preserve">                                   </v>
          </cell>
          <cell r="D854" t="str">
            <v xml:space="preserve">DE        </v>
          </cell>
          <cell r="E854">
            <v>90189084</v>
          </cell>
          <cell r="F854">
            <v>1</v>
          </cell>
          <cell r="G854" t="str">
            <v xml:space="preserve">ST          </v>
          </cell>
          <cell r="H854">
            <v>175.5</v>
          </cell>
          <cell r="I854">
            <v>175.5</v>
          </cell>
        </row>
        <row r="855">
          <cell r="A855" t="str">
            <v>24-600-40-07</v>
          </cell>
          <cell r="B855" t="str">
            <v xml:space="preserve">WIRE SAW, GIGLI, FOURFOLD, 40 CM        </v>
          </cell>
          <cell r="C855" t="str">
            <v xml:space="preserve">                                   </v>
          </cell>
          <cell r="D855" t="str">
            <v xml:space="preserve">DE        </v>
          </cell>
          <cell r="E855">
            <v>90189084</v>
          </cell>
          <cell r="F855">
            <v>10</v>
          </cell>
          <cell r="G855" t="str">
            <v xml:space="preserve">ST          </v>
          </cell>
          <cell r="H855">
            <v>10.6</v>
          </cell>
          <cell r="I855">
            <v>106</v>
          </cell>
        </row>
        <row r="856">
          <cell r="A856" t="str">
            <v>24-602-01-01</v>
          </cell>
          <cell r="B856" t="str">
            <v xml:space="preserve">HOOK HANDLE, F. WIRE SAWS               </v>
          </cell>
          <cell r="C856" t="str">
            <v xml:space="preserve">                                   </v>
          </cell>
          <cell r="D856" t="str">
            <v xml:space="preserve">DE        </v>
          </cell>
          <cell r="E856">
            <v>90189084</v>
          </cell>
          <cell r="F856">
            <v>2</v>
          </cell>
          <cell r="G856" t="str">
            <v xml:space="preserve">ST          </v>
          </cell>
          <cell r="H856">
            <v>57.2</v>
          </cell>
          <cell r="I856">
            <v>114.4</v>
          </cell>
        </row>
        <row r="857">
          <cell r="A857" t="str">
            <v>24-844-19-07</v>
          </cell>
          <cell r="B857" t="str">
            <v xml:space="preserve">Curette, Tew #19, blunt, 90°, up, 23cm  </v>
          </cell>
          <cell r="C857" t="str">
            <v xml:space="preserve">                                   </v>
          </cell>
          <cell r="D857" t="str">
            <v xml:space="preserve">DE        </v>
          </cell>
          <cell r="E857">
            <v>90189084</v>
          </cell>
          <cell r="F857">
            <v>1</v>
          </cell>
          <cell r="G857" t="str">
            <v xml:space="preserve">ST          </v>
          </cell>
          <cell r="H857">
            <v>175.5</v>
          </cell>
          <cell r="I857">
            <v>175.5</v>
          </cell>
        </row>
        <row r="858">
          <cell r="A858" t="str">
            <v>24-844-20-07</v>
          </cell>
          <cell r="B858" t="str">
            <v xml:space="preserve">Curette, Tew #20, blunt, 45°, up, 23cm  </v>
          </cell>
          <cell r="C858" t="str">
            <v xml:space="preserve">                                   </v>
          </cell>
          <cell r="D858" t="str">
            <v xml:space="preserve">DE        </v>
          </cell>
          <cell r="E858">
            <v>90189084</v>
          </cell>
          <cell r="F858">
            <v>1</v>
          </cell>
          <cell r="G858" t="str">
            <v xml:space="preserve">ST          </v>
          </cell>
          <cell r="H858">
            <v>175.5</v>
          </cell>
          <cell r="I858">
            <v>175.5</v>
          </cell>
        </row>
        <row r="859">
          <cell r="A859" t="str">
            <v xml:space="preserve">            </v>
          </cell>
          <cell r="B859" t="str">
            <v xml:space="preserve">Basic neck dissection set               </v>
          </cell>
          <cell r="C859" t="str">
            <v xml:space="preserve">                                   </v>
          </cell>
          <cell r="D859" t="str">
            <v xml:space="preserve">          </v>
          </cell>
          <cell r="E859" t="str">
            <v xml:space="preserve">                </v>
          </cell>
          <cell r="F859">
            <v>1</v>
          </cell>
          <cell r="G859" t="str">
            <v xml:space="preserve">            </v>
          </cell>
          <cell r="H859" t="str">
            <v xml:space="preserve">               </v>
          </cell>
          <cell r="I859" t="str">
            <v xml:space="preserve">               </v>
          </cell>
        </row>
        <row r="860">
          <cell r="A860" t="str">
            <v>14-352-25-07</v>
          </cell>
          <cell r="B860" t="str">
            <v xml:space="preserve">FORCEPS, FOERSTER, SERR., STR., 25 CM   </v>
          </cell>
          <cell r="C860" t="str">
            <v xml:space="preserve">                                   </v>
          </cell>
          <cell r="D860" t="str">
            <v xml:space="preserve">MY        </v>
          </cell>
          <cell r="E860">
            <v>90189084</v>
          </cell>
          <cell r="F860">
            <v>2</v>
          </cell>
          <cell r="G860" t="str">
            <v xml:space="preserve">ST          </v>
          </cell>
          <cell r="H860">
            <v>41.9</v>
          </cell>
          <cell r="I860">
            <v>83.8</v>
          </cell>
        </row>
        <row r="861">
          <cell r="A861" t="str">
            <v>13-597-19-07</v>
          </cell>
          <cell r="B861" t="str">
            <v xml:space="preserve">FORCEPS, NEGUS, NARROW CVD., 20 CM      </v>
          </cell>
          <cell r="C861" t="str">
            <v xml:space="preserve">                                   </v>
          </cell>
          <cell r="D861" t="str">
            <v xml:space="preserve">DE        </v>
          </cell>
          <cell r="E861">
            <v>90189084</v>
          </cell>
          <cell r="F861">
            <v>2</v>
          </cell>
          <cell r="G861" t="str">
            <v xml:space="preserve">ST          </v>
          </cell>
          <cell r="H861">
            <v>121</v>
          </cell>
          <cell r="I861">
            <v>242</v>
          </cell>
        </row>
        <row r="862">
          <cell r="A862" t="str">
            <v>38-385-19-01</v>
          </cell>
          <cell r="B862" t="str">
            <v>TONGUE DEPRESSOR, BRUENINGS, FEN., 19 CM</v>
          </cell>
          <cell r="C862" t="str">
            <v xml:space="preserve">                                   </v>
          </cell>
          <cell r="D862" t="str">
            <v xml:space="preserve">DE        </v>
          </cell>
          <cell r="E862">
            <v>90189084</v>
          </cell>
          <cell r="F862">
            <v>1</v>
          </cell>
          <cell r="G862" t="str">
            <v xml:space="preserve">ST          </v>
          </cell>
          <cell r="H862">
            <v>17</v>
          </cell>
          <cell r="I862">
            <v>17</v>
          </cell>
        </row>
        <row r="863">
          <cell r="A863" t="str">
            <v>37-547-20-07</v>
          </cell>
          <cell r="B863" t="str">
            <v xml:space="preserve">SEPTUM ELEVATOR, FREER, DOUBLE, 21 CM   </v>
          </cell>
          <cell r="C863" t="str">
            <v xml:space="preserve">                                   </v>
          </cell>
          <cell r="D863" t="str">
            <v xml:space="preserve">DE        </v>
          </cell>
          <cell r="E863">
            <v>90189084</v>
          </cell>
          <cell r="F863">
            <v>1</v>
          </cell>
          <cell r="G863" t="str">
            <v xml:space="preserve">ST          </v>
          </cell>
          <cell r="H863">
            <v>42.3</v>
          </cell>
          <cell r="I863">
            <v>42.3</v>
          </cell>
        </row>
        <row r="864">
          <cell r="A864" t="str">
            <v>15-750-16-07</v>
          </cell>
          <cell r="B864" t="str">
            <v xml:space="preserve">WOUNDSPREADER, SHARP, 3X4 T., 16 CM     </v>
          </cell>
          <cell r="C864" t="str">
            <v xml:space="preserve">                                   </v>
          </cell>
          <cell r="D864" t="str">
            <v xml:space="preserve">DE        </v>
          </cell>
          <cell r="E864">
            <v>90189084</v>
          </cell>
          <cell r="F864">
            <v>1</v>
          </cell>
          <cell r="G864" t="str">
            <v xml:space="preserve">ST          </v>
          </cell>
          <cell r="H864">
            <v>131.5</v>
          </cell>
          <cell r="I864">
            <v>131.5</v>
          </cell>
        </row>
        <row r="865">
          <cell r="A865" t="str">
            <v>99-999-99-99</v>
          </cell>
          <cell r="B865" t="str">
            <v xml:space="preserve">NO BID                                  </v>
          </cell>
          <cell r="C865" t="str">
            <v xml:space="preserve">                                   </v>
          </cell>
          <cell r="D865" t="str">
            <v xml:space="preserve">DE        </v>
          </cell>
          <cell r="E865">
            <v>90189084</v>
          </cell>
          <cell r="F865">
            <v>1</v>
          </cell>
          <cell r="G865" t="str">
            <v xml:space="preserve">ST          </v>
          </cell>
          <cell r="H865" t="str">
            <v xml:space="preserve">               </v>
          </cell>
          <cell r="I865" t="str">
            <v xml:space="preserve">               </v>
          </cell>
        </row>
        <row r="866">
          <cell r="A866" t="str">
            <v>18-524-30-01</v>
          </cell>
          <cell r="B866" t="str">
            <v xml:space="preserve">Suction tube, Fergusson, ø 3.0mm,11cm   </v>
          </cell>
          <cell r="C866" t="str">
            <v xml:space="preserve">                                   </v>
          </cell>
          <cell r="D866" t="str">
            <v xml:space="preserve">MY        </v>
          </cell>
          <cell r="E866">
            <v>90183900</v>
          </cell>
          <cell r="F866">
            <v>1</v>
          </cell>
          <cell r="G866" t="str">
            <v xml:space="preserve">ST          </v>
          </cell>
          <cell r="H866">
            <v>27</v>
          </cell>
          <cell r="I866">
            <v>27</v>
          </cell>
        </row>
        <row r="867">
          <cell r="A867" t="str">
            <v>18-524-40-01</v>
          </cell>
          <cell r="B867" t="str">
            <v xml:space="preserve">Suction tube, Fergusson, ø 4.0mm,11cm   </v>
          </cell>
          <cell r="C867" t="str">
            <v xml:space="preserve">                                   </v>
          </cell>
          <cell r="D867" t="str">
            <v xml:space="preserve">MY        </v>
          </cell>
          <cell r="E867">
            <v>90183900</v>
          </cell>
          <cell r="F867">
            <v>1</v>
          </cell>
          <cell r="G867" t="str">
            <v xml:space="preserve">ST          </v>
          </cell>
          <cell r="H867">
            <v>27</v>
          </cell>
          <cell r="I867">
            <v>27</v>
          </cell>
        </row>
        <row r="868">
          <cell r="A868" t="str">
            <v>18-524-50-01</v>
          </cell>
          <cell r="B868" t="str">
            <v xml:space="preserve">Suction tube, Fergusson, ø 5.0mm,11cm   </v>
          </cell>
          <cell r="C868" t="str">
            <v xml:space="preserve">                                   </v>
          </cell>
          <cell r="D868" t="str">
            <v xml:space="preserve">MY        </v>
          </cell>
          <cell r="E868">
            <v>90183900</v>
          </cell>
          <cell r="F868">
            <v>1</v>
          </cell>
          <cell r="G868" t="str">
            <v xml:space="preserve">ST          </v>
          </cell>
          <cell r="H868">
            <v>27</v>
          </cell>
          <cell r="I868">
            <v>27</v>
          </cell>
        </row>
        <row r="869">
          <cell r="A869" t="str">
            <v>39-423-20-07</v>
          </cell>
          <cell r="B869" t="str">
            <v xml:space="preserve">TONSIL FORCEPS, BLOHMKE, 1X2 T., 20 CM  </v>
          </cell>
          <cell r="C869" t="str">
            <v xml:space="preserve">                                   </v>
          </cell>
          <cell r="D869" t="str">
            <v xml:space="preserve">DE        </v>
          </cell>
          <cell r="E869">
            <v>90189084</v>
          </cell>
          <cell r="F869">
            <v>1</v>
          </cell>
          <cell r="G869" t="str">
            <v xml:space="preserve">ST          </v>
          </cell>
          <cell r="H869">
            <v>138.5</v>
          </cell>
          <cell r="I869">
            <v>138.5</v>
          </cell>
        </row>
        <row r="870">
          <cell r="A870" t="str">
            <v>18-543-27-01</v>
          </cell>
          <cell r="B870" t="str">
            <v>Suct. tube, Yankauer, compl.,ø9,4mm,31cm</v>
          </cell>
          <cell r="C870" t="str">
            <v xml:space="preserve">                                   </v>
          </cell>
          <cell r="D870" t="str">
            <v xml:space="preserve">DE        </v>
          </cell>
          <cell r="E870">
            <v>90189084</v>
          </cell>
          <cell r="F870">
            <v>1</v>
          </cell>
          <cell r="G870" t="str">
            <v xml:space="preserve">ST          </v>
          </cell>
          <cell r="H870">
            <v>43.1</v>
          </cell>
          <cell r="I870">
            <v>43.1</v>
          </cell>
        </row>
        <row r="871">
          <cell r="A871" t="str">
            <v>15-100-01-07</v>
          </cell>
          <cell r="B871" t="str">
            <v>RETRACTOR, DELIC., SHARP, 1-PR., 16.5 CM</v>
          </cell>
          <cell r="C871" t="str">
            <v xml:space="preserve">                                   </v>
          </cell>
          <cell r="D871" t="str">
            <v xml:space="preserve">DE        </v>
          </cell>
          <cell r="E871">
            <v>90189084</v>
          </cell>
          <cell r="F871">
            <v>2</v>
          </cell>
          <cell r="G871" t="str">
            <v xml:space="preserve">ST          </v>
          </cell>
          <cell r="H871">
            <v>20.3</v>
          </cell>
          <cell r="I871">
            <v>40.6</v>
          </cell>
        </row>
        <row r="872">
          <cell r="A872" t="str">
            <v>15-100-02-07</v>
          </cell>
          <cell r="B872" t="str">
            <v>RETRACTOR, DELIC., SHARP, 2-PR., 16.5 CM</v>
          </cell>
          <cell r="C872" t="str">
            <v xml:space="preserve">                                   </v>
          </cell>
          <cell r="D872" t="str">
            <v xml:space="preserve">DE        </v>
          </cell>
          <cell r="E872">
            <v>90189084</v>
          </cell>
          <cell r="F872">
            <v>2</v>
          </cell>
          <cell r="G872" t="str">
            <v xml:space="preserve">ST          </v>
          </cell>
          <cell r="H872">
            <v>25.3</v>
          </cell>
          <cell r="I872">
            <v>50.6</v>
          </cell>
        </row>
        <row r="873">
          <cell r="A873" t="str">
            <v>15-220-02-07</v>
          </cell>
          <cell r="B873" t="str">
            <v>RETRACTOR, VOLKMANN, SH., 2-PR., 22.5 CM</v>
          </cell>
          <cell r="C873" t="str">
            <v xml:space="preserve">                                   </v>
          </cell>
          <cell r="D873" t="str">
            <v xml:space="preserve">MY        </v>
          </cell>
          <cell r="E873">
            <v>90189084</v>
          </cell>
          <cell r="F873">
            <v>2</v>
          </cell>
          <cell r="G873" t="str">
            <v xml:space="preserve">ST          </v>
          </cell>
          <cell r="H873">
            <v>45.3</v>
          </cell>
          <cell r="I873">
            <v>90.6</v>
          </cell>
        </row>
        <row r="874">
          <cell r="A874" t="str">
            <v>15-220-04-07</v>
          </cell>
          <cell r="B874" t="str">
            <v>RETRACTOR, VOLKMANN, SH., 4-PR., 22.5 CM</v>
          </cell>
          <cell r="C874" t="str">
            <v xml:space="preserve">                                   </v>
          </cell>
          <cell r="D874" t="str">
            <v xml:space="preserve">MY        </v>
          </cell>
          <cell r="E874">
            <v>90189084</v>
          </cell>
          <cell r="F874">
            <v>1</v>
          </cell>
          <cell r="G874" t="str">
            <v xml:space="preserve">ST          </v>
          </cell>
          <cell r="H874">
            <v>50.4</v>
          </cell>
          <cell r="I874">
            <v>50.4</v>
          </cell>
        </row>
        <row r="875">
          <cell r="A875" t="str">
            <v>15-220-06-07</v>
          </cell>
          <cell r="B875" t="str">
            <v>RETRACTOR, VOLKMANN, SH., 6-PR., 22.5 CM</v>
          </cell>
          <cell r="C875" t="str">
            <v xml:space="preserve">                                   </v>
          </cell>
          <cell r="D875" t="str">
            <v xml:space="preserve">MY        </v>
          </cell>
          <cell r="E875">
            <v>90189084</v>
          </cell>
          <cell r="F875">
            <v>1</v>
          </cell>
          <cell r="G875" t="str">
            <v xml:space="preserve">ST          </v>
          </cell>
          <cell r="H875">
            <v>53.5</v>
          </cell>
          <cell r="I875">
            <v>53.5</v>
          </cell>
        </row>
        <row r="876">
          <cell r="A876" t="str">
            <v>15-221-02-07</v>
          </cell>
          <cell r="B876" t="str">
            <v>RETRACTOR, VOLKMANN, BL., 2-PR., 22.5 CM</v>
          </cell>
          <cell r="C876" t="str">
            <v xml:space="preserve">                                   </v>
          </cell>
          <cell r="D876" t="str">
            <v xml:space="preserve">MY        </v>
          </cell>
          <cell r="E876">
            <v>90189084</v>
          </cell>
          <cell r="F876">
            <v>2</v>
          </cell>
          <cell r="G876" t="str">
            <v xml:space="preserve">ST          </v>
          </cell>
          <cell r="H876">
            <v>45.3</v>
          </cell>
          <cell r="I876">
            <v>90.6</v>
          </cell>
        </row>
        <row r="877">
          <cell r="A877" t="str">
            <v>15-221-04-07</v>
          </cell>
          <cell r="B877" t="str">
            <v>RETRACTOR, VOLKMANN, BL., 4-PR., 22.5 CM</v>
          </cell>
          <cell r="C877" t="str">
            <v xml:space="preserve">                                   </v>
          </cell>
          <cell r="D877" t="str">
            <v xml:space="preserve">MY        </v>
          </cell>
          <cell r="E877">
            <v>90189084</v>
          </cell>
          <cell r="F877">
            <v>1</v>
          </cell>
          <cell r="G877" t="str">
            <v xml:space="preserve">ST          </v>
          </cell>
          <cell r="H877">
            <v>50.4</v>
          </cell>
          <cell r="I877">
            <v>50.4</v>
          </cell>
        </row>
        <row r="878">
          <cell r="A878" t="str">
            <v>15-221-06-07</v>
          </cell>
          <cell r="B878" t="str">
            <v>RETRACTOR, VOLKMANN, BL., 6-PR., 22.5 CM</v>
          </cell>
          <cell r="C878" t="str">
            <v xml:space="preserve">                                   </v>
          </cell>
          <cell r="D878" t="str">
            <v xml:space="preserve">MY        </v>
          </cell>
          <cell r="E878">
            <v>90189084</v>
          </cell>
          <cell r="F878">
            <v>1</v>
          </cell>
          <cell r="G878" t="str">
            <v xml:space="preserve">ST          </v>
          </cell>
          <cell r="H878">
            <v>53.5</v>
          </cell>
          <cell r="I878">
            <v>53.5</v>
          </cell>
        </row>
        <row r="879">
          <cell r="A879" t="str">
            <v>09-009-73-07</v>
          </cell>
          <cell r="B879" t="str">
            <v>Retr., thyroid, Schoenborn, 6x13mm, 21cm</v>
          </cell>
          <cell r="C879" t="str">
            <v xml:space="preserve">                                   </v>
          </cell>
          <cell r="D879" t="str">
            <v xml:space="preserve">DE        </v>
          </cell>
          <cell r="E879">
            <v>90189084</v>
          </cell>
          <cell r="F879">
            <v>1</v>
          </cell>
          <cell r="G879" t="str">
            <v xml:space="preserve">ST          </v>
          </cell>
          <cell r="H879">
            <v>59.7</v>
          </cell>
          <cell r="I879">
            <v>59.7</v>
          </cell>
        </row>
        <row r="880">
          <cell r="A880" t="str">
            <v>15-293-02-07</v>
          </cell>
          <cell r="B880" t="str">
            <v>RETRACTOR, LANGENBECK, 30X13 MM, 21,5 CM</v>
          </cell>
          <cell r="C880" t="str">
            <v xml:space="preserve">                                   </v>
          </cell>
          <cell r="D880" t="str">
            <v xml:space="preserve">DE        </v>
          </cell>
          <cell r="E880">
            <v>90189084</v>
          </cell>
          <cell r="F880">
            <v>1</v>
          </cell>
          <cell r="G880" t="str">
            <v xml:space="preserve">ST          </v>
          </cell>
          <cell r="H880">
            <v>39.6</v>
          </cell>
          <cell r="I880">
            <v>39.6</v>
          </cell>
        </row>
        <row r="881">
          <cell r="A881" t="str">
            <v>15-315-20-07</v>
          </cell>
          <cell r="B881" t="str">
            <v xml:space="preserve">RETRACTOR, KOCHER, 61X20 MM, 23 CM      </v>
          </cell>
          <cell r="C881" t="str">
            <v xml:space="preserve">                                   </v>
          </cell>
          <cell r="D881" t="str">
            <v xml:space="preserve">DE        </v>
          </cell>
          <cell r="E881">
            <v>90189084</v>
          </cell>
          <cell r="F881">
            <v>1</v>
          </cell>
          <cell r="G881" t="str">
            <v xml:space="preserve">ST          </v>
          </cell>
          <cell r="H881">
            <v>77.900000000000006</v>
          </cell>
          <cell r="I881">
            <v>77.900000000000006</v>
          </cell>
        </row>
        <row r="882">
          <cell r="A882" t="str">
            <v>12-126-14-07</v>
          </cell>
          <cell r="B882" t="str">
            <v xml:space="preserve">DRESSING FORCEPS, DELICATE, 14.5 CM     </v>
          </cell>
          <cell r="C882" t="str">
            <v xml:space="preserve">                                   </v>
          </cell>
          <cell r="D882" t="str">
            <v xml:space="preserve">DE        </v>
          </cell>
          <cell r="E882">
            <v>90189084</v>
          </cell>
          <cell r="F882">
            <v>1</v>
          </cell>
          <cell r="G882" t="str">
            <v xml:space="preserve">ST          </v>
          </cell>
          <cell r="H882">
            <v>13.7</v>
          </cell>
          <cell r="I882">
            <v>13.7</v>
          </cell>
        </row>
        <row r="883">
          <cell r="A883" t="str">
            <v>12-122-13-07</v>
          </cell>
          <cell r="B883" t="str">
            <v>Dressing forceps, medium wide, cvd.,13cm</v>
          </cell>
          <cell r="C883" t="str">
            <v xml:space="preserve">                                   </v>
          </cell>
          <cell r="D883" t="str">
            <v xml:space="preserve">MY        </v>
          </cell>
          <cell r="E883">
            <v>90189084</v>
          </cell>
          <cell r="F883">
            <v>1</v>
          </cell>
          <cell r="G883" t="str">
            <v xml:space="preserve">ST          </v>
          </cell>
          <cell r="H883">
            <v>12.5</v>
          </cell>
          <cell r="I883">
            <v>12.5</v>
          </cell>
        </row>
        <row r="884">
          <cell r="A884" t="str">
            <v>12-301-14-07</v>
          </cell>
          <cell r="B884" t="str">
            <v xml:space="preserve">TISSUE FORCEPS, 1X2 T., 14.5 CM         </v>
          </cell>
          <cell r="C884" t="str">
            <v xml:space="preserve">                                   </v>
          </cell>
          <cell r="D884" t="str">
            <v xml:space="preserve">MY        </v>
          </cell>
          <cell r="E884">
            <v>90189084</v>
          </cell>
          <cell r="F884">
            <v>1</v>
          </cell>
          <cell r="G884" t="str">
            <v xml:space="preserve">ST          </v>
          </cell>
          <cell r="H884">
            <v>13</v>
          </cell>
          <cell r="I884">
            <v>13</v>
          </cell>
        </row>
        <row r="885">
          <cell r="A885" t="str">
            <v>12-326-14-07</v>
          </cell>
          <cell r="B885" t="str">
            <v xml:space="preserve">TISSUE FORCEPS, 1X2 T., DELIC., 14.5 CM </v>
          </cell>
          <cell r="C885" t="str">
            <v xml:space="preserve">                                   </v>
          </cell>
          <cell r="D885" t="str">
            <v xml:space="preserve">DE        </v>
          </cell>
          <cell r="E885">
            <v>90189084</v>
          </cell>
          <cell r="F885">
            <v>1</v>
          </cell>
          <cell r="G885" t="str">
            <v xml:space="preserve">ST          </v>
          </cell>
          <cell r="H885">
            <v>17.5</v>
          </cell>
          <cell r="I885">
            <v>17.5</v>
          </cell>
        </row>
        <row r="886">
          <cell r="A886" t="str">
            <v>12-100-20-07</v>
          </cell>
          <cell r="B886" t="str">
            <v xml:space="preserve">DRESSING FORCEPS, 20 CM                 </v>
          </cell>
          <cell r="C886" t="str">
            <v xml:space="preserve">                                   </v>
          </cell>
          <cell r="D886" t="str">
            <v xml:space="preserve">MY        </v>
          </cell>
          <cell r="E886">
            <v>90189084</v>
          </cell>
          <cell r="F886">
            <v>1</v>
          </cell>
          <cell r="G886" t="str">
            <v xml:space="preserve">ST          </v>
          </cell>
          <cell r="H886">
            <v>21.2</v>
          </cell>
          <cell r="I886">
            <v>21.2</v>
          </cell>
        </row>
        <row r="887">
          <cell r="A887" t="str">
            <v>12-301-20-07</v>
          </cell>
          <cell r="B887" t="str">
            <v xml:space="preserve">TISSUE FORCEPS, 1X2 T., 20.5 CM         </v>
          </cell>
          <cell r="C887" t="str">
            <v xml:space="preserve">                                   </v>
          </cell>
          <cell r="D887" t="str">
            <v xml:space="preserve">MY        </v>
          </cell>
          <cell r="E887">
            <v>90189084</v>
          </cell>
          <cell r="F887">
            <v>1</v>
          </cell>
          <cell r="G887" t="str">
            <v xml:space="preserve">ST          </v>
          </cell>
          <cell r="H887">
            <v>15.9</v>
          </cell>
          <cell r="I887">
            <v>15.9</v>
          </cell>
        </row>
        <row r="888">
          <cell r="A888" t="str">
            <v>24-386-16-07</v>
          </cell>
          <cell r="B888" t="str">
            <v xml:space="preserve">ATR. FORCEPS, DE BAKEY, 1.5 MM, 16 CM   </v>
          </cell>
          <cell r="C888" t="str">
            <v xml:space="preserve">                                   </v>
          </cell>
          <cell r="D888" t="str">
            <v xml:space="preserve">MY        </v>
          </cell>
          <cell r="E888">
            <v>90189084</v>
          </cell>
          <cell r="F888">
            <v>1</v>
          </cell>
          <cell r="G888" t="str">
            <v xml:space="preserve">ST          </v>
          </cell>
          <cell r="H888">
            <v>72.099999999999994</v>
          </cell>
          <cell r="I888">
            <v>72.099999999999994</v>
          </cell>
        </row>
        <row r="889">
          <cell r="A889" t="str">
            <v>10-130-03-07</v>
          </cell>
          <cell r="B889" t="str">
            <v xml:space="preserve">SCALPEL HANDLE, NO. 3, 12 CM            </v>
          </cell>
          <cell r="C889" t="str">
            <v xml:space="preserve">                                   </v>
          </cell>
          <cell r="D889" t="str">
            <v xml:space="preserve">DE        </v>
          </cell>
          <cell r="E889">
            <v>90189084</v>
          </cell>
          <cell r="F889">
            <v>1</v>
          </cell>
          <cell r="G889" t="str">
            <v xml:space="preserve">ST          </v>
          </cell>
          <cell r="H889">
            <v>13.1</v>
          </cell>
          <cell r="I889">
            <v>13.1</v>
          </cell>
        </row>
        <row r="890">
          <cell r="A890" t="str">
            <v>10-100-04-07</v>
          </cell>
          <cell r="B890" t="str">
            <v xml:space="preserve">SCALPEL HANDLE, NO. 4, 13.5 CM          </v>
          </cell>
          <cell r="C890" t="str">
            <v xml:space="preserve">                                   </v>
          </cell>
          <cell r="D890" t="str">
            <v xml:space="preserve">DE        </v>
          </cell>
          <cell r="E890">
            <v>90189084</v>
          </cell>
          <cell r="F890">
            <v>1</v>
          </cell>
          <cell r="G890" t="str">
            <v xml:space="preserve">ST          </v>
          </cell>
          <cell r="H890">
            <v>6.81</v>
          </cell>
          <cell r="I890">
            <v>6.81</v>
          </cell>
        </row>
        <row r="891">
          <cell r="A891" t="str">
            <v>18-580-10-07</v>
          </cell>
          <cell r="B891" t="str">
            <v xml:space="preserve">GUIDE NEEDLE, ANG., KNIFE SHAPE, 10 CH  </v>
          </cell>
          <cell r="C891" t="str">
            <v xml:space="preserve">                                   </v>
          </cell>
          <cell r="D891" t="str">
            <v xml:space="preserve">DE        </v>
          </cell>
          <cell r="E891">
            <v>90189084</v>
          </cell>
          <cell r="F891">
            <v>1</v>
          </cell>
          <cell r="G891" t="str">
            <v xml:space="preserve">ST          </v>
          </cell>
          <cell r="H891">
            <v>13.2</v>
          </cell>
          <cell r="I891">
            <v>13.2</v>
          </cell>
        </row>
        <row r="892">
          <cell r="A892" t="str">
            <v>20-841-20-07</v>
          </cell>
          <cell r="B892" t="str">
            <v>LIGATURE NEEDLE, DESCHAMPS, BLUNT, 20 CM</v>
          </cell>
          <cell r="C892" t="str">
            <v xml:space="preserve">                                   </v>
          </cell>
          <cell r="D892" t="str">
            <v xml:space="preserve">DE        </v>
          </cell>
          <cell r="E892">
            <v>90183900</v>
          </cell>
          <cell r="F892">
            <v>1</v>
          </cell>
          <cell r="G892" t="str">
            <v xml:space="preserve">ST          </v>
          </cell>
          <cell r="H892">
            <v>54.1</v>
          </cell>
          <cell r="I892">
            <v>54.1</v>
          </cell>
        </row>
        <row r="893">
          <cell r="A893" t="str">
            <v>20-842-20-07</v>
          </cell>
          <cell r="B893" t="str">
            <v>LIGATURE NEEDLE, DESCHAMPS, BLUNT, 20 CM</v>
          </cell>
          <cell r="C893" t="str">
            <v xml:space="preserve">                                   </v>
          </cell>
          <cell r="D893" t="str">
            <v xml:space="preserve">DE        </v>
          </cell>
          <cell r="E893">
            <v>90183900</v>
          </cell>
          <cell r="F893">
            <v>1</v>
          </cell>
          <cell r="G893" t="str">
            <v xml:space="preserve">ST          </v>
          </cell>
          <cell r="H893">
            <v>54.1</v>
          </cell>
          <cell r="I893">
            <v>54.1</v>
          </cell>
        </row>
        <row r="894">
          <cell r="A894" t="str">
            <v>20-637-13-07</v>
          </cell>
          <cell r="B894" t="str">
            <v xml:space="preserve">TC-NEEDLEHOLDER, HALSEY, 13 CM          </v>
          </cell>
          <cell r="C894" t="str">
            <v xml:space="preserve">                                   </v>
          </cell>
          <cell r="D894" t="str">
            <v xml:space="preserve">MY        </v>
          </cell>
          <cell r="E894">
            <v>90189084</v>
          </cell>
          <cell r="F894">
            <v>1</v>
          </cell>
          <cell r="G894" t="str">
            <v xml:space="preserve">ST          </v>
          </cell>
          <cell r="H894">
            <v>89.2</v>
          </cell>
          <cell r="I894">
            <v>89.2</v>
          </cell>
        </row>
        <row r="895">
          <cell r="A895" t="str">
            <v>20-638-15-07</v>
          </cell>
          <cell r="B895" t="str">
            <v xml:space="preserve">TC-NEEDLEHOLDER, CRILE-WOOD, 15 CM      </v>
          </cell>
          <cell r="C895" t="str">
            <v xml:space="preserve">                                   </v>
          </cell>
          <cell r="D895" t="str">
            <v xml:space="preserve">MY        </v>
          </cell>
          <cell r="E895">
            <v>90189084</v>
          </cell>
          <cell r="F895">
            <v>1</v>
          </cell>
          <cell r="G895" t="str">
            <v xml:space="preserve">ST          </v>
          </cell>
          <cell r="H895">
            <v>86.7</v>
          </cell>
          <cell r="I895">
            <v>86.7</v>
          </cell>
        </row>
        <row r="896">
          <cell r="A896" t="str">
            <v>20-646-20-07</v>
          </cell>
          <cell r="B896" t="str">
            <v xml:space="preserve">TC-NEEDLEHOLDER, DE BAKEY, 20.5 CM      </v>
          </cell>
          <cell r="C896" t="str">
            <v xml:space="preserve">                                   </v>
          </cell>
          <cell r="D896" t="str">
            <v xml:space="preserve">MY        </v>
          </cell>
          <cell r="E896">
            <v>90189084</v>
          </cell>
          <cell r="F896">
            <v>1</v>
          </cell>
          <cell r="G896" t="str">
            <v xml:space="preserve">ST          </v>
          </cell>
          <cell r="H896">
            <v>104.5</v>
          </cell>
          <cell r="I896">
            <v>104.5</v>
          </cell>
        </row>
        <row r="897">
          <cell r="A897" t="str">
            <v>36-391-14-07</v>
          </cell>
          <cell r="B897" t="str">
            <v xml:space="preserve">EAR FORCEPS, GRUENWALD, BAYON., 14.5 CM </v>
          </cell>
          <cell r="C897" t="str">
            <v xml:space="preserve">                                   </v>
          </cell>
          <cell r="D897" t="str">
            <v xml:space="preserve">DE        </v>
          </cell>
          <cell r="E897">
            <v>90189084</v>
          </cell>
          <cell r="F897">
            <v>2</v>
          </cell>
          <cell r="G897" t="str">
            <v xml:space="preserve">ST          </v>
          </cell>
          <cell r="H897">
            <v>20.7</v>
          </cell>
          <cell r="I897">
            <v>41.4</v>
          </cell>
        </row>
        <row r="898">
          <cell r="A898" t="str">
            <v>12-168-12-07</v>
          </cell>
          <cell r="B898" t="str">
            <v xml:space="preserve">DRESSING FORCEPS, ADSON, 12 CM          </v>
          </cell>
          <cell r="C898" t="str">
            <v xml:space="preserve">                                   </v>
          </cell>
          <cell r="D898" t="str">
            <v xml:space="preserve">MY        </v>
          </cell>
          <cell r="E898">
            <v>90189084</v>
          </cell>
          <cell r="F898">
            <v>1</v>
          </cell>
          <cell r="G898" t="str">
            <v xml:space="preserve">ST          </v>
          </cell>
          <cell r="H898">
            <v>10.3</v>
          </cell>
          <cell r="I898">
            <v>10.3</v>
          </cell>
        </row>
        <row r="899">
          <cell r="A899" t="str">
            <v>12-166-12-07</v>
          </cell>
          <cell r="B899" t="str">
            <v xml:space="preserve">DRESSING FORCEPS, MINI-ADSON, 12 CM     </v>
          </cell>
          <cell r="C899" t="str">
            <v xml:space="preserve">                                   </v>
          </cell>
          <cell r="D899" t="str">
            <v xml:space="preserve">MY        </v>
          </cell>
          <cell r="E899">
            <v>90189084</v>
          </cell>
          <cell r="F899">
            <v>1</v>
          </cell>
          <cell r="G899" t="str">
            <v xml:space="preserve">ST          </v>
          </cell>
          <cell r="H899">
            <v>22.7</v>
          </cell>
          <cell r="I899">
            <v>22.7</v>
          </cell>
        </row>
        <row r="900">
          <cell r="A900" t="str">
            <v>12-368-12-07</v>
          </cell>
          <cell r="B900" t="str">
            <v xml:space="preserve">TISSUE FORCEPS, ADSON, 1X2 T., 12 CM    </v>
          </cell>
          <cell r="C900" t="str">
            <v xml:space="preserve">                                   </v>
          </cell>
          <cell r="D900" t="str">
            <v xml:space="preserve">MY        </v>
          </cell>
          <cell r="E900">
            <v>90189084</v>
          </cell>
          <cell r="F900">
            <v>1</v>
          </cell>
          <cell r="G900" t="str">
            <v xml:space="preserve">ST          </v>
          </cell>
          <cell r="H900">
            <v>13.1</v>
          </cell>
          <cell r="I900">
            <v>13.1</v>
          </cell>
        </row>
        <row r="901">
          <cell r="A901" t="str">
            <v>12-400-12-07</v>
          </cell>
          <cell r="B901" t="str">
            <v xml:space="preserve">FORCEPS, ADSON BROWN, 12 CM             </v>
          </cell>
          <cell r="C901" t="str">
            <v xml:space="preserve">                                   </v>
          </cell>
          <cell r="D901" t="str">
            <v xml:space="preserve">MY        </v>
          </cell>
          <cell r="E901">
            <v>90189084</v>
          </cell>
          <cell r="F901">
            <v>2</v>
          </cell>
          <cell r="G901" t="str">
            <v xml:space="preserve">ST          </v>
          </cell>
          <cell r="H901">
            <v>31.7</v>
          </cell>
          <cell r="I901">
            <v>63.4</v>
          </cell>
        </row>
        <row r="902">
          <cell r="A902" t="str">
            <v>13-311-12-07</v>
          </cell>
          <cell r="B902" t="str">
            <v xml:space="preserve">HAEM. FORCEPS, MOSQUITO, CVD., 12 CM    </v>
          </cell>
          <cell r="C902" t="str">
            <v xml:space="preserve">                                   </v>
          </cell>
          <cell r="D902" t="str">
            <v xml:space="preserve">MY        </v>
          </cell>
          <cell r="E902">
            <v>90189084</v>
          </cell>
          <cell r="F902">
            <v>6</v>
          </cell>
          <cell r="G902" t="str">
            <v xml:space="preserve">ST          </v>
          </cell>
          <cell r="H902">
            <v>23.9</v>
          </cell>
          <cell r="I902">
            <v>143.4</v>
          </cell>
        </row>
        <row r="903">
          <cell r="A903" t="str">
            <v>13-915-11-07</v>
          </cell>
          <cell r="B903" t="str">
            <v xml:space="preserve">TOWEL FORCEPS, BACKHAUS, SHARP, 11 CM   </v>
          </cell>
          <cell r="C903" t="str">
            <v xml:space="preserve">                                   </v>
          </cell>
          <cell r="D903" t="str">
            <v xml:space="preserve">MY        </v>
          </cell>
          <cell r="E903">
            <v>90189084</v>
          </cell>
          <cell r="F903">
            <v>6</v>
          </cell>
          <cell r="G903" t="str">
            <v xml:space="preserve">ST          </v>
          </cell>
          <cell r="H903">
            <v>24.3</v>
          </cell>
          <cell r="I903">
            <v>145.80000000000001</v>
          </cell>
        </row>
        <row r="904">
          <cell r="A904" t="str">
            <v>13-410-14-07</v>
          </cell>
          <cell r="B904" t="str">
            <v>HAEMOSTATIC FORCEPS, PEAN, STR., 14.5 CM</v>
          </cell>
          <cell r="C904" t="str">
            <v xml:space="preserve">                                   </v>
          </cell>
          <cell r="D904" t="str">
            <v xml:space="preserve">MY        </v>
          </cell>
          <cell r="E904">
            <v>90189084</v>
          </cell>
          <cell r="F904">
            <v>6</v>
          </cell>
          <cell r="G904" t="str">
            <v xml:space="preserve">ST          </v>
          </cell>
          <cell r="H904">
            <v>23.7</v>
          </cell>
          <cell r="I904">
            <v>142.19999999999999</v>
          </cell>
        </row>
        <row r="905">
          <cell r="A905" t="str">
            <v>32-738-16-07</v>
          </cell>
          <cell r="B905" t="str">
            <v xml:space="preserve">TENACULUM FORCEPS, BRAUN, 4X4 T., 16 CM </v>
          </cell>
          <cell r="C905" t="str">
            <v xml:space="preserve">                                   </v>
          </cell>
          <cell r="D905" t="str">
            <v xml:space="preserve">MY        </v>
          </cell>
          <cell r="E905">
            <v>90189084</v>
          </cell>
          <cell r="F905">
            <v>2</v>
          </cell>
          <cell r="G905" t="str">
            <v xml:space="preserve">ST          </v>
          </cell>
          <cell r="H905">
            <v>98.1</v>
          </cell>
          <cell r="I905">
            <v>196.2</v>
          </cell>
        </row>
        <row r="906">
          <cell r="A906" t="str">
            <v>11-365-15-07</v>
          </cell>
          <cell r="B906" t="str">
            <v xml:space="preserve">SCISSORS, REYNOLDS, CVD., 15.5 CM       </v>
          </cell>
          <cell r="C906" t="str">
            <v xml:space="preserve">                                   </v>
          </cell>
          <cell r="D906" t="str">
            <v xml:space="preserve">DE        </v>
          </cell>
          <cell r="E906">
            <v>90189084</v>
          </cell>
          <cell r="F906">
            <v>1</v>
          </cell>
          <cell r="G906" t="str">
            <v xml:space="preserve">ST          </v>
          </cell>
          <cell r="H906">
            <v>71.7</v>
          </cell>
          <cell r="I906">
            <v>71.7</v>
          </cell>
        </row>
        <row r="907">
          <cell r="A907" t="str">
            <v>30-134-15-07</v>
          </cell>
          <cell r="B907" t="str">
            <v xml:space="preserve">TISSUE FORCEPS, ALLIS, 5X6 T., 15.5 CM  </v>
          </cell>
          <cell r="C907" t="str">
            <v xml:space="preserve">                                   </v>
          </cell>
          <cell r="D907" t="str">
            <v xml:space="preserve">MY        </v>
          </cell>
          <cell r="E907">
            <v>90189084</v>
          </cell>
          <cell r="F907">
            <v>2</v>
          </cell>
          <cell r="G907" t="str">
            <v xml:space="preserve">ST          </v>
          </cell>
          <cell r="H907">
            <v>45.7</v>
          </cell>
          <cell r="I907">
            <v>91.4</v>
          </cell>
        </row>
        <row r="908">
          <cell r="A908" t="str">
            <v>11-255-14-07</v>
          </cell>
          <cell r="B908" t="str">
            <v xml:space="preserve">DISSECT. SCISSORS, BL/BL, CVD., 14.5 CM </v>
          </cell>
          <cell r="C908" t="str">
            <v xml:space="preserve">                                   </v>
          </cell>
          <cell r="D908" t="str">
            <v xml:space="preserve">DE        </v>
          </cell>
          <cell r="E908">
            <v>90189084</v>
          </cell>
          <cell r="F908">
            <v>2</v>
          </cell>
          <cell r="G908" t="str">
            <v xml:space="preserve">ST          </v>
          </cell>
          <cell r="H908">
            <v>21.8</v>
          </cell>
          <cell r="I908">
            <v>43.6</v>
          </cell>
        </row>
        <row r="909">
          <cell r="A909" t="str">
            <v>11-285-18-07</v>
          </cell>
          <cell r="B909" t="str">
            <v xml:space="preserve">DISSECTING SCISSORS, CVD., 18 CM        </v>
          </cell>
          <cell r="C909" t="str">
            <v xml:space="preserve">                                   </v>
          </cell>
          <cell r="D909" t="str">
            <v xml:space="preserve">DE        </v>
          </cell>
          <cell r="E909">
            <v>90189084</v>
          </cell>
          <cell r="F909">
            <v>2</v>
          </cell>
          <cell r="G909" t="str">
            <v xml:space="preserve">ST          </v>
          </cell>
          <cell r="H909">
            <v>24.1</v>
          </cell>
          <cell r="I909">
            <v>48.2</v>
          </cell>
        </row>
        <row r="910">
          <cell r="A910" t="str">
            <v>11-965-14-07</v>
          </cell>
          <cell r="B910" t="str">
            <v xml:space="preserve">TC-DISS. SCISSORS, LAHEY, CVD., 14.5 CM </v>
          </cell>
          <cell r="C910" t="str">
            <v xml:space="preserve">                                   </v>
          </cell>
          <cell r="D910" t="str">
            <v xml:space="preserve">DE        </v>
          </cell>
          <cell r="E910">
            <v>90189084</v>
          </cell>
          <cell r="F910">
            <v>1</v>
          </cell>
          <cell r="G910" t="str">
            <v xml:space="preserve">ST          </v>
          </cell>
          <cell r="H910">
            <v>134.5</v>
          </cell>
          <cell r="I910">
            <v>134.5</v>
          </cell>
        </row>
        <row r="911">
          <cell r="A911" t="str">
            <v>11-683-11-07</v>
          </cell>
          <cell r="B911" t="str">
            <v xml:space="preserve">TENOTOMY SCISSORS, BL/BL, CVD., 11 CM   </v>
          </cell>
          <cell r="C911" t="str">
            <v xml:space="preserve">                                   </v>
          </cell>
          <cell r="D911" t="str">
            <v xml:space="preserve">DE        </v>
          </cell>
          <cell r="E911">
            <v>90189084</v>
          </cell>
          <cell r="F911">
            <v>1</v>
          </cell>
          <cell r="G911" t="str">
            <v xml:space="preserve">ST          </v>
          </cell>
          <cell r="H911">
            <v>61.9</v>
          </cell>
          <cell r="I911">
            <v>61.9</v>
          </cell>
        </row>
        <row r="912">
          <cell r="A912" t="str">
            <v>11-351-14-07</v>
          </cell>
          <cell r="B912" t="str">
            <v xml:space="preserve">SCISSORS, JOSEPH, SH/SH, CVD., 14.5 CM  </v>
          </cell>
          <cell r="C912" t="str">
            <v xml:space="preserve">                                   </v>
          </cell>
          <cell r="D912" t="str">
            <v xml:space="preserve">DE        </v>
          </cell>
          <cell r="E912">
            <v>90189084</v>
          </cell>
          <cell r="F912">
            <v>1</v>
          </cell>
          <cell r="G912" t="str">
            <v xml:space="preserve">ST          </v>
          </cell>
          <cell r="H912">
            <v>102</v>
          </cell>
          <cell r="I912">
            <v>102</v>
          </cell>
        </row>
        <row r="913">
          <cell r="A913" t="str">
            <v>11-619-08-07</v>
          </cell>
          <cell r="B913" t="str">
            <v xml:space="preserve">SCISSORS, DELICATE, SH/SH, CVD., 9 CM   </v>
          </cell>
          <cell r="C913" t="str">
            <v xml:space="preserve">                                   </v>
          </cell>
          <cell r="D913" t="str">
            <v xml:space="preserve">DE        </v>
          </cell>
          <cell r="E913">
            <v>90189084</v>
          </cell>
          <cell r="F913">
            <v>1</v>
          </cell>
          <cell r="G913" t="str">
            <v xml:space="preserve">ST          </v>
          </cell>
          <cell r="H913">
            <v>73.5</v>
          </cell>
          <cell r="I913">
            <v>73.5</v>
          </cell>
        </row>
        <row r="914">
          <cell r="A914" t="str">
            <v>11-107-14-07</v>
          </cell>
          <cell r="B914" t="str">
            <v>OPERATING SCISSORS, SH/BL, CVD., 14.5 CM</v>
          </cell>
          <cell r="C914" t="str">
            <v xml:space="preserve">                                   </v>
          </cell>
          <cell r="D914" t="str">
            <v xml:space="preserve">DE        </v>
          </cell>
          <cell r="E914">
            <v>90189084</v>
          </cell>
          <cell r="F914">
            <v>1</v>
          </cell>
          <cell r="G914" t="str">
            <v xml:space="preserve">ST          </v>
          </cell>
          <cell r="H914">
            <v>20.5</v>
          </cell>
          <cell r="I914">
            <v>20.5</v>
          </cell>
        </row>
        <row r="915">
          <cell r="A915" t="str">
            <v xml:space="preserve">            </v>
          </cell>
          <cell r="B915" t="str">
            <v xml:space="preserve">Tonsillectomy / Adenoidectomy set       </v>
          </cell>
          <cell r="C915" t="str">
            <v xml:space="preserve">                                   </v>
          </cell>
          <cell r="D915" t="str">
            <v xml:space="preserve">          </v>
          </cell>
          <cell r="E915" t="str">
            <v xml:space="preserve">                </v>
          </cell>
          <cell r="F915">
            <v>1</v>
          </cell>
          <cell r="G915" t="str">
            <v xml:space="preserve">            </v>
          </cell>
          <cell r="H915" t="str">
            <v xml:space="preserve">               </v>
          </cell>
          <cell r="I915" t="str">
            <v xml:space="preserve">               </v>
          </cell>
        </row>
        <row r="916">
          <cell r="A916" t="str">
            <v>10-137-07-07</v>
          </cell>
          <cell r="B916" t="str">
            <v xml:space="preserve">SCALPEL HANDLE, NO. 7, SOLID, 16 CM     </v>
          </cell>
          <cell r="C916" t="str">
            <v xml:space="preserve">                                   </v>
          </cell>
          <cell r="D916" t="str">
            <v xml:space="preserve">DE        </v>
          </cell>
          <cell r="E916">
            <v>90189084</v>
          </cell>
          <cell r="F916">
            <v>1</v>
          </cell>
          <cell r="G916" t="str">
            <v xml:space="preserve">ST          </v>
          </cell>
          <cell r="H916">
            <v>16</v>
          </cell>
          <cell r="I916">
            <v>16</v>
          </cell>
        </row>
        <row r="917">
          <cell r="A917" t="str">
            <v>11-285-18-07</v>
          </cell>
          <cell r="B917" t="str">
            <v xml:space="preserve">DISSECTING SCISSORS, CVD., 18 CM        </v>
          </cell>
          <cell r="C917" t="str">
            <v xml:space="preserve">                                   </v>
          </cell>
          <cell r="D917" t="str">
            <v xml:space="preserve">DE        </v>
          </cell>
          <cell r="E917">
            <v>90189084</v>
          </cell>
          <cell r="F917">
            <v>1</v>
          </cell>
          <cell r="G917" t="str">
            <v xml:space="preserve">ST          </v>
          </cell>
          <cell r="H917">
            <v>24.1</v>
          </cell>
          <cell r="I917">
            <v>24.1</v>
          </cell>
        </row>
        <row r="918">
          <cell r="A918" t="str">
            <v>13-365-18-07</v>
          </cell>
          <cell r="B918" t="str">
            <v xml:space="preserve">HAEM. FORCEPS, ADSON, CVD., 18.5 CM     </v>
          </cell>
          <cell r="C918" t="str">
            <v xml:space="preserve">                                   </v>
          </cell>
          <cell r="D918" t="str">
            <v xml:space="preserve">DE        </v>
          </cell>
          <cell r="E918">
            <v>90189084</v>
          </cell>
          <cell r="F918">
            <v>1</v>
          </cell>
          <cell r="G918" t="str">
            <v xml:space="preserve">ST          </v>
          </cell>
          <cell r="H918">
            <v>44.2</v>
          </cell>
          <cell r="I918">
            <v>44.2</v>
          </cell>
        </row>
        <row r="919">
          <cell r="A919" t="str">
            <v>13-915-13-07</v>
          </cell>
          <cell r="B919" t="str">
            <v xml:space="preserve">TOWEL FORCEPS, BACKHAUS, SHARP, 13 CM   </v>
          </cell>
          <cell r="C919" t="str">
            <v xml:space="preserve">                                   </v>
          </cell>
          <cell r="D919" t="str">
            <v xml:space="preserve">MY        </v>
          </cell>
          <cell r="E919">
            <v>90189084</v>
          </cell>
          <cell r="F919">
            <v>2</v>
          </cell>
          <cell r="G919" t="str">
            <v xml:space="preserve">ST          </v>
          </cell>
          <cell r="H919">
            <v>24.3</v>
          </cell>
          <cell r="I919">
            <v>48.6</v>
          </cell>
        </row>
        <row r="920">
          <cell r="A920" t="str">
            <v>14-352-18-07</v>
          </cell>
          <cell r="B920" t="str">
            <v xml:space="preserve">FORCEPS, FOERSTER, SERR., STR., 18 CM   </v>
          </cell>
          <cell r="C920" t="str">
            <v xml:space="preserve">                                   </v>
          </cell>
          <cell r="D920" t="str">
            <v xml:space="preserve">MY        </v>
          </cell>
          <cell r="E920">
            <v>90189084</v>
          </cell>
          <cell r="F920">
            <v>2</v>
          </cell>
          <cell r="G920" t="str">
            <v xml:space="preserve">ST          </v>
          </cell>
          <cell r="H920">
            <v>33.700000000000003</v>
          </cell>
          <cell r="I920">
            <v>67.400000000000006</v>
          </cell>
        </row>
        <row r="921">
          <cell r="A921" t="str">
            <v>18-543-27-01</v>
          </cell>
          <cell r="B921" t="str">
            <v>Suct. tube, Yankauer, compl.,ø9,4mm,31cm</v>
          </cell>
          <cell r="C921" t="str">
            <v xml:space="preserve">                                   </v>
          </cell>
          <cell r="D921" t="str">
            <v xml:space="preserve">DE        </v>
          </cell>
          <cell r="E921">
            <v>90189084</v>
          </cell>
          <cell r="F921">
            <v>1</v>
          </cell>
          <cell r="G921" t="str">
            <v xml:space="preserve">ST          </v>
          </cell>
          <cell r="H921">
            <v>43.1</v>
          </cell>
          <cell r="I921">
            <v>43.1</v>
          </cell>
        </row>
        <row r="922">
          <cell r="A922" t="str">
            <v>20-646-20-07</v>
          </cell>
          <cell r="B922" t="str">
            <v xml:space="preserve">TC-NEEDLEHOLDER, DE BAKEY, 20.5 CM      </v>
          </cell>
          <cell r="C922" t="str">
            <v xml:space="preserve">                                   </v>
          </cell>
          <cell r="D922" t="str">
            <v xml:space="preserve">MY        </v>
          </cell>
          <cell r="E922">
            <v>90189084</v>
          </cell>
          <cell r="F922">
            <v>1</v>
          </cell>
          <cell r="G922" t="str">
            <v xml:space="preserve">ST          </v>
          </cell>
          <cell r="H922">
            <v>104.5</v>
          </cell>
          <cell r="I922">
            <v>104.5</v>
          </cell>
        </row>
        <row r="923">
          <cell r="A923" t="str">
            <v>30-132-15-07</v>
          </cell>
          <cell r="B923" t="str">
            <v xml:space="preserve">TISSUE FORCEPS, ALLIS, 4X5 T., 15.5 CM  </v>
          </cell>
          <cell r="C923" t="str">
            <v xml:space="preserve">                                   </v>
          </cell>
          <cell r="D923" t="str">
            <v xml:space="preserve">MY        </v>
          </cell>
          <cell r="E923">
            <v>90189084</v>
          </cell>
          <cell r="F923">
            <v>2</v>
          </cell>
          <cell r="G923" t="str">
            <v xml:space="preserve">ST          </v>
          </cell>
          <cell r="H923">
            <v>44.5</v>
          </cell>
          <cell r="I923">
            <v>89</v>
          </cell>
        </row>
        <row r="924">
          <cell r="A924" t="str">
            <v>37-756-01-07</v>
          </cell>
          <cell r="B924" t="str">
            <v xml:space="preserve">Adenoid Curette, cvd., 13 mm, 21,5 cm   </v>
          </cell>
          <cell r="C924" t="str">
            <v xml:space="preserve">                                   </v>
          </cell>
          <cell r="D924" t="str">
            <v xml:space="preserve">DE        </v>
          </cell>
          <cell r="E924">
            <v>90189084</v>
          </cell>
          <cell r="F924">
            <v>1</v>
          </cell>
          <cell r="G924" t="str">
            <v xml:space="preserve">ST          </v>
          </cell>
          <cell r="H924">
            <v>115.5</v>
          </cell>
          <cell r="I924">
            <v>115.5</v>
          </cell>
        </row>
        <row r="925">
          <cell r="A925" t="str">
            <v>37-756-02-07</v>
          </cell>
          <cell r="B925" t="str">
            <v xml:space="preserve">Adenoid Curette, cvd., 15 mm, 21,5 cm   </v>
          </cell>
          <cell r="C925" t="str">
            <v xml:space="preserve">                                   </v>
          </cell>
          <cell r="D925" t="str">
            <v xml:space="preserve">DE        </v>
          </cell>
          <cell r="E925">
            <v>90189084</v>
          </cell>
          <cell r="F925">
            <v>1</v>
          </cell>
          <cell r="G925" t="str">
            <v xml:space="preserve">ST          </v>
          </cell>
          <cell r="H925">
            <v>115.5</v>
          </cell>
          <cell r="I925">
            <v>115.5</v>
          </cell>
        </row>
        <row r="926">
          <cell r="A926" t="str">
            <v>37-756-03-07</v>
          </cell>
          <cell r="B926" t="str">
            <v xml:space="preserve">Adenoid Curette, cvd., 17 mm, 21,5 cm   </v>
          </cell>
          <cell r="C926" t="str">
            <v xml:space="preserve">                                   </v>
          </cell>
          <cell r="D926" t="str">
            <v xml:space="preserve">DE        </v>
          </cell>
          <cell r="E926">
            <v>90189084</v>
          </cell>
          <cell r="F926">
            <v>1</v>
          </cell>
          <cell r="G926" t="str">
            <v xml:space="preserve">ST          </v>
          </cell>
          <cell r="H926">
            <v>115.5</v>
          </cell>
          <cell r="I926">
            <v>115.5</v>
          </cell>
        </row>
        <row r="927">
          <cell r="A927" t="str">
            <v>37-756-04-07</v>
          </cell>
          <cell r="B927" t="str">
            <v xml:space="preserve">Adenoid Curette, cvd., 19 mm, 21,5 cm   </v>
          </cell>
          <cell r="C927" t="str">
            <v xml:space="preserve">                                   </v>
          </cell>
          <cell r="D927" t="str">
            <v xml:space="preserve">DE        </v>
          </cell>
          <cell r="E927">
            <v>90189084</v>
          </cell>
          <cell r="F927">
            <v>1</v>
          </cell>
          <cell r="G927" t="str">
            <v xml:space="preserve">ST          </v>
          </cell>
          <cell r="H927">
            <v>115.5</v>
          </cell>
          <cell r="I927">
            <v>115.5</v>
          </cell>
        </row>
        <row r="928">
          <cell r="A928" t="str">
            <v>37-756-05-07</v>
          </cell>
          <cell r="B928" t="str">
            <v xml:space="preserve">Adenoid Curette, cvd., 21 mm, 21,5 cm   </v>
          </cell>
          <cell r="C928" t="str">
            <v xml:space="preserve">                                   </v>
          </cell>
          <cell r="D928" t="str">
            <v xml:space="preserve">DE        </v>
          </cell>
          <cell r="E928">
            <v>90189084</v>
          </cell>
          <cell r="F928">
            <v>1</v>
          </cell>
          <cell r="G928" t="str">
            <v xml:space="preserve">ST          </v>
          </cell>
          <cell r="H928">
            <v>115.5</v>
          </cell>
          <cell r="I928">
            <v>115.5</v>
          </cell>
        </row>
        <row r="929">
          <cell r="A929" t="str">
            <v>37-756-06-07</v>
          </cell>
          <cell r="B929" t="str">
            <v xml:space="preserve">Adenoid Curette, cvd., 23 mm, 21,5 cm   </v>
          </cell>
          <cell r="C929" t="str">
            <v xml:space="preserve">                                   </v>
          </cell>
          <cell r="D929" t="str">
            <v xml:space="preserve">DE        </v>
          </cell>
          <cell r="E929">
            <v>90189084</v>
          </cell>
          <cell r="F929">
            <v>1</v>
          </cell>
          <cell r="G929" t="str">
            <v xml:space="preserve">ST          </v>
          </cell>
          <cell r="H929">
            <v>115.5</v>
          </cell>
          <cell r="I929">
            <v>115.5</v>
          </cell>
        </row>
        <row r="930">
          <cell r="A930" t="str">
            <v>38-222-00-07</v>
          </cell>
          <cell r="B930" t="str">
            <v xml:space="preserve">MOUTH GAG, MCIVOR, COMPLETE             </v>
          </cell>
          <cell r="C930" t="str">
            <v xml:space="preserve">                                   </v>
          </cell>
          <cell r="D930" t="str">
            <v xml:space="preserve">DE        </v>
          </cell>
          <cell r="E930">
            <v>90189084</v>
          </cell>
          <cell r="F930">
            <v>1</v>
          </cell>
          <cell r="G930" t="str">
            <v xml:space="preserve">ST          </v>
          </cell>
          <cell r="H930">
            <v>406</v>
          </cell>
          <cell r="I930">
            <v>406</v>
          </cell>
        </row>
        <row r="931">
          <cell r="A931" t="str">
            <v>38-297-01-01</v>
          </cell>
          <cell r="B931" t="str">
            <v xml:space="preserve">TONGUE DEPRESSOR, WIEDER, 36 MM, 14 CM  </v>
          </cell>
          <cell r="C931" t="str">
            <v xml:space="preserve">                                   </v>
          </cell>
          <cell r="D931" t="str">
            <v xml:space="preserve">DE        </v>
          </cell>
          <cell r="E931">
            <v>90189084</v>
          </cell>
          <cell r="F931">
            <v>1</v>
          </cell>
          <cell r="G931" t="str">
            <v xml:space="preserve">ST          </v>
          </cell>
          <cell r="H931">
            <v>25.6</v>
          </cell>
          <cell r="I931">
            <v>25.6</v>
          </cell>
        </row>
        <row r="932">
          <cell r="A932" t="str">
            <v>38-297-02-01</v>
          </cell>
          <cell r="B932" t="str">
            <v xml:space="preserve">TONGUE DEPRESSOR, WIEDER, 43 MM, 15 CM  </v>
          </cell>
          <cell r="C932" t="str">
            <v xml:space="preserve">                                   </v>
          </cell>
          <cell r="D932" t="str">
            <v xml:space="preserve">DE        </v>
          </cell>
          <cell r="E932">
            <v>90189084</v>
          </cell>
          <cell r="F932">
            <v>1</v>
          </cell>
          <cell r="G932" t="str">
            <v xml:space="preserve">ST          </v>
          </cell>
          <cell r="H932">
            <v>25.6</v>
          </cell>
          <cell r="I932">
            <v>25.6</v>
          </cell>
        </row>
        <row r="933">
          <cell r="A933" t="str">
            <v>39-220-22-07</v>
          </cell>
          <cell r="B933" t="str">
            <v xml:space="preserve">TONSIL KNIFE, FISHER, 22.5 CM           </v>
          </cell>
          <cell r="C933" t="str">
            <v xml:space="preserve">                                   </v>
          </cell>
          <cell r="D933" t="str">
            <v xml:space="preserve">DE        </v>
          </cell>
          <cell r="E933">
            <v>90189084</v>
          </cell>
          <cell r="F933">
            <v>1</v>
          </cell>
          <cell r="G933" t="str">
            <v xml:space="preserve">ST          </v>
          </cell>
          <cell r="H933">
            <v>49.6</v>
          </cell>
          <cell r="I933">
            <v>49.6</v>
          </cell>
        </row>
        <row r="934">
          <cell r="A934" t="str">
            <v>39-281-22-07</v>
          </cell>
          <cell r="B934" t="str">
            <v xml:space="preserve">DISSECTOR &amp; RETRACTOR, HURD, 22.5 CM    </v>
          </cell>
          <cell r="C934" t="str">
            <v xml:space="preserve">                                   </v>
          </cell>
          <cell r="D934" t="str">
            <v xml:space="preserve">DE        </v>
          </cell>
          <cell r="E934">
            <v>90189084</v>
          </cell>
          <cell r="F934">
            <v>1</v>
          </cell>
          <cell r="G934" t="str">
            <v xml:space="preserve">ST          </v>
          </cell>
          <cell r="H934">
            <v>54.2</v>
          </cell>
          <cell r="I934">
            <v>54.2</v>
          </cell>
        </row>
        <row r="935">
          <cell r="A935" t="str">
            <v>39-419-18-07</v>
          </cell>
          <cell r="B935" t="str">
            <v>TONSIL SEIZ. FORCEPS, WHITE, CVD., 18 CM</v>
          </cell>
          <cell r="C935" t="str">
            <v xml:space="preserve">                                   </v>
          </cell>
          <cell r="D935" t="str">
            <v xml:space="preserve">DE        </v>
          </cell>
          <cell r="E935">
            <v>90189084</v>
          </cell>
          <cell r="F935">
            <v>1</v>
          </cell>
          <cell r="G935" t="str">
            <v xml:space="preserve">ST          </v>
          </cell>
          <cell r="H935">
            <v>97.7</v>
          </cell>
          <cell r="I935">
            <v>97.7</v>
          </cell>
        </row>
        <row r="936">
          <cell r="A936" t="str">
            <v>39-443-19-07</v>
          </cell>
          <cell r="B936" t="str">
            <v xml:space="preserve">TONSIL FORCEPS, SCHNIDT, CVD., 19 CM    </v>
          </cell>
          <cell r="C936" t="str">
            <v xml:space="preserve">                                   </v>
          </cell>
          <cell r="D936" t="str">
            <v xml:space="preserve">DE        </v>
          </cell>
          <cell r="E936">
            <v>90189084</v>
          </cell>
          <cell r="F936">
            <v>1</v>
          </cell>
          <cell r="G936" t="str">
            <v xml:space="preserve">ST          </v>
          </cell>
          <cell r="H936">
            <v>68.3</v>
          </cell>
          <cell r="I936">
            <v>68.3</v>
          </cell>
        </row>
        <row r="937">
          <cell r="A937" t="str">
            <v>39-500-28-07</v>
          </cell>
          <cell r="B937" t="str">
            <v xml:space="preserve">TONSIL SNARE, EVE, W/O RATCHET, 28.5CM  </v>
          </cell>
          <cell r="C937" t="str">
            <v xml:space="preserve">                                   </v>
          </cell>
          <cell r="D937" t="str">
            <v xml:space="preserve">DE        </v>
          </cell>
          <cell r="E937">
            <v>90189084</v>
          </cell>
          <cell r="F937">
            <v>1</v>
          </cell>
          <cell r="G937" t="str">
            <v xml:space="preserve">ST          </v>
          </cell>
          <cell r="H937">
            <v>166</v>
          </cell>
          <cell r="I937">
            <v>166</v>
          </cell>
        </row>
        <row r="938">
          <cell r="A938" t="str">
            <v xml:space="preserve">            </v>
          </cell>
          <cell r="B938" t="str">
            <v xml:space="preserve">Tympanoplasty                           </v>
          </cell>
          <cell r="C938" t="str">
            <v xml:space="preserve">                                   </v>
          </cell>
          <cell r="D938" t="str">
            <v xml:space="preserve">          </v>
          </cell>
          <cell r="E938" t="str">
            <v xml:space="preserve">                </v>
          </cell>
          <cell r="F938">
            <v>1</v>
          </cell>
          <cell r="G938" t="str">
            <v xml:space="preserve">            </v>
          </cell>
          <cell r="H938" t="str">
            <v xml:space="preserve">               </v>
          </cell>
          <cell r="I938" t="str">
            <v xml:space="preserve">               </v>
          </cell>
        </row>
        <row r="939">
          <cell r="A939" t="str">
            <v>09-008-42-07</v>
          </cell>
          <cell r="B939" t="str">
            <v xml:space="preserve">Elevator, Lempert, blunt, 19 cm         </v>
          </cell>
          <cell r="C939" t="str">
            <v xml:space="preserve">ALTERNATIVE                        </v>
          </cell>
          <cell r="D939" t="str">
            <v xml:space="preserve">DE        </v>
          </cell>
          <cell r="E939">
            <v>90189084</v>
          </cell>
          <cell r="F939">
            <v>1</v>
          </cell>
          <cell r="G939" t="str">
            <v xml:space="preserve">ST          </v>
          </cell>
          <cell r="H939">
            <v>57.2</v>
          </cell>
          <cell r="I939">
            <v>57.2</v>
          </cell>
        </row>
        <row r="940">
          <cell r="A940" t="str">
            <v>36-020-11-07</v>
          </cell>
          <cell r="B940" t="str">
            <v xml:space="preserve">SICKLE KNIFE, WULLSTEIN, STR., 15.5 CM  </v>
          </cell>
          <cell r="C940" t="str">
            <v xml:space="preserve">                                   </v>
          </cell>
          <cell r="D940" t="str">
            <v xml:space="preserve">DE        </v>
          </cell>
          <cell r="E940">
            <v>90189084</v>
          </cell>
          <cell r="F940">
            <v>1</v>
          </cell>
          <cell r="G940" t="str">
            <v xml:space="preserve">ST          </v>
          </cell>
          <cell r="H940">
            <v>72.099999999999994</v>
          </cell>
          <cell r="I940">
            <v>72.099999999999994</v>
          </cell>
        </row>
        <row r="941">
          <cell r="A941" t="str">
            <v>36-020-21-07</v>
          </cell>
          <cell r="B941" t="str">
            <v xml:space="preserve">Flap Knife, Plester, 2.5 MM, 16 CM      </v>
          </cell>
          <cell r="C941" t="str">
            <v xml:space="preserve">                                   </v>
          </cell>
          <cell r="D941" t="str">
            <v xml:space="preserve">DE        </v>
          </cell>
          <cell r="E941">
            <v>90189084</v>
          </cell>
          <cell r="F941">
            <v>1</v>
          </cell>
          <cell r="G941" t="str">
            <v xml:space="preserve">ST          </v>
          </cell>
          <cell r="H941">
            <v>70.3</v>
          </cell>
          <cell r="I941">
            <v>70.3</v>
          </cell>
        </row>
        <row r="942">
          <cell r="A942" t="str">
            <v>36-585-03-07</v>
          </cell>
          <cell r="B942" t="str">
            <v xml:space="preserve">HOOK, PROBE-END, WAGENER, NO. 3, 14 CM  </v>
          </cell>
          <cell r="C942" t="str">
            <v xml:space="preserve">                                   </v>
          </cell>
          <cell r="D942" t="str">
            <v xml:space="preserve">DE        </v>
          </cell>
          <cell r="E942">
            <v>90189084</v>
          </cell>
          <cell r="F942">
            <v>1</v>
          </cell>
          <cell r="G942" t="str">
            <v xml:space="preserve">ST          </v>
          </cell>
          <cell r="H942">
            <v>24.3</v>
          </cell>
          <cell r="I942">
            <v>24.3</v>
          </cell>
        </row>
        <row r="943">
          <cell r="A943" t="str">
            <v>36-036-05-07</v>
          </cell>
          <cell r="B943" t="str">
            <v xml:space="preserve">DISSECTOR, FISCH, RIGHT, ANG., 15.5 CM  </v>
          </cell>
          <cell r="C943" t="str">
            <v xml:space="preserve">                                   </v>
          </cell>
          <cell r="D943" t="str">
            <v xml:space="preserve">DE        </v>
          </cell>
          <cell r="E943">
            <v>90189084</v>
          </cell>
          <cell r="F943">
            <v>1</v>
          </cell>
          <cell r="G943" t="str">
            <v xml:space="preserve">ST          </v>
          </cell>
          <cell r="H943">
            <v>54.1</v>
          </cell>
          <cell r="I943">
            <v>54.1</v>
          </cell>
        </row>
        <row r="944">
          <cell r="A944" t="str">
            <v>36-024-01-07</v>
          </cell>
          <cell r="B944" t="str">
            <v xml:space="preserve">NEEDLE, BARBARA, STR., 16 CM            </v>
          </cell>
          <cell r="C944" t="str">
            <v xml:space="preserve">                                   </v>
          </cell>
          <cell r="D944" t="str">
            <v xml:space="preserve">DE        </v>
          </cell>
          <cell r="E944">
            <v>90189084</v>
          </cell>
          <cell r="F944">
            <v>1</v>
          </cell>
          <cell r="G944" t="str">
            <v xml:space="preserve">ST          </v>
          </cell>
          <cell r="H944">
            <v>54.1</v>
          </cell>
          <cell r="I944">
            <v>54.1</v>
          </cell>
        </row>
        <row r="945">
          <cell r="A945" t="str">
            <v>36-020-11-07</v>
          </cell>
          <cell r="B945" t="str">
            <v xml:space="preserve">SICKLE KNIFE, WULLSTEIN, STR., 15.5 CM  </v>
          </cell>
          <cell r="C945" t="str">
            <v xml:space="preserve">ALTERNATIVE                        </v>
          </cell>
          <cell r="D945" t="str">
            <v xml:space="preserve">DE        </v>
          </cell>
          <cell r="E945">
            <v>90189084</v>
          </cell>
          <cell r="F945">
            <v>1</v>
          </cell>
          <cell r="G945" t="str">
            <v xml:space="preserve">ST          </v>
          </cell>
          <cell r="H945">
            <v>72.099999999999994</v>
          </cell>
          <cell r="I945">
            <v>72.099999999999994</v>
          </cell>
        </row>
        <row r="946">
          <cell r="A946" t="str">
            <v>36-024-23-07</v>
          </cell>
          <cell r="B946" t="str">
            <v xml:space="preserve">HOOKLET, BARBARA, 90°, 1.0 MM, 16 CM    </v>
          </cell>
          <cell r="C946" t="str">
            <v xml:space="preserve">                                   </v>
          </cell>
          <cell r="D946" t="str">
            <v xml:space="preserve">DE        </v>
          </cell>
          <cell r="E946">
            <v>90189084</v>
          </cell>
          <cell r="F946">
            <v>1</v>
          </cell>
          <cell r="G946" t="str">
            <v xml:space="preserve">ST          </v>
          </cell>
          <cell r="H946">
            <v>54.1</v>
          </cell>
          <cell r="I946">
            <v>54.1</v>
          </cell>
        </row>
        <row r="947">
          <cell r="A947" t="str">
            <v>36-044-01-07</v>
          </cell>
          <cell r="B947" t="str">
            <v xml:space="preserve">EAR CURETTE, HOUSE, 1.0/1.2 MM, 14.5 CM </v>
          </cell>
          <cell r="C947" t="str">
            <v xml:space="preserve">                                   </v>
          </cell>
          <cell r="D947" t="str">
            <v xml:space="preserve">DE        </v>
          </cell>
          <cell r="E947">
            <v>90189084</v>
          </cell>
          <cell r="F947">
            <v>1</v>
          </cell>
          <cell r="G947" t="str">
            <v xml:space="preserve">ST          </v>
          </cell>
          <cell r="H947">
            <v>96.6</v>
          </cell>
          <cell r="I947">
            <v>96.6</v>
          </cell>
        </row>
        <row r="948">
          <cell r="A948" t="str">
            <v>36-044-03-07</v>
          </cell>
          <cell r="B948" t="str">
            <v xml:space="preserve">EAR CURETTE, HOUSE, 1.0/1.2 MM, 14.5 CM </v>
          </cell>
          <cell r="C948" t="str">
            <v xml:space="preserve">ALTERNATIVE                        </v>
          </cell>
          <cell r="D948" t="str">
            <v xml:space="preserve">DE        </v>
          </cell>
          <cell r="E948">
            <v>90189084</v>
          </cell>
          <cell r="F948">
            <v>1</v>
          </cell>
          <cell r="G948" t="str">
            <v xml:space="preserve">ST          </v>
          </cell>
          <cell r="H948">
            <v>97.5</v>
          </cell>
          <cell r="I948">
            <v>97.5</v>
          </cell>
        </row>
        <row r="949">
          <cell r="A949" t="str">
            <v>16-130-10-07</v>
          </cell>
          <cell r="B949" t="str">
            <v xml:space="preserve">Probe, ear, Stacke, Ø 1.0 mm, 10 cm     </v>
          </cell>
          <cell r="C949" t="str">
            <v xml:space="preserve">                                   </v>
          </cell>
          <cell r="D949" t="str">
            <v xml:space="preserve">MY        </v>
          </cell>
          <cell r="E949">
            <v>90189084</v>
          </cell>
          <cell r="F949">
            <v>1</v>
          </cell>
          <cell r="G949" t="str">
            <v xml:space="preserve">ST          </v>
          </cell>
          <cell r="H949">
            <v>16.7</v>
          </cell>
          <cell r="I949">
            <v>16.7</v>
          </cell>
        </row>
        <row r="950">
          <cell r="A950" t="str">
            <v>36-003-11-07</v>
          </cell>
          <cell r="B950" t="str">
            <v>MICRO-CUP SHAPED FCPS., STR., 3.5X0.5 MM</v>
          </cell>
          <cell r="C950" t="str">
            <v xml:space="preserve">                                   </v>
          </cell>
          <cell r="D950" t="str">
            <v xml:space="preserve">DE        </v>
          </cell>
          <cell r="E950">
            <v>90189084</v>
          </cell>
          <cell r="F950">
            <v>1</v>
          </cell>
          <cell r="G950" t="str">
            <v xml:space="preserve">ST          </v>
          </cell>
          <cell r="H950">
            <v>215</v>
          </cell>
          <cell r="I950">
            <v>215</v>
          </cell>
        </row>
        <row r="951">
          <cell r="A951" t="str">
            <v>99-999-99-99</v>
          </cell>
          <cell r="B951" t="str">
            <v xml:space="preserve">NO BID                                  </v>
          </cell>
          <cell r="C951" t="str">
            <v xml:space="preserve">                                   </v>
          </cell>
          <cell r="D951" t="str">
            <v xml:space="preserve">DE        </v>
          </cell>
          <cell r="E951">
            <v>90189084</v>
          </cell>
          <cell r="F951">
            <v>1</v>
          </cell>
          <cell r="G951" t="str">
            <v xml:space="preserve">ST          </v>
          </cell>
          <cell r="H951" t="str">
            <v xml:space="preserve">               </v>
          </cell>
          <cell r="I951" t="str">
            <v xml:space="preserve">               </v>
          </cell>
        </row>
        <row r="952">
          <cell r="A952" t="str">
            <v>36-011-01-07</v>
          </cell>
          <cell r="B952" t="str">
            <v xml:space="preserve">MALLEUS NIPPER, UPWARDS, 1.3 MM         </v>
          </cell>
          <cell r="C952" t="str">
            <v xml:space="preserve">                                   </v>
          </cell>
          <cell r="D952" t="str">
            <v xml:space="preserve">DE        </v>
          </cell>
          <cell r="E952">
            <v>90189084</v>
          </cell>
          <cell r="F952">
            <v>1</v>
          </cell>
          <cell r="G952" t="str">
            <v xml:space="preserve">ST          </v>
          </cell>
          <cell r="H952">
            <v>240</v>
          </cell>
          <cell r="I952">
            <v>240</v>
          </cell>
        </row>
        <row r="953">
          <cell r="A953" t="str">
            <v>36-005-01-07</v>
          </cell>
          <cell r="B953" t="str">
            <v xml:space="preserve">MICRO-EAR SCISSORS, BELLUCI, STR., 4 MM </v>
          </cell>
          <cell r="C953" t="str">
            <v xml:space="preserve">                                   </v>
          </cell>
          <cell r="D953" t="str">
            <v xml:space="preserve">DE        </v>
          </cell>
          <cell r="E953">
            <v>90189084</v>
          </cell>
          <cell r="F953">
            <v>1</v>
          </cell>
          <cell r="G953" t="str">
            <v xml:space="preserve">ST          </v>
          </cell>
          <cell r="H953">
            <v>241.5</v>
          </cell>
          <cell r="I953">
            <v>241.5</v>
          </cell>
        </row>
        <row r="954">
          <cell r="A954" t="str">
            <v>18-523-06-01</v>
          </cell>
          <cell r="B954" t="str">
            <v>Suction tube, Frazier, ø 2.0 mm, 19.5 cm</v>
          </cell>
          <cell r="C954" t="str">
            <v xml:space="preserve">                                   </v>
          </cell>
          <cell r="D954" t="str">
            <v xml:space="preserve">MY        </v>
          </cell>
          <cell r="E954">
            <v>90183900</v>
          </cell>
          <cell r="F954">
            <v>1</v>
          </cell>
          <cell r="G954" t="str">
            <v xml:space="preserve">ST          </v>
          </cell>
          <cell r="H954">
            <v>21.7</v>
          </cell>
          <cell r="I954">
            <v>21.7</v>
          </cell>
        </row>
        <row r="955">
          <cell r="A955" t="str">
            <v>18-523-08-01</v>
          </cell>
          <cell r="B955" t="str">
            <v>Suction tube, Frazier, ø 2.7 mm, 19.5 cm</v>
          </cell>
          <cell r="C955" t="str">
            <v xml:space="preserve">                                   </v>
          </cell>
          <cell r="D955" t="str">
            <v xml:space="preserve">MY        </v>
          </cell>
          <cell r="E955">
            <v>90183900</v>
          </cell>
          <cell r="F955">
            <v>1</v>
          </cell>
          <cell r="G955" t="str">
            <v xml:space="preserve">ST          </v>
          </cell>
          <cell r="H955">
            <v>21.7</v>
          </cell>
          <cell r="I955">
            <v>21.7</v>
          </cell>
        </row>
        <row r="956">
          <cell r="A956" t="str">
            <v>18-523-09-01</v>
          </cell>
          <cell r="B956" t="str">
            <v>Suction tube, Frazier, ø 3.0 mm, 19.5 cm</v>
          </cell>
          <cell r="C956" t="str">
            <v xml:space="preserve">                                   </v>
          </cell>
          <cell r="D956" t="str">
            <v xml:space="preserve">MY        </v>
          </cell>
          <cell r="E956">
            <v>90183900</v>
          </cell>
          <cell r="F956">
            <v>1</v>
          </cell>
          <cell r="G956" t="str">
            <v xml:space="preserve">ST          </v>
          </cell>
          <cell r="H956">
            <v>21.7</v>
          </cell>
          <cell r="I956">
            <v>21.7</v>
          </cell>
        </row>
        <row r="957">
          <cell r="A957" t="str">
            <v>18-527-01-01</v>
          </cell>
          <cell r="B957" t="str">
            <v xml:space="preserve">Suction handle acc. to Wullstein        </v>
          </cell>
          <cell r="C957" t="str">
            <v xml:space="preserve">                                   </v>
          </cell>
          <cell r="D957" t="str">
            <v xml:space="preserve">DE        </v>
          </cell>
          <cell r="E957">
            <v>90189084</v>
          </cell>
          <cell r="F957">
            <v>1</v>
          </cell>
          <cell r="G957" t="str">
            <v xml:space="preserve">ST          </v>
          </cell>
          <cell r="H957">
            <v>43.2</v>
          </cell>
          <cell r="I957">
            <v>43.2</v>
          </cell>
        </row>
        <row r="958">
          <cell r="A958" t="str">
            <v>18-527-04-01</v>
          </cell>
          <cell r="B958" t="str">
            <v xml:space="preserve">Micro-Suction tip, Wullstein, ø 0.4 mm  </v>
          </cell>
          <cell r="C958" t="str">
            <v xml:space="preserve">                                   </v>
          </cell>
          <cell r="D958" t="str">
            <v xml:space="preserve">DE        </v>
          </cell>
          <cell r="E958">
            <v>90183900</v>
          </cell>
          <cell r="F958">
            <v>1</v>
          </cell>
          <cell r="G958" t="str">
            <v xml:space="preserve">ST          </v>
          </cell>
          <cell r="H958">
            <v>13.1</v>
          </cell>
          <cell r="I958">
            <v>13.1</v>
          </cell>
        </row>
        <row r="959">
          <cell r="A959" t="str">
            <v>18-527-06-01</v>
          </cell>
          <cell r="B959" t="str">
            <v xml:space="preserve">Micro-Suction tip, Wullstein, ø 0.6 mm  </v>
          </cell>
          <cell r="C959" t="str">
            <v xml:space="preserve">                                   </v>
          </cell>
          <cell r="D959" t="str">
            <v xml:space="preserve">DE        </v>
          </cell>
          <cell r="E959">
            <v>90183900</v>
          </cell>
          <cell r="F959">
            <v>1</v>
          </cell>
          <cell r="G959" t="str">
            <v xml:space="preserve">ST          </v>
          </cell>
          <cell r="H959">
            <v>13.1</v>
          </cell>
          <cell r="I959">
            <v>13.1</v>
          </cell>
        </row>
        <row r="960">
          <cell r="A960" t="str">
            <v>18-527-08-01</v>
          </cell>
          <cell r="B960" t="str">
            <v xml:space="preserve">Micro-Suction tip, Wullstein, ø 0.8 mm  </v>
          </cell>
          <cell r="C960" t="str">
            <v xml:space="preserve">                                   </v>
          </cell>
          <cell r="D960" t="str">
            <v xml:space="preserve">DE        </v>
          </cell>
          <cell r="E960">
            <v>90183900</v>
          </cell>
          <cell r="F960">
            <v>1</v>
          </cell>
          <cell r="G960" t="str">
            <v xml:space="preserve">ST          </v>
          </cell>
          <cell r="H960">
            <v>13.1</v>
          </cell>
          <cell r="I960">
            <v>13.1</v>
          </cell>
        </row>
        <row r="961">
          <cell r="A961" t="str">
            <v>18-647-20-07</v>
          </cell>
          <cell r="B961" t="str">
            <v xml:space="preserve">Suction cannula, ø 2.0 mm, 16 cm        </v>
          </cell>
          <cell r="C961" t="str">
            <v xml:space="preserve">                                   </v>
          </cell>
          <cell r="D961" t="str">
            <v xml:space="preserve">MY        </v>
          </cell>
          <cell r="E961">
            <v>90183900</v>
          </cell>
          <cell r="F961">
            <v>1</v>
          </cell>
          <cell r="G961" t="str">
            <v xml:space="preserve">ST          </v>
          </cell>
          <cell r="H961">
            <v>36.200000000000003</v>
          </cell>
          <cell r="I961">
            <v>36.200000000000003</v>
          </cell>
        </row>
        <row r="962">
          <cell r="A962" t="str">
            <v>15-756-13-07</v>
          </cell>
          <cell r="B962" t="str">
            <v xml:space="preserve">SPREADER, PLESTER, SHARP, 2X2 T., 13 CM </v>
          </cell>
          <cell r="C962" t="str">
            <v xml:space="preserve">                                   </v>
          </cell>
          <cell r="D962" t="str">
            <v xml:space="preserve">MY        </v>
          </cell>
          <cell r="E962">
            <v>90189084</v>
          </cell>
          <cell r="F962">
            <v>1</v>
          </cell>
          <cell r="G962" t="str">
            <v xml:space="preserve">ST          </v>
          </cell>
          <cell r="H962">
            <v>138.5</v>
          </cell>
          <cell r="I962">
            <v>138.5</v>
          </cell>
        </row>
        <row r="963">
          <cell r="A963" t="str">
            <v>15-757-11-07</v>
          </cell>
          <cell r="B963" t="str">
            <v xml:space="preserve">SPREADER, PLESTER, BLUNT, L., 10.5 CM   </v>
          </cell>
          <cell r="C963" t="str">
            <v xml:space="preserve">                                   </v>
          </cell>
          <cell r="D963" t="str">
            <v xml:space="preserve">MY        </v>
          </cell>
          <cell r="E963">
            <v>90189084</v>
          </cell>
          <cell r="F963">
            <v>1</v>
          </cell>
          <cell r="G963" t="str">
            <v xml:space="preserve">ST          </v>
          </cell>
          <cell r="H963">
            <v>154</v>
          </cell>
          <cell r="I963">
            <v>154</v>
          </cell>
        </row>
        <row r="964">
          <cell r="A964" t="str">
            <v>15-759-11-07</v>
          </cell>
          <cell r="B964" t="str">
            <v xml:space="preserve">SPREADER, PLESTER, BLUNT, R., 10.5 CM   </v>
          </cell>
          <cell r="C964" t="str">
            <v xml:space="preserve">                                   </v>
          </cell>
          <cell r="D964" t="str">
            <v xml:space="preserve">MY        </v>
          </cell>
          <cell r="E964">
            <v>90189084</v>
          </cell>
          <cell r="F964">
            <v>1</v>
          </cell>
          <cell r="G964" t="str">
            <v xml:space="preserve">ST          </v>
          </cell>
          <cell r="H964">
            <v>154</v>
          </cell>
          <cell r="I964">
            <v>154</v>
          </cell>
        </row>
        <row r="965">
          <cell r="A965" t="str">
            <v>36-022-04-07</v>
          </cell>
          <cell r="B965" t="str">
            <v xml:space="preserve">Round Cutt. Knife, Rosen, 2.0 MM, 16 CM </v>
          </cell>
          <cell r="C965" t="str">
            <v xml:space="preserve">                                   </v>
          </cell>
          <cell r="D965" t="str">
            <v xml:space="preserve">DE        </v>
          </cell>
          <cell r="E965">
            <v>90189084</v>
          </cell>
          <cell r="F965">
            <v>1</v>
          </cell>
          <cell r="G965" t="str">
            <v xml:space="preserve">ST          </v>
          </cell>
          <cell r="H965">
            <v>72</v>
          </cell>
          <cell r="I965">
            <v>72</v>
          </cell>
        </row>
        <row r="966">
          <cell r="A966" t="str">
            <v>36-024-24-07</v>
          </cell>
          <cell r="B966" t="str">
            <v xml:space="preserve">HOOKLET, BARBARA, 90°, 1.2 MM, 16 CM    </v>
          </cell>
          <cell r="C966" t="str">
            <v xml:space="preserve">                                   </v>
          </cell>
          <cell r="D966" t="str">
            <v xml:space="preserve">DE        </v>
          </cell>
          <cell r="E966">
            <v>90189084</v>
          </cell>
          <cell r="F966">
            <v>1</v>
          </cell>
          <cell r="G966" t="str">
            <v xml:space="preserve">ST          </v>
          </cell>
          <cell r="H966">
            <v>54.1</v>
          </cell>
          <cell r="I966">
            <v>54.1</v>
          </cell>
        </row>
        <row r="967">
          <cell r="A967" t="str">
            <v>36-495-10-07</v>
          </cell>
          <cell r="B967" t="str">
            <v xml:space="preserve">EAR CURETTE, BUCK, STR., BLUNT, NO. 0   </v>
          </cell>
          <cell r="C967" t="str">
            <v xml:space="preserve">                                   </v>
          </cell>
          <cell r="D967" t="str">
            <v xml:space="preserve">DE        </v>
          </cell>
          <cell r="E967">
            <v>90189084</v>
          </cell>
          <cell r="F967">
            <v>1</v>
          </cell>
          <cell r="G967" t="str">
            <v xml:space="preserve">ST          </v>
          </cell>
          <cell r="H967">
            <v>20.6</v>
          </cell>
          <cell r="I967">
            <v>20.6</v>
          </cell>
        </row>
        <row r="968">
          <cell r="A968" t="str">
            <v>36-001-11-07</v>
          </cell>
          <cell r="B968" t="str">
            <v xml:space="preserve">MINI-ALLIGATOR FORCEPS, MCGEE, SMOOTH   </v>
          </cell>
          <cell r="C968" t="str">
            <v xml:space="preserve">                                   </v>
          </cell>
          <cell r="D968" t="str">
            <v xml:space="preserve">DE        </v>
          </cell>
          <cell r="E968">
            <v>90189084</v>
          </cell>
          <cell r="F968">
            <v>1</v>
          </cell>
          <cell r="G968" t="str">
            <v xml:space="preserve">ST          </v>
          </cell>
          <cell r="H968">
            <v>290</v>
          </cell>
          <cell r="I968">
            <v>290</v>
          </cell>
        </row>
        <row r="969">
          <cell r="A969" t="str">
            <v>13-310-12-07</v>
          </cell>
          <cell r="B969" t="str">
            <v xml:space="preserve">HAEM. FORCEPS, MOSQUITO, STR., 12.5 CM  </v>
          </cell>
          <cell r="C969" t="str">
            <v xml:space="preserve">                                   </v>
          </cell>
          <cell r="D969" t="str">
            <v xml:space="preserve">MY        </v>
          </cell>
          <cell r="E969">
            <v>90189084</v>
          </cell>
          <cell r="F969">
            <v>1</v>
          </cell>
          <cell r="G969" t="str">
            <v xml:space="preserve">ST          </v>
          </cell>
          <cell r="H969">
            <v>22.4</v>
          </cell>
          <cell r="I969">
            <v>22.4</v>
          </cell>
        </row>
        <row r="970">
          <cell r="A970" t="str">
            <v>18-523-07-01</v>
          </cell>
          <cell r="B970" t="str">
            <v>Suction tube, Frazier, ø 2.3 mm, 19.5 cm</v>
          </cell>
          <cell r="C970" t="str">
            <v xml:space="preserve">                                   </v>
          </cell>
          <cell r="D970" t="str">
            <v xml:space="preserve">MY        </v>
          </cell>
          <cell r="E970">
            <v>90183900</v>
          </cell>
          <cell r="F970">
            <v>1</v>
          </cell>
          <cell r="G970" t="str">
            <v xml:space="preserve">ST          </v>
          </cell>
          <cell r="H970">
            <v>21.7</v>
          </cell>
          <cell r="I970">
            <v>21.7</v>
          </cell>
        </row>
        <row r="971">
          <cell r="A971" t="str">
            <v>36-022-03-07</v>
          </cell>
          <cell r="B971" t="str">
            <v>Round Cutt. Knife, Rosen,  2.6 MM, 16 CM</v>
          </cell>
          <cell r="C971" t="str">
            <v xml:space="preserve">                                   </v>
          </cell>
          <cell r="D971" t="str">
            <v xml:space="preserve">DE        </v>
          </cell>
          <cell r="E971">
            <v>90189084</v>
          </cell>
          <cell r="F971">
            <v>1</v>
          </cell>
          <cell r="G971" t="str">
            <v xml:space="preserve">ST          </v>
          </cell>
          <cell r="H971">
            <v>72</v>
          </cell>
          <cell r="I971">
            <v>72</v>
          </cell>
        </row>
        <row r="972">
          <cell r="A972" t="str">
            <v>36-022-07-07</v>
          </cell>
          <cell r="B972" t="str">
            <v xml:space="preserve">Round Cutt. Knife, Rosen, 1.0 MM, 16 CM </v>
          </cell>
          <cell r="C972" t="str">
            <v xml:space="preserve">                                   </v>
          </cell>
          <cell r="D972" t="str">
            <v xml:space="preserve">DE        </v>
          </cell>
          <cell r="E972">
            <v>90189084</v>
          </cell>
          <cell r="F972">
            <v>1</v>
          </cell>
          <cell r="G972" t="str">
            <v xml:space="preserve">ST          </v>
          </cell>
          <cell r="H972">
            <v>72</v>
          </cell>
          <cell r="I972">
            <v>72</v>
          </cell>
        </row>
        <row r="973">
          <cell r="A973" t="str">
            <v>36-036-01-07</v>
          </cell>
          <cell r="B973" t="str">
            <v xml:space="preserve">DISSECTOR, FISCH, RIGHT, CVD., 15 CM    </v>
          </cell>
          <cell r="C973" t="str">
            <v xml:space="preserve">                                   </v>
          </cell>
          <cell r="D973" t="str">
            <v xml:space="preserve">DE        </v>
          </cell>
          <cell r="E973">
            <v>90189084</v>
          </cell>
          <cell r="F973">
            <v>1</v>
          </cell>
          <cell r="G973" t="str">
            <v xml:space="preserve">ST          </v>
          </cell>
          <cell r="H973">
            <v>54.1</v>
          </cell>
          <cell r="I973">
            <v>54.1</v>
          </cell>
        </row>
        <row r="974">
          <cell r="A974" t="str">
            <v>36-036-02-07</v>
          </cell>
          <cell r="B974" t="str">
            <v xml:space="preserve">DISSECTOR, FISCH, LEFT, CVD., 15 CM     </v>
          </cell>
          <cell r="C974" t="str">
            <v xml:space="preserve">                                   </v>
          </cell>
          <cell r="D974" t="str">
            <v xml:space="preserve">DE        </v>
          </cell>
          <cell r="E974">
            <v>90189084</v>
          </cell>
          <cell r="F974">
            <v>1</v>
          </cell>
          <cell r="G974" t="str">
            <v xml:space="preserve">ST          </v>
          </cell>
          <cell r="H974">
            <v>54.1</v>
          </cell>
          <cell r="I974">
            <v>54.1</v>
          </cell>
        </row>
        <row r="975">
          <cell r="A975" t="str">
            <v xml:space="preserve">            </v>
          </cell>
          <cell r="B975" t="str">
            <v xml:space="preserve">Myringotomy set                         </v>
          </cell>
          <cell r="C975" t="str">
            <v xml:space="preserve">                                   </v>
          </cell>
          <cell r="D975" t="str">
            <v xml:space="preserve">          </v>
          </cell>
          <cell r="E975" t="str">
            <v xml:space="preserve">                </v>
          </cell>
          <cell r="F975">
            <v>1</v>
          </cell>
          <cell r="G975" t="str">
            <v xml:space="preserve">            </v>
          </cell>
          <cell r="H975" t="str">
            <v xml:space="preserve">               </v>
          </cell>
          <cell r="I975" t="str">
            <v xml:space="preserve">               </v>
          </cell>
        </row>
        <row r="976">
          <cell r="A976" t="str">
            <v>11-630-11-07</v>
          </cell>
          <cell r="B976" t="str">
            <v xml:space="preserve">IRIS SCISSORS, SH/SH, STR., 11.5 CM     </v>
          </cell>
          <cell r="C976" t="str">
            <v xml:space="preserve">                                   </v>
          </cell>
          <cell r="D976" t="str">
            <v xml:space="preserve">DE        </v>
          </cell>
          <cell r="E976">
            <v>90189084</v>
          </cell>
          <cell r="F976">
            <v>1</v>
          </cell>
          <cell r="G976" t="str">
            <v xml:space="preserve">ST          </v>
          </cell>
          <cell r="H976">
            <v>22.3</v>
          </cell>
          <cell r="I976">
            <v>22.3</v>
          </cell>
        </row>
        <row r="977">
          <cell r="A977" t="str">
            <v>18-528-10-01</v>
          </cell>
          <cell r="B977" t="str">
            <v>Suct. tube, Baron-Schuknecht, ø1.0, 75mm</v>
          </cell>
          <cell r="C977" t="str">
            <v xml:space="preserve">                                   </v>
          </cell>
          <cell r="D977" t="str">
            <v xml:space="preserve">DE        </v>
          </cell>
          <cell r="E977">
            <v>90189084</v>
          </cell>
          <cell r="F977">
            <v>1</v>
          </cell>
          <cell r="G977" t="str">
            <v xml:space="preserve">ST          </v>
          </cell>
          <cell r="H977">
            <v>38.5</v>
          </cell>
          <cell r="I977">
            <v>38.5</v>
          </cell>
        </row>
        <row r="978">
          <cell r="A978" t="str">
            <v>18-528-15-01</v>
          </cell>
          <cell r="B978" t="str">
            <v>Suct. tube, Baron-Schuknecht, ø1.5, 75mm</v>
          </cell>
          <cell r="C978" t="str">
            <v xml:space="preserve">                                   </v>
          </cell>
          <cell r="D978" t="str">
            <v xml:space="preserve">DE        </v>
          </cell>
          <cell r="E978">
            <v>90189084</v>
          </cell>
          <cell r="F978">
            <v>1</v>
          </cell>
          <cell r="G978" t="str">
            <v xml:space="preserve">ST          </v>
          </cell>
          <cell r="H978">
            <v>38.5</v>
          </cell>
          <cell r="I978">
            <v>38.5</v>
          </cell>
        </row>
        <row r="979">
          <cell r="A979" t="str">
            <v>18-528-20-01</v>
          </cell>
          <cell r="B979" t="str">
            <v>Suct. tube, Baron-Schuknecht, ø2.0, 75mm</v>
          </cell>
          <cell r="C979" t="str">
            <v xml:space="preserve">                                   </v>
          </cell>
          <cell r="D979" t="str">
            <v xml:space="preserve">DE        </v>
          </cell>
          <cell r="E979">
            <v>90189084</v>
          </cell>
          <cell r="F979">
            <v>1</v>
          </cell>
          <cell r="G979" t="str">
            <v xml:space="preserve">ST          </v>
          </cell>
          <cell r="H979">
            <v>38.5</v>
          </cell>
          <cell r="I979">
            <v>38.5</v>
          </cell>
        </row>
        <row r="980">
          <cell r="A980" t="str">
            <v>36-381-13-07</v>
          </cell>
          <cell r="B980" t="str">
            <v xml:space="preserve">EAR FORCEPS, TROELTSCH, BULLD., 12.5 CM </v>
          </cell>
          <cell r="C980" t="str">
            <v xml:space="preserve">                                   </v>
          </cell>
          <cell r="D980" t="str">
            <v xml:space="preserve">DE        </v>
          </cell>
          <cell r="E980">
            <v>90189084</v>
          </cell>
          <cell r="F980">
            <v>1</v>
          </cell>
          <cell r="G980" t="str">
            <v xml:space="preserve">ST          </v>
          </cell>
          <cell r="H980">
            <v>47.3</v>
          </cell>
          <cell r="I980">
            <v>47.3</v>
          </cell>
        </row>
        <row r="981">
          <cell r="A981" t="str">
            <v>36-375-12-07</v>
          </cell>
          <cell r="B981" t="str">
            <v xml:space="preserve">EAR DRESS. FORCEPS, TROELTSCH, 11 CM    </v>
          </cell>
          <cell r="C981" t="str">
            <v xml:space="preserve">                                   </v>
          </cell>
          <cell r="D981" t="str">
            <v xml:space="preserve">MY        </v>
          </cell>
          <cell r="E981">
            <v>90189084</v>
          </cell>
          <cell r="F981">
            <v>1</v>
          </cell>
          <cell r="G981" t="str">
            <v xml:space="preserve">ST          </v>
          </cell>
          <cell r="H981">
            <v>20.7</v>
          </cell>
          <cell r="I981">
            <v>20.7</v>
          </cell>
        </row>
        <row r="982">
          <cell r="A982" t="str">
            <v>36-498-10-07</v>
          </cell>
          <cell r="B982" t="str">
            <v xml:space="preserve">EAR CURETTE, BUCK, CVD., SHARP, NO. 0   </v>
          </cell>
          <cell r="C982" t="str">
            <v xml:space="preserve">ALTERNATIVE                        </v>
          </cell>
          <cell r="D982" t="str">
            <v xml:space="preserve">DE        </v>
          </cell>
          <cell r="E982">
            <v>90189084</v>
          </cell>
          <cell r="F982">
            <v>1</v>
          </cell>
          <cell r="G982" t="str">
            <v xml:space="preserve">ST          </v>
          </cell>
          <cell r="H982">
            <v>21.4</v>
          </cell>
          <cell r="I982">
            <v>21.4</v>
          </cell>
        </row>
        <row r="983">
          <cell r="A983" t="str">
            <v>36-495-10-07</v>
          </cell>
          <cell r="B983" t="str">
            <v xml:space="preserve">EAR CURETTE, BUCK, STR., BLUNT, NO. 0   </v>
          </cell>
          <cell r="C983" t="str">
            <v xml:space="preserve">                                   </v>
          </cell>
          <cell r="D983" t="str">
            <v xml:space="preserve">DE        </v>
          </cell>
          <cell r="E983">
            <v>90189084</v>
          </cell>
          <cell r="F983">
            <v>1</v>
          </cell>
          <cell r="G983" t="str">
            <v xml:space="preserve">ST          </v>
          </cell>
          <cell r="H983">
            <v>20.6</v>
          </cell>
          <cell r="I983">
            <v>20.6</v>
          </cell>
        </row>
        <row r="984">
          <cell r="A984" t="str">
            <v>36-112-12-01</v>
          </cell>
          <cell r="B984" t="str">
            <v xml:space="preserve">EAR SPECULUM, HARTMANN, NO. 2, Ø 5.0 MM </v>
          </cell>
          <cell r="C984" t="str">
            <v xml:space="preserve">                                   </v>
          </cell>
          <cell r="D984" t="str">
            <v xml:space="preserve">DE        </v>
          </cell>
          <cell r="E984">
            <v>90189084</v>
          </cell>
          <cell r="F984">
            <v>1</v>
          </cell>
          <cell r="G984" t="str">
            <v xml:space="preserve">ST          </v>
          </cell>
          <cell r="H984">
            <v>10.6</v>
          </cell>
          <cell r="I984">
            <v>10.6</v>
          </cell>
        </row>
        <row r="985">
          <cell r="A985" t="str">
            <v>16-420-16-01</v>
          </cell>
          <cell r="B985" t="str">
            <v xml:space="preserve">COTTON APPLIC., FARELL, Ø 1,1 MM, 16 CM </v>
          </cell>
          <cell r="C985" t="str">
            <v xml:space="preserve">                                   </v>
          </cell>
          <cell r="D985" t="str">
            <v xml:space="preserve">MY        </v>
          </cell>
          <cell r="E985">
            <v>90189084</v>
          </cell>
          <cell r="F985">
            <v>1</v>
          </cell>
          <cell r="G985" t="str">
            <v xml:space="preserve">ST          </v>
          </cell>
          <cell r="H985">
            <v>7.86</v>
          </cell>
          <cell r="I985">
            <v>7.86</v>
          </cell>
        </row>
        <row r="986">
          <cell r="A986" t="str">
            <v xml:space="preserve">            </v>
          </cell>
          <cell r="B986" t="str">
            <v xml:space="preserve">Basic ear microsurgery set.             </v>
          </cell>
          <cell r="C986" t="str">
            <v xml:space="preserve">                                   </v>
          </cell>
          <cell r="D986" t="str">
            <v xml:space="preserve">          </v>
          </cell>
          <cell r="E986" t="str">
            <v xml:space="preserve">                </v>
          </cell>
          <cell r="F986">
            <v>1</v>
          </cell>
          <cell r="G986" t="str">
            <v xml:space="preserve">            </v>
          </cell>
          <cell r="H986" t="str">
            <v xml:space="preserve">               </v>
          </cell>
          <cell r="I986" t="str">
            <v xml:space="preserve">               </v>
          </cell>
        </row>
        <row r="987">
          <cell r="A987" t="str">
            <v>36-845-01-07</v>
          </cell>
          <cell r="B987" t="str">
            <v xml:space="preserve">NASAL SPECULUM, HARTMANN-HALLE, NO. 1   </v>
          </cell>
          <cell r="C987" t="str">
            <v xml:space="preserve">                                   </v>
          </cell>
          <cell r="D987" t="str">
            <v xml:space="preserve">DE        </v>
          </cell>
          <cell r="E987">
            <v>90189084</v>
          </cell>
          <cell r="F987">
            <v>1</v>
          </cell>
          <cell r="G987" t="str">
            <v xml:space="preserve">ST          </v>
          </cell>
          <cell r="H987">
            <v>108</v>
          </cell>
          <cell r="I987">
            <v>108</v>
          </cell>
        </row>
        <row r="988">
          <cell r="A988" t="str">
            <v>37-521-04-07</v>
          </cell>
          <cell r="B988" t="str">
            <v xml:space="preserve">SEPTUM ELEVATOR, MCKENTY, 4 MM, 15 CM   </v>
          </cell>
          <cell r="C988" t="str">
            <v xml:space="preserve">                                   </v>
          </cell>
          <cell r="D988" t="str">
            <v xml:space="preserve">DE        </v>
          </cell>
          <cell r="E988">
            <v>90189084</v>
          </cell>
          <cell r="F988">
            <v>1</v>
          </cell>
          <cell r="G988" t="str">
            <v xml:space="preserve">ST          </v>
          </cell>
          <cell r="H988">
            <v>46.5</v>
          </cell>
          <cell r="I988">
            <v>46.5</v>
          </cell>
        </row>
        <row r="989">
          <cell r="A989" t="str">
            <v>09-008-47-07</v>
          </cell>
          <cell r="B989" t="str">
            <v xml:space="preserve">Raspatory, Lempert, 3.0 mm, 17 cm       </v>
          </cell>
          <cell r="C989" t="str">
            <v xml:space="preserve">                                   </v>
          </cell>
          <cell r="D989" t="str">
            <v xml:space="preserve">DE        </v>
          </cell>
          <cell r="E989">
            <v>90189084</v>
          </cell>
          <cell r="F989">
            <v>1</v>
          </cell>
          <cell r="G989" t="str">
            <v xml:space="preserve">ST          </v>
          </cell>
          <cell r="H989">
            <v>71.5</v>
          </cell>
          <cell r="I989">
            <v>71.5</v>
          </cell>
        </row>
        <row r="990">
          <cell r="A990" t="str">
            <v>12-100-11-07</v>
          </cell>
          <cell r="B990" t="str">
            <v xml:space="preserve">DRESSING FORCEPS, 11.5 CM               </v>
          </cell>
          <cell r="C990" t="str">
            <v xml:space="preserve">                                   </v>
          </cell>
          <cell r="D990" t="str">
            <v xml:space="preserve">MY        </v>
          </cell>
          <cell r="E990">
            <v>90189084</v>
          </cell>
          <cell r="F990">
            <v>1</v>
          </cell>
          <cell r="G990" t="str">
            <v xml:space="preserve">ST          </v>
          </cell>
          <cell r="H990">
            <v>11.6</v>
          </cell>
          <cell r="I990">
            <v>11.6</v>
          </cell>
        </row>
        <row r="991">
          <cell r="A991" t="str">
            <v>12-126-14-07</v>
          </cell>
          <cell r="B991" t="str">
            <v xml:space="preserve">DRESSING FORCEPS, DELICATE, 14.5 CM     </v>
          </cell>
          <cell r="C991" t="str">
            <v xml:space="preserve">                                   </v>
          </cell>
          <cell r="D991" t="str">
            <v xml:space="preserve">DE        </v>
          </cell>
          <cell r="E991">
            <v>90189084</v>
          </cell>
          <cell r="F991">
            <v>1</v>
          </cell>
          <cell r="G991" t="str">
            <v xml:space="preserve">ST          </v>
          </cell>
          <cell r="H991">
            <v>13.7</v>
          </cell>
          <cell r="I991">
            <v>13.7</v>
          </cell>
        </row>
        <row r="992">
          <cell r="A992" t="str">
            <v>11-107-11-07</v>
          </cell>
          <cell r="B992" t="str">
            <v xml:space="preserve">OPERATING SCISSORS, SH/BL, CVD., 12 CM  </v>
          </cell>
          <cell r="C992" t="str">
            <v xml:space="preserve">                                   </v>
          </cell>
          <cell r="D992" t="str">
            <v xml:space="preserve">DE        </v>
          </cell>
          <cell r="E992">
            <v>90189084</v>
          </cell>
          <cell r="F992">
            <v>1</v>
          </cell>
          <cell r="G992" t="str">
            <v xml:space="preserve">ST          </v>
          </cell>
          <cell r="H992">
            <v>18.8</v>
          </cell>
          <cell r="I992">
            <v>18.8</v>
          </cell>
        </row>
        <row r="993">
          <cell r="A993" t="str">
            <v>15-756-13-07</v>
          </cell>
          <cell r="B993" t="str">
            <v xml:space="preserve">SPREADER, PLESTER, SHARP, 2X2 T., 13 CM </v>
          </cell>
          <cell r="C993" t="str">
            <v xml:space="preserve">                                   </v>
          </cell>
          <cell r="D993" t="str">
            <v xml:space="preserve">MY        </v>
          </cell>
          <cell r="E993">
            <v>90189084</v>
          </cell>
          <cell r="F993">
            <v>1</v>
          </cell>
          <cell r="G993" t="str">
            <v xml:space="preserve">ST          </v>
          </cell>
          <cell r="H993">
            <v>138.5</v>
          </cell>
          <cell r="I993">
            <v>138.5</v>
          </cell>
        </row>
        <row r="994">
          <cell r="A994" t="str">
            <v>15-757-11-07</v>
          </cell>
          <cell r="B994" t="str">
            <v xml:space="preserve">SPREADER, PLESTER, BLUNT, L., 10.5 CM   </v>
          </cell>
          <cell r="C994" t="str">
            <v xml:space="preserve">                                   </v>
          </cell>
          <cell r="D994" t="str">
            <v xml:space="preserve">MY        </v>
          </cell>
          <cell r="E994">
            <v>90189084</v>
          </cell>
          <cell r="F994">
            <v>1</v>
          </cell>
          <cell r="G994" t="str">
            <v xml:space="preserve">ST          </v>
          </cell>
          <cell r="H994">
            <v>154</v>
          </cell>
          <cell r="I994">
            <v>154</v>
          </cell>
        </row>
        <row r="995">
          <cell r="A995" t="str">
            <v>15-759-11-07</v>
          </cell>
          <cell r="B995" t="str">
            <v xml:space="preserve">SPREADER, PLESTER, BLUNT, R., 10.5 CM   </v>
          </cell>
          <cell r="C995" t="str">
            <v xml:space="preserve">                                   </v>
          </cell>
          <cell r="D995" t="str">
            <v xml:space="preserve">MY        </v>
          </cell>
          <cell r="E995">
            <v>90189084</v>
          </cell>
          <cell r="F995">
            <v>1</v>
          </cell>
          <cell r="G995" t="str">
            <v xml:space="preserve">ST          </v>
          </cell>
          <cell r="H995">
            <v>154</v>
          </cell>
          <cell r="I995">
            <v>154</v>
          </cell>
        </row>
        <row r="996">
          <cell r="A996" t="str">
            <v>15-074-01-07</v>
          </cell>
          <cell r="B996" t="str">
            <v xml:space="preserve">HOOKLET, SHARP, 1-PR., 16.5 CM          </v>
          </cell>
          <cell r="C996" t="str">
            <v xml:space="preserve">                                   </v>
          </cell>
          <cell r="D996" t="str">
            <v xml:space="preserve">DE        </v>
          </cell>
          <cell r="E996">
            <v>90189084</v>
          </cell>
          <cell r="F996">
            <v>1</v>
          </cell>
          <cell r="G996" t="str">
            <v xml:space="preserve">ST          </v>
          </cell>
          <cell r="H996">
            <v>29</v>
          </cell>
          <cell r="I996">
            <v>29</v>
          </cell>
        </row>
        <row r="997">
          <cell r="A997" t="str">
            <v>10-130-03-07</v>
          </cell>
          <cell r="B997" t="str">
            <v xml:space="preserve">SCALPEL HANDLE, NO. 3, 12 CM            </v>
          </cell>
          <cell r="C997" t="str">
            <v xml:space="preserve">                                   </v>
          </cell>
          <cell r="D997" t="str">
            <v xml:space="preserve">DE        </v>
          </cell>
          <cell r="E997">
            <v>90189084</v>
          </cell>
          <cell r="F997">
            <v>2</v>
          </cell>
          <cell r="G997" t="str">
            <v xml:space="preserve">ST          </v>
          </cell>
          <cell r="H997">
            <v>13.1</v>
          </cell>
          <cell r="I997">
            <v>26.2</v>
          </cell>
        </row>
        <row r="998">
          <cell r="A998" t="str">
            <v>11-107-14-07</v>
          </cell>
          <cell r="B998" t="str">
            <v>OPERATING SCISSORS, SH/BL, CVD., 14.5 CM</v>
          </cell>
          <cell r="C998" t="str">
            <v xml:space="preserve">                                   </v>
          </cell>
          <cell r="D998" t="str">
            <v xml:space="preserve">DE        </v>
          </cell>
          <cell r="E998">
            <v>90189084</v>
          </cell>
          <cell r="F998">
            <v>1</v>
          </cell>
          <cell r="G998" t="str">
            <v xml:space="preserve">ST          </v>
          </cell>
          <cell r="H998">
            <v>20.5</v>
          </cell>
          <cell r="I998">
            <v>20.5</v>
          </cell>
        </row>
        <row r="999">
          <cell r="A999" t="str">
            <v>13-410-14-07</v>
          </cell>
          <cell r="B999" t="str">
            <v>HAEMOSTATIC FORCEPS, PEAN, STR., 14.5 CM</v>
          </cell>
          <cell r="C999" t="str">
            <v xml:space="preserve">                                   </v>
          </cell>
          <cell r="D999" t="str">
            <v xml:space="preserve">MY        </v>
          </cell>
          <cell r="E999">
            <v>90189084</v>
          </cell>
          <cell r="F999">
            <v>1</v>
          </cell>
          <cell r="G999" t="str">
            <v xml:space="preserve">ST          </v>
          </cell>
          <cell r="H999">
            <v>23.7</v>
          </cell>
          <cell r="I999">
            <v>23.7</v>
          </cell>
        </row>
        <row r="1000">
          <cell r="A1000" t="str">
            <v>20-637-13-07</v>
          </cell>
          <cell r="B1000" t="str">
            <v xml:space="preserve">TC-NEEDLEHOLDER, HALSEY, 13 CM          </v>
          </cell>
          <cell r="C1000" t="str">
            <v xml:space="preserve">                                   </v>
          </cell>
          <cell r="D1000" t="str">
            <v xml:space="preserve">MY        </v>
          </cell>
          <cell r="E1000">
            <v>90189084</v>
          </cell>
          <cell r="F1000">
            <v>1</v>
          </cell>
          <cell r="G1000" t="str">
            <v xml:space="preserve">ST          </v>
          </cell>
          <cell r="H1000">
            <v>89.2</v>
          </cell>
          <cell r="I1000">
            <v>89.2</v>
          </cell>
        </row>
        <row r="1001">
          <cell r="A1001" t="str">
            <v>13-310-12-07</v>
          </cell>
          <cell r="B1001" t="str">
            <v xml:space="preserve">HAEM. FORCEPS, MOSQUITO, STR., 12.5 CM  </v>
          </cell>
          <cell r="C1001" t="str">
            <v xml:space="preserve">                                   </v>
          </cell>
          <cell r="D1001" t="str">
            <v xml:space="preserve">MY        </v>
          </cell>
          <cell r="E1001">
            <v>90189084</v>
          </cell>
          <cell r="F1001">
            <v>1</v>
          </cell>
          <cell r="G1001" t="str">
            <v xml:space="preserve">ST          </v>
          </cell>
          <cell r="H1001">
            <v>22.4</v>
          </cell>
          <cell r="I1001">
            <v>22.4</v>
          </cell>
        </row>
        <row r="1002">
          <cell r="A1002" t="str">
            <v>13-311-12-07</v>
          </cell>
          <cell r="B1002" t="str">
            <v xml:space="preserve">HAEM. FORCEPS, MOSQUITO, CVD., 12 CM    </v>
          </cell>
          <cell r="C1002" t="str">
            <v xml:space="preserve">                                   </v>
          </cell>
          <cell r="D1002" t="str">
            <v xml:space="preserve">MY        </v>
          </cell>
          <cell r="E1002">
            <v>90189084</v>
          </cell>
          <cell r="F1002">
            <v>1</v>
          </cell>
          <cell r="G1002" t="str">
            <v xml:space="preserve">ST          </v>
          </cell>
          <cell r="H1002">
            <v>23.9</v>
          </cell>
          <cell r="I1002">
            <v>23.9</v>
          </cell>
        </row>
        <row r="1003">
          <cell r="A1003" t="str">
            <v>13-915-11-07</v>
          </cell>
          <cell r="B1003" t="str">
            <v xml:space="preserve">TOWEL FORCEPS, BACKHAUS, SHARP, 11 CM   </v>
          </cell>
          <cell r="C1003" t="str">
            <v xml:space="preserve">                                   </v>
          </cell>
          <cell r="D1003" t="str">
            <v xml:space="preserve">MY        </v>
          </cell>
          <cell r="E1003">
            <v>90189084</v>
          </cell>
          <cell r="F1003">
            <v>6</v>
          </cell>
          <cell r="G1003" t="str">
            <v xml:space="preserve">ST          </v>
          </cell>
          <cell r="H1003">
            <v>24.3</v>
          </cell>
          <cell r="I1003">
            <v>145.80000000000001</v>
          </cell>
        </row>
        <row r="1004">
          <cell r="A1004" t="str">
            <v>11-865-12-07</v>
          </cell>
          <cell r="B1004" t="str">
            <v xml:space="preserve">WIRE SCISSORS, UNIVERSAL, ANGLED, 12 CM </v>
          </cell>
          <cell r="C1004" t="str">
            <v xml:space="preserve">                                   </v>
          </cell>
          <cell r="D1004" t="str">
            <v xml:space="preserve">DE        </v>
          </cell>
          <cell r="E1004">
            <v>90189084</v>
          </cell>
          <cell r="F1004">
            <v>1</v>
          </cell>
          <cell r="G1004" t="str">
            <v xml:space="preserve">ST          </v>
          </cell>
          <cell r="H1004">
            <v>41.3</v>
          </cell>
          <cell r="I1004">
            <v>41.3</v>
          </cell>
        </row>
        <row r="1005">
          <cell r="A1005" t="str">
            <v>36-112-12-01</v>
          </cell>
          <cell r="B1005" t="str">
            <v xml:space="preserve">EAR SPECULUM, HARTMANN, NO. 2, Ø 5.0 MM </v>
          </cell>
          <cell r="C1005" t="str">
            <v xml:space="preserve">                                   </v>
          </cell>
          <cell r="D1005" t="str">
            <v xml:space="preserve">DE        </v>
          </cell>
          <cell r="E1005">
            <v>90189084</v>
          </cell>
          <cell r="F1005">
            <v>1</v>
          </cell>
          <cell r="G1005" t="str">
            <v xml:space="preserve">ST          </v>
          </cell>
          <cell r="H1005">
            <v>10.6</v>
          </cell>
          <cell r="I1005">
            <v>10.6</v>
          </cell>
        </row>
        <row r="1006">
          <cell r="A1006" t="str">
            <v>36-112-13-01</v>
          </cell>
          <cell r="B1006" t="str">
            <v xml:space="preserve">EAR SPECULUM, HARTMANN, NO. 3, Ø 6.0 MM </v>
          </cell>
          <cell r="C1006" t="str">
            <v xml:space="preserve">                                   </v>
          </cell>
          <cell r="D1006" t="str">
            <v xml:space="preserve">DE        </v>
          </cell>
          <cell r="E1006">
            <v>90189084</v>
          </cell>
          <cell r="F1006">
            <v>1</v>
          </cell>
          <cell r="G1006" t="str">
            <v xml:space="preserve">ST          </v>
          </cell>
          <cell r="H1006">
            <v>10.6</v>
          </cell>
          <cell r="I1006">
            <v>10.6</v>
          </cell>
        </row>
        <row r="1007">
          <cell r="A1007" t="str">
            <v>36-112-14-01</v>
          </cell>
          <cell r="B1007" t="str">
            <v xml:space="preserve">EAR SPECULUM, HARTMANN, NO. 4, Ø 7.5 MM </v>
          </cell>
          <cell r="C1007" t="str">
            <v xml:space="preserve">                                   </v>
          </cell>
          <cell r="D1007" t="str">
            <v xml:space="preserve">DE        </v>
          </cell>
          <cell r="E1007">
            <v>90189084</v>
          </cell>
          <cell r="F1007">
            <v>1</v>
          </cell>
          <cell r="G1007" t="str">
            <v xml:space="preserve">ST          </v>
          </cell>
          <cell r="H1007">
            <v>10.6</v>
          </cell>
          <cell r="I1007">
            <v>10.6</v>
          </cell>
        </row>
        <row r="1008">
          <cell r="A1008" t="str">
            <v>36-405-12-07</v>
          </cell>
          <cell r="B1008" t="str">
            <v>EAR POLYPUS FCPS., HARTMANN, FINE, 12 CM</v>
          </cell>
          <cell r="C1008" t="str">
            <v xml:space="preserve">                                   </v>
          </cell>
          <cell r="D1008" t="str">
            <v xml:space="preserve">DE        </v>
          </cell>
          <cell r="E1008">
            <v>90189084</v>
          </cell>
          <cell r="F1008">
            <v>1</v>
          </cell>
          <cell r="G1008" t="str">
            <v xml:space="preserve">ST          </v>
          </cell>
          <cell r="H1008">
            <v>177</v>
          </cell>
          <cell r="I1008">
            <v>177</v>
          </cell>
        </row>
        <row r="1009">
          <cell r="A1009" t="str">
            <v>36-430-08-07</v>
          </cell>
          <cell r="B1009" t="str">
            <v xml:space="preserve">EAR POLYPUS FORCPES, HARTMANN, 8 CM     </v>
          </cell>
          <cell r="C1009" t="str">
            <v xml:space="preserve">                                   </v>
          </cell>
          <cell r="D1009" t="str">
            <v xml:space="preserve">DE        </v>
          </cell>
          <cell r="E1009">
            <v>90189084</v>
          </cell>
          <cell r="F1009">
            <v>1</v>
          </cell>
          <cell r="G1009" t="str">
            <v xml:space="preserve">ST          </v>
          </cell>
          <cell r="H1009">
            <v>181.5</v>
          </cell>
          <cell r="I1009">
            <v>181.5</v>
          </cell>
        </row>
        <row r="1010">
          <cell r="A1010" t="str">
            <v>36-425-08-07</v>
          </cell>
          <cell r="B1010" t="str">
            <v>EAR POLYPUS FCPS., HARTMANN-WULLS., 8 CM</v>
          </cell>
          <cell r="C1010" t="str">
            <v xml:space="preserve">                                   </v>
          </cell>
          <cell r="D1010" t="str">
            <v xml:space="preserve">DE        </v>
          </cell>
          <cell r="E1010">
            <v>90189084</v>
          </cell>
          <cell r="F1010">
            <v>1</v>
          </cell>
          <cell r="G1010" t="str">
            <v xml:space="preserve">ST          </v>
          </cell>
          <cell r="H1010">
            <v>179.5</v>
          </cell>
          <cell r="I1010">
            <v>179.5</v>
          </cell>
        </row>
        <row r="1011">
          <cell r="A1011" t="str">
            <v>36-427-08-07</v>
          </cell>
          <cell r="B1011" t="str">
            <v>EAR POLYPUS FCPS., HARTMANN-WULLS., 1 MM</v>
          </cell>
          <cell r="C1011" t="str">
            <v xml:space="preserve">                                   </v>
          </cell>
          <cell r="D1011" t="str">
            <v xml:space="preserve">DE        </v>
          </cell>
          <cell r="E1011">
            <v>90189084</v>
          </cell>
          <cell r="F1011">
            <v>1</v>
          </cell>
          <cell r="G1011" t="str">
            <v xml:space="preserve">ST          </v>
          </cell>
          <cell r="H1011">
            <v>280.5</v>
          </cell>
          <cell r="I1011">
            <v>280.5</v>
          </cell>
        </row>
        <row r="1012">
          <cell r="A1012" t="str">
            <v>36-442-81-07</v>
          </cell>
          <cell r="B1012" t="str">
            <v xml:space="preserve">EAR FCPS., SPOON-SHA., HARTMANN, 2.0 MM </v>
          </cell>
          <cell r="C1012" t="str">
            <v xml:space="preserve">                                   </v>
          </cell>
          <cell r="D1012" t="str">
            <v xml:space="preserve">DE        </v>
          </cell>
          <cell r="E1012">
            <v>90189084</v>
          </cell>
          <cell r="F1012">
            <v>1</v>
          </cell>
          <cell r="G1012" t="str">
            <v xml:space="preserve">ST          </v>
          </cell>
          <cell r="H1012">
            <v>360</v>
          </cell>
          <cell r="I1012">
            <v>360</v>
          </cell>
        </row>
        <row r="1013">
          <cell r="A1013" t="str">
            <v>36-005-01-07</v>
          </cell>
          <cell r="B1013" t="str">
            <v xml:space="preserve">MICRO-EAR SCISSORS, BELLUCI, STR., 4 MM </v>
          </cell>
          <cell r="C1013" t="str">
            <v xml:space="preserve">                                   </v>
          </cell>
          <cell r="D1013" t="str">
            <v xml:space="preserve">DE        </v>
          </cell>
          <cell r="E1013">
            <v>90189084</v>
          </cell>
          <cell r="F1013">
            <v>1</v>
          </cell>
          <cell r="G1013" t="str">
            <v xml:space="preserve">ST          </v>
          </cell>
          <cell r="H1013">
            <v>241.5</v>
          </cell>
          <cell r="I1013">
            <v>241.5</v>
          </cell>
        </row>
        <row r="1014">
          <cell r="A1014" t="str">
            <v>36-011-01-07</v>
          </cell>
          <cell r="B1014" t="str">
            <v xml:space="preserve">MALLEUS NIPPER, UPWARDS, 1.3 MM         </v>
          </cell>
          <cell r="C1014" t="str">
            <v xml:space="preserve">                                   </v>
          </cell>
          <cell r="D1014" t="str">
            <v xml:space="preserve">DE        </v>
          </cell>
          <cell r="E1014">
            <v>90189084</v>
          </cell>
          <cell r="F1014">
            <v>1</v>
          </cell>
          <cell r="G1014" t="str">
            <v xml:space="preserve">ST          </v>
          </cell>
          <cell r="H1014">
            <v>240</v>
          </cell>
          <cell r="I1014">
            <v>240</v>
          </cell>
        </row>
        <row r="1015">
          <cell r="A1015" t="str">
            <v>36-010-12-07</v>
          </cell>
          <cell r="B1015" t="str">
            <v xml:space="preserve">WIRE CLOSING FORCEPS, MCGEE, 6X0.8 MM   </v>
          </cell>
          <cell r="C1015" t="str">
            <v xml:space="preserve">                                   </v>
          </cell>
          <cell r="D1015" t="str">
            <v xml:space="preserve">DE        </v>
          </cell>
          <cell r="E1015">
            <v>90189084</v>
          </cell>
          <cell r="F1015">
            <v>1</v>
          </cell>
          <cell r="G1015" t="str">
            <v xml:space="preserve">ST          </v>
          </cell>
          <cell r="H1015">
            <v>220.5</v>
          </cell>
          <cell r="I1015">
            <v>220.5</v>
          </cell>
        </row>
        <row r="1016">
          <cell r="A1016" t="str">
            <v>18-646-24-01</v>
          </cell>
          <cell r="B1016" t="str">
            <v xml:space="preserve">Suction cannula, Verhoeven, 24 SWG      </v>
          </cell>
          <cell r="C1016" t="str">
            <v xml:space="preserve">                                   </v>
          </cell>
          <cell r="D1016" t="str">
            <v xml:space="preserve">MY        </v>
          </cell>
          <cell r="E1016">
            <v>90183900</v>
          </cell>
          <cell r="F1016">
            <v>4</v>
          </cell>
          <cell r="G1016" t="str">
            <v xml:space="preserve">ST          </v>
          </cell>
          <cell r="H1016">
            <v>21</v>
          </cell>
          <cell r="I1016">
            <v>84</v>
          </cell>
        </row>
        <row r="1017">
          <cell r="A1017" t="str">
            <v>18-646-20-01</v>
          </cell>
          <cell r="B1017" t="str">
            <v xml:space="preserve">Suction cannula, Verhoeven, 20 SWG      </v>
          </cell>
          <cell r="C1017" t="str">
            <v xml:space="preserve">                                   </v>
          </cell>
          <cell r="D1017" t="str">
            <v xml:space="preserve">MY        </v>
          </cell>
          <cell r="E1017">
            <v>90183900</v>
          </cell>
          <cell r="F1017">
            <v>4</v>
          </cell>
          <cell r="G1017" t="str">
            <v xml:space="preserve">ST          </v>
          </cell>
          <cell r="H1017">
            <v>21</v>
          </cell>
          <cell r="I1017">
            <v>84</v>
          </cell>
        </row>
        <row r="1018">
          <cell r="A1018" t="str">
            <v>18-646-18-01</v>
          </cell>
          <cell r="B1018" t="str">
            <v xml:space="preserve">Suction cannula, Verhoeven, 18 SWG      </v>
          </cell>
          <cell r="C1018" t="str">
            <v xml:space="preserve">                                   </v>
          </cell>
          <cell r="D1018" t="str">
            <v xml:space="preserve">MY        </v>
          </cell>
          <cell r="E1018">
            <v>90183900</v>
          </cell>
          <cell r="F1018">
            <v>4</v>
          </cell>
          <cell r="G1018" t="str">
            <v xml:space="preserve">ST          </v>
          </cell>
          <cell r="H1018">
            <v>21</v>
          </cell>
          <cell r="I1018">
            <v>84</v>
          </cell>
        </row>
        <row r="1019">
          <cell r="A1019" t="str">
            <v>18-646-16-01</v>
          </cell>
          <cell r="B1019" t="str">
            <v xml:space="preserve">Suction cannula, Verhoeven, 16 SWG      </v>
          </cell>
          <cell r="C1019" t="str">
            <v xml:space="preserve">                                   </v>
          </cell>
          <cell r="D1019" t="str">
            <v xml:space="preserve">MY        </v>
          </cell>
          <cell r="E1019">
            <v>90183900</v>
          </cell>
          <cell r="F1019">
            <v>4</v>
          </cell>
          <cell r="G1019" t="str">
            <v xml:space="preserve">ST          </v>
          </cell>
          <cell r="H1019">
            <v>21</v>
          </cell>
          <cell r="I1019">
            <v>84</v>
          </cell>
        </row>
        <row r="1020">
          <cell r="A1020" t="str">
            <v>18-554-09-07</v>
          </cell>
          <cell r="B1020" t="str">
            <v xml:space="preserve">Suction tube, House, ø 1.2x0.9 mm, 9 cm </v>
          </cell>
          <cell r="C1020" t="str">
            <v xml:space="preserve">                                   </v>
          </cell>
          <cell r="D1020" t="str">
            <v xml:space="preserve">DE        </v>
          </cell>
          <cell r="E1020">
            <v>90189084</v>
          </cell>
          <cell r="F1020">
            <v>1</v>
          </cell>
          <cell r="G1020" t="str">
            <v xml:space="preserve">ST          </v>
          </cell>
          <cell r="H1020">
            <v>61</v>
          </cell>
          <cell r="I1020">
            <v>61</v>
          </cell>
        </row>
        <row r="1021">
          <cell r="A1021" t="str">
            <v>18-523-06-01</v>
          </cell>
          <cell r="B1021" t="str">
            <v>Suction tube, Frazier, ø 2.0 mm, 19.5 cm</v>
          </cell>
          <cell r="C1021" t="str">
            <v xml:space="preserve">                                   </v>
          </cell>
          <cell r="D1021" t="str">
            <v xml:space="preserve">MY        </v>
          </cell>
          <cell r="E1021">
            <v>90183900</v>
          </cell>
          <cell r="F1021">
            <v>1</v>
          </cell>
          <cell r="G1021" t="str">
            <v xml:space="preserve">ST          </v>
          </cell>
          <cell r="H1021">
            <v>21.7</v>
          </cell>
          <cell r="I1021">
            <v>21.7</v>
          </cell>
        </row>
        <row r="1022">
          <cell r="A1022" t="str">
            <v>18-523-07-01</v>
          </cell>
          <cell r="B1022" t="str">
            <v>Suction tube, Frazier, ø 2.3 mm, 19.5 cm</v>
          </cell>
          <cell r="C1022" t="str">
            <v xml:space="preserve">                                   </v>
          </cell>
          <cell r="D1022" t="str">
            <v xml:space="preserve">MY        </v>
          </cell>
          <cell r="E1022">
            <v>90183900</v>
          </cell>
          <cell r="F1022">
            <v>1</v>
          </cell>
          <cell r="G1022" t="str">
            <v xml:space="preserve">ST          </v>
          </cell>
          <cell r="H1022">
            <v>21.7</v>
          </cell>
          <cell r="I1022">
            <v>21.7</v>
          </cell>
        </row>
        <row r="1023">
          <cell r="A1023" t="str">
            <v>18-523-09-01</v>
          </cell>
          <cell r="B1023" t="str">
            <v>Suction tube, Frazier, ø 3.0 mm, 19.5 cm</v>
          </cell>
          <cell r="C1023" t="str">
            <v xml:space="preserve">                                   </v>
          </cell>
          <cell r="D1023" t="str">
            <v xml:space="preserve">MY        </v>
          </cell>
          <cell r="E1023">
            <v>90183900</v>
          </cell>
          <cell r="F1023">
            <v>1</v>
          </cell>
          <cell r="G1023" t="str">
            <v xml:space="preserve">ST          </v>
          </cell>
          <cell r="H1023">
            <v>21.7</v>
          </cell>
          <cell r="I1023">
            <v>21.7</v>
          </cell>
        </row>
        <row r="1024">
          <cell r="A1024" t="str">
            <v>36-577-03-07</v>
          </cell>
          <cell r="B1024" t="str">
            <v xml:space="preserve">HOOKLET, PROBE-END, LUCAE, NO. 3, 14 CM </v>
          </cell>
          <cell r="C1024" t="str">
            <v xml:space="preserve">                                   </v>
          </cell>
          <cell r="D1024" t="str">
            <v xml:space="preserve">DE        </v>
          </cell>
          <cell r="E1024">
            <v>90189084</v>
          </cell>
          <cell r="F1024">
            <v>1</v>
          </cell>
          <cell r="G1024" t="str">
            <v xml:space="preserve">ST          </v>
          </cell>
          <cell r="H1024">
            <v>20.7</v>
          </cell>
          <cell r="I1024">
            <v>20.7</v>
          </cell>
        </row>
        <row r="1025">
          <cell r="A1025" t="str">
            <v>36-498-02-07</v>
          </cell>
          <cell r="B1025" t="str">
            <v xml:space="preserve">EAR CURETTE, BUCK, CVD., SHARP, NO. 00  </v>
          </cell>
          <cell r="C1025" t="str">
            <v xml:space="preserve">ALTERNATIVE                        </v>
          </cell>
          <cell r="D1025" t="str">
            <v xml:space="preserve">DE        </v>
          </cell>
          <cell r="E1025">
            <v>90189084</v>
          </cell>
          <cell r="F1025">
            <v>1</v>
          </cell>
          <cell r="G1025" t="str">
            <v xml:space="preserve">ST          </v>
          </cell>
          <cell r="H1025">
            <v>21.4</v>
          </cell>
          <cell r="I1025">
            <v>21.4</v>
          </cell>
        </row>
        <row r="1026">
          <cell r="A1026" t="str">
            <v>36-498-10-07</v>
          </cell>
          <cell r="B1026" t="str">
            <v xml:space="preserve">EAR CURETTE, BUCK, CVD., SHARP, NO. 0   </v>
          </cell>
          <cell r="C1026" t="str">
            <v xml:space="preserve">ALTERNATIVE                        </v>
          </cell>
          <cell r="D1026" t="str">
            <v xml:space="preserve">DE        </v>
          </cell>
          <cell r="E1026">
            <v>90189084</v>
          </cell>
          <cell r="F1026">
            <v>1</v>
          </cell>
          <cell r="G1026" t="str">
            <v xml:space="preserve">ST          </v>
          </cell>
          <cell r="H1026">
            <v>21.4</v>
          </cell>
          <cell r="I1026">
            <v>21.4</v>
          </cell>
        </row>
        <row r="1027">
          <cell r="A1027" t="str">
            <v>36-027-11-07</v>
          </cell>
          <cell r="B1027" t="str">
            <v xml:space="preserve">HOOKLET, 0.5 MM, CVD. DOWN, 15.5 CM     </v>
          </cell>
          <cell r="C1027" t="str">
            <v xml:space="preserve">                                   </v>
          </cell>
          <cell r="D1027" t="str">
            <v xml:space="preserve">DE        </v>
          </cell>
          <cell r="E1027">
            <v>90189084</v>
          </cell>
          <cell r="F1027">
            <v>1</v>
          </cell>
          <cell r="G1027" t="str">
            <v xml:space="preserve">ST          </v>
          </cell>
          <cell r="H1027">
            <v>54.1</v>
          </cell>
          <cell r="I1027">
            <v>54.1</v>
          </cell>
        </row>
        <row r="1028">
          <cell r="A1028" t="str">
            <v>36-044-01-07</v>
          </cell>
          <cell r="B1028" t="str">
            <v xml:space="preserve">EAR CURETTE, HOUSE, 1.0/1.2 MM, 14.5 CM </v>
          </cell>
          <cell r="C1028" t="str">
            <v xml:space="preserve">                                   </v>
          </cell>
          <cell r="D1028" t="str">
            <v xml:space="preserve">DE        </v>
          </cell>
          <cell r="E1028">
            <v>90189084</v>
          </cell>
          <cell r="F1028">
            <v>1</v>
          </cell>
          <cell r="G1028" t="str">
            <v xml:space="preserve">ST          </v>
          </cell>
          <cell r="H1028">
            <v>96.6</v>
          </cell>
          <cell r="I1028">
            <v>96.6</v>
          </cell>
        </row>
        <row r="1029">
          <cell r="A1029" t="str">
            <v>36-036-23-07</v>
          </cell>
          <cell r="B1029" t="str">
            <v xml:space="preserve">MICRO RASPATORY, ROSEN, CVD. 1.2 MM     </v>
          </cell>
          <cell r="C1029" t="str">
            <v xml:space="preserve">                                   </v>
          </cell>
          <cell r="D1029" t="str">
            <v xml:space="preserve">DE        </v>
          </cell>
          <cell r="E1029">
            <v>90189084</v>
          </cell>
          <cell r="F1029">
            <v>1</v>
          </cell>
          <cell r="G1029" t="str">
            <v xml:space="preserve">ST          </v>
          </cell>
          <cell r="H1029">
            <v>61.9</v>
          </cell>
          <cell r="I1029">
            <v>61.9</v>
          </cell>
        </row>
        <row r="1030">
          <cell r="A1030" t="str">
            <v>36-024-12-07</v>
          </cell>
          <cell r="B1030" t="str">
            <v xml:space="preserve">HOOKLET, BARBARA, 45°, 0.6 MM, 16 CM    </v>
          </cell>
          <cell r="C1030" t="str">
            <v xml:space="preserve">                                   </v>
          </cell>
          <cell r="D1030" t="str">
            <v xml:space="preserve">DE        </v>
          </cell>
          <cell r="E1030">
            <v>90189084</v>
          </cell>
          <cell r="F1030">
            <v>1</v>
          </cell>
          <cell r="G1030" t="str">
            <v xml:space="preserve">ST          </v>
          </cell>
          <cell r="H1030">
            <v>54.2</v>
          </cell>
          <cell r="I1030">
            <v>54.2</v>
          </cell>
        </row>
        <row r="1031">
          <cell r="A1031" t="str">
            <v>36-020-11-07</v>
          </cell>
          <cell r="B1031" t="str">
            <v xml:space="preserve">SICKLE KNIFE, WULLSTEIN, STR., 15.5 CM  </v>
          </cell>
          <cell r="C1031" t="str">
            <v xml:space="preserve">                                   </v>
          </cell>
          <cell r="D1031" t="str">
            <v xml:space="preserve">DE        </v>
          </cell>
          <cell r="E1031">
            <v>90189084</v>
          </cell>
          <cell r="F1031">
            <v>1</v>
          </cell>
          <cell r="G1031" t="str">
            <v xml:space="preserve">ST          </v>
          </cell>
          <cell r="H1031">
            <v>72.099999999999994</v>
          </cell>
          <cell r="I1031">
            <v>72.099999999999994</v>
          </cell>
        </row>
        <row r="1032">
          <cell r="A1032" t="str">
            <v>36-024-06-07</v>
          </cell>
          <cell r="B1032" t="str">
            <v xml:space="preserve">HOOKLET, BARBARA, 25°, 0.3 MM, 16 CM    </v>
          </cell>
          <cell r="C1032" t="str">
            <v xml:space="preserve">                                   </v>
          </cell>
          <cell r="D1032" t="str">
            <v xml:space="preserve">DE        </v>
          </cell>
          <cell r="E1032">
            <v>90189084</v>
          </cell>
          <cell r="F1032">
            <v>1</v>
          </cell>
          <cell r="G1032" t="str">
            <v xml:space="preserve">ST          </v>
          </cell>
          <cell r="H1032">
            <v>54.1</v>
          </cell>
          <cell r="I1032">
            <v>54.1</v>
          </cell>
        </row>
        <row r="1033">
          <cell r="A1033" t="str">
            <v>36-024-07-07</v>
          </cell>
          <cell r="B1033" t="str">
            <v xml:space="preserve">HOOKLET, BARBARA, 25°, 0.6 MM, 16 CM    </v>
          </cell>
          <cell r="C1033" t="str">
            <v xml:space="preserve">                                   </v>
          </cell>
          <cell r="D1033" t="str">
            <v xml:space="preserve">DE        </v>
          </cell>
          <cell r="E1033">
            <v>90189084</v>
          </cell>
          <cell r="F1033">
            <v>1</v>
          </cell>
          <cell r="G1033" t="str">
            <v xml:space="preserve">ST          </v>
          </cell>
          <cell r="H1033">
            <v>54.2</v>
          </cell>
          <cell r="I1033">
            <v>54.2</v>
          </cell>
        </row>
        <row r="1034">
          <cell r="A1034" t="str">
            <v>99-999-99-99</v>
          </cell>
          <cell r="B1034" t="str">
            <v xml:space="preserve">NO BID                                  </v>
          </cell>
          <cell r="C1034" t="str">
            <v xml:space="preserve">                                   </v>
          </cell>
          <cell r="D1034" t="str">
            <v xml:space="preserve">DE        </v>
          </cell>
          <cell r="E1034">
            <v>90189084</v>
          </cell>
          <cell r="F1034">
            <v>1</v>
          </cell>
          <cell r="G1034" t="str">
            <v xml:space="preserve">ST          </v>
          </cell>
          <cell r="H1034" t="str">
            <v xml:space="preserve">               </v>
          </cell>
          <cell r="I1034" t="str">
            <v xml:space="preserve">               </v>
          </cell>
        </row>
        <row r="1035">
          <cell r="A1035" t="str">
            <v>36-024-13-07</v>
          </cell>
          <cell r="B1035" t="str">
            <v xml:space="preserve">HOOKLET, BARBARA, 45°, 1.0 MM, 16 CM    </v>
          </cell>
          <cell r="C1035" t="str">
            <v xml:space="preserve">                                   </v>
          </cell>
          <cell r="D1035" t="str">
            <v xml:space="preserve">DE        </v>
          </cell>
          <cell r="E1035">
            <v>90189084</v>
          </cell>
          <cell r="F1035">
            <v>1</v>
          </cell>
          <cell r="G1035" t="str">
            <v xml:space="preserve">ST          </v>
          </cell>
          <cell r="H1035">
            <v>54.1</v>
          </cell>
          <cell r="I1035">
            <v>54.1</v>
          </cell>
        </row>
        <row r="1036">
          <cell r="A1036" t="str">
            <v>36-020-21-07</v>
          </cell>
          <cell r="B1036" t="str">
            <v xml:space="preserve">Flap Knife, Plester, 2.5 MM, 16 CM      </v>
          </cell>
          <cell r="C1036" t="str">
            <v xml:space="preserve">                                   </v>
          </cell>
          <cell r="D1036" t="str">
            <v xml:space="preserve">DE        </v>
          </cell>
          <cell r="E1036">
            <v>90189084</v>
          </cell>
          <cell r="F1036">
            <v>1</v>
          </cell>
          <cell r="G1036" t="str">
            <v xml:space="preserve">ST          </v>
          </cell>
          <cell r="H1036">
            <v>70.3</v>
          </cell>
          <cell r="I1036">
            <v>70.3</v>
          </cell>
        </row>
        <row r="1037">
          <cell r="A1037" t="str">
            <v>36-022-04-07</v>
          </cell>
          <cell r="B1037" t="str">
            <v xml:space="preserve">Round Cutt. Knife, Rosen, 2.0 MM, 16 CM </v>
          </cell>
          <cell r="C1037" t="str">
            <v xml:space="preserve">                                   </v>
          </cell>
          <cell r="D1037" t="str">
            <v xml:space="preserve">DE        </v>
          </cell>
          <cell r="E1037">
            <v>90189084</v>
          </cell>
          <cell r="F1037">
            <v>1</v>
          </cell>
          <cell r="G1037" t="str">
            <v xml:space="preserve">ST          </v>
          </cell>
          <cell r="H1037">
            <v>72</v>
          </cell>
          <cell r="I1037">
            <v>72</v>
          </cell>
        </row>
        <row r="1038">
          <cell r="A1038" t="str">
            <v>36-020-11-07</v>
          </cell>
          <cell r="B1038" t="str">
            <v xml:space="preserve">SICKLE KNIFE, WULLSTEIN, STR., 15.5 CM  </v>
          </cell>
          <cell r="C1038" t="str">
            <v xml:space="preserve">                                   </v>
          </cell>
          <cell r="D1038" t="str">
            <v xml:space="preserve">DE        </v>
          </cell>
          <cell r="E1038">
            <v>90189084</v>
          </cell>
          <cell r="F1038">
            <v>1</v>
          </cell>
          <cell r="G1038" t="str">
            <v xml:space="preserve">ST          </v>
          </cell>
          <cell r="H1038">
            <v>72.099999999999994</v>
          </cell>
          <cell r="I1038">
            <v>72.099999999999994</v>
          </cell>
        </row>
        <row r="1039">
          <cell r="A1039" t="str">
            <v>36-024-01-07</v>
          </cell>
          <cell r="B1039" t="str">
            <v xml:space="preserve">NEEDLE, BARBARA, STR., 16 CM            </v>
          </cell>
          <cell r="C1039" t="str">
            <v xml:space="preserve">                                   </v>
          </cell>
          <cell r="D1039" t="str">
            <v xml:space="preserve">DE        </v>
          </cell>
          <cell r="E1039">
            <v>90189084</v>
          </cell>
          <cell r="F1039">
            <v>1</v>
          </cell>
          <cell r="G1039" t="str">
            <v xml:space="preserve">ST          </v>
          </cell>
          <cell r="H1039">
            <v>54.1</v>
          </cell>
          <cell r="I1039">
            <v>54.1</v>
          </cell>
        </row>
        <row r="1040">
          <cell r="A1040" t="str">
            <v>36-024-21-07</v>
          </cell>
          <cell r="B1040" t="str">
            <v xml:space="preserve">HOOKLET, BARBARA, 90°, 0.3 MM, 16 CM    </v>
          </cell>
          <cell r="C1040" t="str">
            <v xml:space="preserve">                                   </v>
          </cell>
          <cell r="D1040" t="str">
            <v xml:space="preserve">DE        </v>
          </cell>
          <cell r="E1040">
            <v>90189084</v>
          </cell>
          <cell r="F1040">
            <v>1</v>
          </cell>
          <cell r="G1040" t="str">
            <v xml:space="preserve">ST          </v>
          </cell>
          <cell r="H1040">
            <v>54.2</v>
          </cell>
          <cell r="I1040">
            <v>54.2</v>
          </cell>
        </row>
        <row r="1041">
          <cell r="A1041" t="str">
            <v>36-024-22-07</v>
          </cell>
          <cell r="B1041" t="str">
            <v xml:space="preserve">HOOKLET, BARBARA, 90°, 0.6 MM, 16 CM    </v>
          </cell>
          <cell r="C1041" t="str">
            <v xml:space="preserve">                                   </v>
          </cell>
          <cell r="D1041" t="str">
            <v xml:space="preserve">DE        </v>
          </cell>
          <cell r="E1041">
            <v>90189084</v>
          </cell>
          <cell r="F1041">
            <v>1</v>
          </cell>
          <cell r="G1041" t="str">
            <v xml:space="preserve">ST          </v>
          </cell>
          <cell r="H1041">
            <v>54.1</v>
          </cell>
          <cell r="I1041">
            <v>54.1</v>
          </cell>
        </row>
        <row r="1042">
          <cell r="A1042" t="str">
            <v>36-024-23-07</v>
          </cell>
          <cell r="B1042" t="str">
            <v xml:space="preserve">HOOKLET, BARBARA, 90°, 1.0 MM, 16 CM    </v>
          </cell>
          <cell r="C1042" t="str">
            <v xml:space="preserve">                                   </v>
          </cell>
          <cell r="D1042" t="str">
            <v xml:space="preserve">DE        </v>
          </cell>
          <cell r="E1042">
            <v>90189084</v>
          </cell>
          <cell r="F1042">
            <v>1</v>
          </cell>
          <cell r="G1042" t="str">
            <v xml:space="preserve">ST          </v>
          </cell>
          <cell r="H1042">
            <v>54.1</v>
          </cell>
          <cell r="I1042">
            <v>54.1</v>
          </cell>
        </row>
        <row r="1043">
          <cell r="A1043" t="str">
            <v xml:space="preserve">            </v>
          </cell>
          <cell r="B1043" t="str">
            <v xml:space="preserve">fess set                                </v>
          </cell>
          <cell r="C1043" t="str">
            <v xml:space="preserve">                                   </v>
          </cell>
          <cell r="D1043" t="str">
            <v xml:space="preserve">          </v>
          </cell>
          <cell r="E1043" t="str">
            <v xml:space="preserve">                </v>
          </cell>
          <cell r="F1043">
            <v>1</v>
          </cell>
          <cell r="G1043" t="str">
            <v xml:space="preserve">            </v>
          </cell>
          <cell r="H1043" t="str">
            <v xml:space="preserve">               </v>
          </cell>
          <cell r="I1043" t="str">
            <v xml:space="preserve">               </v>
          </cell>
        </row>
        <row r="1044">
          <cell r="A1044" t="str">
            <v>37-748-01-07</v>
          </cell>
          <cell r="B1044" t="str">
            <v xml:space="preserve">CURETTE, SHARP, COAKLEY, NO. 1, 17 CM   </v>
          </cell>
          <cell r="C1044" t="str">
            <v xml:space="preserve">                                   </v>
          </cell>
          <cell r="D1044" t="str">
            <v xml:space="preserve">DE        </v>
          </cell>
          <cell r="E1044">
            <v>90189084</v>
          </cell>
          <cell r="F1044">
            <v>1</v>
          </cell>
          <cell r="G1044" t="str">
            <v xml:space="preserve">ST          </v>
          </cell>
          <cell r="H1044">
            <v>50.8</v>
          </cell>
          <cell r="I1044">
            <v>50.8</v>
          </cell>
        </row>
        <row r="1045">
          <cell r="A1045" t="str">
            <v>37-255-02-07</v>
          </cell>
          <cell r="B1045" t="str">
            <v xml:space="preserve">NASAL CUTT. FCPS., WEIL-BLAKES., 3.5 MM </v>
          </cell>
          <cell r="C1045" t="str">
            <v xml:space="preserve">                                   </v>
          </cell>
          <cell r="D1045" t="str">
            <v xml:space="preserve">DE        </v>
          </cell>
          <cell r="E1045">
            <v>90189084</v>
          </cell>
          <cell r="F1045">
            <v>1</v>
          </cell>
          <cell r="G1045" t="str">
            <v xml:space="preserve">ST          </v>
          </cell>
          <cell r="H1045">
            <v>214.5</v>
          </cell>
          <cell r="I1045">
            <v>214.5</v>
          </cell>
        </row>
        <row r="1046">
          <cell r="A1046" t="str">
            <v>37-255-03-07</v>
          </cell>
          <cell r="B1046" t="str">
            <v xml:space="preserve">NASAL CUTT. FCPS., WEIL-BLAKES., 4.5 MM </v>
          </cell>
          <cell r="C1046" t="str">
            <v xml:space="preserve">                                   </v>
          </cell>
          <cell r="D1046" t="str">
            <v xml:space="preserve">DE        </v>
          </cell>
          <cell r="E1046">
            <v>90189084</v>
          </cell>
          <cell r="F1046">
            <v>1</v>
          </cell>
          <cell r="G1046" t="str">
            <v xml:space="preserve">ST          </v>
          </cell>
          <cell r="H1046">
            <v>214.5</v>
          </cell>
          <cell r="I1046">
            <v>214.5</v>
          </cell>
        </row>
        <row r="1047">
          <cell r="A1047" t="str">
            <v>37-256-03-07</v>
          </cell>
          <cell r="B1047" t="str">
            <v xml:space="preserve">ETHMOID. FCPS., 45° UPW., NO. 3, 4.5 MM </v>
          </cell>
          <cell r="C1047" t="str">
            <v xml:space="preserve">                                   </v>
          </cell>
          <cell r="D1047" t="str">
            <v xml:space="preserve">DE        </v>
          </cell>
          <cell r="E1047">
            <v>90189084</v>
          </cell>
          <cell r="F1047">
            <v>1</v>
          </cell>
          <cell r="G1047" t="str">
            <v xml:space="preserve">ST          </v>
          </cell>
          <cell r="H1047">
            <v>236.5</v>
          </cell>
          <cell r="I1047">
            <v>236.5</v>
          </cell>
        </row>
        <row r="1048">
          <cell r="A1048" t="str">
            <v>37-258-03-07</v>
          </cell>
          <cell r="B1048" t="str">
            <v xml:space="preserve">ETHMOID. FCPS., 90° UPW., NO. 3, 4.5 MM </v>
          </cell>
          <cell r="C1048" t="str">
            <v xml:space="preserve">                                   </v>
          </cell>
          <cell r="D1048" t="str">
            <v xml:space="preserve">DE        </v>
          </cell>
          <cell r="E1048">
            <v>90189084</v>
          </cell>
          <cell r="F1048">
            <v>1</v>
          </cell>
          <cell r="G1048" t="str">
            <v xml:space="preserve">ST          </v>
          </cell>
          <cell r="H1048">
            <v>236.5</v>
          </cell>
          <cell r="I1048">
            <v>236.5</v>
          </cell>
        </row>
        <row r="1049">
          <cell r="A1049" t="str">
            <v>37-547-20-07</v>
          </cell>
          <cell r="B1049" t="str">
            <v xml:space="preserve">SEPTUM ELEVATOR, FREER, DOUBLE, 21 CM   </v>
          </cell>
          <cell r="C1049" t="str">
            <v xml:space="preserve">                                   </v>
          </cell>
          <cell r="D1049" t="str">
            <v xml:space="preserve">DE        </v>
          </cell>
          <cell r="E1049">
            <v>90189084</v>
          </cell>
          <cell r="F1049">
            <v>1</v>
          </cell>
          <cell r="G1049" t="str">
            <v xml:space="preserve">ST          </v>
          </cell>
          <cell r="H1049">
            <v>42.3</v>
          </cell>
          <cell r="I1049">
            <v>42.3</v>
          </cell>
        </row>
        <row r="1050">
          <cell r="A1050" t="str">
            <v>37-285-01-07</v>
          </cell>
          <cell r="B1050" t="str">
            <v xml:space="preserve">NASAL CUTTING FCPS., 0.9 MM, 19 CM      </v>
          </cell>
          <cell r="C1050" t="str">
            <v xml:space="preserve">                                   </v>
          </cell>
          <cell r="D1050" t="str">
            <v xml:space="preserve">DE        </v>
          </cell>
          <cell r="E1050">
            <v>90189084</v>
          </cell>
          <cell r="F1050">
            <v>1</v>
          </cell>
          <cell r="G1050" t="str">
            <v xml:space="preserve">ST          </v>
          </cell>
          <cell r="H1050">
            <v>472</v>
          </cell>
          <cell r="I1050">
            <v>472</v>
          </cell>
        </row>
        <row r="1051">
          <cell r="A1051" t="str">
            <v>99-999-99-99</v>
          </cell>
          <cell r="B1051" t="str">
            <v xml:space="preserve">NO BID                                  </v>
          </cell>
          <cell r="C1051" t="str">
            <v xml:space="preserve">                                   </v>
          </cell>
          <cell r="D1051" t="str">
            <v xml:space="preserve">DE        </v>
          </cell>
          <cell r="E1051">
            <v>90189084</v>
          </cell>
          <cell r="F1051">
            <v>1</v>
          </cell>
          <cell r="G1051" t="str">
            <v xml:space="preserve">ST          </v>
          </cell>
          <cell r="H1051" t="str">
            <v xml:space="preserve">               </v>
          </cell>
          <cell r="I1051" t="str">
            <v xml:space="preserve">               </v>
          </cell>
        </row>
        <row r="1052">
          <cell r="A1052" t="str">
            <v>99-999-99-99</v>
          </cell>
          <cell r="B1052" t="str">
            <v xml:space="preserve">NO BID                                  </v>
          </cell>
          <cell r="C1052" t="str">
            <v xml:space="preserve">                                   </v>
          </cell>
          <cell r="D1052" t="str">
            <v xml:space="preserve">DE        </v>
          </cell>
          <cell r="E1052">
            <v>90189084</v>
          </cell>
          <cell r="F1052">
            <v>1</v>
          </cell>
          <cell r="G1052" t="str">
            <v xml:space="preserve">ST          </v>
          </cell>
          <cell r="H1052" t="str">
            <v xml:space="preserve">               </v>
          </cell>
          <cell r="I1052" t="str">
            <v xml:space="preserve">               </v>
          </cell>
        </row>
        <row r="1053">
          <cell r="A1053" t="str">
            <v>99-999-99-99</v>
          </cell>
          <cell r="B1053" t="str">
            <v xml:space="preserve">NO BID                                  </v>
          </cell>
          <cell r="C1053" t="str">
            <v xml:space="preserve">                                   </v>
          </cell>
          <cell r="D1053" t="str">
            <v xml:space="preserve">DE        </v>
          </cell>
          <cell r="E1053">
            <v>90189084</v>
          </cell>
          <cell r="F1053">
            <v>1</v>
          </cell>
          <cell r="G1053" t="str">
            <v xml:space="preserve">ST          </v>
          </cell>
          <cell r="H1053" t="str">
            <v xml:space="preserve">               </v>
          </cell>
          <cell r="I1053" t="str">
            <v xml:space="preserve">               </v>
          </cell>
        </row>
        <row r="1054">
          <cell r="A1054" t="str">
            <v>36-845-02-07</v>
          </cell>
          <cell r="B1054" t="str">
            <v xml:space="preserve">NASAL SPECULUM, HARTMANN-HALLE, NO. 2   </v>
          </cell>
          <cell r="C1054" t="str">
            <v xml:space="preserve">                                   </v>
          </cell>
          <cell r="D1054" t="str">
            <v xml:space="preserve">MY        </v>
          </cell>
          <cell r="E1054">
            <v>90189084</v>
          </cell>
          <cell r="F1054">
            <v>1</v>
          </cell>
          <cell r="G1054" t="str">
            <v xml:space="preserve">ST          </v>
          </cell>
          <cell r="H1054">
            <v>108</v>
          </cell>
          <cell r="I1054">
            <v>108</v>
          </cell>
        </row>
        <row r="1055">
          <cell r="A1055" t="str">
            <v>99-999-99-99</v>
          </cell>
          <cell r="B1055" t="str">
            <v xml:space="preserve">NO BID                                  </v>
          </cell>
          <cell r="C1055" t="str">
            <v xml:space="preserve">                                   </v>
          </cell>
          <cell r="D1055" t="str">
            <v xml:space="preserve">DE        </v>
          </cell>
          <cell r="E1055">
            <v>90189084</v>
          </cell>
          <cell r="F1055">
            <v>1</v>
          </cell>
          <cell r="G1055" t="str">
            <v xml:space="preserve">ST          </v>
          </cell>
          <cell r="H1055" t="str">
            <v xml:space="preserve">               </v>
          </cell>
          <cell r="I1055" t="str">
            <v xml:space="preserve">               </v>
          </cell>
        </row>
        <row r="1056">
          <cell r="A1056" t="str">
            <v>99-999-99-99</v>
          </cell>
          <cell r="B1056" t="str">
            <v xml:space="preserve">NO BID                                  </v>
          </cell>
          <cell r="C1056" t="str">
            <v xml:space="preserve">                                   </v>
          </cell>
          <cell r="D1056" t="str">
            <v xml:space="preserve">DE        </v>
          </cell>
          <cell r="E1056">
            <v>90189084</v>
          </cell>
          <cell r="F1056">
            <v>1</v>
          </cell>
          <cell r="G1056" t="str">
            <v xml:space="preserve">ST          </v>
          </cell>
          <cell r="H1056" t="str">
            <v xml:space="preserve">               </v>
          </cell>
          <cell r="I1056" t="str">
            <v xml:space="preserve">               </v>
          </cell>
        </row>
        <row r="1057">
          <cell r="A1057" t="str">
            <v>99-999-99-99</v>
          </cell>
          <cell r="B1057" t="str">
            <v xml:space="preserve">NO BID                                  </v>
          </cell>
          <cell r="C1057" t="str">
            <v xml:space="preserve">                                   </v>
          </cell>
          <cell r="D1057" t="str">
            <v xml:space="preserve">DE        </v>
          </cell>
          <cell r="E1057">
            <v>90189084</v>
          </cell>
          <cell r="F1057">
            <v>1</v>
          </cell>
          <cell r="G1057" t="str">
            <v xml:space="preserve">ST          </v>
          </cell>
          <cell r="H1057" t="str">
            <v xml:space="preserve">               </v>
          </cell>
          <cell r="I1057" t="str">
            <v xml:space="preserve">               </v>
          </cell>
        </row>
        <row r="1058">
          <cell r="A1058" t="str">
            <v>36-442-83-07</v>
          </cell>
          <cell r="B1058" t="str">
            <v xml:space="preserve">EAR FCPS., SPOON-SHA., HARTMANN, 3.0 MM </v>
          </cell>
          <cell r="C1058" t="str">
            <v xml:space="preserve">                                   </v>
          </cell>
          <cell r="D1058" t="str">
            <v xml:space="preserve">DE        </v>
          </cell>
          <cell r="E1058">
            <v>90189084</v>
          </cell>
          <cell r="F1058">
            <v>1</v>
          </cell>
          <cell r="G1058" t="str">
            <v xml:space="preserve">ST          </v>
          </cell>
          <cell r="H1058">
            <v>394.5</v>
          </cell>
          <cell r="I1058">
            <v>394.5</v>
          </cell>
        </row>
        <row r="1059">
          <cell r="A1059" t="str">
            <v>36-020-11-07</v>
          </cell>
          <cell r="B1059" t="str">
            <v xml:space="preserve">SICKLE KNIFE, WULLSTEIN, STR., 15.5 CM  </v>
          </cell>
          <cell r="C1059" t="str">
            <v xml:space="preserve">                                   </v>
          </cell>
          <cell r="D1059" t="str">
            <v xml:space="preserve">DE        </v>
          </cell>
          <cell r="E1059">
            <v>90189084</v>
          </cell>
          <cell r="F1059">
            <v>1</v>
          </cell>
          <cell r="G1059" t="str">
            <v xml:space="preserve">ST          </v>
          </cell>
          <cell r="H1059">
            <v>72.099999999999994</v>
          </cell>
          <cell r="I1059">
            <v>72.099999999999994</v>
          </cell>
        </row>
        <row r="1060">
          <cell r="A1060" t="str">
            <v>37-814-30-07</v>
          </cell>
          <cell r="B1060" t="str">
            <v>Cannula, Eicken-Killian, Ø 3,0 mm, 14 cm</v>
          </cell>
          <cell r="C1060" t="str">
            <v xml:space="preserve">ALTERNATIVE                        </v>
          </cell>
          <cell r="D1060" t="str">
            <v xml:space="preserve">DE        </v>
          </cell>
          <cell r="E1060">
            <v>90183900</v>
          </cell>
          <cell r="F1060">
            <v>1</v>
          </cell>
          <cell r="G1060" t="str">
            <v xml:space="preserve">ST          </v>
          </cell>
          <cell r="H1060">
            <v>105</v>
          </cell>
          <cell r="I1060">
            <v>105</v>
          </cell>
        </row>
        <row r="1061">
          <cell r="A1061" t="str">
            <v>37-235-12-07</v>
          </cell>
          <cell r="B1061" t="str">
            <v>ETHMOID. FORCEPS, TAKAHASHI, STR., 19 CM</v>
          </cell>
          <cell r="C1061" t="str">
            <v xml:space="preserve">                                   </v>
          </cell>
          <cell r="D1061" t="str">
            <v xml:space="preserve">DE        </v>
          </cell>
          <cell r="E1061">
            <v>90189084</v>
          </cell>
          <cell r="F1061">
            <v>1</v>
          </cell>
          <cell r="G1061" t="str">
            <v xml:space="preserve">ST          </v>
          </cell>
          <cell r="H1061">
            <v>472</v>
          </cell>
          <cell r="I1061">
            <v>472</v>
          </cell>
        </row>
        <row r="1062">
          <cell r="A1062" t="str">
            <v xml:space="preserve">            </v>
          </cell>
          <cell r="B1062" t="str">
            <v xml:space="preserve">middle ear set                          </v>
          </cell>
          <cell r="C1062" t="str">
            <v xml:space="preserve">                                   </v>
          </cell>
          <cell r="D1062" t="str">
            <v xml:space="preserve">          </v>
          </cell>
          <cell r="E1062" t="str">
            <v xml:space="preserve">                </v>
          </cell>
          <cell r="F1062">
            <v>1</v>
          </cell>
          <cell r="G1062" t="str">
            <v xml:space="preserve">            </v>
          </cell>
          <cell r="H1062" t="str">
            <v xml:space="preserve">               </v>
          </cell>
          <cell r="I1062" t="str">
            <v xml:space="preserve">               </v>
          </cell>
        </row>
        <row r="1063">
          <cell r="A1063" t="str">
            <v>18-528-10-01</v>
          </cell>
          <cell r="B1063" t="str">
            <v>Suct. tube, Baron-Schuknecht, ø1.0, 75mm</v>
          </cell>
          <cell r="C1063" t="str">
            <v xml:space="preserve">                                   </v>
          </cell>
          <cell r="D1063" t="str">
            <v xml:space="preserve">DE        </v>
          </cell>
          <cell r="E1063">
            <v>90189084</v>
          </cell>
          <cell r="F1063">
            <v>1</v>
          </cell>
          <cell r="G1063" t="str">
            <v xml:space="preserve">ST          </v>
          </cell>
          <cell r="H1063">
            <v>38.5</v>
          </cell>
          <cell r="I1063">
            <v>38.5</v>
          </cell>
        </row>
        <row r="1064">
          <cell r="A1064" t="str">
            <v>18-528-15-01</v>
          </cell>
          <cell r="B1064" t="str">
            <v>Suct. tube, Baron-Schuknecht, ø1.5, 75mm</v>
          </cell>
          <cell r="C1064" t="str">
            <v xml:space="preserve">                                   </v>
          </cell>
          <cell r="D1064" t="str">
            <v xml:space="preserve">DE        </v>
          </cell>
          <cell r="E1064">
            <v>90189084</v>
          </cell>
          <cell r="F1064">
            <v>1</v>
          </cell>
          <cell r="G1064" t="str">
            <v xml:space="preserve">ST          </v>
          </cell>
          <cell r="H1064">
            <v>38.5</v>
          </cell>
          <cell r="I1064">
            <v>38.5</v>
          </cell>
        </row>
        <row r="1065">
          <cell r="A1065" t="str">
            <v>18-528-20-01</v>
          </cell>
          <cell r="B1065" t="str">
            <v>Suct. tube, Baron-Schuknecht, ø2.0, 75mm</v>
          </cell>
          <cell r="C1065" t="str">
            <v xml:space="preserve">                                   </v>
          </cell>
          <cell r="D1065" t="str">
            <v xml:space="preserve">DE        </v>
          </cell>
          <cell r="E1065">
            <v>90189084</v>
          </cell>
          <cell r="F1065">
            <v>1</v>
          </cell>
          <cell r="G1065" t="str">
            <v xml:space="preserve">ST          </v>
          </cell>
          <cell r="H1065">
            <v>38.5</v>
          </cell>
          <cell r="I1065">
            <v>38.5</v>
          </cell>
        </row>
        <row r="1066">
          <cell r="A1066" t="str">
            <v>10-130-03-07</v>
          </cell>
          <cell r="B1066" t="str">
            <v xml:space="preserve">SCALPEL HANDLE, NO. 3, 12 CM            </v>
          </cell>
          <cell r="C1066" t="str">
            <v xml:space="preserve">                                   </v>
          </cell>
          <cell r="D1066" t="str">
            <v xml:space="preserve">DE        </v>
          </cell>
          <cell r="E1066">
            <v>90189084</v>
          </cell>
          <cell r="F1066">
            <v>2</v>
          </cell>
          <cell r="G1066" t="str">
            <v xml:space="preserve">ST          </v>
          </cell>
          <cell r="H1066">
            <v>13.1</v>
          </cell>
          <cell r="I1066">
            <v>26.2</v>
          </cell>
        </row>
        <row r="1067">
          <cell r="A1067" t="str">
            <v>11-171-17-07</v>
          </cell>
          <cell r="B1067" t="str">
            <v xml:space="preserve">SCISSORS, MAYO, CVD., 17 CM             </v>
          </cell>
          <cell r="C1067" t="str">
            <v xml:space="preserve">                                   </v>
          </cell>
          <cell r="D1067" t="str">
            <v xml:space="preserve">DE        </v>
          </cell>
          <cell r="E1067">
            <v>90189084</v>
          </cell>
          <cell r="F1067">
            <v>1</v>
          </cell>
          <cell r="G1067" t="str">
            <v xml:space="preserve">ST          </v>
          </cell>
          <cell r="H1067">
            <v>26.4</v>
          </cell>
          <cell r="I1067">
            <v>26.4</v>
          </cell>
        </row>
        <row r="1068">
          <cell r="A1068" t="str">
            <v>11-690-11-07</v>
          </cell>
          <cell r="B1068" t="str">
            <v xml:space="preserve">STRABISMUS SCISS., BL/BL, STR., 11.5 CM </v>
          </cell>
          <cell r="C1068" t="str">
            <v xml:space="preserve">                                   </v>
          </cell>
          <cell r="D1068" t="str">
            <v xml:space="preserve">DE        </v>
          </cell>
          <cell r="E1068">
            <v>90189084</v>
          </cell>
          <cell r="F1068">
            <v>1</v>
          </cell>
          <cell r="G1068" t="str">
            <v xml:space="preserve">ST          </v>
          </cell>
          <cell r="H1068">
            <v>84.3</v>
          </cell>
          <cell r="I1068">
            <v>84.3</v>
          </cell>
        </row>
        <row r="1069">
          <cell r="A1069" t="str">
            <v>11-691-11-07</v>
          </cell>
          <cell r="B1069" t="str">
            <v xml:space="preserve">STRABISMUS SCISS., BL/BL, CVD., 11.5 CM </v>
          </cell>
          <cell r="C1069" t="str">
            <v xml:space="preserve">                                   </v>
          </cell>
          <cell r="D1069" t="str">
            <v xml:space="preserve">DE        </v>
          </cell>
          <cell r="E1069">
            <v>90189084</v>
          </cell>
          <cell r="F1069">
            <v>1</v>
          </cell>
          <cell r="G1069" t="str">
            <v xml:space="preserve">ST          </v>
          </cell>
          <cell r="H1069">
            <v>85.9</v>
          </cell>
          <cell r="I1069">
            <v>85.9</v>
          </cell>
        </row>
        <row r="1070">
          <cell r="A1070" t="str">
            <v>11-865-12-07</v>
          </cell>
          <cell r="B1070" t="str">
            <v xml:space="preserve">WIRE SCISSORS, UNIVERSAL, ANGLED, 12 CM </v>
          </cell>
          <cell r="C1070" t="str">
            <v xml:space="preserve">                                   </v>
          </cell>
          <cell r="D1070" t="str">
            <v xml:space="preserve">DE        </v>
          </cell>
          <cell r="E1070">
            <v>90189084</v>
          </cell>
          <cell r="F1070">
            <v>1</v>
          </cell>
          <cell r="G1070" t="str">
            <v xml:space="preserve">ST          </v>
          </cell>
          <cell r="H1070">
            <v>41.3</v>
          </cell>
          <cell r="I1070">
            <v>41.3</v>
          </cell>
        </row>
        <row r="1071">
          <cell r="A1071" t="str">
            <v>11-955-14-07</v>
          </cell>
          <cell r="B1071" t="str">
            <v xml:space="preserve">TC-DISS. SCISSORS, FINE, CVD., 14.5 CM  </v>
          </cell>
          <cell r="C1071" t="str">
            <v xml:space="preserve">                                   </v>
          </cell>
          <cell r="D1071" t="str">
            <v xml:space="preserve">DE        </v>
          </cell>
          <cell r="E1071">
            <v>90189084</v>
          </cell>
          <cell r="F1071">
            <v>1</v>
          </cell>
          <cell r="G1071" t="str">
            <v xml:space="preserve">ST          </v>
          </cell>
          <cell r="H1071">
            <v>129</v>
          </cell>
          <cell r="I1071">
            <v>129</v>
          </cell>
        </row>
        <row r="1072">
          <cell r="A1072" t="str">
            <v>11-961-18-07</v>
          </cell>
          <cell r="B1072" t="str">
            <v xml:space="preserve">TC-DISS. SCISSORS, FINE, CVD., 18 CM    </v>
          </cell>
          <cell r="C1072" t="str">
            <v xml:space="preserve">                                   </v>
          </cell>
          <cell r="D1072" t="str">
            <v xml:space="preserve">DE        </v>
          </cell>
          <cell r="E1072">
            <v>90189084</v>
          </cell>
          <cell r="F1072">
            <v>1</v>
          </cell>
          <cell r="G1072" t="str">
            <v xml:space="preserve">ST          </v>
          </cell>
          <cell r="H1072">
            <v>143</v>
          </cell>
          <cell r="I1072">
            <v>143</v>
          </cell>
        </row>
        <row r="1073">
          <cell r="A1073" t="str">
            <v>12-368-12-07</v>
          </cell>
          <cell r="B1073" t="str">
            <v xml:space="preserve">TISSUE FORCEPS, ADSON, 1X2 T., 12 CM    </v>
          </cell>
          <cell r="C1073" t="str">
            <v xml:space="preserve">                                   </v>
          </cell>
          <cell r="D1073" t="str">
            <v xml:space="preserve">MY        </v>
          </cell>
          <cell r="E1073">
            <v>90189084</v>
          </cell>
          <cell r="F1073">
            <v>1</v>
          </cell>
          <cell r="G1073" t="str">
            <v xml:space="preserve">ST          </v>
          </cell>
          <cell r="H1073">
            <v>13.1</v>
          </cell>
          <cell r="I1073">
            <v>13.1</v>
          </cell>
        </row>
        <row r="1074">
          <cell r="A1074" t="str">
            <v>13-310-12-07</v>
          </cell>
          <cell r="B1074" t="str">
            <v xml:space="preserve">HAEM. FORCEPS, MOSQUITO, STR., 12.5 CM  </v>
          </cell>
          <cell r="C1074" t="str">
            <v xml:space="preserve">                                   </v>
          </cell>
          <cell r="D1074" t="str">
            <v xml:space="preserve">MY        </v>
          </cell>
          <cell r="E1074">
            <v>90189084</v>
          </cell>
          <cell r="F1074">
            <v>6</v>
          </cell>
          <cell r="G1074" t="str">
            <v xml:space="preserve">ST          </v>
          </cell>
          <cell r="H1074">
            <v>22.4</v>
          </cell>
          <cell r="I1074">
            <v>134.4</v>
          </cell>
        </row>
        <row r="1075">
          <cell r="A1075" t="str">
            <v>13-330-14-07</v>
          </cell>
          <cell r="B1075" t="str">
            <v xml:space="preserve">HAEM. FORCEPS, KELLY, STR., 14.5 CM     </v>
          </cell>
          <cell r="C1075" t="str">
            <v xml:space="preserve">                                   </v>
          </cell>
          <cell r="D1075" t="str">
            <v xml:space="preserve">MY        </v>
          </cell>
          <cell r="E1075">
            <v>90189084</v>
          </cell>
          <cell r="F1075">
            <v>2</v>
          </cell>
          <cell r="G1075" t="str">
            <v xml:space="preserve">ST          </v>
          </cell>
          <cell r="H1075">
            <v>21.9</v>
          </cell>
          <cell r="I1075">
            <v>43.8</v>
          </cell>
        </row>
        <row r="1076">
          <cell r="A1076" t="str">
            <v>13-915-11-07</v>
          </cell>
          <cell r="B1076" t="str">
            <v xml:space="preserve">TOWEL FORCEPS, BACKHAUS, SHARP, 11 CM   </v>
          </cell>
          <cell r="C1076" t="str">
            <v xml:space="preserve">                                   </v>
          </cell>
          <cell r="D1076" t="str">
            <v xml:space="preserve">MY        </v>
          </cell>
          <cell r="E1076">
            <v>90189084</v>
          </cell>
          <cell r="F1076">
            <v>8</v>
          </cell>
          <cell r="G1076" t="str">
            <v xml:space="preserve">ST          </v>
          </cell>
          <cell r="H1076">
            <v>24.3</v>
          </cell>
          <cell r="I1076">
            <v>194.4</v>
          </cell>
        </row>
        <row r="1077">
          <cell r="A1077" t="str">
            <v>15-166-16-07</v>
          </cell>
          <cell r="B1077" t="str">
            <v xml:space="preserve">HOOKLET, SENN-MUELLER, SHARP, 16 CM     </v>
          </cell>
          <cell r="C1077" t="str">
            <v xml:space="preserve">                                   </v>
          </cell>
          <cell r="D1077" t="str">
            <v xml:space="preserve">DE        </v>
          </cell>
          <cell r="E1077">
            <v>90189084</v>
          </cell>
          <cell r="F1077">
            <v>1</v>
          </cell>
          <cell r="G1077" t="str">
            <v xml:space="preserve">ST          </v>
          </cell>
          <cell r="H1077">
            <v>24.8</v>
          </cell>
          <cell r="I1077">
            <v>24.8</v>
          </cell>
        </row>
        <row r="1078">
          <cell r="A1078" t="str">
            <v>15-291-01-07</v>
          </cell>
          <cell r="B1078" t="str">
            <v xml:space="preserve">RETRACTOR, LANGENBECK, 30X11 MM, 21 CM  </v>
          </cell>
          <cell r="C1078" t="str">
            <v xml:space="preserve">                                   </v>
          </cell>
          <cell r="D1078" t="str">
            <v xml:space="preserve">DE        </v>
          </cell>
          <cell r="E1078">
            <v>90189084</v>
          </cell>
          <cell r="F1078">
            <v>1</v>
          </cell>
          <cell r="G1078" t="str">
            <v xml:space="preserve">ST          </v>
          </cell>
          <cell r="H1078">
            <v>53.5</v>
          </cell>
          <cell r="I1078">
            <v>53.5</v>
          </cell>
        </row>
        <row r="1079">
          <cell r="A1079" t="str">
            <v>15-291-02-07</v>
          </cell>
          <cell r="B1079" t="str">
            <v xml:space="preserve">RETRACTOR, LANGENBECK, 30X13 MM, 21 CM  </v>
          </cell>
          <cell r="C1079" t="str">
            <v xml:space="preserve">                                   </v>
          </cell>
          <cell r="D1079" t="str">
            <v xml:space="preserve">DE        </v>
          </cell>
          <cell r="E1079">
            <v>90189084</v>
          </cell>
          <cell r="F1079">
            <v>1</v>
          </cell>
          <cell r="G1079" t="str">
            <v xml:space="preserve">ST          </v>
          </cell>
          <cell r="H1079">
            <v>52.9</v>
          </cell>
          <cell r="I1079">
            <v>52.9</v>
          </cell>
        </row>
        <row r="1080">
          <cell r="A1080" t="str">
            <v>15-723-10-07</v>
          </cell>
          <cell r="B1080" t="str">
            <v xml:space="preserve">SPREADER, JANSEN, BLUNT, 3X3 T., 10 CM  </v>
          </cell>
          <cell r="C1080" t="str">
            <v xml:space="preserve">                                   </v>
          </cell>
          <cell r="D1080" t="str">
            <v xml:space="preserve">DE        </v>
          </cell>
          <cell r="E1080">
            <v>90189084</v>
          </cell>
          <cell r="F1080">
            <v>1</v>
          </cell>
          <cell r="G1080" t="str">
            <v xml:space="preserve">ST          </v>
          </cell>
          <cell r="H1080">
            <v>239.5</v>
          </cell>
          <cell r="I1080">
            <v>239.5</v>
          </cell>
        </row>
        <row r="1081">
          <cell r="A1081" t="str">
            <v>18-523-08-01</v>
          </cell>
          <cell r="B1081" t="str">
            <v>Suction tube, Frazier, ø 2.7 mm, 19.5 cm</v>
          </cell>
          <cell r="C1081" t="str">
            <v xml:space="preserve">                                   </v>
          </cell>
          <cell r="D1081" t="str">
            <v xml:space="preserve">MY        </v>
          </cell>
          <cell r="E1081">
            <v>90183900</v>
          </cell>
          <cell r="F1081">
            <v>1</v>
          </cell>
          <cell r="G1081" t="str">
            <v xml:space="preserve">ST          </v>
          </cell>
          <cell r="H1081">
            <v>21.7</v>
          </cell>
          <cell r="I1081">
            <v>21.7</v>
          </cell>
        </row>
        <row r="1082">
          <cell r="A1082" t="str">
            <v>18-523-10-01</v>
          </cell>
          <cell r="B1082" t="str">
            <v>Suction tube, Frazier, ø 3.3 mm, 19.5 cm</v>
          </cell>
          <cell r="C1082" t="str">
            <v xml:space="preserve">                                   </v>
          </cell>
          <cell r="D1082" t="str">
            <v xml:space="preserve">MY        </v>
          </cell>
          <cell r="E1082">
            <v>90183900</v>
          </cell>
          <cell r="F1082">
            <v>1</v>
          </cell>
          <cell r="G1082" t="str">
            <v xml:space="preserve">ST          </v>
          </cell>
          <cell r="H1082">
            <v>21.7</v>
          </cell>
          <cell r="I1082">
            <v>21.7</v>
          </cell>
        </row>
        <row r="1083">
          <cell r="A1083" t="str">
            <v>20-637-12-07</v>
          </cell>
          <cell r="B1083" t="str">
            <v xml:space="preserve">TC-NEEDLEHOLD., WEBSTER, SMOOTH, 12 CM  </v>
          </cell>
          <cell r="C1083" t="str">
            <v xml:space="preserve">                                   </v>
          </cell>
          <cell r="D1083" t="str">
            <v xml:space="preserve">MY        </v>
          </cell>
          <cell r="E1083">
            <v>90189084</v>
          </cell>
          <cell r="F1083">
            <v>1</v>
          </cell>
          <cell r="G1083" t="str">
            <v xml:space="preserve">ST          </v>
          </cell>
          <cell r="H1083">
            <v>77.099999999999994</v>
          </cell>
          <cell r="I1083">
            <v>77.099999999999994</v>
          </cell>
        </row>
        <row r="1084">
          <cell r="A1084" t="str">
            <v>20-604-13-07</v>
          </cell>
          <cell r="B1084" t="str">
            <v xml:space="preserve">TC-NEEDLEHOLDER, WEBSTER, 13 CM         </v>
          </cell>
          <cell r="C1084" t="str">
            <v xml:space="preserve">                                   </v>
          </cell>
          <cell r="D1084" t="str">
            <v xml:space="preserve">DE        </v>
          </cell>
          <cell r="E1084">
            <v>90189084</v>
          </cell>
          <cell r="F1084">
            <v>1</v>
          </cell>
          <cell r="G1084" t="str">
            <v xml:space="preserve">ST          </v>
          </cell>
          <cell r="H1084">
            <v>143</v>
          </cell>
          <cell r="I1084">
            <v>143</v>
          </cell>
        </row>
        <row r="1085">
          <cell r="A1085" t="str">
            <v>30-132-15-07</v>
          </cell>
          <cell r="B1085" t="str">
            <v xml:space="preserve">TISSUE FORCEPS, ALLIS, 4X5 T., 15.5 CM  </v>
          </cell>
          <cell r="C1085" t="str">
            <v xml:space="preserve">                                   </v>
          </cell>
          <cell r="D1085" t="str">
            <v xml:space="preserve">MY        </v>
          </cell>
          <cell r="E1085">
            <v>90189084</v>
          </cell>
          <cell r="F1085">
            <v>1</v>
          </cell>
          <cell r="G1085" t="str">
            <v xml:space="preserve">ST          </v>
          </cell>
          <cell r="H1085">
            <v>44.5</v>
          </cell>
          <cell r="I1085">
            <v>44.5</v>
          </cell>
        </row>
        <row r="1086">
          <cell r="A1086" t="str">
            <v>99-999-99-99</v>
          </cell>
          <cell r="B1086" t="str">
            <v xml:space="preserve">NO BID                                  </v>
          </cell>
          <cell r="C1086" t="str">
            <v xml:space="preserve">                                   </v>
          </cell>
          <cell r="D1086" t="str">
            <v xml:space="preserve">DE        </v>
          </cell>
          <cell r="E1086">
            <v>90189084</v>
          </cell>
          <cell r="F1086">
            <v>1</v>
          </cell>
          <cell r="G1086" t="str">
            <v xml:space="preserve">ST          </v>
          </cell>
          <cell r="H1086" t="str">
            <v xml:space="preserve">               </v>
          </cell>
          <cell r="I1086" t="str">
            <v xml:space="preserve">               </v>
          </cell>
        </row>
        <row r="1087">
          <cell r="A1087" t="str">
            <v>36-001-11-07</v>
          </cell>
          <cell r="B1087" t="str">
            <v xml:space="preserve">MINI-ALLIGATOR FORCEPS, MCGEE, SMOOTH   </v>
          </cell>
          <cell r="C1087" t="str">
            <v xml:space="preserve">                                   </v>
          </cell>
          <cell r="D1087" t="str">
            <v xml:space="preserve">DE        </v>
          </cell>
          <cell r="E1087">
            <v>90189084</v>
          </cell>
          <cell r="F1087">
            <v>1</v>
          </cell>
          <cell r="G1087" t="str">
            <v xml:space="preserve">ST          </v>
          </cell>
          <cell r="H1087">
            <v>290</v>
          </cell>
          <cell r="I1087">
            <v>290</v>
          </cell>
        </row>
        <row r="1088">
          <cell r="A1088" t="str">
            <v>36-001-16-07</v>
          </cell>
          <cell r="B1088" t="str">
            <v xml:space="preserve">MINI-ALLIGATOR FORCEPS, MCGEE, SERRATED </v>
          </cell>
          <cell r="C1088" t="str">
            <v xml:space="preserve">                                   </v>
          </cell>
          <cell r="D1088" t="str">
            <v xml:space="preserve">DE        </v>
          </cell>
          <cell r="E1088">
            <v>90189084</v>
          </cell>
          <cell r="F1088">
            <v>1</v>
          </cell>
          <cell r="G1088" t="str">
            <v xml:space="preserve">ST          </v>
          </cell>
          <cell r="H1088">
            <v>308.5</v>
          </cell>
          <cell r="I1088">
            <v>308.5</v>
          </cell>
        </row>
        <row r="1089">
          <cell r="A1089" t="str">
            <v>36-010-11-07</v>
          </cell>
          <cell r="B1089" t="str">
            <v xml:space="preserve">WIRE CLOSING FORCEPS, MCGEE, 3.5X0.8 MM </v>
          </cell>
          <cell r="C1089" t="str">
            <v xml:space="preserve">                                   </v>
          </cell>
          <cell r="D1089" t="str">
            <v xml:space="preserve">DE        </v>
          </cell>
          <cell r="E1089">
            <v>90189084</v>
          </cell>
          <cell r="F1089">
            <v>1</v>
          </cell>
          <cell r="G1089" t="str">
            <v xml:space="preserve">ST          </v>
          </cell>
          <cell r="H1089">
            <v>250</v>
          </cell>
          <cell r="I1089">
            <v>250</v>
          </cell>
        </row>
        <row r="1090">
          <cell r="A1090" t="str">
            <v>36-005-04-07</v>
          </cell>
          <cell r="B1090" t="str">
            <v xml:space="preserve">MICRO-EAR SCISSORS, BELLUCI, L., 4 MM   </v>
          </cell>
          <cell r="C1090" t="str">
            <v xml:space="preserve">                                   </v>
          </cell>
          <cell r="D1090" t="str">
            <v xml:space="preserve">DE        </v>
          </cell>
          <cell r="E1090">
            <v>90189084</v>
          </cell>
          <cell r="F1090">
            <v>1</v>
          </cell>
          <cell r="G1090" t="str">
            <v xml:space="preserve">ST          </v>
          </cell>
          <cell r="H1090">
            <v>272</v>
          </cell>
          <cell r="I1090">
            <v>272</v>
          </cell>
        </row>
        <row r="1091">
          <cell r="A1091" t="str">
            <v>36-005-03-07</v>
          </cell>
          <cell r="B1091" t="str">
            <v xml:space="preserve">MICRO-EAR SCISSORS, BELLUCI, R., 4 MM   </v>
          </cell>
          <cell r="C1091" t="str">
            <v xml:space="preserve">                                   </v>
          </cell>
          <cell r="D1091" t="str">
            <v xml:space="preserve">DE        </v>
          </cell>
          <cell r="E1091">
            <v>90189084</v>
          </cell>
          <cell r="F1091">
            <v>1</v>
          </cell>
          <cell r="G1091" t="str">
            <v xml:space="preserve">ST          </v>
          </cell>
          <cell r="H1091">
            <v>272</v>
          </cell>
          <cell r="I1091">
            <v>272</v>
          </cell>
        </row>
        <row r="1092">
          <cell r="A1092" t="str">
            <v>36-005-01-07</v>
          </cell>
          <cell r="B1092" t="str">
            <v xml:space="preserve">MICRO-EAR SCISSORS, BELLUCI, STR., 4 MM </v>
          </cell>
          <cell r="C1092" t="str">
            <v xml:space="preserve">                                   </v>
          </cell>
          <cell r="D1092" t="str">
            <v xml:space="preserve">DE        </v>
          </cell>
          <cell r="E1092">
            <v>90189084</v>
          </cell>
          <cell r="F1092">
            <v>1</v>
          </cell>
          <cell r="G1092" t="str">
            <v xml:space="preserve">ST          </v>
          </cell>
          <cell r="H1092">
            <v>241.5</v>
          </cell>
          <cell r="I1092">
            <v>241.5</v>
          </cell>
        </row>
        <row r="1093">
          <cell r="A1093" t="str">
            <v>36-011-01-07</v>
          </cell>
          <cell r="B1093" t="str">
            <v xml:space="preserve">MALLEUS NIPPER, UPWARDS, 1.3 MM         </v>
          </cell>
          <cell r="C1093" t="str">
            <v xml:space="preserve">                                   </v>
          </cell>
          <cell r="D1093" t="str">
            <v xml:space="preserve">DE        </v>
          </cell>
          <cell r="E1093">
            <v>90189084</v>
          </cell>
          <cell r="F1093">
            <v>1</v>
          </cell>
          <cell r="G1093" t="str">
            <v xml:space="preserve">ST          </v>
          </cell>
          <cell r="H1093">
            <v>240</v>
          </cell>
          <cell r="I1093">
            <v>240</v>
          </cell>
        </row>
        <row r="1094">
          <cell r="A1094" t="str">
            <v>36-020-11-07</v>
          </cell>
          <cell r="B1094" t="str">
            <v xml:space="preserve">SICKLE KNIFE, WULLSTEIN, STR., 15.5 CM  </v>
          </cell>
          <cell r="C1094" t="str">
            <v xml:space="preserve">                                   </v>
          </cell>
          <cell r="D1094" t="str">
            <v xml:space="preserve">DE        </v>
          </cell>
          <cell r="E1094">
            <v>90189084</v>
          </cell>
          <cell r="F1094">
            <v>1</v>
          </cell>
          <cell r="G1094" t="str">
            <v xml:space="preserve">ST          </v>
          </cell>
          <cell r="H1094">
            <v>72.099999999999994</v>
          </cell>
          <cell r="I1094">
            <v>72.099999999999994</v>
          </cell>
        </row>
        <row r="1095">
          <cell r="A1095" t="str">
            <v>36-022-04-07</v>
          </cell>
          <cell r="B1095" t="str">
            <v xml:space="preserve">Round Cutt. Knife, Rosen, 2.0 MM, 16 CM </v>
          </cell>
          <cell r="C1095" t="str">
            <v xml:space="preserve">                                   </v>
          </cell>
          <cell r="D1095" t="str">
            <v xml:space="preserve">DE        </v>
          </cell>
          <cell r="E1095">
            <v>90189084</v>
          </cell>
          <cell r="F1095">
            <v>1</v>
          </cell>
          <cell r="G1095" t="str">
            <v xml:space="preserve">ST          </v>
          </cell>
          <cell r="H1095">
            <v>72</v>
          </cell>
          <cell r="I1095">
            <v>72</v>
          </cell>
        </row>
        <row r="1096">
          <cell r="A1096" t="str">
            <v>36-024-01-07</v>
          </cell>
          <cell r="B1096" t="str">
            <v xml:space="preserve">NEEDLE, BARBARA, STR., 16 CM            </v>
          </cell>
          <cell r="C1096" t="str">
            <v xml:space="preserve">                                   </v>
          </cell>
          <cell r="D1096" t="str">
            <v xml:space="preserve">DE        </v>
          </cell>
          <cell r="E1096">
            <v>90189084</v>
          </cell>
          <cell r="F1096">
            <v>1</v>
          </cell>
          <cell r="G1096" t="str">
            <v xml:space="preserve">ST          </v>
          </cell>
          <cell r="H1096">
            <v>54.1</v>
          </cell>
          <cell r="I1096">
            <v>54.1</v>
          </cell>
        </row>
        <row r="1097">
          <cell r="A1097" t="str">
            <v>36-024-04-07</v>
          </cell>
          <cell r="B1097" t="str">
            <v xml:space="preserve">NEEDLE, ROSEN, STRONG CVD., 16 CM       </v>
          </cell>
          <cell r="C1097" t="str">
            <v xml:space="preserve">                                   </v>
          </cell>
          <cell r="D1097" t="str">
            <v xml:space="preserve">DE        </v>
          </cell>
          <cell r="E1097">
            <v>90189084</v>
          </cell>
          <cell r="F1097">
            <v>1</v>
          </cell>
          <cell r="G1097" t="str">
            <v xml:space="preserve">ST          </v>
          </cell>
          <cell r="H1097">
            <v>54.1</v>
          </cell>
          <cell r="I1097">
            <v>54.1</v>
          </cell>
        </row>
        <row r="1098">
          <cell r="A1098" t="str">
            <v>36-044-01-07</v>
          </cell>
          <cell r="B1098" t="str">
            <v xml:space="preserve">EAR CURETTE, HOUSE, 1.0/1.2 MM, 14.5 CM </v>
          </cell>
          <cell r="C1098" t="str">
            <v xml:space="preserve">                                   </v>
          </cell>
          <cell r="D1098" t="str">
            <v xml:space="preserve">DE        </v>
          </cell>
          <cell r="E1098">
            <v>90189084</v>
          </cell>
          <cell r="F1098">
            <v>1</v>
          </cell>
          <cell r="G1098" t="str">
            <v xml:space="preserve">ST          </v>
          </cell>
          <cell r="H1098">
            <v>96.6</v>
          </cell>
          <cell r="I1098">
            <v>96.6</v>
          </cell>
        </row>
        <row r="1099">
          <cell r="A1099" t="str">
            <v>36-044-03-07</v>
          </cell>
          <cell r="B1099" t="str">
            <v xml:space="preserve">EAR CURETTE, HOUSE, 1.0/1.2 MM, 14.5 CM </v>
          </cell>
          <cell r="C1099" t="str">
            <v xml:space="preserve">ALTERNATIVE                        </v>
          </cell>
          <cell r="D1099" t="str">
            <v xml:space="preserve">DE        </v>
          </cell>
          <cell r="E1099">
            <v>90189084</v>
          </cell>
          <cell r="F1099">
            <v>1</v>
          </cell>
          <cell r="G1099" t="str">
            <v xml:space="preserve">ST          </v>
          </cell>
          <cell r="H1099">
            <v>97.5</v>
          </cell>
          <cell r="I1099">
            <v>97.5</v>
          </cell>
        </row>
        <row r="1100">
          <cell r="A1100" t="str">
            <v>36-044-01-07</v>
          </cell>
          <cell r="B1100" t="str">
            <v xml:space="preserve">EAR CURETTE, HOUSE, 1.0/1.2 MM, 14.5 CM </v>
          </cell>
          <cell r="C1100" t="str">
            <v xml:space="preserve">                                   </v>
          </cell>
          <cell r="D1100" t="str">
            <v xml:space="preserve">DE        </v>
          </cell>
          <cell r="E1100">
            <v>90189084</v>
          </cell>
          <cell r="F1100">
            <v>1</v>
          </cell>
          <cell r="G1100" t="str">
            <v xml:space="preserve">ST          </v>
          </cell>
          <cell r="H1100">
            <v>96.6</v>
          </cell>
          <cell r="I1100">
            <v>96.6</v>
          </cell>
        </row>
        <row r="1101">
          <cell r="A1101" t="str">
            <v>36-044-03-07</v>
          </cell>
          <cell r="B1101" t="str">
            <v xml:space="preserve">EAR CURETTE, HOUSE, 1.0/1.2 MM, 14.5 CM </v>
          </cell>
          <cell r="C1101" t="str">
            <v xml:space="preserve">ALTERNATIVE                        </v>
          </cell>
          <cell r="D1101" t="str">
            <v xml:space="preserve">DE        </v>
          </cell>
          <cell r="E1101">
            <v>90189084</v>
          </cell>
          <cell r="F1101">
            <v>1</v>
          </cell>
          <cell r="G1101" t="str">
            <v xml:space="preserve">ST          </v>
          </cell>
          <cell r="H1101">
            <v>97.5</v>
          </cell>
          <cell r="I1101">
            <v>97.5</v>
          </cell>
        </row>
        <row r="1102">
          <cell r="A1102" t="str">
            <v>36-134-01-07</v>
          </cell>
          <cell r="B1102" t="str">
            <v xml:space="preserve">EAR SPECULUM, FARRIOR, NO. 1, Ø 5.5 MM  </v>
          </cell>
          <cell r="C1102" t="str">
            <v xml:space="preserve">                                   </v>
          </cell>
          <cell r="D1102" t="str">
            <v xml:space="preserve">DE        </v>
          </cell>
          <cell r="E1102">
            <v>90189084</v>
          </cell>
          <cell r="F1102">
            <v>1</v>
          </cell>
          <cell r="G1102" t="str">
            <v xml:space="preserve">ST          </v>
          </cell>
          <cell r="H1102">
            <v>26.3</v>
          </cell>
          <cell r="I1102">
            <v>26.3</v>
          </cell>
        </row>
        <row r="1103">
          <cell r="A1103" t="str">
            <v>36-134-03-07</v>
          </cell>
          <cell r="B1103" t="str">
            <v xml:space="preserve">EAR SPECULUM, FARRIOR, NO. 3, Ø 7.5 MM  </v>
          </cell>
          <cell r="C1103" t="str">
            <v xml:space="preserve">                                   </v>
          </cell>
          <cell r="D1103" t="str">
            <v xml:space="preserve">DE        </v>
          </cell>
          <cell r="E1103">
            <v>90189084</v>
          </cell>
          <cell r="F1103">
            <v>1</v>
          </cell>
          <cell r="G1103" t="str">
            <v xml:space="preserve">ST          </v>
          </cell>
          <cell r="H1103">
            <v>26.3</v>
          </cell>
          <cell r="I1103">
            <v>26.3</v>
          </cell>
        </row>
        <row r="1104">
          <cell r="A1104" t="str">
            <v>36-134-05-07</v>
          </cell>
          <cell r="B1104" t="str">
            <v xml:space="preserve">EAR SPECULUM, FARRIOR, NO. 5, Ø 9.5 MM  </v>
          </cell>
          <cell r="C1104" t="str">
            <v xml:space="preserve">                                   </v>
          </cell>
          <cell r="D1104" t="str">
            <v xml:space="preserve">DE        </v>
          </cell>
          <cell r="E1104">
            <v>90189084</v>
          </cell>
          <cell r="F1104">
            <v>1</v>
          </cell>
          <cell r="G1104" t="str">
            <v xml:space="preserve">ST          </v>
          </cell>
          <cell r="H1104">
            <v>26.3</v>
          </cell>
          <cell r="I1104">
            <v>26.3</v>
          </cell>
        </row>
        <row r="1105">
          <cell r="A1105" t="str">
            <v>36-134-06-07</v>
          </cell>
          <cell r="B1105" t="str">
            <v xml:space="preserve">EAR SPECULUM, FARRIOR, NO. 6, Ø 10.5 MM </v>
          </cell>
          <cell r="C1105" t="str">
            <v xml:space="preserve">                                   </v>
          </cell>
          <cell r="D1105" t="str">
            <v xml:space="preserve">DE        </v>
          </cell>
          <cell r="E1105">
            <v>90189084</v>
          </cell>
          <cell r="F1105">
            <v>1</v>
          </cell>
          <cell r="G1105" t="str">
            <v xml:space="preserve">ST          </v>
          </cell>
          <cell r="H1105">
            <v>26.3</v>
          </cell>
          <cell r="I1105">
            <v>26.3</v>
          </cell>
        </row>
        <row r="1106">
          <cell r="A1106" t="str">
            <v>36-391-14-07</v>
          </cell>
          <cell r="B1106" t="str">
            <v xml:space="preserve">EAR FORCEPS, GRUENWALD, BAYON., 14.5 CM </v>
          </cell>
          <cell r="C1106" t="str">
            <v xml:space="preserve">                                   </v>
          </cell>
          <cell r="D1106" t="str">
            <v xml:space="preserve">DE        </v>
          </cell>
          <cell r="E1106">
            <v>90189084</v>
          </cell>
          <cell r="F1106">
            <v>1</v>
          </cell>
          <cell r="G1106" t="str">
            <v xml:space="preserve">ST          </v>
          </cell>
          <cell r="H1106">
            <v>20.7</v>
          </cell>
          <cell r="I1106">
            <v>20.7</v>
          </cell>
        </row>
        <row r="1107">
          <cell r="A1107" t="str">
            <v>36-498-10-07</v>
          </cell>
          <cell r="B1107" t="str">
            <v xml:space="preserve">EAR CURETTE, BUCK, CVD., SHARP, NO. 0   </v>
          </cell>
          <cell r="C1107" t="str">
            <v xml:space="preserve">                                   </v>
          </cell>
          <cell r="D1107" t="str">
            <v xml:space="preserve">DE        </v>
          </cell>
          <cell r="E1107">
            <v>90189084</v>
          </cell>
          <cell r="F1107">
            <v>1</v>
          </cell>
          <cell r="G1107" t="str">
            <v xml:space="preserve">ST          </v>
          </cell>
          <cell r="H1107">
            <v>21.4</v>
          </cell>
          <cell r="I1107">
            <v>21.4</v>
          </cell>
        </row>
        <row r="1108">
          <cell r="A1108" t="str">
            <v>36-554-02-07</v>
          </cell>
          <cell r="B1108" t="str">
            <v xml:space="preserve">EAR LOOP, BILLEAU, NO. 2, 16.5 CM       </v>
          </cell>
          <cell r="C1108" t="str">
            <v xml:space="preserve">                                   </v>
          </cell>
          <cell r="D1108" t="str">
            <v xml:space="preserve">MY        </v>
          </cell>
          <cell r="E1108">
            <v>90189084</v>
          </cell>
          <cell r="F1108">
            <v>1</v>
          </cell>
          <cell r="G1108" t="str">
            <v xml:space="preserve">ST          </v>
          </cell>
          <cell r="H1108">
            <v>22.4</v>
          </cell>
          <cell r="I1108">
            <v>22.4</v>
          </cell>
        </row>
        <row r="1109">
          <cell r="A1109" t="str">
            <v>37-547-20-07</v>
          </cell>
          <cell r="B1109" t="str">
            <v xml:space="preserve">SEPTUM ELEVATOR, FREER, DOUBLE, 21 CM   </v>
          </cell>
          <cell r="C1109" t="str">
            <v xml:space="preserve">                                   </v>
          </cell>
          <cell r="D1109" t="str">
            <v xml:space="preserve">DE        </v>
          </cell>
          <cell r="E1109">
            <v>90189084</v>
          </cell>
          <cell r="F1109">
            <v>1</v>
          </cell>
          <cell r="G1109" t="str">
            <v xml:space="preserve">ST          </v>
          </cell>
          <cell r="H1109">
            <v>42.3</v>
          </cell>
          <cell r="I1109">
            <v>42.3</v>
          </cell>
        </row>
        <row r="1110">
          <cell r="A1110" t="str">
            <v>37-684-15-07</v>
          </cell>
          <cell r="B1110" t="str">
            <v xml:space="preserve">MUCOUS HOOKLET, JOSEPH, SHARP, 15.5 CM  </v>
          </cell>
          <cell r="C1110" t="str">
            <v xml:space="preserve">                                   </v>
          </cell>
          <cell r="D1110" t="str">
            <v xml:space="preserve">DE        </v>
          </cell>
          <cell r="E1110">
            <v>90189084</v>
          </cell>
          <cell r="F1110">
            <v>2</v>
          </cell>
          <cell r="G1110" t="str">
            <v xml:space="preserve">ST          </v>
          </cell>
          <cell r="H1110">
            <v>25.4</v>
          </cell>
          <cell r="I1110">
            <v>50.8</v>
          </cell>
        </row>
        <row r="1111">
          <cell r="A1111" t="str">
            <v>37-704-07-07</v>
          </cell>
          <cell r="B1111" t="str">
            <v>SKIN HOOKLET, JOSEPH, 2-PR., 7 MM, 16 CM</v>
          </cell>
          <cell r="C1111" t="str">
            <v xml:space="preserve">                                   </v>
          </cell>
          <cell r="D1111" t="str">
            <v xml:space="preserve">DE        </v>
          </cell>
          <cell r="E1111">
            <v>90189084</v>
          </cell>
          <cell r="F1111">
            <v>1</v>
          </cell>
          <cell r="G1111" t="str">
            <v xml:space="preserve">ST          </v>
          </cell>
          <cell r="H1111">
            <v>40.1</v>
          </cell>
          <cell r="I1111">
            <v>40.1</v>
          </cell>
        </row>
        <row r="1112">
          <cell r="A1112" t="str">
            <v xml:space="preserve">            </v>
          </cell>
          <cell r="B1112" t="str">
            <v xml:space="preserve">VASCULAR SURGERY                        </v>
          </cell>
          <cell r="C1112" t="str">
            <v xml:space="preserve">                                   </v>
          </cell>
          <cell r="D1112" t="str">
            <v xml:space="preserve">          </v>
          </cell>
          <cell r="E1112" t="str">
            <v xml:space="preserve">                </v>
          </cell>
          <cell r="F1112">
            <v>1</v>
          </cell>
          <cell r="G1112" t="str">
            <v xml:space="preserve">            </v>
          </cell>
          <cell r="H1112" t="str">
            <v xml:space="preserve">               </v>
          </cell>
          <cell r="I1112" t="str">
            <v xml:space="preserve">               </v>
          </cell>
        </row>
        <row r="1113">
          <cell r="A1113" t="str">
            <v xml:space="preserve">            </v>
          </cell>
          <cell r="B1113" t="str">
            <v xml:space="preserve">Retractor                               </v>
          </cell>
          <cell r="C1113" t="str">
            <v xml:space="preserve">                                   </v>
          </cell>
          <cell r="D1113" t="str">
            <v xml:space="preserve">          </v>
          </cell>
          <cell r="E1113" t="str">
            <v xml:space="preserve">                </v>
          </cell>
          <cell r="F1113">
            <v>1</v>
          </cell>
          <cell r="G1113" t="str">
            <v xml:space="preserve">            </v>
          </cell>
          <cell r="H1113" t="str">
            <v xml:space="preserve">               </v>
          </cell>
          <cell r="I1113" t="str">
            <v xml:space="preserve">               </v>
          </cell>
        </row>
        <row r="1114">
          <cell r="A1114" t="str">
            <v>15-920-10-07</v>
          </cell>
          <cell r="B1114" t="str">
            <v xml:space="preserve">marTract bracket, operating table       </v>
          </cell>
          <cell r="C1114" t="str">
            <v xml:space="preserve">                                   </v>
          </cell>
          <cell r="D1114" t="str">
            <v xml:space="preserve">DE        </v>
          </cell>
          <cell r="E1114">
            <v>73269098</v>
          </cell>
          <cell r="F1114">
            <v>1</v>
          </cell>
          <cell r="G1114" t="str">
            <v xml:space="preserve">ST          </v>
          </cell>
          <cell r="H1114">
            <v>3850</v>
          </cell>
          <cell r="I1114">
            <v>3850</v>
          </cell>
        </row>
        <row r="1115">
          <cell r="A1115" t="str">
            <v>15-920-30-07</v>
          </cell>
          <cell r="B1115" t="str">
            <v xml:space="preserve">marTract transverse rod f. 15-920-34-07 </v>
          </cell>
          <cell r="C1115" t="str">
            <v xml:space="preserve">                                   </v>
          </cell>
          <cell r="D1115" t="str">
            <v xml:space="preserve">DE        </v>
          </cell>
          <cell r="E1115">
            <v>73269098</v>
          </cell>
          <cell r="F1115">
            <v>1</v>
          </cell>
          <cell r="G1115" t="str">
            <v xml:space="preserve">ST          </v>
          </cell>
          <cell r="H1115">
            <v>612</v>
          </cell>
          <cell r="I1115">
            <v>612</v>
          </cell>
        </row>
        <row r="1116">
          <cell r="A1116" t="str">
            <v>15-920-34-07</v>
          </cell>
          <cell r="B1116" t="str">
            <v xml:space="preserve">marTract ball mount for holding arms    </v>
          </cell>
          <cell r="C1116" t="str">
            <v xml:space="preserve">                                   </v>
          </cell>
          <cell r="D1116" t="str">
            <v xml:space="preserve">DE        </v>
          </cell>
          <cell r="E1116">
            <v>73269098</v>
          </cell>
          <cell r="F1116">
            <v>1</v>
          </cell>
          <cell r="G1116" t="str">
            <v xml:space="preserve">ST          </v>
          </cell>
          <cell r="H1116">
            <v>2870</v>
          </cell>
          <cell r="I1116">
            <v>2870</v>
          </cell>
        </row>
        <row r="1117">
          <cell r="A1117" t="str">
            <v>15-920-21-07</v>
          </cell>
          <cell r="B1117" t="str">
            <v xml:space="preserve">marTract holding arm for kidney add-on  </v>
          </cell>
          <cell r="C1117" t="str">
            <v xml:space="preserve">                                   </v>
          </cell>
          <cell r="D1117" t="str">
            <v xml:space="preserve">DE        </v>
          </cell>
          <cell r="E1117">
            <v>73269098</v>
          </cell>
          <cell r="F1117">
            <v>2</v>
          </cell>
          <cell r="G1117" t="str">
            <v xml:space="preserve">ST          </v>
          </cell>
          <cell r="H1117">
            <v>1235</v>
          </cell>
          <cell r="I1117">
            <v>2470</v>
          </cell>
        </row>
        <row r="1118">
          <cell r="A1118" t="str">
            <v>15-920-35-07</v>
          </cell>
          <cell r="B1118" t="str">
            <v xml:space="preserve">marTract fixing clip for retractor      </v>
          </cell>
          <cell r="C1118" t="str">
            <v xml:space="preserve">                                   </v>
          </cell>
          <cell r="D1118" t="str">
            <v xml:space="preserve">DE        </v>
          </cell>
          <cell r="E1118">
            <v>73269098</v>
          </cell>
          <cell r="F1118">
            <v>6</v>
          </cell>
          <cell r="G1118" t="str">
            <v xml:space="preserve">ST          </v>
          </cell>
          <cell r="H1118">
            <v>1115</v>
          </cell>
          <cell r="I1118">
            <v>6690</v>
          </cell>
        </row>
        <row r="1119">
          <cell r="A1119" t="str">
            <v>15-920-40-07</v>
          </cell>
          <cell r="B1119" t="str">
            <v xml:space="preserve">marTract blade holder, fixed            </v>
          </cell>
          <cell r="C1119" t="str">
            <v xml:space="preserve">                                   </v>
          </cell>
          <cell r="D1119" t="str">
            <v xml:space="preserve">DE        </v>
          </cell>
          <cell r="E1119">
            <v>73269098</v>
          </cell>
          <cell r="F1119">
            <v>6</v>
          </cell>
          <cell r="G1119" t="str">
            <v xml:space="preserve">ST          </v>
          </cell>
          <cell r="H1119">
            <v>235</v>
          </cell>
          <cell r="I1119">
            <v>1410</v>
          </cell>
        </row>
        <row r="1120">
          <cell r="A1120" t="str">
            <v>15-920-42-07</v>
          </cell>
          <cell r="B1120" t="str">
            <v xml:space="preserve">marTract blade holder, movable          </v>
          </cell>
          <cell r="C1120" t="str">
            <v xml:space="preserve">                                   </v>
          </cell>
          <cell r="D1120" t="str">
            <v xml:space="preserve">DE        </v>
          </cell>
          <cell r="E1120">
            <v>73269098</v>
          </cell>
          <cell r="F1120">
            <v>1</v>
          </cell>
          <cell r="G1120" t="str">
            <v xml:space="preserve">ST          </v>
          </cell>
          <cell r="H1120">
            <v>703</v>
          </cell>
          <cell r="I1120">
            <v>703</v>
          </cell>
        </row>
        <row r="1121">
          <cell r="A1121" t="str">
            <v>15-921-13-07</v>
          </cell>
          <cell r="B1121" t="str">
            <v xml:space="preserve">marTract blade, flex., 160x75mm         </v>
          </cell>
          <cell r="C1121" t="str">
            <v xml:space="preserve">                                   </v>
          </cell>
          <cell r="D1121" t="str">
            <v xml:space="preserve">DE        </v>
          </cell>
          <cell r="E1121">
            <v>90189084</v>
          </cell>
          <cell r="F1121">
            <v>1</v>
          </cell>
          <cell r="G1121" t="str">
            <v xml:space="preserve">ST          </v>
          </cell>
          <cell r="H1121">
            <v>246</v>
          </cell>
          <cell r="I1121">
            <v>246</v>
          </cell>
        </row>
        <row r="1122">
          <cell r="A1122" t="str">
            <v>15-921-51-07</v>
          </cell>
          <cell r="B1122" t="str">
            <v xml:space="preserve">marTract Langenbeck, blade, 150x50mm    </v>
          </cell>
          <cell r="C1122" t="str">
            <v xml:space="preserve">                                   </v>
          </cell>
          <cell r="D1122" t="str">
            <v xml:space="preserve">DE        </v>
          </cell>
          <cell r="E1122">
            <v>90189084</v>
          </cell>
          <cell r="F1122">
            <v>4</v>
          </cell>
          <cell r="G1122" t="str">
            <v xml:space="preserve">ST          </v>
          </cell>
          <cell r="H1122">
            <v>378.5</v>
          </cell>
          <cell r="I1122">
            <v>1514</v>
          </cell>
        </row>
        <row r="1123">
          <cell r="A1123" t="str">
            <v>15-921-71-07</v>
          </cell>
          <cell r="B1123" t="str">
            <v xml:space="preserve">marTract Deaver, blade, 200x70mm        </v>
          </cell>
          <cell r="C1123" t="str">
            <v xml:space="preserve">                                   </v>
          </cell>
          <cell r="D1123" t="str">
            <v xml:space="preserve">DE        </v>
          </cell>
          <cell r="E1123">
            <v>90189084</v>
          </cell>
          <cell r="F1123">
            <v>1</v>
          </cell>
          <cell r="G1123" t="str">
            <v xml:space="preserve">ST          </v>
          </cell>
          <cell r="H1123">
            <v>356.5</v>
          </cell>
          <cell r="I1123">
            <v>356.5</v>
          </cell>
        </row>
        <row r="1124">
          <cell r="A1124" t="str">
            <v>15-922-11-07</v>
          </cell>
          <cell r="B1124" t="str">
            <v xml:space="preserve">marTract Harringt., blade, 175x65mm     </v>
          </cell>
          <cell r="C1124" t="str">
            <v xml:space="preserve">                                   </v>
          </cell>
          <cell r="D1124" t="str">
            <v xml:space="preserve">DE        </v>
          </cell>
          <cell r="E1124">
            <v>90189084</v>
          </cell>
          <cell r="F1124">
            <v>1</v>
          </cell>
          <cell r="G1124" t="str">
            <v xml:space="preserve">ST          </v>
          </cell>
          <cell r="H1124">
            <v>400.5</v>
          </cell>
          <cell r="I1124">
            <v>400.5</v>
          </cell>
        </row>
        <row r="1125">
          <cell r="A1125" t="str">
            <v xml:space="preserve">            </v>
          </cell>
          <cell r="B1125" t="str">
            <v xml:space="preserve">Peripheral 2                            </v>
          </cell>
          <cell r="C1125" t="str">
            <v xml:space="preserve">                                   </v>
          </cell>
          <cell r="D1125" t="str">
            <v xml:space="preserve">          </v>
          </cell>
          <cell r="E1125" t="str">
            <v xml:space="preserve">                </v>
          </cell>
          <cell r="F1125">
            <v>1</v>
          </cell>
          <cell r="G1125" t="str">
            <v xml:space="preserve">            </v>
          </cell>
          <cell r="H1125" t="str">
            <v xml:space="preserve">               </v>
          </cell>
          <cell r="I1125" t="str">
            <v xml:space="preserve">               </v>
          </cell>
        </row>
        <row r="1126">
          <cell r="A1126" t="str">
            <v>24-393-10-07</v>
          </cell>
          <cell r="B1126" t="str">
            <v xml:space="preserve">BULLDOG CLAMP, DE BAKEY, CVD., 9,5 CM   </v>
          </cell>
          <cell r="C1126" t="str">
            <v xml:space="preserve">                                   </v>
          </cell>
          <cell r="D1126" t="str">
            <v xml:space="preserve">DE        </v>
          </cell>
          <cell r="E1126">
            <v>90189084</v>
          </cell>
          <cell r="F1126">
            <v>4</v>
          </cell>
          <cell r="G1126" t="str">
            <v xml:space="preserve">ST          </v>
          </cell>
          <cell r="H1126">
            <v>120</v>
          </cell>
          <cell r="I1126">
            <v>480</v>
          </cell>
        </row>
        <row r="1127">
          <cell r="A1127" t="str">
            <v>24-386-20-07</v>
          </cell>
          <cell r="B1127" t="str">
            <v xml:space="preserve">ATR. FORCEPS, DE BAKEY, 1.5 MM, 20 CM   </v>
          </cell>
          <cell r="C1127" t="str">
            <v xml:space="preserve">                                   </v>
          </cell>
          <cell r="D1127" t="str">
            <v xml:space="preserve">MY        </v>
          </cell>
          <cell r="E1127">
            <v>90189084</v>
          </cell>
          <cell r="F1127">
            <v>2</v>
          </cell>
          <cell r="G1127" t="str">
            <v xml:space="preserve">ST          </v>
          </cell>
          <cell r="H1127">
            <v>81.900000000000006</v>
          </cell>
          <cell r="I1127">
            <v>163.80000000000001</v>
          </cell>
        </row>
        <row r="1128">
          <cell r="A1128" t="str">
            <v>24-388-24-07</v>
          </cell>
          <cell r="B1128" t="str">
            <v xml:space="preserve">ATR. FORCEPS, DE BAKEY, 2 MM, 25 CM     </v>
          </cell>
          <cell r="C1128" t="str">
            <v xml:space="preserve">                                   </v>
          </cell>
          <cell r="D1128" t="str">
            <v xml:space="preserve">DE        </v>
          </cell>
          <cell r="E1128">
            <v>90189084</v>
          </cell>
          <cell r="F1128">
            <v>1</v>
          </cell>
          <cell r="G1128" t="str">
            <v xml:space="preserve">ST          </v>
          </cell>
          <cell r="H1128">
            <v>70.599999999999994</v>
          </cell>
          <cell r="I1128">
            <v>70.599999999999994</v>
          </cell>
        </row>
        <row r="1129">
          <cell r="A1129" t="str">
            <v>24-388-20-07</v>
          </cell>
          <cell r="B1129" t="str">
            <v xml:space="preserve">ATR. FORCEPS, DE BAKEY, 2 MM, 20 CM     </v>
          </cell>
          <cell r="C1129" t="str">
            <v xml:space="preserve">                                   </v>
          </cell>
          <cell r="D1129" t="str">
            <v xml:space="preserve">MY        </v>
          </cell>
          <cell r="E1129">
            <v>90189084</v>
          </cell>
          <cell r="F1129">
            <v>1</v>
          </cell>
          <cell r="G1129" t="str">
            <v xml:space="preserve">ST          </v>
          </cell>
          <cell r="H1129">
            <v>65.599999999999994</v>
          </cell>
          <cell r="I1129">
            <v>65.599999999999994</v>
          </cell>
        </row>
        <row r="1130">
          <cell r="A1130" t="str">
            <v>11-396-19-07</v>
          </cell>
          <cell r="B1130" t="str">
            <v xml:space="preserve">TC-scissors, Potts-Smith, 18 cm         </v>
          </cell>
          <cell r="C1130" t="str">
            <v xml:space="preserve">                                   </v>
          </cell>
          <cell r="D1130" t="str">
            <v xml:space="preserve">DE        </v>
          </cell>
          <cell r="E1130">
            <v>90189084</v>
          </cell>
          <cell r="F1130">
            <v>2</v>
          </cell>
          <cell r="G1130" t="str">
            <v xml:space="preserve">ST          </v>
          </cell>
          <cell r="H1130">
            <v>200.5</v>
          </cell>
          <cell r="I1130">
            <v>401</v>
          </cell>
        </row>
        <row r="1131">
          <cell r="A1131" t="str">
            <v>11-327-14-07</v>
          </cell>
          <cell r="B1131" t="str">
            <v xml:space="preserve">DISSECT. SCISSORS, FINE, CVD., 14.5 CM  </v>
          </cell>
          <cell r="C1131" t="str">
            <v xml:space="preserve">                                   </v>
          </cell>
          <cell r="D1131" t="str">
            <v xml:space="preserve">DE        </v>
          </cell>
          <cell r="E1131">
            <v>90189084</v>
          </cell>
          <cell r="F1131">
            <v>1</v>
          </cell>
          <cell r="G1131" t="str">
            <v xml:space="preserve">ST          </v>
          </cell>
          <cell r="H1131">
            <v>25.2</v>
          </cell>
          <cell r="I1131">
            <v>25.2</v>
          </cell>
        </row>
        <row r="1132">
          <cell r="A1132" t="str">
            <v>11-955-14-07</v>
          </cell>
          <cell r="B1132" t="str">
            <v xml:space="preserve">TC-DISS. SCISSORS, FINE, CVD., 14.5 CM  </v>
          </cell>
          <cell r="C1132" t="str">
            <v xml:space="preserve">                                   </v>
          </cell>
          <cell r="D1132" t="str">
            <v xml:space="preserve">DE        </v>
          </cell>
          <cell r="E1132">
            <v>90189084</v>
          </cell>
          <cell r="F1132">
            <v>1</v>
          </cell>
          <cell r="G1132" t="str">
            <v xml:space="preserve">ST          </v>
          </cell>
          <cell r="H1132">
            <v>129</v>
          </cell>
          <cell r="I1132">
            <v>129</v>
          </cell>
        </row>
        <row r="1133">
          <cell r="A1133" t="str">
            <v>13-453-22-07</v>
          </cell>
          <cell r="B1133" t="str">
            <v xml:space="preserve">DISS. FORCEPS, MINI-GEMINI, CVD., 23 CM </v>
          </cell>
          <cell r="C1133" t="str">
            <v xml:space="preserve">                                   </v>
          </cell>
          <cell r="D1133" t="str">
            <v xml:space="preserve">DE        </v>
          </cell>
          <cell r="E1133">
            <v>90189084</v>
          </cell>
          <cell r="F1133">
            <v>1</v>
          </cell>
          <cell r="G1133" t="str">
            <v xml:space="preserve">ST          </v>
          </cell>
          <cell r="H1133">
            <v>106</v>
          </cell>
          <cell r="I1133">
            <v>106</v>
          </cell>
        </row>
        <row r="1134">
          <cell r="A1134" t="str">
            <v>13-451-16-07</v>
          </cell>
          <cell r="B1134" t="str">
            <v xml:space="preserve">DISS. FORCEPS, GEMINI, STR. CVD., 16 CM </v>
          </cell>
          <cell r="C1134" t="str">
            <v xml:space="preserve">                                   </v>
          </cell>
          <cell r="D1134" t="str">
            <v xml:space="preserve">MY        </v>
          </cell>
          <cell r="E1134">
            <v>90189084</v>
          </cell>
          <cell r="F1134">
            <v>1</v>
          </cell>
          <cell r="G1134" t="str">
            <v xml:space="preserve">ST          </v>
          </cell>
          <cell r="H1134">
            <v>86.3</v>
          </cell>
          <cell r="I1134">
            <v>86.3</v>
          </cell>
        </row>
        <row r="1135">
          <cell r="A1135" t="str">
            <v>20-666-03-07</v>
          </cell>
          <cell r="B1135" t="str">
            <v xml:space="preserve">TC-NEEDLEHOLDER, MICROVASCULAR, 20 CM   </v>
          </cell>
          <cell r="C1135" t="str">
            <v xml:space="preserve">                                   </v>
          </cell>
          <cell r="D1135" t="str">
            <v xml:space="preserve">MY        </v>
          </cell>
          <cell r="E1135">
            <v>90189084</v>
          </cell>
          <cell r="F1135">
            <v>2</v>
          </cell>
          <cell r="G1135" t="str">
            <v xml:space="preserve">ST          </v>
          </cell>
          <cell r="H1135">
            <v>124</v>
          </cell>
          <cell r="I1135">
            <v>248</v>
          </cell>
        </row>
        <row r="1136">
          <cell r="A1136" t="str">
            <v>20-666-05-07</v>
          </cell>
          <cell r="B1136" t="str">
            <v xml:space="preserve">TC-Needleholder, microvascular, 26cm    </v>
          </cell>
          <cell r="C1136" t="str">
            <v xml:space="preserve">                                   </v>
          </cell>
          <cell r="D1136" t="str">
            <v xml:space="preserve">MY        </v>
          </cell>
          <cell r="E1136">
            <v>90189084</v>
          </cell>
          <cell r="F1136">
            <v>1</v>
          </cell>
          <cell r="G1136" t="str">
            <v xml:space="preserve">ST          </v>
          </cell>
          <cell r="H1136">
            <v>220.5</v>
          </cell>
          <cell r="I1136">
            <v>220.5</v>
          </cell>
        </row>
        <row r="1137">
          <cell r="A1137" t="str">
            <v>13-311-12-07</v>
          </cell>
          <cell r="B1137" t="str">
            <v xml:space="preserve">HAEM. FORCEPS, MOSQUITO, CVD., 12 CM    </v>
          </cell>
          <cell r="C1137" t="str">
            <v xml:space="preserve">                                   </v>
          </cell>
          <cell r="D1137" t="str">
            <v xml:space="preserve">MY        </v>
          </cell>
          <cell r="E1137">
            <v>90189084</v>
          </cell>
          <cell r="F1137">
            <v>6</v>
          </cell>
          <cell r="G1137" t="str">
            <v xml:space="preserve">ST          </v>
          </cell>
          <cell r="H1137">
            <v>23.9</v>
          </cell>
          <cell r="I1137">
            <v>143.4</v>
          </cell>
        </row>
        <row r="1138">
          <cell r="A1138" t="str">
            <v>15-741-13-07</v>
          </cell>
          <cell r="B1138" t="str">
            <v xml:space="preserve">SPREADER, BLUNT, 3X4 T., 20 MM, 13CM    </v>
          </cell>
          <cell r="C1138" t="str">
            <v xml:space="preserve">                                   </v>
          </cell>
          <cell r="D1138" t="str">
            <v xml:space="preserve">DE        </v>
          </cell>
          <cell r="E1138">
            <v>90189084</v>
          </cell>
          <cell r="F1138">
            <v>2</v>
          </cell>
          <cell r="G1138" t="str">
            <v xml:space="preserve">ST          </v>
          </cell>
          <cell r="H1138">
            <v>180</v>
          </cell>
          <cell r="I1138">
            <v>360</v>
          </cell>
        </row>
        <row r="1139">
          <cell r="A1139" t="str">
            <v>15-172-14-07</v>
          </cell>
          <cell r="B1139" t="str">
            <v xml:space="preserve">HOOKLET, CUSHING, 14 MM, 24 CM          </v>
          </cell>
          <cell r="C1139" t="str">
            <v xml:space="preserve">                                   </v>
          </cell>
          <cell r="D1139" t="str">
            <v xml:space="preserve">DE        </v>
          </cell>
          <cell r="E1139">
            <v>90189084</v>
          </cell>
          <cell r="F1139">
            <v>2</v>
          </cell>
          <cell r="G1139" t="str">
            <v xml:space="preserve">ST          </v>
          </cell>
          <cell r="H1139">
            <v>61.7</v>
          </cell>
          <cell r="I1139">
            <v>123.4</v>
          </cell>
        </row>
        <row r="1140">
          <cell r="A1140" t="str">
            <v>24-539-02-07</v>
          </cell>
          <cell r="B1140" t="str">
            <v xml:space="preserve">DISSECTOR, Robb, DOUBLE, NO. 2, 20,5 CM </v>
          </cell>
          <cell r="C1140" t="str">
            <v xml:space="preserve">                                   </v>
          </cell>
          <cell r="D1140" t="str">
            <v xml:space="preserve">DE        </v>
          </cell>
          <cell r="E1140">
            <v>90189084</v>
          </cell>
          <cell r="F1140">
            <v>1</v>
          </cell>
          <cell r="G1140" t="str">
            <v xml:space="preserve">ST          </v>
          </cell>
          <cell r="H1140">
            <v>77.099999999999994</v>
          </cell>
          <cell r="I1140">
            <v>77.099999999999994</v>
          </cell>
        </row>
        <row r="1141">
          <cell r="A1141" t="str">
            <v>18-696-06-01</v>
          </cell>
          <cell r="B1141" t="str">
            <v>Cannula, heparin, Mock, ø2,9x0,8mm,6,5cm</v>
          </cell>
          <cell r="C1141" t="str">
            <v xml:space="preserve">                                   </v>
          </cell>
          <cell r="D1141" t="str">
            <v xml:space="preserve">DE        </v>
          </cell>
          <cell r="E1141">
            <v>90183900</v>
          </cell>
          <cell r="F1141">
            <v>1</v>
          </cell>
          <cell r="G1141" t="str">
            <v xml:space="preserve">ST          </v>
          </cell>
          <cell r="H1141">
            <v>15.3</v>
          </cell>
          <cell r="I1141">
            <v>15.3</v>
          </cell>
        </row>
        <row r="1142">
          <cell r="A1142" t="str">
            <v>24-459-13-07</v>
          </cell>
          <cell r="B1142" t="str">
            <v xml:space="preserve">ATR. FORCEPS, DE BAKEY, ANG., 12.5 CM   </v>
          </cell>
          <cell r="C1142" t="str">
            <v xml:space="preserve">                                   </v>
          </cell>
          <cell r="D1142" t="str">
            <v xml:space="preserve">MY        </v>
          </cell>
          <cell r="E1142">
            <v>90189084</v>
          </cell>
          <cell r="F1142">
            <v>5</v>
          </cell>
          <cell r="G1142" t="str">
            <v xml:space="preserve">ST          </v>
          </cell>
          <cell r="H1142">
            <v>151</v>
          </cell>
          <cell r="I1142">
            <v>755</v>
          </cell>
        </row>
        <row r="1143">
          <cell r="A1143" t="str">
            <v>24-435-27-07</v>
          </cell>
          <cell r="B1143" t="str">
            <v xml:space="preserve">ATR. FORCEPS, POTTS, CVD., 26 CM        </v>
          </cell>
          <cell r="C1143" t="str">
            <v xml:space="preserve">                                   </v>
          </cell>
          <cell r="D1143" t="str">
            <v xml:space="preserve">DE        </v>
          </cell>
          <cell r="E1143">
            <v>90189084</v>
          </cell>
          <cell r="F1143">
            <v>2</v>
          </cell>
          <cell r="G1143" t="str">
            <v xml:space="preserve">ST          </v>
          </cell>
          <cell r="H1143">
            <v>207.5</v>
          </cell>
          <cell r="I1143">
            <v>415</v>
          </cell>
        </row>
        <row r="1144">
          <cell r="A1144" t="str">
            <v>24-435-31-07</v>
          </cell>
          <cell r="B1144" t="str">
            <v xml:space="preserve">ATR. FORCEPS, POTTS, CVD., 31 CM        </v>
          </cell>
          <cell r="C1144" t="str">
            <v xml:space="preserve">                                   </v>
          </cell>
          <cell r="D1144" t="str">
            <v xml:space="preserve">DE        </v>
          </cell>
          <cell r="E1144">
            <v>90189084</v>
          </cell>
          <cell r="F1144">
            <v>2</v>
          </cell>
          <cell r="G1144" t="str">
            <v xml:space="preserve">ST          </v>
          </cell>
          <cell r="H1144">
            <v>239</v>
          </cell>
          <cell r="I1144">
            <v>478</v>
          </cell>
        </row>
        <row r="1145">
          <cell r="A1145" t="str">
            <v>24-416-20-07</v>
          </cell>
          <cell r="B1145" t="str">
            <v xml:space="preserve">ATR. FORCEPS, DE BAKEY, ANG., 20 CM     </v>
          </cell>
          <cell r="C1145" t="str">
            <v xml:space="preserve">                                   </v>
          </cell>
          <cell r="D1145" t="str">
            <v xml:space="preserve">MY        </v>
          </cell>
          <cell r="E1145">
            <v>90189084</v>
          </cell>
          <cell r="F1145">
            <v>2</v>
          </cell>
          <cell r="G1145" t="str">
            <v xml:space="preserve">ST          </v>
          </cell>
          <cell r="H1145">
            <v>174.5</v>
          </cell>
          <cell r="I1145">
            <v>349</v>
          </cell>
        </row>
        <row r="1146">
          <cell r="A1146" t="str">
            <v>11-285-30-07</v>
          </cell>
          <cell r="B1146" t="str">
            <v xml:space="preserve">DISSECTING SCISSORS, CVD., 31 CM        </v>
          </cell>
          <cell r="C1146" t="str">
            <v xml:space="preserve">                                   </v>
          </cell>
          <cell r="D1146" t="str">
            <v xml:space="preserve">DE        </v>
          </cell>
          <cell r="E1146">
            <v>90189084</v>
          </cell>
          <cell r="F1146">
            <v>1</v>
          </cell>
          <cell r="G1146" t="str">
            <v xml:space="preserve">ST          </v>
          </cell>
          <cell r="H1146">
            <v>76.2</v>
          </cell>
          <cell r="I1146">
            <v>76.2</v>
          </cell>
        </row>
        <row r="1147">
          <cell r="A1147" t="str">
            <v>12-254-17-07</v>
          </cell>
          <cell r="B1147" t="str">
            <v xml:space="preserve">TC-DRESSING FORCEPS, CUSHING, 17.5 CM   </v>
          </cell>
          <cell r="C1147" t="str">
            <v xml:space="preserve">                                   </v>
          </cell>
          <cell r="D1147" t="str">
            <v xml:space="preserve">DE        </v>
          </cell>
          <cell r="E1147">
            <v>90189084</v>
          </cell>
          <cell r="F1147">
            <v>2</v>
          </cell>
          <cell r="G1147" t="str">
            <v xml:space="preserve">ST          </v>
          </cell>
          <cell r="H1147">
            <v>80.099999999999994</v>
          </cell>
          <cell r="I1147">
            <v>160.19999999999999</v>
          </cell>
        </row>
        <row r="1148">
          <cell r="A1148" t="str">
            <v>32-741-32-07</v>
          </cell>
          <cell r="B1148" t="str">
            <v xml:space="preserve">UTERINE POLYPUS FORCEPS, KELLY, 31.5 CM </v>
          </cell>
          <cell r="C1148" t="str">
            <v xml:space="preserve">                                   </v>
          </cell>
          <cell r="D1148" t="str">
            <v xml:space="preserve">DE        </v>
          </cell>
          <cell r="E1148">
            <v>90189084</v>
          </cell>
          <cell r="F1148">
            <v>1</v>
          </cell>
          <cell r="G1148" t="str">
            <v xml:space="preserve">ST          </v>
          </cell>
          <cell r="H1148">
            <v>126.5</v>
          </cell>
          <cell r="I1148">
            <v>126.5</v>
          </cell>
        </row>
        <row r="1149">
          <cell r="A1149" t="str">
            <v>13-461-02-07</v>
          </cell>
          <cell r="B1149" t="str">
            <v xml:space="preserve">DISSECTING FORCEPS, RUMEL, NO. 2, 24 CM </v>
          </cell>
          <cell r="C1149" t="str">
            <v xml:space="preserve">                                   </v>
          </cell>
          <cell r="D1149" t="str">
            <v xml:space="preserve">MY        </v>
          </cell>
          <cell r="E1149">
            <v>90189084</v>
          </cell>
          <cell r="F1149">
            <v>6</v>
          </cell>
          <cell r="G1149" t="str">
            <v xml:space="preserve">ST          </v>
          </cell>
          <cell r="H1149">
            <v>89.9</v>
          </cell>
          <cell r="I1149">
            <v>539.4</v>
          </cell>
        </row>
        <row r="1150">
          <cell r="A1150" t="str">
            <v>24-425-26-07</v>
          </cell>
          <cell r="B1150" t="str">
            <v>ATR. TANGENT. FORCEPS, SATINSKY, 27.5 CM</v>
          </cell>
          <cell r="C1150" t="str">
            <v xml:space="preserve">                                   </v>
          </cell>
          <cell r="D1150" t="str">
            <v xml:space="preserve">DE        </v>
          </cell>
          <cell r="E1150">
            <v>90189084</v>
          </cell>
          <cell r="F1150">
            <v>2</v>
          </cell>
          <cell r="G1150" t="str">
            <v xml:space="preserve">ST          </v>
          </cell>
          <cell r="H1150">
            <v>249</v>
          </cell>
          <cell r="I1150">
            <v>498</v>
          </cell>
        </row>
        <row r="1151">
          <cell r="A1151" t="str">
            <v>56-673-25-01</v>
          </cell>
          <cell r="B1151" t="str">
            <v xml:space="preserve">KIDNEY DISH, 250X140X40 MM              </v>
          </cell>
          <cell r="C1151" t="str">
            <v xml:space="preserve">                                   </v>
          </cell>
          <cell r="D1151" t="str">
            <v xml:space="preserve">SE        </v>
          </cell>
          <cell r="E1151">
            <v>73269098</v>
          </cell>
          <cell r="F1151">
            <v>2</v>
          </cell>
          <cell r="G1151" t="str">
            <v xml:space="preserve">ST          </v>
          </cell>
          <cell r="H1151">
            <v>11.9</v>
          </cell>
          <cell r="I1151">
            <v>23.8</v>
          </cell>
        </row>
        <row r="1152">
          <cell r="A1152" t="str">
            <v>13-125-10-07</v>
          </cell>
          <cell r="B1152" t="str">
            <v xml:space="preserve">Atr. bulldog clamp, cvd., 10 mm         </v>
          </cell>
          <cell r="C1152" t="str">
            <v xml:space="preserve">                                   </v>
          </cell>
          <cell r="D1152" t="str">
            <v xml:space="preserve">DE        </v>
          </cell>
          <cell r="E1152">
            <v>90189084</v>
          </cell>
          <cell r="F1152">
            <v>2</v>
          </cell>
          <cell r="G1152" t="str">
            <v xml:space="preserve">ST          </v>
          </cell>
          <cell r="H1152">
            <v>116.5</v>
          </cell>
          <cell r="I1152">
            <v>233</v>
          </cell>
        </row>
        <row r="1153">
          <cell r="A1153" t="str">
            <v>55-804-57-01</v>
          </cell>
          <cell r="B1153" t="str">
            <v xml:space="preserve">marTray, 1/1, 532x251x94 mm             </v>
          </cell>
          <cell r="C1153" t="str">
            <v xml:space="preserve">                                   </v>
          </cell>
          <cell r="D1153" t="str">
            <v xml:space="preserve">DE        </v>
          </cell>
          <cell r="E1153">
            <v>73269098</v>
          </cell>
          <cell r="F1153">
            <v>1</v>
          </cell>
          <cell r="G1153" t="str">
            <v xml:space="preserve">ST          </v>
          </cell>
          <cell r="H1153">
            <v>147</v>
          </cell>
          <cell r="I1153">
            <v>147</v>
          </cell>
        </row>
        <row r="1154">
          <cell r="A1154" t="str">
            <v>10-100-04-07</v>
          </cell>
          <cell r="B1154" t="str">
            <v xml:space="preserve">SCALPEL HANDLE, NO. 4, 13.5 CM          </v>
          </cell>
          <cell r="C1154" t="str">
            <v xml:space="preserve">                                   </v>
          </cell>
          <cell r="D1154" t="str">
            <v xml:space="preserve">DE        </v>
          </cell>
          <cell r="E1154">
            <v>90189084</v>
          </cell>
          <cell r="F1154">
            <v>1</v>
          </cell>
          <cell r="G1154" t="str">
            <v xml:space="preserve">ST          </v>
          </cell>
          <cell r="H1154">
            <v>6.81</v>
          </cell>
          <cell r="I1154">
            <v>6.81</v>
          </cell>
        </row>
        <row r="1155">
          <cell r="A1155" t="str">
            <v>13-414-24-07</v>
          </cell>
          <cell r="B1155" t="str">
            <v xml:space="preserve">FORCEPS, KOCHER, 1X2 T., STR., 24 CM    </v>
          </cell>
          <cell r="C1155" t="str">
            <v xml:space="preserve">                                   </v>
          </cell>
          <cell r="D1155" t="str">
            <v xml:space="preserve">MY        </v>
          </cell>
          <cell r="E1155">
            <v>90189084</v>
          </cell>
          <cell r="F1155">
            <v>5</v>
          </cell>
          <cell r="G1155" t="str">
            <v xml:space="preserve">ST          </v>
          </cell>
          <cell r="H1155">
            <v>62.5</v>
          </cell>
          <cell r="I1155">
            <v>312.5</v>
          </cell>
        </row>
        <row r="1156">
          <cell r="A1156" t="str">
            <v>15-471-01-07</v>
          </cell>
          <cell r="B1156" t="str">
            <v xml:space="preserve">RETRACTOR, KOCHER, 78X45 MM, 25 CM      </v>
          </cell>
          <cell r="C1156" t="str">
            <v xml:space="preserve">                                   </v>
          </cell>
          <cell r="D1156" t="str">
            <v xml:space="preserve">DE        </v>
          </cell>
          <cell r="E1156">
            <v>90189084</v>
          </cell>
          <cell r="F1156">
            <v>4</v>
          </cell>
          <cell r="G1156" t="str">
            <v xml:space="preserve">ST          </v>
          </cell>
          <cell r="H1156">
            <v>112.5</v>
          </cell>
          <cell r="I1156">
            <v>450</v>
          </cell>
        </row>
        <row r="1157">
          <cell r="A1157" t="str">
            <v>13-909-13-07</v>
          </cell>
          <cell r="B1157" t="str">
            <v xml:space="preserve">TOWEL FORCEPS, SHARP, GRACILE, 13 CM    </v>
          </cell>
          <cell r="C1157" t="str">
            <v xml:space="preserve">                                   </v>
          </cell>
          <cell r="D1157" t="str">
            <v xml:space="preserve">MY        </v>
          </cell>
          <cell r="E1157">
            <v>90189084</v>
          </cell>
          <cell r="F1157">
            <v>5</v>
          </cell>
          <cell r="G1157" t="str">
            <v xml:space="preserve">ST          </v>
          </cell>
          <cell r="H1157">
            <v>49.5</v>
          </cell>
          <cell r="I1157">
            <v>247.5</v>
          </cell>
        </row>
        <row r="1158">
          <cell r="A1158" t="str">
            <v>24-344-30-07</v>
          </cell>
          <cell r="B1158" t="str">
            <v xml:space="preserve">ATR. AORTA FORCEPS, DE BAKEY, 30 CM     </v>
          </cell>
          <cell r="C1158" t="str">
            <v xml:space="preserve">                                   </v>
          </cell>
          <cell r="D1158" t="str">
            <v xml:space="preserve">MY        </v>
          </cell>
          <cell r="E1158">
            <v>90189084</v>
          </cell>
          <cell r="F1158">
            <v>2</v>
          </cell>
          <cell r="G1158" t="str">
            <v xml:space="preserve">ST          </v>
          </cell>
          <cell r="H1158">
            <v>359</v>
          </cell>
          <cell r="I1158">
            <v>718</v>
          </cell>
        </row>
        <row r="1159">
          <cell r="A1159" t="str">
            <v>12-444-18-07</v>
          </cell>
          <cell r="B1159" t="str">
            <v xml:space="preserve">FORCEPS, STILLE-BARRAYA, 3X4 T., 18 CM  </v>
          </cell>
          <cell r="C1159" t="str">
            <v xml:space="preserve">                                   </v>
          </cell>
          <cell r="D1159" t="str">
            <v xml:space="preserve">MY        </v>
          </cell>
          <cell r="E1159">
            <v>90189084</v>
          </cell>
          <cell r="F1159">
            <v>2</v>
          </cell>
          <cell r="G1159" t="str">
            <v xml:space="preserve">ST          </v>
          </cell>
          <cell r="H1159">
            <v>44.1</v>
          </cell>
          <cell r="I1159">
            <v>88.2</v>
          </cell>
        </row>
        <row r="1160">
          <cell r="A1160" t="str">
            <v>15-777-32-07</v>
          </cell>
          <cell r="B1160" t="str">
            <v xml:space="preserve">Spreader, Adson, bl., 4X5 T., 33 cm     </v>
          </cell>
          <cell r="C1160" t="str">
            <v xml:space="preserve">                                   </v>
          </cell>
          <cell r="D1160" t="str">
            <v xml:space="preserve">DE        </v>
          </cell>
          <cell r="E1160">
            <v>90189084</v>
          </cell>
          <cell r="F1160">
            <v>2</v>
          </cell>
          <cell r="G1160" t="str">
            <v xml:space="preserve">ST          </v>
          </cell>
          <cell r="H1160">
            <v>269.5</v>
          </cell>
          <cell r="I1160">
            <v>539</v>
          </cell>
        </row>
        <row r="1161">
          <cell r="A1161" t="str">
            <v>15-778-32-07</v>
          </cell>
          <cell r="B1161" t="str">
            <v xml:space="preserve">SPREADER, BECKMANN-EATON, 7X7 T., 32 CM </v>
          </cell>
          <cell r="C1161" t="str">
            <v xml:space="preserve">                                   </v>
          </cell>
          <cell r="D1161" t="str">
            <v xml:space="preserve">MY        </v>
          </cell>
          <cell r="E1161">
            <v>90189084</v>
          </cell>
          <cell r="F1161">
            <v>2</v>
          </cell>
          <cell r="G1161" t="str">
            <v xml:space="preserve">ST          </v>
          </cell>
          <cell r="H1161">
            <v>312.5</v>
          </cell>
          <cell r="I1161">
            <v>625</v>
          </cell>
        </row>
        <row r="1162">
          <cell r="A1162" t="str">
            <v>15-687-00-07</v>
          </cell>
          <cell r="B1162" t="str">
            <v xml:space="preserve">RETRACTOR, PARKER-LANG., SET, 21.5 CM   </v>
          </cell>
          <cell r="C1162" t="str">
            <v xml:space="preserve">                                   </v>
          </cell>
          <cell r="D1162" t="str">
            <v xml:space="preserve">DE        </v>
          </cell>
          <cell r="E1162">
            <v>90189084</v>
          </cell>
          <cell r="F1162">
            <v>2</v>
          </cell>
          <cell r="G1162" t="str">
            <v xml:space="preserve">ST          </v>
          </cell>
          <cell r="H1162">
            <v>37.9</v>
          </cell>
          <cell r="I1162">
            <v>75.8</v>
          </cell>
        </row>
        <row r="1163">
          <cell r="A1163" t="str">
            <v>15-665-00-07</v>
          </cell>
          <cell r="B1163" t="str">
            <v xml:space="preserve">RETRACTOR, DBL., FARABEUF, SET, 15.5 CM </v>
          </cell>
          <cell r="C1163" t="str">
            <v xml:space="preserve">                                   </v>
          </cell>
          <cell r="D1163" t="str">
            <v xml:space="preserve">DE        </v>
          </cell>
          <cell r="E1163">
            <v>90189084</v>
          </cell>
          <cell r="F1163">
            <v>2</v>
          </cell>
          <cell r="G1163" t="str">
            <v xml:space="preserve">ST          </v>
          </cell>
          <cell r="H1163">
            <v>28.9</v>
          </cell>
          <cell r="I1163">
            <v>57.8</v>
          </cell>
        </row>
        <row r="1164">
          <cell r="A1164" t="str">
            <v>11-170-14-07</v>
          </cell>
          <cell r="B1164" t="str">
            <v xml:space="preserve">SCISSORS, MAYO, STR., 14.5 CM           </v>
          </cell>
          <cell r="C1164" t="str">
            <v xml:space="preserve">                                   </v>
          </cell>
          <cell r="D1164" t="str">
            <v xml:space="preserve">DE        </v>
          </cell>
          <cell r="E1164">
            <v>90189084</v>
          </cell>
          <cell r="F1164">
            <v>2</v>
          </cell>
          <cell r="G1164" t="str">
            <v xml:space="preserve">ST          </v>
          </cell>
          <cell r="H1164">
            <v>27.2</v>
          </cell>
          <cell r="I1164">
            <v>54.4</v>
          </cell>
        </row>
        <row r="1165">
          <cell r="A1165" t="str">
            <v>20-642-20-07</v>
          </cell>
          <cell r="B1165" t="str">
            <v xml:space="preserve">TC-NEEDLEHOLDER, MAYO-HEGAR, 20 CM      </v>
          </cell>
          <cell r="C1165" t="str">
            <v xml:space="preserve">                                   </v>
          </cell>
          <cell r="D1165" t="str">
            <v xml:space="preserve">MY        </v>
          </cell>
          <cell r="E1165">
            <v>90189084</v>
          </cell>
          <cell r="F1165">
            <v>2</v>
          </cell>
          <cell r="G1165" t="str">
            <v xml:space="preserve">ST          </v>
          </cell>
          <cell r="H1165">
            <v>86.7</v>
          </cell>
          <cell r="I1165">
            <v>173.4</v>
          </cell>
        </row>
        <row r="1166">
          <cell r="A1166" t="str">
            <v>24-425-20-07</v>
          </cell>
          <cell r="B1166" t="str">
            <v>ATR. TANGENTIAL FORCEPS, SATINSKY, 22 CM</v>
          </cell>
          <cell r="C1166" t="str">
            <v xml:space="preserve">                                   </v>
          </cell>
          <cell r="D1166" t="str">
            <v xml:space="preserve">DE        </v>
          </cell>
          <cell r="E1166">
            <v>90189084</v>
          </cell>
          <cell r="F1166">
            <v>1</v>
          </cell>
          <cell r="G1166" t="str">
            <v xml:space="preserve">ST          </v>
          </cell>
          <cell r="H1166">
            <v>224.5</v>
          </cell>
          <cell r="I1166">
            <v>224.5</v>
          </cell>
        </row>
        <row r="1167">
          <cell r="A1167" t="str">
            <v>10-130-04-07</v>
          </cell>
          <cell r="B1167" t="str">
            <v>SCALPEL HANDLE, NO. 3,SHAPE AS NO.4,12cm</v>
          </cell>
          <cell r="C1167" t="str">
            <v xml:space="preserve">                                   </v>
          </cell>
          <cell r="D1167" t="str">
            <v xml:space="preserve">DE        </v>
          </cell>
          <cell r="E1167">
            <v>90189084</v>
          </cell>
          <cell r="F1167">
            <v>1</v>
          </cell>
          <cell r="G1167" t="str">
            <v xml:space="preserve">ST          </v>
          </cell>
          <cell r="H1167">
            <v>10.7</v>
          </cell>
          <cell r="I1167">
            <v>10.7</v>
          </cell>
        </row>
        <row r="1168">
          <cell r="A1168" t="str">
            <v>24-573-04-07</v>
          </cell>
          <cell r="B1168" t="str">
            <v xml:space="preserve">ATR. FORCEPS, PEDIATRIC, 13,5 CM        </v>
          </cell>
          <cell r="C1168" t="str">
            <v xml:space="preserve">                                   </v>
          </cell>
          <cell r="D1168" t="str">
            <v xml:space="preserve">DE        </v>
          </cell>
          <cell r="E1168">
            <v>90189084</v>
          </cell>
          <cell r="F1168">
            <v>2</v>
          </cell>
          <cell r="G1168" t="str">
            <v xml:space="preserve">ST          </v>
          </cell>
          <cell r="H1168">
            <v>344.5</v>
          </cell>
          <cell r="I1168">
            <v>689</v>
          </cell>
        </row>
        <row r="1169">
          <cell r="A1169" t="str">
            <v>24-573-08-07</v>
          </cell>
          <cell r="B1169" t="str">
            <v>ATR. FORCEPS, PEDIATRIC, ST. CVD., 14 CM</v>
          </cell>
          <cell r="C1169" t="str">
            <v xml:space="preserve">                                   </v>
          </cell>
          <cell r="D1169" t="str">
            <v xml:space="preserve">DE        </v>
          </cell>
          <cell r="E1169">
            <v>90189084</v>
          </cell>
          <cell r="F1169">
            <v>2</v>
          </cell>
          <cell r="G1169" t="str">
            <v xml:space="preserve">ST          </v>
          </cell>
          <cell r="H1169">
            <v>344.5</v>
          </cell>
          <cell r="I1169">
            <v>689</v>
          </cell>
        </row>
        <row r="1170">
          <cell r="A1170" t="str">
            <v xml:space="preserve">            </v>
          </cell>
          <cell r="B1170" t="str">
            <v xml:space="preserve">Peripheral 1                            </v>
          </cell>
          <cell r="C1170" t="str">
            <v xml:space="preserve">                                   </v>
          </cell>
          <cell r="D1170" t="str">
            <v xml:space="preserve">          </v>
          </cell>
          <cell r="E1170" t="str">
            <v xml:space="preserve">                </v>
          </cell>
          <cell r="F1170">
            <v>1</v>
          </cell>
          <cell r="G1170" t="str">
            <v xml:space="preserve">            </v>
          </cell>
          <cell r="H1170" t="str">
            <v xml:space="preserve">               </v>
          </cell>
          <cell r="I1170" t="str">
            <v xml:space="preserve">               </v>
          </cell>
        </row>
        <row r="1171">
          <cell r="A1171" t="str">
            <v>24-393-10-07</v>
          </cell>
          <cell r="B1171" t="str">
            <v xml:space="preserve">BULLDOG CLAMP, DE BAKEY, CVD., 9,5 CM   </v>
          </cell>
          <cell r="C1171" t="str">
            <v xml:space="preserve">                                   </v>
          </cell>
          <cell r="D1171" t="str">
            <v xml:space="preserve">DE        </v>
          </cell>
          <cell r="E1171">
            <v>90189084</v>
          </cell>
          <cell r="F1171">
            <v>4</v>
          </cell>
          <cell r="G1171" t="str">
            <v xml:space="preserve">ST          </v>
          </cell>
          <cell r="H1171">
            <v>120</v>
          </cell>
          <cell r="I1171">
            <v>480</v>
          </cell>
        </row>
        <row r="1172">
          <cell r="A1172" t="str">
            <v>24-386-20-07</v>
          </cell>
          <cell r="B1172" t="str">
            <v xml:space="preserve">ATR. FORCEPS, DE BAKEY, 1.5 MM, 20 CM   </v>
          </cell>
          <cell r="C1172" t="str">
            <v xml:space="preserve">                                   </v>
          </cell>
          <cell r="D1172" t="str">
            <v xml:space="preserve">MY        </v>
          </cell>
          <cell r="E1172">
            <v>90189084</v>
          </cell>
          <cell r="F1172">
            <v>2</v>
          </cell>
          <cell r="G1172" t="str">
            <v xml:space="preserve">ST          </v>
          </cell>
          <cell r="H1172">
            <v>81.900000000000006</v>
          </cell>
          <cell r="I1172">
            <v>163.80000000000001</v>
          </cell>
        </row>
        <row r="1173">
          <cell r="A1173" t="str">
            <v>24-388-24-07</v>
          </cell>
          <cell r="B1173" t="str">
            <v xml:space="preserve">ATR. FORCEPS, DE BAKEY, 2 MM, 25 CM     </v>
          </cell>
          <cell r="C1173" t="str">
            <v xml:space="preserve">                                   </v>
          </cell>
          <cell r="D1173" t="str">
            <v xml:space="preserve">DE        </v>
          </cell>
          <cell r="E1173">
            <v>90189084</v>
          </cell>
          <cell r="F1173">
            <v>1</v>
          </cell>
          <cell r="G1173" t="str">
            <v xml:space="preserve">ST          </v>
          </cell>
          <cell r="H1173">
            <v>70.599999999999994</v>
          </cell>
          <cell r="I1173">
            <v>70.599999999999994</v>
          </cell>
        </row>
        <row r="1174">
          <cell r="A1174" t="str">
            <v>24-388-20-07</v>
          </cell>
          <cell r="B1174" t="str">
            <v xml:space="preserve">ATR. FORCEPS, DE BAKEY, 2 MM, 20 CM     </v>
          </cell>
          <cell r="C1174" t="str">
            <v xml:space="preserve">                                   </v>
          </cell>
          <cell r="D1174" t="str">
            <v xml:space="preserve">MY        </v>
          </cell>
          <cell r="E1174">
            <v>90189084</v>
          </cell>
          <cell r="F1174">
            <v>1</v>
          </cell>
          <cell r="G1174" t="str">
            <v xml:space="preserve">ST          </v>
          </cell>
          <cell r="H1174">
            <v>65.599999999999994</v>
          </cell>
          <cell r="I1174">
            <v>65.599999999999994</v>
          </cell>
        </row>
        <row r="1175">
          <cell r="A1175" t="str">
            <v>11-396-19-07</v>
          </cell>
          <cell r="B1175" t="str">
            <v xml:space="preserve">TC-scissors, Potts-Smith, 18 cm         </v>
          </cell>
          <cell r="C1175" t="str">
            <v xml:space="preserve">                                   </v>
          </cell>
          <cell r="D1175" t="str">
            <v xml:space="preserve">DE        </v>
          </cell>
          <cell r="E1175">
            <v>90189084</v>
          </cell>
          <cell r="F1175">
            <v>2</v>
          </cell>
          <cell r="G1175" t="str">
            <v xml:space="preserve">ST          </v>
          </cell>
          <cell r="H1175">
            <v>200.5</v>
          </cell>
          <cell r="I1175">
            <v>401</v>
          </cell>
        </row>
        <row r="1176">
          <cell r="A1176" t="str">
            <v>11-327-14-07</v>
          </cell>
          <cell r="B1176" t="str">
            <v xml:space="preserve">DISSECT. SCISSORS, FINE, CVD., 14.5 CM  </v>
          </cell>
          <cell r="C1176" t="str">
            <v xml:space="preserve">                                   </v>
          </cell>
          <cell r="D1176" t="str">
            <v xml:space="preserve">DE        </v>
          </cell>
          <cell r="E1176">
            <v>90189084</v>
          </cell>
          <cell r="F1176">
            <v>1</v>
          </cell>
          <cell r="G1176" t="str">
            <v xml:space="preserve">ST          </v>
          </cell>
          <cell r="H1176">
            <v>25.2</v>
          </cell>
          <cell r="I1176">
            <v>25.2</v>
          </cell>
        </row>
        <row r="1177">
          <cell r="A1177" t="str">
            <v>11-955-14-07</v>
          </cell>
          <cell r="B1177" t="str">
            <v xml:space="preserve">TC-DISS. SCISSORS, FINE, CVD., 14.5 CM  </v>
          </cell>
          <cell r="C1177" t="str">
            <v xml:space="preserve">                                   </v>
          </cell>
          <cell r="D1177" t="str">
            <v xml:space="preserve">DE        </v>
          </cell>
          <cell r="E1177">
            <v>90189084</v>
          </cell>
          <cell r="F1177">
            <v>1</v>
          </cell>
          <cell r="G1177" t="str">
            <v xml:space="preserve">ST          </v>
          </cell>
          <cell r="H1177">
            <v>129</v>
          </cell>
          <cell r="I1177">
            <v>129</v>
          </cell>
        </row>
        <row r="1178">
          <cell r="A1178" t="str">
            <v>13-453-22-07</v>
          </cell>
          <cell r="B1178" t="str">
            <v xml:space="preserve">DISS. FORCEPS, MINI-GEMINI, CVD., 23 CM </v>
          </cell>
          <cell r="C1178" t="str">
            <v xml:space="preserve">                                   </v>
          </cell>
          <cell r="D1178" t="str">
            <v xml:space="preserve">DE        </v>
          </cell>
          <cell r="E1178">
            <v>90189084</v>
          </cell>
          <cell r="F1178">
            <v>1</v>
          </cell>
          <cell r="G1178" t="str">
            <v xml:space="preserve">ST          </v>
          </cell>
          <cell r="H1178">
            <v>106</v>
          </cell>
          <cell r="I1178">
            <v>106</v>
          </cell>
        </row>
        <row r="1179">
          <cell r="A1179" t="str">
            <v>13-451-16-07</v>
          </cell>
          <cell r="B1179" t="str">
            <v xml:space="preserve">DISS. FORCEPS, GEMINI, STR. CVD., 16 CM </v>
          </cell>
          <cell r="C1179" t="str">
            <v xml:space="preserve">                                   </v>
          </cell>
          <cell r="D1179" t="str">
            <v xml:space="preserve">MY        </v>
          </cell>
          <cell r="E1179">
            <v>90189084</v>
          </cell>
          <cell r="F1179">
            <v>1</v>
          </cell>
          <cell r="G1179" t="str">
            <v xml:space="preserve">ST          </v>
          </cell>
          <cell r="H1179">
            <v>86.3</v>
          </cell>
          <cell r="I1179">
            <v>86.3</v>
          </cell>
        </row>
        <row r="1180">
          <cell r="A1180" t="str">
            <v>20-666-03-07</v>
          </cell>
          <cell r="B1180" t="str">
            <v xml:space="preserve">TC-NEEDLEHOLDER, MICROVASCULAR, 20 CM   </v>
          </cell>
          <cell r="C1180" t="str">
            <v xml:space="preserve">                                   </v>
          </cell>
          <cell r="D1180" t="str">
            <v xml:space="preserve">MY        </v>
          </cell>
          <cell r="E1180">
            <v>90189084</v>
          </cell>
          <cell r="F1180">
            <v>2</v>
          </cell>
          <cell r="G1180" t="str">
            <v xml:space="preserve">ST          </v>
          </cell>
          <cell r="H1180">
            <v>124</v>
          </cell>
          <cell r="I1180">
            <v>248</v>
          </cell>
        </row>
        <row r="1181">
          <cell r="A1181" t="str">
            <v>20-666-05-07</v>
          </cell>
          <cell r="B1181" t="str">
            <v xml:space="preserve">TC-Needleholder, microvascular, 26cm    </v>
          </cell>
          <cell r="C1181" t="str">
            <v xml:space="preserve">                                   </v>
          </cell>
          <cell r="D1181" t="str">
            <v xml:space="preserve">MY        </v>
          </cell>
          <cell r="E1181">
            <v>90189084</v>
          </cell>
          <cell r="F1181">
            <v>1</v>
          </cell>
          <cell r="G1181" t="str">
            <v xml:space="preserve">ST          </v>
          </cell>
          <cell r="H1181">
            <v>220.5</v>
          </cell>
          <cell r="I1181">
            <v>220.5</v>
          </cell>
        </row>
        <row r="1182">
          <cell r="A1182" t="str">
            <v>13-311-12-07</v>
          </cell>
          <cell r="B1182" t="str">
            <v xml:space="preserve">HAEM. FORCEPS, MOSQUITO, CVD., 12 CM    </v>
          </cell>
          <cell r="C1182" t="str">
            <v xml:space="preserve">                                   </v>
          </cell>
          <cell r="D1182" t="str">
            <v xml:space="preserve">MY        </v>
          </cell>
          <cell r="E1182">
            <v>90189084</v>
          </cell>
          <cell r="F1182">
            <v>6</v>
          </cell>
          <cell r="G1182" t="str">
            <v xml:space="preserve">ST          </v>
          </cell>
          <cell r="H1182">
            <v>23.9</v>
          </cell>
          <cell r="I1182">
            <v>143.4</v>
          </cell>
        </row>
        <row r="1183">
          <cell r="A1183" t="str">
            <v>15-741-13-07</v>
          </cell>
          <cell r="B1183" t="str">
            <v xml:space="preserve">SPREADER, BLUNT, 3X4 T., 20 MM, 13CM    </v>
          </cell>
          <cell r="C1183" t="str">
            <v xml:space="preserve">                                   </v>
          </cell>
          <cell r="D1183" t="str">
            <v xml:space="preserve">DE        </v>
          </cell>
          <cell r="E1183">
            <v>90189084</v>
          </cell>
          <cell r="F1183">
            <v>2</v>
          </cell>
          <cell r="G1183" t="str">
            <v xml:space="preserve">ST          </v>
          </cell>
          <cell r="H1183">
            <v>180</v>
          </cell>
          <cell r="I1183">
            <v>360</v>
          </cell>
        </row>
        <row r="1184">
          <cell r="A1184" t="str">
            <v>15-172-14-07</v>
          </cell>
          <cell r="B1184" t="str">
            <v xml:space="preserve">HOOKLET, CUSHING, 14 MM, 24 CM          </v>
          </cell>
          <cell r="C1184" t="str">
            <v xml:space="preserve">                                   </v>
          </cell>
          <cell r="D1184" t="str">
            <v xml:space="preserve">DE        </v>
          </cell>
          <cell r="E1184">
            <v>90189084</v>
          </cell>
          <cell r="F1184">
            <v>2</v>
          </cell>
          <cell r="G1184" t="str">
            <v xml:space="preserve">ST          </v>
          </cell>
          <cell r="H1184">
            <v>61.7</v>
          </cell>
          <cell r="I1184">
            <v>123.4</v>
          </cell>
        </row>
        <row r="1185">
          <cell r="A1185" t="str">
            <v>24-539-02-07</v>
          </cell>
          <cell r="B1185" t="str">
            <v xml:space="preserve">DISSECTOR, Robb, DOUBLE, NO. 2, 20,5 CM </v>
          </cell>
          <cell r="C1185" t="str">
            <v xml:space="preserve">                                   </v>
          </cell>
          <cell r="D1185" t="str">
            <v xml:space="preserve">DE        </v>
          </cell>
          <cell r="E1185">
            <v>90189084</v>
          </cell>
          <cell r="F1185">
            <v>1</v>
          </cell>
          <cell r="G1185" t="str">
            <v xml:space="preserve">ST          </v>
          </cell>
          <cell r="H1185">
            <v>77.099999999999994</v>
          </cell>
          <cell r="I1185">
            <v>77.099999999999994</v>
          </cell>
        </row>
        <row r="1186">
          <cell r="A1186" t="str">
            <v>18-696-06-01</v>
          </cell>
          <cell r="B1186" t="str">
            <v>Cannula, heparin, Mock, ø2,9x0,8mm,6,5cm</v>
          </cell>
          <cell r="C1186" t="str">
            <v xml:space="preserve">                                   </v>
          </cell>
          <cell r="D1186" t="str">
            <v xml:space="preserve">DE        </v>
          </cell>
          <cell r="E1186">
            <v>90183900</v>
          </cell>
          <cell r="F1186">
            <v>2</v>
          </cell>
          <cell r="G1186" t="str">
            <v xml:space="preserve">ST          </v>
          </cell>
          <cell r="H1186">
            <v>15.3</v>
          </cell>
          <cell r="I1186">
            <v>30.6</v>
          </cell>
        </row>
        <row r="1187">
          <cell r="A1187" t="str">
            <v>24-459-13-07</v>
          </cell>
          <cell r="B1187" t="str">
            <v xml:space="preserve">ATR. FORCEPS, DE BAKEY, ANG., 12.5 CM   </v>
          </cell>
          <cell r="C1187" t="str">
            <v xml:space="preserve">                                   </v>
          </cell>
          <cell r="D1187" t="str">
            <v xml:space="preserve">MY        </v>
          </cell>
          <cell r="E1187">
            <v>90189084</v>
          </cell>
          <cell r="F1187">
            <v>5</v>
          </cell>
          <cell r="G1187" t="str">
            <v xml:space="preserve">ST          </v>
          </cell>
          <cell r="H1187">
            <v>151</v>
          </cell>
          <cell r="I1187">
            <v>755</v>
          </cell>
        </row>
        <row r="1188">
          <cell r="A1188" t="str">
            <v>24-435-27-07</v>
          </cell>
          <cell r="B1188" t="str">
            <v xml:space="preserve">ATR. FORCEPS, POTTS, CVD., 26 CM        </v>
          </cell>
          <cell r="C1188" t="str">
            <v xml:space="preserve">                                   </v>
          </cell>
          <cell r="D1188" t="str">
            <v xml:space="preserve">DE        </v>
          </cell>
          <cell r="E1188">
            <v>90189084</v>
          </cell>
          <cell r="F1188">
            <v>2</v>
          </cell>
          <cell r="G1188" t="str">
            <v xml:space="preserve">ST          </v>
          </cell>
          <cell r="H1188">
            <v>207.5</v>
          </cell>
          <cell r="I1188">
            <v>415</v>
          </cell>
        </row>
        <row r="1189">
          <cell r="A1189" t="str">
            <v>24-435-31-07</v>
          </cell>
          <cell r="B1189" t="str">
            <v xml:space="preserve">ATR. FORCEPS, POTTS, CVD., 31 CM        </v>
          </cell>
          <cell r="C1189" t="str">
            <v xml:space="preserve">                                   </v>
          </cell>
          <cell r="D1189" t="str">
            <v xml:space="preserve">DE        </v>
          </cell>
          <cell r="E1189">
            <v>90189084</v>
          </cell>
          <cell r="F1189">
            <v>2</v>
          </cell>
          <cell r="G1189" t="str">
            <v xml:space="preserve">ST          </v>
          </cell>
          <cell r="H1189">
            <v>239</v>
          </cell>
          <cell r="I1189">
            <v>478</v>
          </cell>
        </row>
        <row r="1190">
          <cell r="A1190" t="str">
            <v>24-416-20-07</v>
          </cell>
          <cell r="B1190" t="str">
            <v xml:space="preserve">ATR. FORCEPS, DE BAKEY, ANG., 20 CM     </v>
          </cell>
          <cell r="C1190" t="str">
            <v xml:space="preserve">                                   </v>
          </cell>
          <cell r="D1190" t="str">
            <v xml:space="preserve">MY        </v>
          </cell>
          <cell r="E1190">
            <v>90189084</v>
          </cell>
          <cell r="F1190">
            <v>2</v>
          </cell>
          <cell r="G1190" t="str">
            <v xml:space="preserve">ST          </v>
          </cell>
          <cell r="H1190">
            <v>174.5</v>
          </cell>
          <cell r="I1190">
            <v>349</v>
          </cell>
        </row>
        <row r="1191">
          <cell r="A1191" t="str">
            <v>11-285-30-07</v>
          </cell>
          <cell r="B1191" t="str">
            <v xml:space="preserve">DISSECTING SCISSORS, CVD., 31 CM        </v>
          </cell>
          <cell r="C1191" t="str">
            <v xml:space="preserve">                                   </v>
          </cell>
          <cell r="D1191" t="str">
            <v xml:space="preserve">DE        </v>
          </cell>
          <cell r="E1191">
            <v>90189084</v>
          </cell>
          <cell r="F1191">
            <v>1</v>
          </cell>
          <cell r="G1191" t="str">
            <v xml:space="preserve">ST          </v>
          </cell>
          <cell r="H1191">
            <v>76.2</v>
          </cell>
          <cell r="I1191">
            <v>76.2</v>
          </cell>
        </row>
        <row r="1192">
          <cell r="A1192" t="str">
            <v>12-254-17-07</v>
          </cell>
          <cell r="B1192" t="str">
            <v xml:space="preserve">TC-DRESSING FORCEPS, CUSHING, 17.5 CM   </v>
          </cell>
          <cell r="C1192" t="str">
            <v xml:space="preserve">                                   </v>
          </cell>
          <cell r="D1192" t="str">
            <v xml:space="preserve">DE        </v>
          </cell>
          <cell r="E1192">
            <v>90189084</v>
          </cell>
          <cell r="F1192">
            <v>2</v>
          </cell>
          <cell r="G1192" t="str">
            <v xml:space="preserve">ST          </v>
          </cell>
          <cell r="H1192">
            <v>80.099999999999994</v>
          </cell>
          <cell r="I1192">
            <v>160.19999999999999</v>
          </cell>
        </row>
        <row r="1193">
          <cell r="A1193" t="str">
            <v>32-741-32-07</v>
          </cell>
          <cell r="B1193" t="str">
            <v xml:space="preserve">UTERINE POLYPUS FORCEPS, KELLY, 31.5 CM </v>
          </cell>
          <cell r="C1193" t="str">
            <v xml:space="preserve">                                   </v>
          </cell>
          <cell r="D1193" t="str">
            <v xml:space="preserve">DE        </v>
          </cell>
          <cell r="E1193">
            <v>90189084</v>
          </cell>
          <cell r="F1193">
            <v>1</v>
          </cell>
          <cell r="G1193" t="str">
            <v xml:space="preserve">ST          </v>
          </cell>
          <cell r="H1193">
            <v>126.5</v>
          </cell>
          <cell r="I1193">
            <v>126.5</v>
          </cell>
        </row>
        <row r="1194">
          <cell r="A1194" t="str">
            <v>13-461-02-07</v>
          </cell>
          <cell r="B1194" t="str">
            <v xml:space="preserve">DISSECTING FORCEPS, RUMEL, NO. 2, 24 CM </v>
          </cell>
          <cell r="C1194" t="str">
            <v xml:space="preserve">                                   </v>
          </cell>
          <cell r="D1194" t="str">
            <v xml:space="preserve">MY        </v>
          </cell>
          <cell r="E1194">
            <v>90189084</v>
          </cell>
          <cell r="F1194">
            <v>6</v>
          </cell>
          <cell r="G1194" t="str">
            <v xml:space="preserve">ST          </v>
          </cell>
          <cell r="H1194">
            <v>89.9</v>
          </cell>
          <cell r="I1194">
            <v>539.4</v>
          </cell>
        </row>
        <row r="1195">
          <cell r="A1195" t="str">
            <v>24-425-26-07</v>
          </cell>
          <cell r="B1195" t="str">
            <v>ATR. TANGENT. FORCEPS, SATINSKY, 27.5 CM</v>
          </cell>
          <cell r="C1195" t="str">
            <v xml:space="preserve">                                   </v>
          </cell>
          <cell r="D1195" t="str">
            <v xml:space="preserve">DE        </v>
          </cell>
          <cell r="E1195">
            <v>90189084</v>
          </cell>
          <cell r="F1195">
            <v>2</v>
          </cell>
          <cell r="G1195" t="str">
            <v xml:space="preserve">ST          </v>
          </cell>
          <cell r="H1195">
            <v>249</v>
          </cell>
          <cell r="I1195">
            <v>498</v>
          </cell>
        </row>
        <row r="1196">
          <cell r="A1196" t="str">
            <v>56-673-25-01</v>
          </cell>
          <cell r="B1196" t="str">
            <v xml:space="preserve">KIDNEY DISH, 250X140X40 MM              </v>
          </cell>
          <cell r="C1196" t="str">
            <v xml:space="preserve">                                   </v>
          </cell>
          <cell r="D1196" t="str">
            <v xml:space="preserve">SE        </v>
          </cell>
          <cell r="E1196">
            <v>73269098</v>
          </cell>
          <cell r="F1196">
            <v>2</v>
          </cell>
          <cell r="G1196" t="str">
            <v xml:space="preserve">ST          </v>
          </cell>
          <cell r="H1196">
            <v>11.9</v>
          </cell>
          <cell r="I1196">
            <v>23.8</v>
          </cell>
        </row>
        <row r="1197">
          <cell r="A1197" t="str">
            <v>13-125-10-07</v>
          </cell>
          <cell r="B1197" t="str">
            <v xml:space="preserve">Atr. bulldog clamp, cvd., 10 mm         </v>
          </cell>
          <cell r="C1197" t="str">
            <v xml:space="preserve">                                   </v>
          </cell>
          <cell r="D1197" t="str">
            <v xml:space="preserve">DE        </v>
          </cell>
          <cell r="E1197">
            <v>90189084</v>
          </cell>
          <cell r="F1197">
            <v>2</v>
          </cell>
          <cell r="G1197" t="str">
            <v xml:space="preserve">ST          </v>
          </cell>
          <cell r="H1197">
            <v>116.5</v>
          </cell>
          <cell r="I1197">
            <v>233</v>
          </cell>
        </row>
        <row r="1198">
          <cell r="A1198" t="str">
            <v>55-804-57-01</v>
          </cell>
          <cell r="B1198" t="str">
            <v xml:space="preserve">marTray, 1/1, 532x251x94 mm             </v>
          </cell>
          <cell r="C1198" t="str">
            <v xml:space="preserve">                                   </v>
          </cell>
          <cell r="D1198" t="str">
            <v xml:space="preserve">DE        </v>
          </cell>
          <cell r="E1198">
            <v>73269098</v>
          </cell>
          <cell r="F1198">
            <v>1</v>
          </cell>
          <cell r="G1198" t="str">
            <v xml:space="preserve">ST          </v>
          </cell>
          <cell r="H1198">
            <v>147</v>
          </cell>
          <cell r="I1198">
            <v>147</v>
          </cell>
        </row>
        <row r="1199">
          <cell r="A1199" t="str">
            <v>10-100-04-07</v>
          </cell>
          <cell r="B1199" t="str">
            <v xml:space="preserve">SCALPEL HANDLE, NO. 4, 13.5 CM          </v>
          </cell>
          <cell r="C1199" t="str">
            <v xml:space="preserve">                                   </v>
          </cell>
          <cell r="D1199" t="str">
            <v xml:space="preserve">DE        </v>
          </cell>
          <cell r="E1199">
            <v>90189084</v>
          </cell>
          <cell r="F1199">
            <v>1</v>
          </cell>
          <cell r="G1199" t="str">
            <v xml:space="preserve">ST          </v>
          </cell>
          <cell r="H1199">
            <v>6.81</v>
          </cell>
          <cell r="I1199">
            <v>6.81</v>
          </cell>
        </row>
        <row r="1200">
          <cell r="A1200" t="str">
            <v>13-414-24-07</v>
          </cell>
          <cell r="B1200" t="str">
            <v xml:space="preserve">FORCEPS, KOCHER, 1X2 T., STR., 24 CM    </v>
          </cell>
          <cell r="C1200" t="str">
            <v xml:space="preserve">                                   </v>
          </cell>
          <cell r="D1200" t="str">
            <v xml:space="preserve">MY        </v>
          </cell>
          <cell r="E1200">
            <v>90189084</v>
          </cell>
          <cell r="F1200">
            <v>5</v>
          </cell>
          <cell r="G1200" t="str">
            <v xml:space="preserve">ST          </v>
          </cell>
          <cell r="H1200">
            <v>62.5</v>
          </cell>
          <cell r="I1200">
            <v>312.5</v>
          </cell>
        </row>
        <row r="1201">
          <cell r="A1201" t="str">
            <v>15-471-01-07</v>
          </cell>
          <cell r="B1201" t="str">
            <v xml:space="preserve">RETRACTOR, KOCHER, 78X45 MM, 25 CM      </v>
          </cell>
          <cell r="C1201" t="str">
            <v xml:space="preserve">                                   </v>
          </cell>
          <cell r="D1201" t="str">
            <v xml:space="preserve">DE        </v>
          </cell>
          <cell r="E1201">
            <v>90189084</v>
          </cell>
          <cell r="F1201">
            <v>4</v>
          </cell>
          <cell r="G1201" t="str">
            <v xml:space="preserve">ST          </v>
          </cell>
          <cell r="H1201">
            <v>112.5</v>
          </cell>
          <cell r="I1201">
            <v>450</v>
          </cell>
        </row>
        <row r="1202">
          <cell r="A1202" t="str">
            <v>13-909-13-07</v>
          </cell>
          <cell r="B1202" t="str">
            <v xml:space="preserve">TOWEL FORCEPS, SHARP, GRACILE, 13 CM    </v>
          </cell>
          <cell r="C1202" t="str">
            <v xml:space="preserve">                                   </v>
          </cell>
          <cell r="D1202" t="str">
            <v xml:space="preserve">MY        </v>
          </cell>
          <cell r="E1202">
            <v>90189084</v>
          </cell>
          <cell r="F1202">
            <v>5</v>
          </cell>
          <cell r="G1202" t="str">
            <v xml:space="preserve">ST          </v>
          </cell>
          <cell r="H1202">
            <v>49.5</v>
          </cell>
          <cell r="I1202">
            <v>247.5</v>
          </cell>
        </row>
        <row r="1203">
          <cell r="A1203" t="str">
            <v>24-344-30-07</v>
          </cell>
          <cell r="B1203" t="str">
            <v xml:space="preserve">ATR. AORTA FORCEPS, DE BAKEY, 30 CM     </v>
          </cell>
          <cell r="C1203" t="str">
            <v xml:space="preserve">                                   </v>
          </cell>
          <cell r="D1203" t="str">
            <v xml:space="preserve">MY        </v>
          </cell>
          <cell r="E1203">
            <v>90189084</v>
          </cell>
          <cell r="F1203">
            <v>2</v>
          </cell>
          <cell r="G1203" t="str">
            <v xml:space="preserve">ST          </v>
          </cell>
          <cell r="H1203">
            <v>359</v>
          </cell>
          <cell r="I1203">
            <v>718</v>
          </cell>
        </row>
        <row r="1204">
          <cell r="A1204" t="str">
            <v>12-444-18-07</v>
          </cell>
          <cell r="B1204" t="str">
            <v xml:space="preserve">FORCEPS, STILLE-BARRAYA, 3X4 T., 18 CM  </v>
          </cell>
          <cell r="C1204" t="str">
            <v xml:space="preserve">                                   </v>
          </cell>
          <cell r="D1204" t="str">
            <v xml:space="preserve">MY        </v>
          </cell>
          <cell r="E1204">
            <v>90189084</v>
          </cell>
          <cell r="F1204">
            <v>2</v>
          </cell>
          <cell r="G1204" t="str">
            <v xml:space="preserve">ST          </v>
          </cell>
          <cell r="H1204">
            <v>44.1</v>
          </cell>
          <cell r="I1204">
            <v>88.2</v>
          </cell>
        </row>
        <row r="1205">
          <cell r="A1205" t="str">
            <v>15-777-32-07</v>
          </cell>
          <cell r="B1205" t="str">
            <v xml:space="preserve">Spreader, Adson, bl., 4X5 T., 33 cm     </v>
          </cell>
          <cell r="C1205" t="str">
            <v xml:space="preserve">                                   </v>
          </cell>
          <cell r="D1205" t="str">
            <v xml:space="preserve">DE        </v>
          </cell>
          <cell r="E1205">
            <v>90189084</v>
          </cell>
          <cell r="F1205">
            <v>2</v>
          </cell>
          <cell r="G1205" t="str">
            <v xml:space="preserve">ST          </v>
          </cell>
          <cell r="H1205">
            <v>269.5</v>
          </cell>
          <cell r="I1205">
            <v>539</v>
          </cell>
        </row>
        <row r="1206">
          <cell r="A1206" t="str">
            <v>15-778-32-07</v>
          </cell>
          <cell r="B1206" t="str">
            <v xml:space="preserve">SPREADER, BECKMANN-EATON, 7X7 T., 32 CM </v>
          </cell>
          <cell r="C1206" t="str">
            <v xml:space="preserve">                                   </v>
          </cell>
          <cell r="D1206" t="str">
            <v xml:space="preserve">MY        </v>
          </cell>
          <cell r="E1206">
            <v>90189084</v>
          </cell>
          <cell r="F1206">
            <v>2</v>
          </cell>
          <cell r="G1206" t="str">
            <v xml:space="preserve">ST          </v>
          </cell>
          <cell r="H1206">
            <v>312.5</v>
          </cell>
          <cell r="I1206">
            <v>625</v>
          </cell>
        </row>
        <row r="1207">
          <cell r="A1207" t="str">
            <v>15-687-00-07</v>
          </cell>
          <cell r="B1207" t="str">
            <v xml:space="preserve">RETRACTOR, PARKER-LANG., SET, 21.5 CM   </v>
          </cell>
          <cell r="C1207" t="str">
            <v xml:space="preserve">                                   </v>
          </cell>
          <cell r="D1207" t="str">
            <v xml:space="preserve">DE        </v>
          </cell>
          <cell r="E1207">
            <v>90189084</v>
          </cell>
          <cell r="F1207">
            <v>2</v>
          </cell>
          <cell r="G1207" t="str">
            <v xml:space="preserve">ST          </v>
          </cell>
          <cell r="H1207">
            <v>37.9</v>
          </cell>
          <cell r="I1207">
            <v>75.8</v>
          </cell>
        </row>
        <row r="1208">
          <cell r="A1208" t="str">
            <v>15-665-00-07</v>
          </cell>
          <cell r="B1208" t="str">
            <v xml:space="preserve">RETRACTOR, DBL., FARABEUF, SET, 15.5 CM </v>
          </cell>
          <cell r="C1208" t="str">
            <v xml:space="preserve">                                   </v>
          </cell>
          <cell r="D1208" t="str">
            <v xml:space="preserve">DE        </v>
          </cell>
          <cell r="E1208">
            <v>90189084</v>
          </cell>
          <cell r="F1208">
            <v>2</v>
          </cell>
          <cell r="G1208" t="str">
            <v xml:space="preserve">ST          </v>
          </cell>
          <cell r="H1208">
            <v>28.9</v>
          </cell>
          <cell r="I1208">
            <v>57.8</v>
          </cell>
        </row>
        <row r="1209">
          <cell r="A1209" t="str">
            <v>11-170-14-07</v>
          </cell>
          <cell r="B1209" t="str">
            <v xml:space="preserve">SCISSORS, MAYO, STR., 14.5 CM           </v>
          </cell>
          <cell r="C1209" t="str">
            <v xml:space="preserve">                                   </v>
          </cell>
          <cell r="D1209" t="str">
            <v xml:space="preserve">DE        </v>
          </cell>
          <cell r="E1209">
            <v>90189084</v>
          </cell>
          <cell r="F1209">
            <v>2</v>
          </cell>
          <cell r="G1209" t="str">
            <v xml:space="preserve">ST          </v>
          </cell>
          <cell r="H1209">
            <v>27.2</v>
          </cell>
          <cell r="I1209">
            <v>54.4</v>
          </cell>
        </row>
        <row r="1210">
          <cell r="A1210" t="str">
            <v>20-642-20-07</v>
          </cell>
          <cell r="B1210" t="str">
            <v xml:space="preserve">TC-NEEDLEHOLDER, MAYO-HEGAR, 20 CM      </v>
          </cell>
          <cell r="C1210" t="str">
            <v xml:space="preserve">                                   </v>
          </cell>
          <cell r="D1210" t="str">
            <v xml:space="preserve">MY        </v>
          </cell>
          <cell r="E1210">
            <v>90189084</v>
          </cell>
          <cell r="F1210">
            <v>2</v>
          </cell>
          <cell r="G1210" t="str">
            <v xml:space="preserve">ST          </v>
          </cell>
          <cell r="H1210">
            <v>86.7</v>
          </cell>
          <cell r="I1210">
            <v>173.4</v>
          </cell>
        </row>
        <row r="1211">
          <cell r="A1211" t="str">
            <v>24-425-20-07</v>
          </cell>
          <cell r="B1211" t="str">
            <v>ATR. TANGENTIAL FORCEPS, SATINSKY, 22 CM</v>
          </cell>
          <cell r="C1211" t="str">
            <v xml:space="preserve">                                   </v>
          </cell>
          <cell r="D1211" t="str">
            <v xml:space="preserve">DE        </v>
          </cell>
          <cell r="E1211">
            <v>90189084</v>
          </cell>
          <cell r="F1211">
            <v>1</v>
          </cell>
          <cell r="G1211" t="str">
            <v xml:space="preserve">ST          </v>
          </cell>
          <cell r="H1211">
            <v>224.5</v>
          </cell>
          <cell r="I1211">
            <v>224.5</v>
          </cell>
        </row>
        <row r="1212">
          <cell r="A1212" t="str">
            <v>10-130-04-07</v>
          </cell>
          <cell r="B1212" t="str">
            <v>SCALPEL HANDLE, NO. 3,SHAPE AS NO.4,12cm</v>
          </cell>
          <cell r="C1212" t="str">
            <v xml:space="preserve">                                   </v>
          </cell>
          <cell r="D1212" t="str">
            <v xml:space="preserve">DE        </v>
          </cell>
          <cell r="E1212">
            <v>90189084</v>
          </cell>
          <cell r="F1212">
            <v>1</v>
          </cell>
          <cell r="G1212" t="str">
            <v xml:space="preserve">ST          </v>
          </cell>
          <cell r="H1212">
            <v>10.7</v>
          </cell>
          <cell r="I1212">
            <v>10.7</v>
          </cell>
        </row>
        <row r="1213">
          <cell r="A1213" t="str">
            <v>24-573-04-07</v>
          </cell>
          <cell r="B1213" t="str">
            <v xml:space="preserve">ATR. FORCEPS, PEDIATRIC, 13,5 CM        </v>
          </cell>
          <cell r="C1213" t="str">
            <v xml:space="preserve">                                   </v>
          </cell>
          <cell r="D1213" t="str">
            <v xml:space="preserve">DE        </v>
          </cell>
          <cell r="E1213">
            <v>90189084</v>
          </cell>
          <cell r="F1213">
            <v>2</v>
          </cell>
          <cell r="G1213" t="str">
            <v xml:space="preserve">ST          </v>
          </cell>
          <cell r="H1213">
            <v>344.5</v>
          </cell>
          <cell r="I1213">
            <v>689</v>
          </cell>
        </row>
        <row r="1214">
          <cell r="A1214" t="str">
            <v>24-573-08-07</v>
          </cell>
          <cell r="B1214" t="str">
            <v>ATR. FORCEPS, PEDIATRIC, ST. CVD., 14 CM</v>
          </cell>
          <cell r="C1214" t="str">
            <v xml:space="preserve">                                   </v>
          </cell>
          <cell r="D1214" t="str">
            <v xml:space="preserve">DE        </v>
          </cell>
          <cell r="E1214">
            <v>90189084</v>
          </cell>
          <cell r="F1214">
            <v>2</v>
          </cell>
          <cell r="G1214" t="str">
            <v xml:space="preserve">ST          </v>
          </cell>
          <cell r="H1214">
            <v>344.5</v>
          </cell>
          <cell r="I1214">
            <v>689</v>
          </cell>
        </row>
        <row r="1215">
          <cell r="A1215" t="str">
            <v>24-502-00-01</v>
          </cell>
          <cell r="B1215" t="str">
            <v xml:space="preserve">TUNNELER-SET, MARTIN, COMPLETE          </v>
          </cell>
          <cell r="C1215" t="str">
            <v xml:space="preserve">                                   </v>
          </cell>
          <cell r="D1215" t="str">
            <v xml:space="preserve">DE        </v>
          </cell>
          <cell r="E1215">
            <v>90189084</v>
          </cell>
          <cell r="F1215">
            <v>1</v>
          </cell>
          <cell r="G1215" t="str">
            <v xml:space="preserve">ST          </v>
          </cell>
          <cell r="H1215">
            <v>1125</v>
          </cell>
          <cell r="I1215">
            <v>1125</v>
          </cell>
        </row>
        <row r="1216">
          <cell r="A1216" t="str">
            <v xml:space="preserve">            </v>
          </cell>
          <cell r="B1216" t="str">
            <v xml:space="preserve">Aortic Set                              </v>
          </cell>
          <cell r="C1216" t="str">
            <v xml:space="preserve">                                   </v>
          </cell>
          <cell r="D1216" t="str">
            <v xml:space="preserve">          </v>
          </cell>
          <cell r="E1216" t="str">
            <v xml:space="preserve">                </v>
          </cell>
          <cell r="F1216">
            <v>1</v>
          </cell>
          <cell r="G1216" t="str">
            <v xml:space="preserve">            </v>
          </cell>
          <cell r="H1216" t="str">
            <v xml:space="preserve">               </v>
          </cell>
          <cell r="I1216" t="str">
            <v xml:space="preserve">               </v>
          </cell>
        </row>
        <row r="1217">
          <cell r="A1217" t="str">
            <v>24-393-10-07</v>
          </cell>
          <cell r="B1217" t="str">
            <v xml:space="preserve">BULLDOG CLAMP, DE BAKEY, CVD., 9,5 CM   </v>
          </cell>
          <cell r="C1217" t="str">
            <v xml:space="preserve">                                   </v>
          </cell>
          <cell r="D1217" t="str">
            <v xml:space="preserve">DE        </v>
          </cell>
          <cell r="E1217">
            <v>90189084</v>
          </cell>
          <cell r="F1217">
            <v>4</v>
          </cell>
          <cell r="G1217" t="str">
            <v xml:space="preserve">ST          </v>
          </cell>
          <cell r="H1217">
            <v>120</v>
          </cell>
          <cell r="I1217">
            <v>480</v>
          </cell>
        </row>
        <row r="1218">
          <cell r="A1218" t="str">
            <v>24-386-20-07</v>
          </cell>
          <cell r="B1218" t="str">
            <v xml:space="preserve">ATR. FORCEPS, DE BAKEY, 1.5 MM, 20 CM   </v>
          </cell>
          <cell r="C1218" t="str">
            <v xml:space="preserve">                                   </v>
          </cell>
          <cell r="D1218" t="str">
            <v xml:space="preserve">MY        </v>
          </cell>
          <cell r="E1218">
            <v>90189084</v>
          </cell>
          <cell r="F1218">
            <v>2</v>
          </cell>
          <cell r="G1218" t="str">
            <v xml:space="preserve">ST          </v>
          </cell>
          <cell r="H1218">
            <v>81.900000000000006</v>
          </cell>
          <cell r="I1218">
            <v>163.80000000000001</v>
          </cell>
        </row>
        <row r="1219">
          <cell r="A1219" t="str">
            <v>24-388-24-07</v>
          </cell>
          <cell r="B1219" t="str">
            <v xml:space="preserve">ATR. FORCEPS, DE BAKEY, 2 MM, 25 CM     </v>
          </cell>
          <cell r="C1219" t="str">
            <v xml:space="preserve">                                   </v>
          </cell>
          <cell r="D1219" t="str">
            <v xml:space="preserve">DE        </v>
          </cell>
          <cell r="E1219">
            <v>90189084</v>
          </cell>
          <cell r="F1219">
            <v>2</v>
          </cell>
          <cell r="G1219" t="str">
            <v xml:space="preserve">ST          </v>
          </cell>
          <cell r="H1219">
            <v>70.599999999999994</v>
          </cell>
          <cell r="I1219">
            <v>141.19999999999999</v>
          </cell>
        </row>
        <row r="1220">
          <cell r="A1220" t="str">
            <v>24-388-20-07</v>
          </cell>
          <cell r="B1220" t="str">
            <v xml:space="preserve">ATR. FORCEPS, DE BAKEY, 2 MM, 20 CM     </v>
          </cell>
          <cell r="C1220" t="str">
            <v xml:space="preserve">                                   </v>
          </cell>
          <cell r="D1220" t="str">
            <v xml:space="preserve">MY        </v>
          </cell>
          <cell r="E1220">
            <v>90189084</v>
          </cell>
          <cell r="F1220">
            <v>2</v>
          </cell>
          <cell r="G1220" t="str">
            <v xml:space="preserve">ST          </v>
          </cell>
          <cell r="H1220">
            <v>65.599999999999994</v>
          </cell>
          <cell r="I1220">
            <v>131.19999999999999</v>
          </cell>
        </row>
        <row r="1221">
          <cell r="A1221" t="str">
            <v>11-396-19-07</v>
          </cell>
          <cell r="B1221" t="str">
            <v xml:space="preserve">TC-scissors, Potts-Smith, 18 cm         </v>
          </cell>
          <cell r="C1221" t="str">
            <v xml:space="preserve">                                   </v>
          </cell>
          <cell r="D1221" t="str">
            <v xml:space="preserve">DE        </v>
          </cell>
          <cell r="E1221">
            <v>90189084</v>
          </cell>
          <cell r="F1221">
            <v>2</v>
          </cell>
          <cell r="G1221" t="str">
            <v xml:space="preserve">ST          </v>
          </cell>
          <cell r="H1221">
            <v>200.5</v>
          </cell>
          <cell r="I1221">
            <v>401</v>
          </cell>
        </row>
        <row r="1222">
          <cell r="A1222" t="str">
            <v>11-327-14-07</v>
          </cell>
          <cell r="B1222" t="str">
            <v xml:space="preserve">DISSECT. SCISSORS, FINE, CVD., 14.5 CM  </v>
          </cell>
          <cell r="C1222" t="str">
            <v xml:space="preserve">                                   </v>
          </cell>
          <cell r="D1222" t="str">
            <v xml:space="preserve">DE        </v>
          </cell>
          <cell r="E1222">
            <v>90189084</v>
          </cell>
          <cell r="F1222">
            <v>1</v>
          </cell>
          <cell r="G1222" t="str">
            <v xml:space="preserve">ST          </v>
          </cell>
          <cell r="H1222">
            <v>25.2</v>
          </cell>
          <cell r="I1222">
            <v>25.2</v>
          </cell>
        </row>
        <row r="1223">
          <cell r="A1223" t="str">
            <v>11-955-14-07</v>
          </cell>
          <cell r="B1223" t="str">
            <v xml:space="preserve">TC-DISS. SCISSORS, FINE, CVD., 14.5 CM  </v>
          </cell>
          <cell r="C1223" t="str">
            <v xml:space="preserve">                                   </v>
          </cell>
          <cell r="D1223" t="str">
            <v xml:space="preserve">DE        </v>
          </cell>
          <cell r="E1223">
            <v>90189084</v>
          </cell>
          <cell r="F1223">
            <v>1</v>
          </cell>
          <cell r="G1223" t="str">
            <v xml:space="preserve">ST          </v>
          </cell>
          <cell r="H1223">
            <v>129</v>
          </cell>
          <cell r="I1223">
            <v>129</v>
          </cell>
        </row>
        <row r="1224">
          <cell r="A1224" t="str">
            <v>13-453-22-07</v>
          </cell>
          <cell r="B1224" t="str">
            <v xml:space="preserve">DISS. FORCEPS, MINI-GEMINI, CVD., 23 CM </v>
          </cell>
          <cell r="C1224" t="str">
            <v xml:space="preserve">                                   </v>
          </cell>
          <cell r="D1224" t="str">
            <v xml:space="preserve">DE        </v>
          </cell>
          <cell r="E1224">
            <v>90189084</v>
          </cell>
          <cell r="F1224">
            <v>2</v>
          </cell>
          <cell r="G1224" t="str">
            <v xml:space="preserve">ST          </v>
          </cell>
          <cell r="H1224">
            <v>106</v>
          </cell>
          <cell r="I1224">
            <v>212</v>
          </cell>
        </row>
        <row r="1225">
          <cell r="A1225" t="str">
            <v>13-451-16-07</v>
          </cell>
          <cell r="B1225" t="str">
            <v xml:space="preserve">DISS. FORCEPS, GEMINI, STR. CVD., 16 CM </v>
          </cell>
          <cell r="C1225" t="str">
            <v xml:space="preserve">                                   </v>
          </cell>
          <cell r="D1225" t="str">
            <v xml:space="preserve">MY        </v>
          </cell>
          <cell r="E1225">
            <v>90189084</v>
          </cell>
          <cell r="F1225">
            <v>2</v>
          </cell>
          <cell r="G1225" t="str">
            <v xml:space="preserve">ST          </v>
          </cell>
          <cell r="H1225">
            <v>86.3</v>
          </cell>
          <cell r="I1225">
            <v>172.6</v>
          </cell>
        </row>
        <row r="1226">
          <cell r="A1226" t="str">
            <v>20-666-03-07</v>
          </cell>
          <cell r="B1226" t="str">
            <v xml:space="preserve">TC-NEEDLEHOLDER, MICROVASCULAR, 20 CM   </v>
          </cell>
          <cell r="C1226" t="str">
            <v xml:space="preserve">                                   </v>
          </cell>
          <cell r="D1226" t="str">
            <v xml:space="preserve">MY        </v>
          </cell>
          <cell r="E1226">
            <v>90189084</v>
          </cell>
          <cell r="F1226">
            <v>2</v>
          </cell>
          <cell r="G1226" t="str">
            <v xml:space="preserve">ST          </v>
          </cell>
          <cell r="H1226">
            <v>124</v>
          </cell>
          <cell r="I1226">
            <v>248</v>
          </cell>
        </row>
        <row r="1227">
          <cell r="A1227" t="str">
            <v>20-666-05-07</v>
          </cell>
          <cell r="B1227" t="str">
            <v xml:space="preserve">TC-Needleholder, microvascular, 26cm    </v>
          </cell>
          <cell r="C1227" t="str">
            <v xml:space="preserve">                                   </v>
          </cell>
          <cell r="D1227" t="str">
            <v xml:space="preserve">MY        </v>
          </cell>
          <cell r="E1227">
            <v>90189084</v>
          </cell>
          <cell r="F1227">
            <v>1</v>
          </cell>
          <cell r="G1227" t="str">
            <v xml:space="preserve">ST          </v>
          </cell>
          <cell r="H1227">
            <v>220.5</v>
          </cell>
          <cell r="I1227">
            <v>220.5</v>
          </cell>
        </row>
        <row r="1228">
          <cell r="A1228" t="str">
            <v>13-311-12-07</v>
          </cell>
          <cell r="B1228" t="str">
            <v xml:space="preserve">HAEM. FORCEPS, MOSQUITO, CVD., 12 CM    </v>
          </cell>
          <cell r="C1228" t="str">
            <v xml:space="preserve">                                   </v>
          </cell>
          <cell r="D1228" t="str">
            <v xml:space="preserve">MY        </v>
          </cell>
          <cell r="E1228">
            <v>90189084</v>
          </cell>
          <cell r="F1228">
            <v>12</v>
          </cell>
          <cell r="G1228" t="str">
            <v xml:space="preserve">ST          </v>
          </cell>
          <cell r="H1228">
            <v>23.9</v>
          </cell>
          <cell r="I1228">
            <v>286.8</v>
          </cell>
        </row>
        <row r="1229">
          <cell r="A1229" t="str">
            <v>15-741-13-07</v>
          </cell>
          <cell r="B1229" t="str">
            <v xml:space="preserve">SPREADER, BLUNT, 3X4 T., 20 MM, 13CM    </v>
          </cell>
          <cell r="C1229" t="str">
            <v xml:space="preserve">                                   </v>
          </cell>
          <cell r="D1229" t="str">
            <v xml:space="preserve">DE        </v>
          </cell>
          <cell r="E1229">
            <v>90189084</v>
          </cell>
          <cell r="F1229">
            <v>4</v>
          </cell>
          <cell r="G1229" t="str">
            <v xml:space="preserve">ST          </v>
          </cell>
          <cell r="H1229">
            <v>180</v>
          </cell>
          <cell r="I1229">
            <v>720</v>
          </cell>
        </row>
        <row r="1230">
          <cell r="A1230" t="str">
            <v>15-172-14-07</v>
          </cell>
          <cell r="B1230" t="str">
            <v xml:space="preserve">HOOKLET, CUSHING, 14 MM, 24 CM          </v>
          </cell>
          <cell r="C1230" t="str">
            <v xml:space="preserve">                                   </v>
          </cell>
          <cell r="D1230" t="str">
            <v xml:space="preserve">DE        </v>
          </cell>
          <cell r="E1230">
            <v>90189084</v>
          </cell>
          <cell r="F1230">
            <v>2</v>
          </cell>
          <cell r="G1230" t="str">
            <v xml:space="preserve">ST          </v>
          </cell>
          <cell r="H1230">
            <v>61.7</v>
          </cell>
          <cell r="I1230">
            <v>123.4</v>
          </cell>
        </row>
        <row r="1231">
          <cell r="A1231" t="str">
            <v>24-539-02-07</v>
          </cell>
          <cell r="B1231" t="str">
            <v xml:space="preserve">DISSECTOR, Robb, DOUBLE, NO. 2, 20,5 CM </v>
          </cell>
          <cell r="C1231" t="str">
            <v xml:space="preserve">                                   </v>
          </cell>
          <cell r="D1231" t="str">
            <v xml:space="preserve">DE        </v>
          </cell>
          <cell r="E1231">
            <v>90189084</v>
          </cell>
          <cell r="F1231">
            <v>1</v>
          </cell>
          <cell r="G1231" t="str">
            <v xml:space="preserve">ST          </v>
          </cell>
          <cell r="H1231">
            <v>77.099999999999994</v>
          </cell>
          <cell r="I1231">
            <v>77.099999999999994</v>
          </cell>
        </row>
        <row r="1232">
          <cell r="A1232" t="str">
            <v>18-696-06-01</v>
          </cell>
          <cell r="B1232" t="str">
            <v>Cannula, heparin, Mock, ø2,9x0,8mm,6,5cm</v>
          </cell>
          <cell r="C1232" t="str">
            <v xml:space="preserve">                                   </v>
          </cell>
          <cell r="D1232" t="str">
            <v xml:space="preserve">DE        </v>
          </cell>
          <cell r="E1232">
            <v>90183900</v>
          </cell>
          <cell r="F1232">
            <v>2</v>
          </cell>
          <cell r="G1232" t="str">
            <v xml:space="preserve">ST          </v>
          </cell>
          <cell r="H1232">
            <v>15.3</v>
          </cell>
          <cell r="I1232">
            <v>30.6</v>
          </cell>
        </row>
        <row r="1233">
          <cell r="A1233" t="str">
            <v>24-459-13-07</v>
          </cell>
          <cell r="B1233" t="str">
            <v xml:space="preserve">ATR. FORCEPS, DE BAKEY, ANG., 12.5 CM   </v>
          </cell>
          <cell r="C1233" t="str">
            <v xml:space="preserve">                                   </v>
          </cell>
          <cell r="D1233" t="str">
            <v xml:space="preserve">MY        </v>
          </cell>
          <cell r="E1233">
            <v>90189084</v>
          </cell>
          <cell r="F1233">
            <v>5</v>
          </cell>
          <cell r="G1233" t="str">
            <v xml:space="preserve">ST          </v>
          </cell>
          <cell r="H1233">
            <v>151</v>
          </cell>
          <cell r="I1233">
            <v>755</v>
          </cell>
        </row>
        <row r="1234">
          <cell r="A1234" t="str">
            <v>24-435-27-07</v>
          </cell>
          <cell r="B1234" t="str">
            <v xml:space="preserve">ATR. FORCEPS, POTTS, CVD., 26 CM        </v>
          </cell>
          <cell r="C1234" t="str">
            <v xml:space="preserve">                                   </v>
          </cell>
          <cell r="D1234" t="str">
            <v xml:space="preserve">DE        </v>
          </cell>
          <cell r="E1234">
            <v>90189084</v>
          </cell>
          <cell r="F1234">
            <v>2</v>
          </cell>
          <cell r="G1234" t="str">
            <v xml:space="preserve">ST          </v>
          </cell>
          <cell r="H1234">
            <v>207.5</v>
          </cell>
          <cell r="I1234">
            <v>415</v>
          </cell>
        </row>
        <row r="1235">
          <cell r="A1235" t="str">
            <v>24-435-31-07</v>
          </cell>
          <cell r="B1235" t="str">
            <v xml:space="preserve">ATR. FORCEPS, POTTS, CVD., 31 CM        </v>
          </cell>
          <cell r="C1235" t="str">
            <v xml:space="preserve">                                   </v>
          </cell>
          <cell r="D1235" t="str">
            <v xml:space="preserve">DE        </v>
          </cell>
          <cell r="E1235">
            <v>90189084</v>
          </cell>
          <cell r="F1235">
            <v>2</v>
          </cell>
          <cell r="G1235" t="str">
            <v xml:space="preserve">ST          </v>
          </cell>
          <cell r="H1235">
            <v>239</v>
          </cell>
          <cell r="I1235">
            <v>478</v>
          </cell>
        </row>
        <row r="1236">
          <cell r="A1236" t="str">
            <v>24-416-20-07</v>
          </cell>
          <cell r="B1236" t="str">
            <v xml:space="preserve">ATR. FORCEPS, DE BAKEY, ANG., 20 CM     </v>
          </cell>
          <cell r="C1236" t="str">
            <v xml:space="preserve">                                   </v>
          </cell>
          <cell r="D1236" t="str">
            <v xml:space="preserve">MY        </v>
          </cell>
          <cell r="E1236">
            <v>90189084</v>
          </cell>
          <cell r="F1236">
            <v>2</v>
          </cell>
          <cell r="G1236" t="str">
            <v xml:space="preserve">ST          </v>
          </cell>
          <cell r="H1236">
            <v>174.5</v>
          </cell>
          <cell r="I1236">
            <v>349</v>
          </cell>
        </row>
        <row r="1237">
          <cell r="A1237" t="str">
            <v>11-285-30-07</v>
          </cell>
          <cell r="B1237" t="str">
            <v xml:space="preserve">DISSECTING SCISSORS, CVD., 31 CM        </v>
          </cell>
          <cell r="C1237" t="str">
            <v xml:space="preserve">                                   </v>
          </cell>
          <cell r="D1237" t="str">
            <v xml:space="preserve">DE        </v>
          </cell>
          <cell r="E1237">
            <v>90189084</v>
          </cell>
          <cell r="F1237">
            <v>1</v>
          </cell>
          <cell r="G1237" t="str">
            <v xml:space="preserve">ST          </v>
          </cell>
          <cell r="H1237">
            <v>76.2</v>
          </cell>
          <cell r="I1237">
            <v>76.2</v>
          </cell>
        </row>
        <row r="1238">
          <cell r="A1238" t="str">
            <v>12-254-17-07</v>
          </cell>
          <cell r="B1238" t="str">
            <v xml:space="preserve">TC-DRESSING FORCEPS, CUSHING, 17.5 CM   </v>
          </cell>
          <cell r="C1238" t="str">
            <v xml:space="preserve">                                   </v>
          </cell>
          <cell r="D1238" t="str">
            <v xml:space="preserve">DE        </v>
          </cell>
          <cell r="E1238">
            <v>90189084</v>
          </cell>
          <cell r="F1238">
            <v>2</v>
          </cell>
          <cell r="G1238" t="str">
            <v xml:space="preserve">ST          </v>
          </cell>
          <cell r="H1238">
            <v>80.099999999999994</v>
          </cell>
          <cell r="I1238">
            <v>160.19999999999999</v>
          </cell>
        </row>
        <row r="1239">
          <cell r="A1239" t="str">
            <v>32-741-32-07</v>
          </cell>
          <cell r="B1239" t="str">
            <v xml:space="preserve">UTERINE POLYPUS FORCEPS, KELLY, 31.5 CM </v>
          </cell>
          <cell r="C1239" t="str">
            <v xml:space="preserve">                                   </v>
          </cell>
          <cell r="D1239" t="str">
            <v xml:space="preserve">DE        </v>
          </cell>
          <cell r="E1239">
            <v>90189084</v>
          </cell>
          <cell r="F1239">
            <v>1</v>
          </cell>
          <cell r="G1239" t="str">
            <v xml:space="preserve">ST          </v>
          </cell>
          <cell r="H1239">
            <v>126.5</v>
          </cell>
          <cell r="I1239">
            <v>126.5</v>
          </cell>
        </row>
        <row r="1240">
          <cell r="A1240" t="str">
            <v>13-461-02-07</v>
          </cell>
          <cell r="B1240" t="str">
            <v xml:space="preserve">DISSECTING FORCEPS, RUMEL, NO. 2, 24 CM </v>
          </cell>
          <cell r="C1240" t="str">
            <v xml:space="preserve">                                   </v>
          </cell>
          <cell r="D1240" t="str">
            <v xml:space="preserve">MY        </v>
          </cell>
          <cell r="E1240">
            <v>90189084</v>
          </cell>
          <cell r="F1240">
            <v>1</v>
          </cell>
          <cell r="G1240" t="str">
            <v xml:space="preserve">ST          </v>
          </cell>
          <cell r="H1240">
            <v>89.9</v>
          </cell>
          <cell r="I1240">
            <v>89.9</v>
          </cell>
        </row>
        <row r="1241">
          <cell r="A1241" t="str">
            <v>24-425-26-07</v>
          </cell>
          <cell r="B1241" t="str">
            <v>ATR. TANGENT. FORCEPS, SATINSKY, 27.5 CM</v>
          </cell>
          <cell r="C1241" t="str">
            <v xml:space="preserve">                                   </v>
          </cell>
          <cell r="D1241" t="str">
            <v xml:space="preserve">DE        </v>
          </cell>
          <cell r="E1241">
            <v>90189084</v>
          </cell>
          <cell r="F1241">
            <v>2</v>
          </cell>
          <cell r="G1241" t="str">
            <v xml:space="preserve">ST          </v>
          </cell>
          <cell r="H1241">
            <v>249</v>
          </cell>
          <cell r="I1241">
            <v>498</v>
          </cell>
        </row>
        <row r="1242">
          <cell r="A1242" t="str">
            <v>56-673-25-01</v>
          </cell>
          <cell r="B1242" t="str">
            <v xml:space="preserve">KIDNEY DISH, 250X140X40 MM              </v>
          </cell>
          <cell r="C1242" t="str">
            <v xml:space="preserve">                                   </v>
          </cell>
          <cell r="D1242" t="str">
            <v xml:space="preserve">SE        </v>
          </cell>
          <cell r="E1242">
            <v>73269098</v>
          </cell>
          <cell r="F1242">
            <v>2</v>
          </cell>
          <cell r="G1242" t="str">
            <v xml:space="preserve">ST          </v>
          </cell>
          <cell r="H1242">
            <v>11.9</v>
          </cell>
          <cell r="I1242">
            <v>23.8</v>
          </cell>
        </row>
        <row r="1243">
          <cell r="A1243" t="str">
            <v>13-125-10-07</v>
          </cell>
          <cell r="B1243" t="str">
            <v xml:space="preserve">Atr. bulldog clamp, cvd., 10 mm         </v>
          </cell>
          <cell r="C1243" t="str">
            <v xml:space="preserve">                                   </v>
          </cell>
          <cell r="D1243" t="str">
            <v xml:space="preserve">DE        </v>
          </cell>
          <cell r="E1243">
            <v>90189084</v>
          </cell>
          <cell r="F1243">
            <v>2</v>
          </cell>
          <cell r="G1243" t="str">
            <v xml:space="preserve">ST          </v>
          </cell>
          <cell r="H1243">
            <v>116.5</v>
          </cell>
          <cell r="I1243">
            <v>233</v>
          </cell>
        </row>
        <row r="1244">
          <cell r="A1244" t="str">
            <v>55-804-57-01</v>
          </cell>
          <cell r="B1244" t="str">
            <v xml:space="preserve">marTray, 1/1, 532x251x94 mm             </v>
          </cell>
          <cell r="C1244" t="str">
            <v xml:space="preserve">                                   </v>
          </cell>
          <cell r="D1244" t="str">
            <v xml:space="preserve">DE        </v>
          </cell>
          <cell r="E1244">
            <v>73269098</v>
          </cell>
          <cell r="F1244">
            <v>1</v>
          </cell>
          <cell r="G1244" t="str">
            <v xml:space="preserve">ST          </v>
          </cell>
          <cell r="H1244">
            <v>147</v>
          </cell>
          <cell r="I1244">
            <v>147</v>
          </cell>
        </row>
        <row r="1245">
          <cell r="A1245" t="str">
            <v>10-100-04-07</v>
          </cell>
          <cell r="B1245" t="str">
            <v xml:space="preserve">SCALPEL HANDLE, NO. 4, 13.5 CM          </v>
          </cell>
          <cell r="C1245" t="str">
            <v xml:space="preserve">                                   </v>
          </cell>
          <cell r="D1245" t="str">
            <v xml:space="preserve">DE        </v>
          </cell>
          <cell r="E1245">
            <v>90189084</v>
          </cell>
          <cell r="F1245">
            <v>1</v>
          </cell>
          <cell r="G1245" t="str">
            <v xml:space="preserve">ST          </v>
          </cell>
          <cell r="H1245">
            <v>6.81</v>
          </cell>
          <cell r="I1245">
            <v>6.81</v>
          </cell>
        </row>
        <row r="1246">
          <cell r="A1246" t="str">
            <v>13-414-24-07</v>
          </cell>
          <cell r="B1246" t="str">
            <v xml:space="preserve">FORCEPS, KOCHER, 1X2 T., STR., 24 CM    </v>
          </cell>
          <cell r="C1246" t="str">
            <v xml:space="preserve">                                   </v>
          </cell>
          <cell r="D1246" t="str">
            <v xml:space="preserve">MY        </v>
          </cell>
          <cell r="E1246">
            <v>90189084</v>
          </cell>
          <cell r="F1246">
            <v>1</v>
          </cell>
          <cell r="G1246" t="str">
            <v xml:space="preserve">ST          </v>
          </cell>
          <cell r="H1246">
            <v>62.5</v>
          </cell>
          <cell r="I1246">
            <v>62.5</v>
          </cell>
        </row>
        <row r="1247">
          <cell r="A1247" t="str">
            <v>15-471-01-07</v>
          </cell>
          <cell r="B1247" t="str">
            <v xml:space="preserve">RETRACTOR, KOCHER, 78X45 MM, 25 CM      </v>
          </cell>
          <cell r="C1247" t="str">
            <v xml:space="preserve">                                   </v>
          </cell>
          <cell r="D1247" t="str">
            <v xml:space="preserve">DE        </v>
          </cell>
          <cell r="E1247">
            <v>90189084</v>
          </cell>
          <cell r="F1247">
            <v>1</v>
          </cell>
          <cell r="G1247" t="str">
            <v xml:space="preserve">ST          </v>
          </cell>
          <cell r="H1247">
            <v>112.5</v>
          </cell>
          <cell r="I1247">
            <v>112.5</v>
          </cell>
        </row>
        <row r="1248">
          <cell r="A1248" t="str">
            <v>13-909-13-07</v>
          </cell>
          <cell r="B1248" t="str">
            <v xml:space="preserve">TOWEL FORCEPS, SHARP, GRACILE, 13 CM    </v>
          </cell>
          <cell r="C1248" t="str">
            <v xml:space="preserve">                                   </v>
          </cell>
          <cell r="D1248" t="str">
            <v xml:space="preserve">MY        </v>
          </cell>
          <cell r="E1248">
            <v>90189084</v>
          </cell>
          <cell r="F1248">
            <v>4</v>
          </cell>
          <cell r="G1248" t="str">
            <v xml:space="preserve">ST          </v>
          </cell>
          <cell r="H1248">
            <v>49.5</v>
          </cell>
          <cell r="I1248">
            <v>198</v>
          </cell>
        </row>
        <row r="1249">
          <cell r="A1249" t="str">
            <v>24-344-30-07</v>
          </cell>
          <cell r="B1249" t="str">
            <v xml:space="preserve">ATR. AORTA FORCEPS, DE BAKEY, 30 CM     </v>
          </cell>
          <cell r="C1249" t="str">
            <v xml:space="preserve">                                   </v>
          </cell>
          <cell r="D1249" t="str">
            <v xml:space="preserve">MY        </v>
          </cell>
          <cell r="E1249">
            <v>90189084</v>
          </cell>
          <cell r="F1249">
            <v>4</v>
          </cell>
          <cell r="G1249" t="str">
            <v xml:space="preserve">ST          </v>
          </cell>
          <cell r="H1249">
            <v>359</v>
          </cell>
          <cell r="I1249">
            <v>1436</v>
          </cell>
        </row>
        <row r="1250">
          <cell r="A1250" t="str">
            <v>12-444-18-07</v>
          </cell>
          <cell r="B1250" t="str">
            <v xml:space="preserve">FORCEPS, STILLE-BARRAYA, 3X4 T., 18 CM  </v>
          </cell>
          <cell r="C1250" t="str">
            <v xml:space="preserve">                                   </v>
          </cell>
          <cell r="D1250" t="str">
            <v xml:space="preserve">MY        </v>
          </cell>
          <cell r="E1250">
            <v>90189084</v>
          </cell>
          <cell r="F1250">
            <v>4</v>
          </cell>
          <cell r="G1250" t="str">
            <v xml:space="preserve">ST          </v>
          </cell>
          <cell r="H1250">
            <v>44.1</v>
          </cell>
          <cell r="I1250">
            <v>176.4</v>
          </cell>
        </row>
        <row r="1251">
          <cell r="A1251" t="str">
            <v>15-777-32-07</v>
          </cell>
          <cell r="B1251" t="str">
            <v xml:space="preserve">Spreader, Adson, bl., 4X5 T., 33 cm     </v>
          </cell>
          <cell r="C1251" t="str">
            <v xml:space="preserve">                                   </v>
          </cell>
          <cell r="D1251" t="str">
            <v xml:space="preserve">DE        </v>
          </cell>
          <cell r="E1251">
            <v>90189084</v>
          </cell>
          <cell r="F1251">
            <v>4</v>
          </cell>
          <cell r="G1251" t="str">
            <v xml:space="preserve">ST          </v>
          </cell>
          <cell r="H1251">
            <v>269.5</v>
          </cell>
          <cell r="I1251">
            <v>1078</v>
          </cell>
        </row>
        <row r="1252">
          <cell r="A1252" t="str">
            <v>15-778-32-07</v>
          </cell>
          <cell r="B1252" t="str">
            <v xml:space="preserve">SPREADER, BECKMANN-EATON, 7X7 T., 32 CM </v>
          </cell>
          <cell r="C1252" t="str">
            <v xml:space="preserve">                                   </v>
          </cell>
          <cell r="D1252" t="str">
            <v xml:space="preserve">MY        </v>
          </cell>
          <cell r="E1252">
            <v>90189084</v>
          </cell>
          <cell r="F1252">
            <v>2</v>
          </cell>
          <cell r="G1252" t="str">
            <v xml:space="preserve">ST          </v>
          </cell>
          <cell r="H1252">
            <v>312.5</v>
          </cell>
          <cell r="I1252">
            <v>625</v>
          </cell>
        </row>
        <row r="1253">
          <cell r="A1253" t="str">
            <v>15-687-00-07</v>
          </cell>
          <cell r="B1253" t="str">
            <v xml:space="preserve">RETRACTOR, PARKER-LANG., SET, 21.5 CM   </v>
          </cell>
          <cell r="C1253" t="str">
            <v xml:space="preserve">                                   </v>
          </cell>
          <cell r="D1253" t="str">
            <v xml:space="preserve">DE        </v>
          </cell>
          <cell r="E1253">
            <v>90189084</v>
          </cell>
          <cell r="F1253">
            <v>4</v>
          </cell>
          <cell r="G1253" t="str">
            <v xml:space="preserve">ST          </v>
          </cell>
          <cell r="H1253">
            <v>37.9</v>
          </cell>
          <cell r="I1253">
            <v>151.6</v>
          </cell>
        </row>
        <row r="1254">
          <cell r="A1254" t="str">
            <v>15-665-00-07</v>
          </cell>
          <cell r="B1254" t="str">
            <v xml:space="preserve">RETRACTOR, DBL., FARABEUF, SET, 15.5 CM </v>
          </cell>
          <cell r="C1254" t="str">
            <v xml:space="preserve">                                   </v>
          </cell>
          <cell r="D1254" t="str">
            <v xml:space="preserve">DE        </v>
          </cell>
          <cell r="E1254">
            <v>90189084</v>
          </cell>
          <cell r="F1254">
            <v>2</v>
          </cell>
          <cell r="G1254" t="str">
            <v xml:space="preserve">ST          </v>
          </cell>
          <cell r="H1254">
            <v>28.9</v>
          </cell>
          <cell r="I1254">
            <v>57.8</v>
          </cell>
        </row>
        <row r="1255">
          <cell r="A1255" t="str">
            <v>11-170-14-07</v>
          </cell>
          <cell r="B1255" t="str">
            <v xml:space="preserve">SCISSORS, MAYO, STR., 14.5 CM           </v>
          </cell>
          <cell r="C1255" t="str">
            <v xml:space="preserve">                                   </v>
          </cell>
          <cell r="D1255" t="str">
            <v xml:space="preserve">DE        </v>
          </cell>
          <cell r="E1255">
            <v>90189084</v>
          </cell>
          <cell r="F1255">
            <v>2</v>
          </cell>
          <cell r="G1255" t="str">
            <v xml:space="preserve">ST          </v>
          </cell>
          <cell r="H1255">
            <v>27.2</v>
          </cell>
          <cell r="I1255">
            <v>54.4</v>
          </cell>
        </row>
        <row r="1256">
          <cell r="A1256" t="str">
            <v>20-642-20-07</v>
          </cell>
          <cell r="B1256" t="str">
            <v xml:space="preserve">TC-NEEDLEHOLDER, MAYO-HEGAR, 20 CM      </v>
          </cell>
          <cell r="C1256" t="str">
            <v xml:space="preserve">                                   </v>
          </cell>
          <cell r="D1256" t="str">
            <v xml:space="preserve">MY        </v>
          </cell>
          <cell r="E1256">
            <v>90189084</v>
          </cell>
          <cell r="F1256">
            <v>2</v>
          </cell>
          <cell r="G1256" t="str">
            <v xml:space="preserve">ST          </v>
          </cell>
          <cell r="H1256">
            <v>86.7</v>
          </cell>
          <cell r="I1256">
            <v>173.4</v>
          </cell>
        </row>
        <row r="1257">
          <cell r="A1257" t="str">
            <v>24-425-20-07</v>
          </cell>
          <cell r="B1257" t="str">
            <v>ATR. TANGENTIAL FORCEPS, SATINSKY, 22 CM</v>
          </cell>
          <cell r="C1257" t="str">
            <v xml:space="preserve">                                   </v>
          </cell>
          <cell r="D1257" t="str">
            <v xml:space="preserve">DE        </v>
          </cell>
          <cell r="E1257">
            <v>90189084</v>
          </cell>
          <cell r="F1257">
            <v>1</v>
          </cell>
          <cell r="G1257" t="str">
            <v xml:space="preserve">ST          </v>
          </cell>
          <cell r="H1257">
            <v>224.5</v>
          </cell>
          <cell r="I1257">
            <v>224.5</v>
          </cell>
        </row>
        <row r="1258">
          <cell r="A1258" t="str">
            <v>10-130-04-07</v>
          </cell>
          <cell r="B1258" t="str">
            <v>SCALPEL HANDLE, NO. 3,SHAPE AS NO.4,12cm</v>
          </cell>
          <cell r="C1258" t="str">
            <v xml:space="preserve">                                   </v>
          </cell>
          <cell r="D1258" t="str">
            <v xml:space="preserve">DE        </v>
          </cell>
          <cell r="E1258">
            <v>90189084</v>
          </cell>
          <cell r="F1258">
            <v>1</v>
          </cell>
          <cell r="G1258" t="str">
            <v xml:space="preserve">ST          </v>
          </cell>
          <cell r="H1258">
            <v>10.7</v>
          </cell>
          <cell r="I1258">
            <v>10.7</v>
          </cell>
        </row>
        <row r="1259">
          <cell r="A1259" t="str">
            <v>24-573-04-07</v>
          </cell>
          <cell r="B1259" t="str">
            <v xml:space="preserve">ATR. FORCEPS, PEDIATRIC, 13,5 CM        </v>
          </cell>
          <cell r="C1259" t="str">
            <v xml:space="preserve">                                   </v>
          </cell>
          <cell r="D1259" t="str">
            <v xml:space="preserve">DE        </v>
          </cell>
          <cell r="E1259">
            <v>90189084</v>
          </cell>
          <cell r="F1259">
            <v>2</v>
          </cell>
          <cell r="G1259" t="str">
            <v xml:space="preserve">ST          </v>
          </cell>
          <cell r="H1259">
            <v>344.5</v>
          </cell>
          <cell r="I1259">
            <v>689</v>
          </cell>
        </row>
        <row r="1260">
          <cell r="A1260" t="str">
            <v>24-573-08-07</v>
          </cell>
          <cell r="B1260" t="str">
            <v>ATR. FORCEPS, PEDIATRIC, ST. CVD., 14 CM</v>
          </cell>
          <cell r="C1260" t="str">
            <v xml:space="preserve">                                   </v>
          </cell>
          <cell r="D1260" t="str">
            <v xml:space="preserve">DE        </v>
          </cell>
          <cell r="E1260">
            <v>90189084</v>
          </cell>
          <cell r="F1260">
            <v>2</v>
          </cell>
          <cell r="G1260" t="str">
            <v xml:space="preserve">ST          </v>
          </cell>
          <cell r="H1260">
            <v>344.5</v>
          </cell>
          <cell r="I1260">
            <v>689</v>
          </cell>
        </row>
        <row r="1261">
          <cell r="A1261" t="str">
            <v xml:space="preserve">            </v>
          </cell>
          <cell r="B1261" t="str">
            <v xml:space="preserve">AV Fistula                              </v>
          </cell>
          <cell r="C1261" t="str">
            <v xml:space="preserve">                                   </v>
          </cell>
          <cell r="D1261" t="str">
            <v xml:space="preserve">          </v>
          </cell>
          <cell r="E1261" t="str">
            <v xml:space="preserve">                </v>
          </cell>
          <cell r="F1261">
            <v>1</v>
          </cell>
          <cell r="G1261" t="str">
            <v xml:space="preserve">            </v>
          </cell>
          <cell r="H1261" t="str">
            <v xml:space="preserve">               </v>
          </cell>
          <cell r="I1261" t="str">
            <v xml:space="preserve">               </v>
          </cell>
        </row>
        <row r="1262">
          <cell r="A1262" t="str">
            <v>24-393-10-07</v>
          </cell>
          <cell r="B1262" t="str">
            <v xml:space="preserve">BULLDOG CLAMP, DE BAKEY, CVD., 9,5 CM   </v>
          </cell>
          <cell r="C1262" t="str">
            <v xml:space="preserve">                                   </v>
          </cell>
          <cell r="D1262" t="str">
            <v xml:space="preserve">DE        </v>
          </cell>
          <cell r="E1262">
            <v>90189084</v>
          </cell>
          <cell r="F1262">
            <v>4</v>
          </cell>
          <cell r="G1262" t="str">
            <v xml:space="preserve">ST          </v>
          </cell>
          <cell r="H1262">
            <v>120</v>
          </cell>
          <cell r="I1262">
            <v>480</v>
          </cell>
        </row>
        <row r="1263">
          <cell r="A1263" t="str">
            <v>24-386-20-07</v>
          </cell>
          <cell r="B1263" t="str">
            <v xml:space="preserve">ATR. FORCEPS, DE BAKEY, 1.5 MM, 20 CM   </v>
          </cell>
          <cell r="C1263" t="str">
            <v xml:space="preserve">                                   </v>
          </cell>
          <cell r="D1263" t="str">
            <v xml:space="preserve">MY        </v>
          </cell>
          <cell r="E1263">
            <v>90189084</v>
          </cell>
          <cell r="F1263">
            <v>2</v>
          </cell>
          <cell r="G1263" t="str">
            <v xml:space="preserve">ST          </v>
          </cell>
          <cell r="H1263">
            <v>81.900000000000006</v>
          </cell>
          <cell r="I1263">
            <v>163.80000000000001</v>
          </cell>
        </row>
        <row r="1264">
          <cell r="A1264" t="str">
            <v>24-388-24-07</v>
          </cell>
          <cell r="B1264" t="str">
            <v xml:space="preserve">ATR. FORCEPS, DE BAKEY, 2 MM, 25 CM     </v>
          </cell>
          <cell r="C1264" t="str">
            <v xml:space="preserve">                                   </v>
          </cell>
          <cell r="D1264" t="str">
            <v xml:space="preserve">DE        </v>
          </cell>
          <cell r="E1264">
            <v>90189084</v>
          </cell>
          <cell r="F1264">
            <v>1</v>
          </cell>
          <cell r="G1264" t="str">
            <v xml:space="preserve">ST          </v>
          </cell>
          <cell r="H1264">
            <v>70.599999999999994</v>
          </cell>
          <cell r="I1264">
            <v>70.599999999999994</v>
          </cell>
        </row>
        <row r="1265">
          <cell r="A1265" t="str">
            <v>24-388-20-07</v>
          </cell>
          <cell r="B1265" t="str">
            <v xml:space="preserve">ATR. FORCEPS, DE BAKEY, 2 MM, 20 CM     </v>
          </cell>
          <cell r="C1265" t="str">
            <v xml:space="preserve">                                   </v>
          </cell>
          <cell r="D1265" t="str">
            <v xml:space="preserve">MY        </v>
          </cell>
          <cell r="E1265">
            <v>90189084</v>
          </cell>
          <cell r="F1265">
            <v>1</v>
          </cell>
          <cell r="G1265" t="str">
            <v xml:space="preserve">ST          </v>
          </cell>
          <cell r="H1265">
            <v>65.599999999999994</v>
          </cell>
          <cell r="I1265">
            <v>65.599999999999994</v>
          </cell>
        </row>
        <row r="1266">
          <cell r="A1266" t="str">
            <v>11-396-19-07</v>
          </cell>
          <cell r="B1266" t="str">
            <v xml:space="preserve">TC-scissors, Potts-Smith, 18 cm         </v>
          </cell>
          <cell r="C1266" t="str">
            <v xml:space="preserve">                                   </v>
          </cell>
          <cell r="D1266" t="str">
            <v xml:space="preserve">DE        </v>
          </cell>
          <cell r="E1266">
            <v>90189084</v>
          </cell>
          <cell r="F1266">
            <v>2</v>
          </cell>
          <cell r="G1266" t="str">
            <v xml:space="preserve">ST          </v>
          </cell>
          <cell r="H1266">
            <v>200.5</v>
          </cell>
          <cell r="I1266">
            <v>401</v>
          </cell>
        </row>
        <row r="1267">
          <cell r="A1267" t="str">
            <v>11-327-14-07</v>
          </cell>
          <cell r="B1267" t="str">
            <v xml:space="preserve">DISSECT. SCISSORS, FINE, CVD., 14.5 CM  </v>
          </cell>
          <cell r="C1267" t="str">
            <v xml:space="preserve">                                   </v>
          </cell>
          <cell r="D1267" t="str">
            <v xml:space="preserve">DE        </v>
          </cell>
          <cell r="E1267">
            <v>90189084</v>
          </cell>
          <cell r="F1267">
            <v>1</v>
          </cell>
          <cell r="G1267" t="str">
            <v xml:space="preserve">ST          </v>
          </cell>
          <cell r="H1267">
            <v>25.2</v>
          </cell>
          <cell r="I1267">
            <v>25.2</v>
          </cell>
        </row>
        <row r="1268">
          <cell r="A1268" t="str">
            <v>11-955-14-07</v>
          </cell>
          <cell r="B1268" t="str">
            <v xml:space="preserve">TC-DISS. SCISSORS, FINE, CVD., 14.5 CM  </v>
          </cell>
          <cell r="C1268" t="str">
            <v xml:space="preserve">                                   </v>
          </cell>
          <cell r="D1268" t="str">
            <v xml:space="preserve">DE        </v>
          </cell>
          <cell r="E1268">
            <v>90189084</v>
          </cell>
          <cell r="F1268">
            <v>1</v>
          </cell>
          <cell r="G1268" t="str">
            <v xml:space="preserve">ST          </v>
          </cell>
          <cell r="H1268">
            <v>129</v>
          </cell>
          <cell r="I1268">
            <v>129</v>
          </cell>
        </row>
        <row r="1269">
          <cell r="A1269" t="str">
            <v>13-453-22-07</v>
          </cell>
          <cell r="B1269" t="str">
            <v xml:space="preserve">DISS. FORCEPS, MINI-GEMINI, CVD., 23 CM </v>
          </cell>
          <cell r="C1269" t="str">
            <v xml:space="preserve">                                   </v>
          </cell>
          <cell r="D1269" t="str">
            <v xml:space="preserve">DE        </v>
          </cell>
          <cell r="E1269">
            <v>90189084</v>
          </cell>
          <cell r="F1269">
            <v>1</v>
          </cell>
          <cell r="G1269" t="str">
            <v xml:space="preserve">ST          </v>
          </cell>
          <cell r="H1269">
            <v>106</v>
          </cell>
          <cell r="I1269">
            <v>106</v>
          </cell>
        </row>
        <row r="1270">
          <cell r="A1270" t="str">
            <v>13-451-16-07</v>
          </cell>
          <cell r="B1270" t="str">
            <v xml:space="preserve">DISS. FORCEPS, GEMINI, STR. CVD., 16 CM </v>
          </cell>
          <cell r="C1270" t="str">
            <v xml:space="preserve">                                   </v>
          </cell>
          <cell r="D1270" t="str">
            <v xml:space="preserve">MY        </v>
          </cell>
          <cell r="E1270">
            <v>90189084</v>
          </cell>
          <cell r="F1270">
            <v>1</v>
          </cell>
          <cell r="G1270" t="str">
            <v xml:space="preserve">ST          </v>
          </cell>
          <cell r="H1270">
            <v>86.3</v>
          </cell>
          <cell r="I1270">
            <v>86.3</v>
          </cell>
        </row>
        <row r="1271">
          <cell r="A1271" t="str">
            <v>20-666-03-07</v>
          </cell>
          <cell r="B1271" t="str">
            <v xml:space="preserve">TC-NEEDLEHOLDER, MICROVASCULAR, 20 CM   </v>
          </cell>
          <cell r="C1271" t="str">
            <v xml:space="preserve">                                   </v>
          </cell>
          <cell r="D1271" t="str">
            <v xml:space="preserve">MY        </v>
          </cell>
          <cell r="E1271">
            <v>90189084</v>
          </cell>
          <cell r="F1271">
            <v>2</v>
          </cell>
          <cell r="G1271" t="str">
            <v xml:space="preserve">ST          </v>
          </cell>
          <cell r="H1271">
            <v>124</v>
          </cell>
          <cell r="I1271">
            <v>248</v>
          </cell>
        </row>
        <row r="1272">
          <cell r="A1272" t="str">
            <v>20-666-05-07</v>
          </cell>
          <cell r="B1272" t="str">
            <v xml:space="preserve">TC-Needleholder, microvascular, 26cm    </v>
          </cell>
          <cell r="C1272" t="str">
            <v xml:space="preserve">                                   </v>
          </cell>
          <cell r="D1272" t="str">
            <v xml:space="preserve">MY        </v>
          </cell>
          <cell r="E1272">
            <v>90189084</v>
          </cell>
          <cell r="F1272">
            <v>1</v>
          </cell>
          <cell r="G1272" t="str">
            <v xml:space="preserve">ST          </v>
          </cell>
          <cell r="H1272">
            <v>220.5</v>
          </cell>
          <cell r="I1272">
            <v>220.5</v>
          </cell>
        </row>
        <row r="1273">
          <cell r="A1273" t="str">
            <v>13-311-12-07</v>
          </cell>
          <cell r="B1273" t="str">
            <v xml:space="preserve">HAEM. FORCEPS, MOSQUITO, CVD., 12 CM    </v>
          </cell>
          <cell r="C1273" t="str">
            <v xml:space="preserve">                                   </v>
          </cell>
          <cell r="D1273" t="str">
            <v xml:space="preserve">MY        </v>
          </cell>
          <cell r="E1273">
            <v>90189084</v>
          </cell>
          <cell r="F1273">
            <v>6</v>
          </cell>
          <cell r="G1273" t="str">
            <v xml:space="preserve">ST          </v>
          </cell>
          <cell r="H1273">
            <v>23.9</v>
          </cell>
          <cell r="I1273">
            <v>143.4</v>
          </cell>
        </row>
        <row r="1274">
          <cell r="A1274" t="str">
            <v>15-741-13-07</v>
          </cell>
          <cell r="B1274" t="str">
            <v xml:space="preserve">SPREADER, BLUNT, 3X4 T., 20 MM, 13CM    </v>
          </cell>
          <cell r="C1274" t="str">
            <v xml:space="preserve">                                   </v>
          </cell>
          <cell r="D1274" t="str">
            <v xml:space="preserve">DE        </v>
          </cell>
          <cell r="E1274">
            <v>90189084</v>
          </cell>
          <cell r="F1274">
            <v>2</v>
          </cell>
          <cell r="G1274" t="str">
            <v xml:space="preserve">ST          </v>
          </cell>
          <cell r="H1274">
            <v>180</v>
          </cell>
          <cell r="I1274">
            <v>360</v>
          </cell>
        </row>
        <row r="1275">
          <cell r="A1275" t="str">
            <v>15-172-14-07</v>
          </cell>
          <cell r="B1275" t="str">
            <v xml:space="preserve">HOOKLET, CUSHING, 14 MM, 24 CM          </v>
          </cell>
          <cell r="C1275" t="str">
            <v xml:space="preserve">                                   </v>
          </cell>
          <cell r="D1275" t="str">
            <v xml:space="preserve">DE        </v>
          </cell>
          <cell r="E1275">
            <v>90189084</v>
          </cell>
          <cell r="F1275">
            <v>2</v>
          </cell>
          <cell r="G1275" t="str">
            <v xml:space="preserve">ST          </v>
          </cell>
          <cell r="H1275">
            <v>61.7</v>
          </cell>
          <cell r="I1275">
            <v>123.4</v>
          </cell>
        </row>
        <row r="1276">
          <cell r="A1276" t="str">
            <v>24-539-02-07</v>
          </cell>
          <cell r="B1276" t="str">
            <v xml:space="preserve">DISSECTOR, Robb, DOUBLE, NO. 2, 20,5 CM </v>
          </cell>
          <cell r="C1276" t="str">
            <v xml:space="preserve">                                   </v>
          </cell>
          <cell r="D1276" t="str">
            <v xml:space="preserve">DE        </v>
          </cell>
          <cell r="E1276">
            <v>90189084</v>
          </cell>
          <cell r="F1276">
            <v>1</v>
          </cell>
          <cell r="G1276" t="str">
            <v xml:space="preserve">ST          </v>
          </cell>
          <cell r="H1276">
            <v>77.099999999999994</v>
          </cell>
          <cell r="I1276">
            <v>77.099999999999994</v>
          </cell>
        </row>
        <row r="1277">
          <cell r="A1277" t="str">
            <v>18-696-06-01</v>
          </cell>
          <cell r="B1277" t="str">
            <v>Cannula, heparin, Mock, ø2,9x0,8mm,6,5cm</v>
          </cell>
          <cell r="C1277" t="str">
            <v xml:space="preserve">                                   </v>
          </cell>
          <cell r="D1277" t="str">
            <v xml:space="preserve">DE        </v>
          </cell>
          <cell r="E1277">
            <v>90183900</v>
          </cell>
          <cell r="F1277">
            <v>1</v>
          </cell>
          <cell r="G1277" t="str">
            <v xml:space="preserve">ST          </v>
          </cell>
          <cell r="H1277">
            <v>15.3</v>
          </cell>
          <cell r="I1277">
            <v>15.3</v>
          </cell>
        </row>
        <row r="1278">
          <cell r="A1278" t="str">
            <v>24-459-13-07</v>
          </cell>
          <cell r="B1278" t="str">
            <v xml:space="preserve">ATR. FORCEPS, DE BAKEY, ANG., 12.5 CM   </v>
          </cell>
          <cell r="C1278" t="str">
            <v xml:space="preserve">                                   </v>
          </cell>
          <cell r="D1278" t="str">
            <v xml:space="preserve">MY        </v>
          </cell>
          <cell r="E1278">
            <v>90189084</v>
          </cell>
          <cell r="F1278">
            <v>1</v>
          </cell>
          <cell r="G1278" t="str">
            <v xml:space="preserve">ST          </v>
          </cell>
          <cell r="H1278">
            <v>151</v>
          </cell>
          <cell r="I1278">
            <v>151</v>
          </cell>
        </row>
        <row r="1279">
          <cell r="A1279" t="str">
            <v>24-435-27-07</v>
          </cell>
          <cell r="B1279" t="str">
            <v xml:space="preserve">ATR. FORCEPS, POTTS, CVD., 26 CM        </v>
          </cell>
          <cell r="C1279" t="str">
            <v xml:space="preserve">                                   </v>
          </cell>
          <cell r="D1279" t="str">
            <v xml:space="preserve">DE        </v>
          </cell>
          <cell r="E1279">
            <v>90189084</v>
          </cell>
          <cell r="F1279">
            <v>5</v>
          </cell>
          <cell r="G1279" t="str">
            <v xml:space="preserve">ST          </v>
          </cell>
          <cell r="H1279">
            <v>207.5</v>
          </cell>
          <cell r="I1279">
            <v>1037.5</v>
          </cell>
        </row>
        <row r="1280">
          <cell r="A1280" t="str">
            <v>24-435-31-07</v>
          </cell>
          <cell r="B1280" t="str">
            <v xml:space="preserve">ATR. FORCEPS, POTTS, CVD., 31 CM        </v>
          </cell>
          <cell r="C1280" t="str">
            <v xml:space="preserve">                                   </v>
          </cell>
          <cell r="D1280" t="str">
            <v xml:space="preserve">DE        </v>
          </cell>
          <cell r="E1280">
            <v>90189084</v>
          </cell>
          <cell r="F1280">
            <v>2</v>
          </cell>
          <cell r="G1280" t="str">
            <v xml:space="preserve">ST          </v>
          </cell>
          <cell r="H1280">
            <v>239</v>
          </cell>
          <cell r="I1280">
            <v>478</v>
          </cell>
        </row>
        <row r="1281">
          <cell r="A1281" t="str">
            <v>24-417-31-07</v>
          </cell>
          <cell r="B1281" t="str">
            <v xml:space="preserve">ATR. ANEURYSM FORCEPS, DE BAKEY, 31 CM  </v>
          </cell>
          <cell r="C1281" t="str">
            <v xml:space="preserve">                                   </v>
          </cell>
          <cell r="D1281" t="str">
            <v xml:space="preserve">DE        </v>
          </cell>
          <cell r="E1281">
            <v>90189084</v>
          </cell>
          <cell r="F1281">
            <v>2</v>
          </cell>
          <cell r="G1281" t="str">
            <v xml:space="preserve">ST          </v>
          </cell>
          <cell r="H1281">
            <v>249</v>
          </cell>
          <cell r="I1281">
            <v>498</v>
          </cell>
        </row>
        <row r="1282">
          <cell r="A1282" t="str">
            <v>11-285-30-07</v>
          </cell>
          <cell r="B1282" t="str">
            <v xml:space="preserve">DISSECTING SCISSORS, CVD., 31 CM        </v>
          </cell>
          <cell r="C1282" t="str">
            <v xml:space="preserve">                                   </v>
          </cell>
          <cell r="D1282" t="str">
            <v xml:space="preserve">DE        </v>
          </cell>
          <cell r="E1282">
            <v>90189084</v>
          </cell>
          <cell r="F1282">
            <v>2</v>
          </cell>
          <cell r="G1282" t="str">
            <v xml:space="preserve">ST          </v>
          </cell>
          <cell r="H1282">
            <v>76.2</v>
          </cell>
          <cell r="I1282">
            <v>152.4</v>
          </cell>
        </row>
        <row r="1283">
          <cell r="A1283" t="str">
            <v>12-254-17-07</v>
          </cell>
          <cell r="B1283" t="str">
            <v xml:space="preserve">TC-DRESSING FORCEPS, CUSHING, 17.5 CM   </v>
          </cell>
          <cell r="C1283" t="str">
            <v xml:space="preserve">                                   </v>
          </cell>
          <cell r="D1283" t="str">
            <v xml:space="preserve">DE        </v>
          </cell>
          <cell r="E1283">
            <v>90189084</v>
          </cell>
          <cell r="F1283">
            <v>1</v>
          </cell>
          <cell r="G1283" t="str">
            <v xml:space="preserve">ST          </v>
          </cell>
          <cell r="H1283">
            <v>80.099999999999994</v>
          </cell>
          <cell r="I1283">
            <v>80.099999999999994</v>
          </cell>
        </row>
        <row r="1284">
          <cell r="A1284" t="str">
            <v>32-741-32-07</v>
          </cell>
          <cell r="B1284" t="str">
            <v xml:space="preserve">UTERINE POLYPUS FORCEPS, KELLY, 31.5 CM </v>
          </cell>
          <cell r="C1284" t="str">
            <v xml:space="preserve">                                   </v>
          </cell>
          <cell r="D1284" t="str">
            <v xml:space="preserve">DE        </v>
          </cell>
          <cell r="E1284">
            <v>90189084</v>
          </cell>
          <cell r="F1284">
            <v>2</v>
          </cell>
          <cell r="G1284" t="str">
            <v xml:space="preserve">ST          </v>
          </cell>
          <cell r="H1284">
            <v>126.5</v>
          </cell>
          <cell r="I1284">
            <v>253</v>
          </cell>
        </row>
        <row r="1285">
          <cell r="A1285" t="str">
            <v>13-461-02-07</v>
          </cell>
          <cell r="B1285" t="str">
            <v xml:space="preserve">DISSECTING FORCEPS, RUMEL, NO. 2, 24 CM </v>
          </cell>
          <cell r="C1285" t="str">
            <v xml:space="preserve">                                   </v>
          </cell>
          <cell r="D1285" t="str">
            <v xml:space="preserve">MY        </v>
          </cell>
          <cell r="E1285">
            <v>90189084</v>
          </cell>
          <cell r="F1285">
            <v>1</v>
          </cell>
          <cell r="G1285" t="str">
            <v xml:space="preserve">ST          </v>
          </cell>
          <cell r="H1285">
            <v>89.9</v>
          </cell>
          <cell r="I1285">
            <v>89.9</v>
          </cell>
        </row>
        <row r="1286">
          <cell r="A1286" t="str">
            <v>24-425-26-07</v>
          </cell>
          <cell r="B1286" t="str">
            <v>ATR. TANGENT. FORCEPS, SATINSKY, 27.5 CM</v>
          </cell>
          <cell r="C1286" t="str">
            <v xml:space="preserve">                                   </v>
          </cell>
          <cell r="D1286" t="str">
            <v xml:space="preserve">DE        </v>
          </cell>
          <cell r="E1286">
            <v>90189084</v>
          </cell>
          <cell r="F1286">
            <v>6</v>
          </cell>
          <cell r="G1286" t="str">
            <v xml:space="preserve">ST          </v>
          </cell>
          <cell r="H1286">
            <v>249</v>
          </cell>
          <cell r="I1286">
            <v>1494</v>
          </cell>
        </row>
        <row r="1287">
          <cell r="A1287" t="str">
            <v>56-673-25-01</v>
          </cell>
          <cell r="B1287" t="str">
            <v xml:space="preserve">KIDNEY DISH, 250X140X40 MM              </v>
          </cell>
          <cell r="C1287" t="str">
            <v xml:space="preserve">                                   </v>
          </cell>
          <cell r="D1287" t="str">
            <v xml:space="preserve">SE        </v>
          </cell>
          <cell r="E1287">
            <v>73269098</v>
          </cell>
          <cell r="F1287">
            <v>2</v>
          </cell>
          <cell r="G1287" t="str">
            <v xml:space="preserve">ST          </v>
          </cell>
          <cell r="H1287">
            <v>11.9</v>
          </cell>
          <cell r="I1287">
            <v>23.8</v>
          </cell>
        </row>
        <row r="1288">
          <cell r="A1288" t="str">
            <v>13-125-10-07</v>
          </cell>
          <cell r="B1288" t="str">
            <v xml:space="preserve">Atr. bulldog clamp, cvd., 10 mm         </v>
          </cell>
          <cell r="C1288" t="str">
            <v xml:space="preserve">                                   </v>
          </cell>
          <cell r="D1288" t="str">
            <v xml:space="preserve">DE        </v>
          </cell>
          <cell r="E1288">
            <v>90189084</v>
          </cell>
          <cell r="F1288">
            <v>2</v>
          </cell>
          <cell r="G1288" t="str">
            <v xml:space="preserve">ST          </v>
          </cell>
          <cell r="H1288">
            <v>116.5</v>
          </cell>
          <cell r="I1288">
            <v>233</v>
          </cell>
        </row>
        <row r="1289">
          <cell r="A1289" t="str">
            <v>55-804-57-01</v>
          </cell>
          <cell r="B1289" t="str">
            <v xml:space="preserve">marTray, 1/1, 532x251x94 mm             </v>
          </cell>
          <cell r="C1289" t="str">
            <v xml:space="preserve">                                   </v>
          </cell>
          <cell r="D1289" t="str">
            <v xml:space="preserve">DE        </v>
          </cell>
          <cell r="E1289">
            <v>73269098</v>
          </cell>
          <cell r="F1289">
            <v>1</v>
          </cell>
          <cell r="G1289" t="str">
            <v xml:space="preserve">ST          </v>
          </cell>
          <cell r="H1289">
            <v>147</v>
          </cell>
          <cell r="I1289">
            <v>147</v>
          </cell>
        </row>
        <row r="1290">
          <cell r="A1290" t="str">
            <v>10-100-04-07</v>
          </cell>
          <cell r="B1290" t="str">
            <v xml:space="preserve">SCALPEL HANDLE, NO. 4, 13.5 CM          </v>
          </cell>
          <cell r="C1290" t="str">
            <v xml:space="preserve">                                   </v>
          </cell>
          <cell r="D1290" t="str">
            <v xml:space="preserve">DE        </v>
          </cell>
          <cell r="E1290">
            <v>90189084</v>
          </cell>
          <cell r="F1290">
            <v>1</v>
          </cell>
          <cell r="G1290" t="str">
            <v xml:space="preserve">ST          </v>
          </cell>
          <cell r="H1290">
            <v>6.81</v>
          </cell>
          <cell r="I1290">
            <v>6.81</v>
          </cell>
        </row>
        <row r="1291">
          <cell r="A1291" t="str">
            <v>13-414-24-07</v>
          </cell>
          <cell r="B1291" t="str">
            <v xml:space="preserve">FORCEPS, KOCHER, 1X2 T., STR., 24 CM    </v>
          </cell>
          <cell r="C1291" t="str">
            <v xml:space="preserve">                                   </v>
          </cell>
          <cell r="D1291" t="str">
            <v xml:space="preserve">MY        </v>
          </cell>
          <cell r="E1291">
            <v>90189084</v>
          </cell>
          <cell r="F1291">
            <v>1</v>
          </cell>
          <cell r="G1291" t="str">
            <v xml:space="preserve">ST          </v>
          </cell>
          <cell r="H1291">
            <v>62.5</v>
          </cell>
          <cell r="I1291">
            <v>62.5</v>
          </cell>
        </row>
        <row r="1292">
          <cell r="A1292" t="str">
            <v>15-471-01-07</v>
          </cell>
          <cell r="B1292" t="str">
            <v xml:space="preserve">RETRACTOR, KOCHER, 78X45 MM, 25 CM      </v>
          </cell>
          <cell r="C1292" t="str">
            <v xml:space="preserve">                                   </v>
          </cell>
          <cell r="D1292" t="str">
            <v xml:space="preserve">DE        </v>
          </cell>
          <cell r="E1292">
            <v>90189084</v>
          </cell>
          <cell r="F1292">
            <v>5</v>
          </cell>
          <cell r="G1292" t="str">
            <v xml:space="preserve">ST          </v>
          </cell>
          <cell r="H1292">
            <v>112.5</v>
          </cell>
          <cell r="I1292">
            <v>562.5</v>
          </cell>
        </row>
        <row r="1293">
          <cell r="A1293" t="str">
            <v>13-909-13-07</v>
          </cell>
          <cell r="B1293" t="str">
            <v xml:space="preserve">TOWEL FORCEPS, SHARP, GRACILE, 13 CM    </v>
          </cell>
          <cell r="C1293" t="str">
            <v xml:space="preserve">                                   </v>
          </cell>
          <cell r="D1293" t="str">
            <v xml:space="preserve">MY        </v>
          </cell>
          <cell r="E1293">
            <v>90189084</v>
          </cell>
          <cell r="F1293">
            <v>5</v>
          </cell>
          <cell r="G1293" t="str">
            <v xml:space="preserve">ST          </v>
          </cell>
          <cell r="H1293">
            <v>49.5</v>
          </cell>
          <cell r="I1293">
            <v>247.5</v>
          </cell>
        </row>
        <row r="1294">
          <cell r="A1294" t="str">
            <v>24-344-30-07</v>
          </cell>
          <cell r="B1294" t="str">
            <v xml:space="preserve">ATR. AORTA FORCEPS, DE BAKEY, 30 CM     </v>
          </cell>
          <cell r="C1294" t="str">
            <v xml:space="preserve">                                   </v>
          </cell>
          <cell r="D1294" t="str">
            <v xml:space="preserve">MY        </v>
          </cell>
          <cell r="E1294">
            <v>90189084</v>
          </cell>
          <cell r="F1294">
            <v>2</v>
          </cell>
          <cell r="G1294" t="str">
            <v xml:space="preserve">ST          </v>
          </cell>
          <cell r="H1294">
            <v>359</v>
          </cell>
          <cell r="I1294">
            <v>718</v>
          </cell>
        </row>
        <row r="1295">
          <cell r="A1295" t="str">
            <v>12-444-18-07</v>
          </cell>
          <cell r="B1295" t="str">
            <v xml:space="preserve">FORCEPS, STILLE-BARRAYA, 3X4 T., 18 CM  </v>
          </cell>
          <cell r="C1295" t="str">
            <v xml:space="preserve">                                   </v>
          </cell>
          <cell r="D1295" t="str">
            <v xml:space="preserve">MY        </v>
          </cell>
          <cell r="E1295">
            <v>90189084</v>
          </cell>
          <cell r="F1295">
            <v>2</v>
          </cell>
          <cell r="G1295" t="str">
            <v xml:space="preserve">ST          </v>
          </cell>
          <cell r="H1295">
            <v>44.1</v>
          </cell>
          <cell r="I1295">
            <v>88.2</v>
          </cell>
        </row>
        <row r="1296">
          <cell r="A1296" t="str">
            <v>15-777-32-07</v>
          </cell>
          <cell r="B1296" t="str">
            <v xml:space="preserve">Spreader, Adson, bl., 4X5 T., 33 cm     </v>
          </cell>
          <cell r="C1296" t="str">
            <v xml:space="preserve">                                   </v>
          </cell>
          <cell r="D1296" t="str">
            <v xml:space="preserve">DE        </v>
          </cell>
          <cell r="E1296">
            <v>90189084</v>
          </cell>
          <cell r="F1296">
            <v>2</v>
          </cell>
          <cell r="G1296" t="str">
            <v xml:space="preserve">ST          </v>
          </cell>
          <cell r="H1296">
            <v>269.5</v>
          </cell>
          <cell r="I1296">
            <v>539</v>
          </cell>
        </row>
        <row r="1297">
          <cell r="A1297" t="str">
            <v>15-778-32-07</v>
          </cell>
          <cell r="B1297" t="str">
            <v xml:space="preserve">SPREADER, BECKMANN-EATON, 7X7 T., 32 CM </v>
          </cell>
          <cell r="C1297" t="str">
            <v xml:space="preserve">                                   </v>
          </cell>
          <cell r="D1297" t="str">
            <v xml:space="preserve">MY        </v>
          </cell>
          <cell r="E1297">
            <v>90189084</v>
          </cell>
          <cell r="F1297">
            <v>2</v>
          </cell>
          <cell r="G1297" t="str">
            <v xml:space="preserve">ST          </v>
          </cell>
          <cell r="H1297">
            <v>312.5</v>
          </cell>
          <cell r="I1297">
            <v>625</v>
          </cell>
        </row>
        <row r="1298">
          <cell r="A1298" t="str">
            <v>15-687-00-07</v>
          </cell>
          <cell r="B1298" t="str">
            <v xml:space="preserve">RETRACTOR, PARKER-LANG., SET, 21.5 CM   </v>
          </cell>
          <cell r="C1298" t="str">
            <v xml:space="preserve">                                   </v>
          </cell>
          <cell r="D1298" t="str">
            <v xml:space="preserve">DE        </v>
          </cell>
          <cell r="E1298">
            <v>90189084</v>
          </cell>
          <cell r="F1298">
            <v>2</v>
          </cell>
          <cell r="G1298" t="str">
            <v xml:space="preserve">ST          </v>
          </cell>
          <cell r="H1298">
            <v>37.9</v>
          </cell>
          <cell r="I1298">
            <v>75.8</v>
          </cell>
        </row>
        <row r="1299">
          <cell r="A1299" t="str">
            <v>15-665-00-07</v>
          </cell>
          <cell r="B1299" t="str">
            <v xml:space="preserve">RETRACTOR, DBL., FARABEUF, SET, 15.5 CM </v>
          </cell>
          <cell r="C1299" t="str">
            <v xml:space="preserve">                                   </v>
          </cell>
          <cell r="D1299" t="str">
            <v xml:space="preserve">DE        </v>
          </cell>
          <cell r="E1299">
            <v>90189084</v>
          </cell>
          <cell r="F1299">
            <v>2</v>
          </cell>
          <cell r="G1299" t="str">
            <v xml:space="preserve">ST          </v>
          </cell>
          <cell r="H1299">
            <v>28.9</v>
          </cell>
          <cell r="I1299">
            <v>57.8</v>
          </cell>
        </row>
        <row r="1300">
          <cell r="A1300" t="str">
            <v>11-170-14-07</v>
          </cell>
          <cell r="B1300" t="str">
            <v xml:space="preserve">SCISSORS, MAYO, STR., 14.5 CM           </v>
          </cell>
          <cell r="C1300" t="str">
            <v xml:space="preserve">                                   </v>
          </cell>
          <cell r="D1300" t="str">
            <v xml:space="preserve">DE        </v>
          </cell>
          <cell r="E1300">
            <v>90189084</v>
          </cell>
          <cell r="F1300">
            <v>2</v>
          </cell>
          <cell r="G1300" t="str">
            <v xml:space="preserve">ST          </v>
          </cell>
          <cell r="H1300">
            <v>27.2</v>
          </cell>
          <cell r="I1300">
            <v>54.4</v>
          </cell>
        </row>
        <row r="1301">
          <cell r="A1301" t="str">
            <v>20-642-20-07</v>
          </cell>
          <cell r="B1301" t="str">
            <v xml:space="preserve">TC-NEEDLEHOLDER, MAYO-HEGAR, 20 CM      </v>
          </cell>
          <cell r="C1301" t="str">
            <v xml:space="preserve">                                   </v>
          </cell>
          <cell r="D1301" t="str">
            <v xml:space="preserve">MY        </v>
          </cell>
          <cell r="E1301">
            <v>90189084</v>
          </cell>
          <cell r="F1301">
            <v>2</v>
          </cell>
          <cell r="G1301" t="str">
            <v xml:space="preserve">ST          </v>
          </cell>
          <cell r="H1301">
            <v>86.7</v>
          </cell>
          <cell r="I1301">
            <v>173.4</v>
          </cell>
        </row>
        <row r="1302">
          <cell r="A1302" t="str">
            <v>24-425-20-07</v>
          </cell>
          <cell r="B1302" t="str">
            <v>ATR. TANGENTIAL FORCEPS, SATINSKY, 22 CM</v>
          </cell>
          <cell r="C1302" t="str">
            <v xml:space="preserve">                                   </v>
          </cell>
          <cell r="D1302" t="str">
            <v xml:space="preserve">DE        </v>
          </cell>
          <cell r="E1302">
            <v>90189084</v>
          </cell>
          <cell r="F1302">
            <v>1</v>
          </cell>
          <cell r="G1302" t="str">
            <v xml:space="preserve">ST          </v>
          </cell>
          <cell r="H1302">
            <v>224.5</v>
          </cell>
          <cell r="I1302">
            <v>224.5</v>
          </cell>
        </row>
        <row r="1303">
          <cell r="A1303" t="str">
            <v>10-130-04-07</v>
          </cell>
          <cell r="B1303" t="str">
            <v>SCALPEL HANDLE, NO. 3,SHAPE AS NO.4,12cm</v>
          </cell>
          <cell r="C1303" t="str">
            <v xml:space="preserve">                                   </v>
          </cell>
          <cell r="D1303" t="str">
            <v xml:space="preserve">DE        </v>
          </cell>
          <cell r="E1303">
            <v>90189084</v>
          </cell>
          <cell r="F1303">
            <v>1</v>
          </cell>
          <cell r="G1303" t="str">
            <v xml:space="preserve">ST          </v>
          </cell>
          <cell r="H1303">
            <v>10.7</v>
          </cell>
          <cell r="I1303">
            <v>10.7</v>
          </cell>
        </row>
        <row r="1304">
          <cell r="A1304" t="str">
            <v>24-573-04-07</v>
          </cell>
          <cell r="B1304" t="str">
            <v xml:space="preserve">ATR. FORCEPS, PEDIATRIC, 13,5 CM        </v>
          </cell>
          <cell r="C1304" t="str">
            <v xml:space="preserve">                                   </v>
          </cell>
          <cell r="D1304" t="str">
            <v xml:space="preserve">DE        </v>
          </cell>
          <cell r="E1304">
            <v>90189084</v>
          </cell>
          <cell r="F1304">
            <v>2</v>
          </cell>
          <cell r="G1304" t="str">
            <v xml:space="preserve">ST          </v>
          </cell>
          <cell r="H1304">
            <v>344.5</v>
          </cell>
          <cell r="I1304">
            <v>689</v>
          </cell>
        </row>
        <row r="1305">
          <cell r="A1305" t="str">
            <v>24-573-08-07</v>
          </cell>
          <cell r="B1305" t="str">
            <v>ATR. FORCEPS, PEDIATRIC, ST. CVD., 14 CM</v>
          </cell>
          <cell r="C1305" t="str">
            <v xml:space="preserve">                                   </v>
          </cell>
          <cell r="D1305" t="str">
            <v xml:space="preserve">DE        </v>
          </cell>
          <cell r="E1305">
            <v>90189084</v>
          </cell>
          <cell r="F1305">
            <v>2</v>
          </cell>
          <cell r="G1305" t="str">
            <v xml:space="preserve">ST          </v>
          </cell>
          <cell r="H1305">
            <v>344.5</v>
          </cell>
          <cell r="I1305">
            <v>689</v>
          </cell>
        </row>
        <row r="1306">
          <cell r="A1306" t="str">
            <v xml:space="preserve">            </v>
          </cell>
          <cell r="B1306" t="str">
            <v xml:space="preserve">Urological and reproductive Surgery     </v>
          </cell>
          <cell r="C1306" t="str">
            <v xml:space="preserve">                                   </v>
          </cell>
          <cell r="D1306" t="str">
            <v xml:space="preserve">          </v>
          </cell>
          <cell r="E1306" t="str">
            <v xml:space="preserve">                </v>
          </cell>
          <cell r="F1306">
            <v>1</v>
          </cell>
          <cell r="G1306" t="str">
            <v xml:space="preserve">            </v>
          </cell>
          <cell r="H1306" t="str">
            <v xml:space="preserve">               </v>
          </cell>
          <cell r="I1306" t="str">
            <v xml:space="preserve">               </v>
          </cell>
        </row>
        <row r="1307">
          <cell r="A1307" t="str">
            <v>56-673-25-01</v>
          </cell>
          <cell r="B1307" t="str">
            <v xml:space="preserve">KIDNEY DISH, 250X140X40 MM              </v>
          </cell>
          <cell r="C1307" t="str">
            <v xml:space="preserve">                                   </v>
          </cell>
          <cell r="D1307" t="str">
            <v xml:space="preserve">SE        </v>
          </cell>
          <cell r="E1307">
            <v>73269098</v>
          </cell>
          <cell r="F1307">
            <v>3</v>
          </cell>
          <cell r="G1307" t="str">
            <v xml:space="preserve">ST          </v>
          </cell>
          <cell r="H1307">
            <v>11.9</v>
          </cell>
          <cell r="I1307">
            <v>35.700000000000003</v>
          </cell>
        </row>
        <row r="1308">
          <cell r="A1308" t="str">
            <v>15-591-07-07</v>
          </cell>
          <cell r="B1308" t="str">
            <v xml:space="preserve">RETRACTOR, DEAVER, 38 MM WIDE, 32 CM    </v>
          </cell>
          <cell r="C1308" t="str">
            <v xml:space="preserve">                                   </v>
          </cell>
          <cell r="D1308" t="str">
            <v xml:space="preserve">DE        </v>
          </cell>
          <cell r="E1308">
            <v>90189084</v>
          </cell>
          <cell r="F1308">
            <v>2</v>
          </cell>
          <cell r="G1308" t="str">
            <v xml:space="preserve">ST          </v>
          </cell>
          <cell r="H1308">
            <v>39.4</v>
          </cell>
          <cell r="I1308">
            <v>78.8</v>
          </cell>
        </row>
        <row r="1309">
          <cell r="A1309" t="str">
            <v>09-008-24-07</v>
          </cell>
          <cell r="B1309" t="str">
            <v xml:space="preserve">Retractor, Morris, 70x50 mm, 24 cm      </v>
          </cell>
          <cell r="C1309" t="str">
            <v xml:space="preserve">                                   </v>
          </cell>
          <cell r="D1309" t="str">
            <v xml:space="preserve">DE        </v>
          </cell>
          <cell r="E1309">
            <v>90189084</v>
          </cell>
          <cell r="F1309">
            <v>2</v>
          </cell>
          <cell r="G1309" t="str">
            <v xml:space="preserve">ST          </v>
          </cell>
          <cell r="H1309">
            <v>141.5</v>
          </cell>
          <cell r="I1309">
            <v>283</v>
          </cell>
        </row>
        <row r="1310">
          <cell r="A1310" t="str">
            <v>15-293-03-07</v>
          </cell>
          <cell r="B1310" t="str">
            <v>RETRACTOR, LANGENBECK, 30X15 MM, 21,5 CM</v>
          </cell>
          <cell r="C1310" t="str">
            <v xml:space="preserve">                                   </v>
          </cell>
          <cell r="D1310" t="str">
            <v xml:space="preserve">DE        </v>
          </cell>
          <cell r="E1310">
            <v>90189084</v>
          </cell>
          <cell r="F1310">
            <v>2</v>
          </cell>
          <cell r="G1310" t="str">
            <v xml:space="preserve">ST          </v>
          </cell>
          <cell r="H1310">
            <v>41.1</v>
          </cell>
          <cell r="I1310">
            <v>82.2</v>
          </cell>
        </row>
        <row r="1311">
          <cell r="A1311" t="str">
            <v>15-852-00-07</v>
          </cell>
          <cell r="B1311" t="str">
            <v>ABDOMIN. RETRACTOR, BALFOUR, WIRE BLADES</v>
          </cell>
          <cell r="C1311" t="str">
            <v xml:space="preserve">                                   </v>
          </cell>
          <cell r="D1311" t="str">
            <v xml:space="preserve">DE        </v>
          </cell>
          <cell r="E1311">
            <v>90189084</v>
          </cell>
          <cell r="F1311">
            <v>1</v>
          </cell>
          <cell r="G1311" t="str">
            <v xml:space="preserve">ST          </v>
          </cell>
          <cell r="H1311">
            <v>352.5</v>
          </cell>
          <cell r="I1311">
            <v>352.5</v>
          </cell>
        </row>
        <row r="1312">
          <cell r="A1312" t="str">
            <v>10-130-03-07</v>
          </cell>
          <cell r="B1312" t="str">
            <v xml:space="preserve">SCALPEL HANDLE, NO. 3, 12 CM            </v>
          </cell>
          <cell r="C1312" t="str">
            <v xml:space="preserve">                                   </v>
          </cell>
          <cell r="D1312" t="str">
            <v xml:space="preserve">DE        </v>
          </cell>
          <cell r="E1312">
            <v>90189084</v>
          </cell>
          <cell r="F1312">
            <v>1</v>
          </cell>
          <cell r="G1312" t="str">
            <v xml:space="preserve">ST          </v>
          </cell>
          <cell r="H1312">
            <v>13.1</v>
          </cell>
          <cell r="I1312">
            <v>13.1</v>
          </cell>
        </row>
        <row r="1313">
          <cell r="A1313" t="str">
            <v>10-100-04-07</v>
          </cell>
          <cell r="B1313" t="str">
            <v xml:space="preserve">SCALPEL HANDLE, NO. 4, 13.5 CM          </v>
          </cell>
          <cell r="C1313" t="str">
            <v xml:space="preserve">                                   </v>
          </cell>
          <cell r="D1313" t="str">
            <v xml:space="preserve">DE        </v>
          </cell>
          <cell r="E1313">
            <v>90189084</v>
          </cell>
          <cell r="F1313">
            <v>1</v>
          </cell>
          <cell r="G1313" t="str">
            <v xml:space="preserve">ST          </v>
          </cell>
          <cell r="H1313">
            <v>6.81</v>
          </cell>
          <cell r="I1313">
            <v>6.81</v>
          </cell>
        </row>
        <row r="1314">
          <cell r="A1314" t="str">
            <v>13-411-20-07</v>
          </cell>
          <cell r="B1314" t="str">
            <v>HAEMOSTATIC FORCEPS, PEAN, CRV., 20.5 CM</v>
          </cell>
          <cell r="C1314" t="str">
            <v xml:space="preserve">                                   </v>
          </cell>
          <cell r="D1314" t="str">
            <v xml:space="preserve">MY        </v>
          </cell>
          <cell r="E1314">
            <v>90189084</v>
          </cell>
          <cell r="F1314">
            <v>8</v>
          </cell>
          <cell r="G1314" t="str">
            <v xml:space="preserve">ST          </v>
          </cell>
          <cell r="H1314">
            <v>35.9</v>
          </cell>
          <cell r="I1314">
            <v>287.2</v>
          </cell>
        </row>
        <row r="1315">
          <cell r="A1315" t="str">
            <v>13-311-12-07</v>
          </cell>
          <cell r="B1315" t="str">
            <v xml:space="preserve">HAEM. FORCEPS, MOSQUITO, CVD., 12 CM    </v>
          </cell>
          <cell r="C1315" t="str">
            <v xml:space="preserve">                                   </v>
          </cell>
          <cell r="D1315" t="str">
            <v xml:space="preserve">MY        </v>
          </cell>
          <cell r="E1315">
            <v>90189084</v>
          </cell>
          <cell r="F1315">
            <v>4</v>
          </cell>
          <cell r="G1315" t="str">
            <v xml:space="preserve">ST          </v>
          </cell>
          <cell r="H1315">
            <v>23.9</v>
          </cell>
          <cell r="I1315">
            <v>95.6</v>
          </cell>
        </row>
        <row r="1316">
          <cell r="A1316" t="str">
            <v>13-410-20-07</v>
          </cell>
          <cell r="B1316" t="str">
            <v>HAEMOSTATIC FORCEPS, PEAN, STR., 20.5 CM</v>
          </cell>
          <cell r="C1316" t="str">
            <v xml:space="preserve">                                   </v>
          </cell>
          <cell r="D1316" t="str">
            <v xml:space="preserve">MY        </v>
          </cell>
          <cell r="E1316">
            <v>90189084</v>
          </cell>
          <cell r="F1316">
            <v>1</v>
          </cell>
          <cell r="G1316" t="str">
            <v xml:space="preserve">ST          </v>
          </cell>
          <cell r="H1316">
            <v>36</v>
          </cell>
          <cell r="I1316">
            <v>36</v>
          </cell>
        </row>
        <row r="1317">
          <cell r="A1317" t="str">
            <v>13-451-20-07</v>
          </cell>
          <cell r="B1317" t="str">
            <v xml:space="preserve">DISS. FORCEPS, GEMINI, STR. CVD., 21 CM </v>
          </cell>
          <cell r="C1317" t="str">
            <v xml:space="preserve">                                   </v>
          </cell>
          <cell r="D1317" t="str">
            <v xml:space="preserve">DE        </v>
          </cell>
          <cell r="E1317">
            <v>90189084</v>
          </cell>
          <cell r="F1317">
            <v>3</v>
          </cell>
          <cell r="G1317" t="str">
            <v xml:space="preserve">ST          </v>
          </cell>
          <cell r="H1317">
            <v>67.5</v>
          </cell>
          <cell r="I1317">
            <v>202.5</v>
          </cell>
        </row>
        <row r="1318">
          <cell r="A1318" t="str">
            <v>20-390-20-07</v>
          </cell>
          <cell r="B1318" t="str">
            <v xml:space="preserve">NEEDLEHOLDER, MAYO-HEGAR, 20.5 CM       </v>
          </cell>
          <cell r="C1318" t="str">
            <v xml:space="preserve">                                   </v>
          </cell>
          <cell r="D1318" t="str">
            <v xml:space="preserve">MY        </v>
          </cell>
          <cell r="E1318">
            <v>90189084</v>
          </cell>
          <cell r="F1318">
            <v>4</v>
          </cell>
          <cell r="G1318" t="str">
            <v xml:space="preserve">ST          </v>
          </cell>
          <cell r="H1318">
            <v>30</v>
          </cell>
          <cell r="I1318">
            <v>120</v>
          </cell>
        </row>
        <row r="1319">
          <cell r="A1319" t="str">
            <v>11-285-18-07</v>
          </cell>
          <cell r="B1319" t="str">
            <v xml:space="preserve">DISSECTING SCISSORS, CVD., 18 CM        </v>
          </cell>
          <cell r="C1319" t="str">
            <v xml:space="preserve">                                   </v>
          </cell>
          <cell r="D1319" t="str">
            <v xml:space="preserve">DE        </v>
          </cell>
          <cell r="E1319">
            <v>90189084</v>
          </cell>
          <cell r="F1319">
            <v>3</v>
          </cell>
          <cell r="G1319" t="str">
            <v xml:space="preserve">ST          </v>
          </cell>
          <cell r="H1319">
            <v>24.1</v>
          </cell>
          <cell r="I1319">
            <v>72.3</v>
          </cell>
        </row>
        <row r="1320">
          <cell r="A1320" t="str">
            <v>11-826-13-07</v>
          </cell>
          <cell r="B1320" t="str">
            <v xml:space="preserve">LIGATURE SCISSORS, SPENCER, STR., 13 CM </v>
          </cell>
          <cell r="C1320" t="str">
            <v xml:space="preserve">                                   </v>
          </cell>
          <cell r="D1320" t="str">
            <v xml:space="preserve">DE        </v>
          </cell>
          <cell r="E1320">
            <v>90189084</v>
          </cell>
          <cell r="F1320">
            <v>1</v>
          </cell>
          <cell r="G1320" t="str">
            <v xml:space="preserve">ST          </v>
          </cell>
          <cell r="H1320">
            <v>43.9</v>
          </cell>
          <cell r="I1320">
            <v>43.9</v>
          </cell>
        </row>
        <row r="1321">
          <cell r="A1321" t="str">
            <v>13-915-13-07</v>
          </cell>
          <cell r="B1321" t="str">
            <v xml:space="preserve">TOWEL FORCEPS, BACKHAUS, SHARP, 13 CM   </v>
          </cell>
          <cell r="C1321" t="str">
            <v xml:space="preserve">                                   </v>
          </cell>
          <cell r="D1321" t="str">
            <v xml:space="preserve">MY        </v>
          </cell>
          <cell r="E1321">
            <v>90189084</v>
          </cell>
          <cell r="F1321">
            <v>4</v>
          </cell>
          <cell r="G1321" t="str">
            <v xml:space="preserve">ST          </v>
          </cell>
          <cell r="H1321">
            <v>24.3</v>
          </cell>
          <cell r="I1321">
            <v>97.2</v>
          </cell>
        </row>
        <row r="1322">
          <cell r="A1322" t="str">
            <v>32-697-23-07</v>
          </cell>
          <cell r="B1322" t="str">
            <v>TENAC. FCPS., TEALE, CVD., 4X5 T., 23 CM</v>
          </cell>
          <cell r="C1322" t="str">
            <v xml:space="preserve">                                   </v>
          </cell>
          <cell r="D1322" t="str">
            <v xml:space="preserve">MY        </v>
          </cell>
          <cell r="E1322">
            <v>90189084</v>
          </cell>
          <cell r="F1322">
            <v>4</v>
          </cell>
          <cell r="G1322" t="str">
            <v xml:space="preserve">ST          </v>
          </cell>
          <cell r="H1322">
            <v>137</v>
          </cell>
          <cell r="I1322">
            <v>548</v>
          </cell>
        </row>
        <row r="1323">
          <cell r="A1323" t="str">
            <v>31-103-22-07</v>
          </cell>
          <cell r="B1323" t="str">
            <v>KIDNEY STONE FCP., RANDALL, NO. 2, 21 CM</v>
          </cell>
          <cell r="C1323" t="str">
            <v xml:space="preserve">                                   </v>
          </cell>
          <cell r="D1323" t="str">
            <v xml:space="preserve">DE        </v>
          </cell>
          <cell r="E1323">
            <v>90189084</v>
          </cell>
          <cell r="F1323">
            <v>2</v>
          </cell>
          <cell r="G1323" t="str">
            <v xml:space="preserve">ST          </v>
          </cell>
          <cell r="H1323">
            <v>142.5</v>
          </cell>
          <cell r="I1323">
            <v>285</v>
          </cell>
        </row>
        <row r="1324">
          <cell r="A1324" t="str">
            <v>31-105-22-07</v>
          </cell>
          <cell r="B1324" t="str">
            <v>KIDNEY STONE FCP., RANDALL, NO. 3, 19 CM</v>
          </cell>
          <cell r="C1324" t="str">
            <v xml:space="preserve">                                   </v>
          </cell>
          <cell r="D1324" t="str">
            <v xml:space="preserve">DE        </v>
          </cell>
          <cell r="E1324">
            <v>90189084</v>
          </cell>
          <cell r="F1324">
            <v>1</v>
          </cell>
          <cell r="G1324" t="str">
            <v xml:space="preserve">ST          </v>
          </cell>
          <cell r="H1324">
            <v>152.5</v>
          </cell>
          <cell r="I1324">
            <v>152.5</v>
          </cell>
        </row>
        <row r="1325">
          <cell r="A1325" t="str">
            <v>30-134-25-07</v>
          </cell>
          <cell r="B1325" t="str">
            <v xml:space="preserve">TISSUE FORCEPS, ALLIS, 5X6 T., 25.5 CM  </v>
          </cell>
          <cell r="C1325" t="str">
            <v xml:space="preserve">                                   </v>
          </cell>
          <cell r="D1325" t="str">
            <v xml:space="preserve">MY        </v>
          </cell>
          <cell r="E1325">
            <v>90189084</v>
          </cell>
          <cell r="F1325">
            <v>3</v>
          </cell>
          <cell r="G1325" t="str">
            <v xml:space="preserve">ST          </v>
          </cell>
          <cell r="H1325">
            <v>96.9</v>
          </cell>
          <cell r="I1325">
            <v>290.7</v>
          </cell>
        </row>
        <row r="1326">
          <cell r="A1326" t="str">
            <v>30-192-20-07</v>
          </cell>
          <cell r="B1326" t="str">
            <v xml:space="preserve">TISSUE FORCEPS, BABCOCK, 21 CM          </v>
          </cell>
          <cell r="C1326" t="str">
            <v xml:space="preserve">                                   </v>
          </cell>
          <cell r="D1326" t="str">
            <v xml:space="preserve">MY        </v>
          </cell>
          <cell r="E1326">
            <v>90189084</v>
          </cell>
          <cell r="F1326">
            <v>3</v>
          </cell>
          <cell r="G1326" t="str">
            <v xml:space="preserve">ST          </v>
          </cell>
          <cell r="H1326">
            <v>90.2</v>
          </cell>
          <cell r="I1326">
            <v>270.60000000000002</v>
          </cell>
        </row>
        <row r="1327">
          <cell r="A1327" t="str">
            <v>13-415-26-07</v>
          </cell>
          <cell r="B1327" t="str">
            <v xml:space="preserve">FORCEPS, KOCHER, 1X2 T., CVD., 26 CM    </v>
          </cell>
          <cell r="C1327" t="str">
            <v xml:space="preserve">                                   </v>
          </cell>
          <cell r="D1327" t="str">
            <v xml:space="preserve">MY        </v>
          </cell>
          <cell r="E1327">
            <v>90189084</v>
          </cell>
          <cell r="F1327">
            <v>3</v>
          </cell>
          <cell r="G1327" t="str">
            <v xml:space="preserve">ST          </v>
          </cell>
          <cell r="H1327">
            <v>79.599999999999994</v>
          </cell>
          <cell r="I1327">
            <v>238.8</v>
          </cell>
        </row>
        <row r="1328">
          <cell r="A1328" t="str">
            <v>18-543-27-01</v>
          </cell>
          <cell r="B1328" t="str">
            <v>Suct. tube, Yankauer, compl.,ø9,4mm,31cm</v>
          </cell>
          <cell r="C1328" t="str">
            <v xml:space="preserve">                                   </v>
          </cell>
          <cell r="D1328" t="str">
            <v xml:space="preserve">DE        </v>
          </cell>
          <cell r="E1328">
            <v>90189084</v>
          </cell>
          <cell r="F1328">
            <v>1</v>
          </cell>
          <cell r="G1328" t="str">
            <v xml:space="preserve">ST          </v>
          </cell>
          <cell r="H1328">
            <v>43.1</v>
          </cell>
          <cell r="I1328">
            <v>43.1</v>
          </cell>
        </row>
        <row r="1329">
          <cell r="A1329" t="str">
            <v>14-355-20-07</v>
          </cell>
          <cell r="B1329" t="str">
            <v xml:space="preserve">FORCEPS, FOERSTER, SERR., CVD., 20.5 CM </v>
          </cell>
          <cell r="C1329" t="str">
            <v xml:space="preserve">                                   </v>
          </cell>
          <cell r="D1329" t="str">
            <v xml:space="preserve">DE        </v>
          </cell>
          <cell r="E1329">
            <v>90189084</v>
          </cell>
          <cell r="F1329">
            <v>1</v>
          </cell>
          <cell r="G1329" t="str">
            <v xml:space="preserve">ST          </v>
          </cell>
          <cell r="H1329">
            <v>39.1</v>
          </cell>
          <cell r="I1329">
            <v>39.1</v>
          </cell>
        </row>
        <row r="1330">
          <cell r="A1330" t="str">
            <v>15-611-01-07</v>
          </cell>
          <cell r="B1330" t="str">
            <v xml:space="preserve">RETRACTOR, KELLY, 205X38 MM, 27.5 CM    </v>
          </cell>
          <cell r="C1330" t="str">
            <v xml:space="preserve">                                   </v>
          </cell>
          <cell r="D1330" t="str">
            <v xml:space="preserve">DE        </v>
          </cell>
          <cell r="E1330">
            <v>90189084</v>
          </cell>
          <cell r="F1330">
            <v>2</v>
          </cell>
          <cell r="G1330" t="str">
            <v xml:space="preserve">ST          </v>
          </cell>
          <cell r="H1330">
            <v>128</v>
          </cell>
          <cell r="I1330">
            <v>256</v>
          </cell>
        </row>
        <row r="1331">
          <cell r="A1331" t="str">
            <v>12-100-20-07</v>
          </cell>
          <cell r="B1331" t="str">
            <v xml:space="preserve">DRESSING FORCEPS, 20 CM                 </v>
          </cell>
          <cell r="C1331" t="str">
            <v xml:space="preserve">                                   </v>
          </cell>
          <cell r="D1331" t="str">
            <v xml:space="preserve">MY        </v>
          </cell>
          <cell r="E1331">
            <v>90189084</v>
          </cell>
          <cell r="F1331">
            <v>5</v>
          </cell>
          <cell r="G1331" t="str">
            <v xml:space="preserve">ST          </v>
          </cell>
          <cell r="H1331">
            <v>21.2</v>
          </cell>
          <cell r="I1331">
            <v>106</v>
          </cell>
        </row>
        <row r="1332">
          <cell r="A1332" t="str">
            <v>12-301-20-07</v>
          </cell>
          <cell r="B1332" t="str">
            <v xml:space="preserve">TISSUE FORCEPS, 1X2 T., 20.5 CM         </v>
          </cell>
          <cell r="C1332" t="str">
            <v xml:space="preserve">                                   </v>
          </cell>
          <cell r="D1332" t="str">
            <v xml:space="preserve">MY        </v>
          </cell>
          <cell r="E1332">
            <v>90189084</v>
          </cell>
          <cell r="F1332">
            <v>3</v>
          </cell>
          <cell r="G1332" t="str">
            <v xml:space="preserve">ST          </v>
          </cell>
          <cell r="H1332">
            <v>15.9</v>
          </cell>
          <cell r="I1332">
            <v>47.7</v>
          </cell>
        </row>
        <row r="1333">
          <cell r="A1333" t="str">
            <v xml:space="preserve">            </v>
          </cell>
          <cell r="B1333" t="str">
            <v xml:space="preserve">Urological and reproductive Surgery     </v>
          </cell>
          <cell r="C1333" t="str">
            <v xml:space="preserve">                                   </v>
          </cell>
          <cell r="D1333" t="str">
            <v xml:space="preserve">          </v>
          </cell>
          <cell r="E1333" t="str">
            <v xml:space="preserve">                </v>
          </cell>
          <cell r="F1333">
            <v>1</v>
          </cell>
          <cell r="G1333" t="str">
            <v xml:space="preserve">            </v>
          </cell>
          <cell r="H1333" t="str">
            <v xml:space="preserve">               </v>
          </cell>
          <cell r="I1333" t="str">
            <v xml:space="preserve">               </v>
          </cell>
        </row>
        <row r="1334">
          <cell r="A1334" t="str">
            <v>56-673-25-01</v>
          </cell>
          <cell r="B1334" t="str">
            <v xml:space="preserve">KIDNEY DISH, 250X140X40 MM              </v>
          </cell>
          <cell r="C1334" t="str">
            <v xml:space="preserve">                                   </v>
          </cell>
          <cell r="D1334" t="str">
            <v xml:space="preserve">SE        </v>
          </cell>
          <cell r="E1334">
            <v>73269098</v>
          </cell>
          <cell r="F1334">
            <v>2</v>
          </cell>
          <cell r="G1334" t="str">
            <v xml:space="preserve">ST          </v>
          </cell>
          <cell r="H1334">
            <v>11.9</v>
          </cell>
          <cell r="I1334">
            <v>23.8</v>
          </cell>
        </row>
        <row r="1335">
          <cell r="A1335" t="str">
            <v>10-100-04-07</v>
          </cell>
          <cell r="B1335" t="str">
            <v xml:space="preserve">SCALPEL HANDLE, NO. 4, 13.5 CM          </v>
          </cell>
          <cell r="C1335" t="str">
            <v xml:space="preserve">                                   </v>
          </cell>
          <cell r="D1335" t="str">
            <v xml:space="preserve">DE        </v>
          </cell>
          <cell r="E1335">
            <v>90189084</v>
          </cell>
          <cell r="F1335">
            <v>1</v>
          </cell>
          <cell r="G1335" t="str">
            <v xml:space="preserve">ST          </v>
          </cell>
          <cell r="H1335">
            <v>6.81</v>
          </cell>
          <cell r="I1335">
            <v>6.81</v>
          </cell>
        </row>
        <row r="1336">
          <cell r="A1336" t="str">
            <v>10-130-03-07</v>
          </cell>
          <cell r="B1336" t="str">
            <v xml:space="preserve">SCALPEL HANDLE, NO. 3, 12 CM            </v>
          </cell>
          <cell r="C1336" t="str">
            <v xml:space="preserve">                                   </v>
          </cell>
          <cell r="D1336" t="str">
            <v xml:space="preserve">DE        </v>
          </cell>
          <cell r="E1336">
            <v>90189084</v>
          </cell>
          <cell r="F1336">
            <v>1</v>
          </cell>
          <cell r="G1336" t="str">
            <v xml:space="preserve">ST          </v>
          </cell>
          <cell r="H1336">
            <v>13.1</v>
          </cell>
          <cell r="I1336">
            <v>13.1</v>
          </cell>
        </row>
        <row r="1337">
          <cell r="A1337" t="str">
            <v>15-293-03-07</v>
          </cell>
          <cell r="B1337" t="str">
            <v>RETRACTOR, LANGENBECK, 30X15 MM, 21,5 CM</v>
          </cell>
          <cell r="C1337" t="str">
            <v xml:space="preserve">                                   </v>
          </cell>
          <cell r="D1337" t="str">
            <v xml:space="preserve">DE        </v>
          </cell>
          <cell r="E1337">
            <v>90189084</v>
          </cell>
          <cell r="F1337">
            <v>2</v>
          </cell>
          <cell r="G1337" t="str">
            <v xml:space="preserve">ST          </v>
          </cell>
          <cell r="H1337">
            <v>41.1</v>
          </cell>
          <cell r="I1337">
            <v>82.2</v>
          </cell>
        </row>
        <row r="1338">
          <cell r="A1338" t="str">
            <v>15-852-00-07</v>
          </cell>
          <cell r="B1338" t="str">
            <v>ABDOMIN. RETRACTOR, BALFOUR, WIRE BLADES</v>
          </cell>
          <cell r="C1338" t="str">
            <v xml:space="preserve">                                   </v>
          </cell>
          <cell r="D1338" t="str">
            <v xml:space="preserve">DE        </v>
          </cell>
          <cell r="E1338">
            <v>90189084</v>
          </cell>
          <cell r="F1338">
            <v>1</v>
          </cell>
          <cell r="G1338" t="str">
            <v xml:space="preserve">ST          </v>
          </cell>
          <cell r="H1338">
            <v>352.5</v>
          </cell>
          <cell r="I1338">
            <v>352.5</v>
          </cell>
        </row>
        <row r="1339">
          <cell r="A1339" t="str">
            <v>15-850-00-07</v>
          </cell>
          <cell r="B1339" t="str">
            <v xml:space="preserve">ABD. RETRACTOR, BALFOUR-BABY, 12.5 CM   </v>
          </cell>
          <cell r="C1339" t="str">
            <v xml:space="preserve">                                   </v>
          </cell>
          <cell r="D1339" t="str">
            <v xml:space="preserve">DE        </v>
          </cell>
          <cell r="E1339">
            <v>90189084</v>
          </cell>
          <cell r="F1339">
            <v>1</v>
          </cell>
          <cell r="G1339" t="str">
            <v xml:space="preserve">ST          </v>
          </cell>
          <cell r="H1339">
            <v>257</v>
          </cell>
          <cell r="I1339">
            <v>257</v>
          </cell>
        </row>
        <row r="1340">
          <cell r="A1340" t="str">
            <v>09-008-24-07</v>
          </cell>
          <cell r="B1340" t="str">
            <v xml:space="preserve">Retractor, Morris, 70x50 mm, 24 cm      </v>
          </cell>
          <cell r="C1340" t="str">
            <v xml:space="preserve">                                   </v>
          </cell>
          <cell r="D1340" t="str">
            <v xml:space="preserve">DE        </v>
          </cell>
          <cell r="E1340">
            <v>90189084</v>
          </cell>
          <cell r="F1340">
            <v>1</v>
          </cell>
          <cell r="G1340" t="str">
            <v xml:space="preserve">ST          </v>
          </cell>
          <cell r="H1340">
            <v>141.5</v>
          </cell>
          <cell r="I1340">
            <v>141.5</v>
          </cell>
        </row>
        <row r="1341">
          <cell r="A1341" t="str">
            <v>13-411-20-07</v>
          </cell>
          <cell r="B1341" t="str">
            <v>HAEMOSTATIC FORCEPS, PEAN, CRV., 20.5 CM</v>
          </cell>
          <cell r="C1341" t="str">
            <v xml:space="preserve">                                   </v>
          </cell>
          <cell r="D1341" t="str">
            <v xml:space="preserve">MY        </v>
          </cell>
          <cell r="E1341">
            <v>90189084</v>
          </cell>
          <cell r="F1341">
            <v>6</v>
          </cell>
          <cell r="G1341" t="str">
            <v xml:space="preserve">ST          </v>
          </cell>
          <cell r="H1341">
            <v>35.9</v>
          </cell>
          <cell r="I1341">
            <v>215.4</v>
          </cell>
        </row>
        <row r="1342">
          <cell r="A1342" t="str">
            <v>13-311-12-07</v>
          </cell>
          <cell r="B1342" t="str">
            <v xml:space="preserve">HAEM. FORCEPS, MOSQUITO, CVD., 12 CM    </v>
          </cell>
          <cell r="C1342" t="str">
            <v xml:space="preserve">                                   </v>
          </cell>
          <cell r="D1342" t="str">
            <v xml:space="preserve">MY        </v>
          </cell>
          <cell r="E1342">
            <v>90189084</v>
          </cell>
          <cell r="F1342">
            <v>6</v>
          </cell>
          <cell r="G1342" t="str">
            <v xml:space="preserve">ST          </v>
          </cell>
          <cell r="H1342">
            <v>23.9</v>
          </cell>
          <cell r="I1342">
            <v>143.4</v>
          </cell>
        </row>
        <row r="1343">
          <cell r="A1343" t="str">
            <v>13-915-13-07</v>
          </cell>
          <cell r="B1343" t="str">
            <v xml:space="preserve">TOWEL FORCEPS, BACKHAUS, SHARP, 13 CM   </v>
          </cell>
          <cell r="C1343" t="str">
            <v xml:space="preserve">                                   </v>
          </cell>
          <cell r="D1343" t="str">
            <v xml:space="preserve">MY        </v>
          </cell>
          <cell r="E1343">
            <v>90189084</v>
          </cell>
          <cell r="F1343">
            <v>4</v>
          </cell>
          <cell r="G1343" t="str">
            <v xml:space="preserve">ST          </v>
          </cell>
          <cell r="H1343">
            <v>24.3</v>
          </cell>
          <cell r="I1343">
            <v>97.2</v>
          </cell>
        </row>
        <row r="1344">
          <cell r="A1344" t="str">
            <v>20-390-20-07</v>
          </cell>
          <cell r="B1344" t="str">
            <v xml:space="preserve">NEEDLEHOLDER, MAYO-HEGAR, 20.5 CM       </v>
          </cell>
          <cell r="C1344" t="str">
            <v xml:space="preserve">                                   </v>
          </cell>
          <cell r="D1344" t="str">
            <v xml:space="preserve">MY        </v>
          </cell>
          <cell r="E1344">
            <v>90189084</v>
          </cell>
          <cell r="F1344">
            <v>3</v>
          </cell>
          <cell r="G1344" t="str">
            <v xml:space="preserve">ST          </v>
          </cell>
          <cell r="H1344">
            <v>30</v>
          </cell>
          <cell r="I1344">
            <v>90</v>
          </cell>
        </row>
        <row r="1345">
          <cell r="A1345" t="str">
            <v>13-451-20-07</v>
          </cell>
          <cell r="B1345" t="str">
            <v xml:space="preserve">DISS. FORCEPS, GEMINI, STR. CVD., 21 CM </v>
          </cell>
          <cell r="C1345" t="str">
            <v xml:space="preserve">                                   </v>
          </cell>
          <cell r="D1345" t="str">
            <v xml:space="preserve">DE        </v>
          </cell>
          <cell r="E1345">
            <v>90189084</v>
          </cell>
          <cell r="F1345">
            <v>3</v>
          </cell>
          <cell r="G1345" t="str">
            <v xml:space="preserve">ST          </v>
          </cell>
          <cell r="H1345">
            <v>67.5</v>
          </cell>
          <cell r="I1345">
            <v>202.5</v>
          </cell>
        </row>
        <row r="1346">
          <cell r="A1346" t="str">
            <v>11-285-20-07</v>
          </cell>
          <cell r="B1346" t="str">
            <v xml:space="preserve">DISSECTING SCISSORS, CVD., 20.5 CM      </v>
          </cell>
          <cell r="C1346" t="str">
            <v xml:space="preserve">                                   </v>
          </cell>
          <cell r="D1346" t="str">
            <v xml:space="preserve">DE        </v>
          </cell>
          <cell r="E1346">
            <v>90189084</v>
          </cell>
          <cell r="F1346">
            <v>3</v>
          </cell>
          <cell r="G1346" t="str">
            <v xml:space="preserve">ST          </v>
          </cell>
          <cell r="H1346">
            <v>27.6</v>
          </cell>
          <cell r="I1346">
            <v>82.8</v>
          </cell>
        </row>
        <row r="1347">
          <cell r="A1347" t="str">
            <v>11-826-13-07</v>
          </cell>
          <cell r="B1347" t="str">
            <v xml:space="preserve">LIGATURE SCISSORS, SPENCER, STR., 13 CM </v>
          </cell>
          <cell r="C1347" t="str">
            <v xml:space="preserve">                                   </v>
          </cell>
          <cell r="D1347" t="str">
            <v xml:space="preserve">DE        </v>
          </cell>
          <cell r="E1347">
            <v>90189084</v>
          </cell>
          <cell r="F1347">
            <v>1</v>
          </cell>
          <cell r="G1347" t="str">
            <v xml:space="preserve">ST          </v>
          </cell>
          <cell r="H1347">
            <v>43.9</v>
          </cell>
          <cell r="I1347">
            <v>43.9</v>
          </cell>
        </row>
        <row r="1348">
          <cell r="A1348" t="str">
            <v>12-100-18-07</v>
          </cell>
          <cell r="B1348" t="str">
            <v xml:space="preserve">DRESSING FORCEPS, 18 CM                 </v>
          </cell>
          <cell r="C1348" t="str">
            <v xml:space="preserve">                                   </v>
          </cell>
          <cell r="D1348" t="str">
            <v xml:space="preserve">MY        </v>
          </cell>
          <cell r="E1348">
            <v>90189084</v>
          </cell>
          <cell r="F1348">
            <v>3</v>
          </cell>
          <cell r="G1348" t="str">
            <v xml:space="preserve">ST          </v>
          </cell>
          <cell r="H1348">
            <v>11.9</v>
          </cell>
          <cell r="I1348">
            <v>35.700000000000003</v>
          </cell>
        </row>
        <row r="1349">
          <cell r="A1349" t="str">
            <v>12-301-18-07</v>
          </cell>
          <cell r="B1349" t="str">
            <v xml:space="preserve">TISSUE FORCEPS, 1X2 T., 18 CM           </v>
          </cell>
          <cell r="C1349" t="str">
            <v xml:space="preserve">                                   </v>
          </cell>
          <cell r="D1349" t="str">
            <v xml:space="preserve">MY        </v>
          </cell>
          <cell r="E1349">
            <v>90189084</v>
          </cell>
          <cell r="F1349">
            <v>2</v>
          </cell>
          <cell r="G1349" t="str">
            <v xml:space="preserve">ST          </v>
          </cell>
          <cell r="H1349">
            <v>13.7</v>
          </cell>
          <cell r="I1349">
            <v>27.4</v>
          </cell>
        </row>
        <row r="1350">
          <cell r="A1350" t="str">
            <v>14-355-20-07</v>
          </cell>
          <cell r="B1350" t="str">
            <v xml:space="preserve">FORCEPS, FOERSTER, SERR., CVD., 20.5 CM </v>
          </cell>
          <cell r="C1350" t="str">
            <v xml:space="preserve">                                   </v>
          </cell>
          <cell r="D1350" t="str">
            <v xml:space="preserve">DE        </v>
          </cell>
          <cell r="E1350">
            <v>90189084</v>
          </cell>
          <cell r="F1350">
            <v>1</v>
          </cell>
          <cell r="G1350" t="str">
            <v xml:space="preserve">ST          </v>
          </cell>
          <cell r="H1350">
            <v>39.1</v>
          </cell>
          <cell r="I1350">
            <v>39.1</v>
          </cell>
        </row>
        <row r="1351">
          <cell r="A1351" t="str">
            <v>30-134-19-07</v>
          </cell>
          <cell r="B1351" t="str">
            <v xml:space="preserve">TISSUE FORCEPS, ALLIS, 5X6 T., 19 CM    </v>
          </cell>
          <cell r="C1351" t="str">
            <v xml:space="preserve">                                   </v>
          </cell>
          <cell r="D1351" t="str">
            <v xml:space="preserve">MY        </v>
          </cell>
          <cell r="E1351">
            <v>90189084</v>
          </cell>
          <cell r="F1351">
            <v>2</v>
          </cell>
          <cell r="G1351" t="str">
            <v xml:space="preserve">ST          </v>
          </cell>
          <cell r="H1351">
            <v>68.099999999999994</v>
          </cell>
          <cell r="I1351">
            <v>136.19999999999999</v>
          </cell>
        </row>
        <row r="1352">
          <cell r="A1352" t="str">
            <v>13-415-20-07</v>
          </cell>
          <cell r="B1352" t="str">
            <v xml:space="preserve">FORCEPS, KOCHER, 1X2 T., CVD., 20 CM    </v>
          </cell>
          <cell r="C1352" t="str">
            <v xml:space="preserve">                                   </v>
          </cell>
          <cell r="D1352" t="str">
            <v xml:space="preserve">MY        </v>
          </cell>
          <cell r="E1352">
            <v>90189084</v>
          </cell>
          <cell r="F1352">
            <v>2</v>
          </cell>
          <cell r="G1352" t="str">
            <v xml:space="preserve">ST          </v>
          </cell>
          <cell r="H1352">
            <v>38.200000000000003</v>
          </cell>
          <cell r="I1352">
            <v>76.400000000000006</v>
          </cell>
        </row>
        <row r="1353">
          <cell r="A1353" t="str">
            <v>30-192-20-07</v>
          </cell>
          <cell r="B1353" t="str">
            <v xml:space="preserve">TISSUE FORCEPS, BABCOCK, 21 CM          </v>
          </cell>
          <cell r="C1353" t="str">
            <v xml:space="preserve">                                   </v>
          </cell>
          <cell r="D1353" t="str">
            <v xml:space="preserve">MY        </v>
          </cell>
          <cell r="E1353">
            <v>90189084</v>
          </cell>
          <cell r="F1353">
            <v>2</v>
          </cell>
          <cell r="G1353" t="str">
            <v xml:space="preserve">ST          </v>
          </cell>
          <cell r="H1353">
            <v>90.2</v>
          </cell>
          <cell r="I1353">
            <v>180.4</v>
          </cell>
        </row>
        <row r="1354">
          <cell r="A1354" t="str">
            <v xml:space="preserve">            </v>
          </cell>
          <cell r="B1354" t="str">
            <v xml:space="preserve">#### #####                              </v>
          </cell>
          <cell r="C1354" t="str">
            <v xml:space="preserve">                                   </v>
          </cell>
          <cell r="D1354" t="str">
            <v xml:space="preserve">          </v>
          </cell>
          <cell r="E1354" t="str">
            <v xml:space="preserve">                </v>
          </cell>
          <cell r="F1354">
            <v>1</v>
          </cell>
          <cell r="G1354" t="str">
            <v xml:space="preserve">            </v>
          </cell>
          <cell r="H1354" t="str">
            <v xml:space="preserve">               </v>
          </cell>
          <cell r="I1354" t="str">
            <v xml:space="preserve">               </v>
          </cell>
        </row>
        <row r="1355">
          <cell r="A1355" t="str">
            <v>56-673-25-01</v>
          </cell>
          <cell r="B1355" t="str">
            <v xml:space="preserve">KIDNEY DISH, 250X140X40 MM              </v>
          </cell>
          <cell r="C1355" t="str">
            <v xml:space="preserve">                                   </v>
          </cell>
          <cell r="D1355" t="str">
            <v xml:space="preserve">SE        </v>
          </cell>
          <cell r="E1355">
            <v>73269098</v>
          </cell>
          <cell r="F1355">
            <v>3</v>
          </cell>
          <cell r="G1355" t="str">
            <v xml:space="preserve">ST          </v>
          </cell>
          <cell r="H1355">
            <v>11.9</v>
          </cell>
          <cell r="I1355">
            <v>35.700000000000003</v>
          </cell>
        </row>
        <row r="1356">
          <cell r="A1356" t="str">
            <v>15-852-00-07</v>
          </cell>
          <cell r="B1356" t="str">
            <v>ABDOMIN. RETRACTOR, BALFOUR, WIRE BLADES</v>
          </cell>
          <cell r="C1356" t="str">
            <v xml:space="preserve">                                   </v>
          </cell>
          <cell r="D1356" t="str">
            <v xml:space="preserve">DE        </v>
          </cell>
          <cell r="E1356">
            <v>90189084</v>
          </cell>
          <cell r="F1356">
            <v>1</v>
          </cell>
          <cell r="G1356" t="str">
            <v xml:space="preserve">ST          </v>
          </cell>
          <cell r="H1356">
            <v>352.5</v>
          </cell>
          <cell r="I1356">
            <v>352.5</v>
          </cell>
        </row>
        <row r="1357">
          <cell r="A1357" t="str">
            <v>10-100-04-07</v>
          </cell>
          <cell r="B1357" t="str">
            <v xml:space="preserve">SCALPEL HANDLE, NO. 4, 13.5 CM          </v>
          </cell>
          <cell r="C1357" t="str">
            <v xml:space="preserve">                                   </v>
          </cell>
          <cell r="D1357" t="str">
            <v xml:space="preserve">DE        </v>
          </cell>
          <cell r="E1357">
            <v>90189084</v>
          </cell>
          <cell r="F1357">
            <v>1</v>
          </cell>
          <cell r="G1357" t="str">
            <v xml:space="preserve">ST          </v>
          </cell>
          <cell r="H1357">
            <v>6.81</v>
          </cell>
          <cell r="I1357">
            <v>6.81</v>
          </cell>
        </row>
        <row r="1358">
          <cell r="A1358" t="str">
            <v>10-130-03-07</v>
          </cell>
          <cell r="B1358" t="str">
            <v xml:space="preserve">SCALPEL HANDLE, NO. 3, 12 CM            </v>
          </cell>
          <cell r="C1358" t="str">
            <v xml:space="preserve">                                   </v>
          </cell>
          <cell r="D1358" t="str">
            <v xml:space="preserve">DE        </v>
          </cell>
          <cell r="E1358">
            <v>90189084</v>
          </cell>
          <cell r="F1358">
            <v>1</v>
          </cell>
          <cell r="G1358" t="str">
            <v xml:space="preserve">ST          </v>
          </cell>
          <cell r="H1358">
            <v>13.1</v>
          </cell>
          <cell r="I1358">
            <v>13.1</v>
          </cell>
        </row>
        <row r="1359">
          <cell r="A1359" t="str">
            <v>15-591-07-07</v>
          </cell>
          <cell r="B1359" t="str">
            <v xml:space="preserve">RETRACTOR, DEAVER, 38 MM WIDE, 32 CM    </v>
          </cell>
          <cell r="C1359" t="str">
            <v xml:space="preserve">                                   </v>
          </cell>
          <cell r="D1359" t="str">
            <v xml:space="preserve">DE        </v>
          </cell>
          <cell r="E1359">
            <v>90189084</v>
          </cell>
          <cell r="F1359">
            <v>2</v>
          </cell>
          <cell r="G1359" t="str">
            <v xml:space="preserve">ST          </v>
          </cell>
          <cell r="H1359">
            <v>39.4</v>
          </cell>
          <cell r="I1359">
            <v>78.8</v>
          </cell>
        </row>
        <row r="1360">
          <cell r="A1360" t="str">
            <v>15-591-08-07</v>
          </cell>
          <cell r="B1360" t="str">
            <v xml:space="preserve">RETRACTOR, DEAVER, 50 MM WIDE, 31.5 CM  </v>
          </cell>
          <cell r="C1360" t="str">
            <v xml:space="preserve">                                   </v>
          </cell>
          <cell r="D1360" t="str">
            <v xml:space="preserve">DE        </v>
          </cell>
          <cell r="E1360">
            <v>90189084</v>
          </cell>
          <cell r="F1360">
            <v>1</v>
          </cell>
          <cell r="G1360" t="str">
            <v xml:space="preserve">ST          </v>
          </cell>
          <cell r="H1360">
            <v>57.1</v>
          </cell>
          <cell r="I1360">
            <v>57.1</v>
          </cell>
        </row>
        <row r="1361">
          <cell r="A1361" t="str">
            <v>15-591-09-07</v>
          </cell>
          <cell r="B1361" t="str">
            <v xml:space="preserve">RETRACTOR, DEAVER, 75 MM WIDE, 31.5 CM  </v>
          </cell>
          <cell r="C1361" t="str">
            <v xml:space="preserve">                                   </v>
          </cell>
          <cell r="D1361" t="str">
            <v xml:space="preserve">MY        </v>
          </cell>
          <cell r="E1361">
            <v>90189084</v>
          </cell>
          <cell r="F1361">
            <v>1</v>
          </cell>
          <cell r="G1361" t="str">
            <v xml:space="preserve">ST          </v>
          </cell>
          <cell r="H1361">
            <v>60</v>
          </cell>
          <cell r="I1361">
            <v>60</v>
          </cell>
        </row>
        <row r="1362">
          <cell r="A1362" t="str">
            <v>15-611-01-07</v>
          </cell>
          <cell r="B1362" t="str">
            <v xml:space="preserve">RETRACTOR, KELLY, 205X38 MM, 27.5 CM    </v>
          </cell>
          <cell r="C1362" t="str">
            <v xml:space="preserve">                                   </v>
          </cell>
          <cell r="D1362" t="str">
            <v xml:space="preserve">DE        </v>
          </cell>
          <cell r="E1362">
            <v>90189084</v>
          </cell>
          <cell r="F1362">
            <v>2</v>
          </cell>
          <cell r="G1362" t="str">
            <v xml:space="preserve">ST          </v>
          </cell>
          <cell r="H1362">
            <v>128</v>
          </cell>
          <cell r="I1362">
            <v>256</v>
          </cell>
        </row>
        <row r="1363">
          <cell r="A1363" t="str">
            <v>09-008-24-07</v>
          </cell>
          <cell r="B1363" t="str">
            <v xml:space="preserve">Retractor, Morris, 70x50 mm, 24 cm      </v>
          </cell>
          <cell r="C1363" t="str">
            <v xml:space="preserve">                                   </v>
          </cell>
          <cell r="D1363" t="str">
            <v xml:space="preserve">DE        </v>
          </cell>
          <cell r="E1363">
            <v>90189084</v>
          </cell>
          <cell r="F1363">
            <v>2</v>
          </cell>
          <cell r="G1363" t="str">
            <v xml:space="preserve">ST          </v>
          </cell>
          <cell r="H1363">
            <v>141.5</v>
          </cell>
          <cell r="I1363">
            <v>283</v>
          </cell>
        </row>
        <row r="1364">
          <cell r="A1364" t="str">
            <v>15-293-04-07</v>
          </cell>
          <cell r="B1364" t="str">
            <v>RETRACTOR, LANGENBECK, 40X11 MM, 21,5 CM</v>
          </cell>
          <cell r="C1364" t="str">
            <v xml:space="preserve">                                   </v>
          </cell>
          <cell r="D1364" t="str">
            <v xml:space="preserve">DE        </v>
          </cell>
          <cell r="E1364">
            <v>90189084</v>
          </cell>
          <cell r="F1364">
            <v>2</v>
          </cell>
          <cell r="G1364" t="str">
            <v xml:space="preserve">ST          </v>
          </cell>
          <cell r="H1364">
            <v>43.9</v>
          </cell>
          <cell r="I1364">
            <v>87.8</v>
          </cell>
        </row>
        <row r="1365">
          <cell r="A1365" t="str">
            <v>13-411-20-07</v>
          </cell>
          <cell r="B1365" t="str">
            <v>HAEMOSTATIC FORCEPS, PEAN, CRV., 20.5 CM</v>
          </cell>
          <cell r="C1365" t="str">
            <v xml:space="preserve">                                   </v>
          </cell>
          <cell r="D1365" t="str">
            <v xml:space="preserve">MY        </v>
          </cell>
          <cell r="E1365">
            <v>90189084</v>
          </cell>
          <cell r="F1365">
            <v>8</v>
          </cell>
          <cell r="G1365" t="str">
            <v xml:space="preserve">ST          </v>
          </cell>
          <cell r="H1365">
            <v>35.9</v>
          </cell>
          <cell r="I1365">
            <v>287.2</v>
          </cell>
        </row>
        <row r="1366">
          <cell r="A1366" t="str">
            <v>13-311-12-07</v>
          </cell>
          <cell r="B1366" t="str">
            <v xml:space="preserve">HAEM. FORCEPS, MOSQUITO, CVD., 12 CM    </v>
          </cell>
          <cell r="C1366" t="str">
            <v xml:space="preserve">                                   </v>
          </cell>
          <cell r="D1366" t="str">
            <v xml:space="preserve">MY        </v>
          </cell>
          <cell r="E1366">
            <v>90189084</v>
          </cell>
          <cell r="F1366">
            <v>10</v>
          </cell>
          <cell r="G1366" t="str">
            <v xml:space="preserve">ST          </v>
          </cell>
          <cell r="H1366">
            <v>23.9</v>
          </cell>
          <cell r="I1366">
            <v>239</v>
          </cell>
        </row>
        <row r="1367">
          <cell r="A1367" t="str">
            <v>11-285-18-07</v>
          </cell>
          <cell r="B1367" t="str">
            <v xml:space="preserve">DISSECTING SCISSORS, CVD., 18 CM        </v>
          </cell>
          <cell r="C1367" t="str">
            <v xml:space="preserve">                                   </v>
          </cell>
          <cell r="D1367" t="str">
            <v xml:space="preserve">DE        </v>
          </cell>
          <cell r="E1367">
            <v>90189084</v>
          </cell>
          <cell r="F1367">
            <v>1</v>
          </cell>
          <cell r="G1367" t="str">
            <v xml:space="preserve">ST          </v>
          </cell>
          <cell r="H1367">
            <v>24.1</v>
          </cell>
          <cell r="I1367">
            <v>24.1</v>
          </cell>
        </row>
        <row r="1368">
          <cell r="A1368" t="str">
            <v>11-285-20-07</v>
          </cell>
          <cell r="B1368" t="str">
            <v xml:space="preserve">DISSECTING SCISSORS, CVD., 20.5 CM      </v>
          </cell>
          <cell r="C1368" t="str">
            <v xml:space="preserve">                                   </v>
          </cell>
          <cell r="D1368" t="str">
            <v xml:space="preserve">DE        </v>
          </cell>
          <cell r="E1368">
            <v>90189084</v>
          </cell>
          <cell r="F1368">
            <v>1</v>
          </cell>
          <cell r="G1368" t="str">
            <v xml:space="preserve">ST          </v>
          </cell>
          <cell r="H1368">
            <v>27.6</v>
          </cell>
          <cell r="I1368">
            <v>27.6</v>
          </cell>
        </row>
        <row r="1369">
          <cell r="A1369" t="str">
            <v>11-285-23-07</v>
          </cell>
          <cell r="B1369" t="str">
            <v xml:space="preserve">DISSECTING SCISSORS, CVD., 23 CM        </v>
          </cell>
          <cell r="C1369" t="str">
            <v xml:space="preserve">                                   </v>
          </cell>
          <cell r="D1369" t="str">
            <v xml:space="preserve">DE        </v>
          </cell>
          <cell r="E1369">
            <v>90189084</v>
          </cell>
          <cell r="F1369">
            <v>9</v>
          </cell>
          <cell r="G1369" t="str">
            <v xml:space="preserve">ST          </v>
          </cell>
          <cell r="H1369">
            <v>60.2</v>
          </cell>
          <cell r="I1369">
            <v>541.79999999999995</v>
          </cell>
        </row>
        <row r="1370">
          <cell r="A1370" t="str">
            <v>11-285-25-07</v>
          </cell>
          <cell r="B1370" t="str">
            <v xml:space="preserve">DISSECTING SCISSORS, CVD., 26 CM        </v>
          </cell>
          <cell r="C1370" t="str">
            <v xml:space="preserve">                                   </v>
          </cell>
          <cell r="D1370" t="str">
            <v xml:space="preserve">DE        </v>
          </cell>
          <cell r="E1370">
            <v>90189084</v>
          </cell>
          <cell r="F1370">
            <v>1</v>
          </cell>
          <cell r="G1370" t="str">
            <v xml:space="preserve">ST          </v>
          </cell>
          <cell r="H1370">
            <v>75.400000000000006</v>
          </cell>
          <cell r="I1370">
            <v>75.400000000000006</v>
          </cell>
        </row>
        <row r="1371">
          <cell r="A1371" t="str">
            <v>11-826-13-07</v>
          </cell>
          <cell r="B1371" t="str">
            <v xml:space="preserve">LIGATURE SCISSORS, SPENCER, STR., 13 CM </v>
          </cell>
          <cell r="C1371" t="str">
            <v xml:space="preserve">                                   </v>
          </cell>
          <cell r="D1371" t="str">
            <v xml:space="preserve">DE        </v>
          </cell>
          <cell r="E1371">
            <v>90189084</v>
          </cell>
          <cell r="F1371">
            <v>1</v>
          </cell>
          <cell r="G1371" t="str">
            <v xml:space="preserve">ST          </v>
          </cell>
          <cell r="H1371">
            <v>43.9</v>
          </cell>
          <cell r="I1371">
            <v>43.9</v>
          </cell>
        </row>
        <row r="1372">
          <cell r="A1372" t="str">
            <v>13-451-18-07</v>
          </cell>
          <cell r="B1372" t="str">
            <v xml:space="preserve">DISS. FORCEPS, GEMINI, STR. CVD., 18 CM </v>
          </cell>
          <cell r="C1372" t="str">
            <v xml:space="preserve">                                   </v>
          </cell>
          <cell r="D1372" t="str">
            <v xml:space="preserve">DE        </v>
          </cell>
          <cell r="E1372">
            <v>90189084</v>
          </cell>
          <cell r="F1372">
            <v>2</v>
          </cell>
          <cell r="G1372" t="str">
            <v xml:space="preserve">ST          </v>
          </cell>
          <cell r="H1372">
            <v>56.6</v>
          </cell>
          <cell r="I1372">
            <v>113.2</v>
          </cell>
        </row>
        <row r="1373">
          <cell r="A1373" t="str">
            <v>13-451-20-07</v>
          </cell>
          <cell r="B1373" t="str">
            <v xml:space="preserve">DISS. FORCEPS, GEMINI, STR. CVD., 21 CM </v>
          </cell>
          <cell r="C1373" t="str">
            <v xml:space="preserve">                                   </v>
          </cell>
          <cell r="D1373" t="str">
            <v xml:space="preserve">DE        </v>
          </cell>
          <cell r="E1373">
            <v>90189084</v>
          </cell>
          <cell r="F1373">
            <v>2</v>
          </cell>
          <cell r="G1373" t="str">
            <v xml:space="preserve">ST          </v>
          </cell>
          <cell r="H1373">
            <v>67.5</v>
          </cell>
          <cell r="I1373">
            <v>135</v>
          </cell>
        </row>
        <row r="1374">
          <cell r="A1374" t="str">
            <v>20-390-18-07</v>
          </cell>
          <cell r="B1374" t="str">
            <v xml:space="preserve">NEEDLEHOLDER, MAYO-HEGAR, 18.5 CM       </v>
          </cell>
          <cell r="C1374" t="str">
            <v xml:space="preserve">                                   </v>
          </cell>
          <cell r="D1374" t="str">
            <v xml:space="preserve">MY        </v>
          </cell>
          <cell r="E1374">
            <v>90189084</v>
          </cell>
          <cell r="F1374">
            <v>2</v>
          </cell>
          <cell r="G1374" t="str">
            <v xml:space="preserve">ST          </v>
          </cell>
          <cell r="H1374">
            <v>28</v>
          </cell>
          <cell r="I1374">
            <v>56</v>
          </cell>
        </row>
        <row r="1375">
          <cell r="A1375" t="str">
            <v>20-390-20-07</v>
          </cell>
          <cell r="B1375" t="str">
            <v xml:space="preserve">NEEDLEHOLDER, MAYO-HEGAR, 20.5 CM       </v>
          </cell>
          <cell r="C1375" t="str">
            <v xml:space="preserve">                                   </v>
          </cell>
          <cell r="D1375" t="str">
            <v xml:space="preserve">MY        </v>
          </cell>
          <cell r="E1375">
            <v>90189084</v>
          </cell>
          <cell r="F1375">
            <v>1</v>
          </cell>
          <cell r="G1375" t="str">
            <v xml:space="preserve">ST          </v>
          </cell>
          <cell r="H1375">
            <v>30</v>
          </cell>
          <cell r="I1375">
            <v>30</v>
          </cell>
        </row>
        <row r="1376">
          <cell r="A1376" t="str">
            <v>20-390-24-07</v>
          </cell>
          <cell r="B1376" t="str">
            <v xml:space="preserve">NEEDLEHOLDER, MAYO-HEGAR, 24 CM         </v>
          </cell>
          <cell r="C1376" t="str">
            <v xml:space="preserve">                                   </v>
          </cell>
          <cell r="D1376" t="str">
            <v xml:space="preserve">MY        </v>
          </cell>
          <cell r="E1376">
            <v>90189084</v>
          </cell>
          <cell r="F1376">
            <v>1</v>
          </cell>
          <cell r="G1376" t="str">
            <v xml:space="preserve">ST          </v>
          </cell>
          <cell r="H1376">
            <v>35.5</v>
          </cell>
          <cell r="I1376">
            <v>35.5</v>
          </cell>
        </row>
        <row r="1377">
          <cell r="A1377" t="str">
            <v>13-915-13-07</v>
          </cell>
          <cell r="B1377" t="str">
            <v xml:space="preserve">TOWEL FORCEPS, BACKHAUS, SHARP, 13 CM   </v>
          </cell>
          <cell r="C1377" t="str">
            <v xml:space="preserve">                                   </v>
          </cell>
          <cell r="D1377" t="str">
            <v xml:space="preserve">MY        </v>
          </cell>
          <cell r="E1377">
            <v>90189084</v>
          </cell>
          <cell r="F1377">
            <v>5</v>
          </cell>
          <cell r="G1377" t="str">
            <v xml:space="preserve">ST          </v>
          </cell>
          <cell r="H1377">
            <v>24.3</v>
          </cell>
          <cell r="I1377">
            <v>121.5</v>
          </cell>
        </row>
        <row r="1378">
          <cell r="A1378" t="str">
            <v>18-543-27-01</v>
          </cell>
          <cell r="B1378" t="str">
            <v>Suct. tube, Yankauer, compl.,ø9,4mm,31cm</v>
          </cell>
          <cell r="C1378" t="str">
            <v xml:space="preserve">                                   </v>
          </cell>
          <cell r="D1378" t="str">
            <v xml:space="preserve">DE        </v>
          </cell>
          <cell r="E1378">
            <v>90189084</v>
          </cell>
          <cell r="F1378">
            <v>1</v>
          </cell>
          <cell r="G1378" t="str">
            <v xml:space="preserve">ST          </v>
          </cell>
          <cell r="H1378">
            <v>43.1</v>
          </cell>
          <cell r="I1378">
            <v>43.1</v>
          </cell>
        </row>
        <row r="1379">
          <cell r="A1379" t="str">
            <v>13-410-20-07</v>
          </cell>
          <cell r="B1379" t="str">
            <v>HAEMOSTATIC FORCEPS, PEAN, STR., 20.5 CM</v>
          </cell>
          <cell r="C1379" t="str">
            <v xml:space="preserve">                                   </v>
          </cell>
          <cell r="D1379" t="str">
            <v xml:space="preserve">MY        </v>
          </cell>
          <cell r="E1379">
            <v>90189084</v>
          </cell>
          <cell r="F1379">
            <v>1</v>
          </cell>
          <cell r="G1379" t="str">
            <v xml:space="preserve">ST          </v>
          </cell>
          <cell r="H1379">
            <v>36</v>
          </cell>
          <cell r="I1379">
            <v>36</v>
          </cell>
        </row>
        <row r="1380">
          <cell r="A1380" t="str">
            <v>31-204-20-07</v>
          </cell>
          <cell r="B1380" t="str">
            <v xml:space="preserve">GALLSTONE FORCEPS, BLAKE, STR., 21 CM   </v>
          </cell>
          <cell r="C1380" t="str">
            <v xml:space="preserve">                                   </v>
          </cell>
          <cell r="D1380" t="str">
            <v xml:space="preserve">DE        </v>
          </cell>
          <cell r="E1380">
            <v>90189084</v>
          </cell>
          <cell r="F1380">
            <v>6</v>
          </cell>
          <cell r="G1380" t="str">
            <v xml:space="preserve">ST          </v>
          </cell>
          <cell r="H1380">
            <v>114.5</v>
          </cell>
          <cell r="I1380">
            <v>687</v>
          </cell>
        </row>
        <row r="1381">
          <cell r="A1381" t="str">
            <v>31-215-20-07</v>
          </cell>
          <cell r="B1381" t="str">
            <v xml:space="preserve">GALLSTONE FORCEPS, MAYO-B., CVD., 21 CM </v>
          </cell>
          <cell r="C1381" t="str">
            <v xml:space="preserve">                                   </v>
          </cell>
          <cell r="D1381" t="str">
            <v xml:space="preserve">DE        </v>
          </cell>
          <cell r="E1381">
            <v>90189084</v>
          </cell>
          <cell r="F1381">
            <v>1</v>
          </cell>
          <cell r="G1381" t="str">
            <v xml:space="preserve">ST          </v>
          </cell>
          <cell r="H1381">
            <v>124</v>
          </cell>
          <cell r="I1381">
            <v>124</v>
          </cell>
        </row>
        <row r="1382">
          <cell r="A1382" t="str">
            <v>13-529-23-07</v>
          </cell>
          <cell r="B1382" t="str">
            <v xml:space="preserve">ATR. KIDNEY PEDI. FORCEPS, GUYON, 23 CM </v>
          </cell>
          <cell r="C1382" t="str">
            <v xml:space="preserve">                                   </v>
          </cell>
          <cell r="D1382" t="str">
            <v xml:space="preserve">MY        </v>
          </cell>
          <cell r="E1382">
            <v>90189084</v>
          </cell>
          <cell r="F1382">
            <v>1</v>
          </cell>
          <cell r="G1382" t="str">
            <v xml:space="preserve">ST          </v>
          </cell>
          <cell r="H1382">
            <v>193.5</v>
          </cell>
          <cell r="I1382">
            <v>193.5</v>
          </cell>
        </row>
        <row r="1383">
          <cell r="A1383" t="str">
            <v>13-529-24-07</v>
          </cell>
          <cell r="B1383" t="str">
            <v xml:space="preserve">ATR. KIDNEY PEDI. FORCEPS, GUYON, 24 CM </v>
          </cell>
          <cell r="C1383" t="str">
            <v xml:space="preserve">                                   </v>
          </cell>
          <cell r="D1383" t="str">
            <v xml:space="preserve">MY        </v>
          </cell>
          <cell r="E1383">
            <v>90189084</v>
          </cell>
          <cell r="F1383">
            <v>1</v>
          </cell>
          <cell r="G1383" t="str">
            <v xml:space="preserve">ST          </v>
          </cell>
          <cell r="H1383">
            <v>193.5</v>
          </cell>
          <cell r="I1383">
            <v>193.5</v>
          </cell>
        </row>
        <row r="1384">
          <cell r="A1384" t="str">
            <v>30-551-21-07</v>
          </cell>
          <cell r="B1384" t="str">
            <v xml:space="preserve">ATR. INTEST. FCPS., DOYEN, CVD., 21 CM  </v>
          </cell>
          <cell r="C1384" t="str">
            <v xml:space="preserve">                                   </v>
          </cell>
          <cell r="D1384" t="str">
            <v xml:space="preserve">DE        </v>
          </cell>
          <cell r="E1384">
            <v>90189084</v>
          </cell>
          <cell r="F1384">
            <v>2</v>
          </cell>
          <cell r="G1384" t="str">
            <v xml:space="preserve">ST          </v>
          </cell>
          <cell r="H1384">
            <v>171</v>
          </cell>
          <cell r="I1384">
            <v>342</v>
          </cell>
        </row>
        <row r="1385">
          <cell r="A1385" t="str">
            <v>30-550-21-07</v>
          </cell>
          <cell r="B1385" t="str">
            <v>ATR. INTEST. FCPS., DOYEN, STR., 21.5 CM</v>
          </cell>
          <cell r="C1385" t="str">
            <v xml:space="preserve">                                   </v>
          </cell>
          <cell r="D1385" t="str">
            <v xml:space="preserve">DE        </v>
          </cell>
          <cell r="E1385">
            <v>90189084</v>
          </cell>
          <cell r="F1385">
            <v>2</v>
          </cell>
          <cell r="G1385" t="str">
            <v xml:space="preserve">ST          </v>
          </cell>
          <cell r="H1385">
            <v>167</v>
          </cell>
          <cell r="I1385">
            <v>334</v>
          </cell>
        </row>
        <row r="1386">
          <cell r="A1386" t="str">
            <v>13-443-03-07</v>
          </cell>
          <cell r="B1386" t="str">
            <v xml:space="preserve">DISS. FORCEPS, OVERHOLT, NO. 3, 21.5 CM </v>
          </cell>
          <cell r="C1386" t="str">
            <v xml:space="preserve">                                   </v>
          </cell>
          <cell r="D1386" t="str">
            <v xml:space="preserve">DE        </v>
          </cell>
          <cell r="E1386">
            <v>90189084</v>
          </cell>
          <cell r="F1386">
            <v>1</v>
          </cell>
          <cell r="G1386" t="str">
            <v xml:space="preserve">ST          </v>
          </cell>
          <cell r="H1386">
            <v>62.5</v>
          </cell>
          <cell r="I1386">
            <v>62.5</v>
          </cell>
        </row>
        <row r="1387">
          <cell r="A1387" t="str">
            <v>13-448-03-07</v>
          </cell>
          <cell r="B1387" t="str">
            <v xml:space="preserve">FORCEPS, OVERHOLT, FINE, CVD., 23 CM    </v>
          </cell>
          <cell r="C1387" t="str">
            <v xml:space="preserve">                                   </v>
          </cell>
          <cell r="D1387" t="str">
            <v xml:space="preserve">DE        </v>
          </cell>
          <cell r="E1387">
            <v>90189084</v>
          </cell>
          <cell r="F1387">
            <v>1</v>
          </cell>
          <cell r="G1387" t="str">
            <v xml:space="preserve">ST          </v>
          </cell>
          <cell r="H1387">
            <v>104</v>
          </cell>
          <cell r="I1387">
            <v>104</v>
          </cell>
        </row>
        <row r="1388">
          <cell r="A1388" t="str">
            <v>30-134-25-07</v>
          </cell>
          <cell r="B1388" t="str">
            <v xml:space="preserve">TISSUE FORCEPS, ALLIS, 5X6 T., 25.5 CM  </v>
          </cell>
          <cell r="C1388" t="str">
            <v xml:space="preserve">                                   </v>
          </cell>
          <cell r="D1388" t="str">
            <v xml:space="preserve">MY        </v>
          </cell>
          <cell r="E1388">
            <v>90189084</v>
          </cell>
          <cell r="F1388">
            <v>3</v>
          </cell>
          <cell r="G1388" t="str">
            <v xml:space="preserve">ST          </v>
          </cell>
          <cell r="H1388">
            <v>96.9</v>
          </cell>
          <cell r="I1388">
            <v>290.7</v>
          </cell>
        </row>
        <row r="1389">
          <cell r="A1389" t="str">
            <v>13-415-26-07</v>
          </cell>
          <cell r="B1389" t="str">
            <v xml:space="preserve">FORCEPS, KOCHER, 1X2 T., CVD., 26 CM    </v>
          </cell>
          <cell r="C1389" t="str">
            <v xml:space="preserve">                                   </v>
          </cell>
          <cell r="D1389" t="str">
            <v xml:space="preserve">MY        </v>
          </cell>
          <cell r="E1389">
            <v>90189084</v>
          </cell>
          <cell r="F1389">
            <v>3</v>
          </cell>
          <cell r="G1389" t="str">
            <v xml:space="preserve">ST          </v>
          </cell>
          <cell r="H1389">
            <v>79.599999999999994</v>
          </cell>
          <cell r="I1389">
            <v>238.8</v>
          </cell>
        </row>
        <row r="1390">
          <cell r="A1390" t="str">
            <v>30-192-20-07</v>
          </cell>
          <cell r="B1390" t="str">
            <v xml:space="preserve">TISSUE FORCEPS, BABCOCK, 21 CM          </v>
          </cell>
          <cell r="C1390" t="str">
            <v xml:space="preserve">                                   </v>
          </cell>
          <cell r="D1390" t="str">
            <v xml:space="preserve">MY        </v>
          </cell>
          <cell r="E1390">
            <v>90189084</v>
          </cell>
          <cell r="F1390">
            <v>3</v>
          </cell>
          <cell r="G1390" t="str">
            <v xml:space="preserve">ST          </v>
          </cell>
          <cell r="H1390">
            <v>90.2</v>
          </cell>
          <cell r="I1390">
            <v>270.60000000000002</v>
          </cell>
        </row>
        <row r="1391">
          <cell r="A1391" t="str">
            <v>14-355-20-07</v>
          </cell>
          <cell r="B1391" t="str">
            <v xml:space="preserve">FORCEPS, FOERSTER, SERR., CVD., 20.5 CM </v>
          </cell>
          <cell r="C1391" t="str">
            <v xml:space="preserve">                                   </v>
          </cell>
          <cell r="D1391" t="str">
            <v xml:space="preserve">DE        </v>
          </cell>
          <cell r="E1391">
            <v>90189084</v>
          </cell>
          <cell r="F1391">
            <v>1</v>
          </cell>
          <cell r="G1391" t="str">
            <v xml:space="preserve">ST          </v>
          </cell>
          <cell r="H1391">
            <v>39.1</v>
          </cell>
          <cell r="I1391">
            <v>39.1</v>
          </cell>
        </row>
        <row r="1392">
          <cell r="A1392" t="str">
            <v>12-100-18-07</v>
          </cell>
          <cell r="B1392" t="str">
            <v xml:space="preserve">DRESSING FORCEPS, 18 CM                 </v>
          </cell>
          <cell r="C1392" t="str">
            <v xml:space="preserve">                                   </v>
          </cell>
          <cell r="D1392" t="str">
            <v xml:space="preserve">MY        </v>
          </cell>
          <cell r="E1392">
            <v>90189084</v>
          </cell>
          <cell r="F1392">
            <v>3</v>
          </cell>
          <cell r="G1392" t="str">
            <v xml:space="preserve">ST          </v>
          </cell>
          <cell r="H1392">
            <v>11.9</v>
          </cell>
          <cell r="I1392">
            <v>35.700000000000003</v>
          </cell>
        </row>
        <row r="1393">
          <cell r="A1393" t="str">
            <v>12-100-20-07</v>
          </cell>
          <cell r="B1393" t="str">
            <v xml:space="preserve">DRESSING FORCEPS, 20 CM                 </v>
          </cell>
          <cell r="C1393" t="str">
            <v xml:space="preserve">                                   </v>
          </cell>
          <cell r="D1393" t="str">
            <v xml:space="preserve">MY        </v>
          </cell>
          <cell r="E1393">
            <v>90189084</v>
          </cell>
          <cell r="F1393">
            <v>1</v>
          </cell>
          <cell r="G1393" t="str">
            <v xml:space="preserve">ST          </v>
          </cell>
          <cell r="H1393">
            <v>21.2</v>
          </cell>
          <cell r="I1393">
            <v>21.2</v>
          </cell>
        </row>
        <row r="1394">
          <cell r="A1394" t="str">
            <v>12-100-23-07</v>
          </cell>
          <cell r="B1394" t="str">
            <v xml:space="preserve">DRESSING FORCEPS, 23 CM                 </v>
          </cell>
          <cell r="C1394" t="str">
            <v xml:space="preserve">                                   </v>
          </cell>
          <cell r="D1394" t="str">
            <v xml:space="preserve">MY        </v>
          </cell>
          <cell r="E1394">
            <v>90189084</v>
          </cell>
          <cell r="F1394">
            <v>1</v>
          </cell>
          <cell r="G1394" t="str">
            <v xml:space="preserve">ST          </v>
          </cell>
          <cell r="H1394">
            <v>19</v>
          </cell>
          <cell r="I1394">
            <v>19</v>
          </cell>
        </row>
        <row r="1395">
          <cell r="A1395" t="str">
            <v>12-301-20-07</v>
          </cell>
          <cell r="B1395" t="str">
            <v xml:space="preserve">TISSUE FORCEPS, 1X2 T., 20.5 CM         </v>
          </cell>
          <cell r="C1395" t="str">
            <v xml:space="preserve">                                   </v>
          </cell>
          <cell r="D1395" t="str">
            <v xml:space="preserve">MY        </v>
          </cell>
          <cell r="E1395">
            <v>90189084</v>
          </cell>
          <cell r="F1395">
            <v>3</v>
          </cell>
          <cell r="G1395" t="str">
            <v xml:space="preserve">ST          </v>
          </cell>
          <cell r="H1395">
            <v>15.9</v>
          </cell>
          <cell r="I1395">
            <v>47.7</v>
          </cell>
        </row>
        <row r="1396">
          <cell r="A1396" t="str">
            <v xml:space="preserve">            </v>
          </cell>
          <cell r="B1396" t="str">
            <v xml:space="preserve">#### ####                               </v>
          </cell>
          <cell r="C1396" t="str">
            <v xml:space="preserve">                                   </v>
          </cell>
          <cell r="D1396" t="str">
            <v xml:space="preserve">          </v>
          </cell>
          <cell r="E1396" t="str">
            <v xml:space="preserve">                </v>
          </cell>
          <cell r="F1396">
            <v>1</v>
          </cell>
          <cell r="G1396" t="str">
            <v xml:space="preserve">            </v>
          </cell>
          <cell r="H1396" t="str">
            <v xml:space="preserve">               </v>
          </cell>
          <cell r="I1396" t="str">
            <v xml:space="preserve">               </v>
          </cell>
        </row>
        <row r="1397">
          <cell r="A1397" t="str">
            <v>56-673-25-01</v>
          </cell>
          <cell r="B1397" t="str">
            <v xml:space="preserve">KIDNEY DISH, 250X140X40 MM              </v>
          </cell>
          <cell r="C1397" t="str">
            <v xml:space="preserve">                                   </v>
          </cell>
          <cell r="D1397" t="str">
            <v xml:space="preserve">SE        </v>
          </cell>
          <cell r="E1397">
            <v>73269098</v>
          </cell>
          <cell r="F1397">
            <v>2</v>
          </cell>
          <cell r="G1397" t="str">
            <v xml:space="preserve">ST          </v>
          </cell>
          <cell r="H1397">
            <v>11.9</v>
          </cell>
          <cell r="I1397">
            <v>23.8</v>
          </cell>
        </row>
        <row r="1398">
          <cell r="A1398" t="str">
            <v>10-130-03-07</v>
          </cell>
          <cell r="B1398" t="str">
            <v xml:space="preserve">SCALPEL HANDLE, NO. 3, 12 CM            </v>
          </cell>
          <cell r="C1398" t="str">
            <v xml:space="preserve">                                   </v>
          </cell>
          <cell r="D1398" t="str">
            <v xml:space="preserve">DE        </v>
          </cell>
          <cell r="E1398">
            <v>90189084</v>
          </cell>
          <cell r="F1398">
            <v>1</v>
          </cell>
          <cell r="G1398" t="str">
            <v xml:space="preserve">ST          </v>
          </cell>
          <cell r="H1398">
            <v>13.1</v>
          </cell>
          <cell r="I1398">
            <v>13.1</v>
          </cell>
        </row>
        <row r="1399">
          <cell r="A1399" t="str">
            <v>11-259-14-07</v>
          </cell>
          <cell r="B1399" t="str">
            <v xml:space="preserve">DISSECT. SCISSORS, SH/SH, CVD., 14.5 CM </v>
          </cell>
          <cell r="C1399" t="str">
            <v xml:space="preserve">                                   </v>
          </cell>
          <cell r="D1399" t="str">
            <v xml:space="preserve">DE        </v>
          </cell>
          <cell r="E1399">
            <v>90189084</v>
          </cell>
          <cell r="F1399">
            <v>2</v>
          </cell>
          <cell r="G1399" t="str">
            <v xml:space="preserve">ST          </v>
          </cell>
          <cell r="H1399">
            <v>36.9</v>
          </cell>
          <cell r="I1399">
            <v>73.8</v>
          </cell>
        </row>
        <row r="1400">
          <cell r="A1400" t="str">
            <v>11-265-15-07</v>
          </cell>
          <cell r="B1400" t="str">
            <v xml:space="preserve">DISSECT. SCISSORS, BL/BL, CVD., 15.5 CM </v>
          </cell>
          <cell r="C1400" t="str">
            <v xml:space="preserve">                                   </v>
          </cell>
          <cell r="D1400" t="str">
            <v xml:space="preserve">DE        </v>
          </cell>
          <cell r="E1400">
            <v>90189084</v>
          </cell>
          <cell r="F1400">
            <v>2</v>
          </cell>
          <cell r="G1400" t="str">
            <v xml:space="preserve">ST          </v>
          </cell>
          <cell r="H1400">
            <v>29.7</v>
          </cell>
          <cell r="I1400">
            <v>59.4</v>
          </cell>
        </row>
        <row r="1401">
          <cell r="A1401" t="str">
            <v>11-824-09-07</v>
          </cell>
          <cell r="B1401" t="str">
            <v xml:space="preserve">LIGATURE SCISSORS, SPENCER, STR., 9 CM  </v>
          </cell>
          <cell r="C1401" t="str">
            <v xml:space="preserve">                                   </v>
          </cell>
          <cell r="D1401" t="str">
            <v xml:space="preserve">DE        </v>
          </cell>
          <cell r="E1401">
            <v>90189084</v>
          </cell>
          <cell r="F1401">
            <v>1</v>
          </cell>
          <cell r="G1401" t="str">
            <v xml:space="preserve">ST          </v>
          </cell>
          <cell r="H1401">
            <v>40.9</v>
          </cell>
          <cell r="I1401">
            <v>40.9</v>
          </cell>
        </row>
        <row r="1402">
          <cell r="A1402" t="str">
            <v>11-826-13-07</v>
          </cell>
          <cell r="B1402" t="str">
            <v xml:space="preserve">LIGATURE SCISSORS, SPENCER, STR., 13 CM </v>
          </cell>
          <cell r="C1402" t="str">
            <v xml:space="preserve">                                   </v>
          </cell>
          <cell r="D1402" t="str">
            <v xml:space="preserve">DE        </v>
          </cell>
          <cell r="E1402">
            <v>90189084</v>
          </cell>
          <cell r="F1402">
            <v>1</v>
          </cell>
          <cell r="G1402" t="str">
            <v xml:space="preserve">ST          </v>
          </cell>
          <cell r="H1402">
            <v>43.9</v>
          </cell>
          <cell r="I1402">
            <v>43.9</v>
          </cell>
        </row>
        <row r="1403">
          <cell r="A1403" t="str">
            <v>30-130-12-07</v>
          </cell>
          <cell r="B1403" t="str">
            <v xml:space="preserve">TISSUE FCPS., ALLIS-BABY, 4X5 T., 13 CM </v>
          </cell>
          <cell r="C1403" t="str">
            <v xml:space="preserve">                                   </v>
          </cell>
          <cell r="D1403" t="str">
            <v xml:space="preserve">DE        </v>
          </cell>
          <cell r="E1403">
            <v>90189084</v>
          </cell>
          <cell r="F1403">
            <v>2</v>
          </cell>
          <cell r="G1403" t="str">
            <v xml:space="preserve">ST          </v>
          </cell>
          <cell r="H1403">
            <v>72.900000000000006</v>
          </cell>
          <cell r="I1403">
            <v>145.80000000000001</v>
          </cell>
        </row>
        <row r="1404">
          <cell r="A1404" t="str">
            <v>30-192-16-07</v>
          </cell>
          <cell r="B1404" t="str">
            <v xml:space="preserve">TISSUE FORCEPS, BABCOCK, 15,5 CM        </v>
          </cell>
          <cell r="C1404" t="str">
            <v xml:space="preserve">                                   </v>
          </cell>
          <cell r="D1404" t="str">
            <v xml:space="preserve">MY        </v>
          </cell>
          <cell r="E1404">
            <v>90189084</v>
          </cell>
          <cell r="F1404">
            <v>2</v>
          </cell>
          <cell r="G1404" t="str">
            <v xml:space="preserve">ST          </v>
          </cell>
          <cell r="H1404">
            <v>75.5</v>
          </cell>
          <cell r="I1404">
            <v>151</v>
          </cell>
        </row>
        <row r="1405">
          <cell r="A1405" t="str">
            <v>13-415-14-07</v>
          </cell>
          <cell r="B1405" t="str">
            <v xml:space="preserve">FORCEPS, KOCHER, 1X2 T., CVD., 14 CM    </v>
          </cell>
          <cell r="C1405" t="str">
            <v xml:space="preserve">                                   </v>
          </cell>
          <cell r="D1405" t="str">
            <v xml:space="preserve">MY        </v>
          </cell>
          <cell r="E1405">
            <v>90189084</v>
          </cell>
          <cell r="F1405">
            <v>2</v>
          </cell>
          <cell r="G1405" t="str">
            <v xml:space="preserve">ST          </v>
          </cell>
          <cell r="H1405">
            <v>25.2</v>
          </cell>
          <cell r="I1405">
            <v>50.4</v>
          </cell>
        </row>
        <row r="1406">
          <cell r="A1406" t="str">
            <v>20-390-14-07</v>
          </cell>
          <cell r="B1406" t="str">
            <v xml:space="preserve">NEEDLEHOLDER, MAYO-HEGAR, 14.5 CM       </v>
          </cell>
          <cell r="C1406" t="str">
            <v xml:space="preserve">                                   </v>
          </cell>
          <cell r="D1406" t="str">
            <v xml:space="preserve">MY        </v>
          </cell>
          <cell r="E1406">
            <v>90189084</v>
          </cell>
          <cell r="F1406">
            <v>2</v>
          </cell>
          <cell r="G1406" t="str">
            <v xml:space="preserve">ST          </v>
          </cell>
          <cell r="H1406">
            <v>40</v>
          </cell>
          <cell r="I1406">
            <v>80</v>
          </cell>
        </row>
        <row r="1407">
          <cell r="A1407" t="str">
            <v>13-915-11-07</v>
          </cell>
          <cell r="B1407" t="str">
            <v xml:space="preserve">TOWEL FORCEPS, BACKHAUS, SHARP, 11 CM   </v>
          </cell>
          <cell r="C1407" t="str">
            <v xml:space="preserve">                                   </v>
          </cell>
          <cell r="D1407" t="str">
            <v xml:space="preserve">MY        </v>
          </cell>
          <cell r="E1407">
            <v>90189084</v>
          </cell>
          <cell r="F1407">
            <v>4</v>
          </cell>
          <cell r="G1407" t="str">
            <v xml:space="preserve">ST          </v>
          </cell>
          <cell r="H1407">
            <v>24.3</v>
          </cell>
          <cell r="I1407">
            <v>97.2</v>
          </cell>
        </row>
        <row r="1408">
          <cell r="A1408" t="str">
            <v>14-355-18-07</v>
          </cell>
          <cell r="B1408" t="str">
            <v xml:space="preserve">FORCEPS, FOERSTER, SERR., CVD., 18 CM   </v>
          </cell>
          <cell r="C1408" t="str">
            <v xml:space="preserve">                                   </v>
          </cell>
          <cell r="D1408" t="str">
            <v xml:space="preserve">MY        </v>
          </cell>
          <cell r="E1408">
            <v>90189084</v>
          </cell>
          <cell r="F1408">
            <v>1</v>
          </cell>
          <cell r="G1408" t="str">
            <v xml:space="preserve">ST          </v>
          </cell>
          <cell r="H1408">
            <v>33.700000000000003</v>
          </cell>
          <cell r="I1408">
            <v>33.700000000000003</v>
          </cell>
        </row>
        <row r="1409">
          <cell r="A1409" t="str">
            <v>12-100-11-07</v>
          </cell>
          <cell r="B1409" t="str">
            <v xml:space="preserve">DRESSING FORCEPS, 11.5 CM               </v>
          </cell>
          <cell r="C1409" t="str">
            <v xml:space="preserve">                                   </v>
          </cell>
          <cell r="D1409" t="str">
            <v xml:space="preserve">MY        </v>
          </cell>
          <cell r="E1409">
            <v>90189084</v>
          </cell>
          <cell r="F1409">
            <v>2</v>
          </cell>
          <cell r="G1409" t="str">
            <v xml:space="preserve">ST          </v>
          </cell>
          <cell r="H1409">
            <v>11.6</v>
          </cell>
          <cell r="I1409">
            <v>23.2</v>
          </cell>
        </row>
        <row r="1410">
          <cell r="A1410" t="str">
            <v>12-301-11-07</v>
          </cell>
          <cell r="B1410" t="str">
            <v xml:space="preserve">TISSUE FORCEPS, 1X2 T., 12 CM           </v>
          </cell>
          <cell r="C1410" t="str">
            <v xml:space="preserve">                                   </v>
          </cell>
          <cell r="D1410" t="str">
            <v xml:space="preserve">MY        </v>
          </cell>
          <cell r="E1410">
            <v>90189084</v>
          </cell>
          <cell r="F1410">
            <v>2</v>
          </cell>
          <cell r="G1410" t="str">
            <v xml:space="preserve">ST          </v>
          </cell>
          <cell r="H1410">
            <v>10.1</v>
          </cell>
          <cell r="I1410">
            <v>20.2</v>
          </cell>
        </row>
        <row r="1411">
          <cell r="A1411" t="str">
            <v>24-386-20-07</v>
          </cell>
          <cell r="B1411" t="str">
            <v xml:space="preserve">ATR. FORCEPS, DE BAKEY, 1.5 MM, 20 CM   </v>
          </cell>
          <cell r="C1411" t="str">
            <v xml:space="preserve">                                   </v>
          </cell>
          <cell r="D1411" t="str">
            <v xml:space="preserve">MY        </v>
          </cell>
          <cell r="E1411">
            <v>90189084</v>
          </cell>
          <cell r="F1411">
            <v>1</v>
          </cell>
          <cell r="G1411" t="str">
            <v xml:space="preserve">ST          </v>
          </cell>
          <cell r="H1411">
            <v>81.900000000000006</v>
          </cell>
          <cell r="I1411">
            <v>81.900000000000006</v>
          </cell>
        </row>
        <row r="1412">
          <cell r="A1412" t="str">
            <v>13-311-12-07</v>
          </cell>
          <cell r="B1412" t="str">
            <v xml:space="preserve">HAEM. FORCEPS, MOSQUITO, CVD., 12 CM    </v>
          </cell>
          <cell r="C1412" t="str">
            <v xml:space="preserve">                                   </v>
          </cell>
          <cell r="D1412" t="str">
            <v xml:space="preserve">MY        </v>
          </cell>
          <cell r="E1412">
            <v>90189084</v>
          </cell>
          <cell r="F1412">
            <v>8</v>
          </cell>
          <cell r="G1412" t="str">
            <v xml:space="preserve">ST          </v>
          </cell>
          <cell r="H1412">
            <v>23.9</v>
          </cell>
          <cell r="I1412">
            <v>191.2</v>
          </cell>
        </row>
        <row r="1413">
          <cell r="A1413" t="str">
            <v>15-074-02-07</v>
          </cell>
          <cell r="B1413" t="str">
            <v xml:space="preserve">HOOKLET, SHARP, 2-PR., 16.5 CM          </v>
          </cell>
          <cell r="C1413" t="str">
            <v xml:space="preserve">                                   </v>
          </cell>
          <cell r="D1413" t="str">
            <v xml:space="preserve">DE        </v>
          </cell>
          <cell r="E1413">
            <v>90189084</v>
          </cell>
          <cell r="F1413">
            <v>2</v>
          </cell>
          <cell r="G1413" t="str">
            <v xml:space="preserve">ST          </v>
          </cell>
          <cell r="H1413">
            <v>25.2</v>
          </cell>
          <cell r="I1413">
            <v>50.4</v>
          </cell>
        </row>
        <row r="1414">
          <cell r="A1414" t="str">
            <v xml:space="preserve">            </v>
          </cell>
          <cell r="B1414" t="str">
            <v xml:space="preserve">##### #### #####                        </v>
          </cell>
          <cell r="C1414" t="str">
            <v xml:space="preserve">                                   </v>
          </cell>
          <cell r="D1414" t="str">
            <v xml:space="preserve">          </v>
          </cell>
          <cell r="E1414" t="str">
            <v xml:space="preserve">                </v>
          </cell>
          <cell r="F1414">
            <v>1</v>
          </cell>
          <cell r="G1414" t="str">
            <v xml:space="preserve">            </v>
          </cell>
          <cell r="H1414" t="str">
            <v xml:space="preserve">               </v>
          </cell>
          <cell r="I1414" t="str">
            <v xml:space="preserve">               </v>
          </cell>
        </row>
        <row r="1415">
          <cell r="A1415" t="str">
            <v>56-673-25-01</v>
          </cell>
          <cell r="B1415" t="str">
            <v xml:space="preserve">KIDNEY DISH, 250X140X40 MM              </v>
          </cell>
          <cell r="C1415" t="str">
            <v xml:space="preserve">                                   </v>
          </cell>
          <cell r="D1415" t="str">
            <v xml:space="preserve">SE        </v>
          </cell>
          <cell r="E1415">
            <v>73269098</v>
          </cell>
          <cell r="F1415">
            <v>3</v>
          </cell>
          <cell r="G1415" t="str">
            <v xml:space="preserve">ST          </v>
          </cell>
          <cell r="H1415">
            <v>11.9</v>
          </cell>
          <cell r="I1415">
            <v>35.700000000000003</v>
          </cell>
        </row>
        <row r="1416">
          <cell r="A1416" t="str">
            <v>15-591-04-07</v>
          </cell>
          <cell r="B1416" t="str">
            <v xml:space="preserve">RETRACTOR, DEAVER, 25 MM WIDE, 30.5 CM  </v>
          </cell>
          <cell r="C1416" t="str">
            <v xml:space="preserve">                                   </v>
          </cell>
          <cell r="D1416" t="str">
            <v xml:space="preserve">DE        </v>
          </cell>
          <cell r="E1416">
            <v>90189084</v>
          </cell>
          <cell r="F1416">
            <v>1</v>
          </cell>
          <cell r="G1416" t="str">
            <v xml:space="preserve">ST          </v>
          </cell>
          <cell r="H1416">
            <v>30.9</v>
          </cell>
          <cell r="I1416">
            <v>30.9</v>
          </cell>
        </row>
        <row r="1417">
          <cell r="A1417" t="str">
            <v>15-591-02-07</v>
          </cell>
          <cell r="B1417" t="str">
            <v xml:space="preserve">RETRACTOR, DEAVER, 22 MM WIDE, 21.5 CM  </v>
          </cell>
          <cell r="C1417" t="str">
            <v xml:space="preserve">                                   </v>
          </cell>
          <cell r="D1417" t="str">
            <v xml:space="preserve">DE        </v>
          </cell>
          <cell r="E1417">
            <v>90189084</v>
          </cell>
          <cell r="F1417">
            <v>3</v>
          </cell>
          <cell r="G1417" t="str">
            <v xml:space="preserve">ST          </v>
          </cell>
          <cell r="H1417">
            <v>27</v>
          </cell>
          <cell r="I1417">
            <v>81</v>
          </cell>
        </row>
        <row r="1418">
          <cell r="A1418" t="str">
            <v>15-591-01-07</v>
          </cell>
          <cell r="B1418" t="str">
            <v xml:space="preserve">RETRACTOR, DEAVER, 19 MM WIDE, 18 CM    </v>
          </cell>
          <cell r="C1418" t="str">
            <v xml:space="preserve">                                   </v>
          </cell>
          <cell r="D1418" t="str">
            <v xml:space="preserve">DE        </v>
          </cell>
          <cell r="E1418">
            <v>90189084</v>
          </cell>
          <cell r="F1418">
            <v>1</v>
          </cell>
          <cell r="G1418" t="str">
            <v xml:space="preserve">ST          </v>
          </cell>
          <cell r="H1418">
            <v>32.5</v>
          </cell>
          <cell r="I1418">
            <v>32.5</v>
          </cell>
        </row>
        <row r="1419">
          <cell r="A1419" t="str">
            <v>15-591-00-07</v>
          </cell>
          <cell r="B1419" t="str">
            <v xml:space="preserve">Retractor, Deaver, 16 mm, 18 cm         </v>
          </cell>
          <cell r="C1419" t="str">
            <v xml:space="preserve">                                   </v>
          </cell>
          <cell r="D1419" t="str">
            <v xml:space="preserve">DE        </v>
          </cell>
          <cell r="E1419">
            <v>90189084</v>
          </cell>
          <cell r="F1419">
            <v>1</v>
          </cell>
          <cell r="G1419" t="str">
            <v xml:space="preserve">ST          </v>
          </cell>
          <cell r="H1419">
            <v>36.1</v>
          </cell>
          <cell r="I1419">
            <v>36.1</v>
          </cell>
        </row>
        <row r="1420">
          <cell r="A1420" t="str">
            <v>09-008-24-07</v>
          </cell>
          <cell r="B1420" t="str">
            <v xml:space="preserve">Retractor, Morris, 70x50 mm, 24 cm      </v>
          </cell>
          <cell r="C1420" t="str">
            <v xml:space="preserve">                                   </v>
          </cell>
          <cell r="D1420" t="str">
            <v xml:space="preserve">DE        </v>
          </cell>
          <cell r="E1420">
            <v>90189084</v>
          </cell>
          <cell r="F1420">
            <v>2</v>
          </cell>
          <cell r="G1420" t="str">
            <v xml:space="preserve">ST          </v>
          </cell>
          <cell r="H1420">
            <v>141.5</v>
          </cell>
          <cell r="I1420">
            <v>283</v>
          </cell>
        </row>
        <row r="1421">
          <cell r="A1421" t="str">
            <v>15-293-03-07</v>
          </cell>
          <cell r="B1421" t="str">
            <v>RETRACTOR, LANGENBECK, 30X15 MM, 21,5 CM</v>
          </cell>
          <cell r="C1421" t="str">
            <v xml:space="preserve">                                   </v>
          </cell>
          <cell r="D1421" t="str">
            <v xml:space="preserve">DE        </v>
          </cell>
          <cell r="E1421">
            <v>90189084</v>
          </cell>
          <cell r="F1421">
            <v>2</v>
          </cell>
          <cell r="G1421" t="str">
            <v xml:space="preserve">ST          </v>
          </cell>
          <cell r="H1421">
            <v>41.1</v>
          </cell>
          <cell r="I1421">
            <v>82.2</v>
          </cell>
        </row>
        <row r="1422">
          <cell r="A1422" t="str">
            <v>15-100-02-07</v>
          </cell>
          <cell r="B1422" t="str">
            <v>RETRACTOR, DELIC., SHARP, 2-PR., 16.5 CM</v>
          </cell>
          <cell r="C1422" t="str">
            <v xml:space="preserve">                                   </v>
          </cell>
          <cell r="D1422" t="str">
            <v xml:space="preserve">DE        </v>
          </cell>
          <cell r="E1422">
            <v>90189084</v>
          </cell>
          <cell r="F1422">
            <v>2</v>
          </cell>
          <cell r="G1422" t="str">
            <v xml:space="preserve">ST          </v>
          </cell>
          <cell r="H1422">
            <v>25.3</v>
          </cell>
          <cell r="I1422">
            <v>50.6</v>
          </cell>
        </row>
        <row r="1423">
          <cell r="A1423" t="str">
            <v>15-174-15-07</v>
          </cell>
          <cell r="B1423" t="str">
            <v xml:space="preserve">HOOKLET, MALLEABLE SHAFT, 15 MM, 24 CM  </v>
          </cell>
          <cell r="C1423" t="str">
            <v xml:space="preserve">                                   </v>
          </cell>
          <cell r="D1423" t="str">
            <v xml:space="preserve">DE        </v>
          </cell>
          <cell r="E1423">
            <v>90189084</v>
          </cell>
          <cell r="F1423">
            <v>1</v>
          </cell>
          <cell r="G1423" t="str">
            <v xml:space="preserve">ST          </v>
          </cell>
          <cell r="H1423">
            <v>157.5</v>
          </cell>
          <cell r="I1423">
            <v>157.5</v>
          </cell>
        </row>
        <row r="1424">
          <cell r="A1424" t="str">
            <v>15-174-17-07</v>
          </cell>
          <cell r="B1424" t="str">
            <v xml:space="preserve">HOOKLET, MALLEABLE SHAFT, 17 MM, 24 CM  </v>
          </cell>
          <cell r="C1424" t="str">
            <v xml:space="preserve">                                   </v>
          </cell>
          <cell r="D1424" t="str">
            <v xml:space="preserve">DE        </v>
          </cell>
          <cell r="E1424">
            <v>90189084</v>
          </cell>
          <cell r="F1424">
            <v>1</v>
          </cell>
          <cell r="G1424" t="str">
            <v xml:space="preserve">ST          </v>
          </cell>
          <cell r="H1424">
            <v>157.5</v>
          </cell>
          <cell r="I1424">
            <v>157.5</v>
          </cell>
        </row>
        <row r="1425">
          <cell r="A1425" t="str">
            <v>10-100-04-07</v>
          </cell>
          <cell r="B1425" t="str">
            <v xml:space="preserve">SCALPEL HANDLE, NO. 4, 13.5 CM          </v>
          </cell>
          <cell r="C1425" t="str">
            <v xml:space="preserve">                                   </v>
          </cell>
          <cell r="D1425" t="str">
            <v xml:space="preserve">DE        </v>
          </cell>
          <cell r="E1425">
            <v>90189084</v>
          </cell>
          <cell r="F1425">
            <v>1</v>
          </cell>
          <cell r="G1425" t="str">
            <v xml:space="preserve">ST          </v>
          </cell>
          <cell r="H1425">
            <v>6.81</v>
          </cell>
          <cell r="I1425">
            <v>6.81</v>
          </cell>
        </row>
        <row r="1426">
          <cell r="A1426" t="str">
            <v>10-130-03-07</v>
          </cell>
          <cell r="B1426" t="str">
            <v xml:space="preserve">SCALPEL HANDLE, NO. 3, 12 CM            </v>
          </cell>
          <cell r="C1426" t="str">
            <v xml:space="preserve">                                   </v>
          </cell>
          <cell r="D1426" t="str">
            <v xml:space="preserve">DE        </v>
          </cell>
          <cell r="E1426">
            <v>90189084</v>
          </cell>
          <cell r="F1426">
            <v>1</v>
          </cell>
          <cell r="G1426" t="str">
            <v xml:space="preserve">ST          </v>
          </cell>
          <cell r="H1426">
            <v>13.1</v>
          </cell>
          <cell r="I1426">
            <v>13.1</v>
          </cell>
        </row>
        <row r="1427">
          <cell r="A1427" t="str">
            <v>15-856-00-07</v>
          </cell>
          <cell r="B1427" t="str">
            <v>ABDOMIN. RETRACTOR, BALFOUR, WIRE BLADES</v>
          </cell>
          <cell r="C1427" t="str">
            <v xml:space="preserve">                                   </v>
          </cell>
          <cell r="D1427" t="str">
            <v xml:space="preserve">DE        </v>
          </cell>
          <cell r="E1427">
            <v>90189084</v>
          </cell>
          <cell r="F1427">
            <v>1</v>
          </cell>
          <cell r="G1427" t="str">
            <v xml:space="preserve">ST          </v>
          </cell>
          <cell r="H1427">
            <v>386</v>
          </cell>
          <cell r="I1427">
            <v>386</v>
          </cell>
        </row>
        <row r="1428">
          <cell r="A1428" t="str">
            <v>15-750-16-07</v>
          </cell>
          <cell r="B1428" t="str">
            <v xml:space="preserve">WOUNDSPREADER, SHARP, 3X4 T., 16 CM     </v>
          </cell>
          <cell r="C1428" t="str">
            <v xml:space="preserve">                                   </v>
          </cell>
          <cell r="D1428" t="str">
            <v xml:space="preserve">DE        </v>
          </cell>
          <cell r="E1428">
            <v>90189084</v>
          </cell>
          <cell r="F1428">
            <v>1</v>
          </cell>
          <cell r="G1428" t="str">
            <v xml:space="preserve">ST          </v>
          </cell>
          <cell r="H1428">
            <v>131.5</v>
          </cell>
          <cell r="I1428">
            <v>131.5</v>
          </cell>
        </row>
        <row r="1429">
          <cell r="A1429" t="str">
            <v>15-751-16-07</v>
          </cell>
          <cell r="B1429" t="str">
            <v xml:space="preserve">WOUNDSPREADER, BLUNT, 3X4 T., 16 CM     </v>
          </cell>
          <cell r="C1429" t="str">
            <v xml:space="preserve">                                   </v>
          </cell>
          <cell r="D1429" t="str">
            <v xml:space="preserve">MY        </v>
          </cell>
          <cell r="E1429">
            <v>90189084</v>
          </cell>
          <cell r="F1429">
            <v>1</v>
          </cell>
          <cell r="G1429" t="str">
            <v xml:space="preserve">ST          </v>
          </cell>
          <cell r="H1429">
            <v>123</v>
          </cell>
          <cell r="I1429">
            <v>123</v>
          </cell>
        </row>
        <row r="1430">
          <cell r="A1430" t="str">
            <v>15-750-13-07</v>
          </cell>
          <cell r="B1430" t="str">
            <v xml:space="preserve">WOUNDSPREADER, SHARP, 3X4 T., 13.5 CM   </v>
          </cell>
          <cell r="C1430" t="str">
            <v xml:space="preserve">                                   </v>
          </cell>
          <cell r="D1430" t="str">
            <v xml:space="preserve">MY        </v>
          </cell>
          <cell r="E1430">
            <v>90189084</v>
          </cell>
          <cell r="F1430">
            <v>1</v>
          </cell>
          <cell r="G1430" t="str">
            <v xml:space="preserve">ST          </v>
          </cell>
          <cell r="H1430">
            <v>121</v>
          </cell>
          <cell r="I1430">
            <v>121</v>
          </cell>
        </row>
        <row r="1431">
          <cell r="A1431" t="str">
            <v>15-751-13-07</v>
          </cell>
          <cell r="B1431" t="str">
            <v xml:space="preserve">WOUNDSPREADER, BLUNT, 3X4 T., 13.5 CM   </v>
          </cell>
          <cell r="C1431" t="str">
            <v xml:space="preserve">                                   </v>
          </cell>
          <cell r="D1431" t="str">
            <v xml:space="preserve">MY        </v>
          </cell>
          <cell r="E1431">
            <v>90189084</v>
          </cell>
          <cell r="F1431">
            <v>1</v>
          </cell>
          <cell r="G1431" t="str">
            <v xml:space="preserve">ST          </v>
          </cell>
          <cell r="H1431">
            <v>113</v>
          </cell>
          <cell r="I1431">
            <v>113</v>
          </cell>
        </row>
        <row r="1432">
          <cell r="A1432" t="str">
            <v>12-100-16-07</v>
          </cell>
          <cell r="B1432" t="str">
            <v xml:space="preserve">DRESSING FORCEPS, 16 CM                 </v>
          </cell>
          <cell r="C1432" t="str">
            <v xml:space="preserve">                                   </v>
          </cell>
          <cell r="D1432" t="str">
            <v xml:space="preserve">MY        </v>
          </cell>
          <cell r="E1432">
            <v>90189084</v>
          </cell>
          <cell r="F1432">
            <v>2</v>
          </cell>
          <cell r="G1432" t="str">
            <v xml:space="preserve">ST          </v>
          </cell>
          <cell r="H1432">
            <v>15.3</v>
          </cell>
          <cell r="I1432">
            <v>30.6</v>
          </cell>
        </row>
        <row r="1433">
          <cell r="A1433" t="str">
            <v>12-100-11-07</v>
          </cell>
          <cell r="B1433" t="str">
            <v xml:space="preserve">DRESSING FORCEPS, 11.5 CM               </v>
          </cell>
          <cell r="C1433" t="str">
            <v xml:space="preserve">                                   </v>
          </cell>
          <cell r="D1433" t="str">
            <v xml:space="preserve">MY        </v>
          </cell>
          <cell r="E1433">
            <v>90189084</v>
          </cell>
          <cell r="F1433">
            <v>2</v>
          </cell>
          <cell r="G1433" t="str">
            <v xml:space="preserve">ST          </v>
          </cell>
          <cell r="H1433">
            <v>11.6</v>
          </cell>
          <cell r="I1433">
            <v>23.2</v>
          </cell>
        </row>
        <row r="1434">
          <cell r="A1434" t="str">
            <v>12-301-16-07</v>
          </cell>
          <cell r="B1434" t="str">
            <v xml:space="preserve">TISSUE FORCEPS, 1X2 T., 16 CM           </v>
          </cell>
          <cell r="C1434" t="str">
            <v xml:space="preserve">                                   </v>
          </cell>
          <cell r="D1434" t="str">
            <v xml:space="preserve">MY        </v>
          </cell>
          <cell r="E1434">
            <v>90189084</v>
          </cell>
          <cell r="F1434">
            <v>2</v>
          </cell>
          <cell r="G1434" t="str">
            <v xml:space="preserve">ST          </v>
          </cell>
          <cell r="H1434">
            <v>11.4</v>
          </cell>
          <cell r="I1434">
            <v>22.8</v>
          </cell>
        </row>
        <row r="1435">
          <cell r="A1435" t="str">
            <v>12-301-11-07</v>
          </cell>
          <cell r="B1435" t="str">
            <v xml:space="preserve">TISSUE FORCEPS, 1X2 T., 12 CM           </v>
          </cell>
          <cell r="C1435" t="str">
            <v xml:space="preserve">                                   </v>
          </cell>
          <cell r="D1435" t="str">
            <v xml:space="preserve">MY        </v>
          </cell>
          <cell r="E1435">
            <v>90189084</v>
          </cell>
          <cell r="F1435">
            <v>1</v>
          </cell>
          <cell r="G1435" t="str">
            <v xml:space="preserve">ST          </v>
          </cell>
          <cell r="H1435">
            <v>10.1</v>
          </cell>
          <cell r="I1435">
            <v>10.1</v>
          </cell>
        </row>
        <row r="1436">
          <cell r="A1436" t="str">
            <v>11-285-18-07</v>
          </cell>
          <cell r="B1436" t="str">
            <v xml:space="preserve">DISSECTING SCISSORS, CVD., 18 CM        </v>
          </cell>
          <cell r="C1436" t="str">
            <v xml:space="preserve">                                   </v>
          </cell>
          <cell r="D1436" t="str">
            <v xml:space="preserve">DE        </v>
          </cell>
          <cell r="E1436">
            <v>90189084</v>
          </cell>
          <cell r="F1436">
            <v>27</v>
          </cell>
          <cell r="G1436" t="str">
            <v xml:space="preserve">ST          </v>
          </cell>
          <cell r="H1436">
            <v>24.1</v>
          </cell>
          <cell r="I1436">
            <v>650.70000000000005</v>
          </cell>
        </row>
        <row r="1437">
          <cell r="A1437" t="str">
            <v>11-249-11-07</v>
          </cell>
          <cell r="B1437" t="str">
            <v xml:space="preserve">DISSECT. SCISSORS, BL/BL, CVD., 11.5 CM </v>
          </cell>
          <cell r="C1437" t="str">
            <v xml:space="preserve">                                   </v>
          </cell>
          <cell r="D1437" t="str">
            <v xml:space="preserve">DE        </v>
          </cell>
          <cell r="E1437">
            <v>90189084</v>
          </cell>
          <cell r="F1437">
            <v>1</v>
          </cell>
          <cell r="G1437" t="str">
            <v xml:space="preserve">ST          </v>
          </cell>
          <cell r="H1437">
            <v>38.700000000000003</v>
          </cell>
          <cell r="I1437">
            <v>38.700000000000003</v>
          </cell>
        </row>
        <row r="1438">
          <cell r="A1438" t="str">
            <v>11-265-15-07</v>
          </cell>
          <cell r="B1438" t="str">
            <v xml:space="preserve">DISSECT. SCISSORS, BL/BL, CVD., 15.5 CM </v>
          </cell>
          <cell r="C1438" t="str">
            <v xml:space="preserve">                                   </v>
          </cell>
          <cell r="D1438" t="str">
            <v xml:space="preserve">DE        </v>
          </cell>
          <cell r="E1438">
            <v>90189084</v>
          </cell>
          <cell r="F1438">
            <v>1</v>
          </cell>
          <cell r="G1438" t="str">
            <v xml:space="preserve">ST          </v>
          </cell>
          <cell r="H1438">
            <v>29.7</v>
          </cell>
          <cell r="I1438">
            <v>29.7</v>
          </cell>
        </row>
        <row r="1439">
          <cell r="A1439" t="str">
            <v>11-826-13-07</v>
          </cell>
          <cell r="B1439" t="str">
            <v xml:space="preserve">LIGATURE SCISSORS, SPENCER, STR., 13 CM </v>
          </cell>
          <cell r="C1439" t="str">
            <v xml:space="preserve">                                   </v>
          </cell>
          <cell r="D1439" t="str">
            <v xml:space="preserve">DE        </v>
          </cell>
          <cell r="E1439">
            <v>90189084</v>
          </cell>
          <cell r="F1439">
            <v>1</v>
          </cell>
          <cell r="G1439" t="str">
            <v xml:space="preserve">ST          </v>
          </cell>
          <cell r="H1439">
            <v>43.9</v>
          </cell>
          <cell r="I1439">
            <v>43.9</v>
          </cell>
        </row>
        <row r="1440">
          <cell r="A1440" t="str">
            <v>13-411-16-07</v>
          </cell>
          <cell r="B1440" t="str">
            <v>HAEMOSTATIC FORCEPS, PEAN, CVD., 16,5 CM</v>
          </cell>
          <cell r="C1440" t="str">
            <v xml:space="preserve">                                   </v>
          </cell>
          <cell r="D1440" t="str">
            <v xml:space="preserve">MY        </v>
          </cell>
          <cell r="E1440">
            <v>90189084</v>
          </cell>
          <cell r="F1440">
            <v>8</v>
          </cell>
          <cell r="G1440" t="str">
            <v xml:space="preserve">ST          </v>
          </cell>
          <cell r="H1440">
            <v>27.1</v>
          </cell>
          <cell r="I1440">
            <v>216.8</v>
          </cell>
        </row>
        <row r="1441">
          <cell r="A1441" t="str">
            <v>13-311-12-07</v>
          </cell>
          <cell r="B1441" t="str">
            <v xml:space="preserve">HAEM. FORCEPS, MOSQUITO, CVD., 12 CM    </v>
          </cell>
          <cell r="C1441" t="str">
            <v xml:space="preserve">                                   </v>
          </cell>
          <cell r="D1441" t="str">
            <v xml:space="preserve">MY        </v>
          </cell>
          <cell r="E1441">
            <v>90189084</v>
          </cell>
          <cell r="F1441">
            <v>8</v>
          </cell>
          <cell r="G1441" t="str">
            <v xml:space="preserve">ST          </v>
          </cell>
          <cell r="H1441">
            <v>23.9</v>
          </cell>
          <cell r="I1441">
            <v>191.2</v>
          </cell>
        </row>
        <row r="1442">
          <cell r="A1442" t="str">
            <v>20-390-14-07</v>
          </cell>
          <cell r="B1442" t="str">
            <v xml:space="preserve">NEEDLEHOLDER, MAYO-HEGAR, 14.5 CM       </v>
          </cell>
          <cell r="C1442" t="str">
            <v xml:space="preserve">                                   </v>
          </cell>
          <cell r="D1442" t="str">
            <v xml:space="preserve">MY        </v>
          </cell>
          <cell r="E1442">
            <v>90189084</v>
          </cell>
          <cell r="F1442">
            <v>1</v>
          </cell>
          <cell r="G1442" t="str">
            <v xml:space="preserve">ST          </v>
          </cell>
          <cell r="H1442">
            <v>40</v>
          </cell>
          <cell r="I1442">
            <v>40</v>
          </cell>
        </row>
        <row r="1443">
          <cell r="A1443" t="str">
            <v>20-390-18-07</v>
          </cell>
          <cell r="B1443" t="str">
            <v xml:space="preserve">NEEDLEHOLDER, MAYO-HEGAR, 18.5 CM       </v>
          </cell>
          <cell r="C1443" t="str">
            <v xml:space="preserve">                                   </v>
          </cell>
          <cell r="D1443" t="str">
            <v xml:space="preserve">MY        </v>
          </cell>
          <cell r="E1443">
            <v>90189084</v>
          </cell>
          <cell r="F1443">
            <v>2</v>
          </cell>
          <cell r="G1443" t="str">
            <v xml:space="preserve">ST          </v>
          </cell>
          <cell r="H1443">
            <v>28</v>
          </cell>
          <cell r="I1443">
            <v>56</v>
          </cell>
        </row>
        <row r="1444">
          <cell r="A1444" t="str">
            <v>20-396-20-07</v>
          </cell>
          <cell r="B1444" t="str">
            <v xml:space="preserve">NEEDLEHOLDER, MAYO-HEGAR, SLIM, 20.5 CM </v>
          </cell>
          <cell r="C1444" t="str">
            <v xml:space="preserve">                                   </v>
          </cell>
          <cell r="D1444" t="str">
            <v xml:space="preserve">MY        </v>
          </cell>
          <cell r="E1444">
            <v>90189084</v>
          </cell>
          <cell r="F1444">
            <v>1</v>
          </cell>
          <cell r="G1444" t="str">
            <v xml:space="preserve">ST          </v>
          </cell>
          <cell r="H1444">
            <v>57.1</v>
          </cell>
          <cell r="I1444">
            <v>57.1</v>
          </cell>
        </row>
        <row r="1445">
          <cell r="A1445" t="str">
            <v>30-192-18-07</v>
          </cell>
          <cell r="B1445" t="str">
            <v xml:space="preserve">TISSUE FORCEPS, BABCOCK, 17.5 CM        </v>
          </cell>
          <cell r="C1445" t="str">
            <v xml:space="preserve">                                   </v>
          </cell>
          <cell r="D1445" t="str">
            <v xml:space="preserve">DE        </v>
          </cell>
          <cell r="E1445">
            <v>90189084</v>
          </cell>
          <cell r="F1445">
            <v>3</v>
          </cell>
          <cell r="G1445" t="str">
            <v xml:space="preserve">ST          </v>
          </cell>
          <cell r="H1445">
            <v>88</v>
          </cell>
          <cell r="I1445">
            <v>264</v>
          </cell>
        </row>
        <row r="1446">
          <cell r="A1446" t="str">
            <v>13-415-16-07</v>
          </cell>
          <cell r="B1446" t="str">
            <v xml:space="preserve">FORCEPS, KOCHER, 1X2 T., CVD., 16,5 CM  </v>
          </cell>
          <cell r="C1446" t="str">
            <v xml:space="preserve">                                   </v>
          </cell>
          <cell r="D1446" t="str">
            <v xml:space="preserve">MY        </v>
          </cell>
          <cell r="E1446">
            <v>90189084</v>
          </cell>
          <cell r="F1446">
            <v>3</v>
          </cell>
          <cell r="G1446" t="str">
            <v xml:space="preserve">ST          </v>
          </cell>
          <cell r="H1446">
            <v>27.9</v>
          </cell>
          <cell r="I1446">
            <v>83.7</v>
          </cell>
        </row>
        <row r="1447">
          <cell r="A1447" t="str">
            <v>30-134-19-07</v>
          </cell>
          <cell r="B1447" t="str">
            <v xml:space="preserve">TISSUE FORCEPS, ALLIS, 5X6 T., 19 CM    </v>
          </cell>
          <cell r="C1447" t="str">
            <v xml:space="preserve">                                   </v>
          </cell>
          <cell r="D1447" t="str">
            <v xml:space="preserve">MY        </v>
          </cell>
          <cell r="E1447">
            <v>90189084</v>
          </cell>
          <cell r="F1447">
            <v>3</v>
          </cell>
          <cell r="G1447" t="str">
            <v xml:space="preserve">ST          </v>
          </cell>
          <cell r="H1447">
            <v>68.099999999999994</v>
          </cell>
          <cell r="I1447">
            <v>204.3</v>
          </cell>
        </row>
        <row r="1448">
          <cell r="A1448" t="str">
            <v>13-451-18-07</v>
          </cell>
          <cell r="B1448" t="str">
            <v xml:space="preserve">DISS. FORCEPS, GEMINI, STR. CVD., 18 CM </v>
          </cell>
          <cell r="C1448" t="str">
            <v xml:space="preserve">                                   </v>
          </cell>
          <cell r="D1448" t="str">
            <v xml:space="preserve">DE        </v>
          </cell>
          <cell r="E1448">
            <v>90189084</v>
          </cell>
          <cell r="F1448">
            <v>3</v>
          </cell>
          <cell r="G1448" t="str">
            <v xml:space="preserve">ST          </v>
          </cell>
          <cell r="H1448">
            <v>56.6</v>
          </cell>
          <cell r="I1448">
            <v>169.8</v>
          </cell>
        </row>
        <row r="1449">
          <cell r="A1449" t="str">
            <v>18-523-08-01</v>
          </cell>
          <cell r="B1449" t="str">
            <v>Suction tube, Frazier, ø 2.7 mm, 19.5 cm</v>
          </cell>
          <cell r="C1449" t="str">
            <v xml:space="preserve">                                   </v>
          </cell>
          <cell r="D1449" t="str">
            <v xml:space="preserve">MY        </v>
          </cell>
          <cell r="E1449">
            <v>90183900</v>
          </cell>
          <cell r="F1449">
            <v>1</v>
          </cell>
          <cell r="G1449" t="str">
            <v xml:space="preserve">ST          </v>
          </cell>
          <cell r="H1449">
            <v>21.7</v>
          </cell>
          <cell r="I1449">
            <v>21.7</v>
          </cell>
        </row>
        <row r="1450">
          <cell r="A1450" t="str">
            <v>18-543-27-01</v>
          </cell>
          <cell r="B1450" t="str">
            <v>Suct. tube, Yankauer, compl.,ø9,4mm,31cm</v>
          </cell>
          <cell r="C1450" t="str">
            <v xml:space="preserve">                                   </v>
          </cell>
          <cell r="D1450" t="str">
            <v xml:space="preserve">DE        </v>
          </cell>
          <cell r="E1450">
            <v>90189084</v>
          </cell>
          <cell r="F1450">
            <v>1</v>
          </cell>
          <cell r="G1450" t="str">
            <v xml:space="preserve">ST          </v>
          </cell>
          <cell r="H1450">
            <v>43.1</v>
          </cell>
          <cell r="I1450">
            <v>43.1</v>
          </cell>
        </row>
        <row r="1451">
          <cell r="A1451" t="str">
            <v>14-355-20-07</v>
          </cell>
          <cell r="B1451" t="str">
            <v xml:space="preserve">FORCEPS, FOERSTER, SERR., CVD., 20.5 CM </v>
          </cell>
          <cell r="C1451" t="str">
            <v xml:space="preserve">                                   </v>
          </cell>
          <cell r="D1451" t="str">
            <v xml:space="preserve">DE        </v>
          </cell>
          <cell r="E1451">
            <v>90189084</v>
          </cell>
          <cell r="F1451">
            <v>1</v>
          </cell>
          <cell r="G1451" t="str">
            <v xml:space="preserve">ST          </v>
          </cell>
          <cell r="H1451">
            <v>39.1</v>
          </cell>
          <cell r="I1451">
            <v>39.1</v>
          </cell>
        </row>
        <row r="1452">
          <cell r="A1452" t="str">
            <v>31-599-08-07</v>
          </cell>
          <cell r="B1452" t="str">
            <v xml:space="preserve">URETHRAL BOUGIE, V. BUREN, 8 CH, 27 CM  </v>
          </cell>
          <cell r="C1452" t="str">
            <v xml:space="preserve">                                   </v>
          </cell>
          <cell r="D1452" t="str">
            <v xml:space="preserve">DE        </v>
          </cell>
          <cell r="E1452">
            <v>90189084</v>
          </cell>
          <cell r="F1452">
            <v>1</v>
          </cell>
          <cell r="G1452" t="str">
            <v xml:space="preserve">ST          </v>
          </cell>
          <cell r="H1452">
            <v>30.3</v>
          </cell>
          <cell r="I1452">
            <v>30.3</v>
          </cell>
        </row>
        <row r="1453">
          <cell r="A1453" t="str">
            <v>31-599-10-07</v>
          </cell>
          <cell r="B1453" t="str">
            <v xml:space="preserve">URETHRAL BOUGIE, V. BUREN, 10 CH, 27 CM </v>
          </cell>
          <cell r="C1453" t="str">
            <v xml:space="preserve">                                   </v>
          </cell>
          <cell r="D1453" t="str">
            <v xml:space="preserve">DE        </v>
          </cell>
          <cell r="E1453">
            <v>90189084</v>
          </cell>
          <cell r="F1453">
            <v>1</v>
          </cell>
          <cell r="G1453" t="str">
            <v xml:space="preserve">ST          </v>
          </cell>
          <cell r="H1453">
            <v>32.6</v>
          </cell>
          <cell r="I1453">
            <v>32.6</v>
          </cell>
        </row>
        <row r="1454">
          <cell r="A1454" t="str">
            <v>31-599-12-07</v>
          </cell>
          <cell r="B1454" t="str">
            <v xml:space="preserve">URETHRAL BOUGIE, V. BUREN, 12 CH, 27 CM </v>
          </cell>
          <cell r="C1454" t="str">
            <v xml:space="preserve">                                   </v>
          </cell>
          <cell r="D1454" t="str">
            <v xml:space="preserve">DE        </v>
          </cell>
          <cell r="E1454">
            <v>90189084</v>
          </cell>
          <cell r="F1454">
            <v>1</v>
          </cell>
          <cell r="G1454" t="str">
            <v xml:space="preserve">ST          </v>
          </cell>
          <cell r="H1454">
            <v>30.3</v>
          </cell>
          <cell r="I1454">
            <v>30.3</v>
          </cell>
        </row>
        <row r="1455">
          <cell r="A1455" t="str">
            <v>31-599-14-07</v>
          </cell>
          <cell r="B1455" t="str">
            <v xml:space="preserve">URETHRAL BOUGIE, V. BUREN, 14 CH, 27 CM </v>
          </cell>
          <cell r="C1455" t="str">
            <v xml:space="preserve">                                   </v>
          </cell>
          <cell r="D1455" t="str">
            <v xml:space="preserve">DE        </v>
          </cell>
          <cell r="E1455">
            <v>90189084</v>
          </cell>
          <cell r="F1455">
            <v>1</v>
          </cell>
          <cell r="G1455" t="str">
            <v xml:space="preserve">ST          </v>
          </cell>
          <cell r="H1455">
            <v>32.6</v>
          </cell>
          <cell r="I1455">
            <v>32.6</v>
          </cell>
        </row>
        <row r="1456">
          <cell r="A1456" t="str">
            <v>31-599-16-07</v>
          </cell>
          <cell r="B1456" t="str">
            <v xml:space="preserve">URETHRAL BOUGIE, V. BUREN, 16 CH, 27 CM </v>
          </cell>
          <cell r="C1456" t="str">
            <v xml:space="preserve">                                   </v>
          </cell>
          <cell r="D1456" t="str">
            <v xml:space="preserve">DE        </v>
          </cell>
          <cell r="E1456">
            <v>90189084</v>
          </cell>
          <cell r="F1456">
            <v>1</v>
          </cell>
          <cell r="G1456" t="str">
            <v xml:space="preserve">ST          </v>
          </cell>
          <cell r="H1456">
            <v>32.6</v>
          </cell>
          <cell r="I1456">
            <v>32.6</v>
          </cell>
        </row>
        <row r="1457">
          <cell r="A1457" t="str">
            <v>31-599-18-07</v>
          </cell>
          <cell r="B1457" t="str">
            <v xml:space="preserve">URETHRAL BOUGIE, V. BUREN, 18 CH, 27 CM </v>
          </cell>
          <cell r="C1457" t="str">
            <v xml:space="preserve">                                   </v>
          </cell>
          <cell r="D1457" t="str">
            <v xml:space="preserve">DE        </v>
          </cell>
          <cell r="E1457">
            <v>90189084</v>
          </cell>
          <cell r="F1457">
            <v>1</v>
          </cell>
          <cell r="G1457" t="str">
            <v xml:space="preserve">ST          </v>
          </cell>
          <cell r="H1457">
            <v>44.9</v>
          </cell>
          <cell r="I1457">
            <v>44.9</v>
          </cell>
        </row>
        <row r="1458">
          <cell r="A1458" t="str">
            <v>31-599-20-07</v>
          </cell>
          <cell r="B1458" t="str">
            <v xml:space="preserve">URETHRAL BOUGIE, V. BUREN, 20 CH, 27 CM </v>
          </cell>
          <cell r="C1458" t="str">
            <v xml:space="preserve">                                   </v>
          </cell>
          <cell r="D1458" t="str">
            <v xml:space="preserve">DE        </v>
          </cell>
          <cell r="E1458">
            <v>90189084</v>
          </cell>
          <cell r="F1458">
            <v>1</v>
          </cell>
          <cell r="G1458" t="str">
            <v xml:space="preserve">ST          </v>
          </cell>
          <cell r="H1458">
            <v>33.5</v>
          </cell>
          <cell r="I1458">
            <v>33.5</v>
          </cell>
        </row>
        <row r="1459">
          <cell r="A1459" t="str">
            <v>31-599-22-07</v>
          </cell>
          <cell r="B1459" t="str">
            <v xml:space="preserve">URETHRAL BOUGIE, V. BUREN, 22 CH, 27 CM </v>
          </cell>
          <cell r="C1459" t="str">
            <v xml:space="preserve">                                   </v>
          </cell>
          <cell r="D1459" t="str">
            <v xml:space="preserve">DE        </v>
          </cell>
          <cell r="E1459">
            <v>90189084</v>
          </cell>
          <cell r="F1459">
            <v>1</v>
          </cell>
          <cell r="G1459" t="str">
            <v xml:space="preserve">ST          </v>
          </cell>
          <cell r="H1459">
            <v>34.1</v>
          </cell>
          <cell r="I1459">
            <v>34.1</v>
          </cell>
        </row>
        <row r="1460">
          <cell r="A1460" t="str">
            <v>31-599-24-07</v>
          </cell>
          <cell r="B1460" t="str">
            <v xml:space="preserve">URETHRAL BOUGIE, V. BUREN, 24 CH, 27 CM </v>
          </cell>
          <cell r="C1460" t="str">
            <v xml:space="preserve">                                   </v>
          </cell>
          <cell r="D1460" t="str">
            <v xml:space="preserve">DE        </v>
          </cell>
          <cell r="E1460">
            <v>90189084</v>
          </cell>
          <cell r="F1460">
            <v>1</v>
          </cell>
          <cell r="G1460" t="str">
            <v xml:space="preserve">ST          </v>
          </cell>
          <cell r="H1460">
            <v>34.1</v>
          </cell>
          <cell r="I1460">
            <v>34.1</v>
          </cell>
        </row>
        <row r="1461">
          <cell r="A1461" t="str">
            <v>31-599-26-07</v>
          </cell>
          <cell r="B1461" t="str">
            <v xml:space="preserve">URETHRAL BOUGIE, V. BUREN, 26 CH, 27 CM </v>
          </cell>
          <cell r="C1461" t="str">
            <v xml:space="preserve">                                   </v>
          </cell>
          <cell r="D1461" t="str">
            <v xml:space="preserve">DE        </v>
          </cell>
          <cell r="E1461">
            <v>90189084</v>
          </cell>
          <cell r="F1461">
            <v>1</v>
          </cell>
          <cell r="G1461" t="str">
            <v xml:space="preserve">ST          </v>
          </cell>
          <cell r="H1461">
            <v>33.6</v>
          </cell>
          <cell r="I1461">
            <v>33.6</v>
          </cell>
        </row>
        <row r="1462">
          <cell r="A1462" t="str">
            <v>31-599-28-07</v>
          </cell>
          <cell r="B1462" t="str">
            <v xml:space="preserve">URETHRAL BOUGIE, V. BUREN, 28 CH, 27 CM </v>
          </cell>
          <cell r="C1462" t="str">
            <v xml:space="preserve">                                   </v>
          </cell>
          <cell r="D1462" t="str">
            <v xml:space="preserve">DE        </v>
          </cell>
          <cell r="E1462">
            <v>90189084</v>
          </cell>
          <cell r="F1462">
            <v>1</v>
          </cell>
          <cell r="G1462" t="str">
            <v xml:space="preserve">ST          </v>
          </cell>
          <cell r="H1462">
            <v>35.1</v>
          </cell>
          <cell r="I1462">
            <v>35.1</v>
          </cell>
        </row>
        <row r="1463">
          <cell r="A1463" t="str">
            <v xml:space="preserve">            </v>
          </cell>
          <cell r="B1463" t="str">
            <v>#### ### (####+##### ### ###+####### ###</v>
          </cell>
          <cell r="C1463" t="str">
            <v xml:space="preserve">                                   </v>
          </cell>
          <cell r="D1463" t="str">
            <v xml:space="preserve">          </v>
          </cell>
          <cell r="E1463" t="str">
            <v xml:space="preserve">                </v>
          </cell>
          <cell r="F1463">
            <v>1</v>
          </cell>
          <cell r="G1463" t="str">
            <v xml:space="preserve">            </v>
          </cell>
          <cell r="H1463" t="str">
            <v xml:space="preserve">               </v>
          </cell>
          <cell r="I1463" t="str">
            <v xml:space="preserve">               </v>
          </cell>
        </row>
        <row r="1464">
          <cell r="A1464" t="str">
            <v>56-673-25-01</v>
          </cell>
          <cell r="B1464" t="str">
            <v xml:space="preserve">KIDNEY DISH, 250X140X40 MM              </v>
          </cell>
          <cell r="C1464" t="str">
            <v xml:space="preserve">                                   </v>
          </cell>
          <cell r="D1464" t="str">
            <v xml:space="preserve">SE        </v>
          </cell>
          <cell r="E1464">
            <v>73269098</v>
          </cell>
          <cell r="F1464">
            <v>3</v>
          </cell>
          <cell r="G1464" t="str">
            <v xml:space="preserve">ST          </v>
          </cell>
          <cell r="H1464">
            <v>11.9</v>
          </cell>
          <cell r="I1464">
            <v>35.700000000000003</v>
          </cell>
        </row>
        <row r="1465">
          <cell r="A1465" t="str">
            <v>15-591-08-07</v>
          </cell>
          <cell r="B1465" t="str">
            <v xml:space="preserve">RETRACTOR, DEAVER, 50 MM WIDE, 31.5 CM  </v>
          </cell>
          <cell r="C1465" t="str">
            <v xml:space="preserve">                                   </v>
          </cell>
          <cell r="D1465" t="str">
            <v xml:space="preserve">DE        </v>
          </cell>
          <cell r="E1465">
            <v>90189084</v>
          </cell>
          <cell r="F1465">
            <v>4</v>
          </cell>
          <cell r="G1465" t="str">
            <v xml:space="preserve">ST          </v>
          </cell>
          <cell r="H1465">
            <v>57.1</v>
          </cell>
          <cell r="I1465">
            <v>228.4</v>
          </cell>
        </row>
        <row r="1466">
          <cell r="A1466" t="str">
            <v>15-591-07-07</v>
          </cell>
          <cell r="B1466" t="str">
            <v xml:space="preserve">RETRACTOR, DEAVER, 38 MM WIDE, 32 CM    </v>
          </cell>
          <cell r="C1466" t="str">
            <v xml:space="preserve">                                   </v>
          </cell>
          <cell r="D1466" t="str">
            <v xml:space="preserve">DE        </v>
          </cell>
          <cell r="E1466">
            <v>90189084</v>
          </cell>
          <cell r="F1466">
            <v>2</v>
          </cell>
          <cell r="G1466" t="str">
            <v xml:space="preserve">ST          </v>
          </cell>
          <cell r="H1466">
            <v>39.4</v>
          </cell>
          <cell r="I1466">
            <v>78.8</v>
          </cell>
        </row>
        <row r="1467">
          <cell r="A1467" t="str">
            <v>15-611-01-07</v>
          </cell>
          <cell r="B1467" t="str">
            <v xml:space="preserve">RETRACTOR, KELLY, 205X38 MM, 27.5 CM    </v>
          </cell>
          <cell r="C1467" t="str">
            <v xml:space="preserve">                                   </v>
          </cell>
          <cell r="D1467" t="str">
            <v xml:space="preserve">DE        </v>
          </cell>
          <cell r="E1467">
            <v>90189084</v>
          </cell>
          <cell r="F1467">
            <v>2</v>
          </cell>
          <cell r="G1467" t="str">
            <v xml:space="preserve">ST          </v>
          </cell>
          <cell r="H1467">
            <v>128</v>
          </cell>
          <cell r="I1467">
            <v>256</v>
          </cell>
        </row>
        <row r="1468">
          <cell r="A1468" t="str">
            <v>09-008-24-07</v>
          </cell>
          <cell r="B1468" t="str">
            <v xml:space="preserve">Retractor, Morris, 70x50 mm, 24 cm      </v>
          </cell>
          <cell r="C1468" t="str">
            <v xml:space="preserve">                                   </v>
          </cell>
          <cell r="D1468" t="str">
            <v xml:space="preserve">DE        </v>
          </cell>
          <cell r="E1468">
            <v>90189084</v>
          </cell>
          <cell r="F1468">
            <v>2</v>
          </cell>
          <cell r="G1468" t="str">
            <v xml:space="preserve">ST          </v>
          </cell>
          <cell r="H1468">
            <v>141.5</v>
          </cell>
          <cell r="I1468">
            <v>283</v>
          </cell>
        </row>
        <row r="1469">
          <cell r="A1469" t="str">
            <v>15-293-03-07</v>
          </cell>
          <cell r="B1469" t="str">
            <v>RETRACTOR, LANGENBECK, 30X15 MM, 21,5 CM</v>
          </cell>
          <cell r="C1469" t="str">
            <v xml:space="preserve">                                   </v>
          </cell>
          <cell r="D1469" t="str">
            <v xml:space="preserve">DE        </v>
          </cell>
          <cell r="E1469">
            <v>90189084</v>
          </cell>
          <cell r="F1469">
            <v>2</v>
          </cell>
          <cell r="G1469" t="str">
            <v xml:space="preserve">ST          </v>
          </cell>
          <cell r="H1469">
            <v>41.1</v>
          </cell>
          <cell r="I1469">
            <v>82.2</v>
          </cell>
        </row>
        <row r="1470">
          <cell r="A1470" t="str">
            <v>15-858-00-07</v>
          </cell>
          <cell r="B1470" t="str">
            <v>ABDOMIN. RETRACTOR, BALFOUR, WIRE BLADES</v>
          </cell>
          <cell r="C1470" t="str">
            <v xml:space="preserve">                                   </v>
          </cell>
          <cell r="D1470" t="str">
            <v xml:space="preserve">DE        </v>
          </cell>
          <cell r="E1470">
            <v>90189084</v>
          </cell>
          <cell r="F1470">
            <v>1</v>
          </cell>
          <cell r="G1470" t="str">
            <v xml:space="preserve">ST          </v>
          </cell>
          <cell r="H1470">
            <v>388.5</v>
          </cell>
          <cell r="I1470">
            <v>388.5</v>
          </cell>
        </row>
        <row r="1471">
          <cell r="A1471" t="str">
            <v>10-100-04-07</v>
          </cell>
          <cell r="B1471" t="str">
            <v xml:space="preserve">SCALPEL HANDLE, NO. 4, 13.5 CM          </v>
          </cell>
          <cell r="C1471" t="str">
            <v xml:space="preserve">                                   </v>
          </cell>
          <cell r="D1471" t="str">
            <v xml:space="preserve">DE        </v>
          </cell>
          <cell r="E1471">
            <v>90189084</v>
          </cell>
          <cell r="F1471">
            <v>1</v>
          </cell>
          <cell r="G1471" t="str">
            <v xml:space="preserve">ST          </v>
          </cell>
          <cell r="H1471">
            <v>6.81</v>
          </cell>
          <cell r="I1471">
            <v>6.81</v>
          </cell>
        </row>
        <row r="1472">
          <cell r="A1472" t="str">
            <v>10-130-03-07</v>
          </cell>
          <cell r="B1472" t="str">
            <v xml:space="preserve">SCALPEL HANDLE, NO. 3, 12 CM            </v>
          </cell>
          <cell r="C1472" t="str">
            <v xml:space="preserve">                                   </v>
          </cell>
          <cell r="D1472" t="str">
            <v xml:space="preserve">DE        </v>
          </cell>
          <cell r="E1472">
            <v>90189084</v>
          </cell>
          <cell r="F1472">
            <v>1</v>
          </cell>
          <cell r="G1472" t="str">
            <v xml:space="preserve">ST          </v>
          </cell>
          <cell r="H1472">
            <v>13.1</v>
          </cell>
          <cell r="I1472">
            <v>13.1</v>
          </cell>
        </row>
        <row r="1473">
          <cell r="A1473" t="str">
            <v>13-411-20-07</v>
          </cell>
          <cell r="B1473" t="str">
            <v>HAEMOSTATIC FORCEPS, PEAN, CRV., 20.5 CM</v>
          </cell>
          <cell r="C1473" t="str">
            <v xml:space="preserve">                                   </v>
          </cell>
          <cell r="D1473" t="str">
            <v xml:space="preserve">MY        </v>
          </cell>
          <cell r="E1473">
            <v>90189084</v>
          </cell>
          <cell r="F1473">
            <v>8</v>
          </cell>
          <cell r="G1473" t="str">
            <v xml:space="preserve">ST          </v>
          </cell>
          <cell r="H1473">
            <v>35.9</v>
          </cell>
          <cell r="I1473">
            <v>287.2</v>
          </cell>
        </row>
        <row r="1474">
          <cell r="A1474" t="str">
            <v>13-311-12-07</v>
          </cell>
          <cell r="B1474" t="str">
            <v xml:space="preserve">HAEM. FORCEPS, MOSQUITO, CVD., 12 CM    </v>
          </cell>
          <cell r="C1474" t="str">
            <v xml:space="preserve">                                   </v>
          </cell>
          <cell r="D1474" t="str">
            <v xml:space="preserve">MY        </v>
          </cell>
          <cell r="E1474">
            <v>90189084</v>
          </cell>
          <cell r="F1474">
            <v>4</v>
          </cell>
          <cell r="G1474" t="str">
            <v xml:space="preserve">ST          </v>
          </cell>
          <cell r="H1474">
            <v>23.9</v>
          </cell>
          <cell r="I1474">
            <v>95.6</v>
          </cell>
        </row>
        <row r="1475">
          <cell r="A1475" t="str">
            <v>13-451-18-07</v>
          </cell>
          <cell r="B1475" t="str">
            <v xml:space="preserve">DISS. FORCEPS, GEMINI, STR. CVD., 18 CM </v>
          </cell>
          <cell r="C1475" t="str">
            <v xml:space="preserve">                                   </v>
          </cell>
          <cell r="D1475" t="str">
            <v xml:space="preserve">DE        </v>
          </cell>
          <cell r="E1475">
            <v>90189084</v>
          </cell>
          <cell r="F1475">
            <v>2</v>
          </cell>
          <cell r="G1475" t="str">
            <v xml:space="preserve">ST          </v>
          </cell>
          <cell r="H1475">
            <v>56.6</v>
          </cell>
          <cell r="I1475">
            <v>113.2</v>
          </cell>
        </row>
        <row r="1476">
          <cell r="A1476" t="str">
            <v>13-451-20-07</v>
          </cell>
          <cell r="B1476" t="str">
            <v xml:space="preserve">DISS. FORCEPS, GEMINI, STR. CVD., 21 CM </v>
          </cell>
          <cell r="C1476" t="str">
            <v xml:space="preserve">                                   </v>
          </cell>
          <cell r="D1476" t="str">
            <v xml:space="preserve">DE        </v>
          </cell>
          <cell r="E1476">
            <v>90189084</v>
          </cell>
          <cell r="F1476">
            <v>2</v>
          </cell>
          <cell r="G1476" t="str">
            <v xml:space="preserve">ST          </v>
          </cell>
          <cell r="H1476">
            <v>67.5</v>
          </cell>
          <cell r="I1476">
            <v>135</v>
          </cell>
        </row>
        <row r="1477">
          <cell r="A1477" t="str">
            <v>20-390-18-07</v>
          </cell>
          <cell r="B1477" t="str">
            <v xml:space="preserve">NEEDLEHOLDER, MAYO-HEGAR, 18.5 CM       </v>
          </cell>
          <cell r="C1477" t="str">
            <v xml:space="preserve">                                   </v>
          </cell>
          <cell r="D1477" t="str">
            <v xml:space="preserve">MY        </v>
          </cell>
          <cell r="E1477">
            <v>90189084</v>
          </cell>
          <cell r="F1477">
            <v>2</v>
          </cell>
          <cell r="G1477" t="str">
            <v xml:space="preserve">ST          </v>
          </cell>
          <cell r="H1477">
            <v>28</v>
          </cell>
          <cell r="I1477">
            <v>56</v>
          </cell>
        </row>
        <row r="1478">
          <cell r="A1478" t="str">
            <v>20-390-20-07</v>
          </cell>
          <cell r="B1478" t="str">
            <v xml:space="preserve">NEEDLEHOLDER, MAYO-HEGAR, 20.5 CM       </v>
          </cell>
          <cell r="C1478" t="str">
            <v xml:space="preserve">                                   </v>
          </cell>
          <cell r="D1478" t="str">
            <v xml:space="preserve">MY        </v>
          </cell>
          <cell r="E1478">
            <v>90189084</v>
          </cell>
          <cell r="F1478">
            <v>1</v>
          </cell>
          <cell r="G1478" t="str">
            <v xml:space="preserve">ST          </v>
          </cell>
          <cell r="H1478">
            <v>30</v>
          </cell>
          <cell r="I1478">
            <v>30</v>
          </cell>
        </row>
        <row r="1479">
          <cell r="A1479" t="str">
            <v>20-390-24-07</v>
          </cell>
          <cell r="B1479" t="str">
            <v xml:space="preserve">NEEDLEHOLDER, MAYO-HEGAR, 24 CM         </v>
          </cell>
          <cell r="C1479" t="str">
            <v xml:space="preserve">                                   </v>
          </cell>
          <cell r="D1479" t="str">
            <v xml:space="preserve">MY        </v>
          </cell>
          <cell r="E1479">
            <v>90189084</v>
          </cell>
          <cell r="F1479">
            <v>1</v>
          </cell>
          <cell r="G1479" t="str">
            <v xml:space="preserve">ST          </v>
          </cell>
          <cell r="H1479">
            <v>35.5</v>
          </cell>
          <cell r="I1479">
            <v>35.5</v>
          </cell>
        </row>
        <row r="1480">
          <cell r="A1480" t="str">
            <v>11-285-18-07</v>
          </cell>
          <cell r="B1480" t="str">
            <v xml:space="preserve">DISSECTING SCISSORS, CVD., 18 CM        </v>
          </cell>
          <cell r="C1480" t="str">
            <v xml:space="preserve">                                   </v>
          </cell>
          <cell r="D1480" t="str">
            <v xml:space="preserve">DE        </v>
          </cell>
          <cell r="E1480">
            <v>90189084</v>
          </cell>
          <cell r="F1480">
            <v>4</v>
          </cell>
          <cell r="G1480" t="str">
            <v xml:space="preserve">ST          </v>
          </cell>
          <cell r="H1480">
            <v>24.1</v>
          </cell>
          <cell r="I1480">
            <v>96.4</v>
          </cell>
        </row>
        <row r="1481">
          <cell r="A1481" t="str">
            <v>11-826-13-07</v>
          </cell>
          <cell r="B1481" t="str">
            <v xml:space="preserve">LIGATURE SCISSORS, SPENCER, STR., 13 CM </v>
          </cell>
          <cell r="C1481" t="str">
            <v xml:space="preserve">                                   </v>
          </cell>
          <cell r="D1481" t="str">
            <v xml:space="preserve">DE        </v>
          </cell>
          <cell r="E1481">
            <v>90189084</v>
          </cell>
          <cell r="F1481">
            <v>1</v>
          </cell>
          <cell r="G1481" t="str">
            <v xml:space="preserve">ST          </v>
          </cell>
          <cell r="H1481">
            <v>43.9</v>
          </cell>
          <cell r="I1481">
            <v>43.9</v>
          </cell>
        </row>
        <row r="1482">
          <cell r="A1482" t="str">
            <v>13-410-20-07</v>
          </cell>
          <cell r="B1482" t="str">
            <v>HAEMOSTATIC FORCEPS, PEAN, STR., 20.5 CM</v>
          </cell>
          <cell r="C1482" t="str">
            <v xml:space="preserve">                                   </v>
          </cell>
          <cell r="D1482" t="str">
            <v xml:space="preserve">MY        </v>
          </cell>
          <cell r="E1482">
            <v>90189084</v>
          </cell>
          <cell r="F1482">
            <v>1</v>
          </cell>
          <cell r="G1482" t="str">
            <v xml:space="preserve">ST          </v>
          </cell>
          <cell r="H1482">
            <v>36</v>
          </cell>
          <cell r="I1482">
            <v>36</v>
          </cell>
        </row>
        <row r="1483">
          <cell r="A1483" t="str">
            <v>15-174-15-07</v>
          </cell>
          <cell r="B1483" t="str">
            <v xml:space="preserve">HOOKLET, MALLEABLE SHAFT, 15 MM, 24 CM  </v>
          </cell>
          <cell r="C1483" t="str">
            <v xml:space="preserve">                                   </v>
          </cell>
          <cell r="D1483" t="str">
            <v xml:space="preserve">DE        </v>
          </cell>
          <cell r="E1483">
            <v>90189084</v>
          </cell>
          <cell r="F1483">
            <v>1</v>
          </cell>
          <cell r="G1483" t="str">
            <v xml:space="preserve">ST          </v>
          </cell>
          <cell r="H1483">
            <v>157.5</v>
          </cell>
          <cell r="I1483">
            <v>157.5</v>
          </cell>
        </row>
        <row r="1484">
          <cell r="A1484" t="str">
            <v>15-174-11-07</v>
          </cell>
          <cell r="B1484" t="str">
            <v xml:space="preserve">HOOKLET, MALLEABLE SHAFT, 11 MM, 24 CM  </v>
          </cell>
          <cell r="C1484" t="str">
            <v xml:space="preserve">                                   </v>
          </cell>
          <cell r="D1484" t="str">
            <v xml:space="preserve">DE        </v>
          </cell>
          <cell r="E1484">
            <v>90189084</v>
          </cell>
          <cell r="F1484">
            <v>1</v>
          </cell>
          <cell r="G1484" t="str">
            <v xml:space="preserve">ST          </v>
          </cell>
          <cell r="H1484">
            <v>157.5</v>
          </cell>
          <cell r="I1484">
            <v>157.5</v>
          </cell>
        </row>
        <row r="1485">
          <cell r="A1485" t="str">
            <v>15-174-20-07</v>
          </cell>
          <cell r="B1485" t="str">
            <v xml:space="preserve">HOOKLET, MALLEABLE SHAFT, 20 MM, 24 CM  </v>
          </cell>
          <cell r="C1485" t="str">
            <v xml:space="preserve">                                   </v>
          </cell>
          <cell r="D1485" t="str">
            <v xml:space="preserve">DE        </v>
          </cell>
          <cell r="E1485">
            <v>90189084</v>
          </cell>
          <cell r="F1485">
            <v>1</v>
          </cell>
          <cell r="G1485" t="str">
            <v xml:space="preserve">ST          </v>
          </cell>
          <cell r="H1485">
            <v>157.5</v>
          </cell>
          <cell r="I1485">
            <v>157.5</v>
          </cell>
        </row>
        <row r="1486">
          <cell r="A1486" t="str">
            <v>31-103-22-07</v>
          </cell>
          <cell r="B1486" t="str">
            <v>KIDNEY STONE FCP., RANDALL, NO. 2, 21 CM</v>
          </cell>
          <cell r="C1486" t="str">
            <v xml:space="preserve">                                   </v>
          </cell>
          <cell r="D1486" t="str">
            <v xml:space="preserve">DE        </v>
          </cell>
          <cell r="E1486">
            <v>90189084</v>
          </cell>
          <cell r="F1486">
            <v>2</v>
          </cell>
          <cell r="G1486" t="str">
            <v xml:space="preserve">ST          </v>
          </cell>
          <cell r="H1486">
            <v>142.5</v>
          </cell>
          <cell r="I1486">
            <v>285</v>
          </cell>
        </row>
        <row r="1487">
          <cell r="A1487" t="str">
            <v>31-105-22-07</v>
          </cell>
          <cell r="B1487" t="str">
            <v>KIDNEY STONE FCP., RANDALL, NO. 3, 19 CM</v>
          </cell>
          <cell r="C1487" t="str">
            <v xml:space="preserve">                                   </v>
          </cell>
          <cell r="D1487" t="str">
            <v xml:space="preserve">DE        </v>
          </cell>
          <cell r="E1487">
            <v>90189084</v>
          </cell>
          <cell r="F1487">
            <v>2</v>
          </cell>
          <cell r="G1487" t="str">
            <v xml:space="preserve">ST          </v>
          </cell>
          <cell r="H1487">
            <v>152.5</v>
          </cell>
          <cell r="I1487">
            <v>305</v>
          </cell>
        </row>
        <row r="1488">
          <cell r="A1488" t="str">
            <v>31-223-23-07</v>
          </cell>
          <cell r="B1488" t="str">
            <v xml:space="preserve">GALLSTONE FORCEPS,DESJARDINS, NO.1 23cm </v>
          </cell>
          <cell r="C1488" t="str">
            <v xml:space="preserve">                                   </v>
          </cell>
          <cell r="D1488" t="str">
            <v xml:space="preserve">DE        </v>
          </cell>
          <cell r="E1488">
            <v>90189084</v>
          </cell>
          <cell r="F1488">
            <v>2</v>
          </cell>
          <cell r="G1488" t="str">
            <v xml:space="preserve">ST          </v>
          </cell>
          <cell r="H1488">
            <v>121</v>
          </cell>
          <cell r="I1488">
            <v>242</v>
          </cell>
        </row>
        <row r="1489">
          <cell r="A1489" t="str">
            <v>37-545-18-07</v>
          </cell>
          <cell r="B1489" t="str">
            <v xml:space="preserve">ELEVATOR, FREER, SH/BL, W/O PIN, 18 CM  </v>
          </cell>
          <cell r="C1489" t="str">
            <v xml:space="preserve">                                   </v>
          </cell>
          <cell r="D1489" t="str">
            <v xml:space="preserve">DE        </v>
          </cell>
          <cell r="E1489">
            <v>90189084</v>
          </cell>
          <cell r="F1489">
            <v>1</v>
          </cell>
          <cell r="G1489" t="str">
            <v xml:space="preserve">ST          </v>
          </cell>
          <cell r="H1489">
            <v>36.200000000000003</v>
          </cell>
          <cell r="I1489">
            <v>36.200000000000003</v>
          </cell>
        </row>
        <row r="1490">
          <cell r="A1490" t="str">
            <v>13-529-23-07</v>
          </cell>
          <cell r="B1490" t="str">
            <v xml:space="preserve">ATR. KIDNEY PEDI. FORCEPS, GUYON, 23 CM </v>
          </cell>
          <cell r="C1490" t="str">
            <v xml:space="preserve">                                   </v>
          </cell>
          <cell r="D1490" t="str">
            <v xml:space="preserve">MY        </v>
          </cell>
          <cell r="E1490">
            <v>90189084</v>
          </cell>
          <cell r="F1490">
            <v>1</v>
          </cell>
          <cell r="G1490" t="str">
            <v xml:space="preserve">ST          </v>
          </cell>
          <cell r="H1490">
            <v>193.5</v>
          </cell>
          <cell r="I1490">
            <v>193.5</v>
          </cell>
        </row>
        <row r="1491">
          <cell r="A1491" t="str">
            <v>13-529-24-07</v>
          </cell>
          <cell r="B1491" t="str">
            <v xml:space="preserve">ATR. KIDNEY PEDI. FORCEPS, GUYON, 24 CM </v>
          </cell>
          <cell r="C1491" t="str">
            <v xml:space="preserve">                                   </v>
          </cell>
          <cell r="D1491" t="str">
            <v xml:space="preserve">MY        </v>
          </cell>
          <cell r="E1491">
            <v>90189084</v>
          </cell>
          <cell r="F1491">
            <v>1</v>
          </cell>
          <cell r="G1491" t="str">
            <v xml:space="preserve">ST          </v>
          </cell>
          <cell r="H1491">
            <v>193.5</v>
          </cell>
          <cell r="I1491">
            <v>193.5</v>
          </cell>
        </row>
        <row r="1492">
          <cell r="A1492" t="str">
            <v>30-134-25-07</v>
          </cell>
          <cell r="B1492" t="str">
            <v xml:space="preserve">TISSUE FORCEPS, ALLIS, 5X6 T., 25.5 CM  </v>
          </cell>
          <cell r="C1492" t="str">
            <v xml:space="preserve">                                   </v>
          </cell>
          <cell r="D1492" t="str">
            <v xml:space="preserve">MY        </v>
          </cell>
          <cell r="E1492">
            <v>90189084</v>
          </cell>
          <cell r="F1492">
            <v>3</v>
          </cell>
          <cell r="G1492" t="str">
            <v xml:space="preserve">ST          </v>
          </cell>
          <cell r="H1492">
            <v>96.9</v>
          </cell>
          <cell r="I1492">
            <v>290.7</v>
          </cell>
        </row>
        <row r="1493">
          <cell r="A1493" t="str">
            <v>13-415-26-07</v>
          </cell>
          <cell r="B1493" t="str">
            <v xml:space="preserve">FORCEPS, KOCHER, 1X2 T., CVD., 26 CM    </v>
          </cell>
          <cell r="C1493" t="str">
            <v xml:space="preserve">                                   </v>
          </cell>
          <cell r="D1493" t="str">
            <v xml:space="preserve">MY        </v>
          </cell>
          <cell r="E1493">
            <v>90189084</v>
          </cell>
          <cell r="F1493">
            <v>3</v>
          </cell>
          <cell r="G1493" t="str">
            <v xml:space="preserve">ST          </v>
          </cell>
          <cell r="H1493">
            <v>79.599999999999994</v>
          </cell>
          <cell r="I1493">
            <v>238.8</v>
          </cell>
        </row>
        <row r="1494">
          <cell r="A1494" t="str">
            <v>30-192-20-07</v>
          </cell>
          <cell r="B1494" t="str">
            <v xml:space="preserve">TISSUE FORCEPS, BABCOCK, 21 CM          </v>
          </cell>
          <cell r="C1494" t="str">
            <v xml:space="preserve">                                   </v>
          </cell>
          <cell r="D1494" t="str">
            <v xml:space="preserve">MY        </v>
          </cell>
          <cell r="E1494">
            <v>90189084</v>
          </cell>
          <cell r="F1494">
            <v>3</v>
          </cell>
          <cell r="G1494" t="str">
            <v xml:space="preserve">ST          </v>
          </cell>
          <cell r="H1494">
            <v>90.2</v>
          </cell>
          <cell r="I1494">
            <v>270.60000000000002</v>
          </cell>
        </row>
        <row r="1495">
          <cell r="A1495" t="str">
            <v>13-443-03-07</v>
          </cell>
          <cell r="B1495" t="str">
            <v xml:space="preserve">DISS. FORCEPS, OVERHOLT, NO. 3, 21.5 CM </v>
          </cell>
          <cell r="C1495" t="str">
            <v xml:space="preserve">                                   </v>
          </cell>
          <cell r="D1495" t="str">
            <v xml:space="preserve">DE        </v>
          </cell>
          <cell r="E1495">
            <v>90189084</v>
          </cell>
          <cell r="F1495">
            <v>1</v>
          </cell>
          <cell r="G1495" t="str">
            <v xml:space="preserve">ST          </v>
          </cell>
          <cell r="H1495">
            <v>62.5</v>
          </cell>
          <cell r="I1495">
            <v>62.5</v>
          </cell>
        </row>
        <row r="1496">
          <cell r="A1496" t="str">
            <v>13-448-03-07</v>
          </cell>
          <cell r="B1496" t="str">
            <v xml:space="preserve">FORCEPS, OVERHOLT, FINE, CVD., 23 CM    </v>
          </cell>
          <cell r="C1496" t="str">
            <v xml:space="preserve">                                   </v>
          </cell>
          <cell r="D1496" t="str">
            <v xml:space="preserve">DE        </v>
          </cell>
          <cell r="E1496">
            <v>90189084</v>
          </cell>
          <cell r="F1496">
            <v>1</v>
          </cell>
          <cell r="G1496" t="str">
            <v xml:space="preserve">ST          </v>
          </cell>
          <cell r="H1496">
            <v>104</v>
          </cell>
          <cell r="I1496">
            <v>104</v>
          </cell>
        </row>
        <row r="1497">
          <cell r="A1497" t="str">
            <v>18-543-27-01</v>
          </cell>
          <cell r="B1497" t="str">
            <v>Suct. tube, Yankauer, compl.,ø9,4mm,31cm</v>
          </cell>
          <cell r="C1497" t="str">
            <v xml:space="preserve">                                   </v>
          </cell>
          <cell r="D1497" t="str">
            <v xml:space="preserve">DE        </v>
          </cell>
          <cell r="E1497">
            <v>90189084</v>
          </cell>
          <cell r="F1497">
            <v>1</v>
          </cell>
          <cell r="G1497" t="str">
            <v xml:space="preserve">ST          </v>
          </cell>
          <cell r="H1497">
            <v>43.1</v>
          </cell>
          <cell r="I1497">
            <v>43.1</v>
          </cell>
        </row>
        <row r="1498">
          <cell r="A1498" t="str">
            <v>13-915-13-07</v>
          </cell>
          <cell r="B1498" t="str">
            <v xml:space="preserve">TOWEL FORCEPS, BACKHAUS, SHARP, 13 CM   </v>
          </cell>
          <cell r="C1498" t="str">
            <v xml:space="preserve">                                   </v>
          </cell>
          <cell r="D1498" t="str">
            <v xml:space="preserve">MY        </v>
          </cell>
          <cell r="E1498">
            <v>90189084</v>
          </cell>
          <cell r="F1498">
            <v>4</v>
          </cell>
          <cell r="G1498" t="str">
            <v xml:space="preserve">ST          </v>
          </cell>
          <cell r="H1498">
            <v>24.3</v>
          </cell>
          <cell r="I1498">
            <v>97.2</v>
          </cell>
        </row>
        <row r="1499">
          <cell r="A1499" t="str">
            <v>14-355-20-07</v>
          </cell>
          <cell r="B1499" t="str">
            <v xml:space="preserve">FORCEPS, FOERSTER, SERR., CVD., 20.5 CM </v>
          </cell>
          <cell r="C1499" t="str">
            <v xml:space="preserve">                                   </v>
          </cell>
          <cell r="D1499" t="str">
            <v xml:space="preserve">DE        </v>
          </cell>
          <cell r="E1499">
            <v>90189084</v>
          </cell>
          <cell r="F1499">
            <v>1</v>
          </cell>
          <cell r="G1499" t="str">
            <v xml:space="preserve">ST          </v>
          </cell>
          <cell r="H1499">
            <v>39.1</v>
          </cell>
          <cell r="I1499">
            <v>39.1</v>
          </cell>
        </row>
        <row r="1500">
          <cell r="A1500" t="str">
            <v>11-393-19-07</v>
          </cell>
          <cell r="B1500" t="str">
            <v xml:space="preserve">SCISSORS, ANGLED 60°, 18 CM             </v>
          </cell>
          <cell r="C1500" t="str">
            <v xml:space="preserve">                                   </v>
          </cell>
          <cell r="D1500" t="str">
            <v xml:space="preserve">DE        </v>
          </cell>
          <cell r="E1500">
            <v>90189084</v>
          </cell>
          <cell r="F1500">
            <v>1</v>
          </cell>
          <cell r="G1500" t="str">
            <v xml:space="preserve">ST          </v>
          </cell>
          <cell r="H1500">
            <v>101</v>
          </cell>
          <cell r="I1500">
            <v>101</v>
          </cell>
        </row>
        <row r="1501">
          <cell r="A1501" t="str">
            <v>23-402-19-07</v>
          </cell>
          <cell r="B1501" t="str">
            <v xml:space="preserve">RASPATORY, LANGENBECK, CVD., 19 CM      </v>
          </cell>
          <cell r="C1501" t="str">
            <v xml:space="preserve">                                   </v>
          </cell>
          <cell r="D1501" t="str">
            <v xml:space="preserve">DE        </v>
          </cell>
          <cell r="E1501">
            <v>90189084</v>
          </cell>
          <cell r="F1501">
            <v>1</v>
          </cell>
          <cell r="G1501" t="str">
            <v xml:space="preserve">ST          </v>
          </cell>
          <cell r="H1501">
            <v>40.5</v>
          </cell>
          <cell r="I1501">
            <v>40.5</v>
          </cell>
        </row>
        <row r="1502">
          <cell r="A1502" t="str">
            <v>23-441-17-07</v>
          </cell>
          <cell r="B1502" t="str">
            <v xml:space="preserve">RIB RASPATORY, DOYEN, R., ADULT, 17 CM  </v>
          </cell>
          <cell r="C1502" t="str">
            <v xml:space="preserve">                                   </v>
          </cell>
          <cell r="D1502" t="str">
            <v xml:space="preserve">DE        </v>
          </cell>
          <cell r="E1502">
            <v>90189084</v>
          </cell>
          <cell r="F1502">
            <v>1</v>
          </cell>
          <cell r="G1502" t="str">
            <v xml:space="preserve">ST          </v>
          </cell>
          <cell r="H1502">
            <v>64.400000000000006</v>
          </cell>
          <cell r="I1502">
            <v>64.400000000000006</v>
          </cell>
        </row>
        <row r="1503">
          <cell r="A1503" t="str">
            <v>23-443-17-07</v>
          </cell>
          <cell r="B1503" t="str">
            <v xml:space="preserve">RIB RASPATORY, DOYEN, L., ADULT, 17 CM  </v>
          </cell>
          <cell r="C1503" t="str">
            <v xml:space="preserve">                                   </v>
          </cell>
          <cell r="D1503" t="str">
            <v xml:space="preserve">DE        </v>
          </cell>
          <cell r="E1503">
            <v>90189084</v>
          </cell>
          <cell r="F1503">
            <v>1</v>
          </cell>
          <cell r="G1503" t="str">
            <v xml:space="preserve">ST          </v>
          </cell>
          <cell r="H1503">
            <v>64.400000000000006</v>
          </cell>
          <cell r="I1503">
            <v>64.400000000000006</v>
          </cell>
        </row>
        <row r="1504">
          <cell r="A1504" t="str">
            <v>23-954-27-07</v>
          </cell>
          <cell r="B1504" t="str">
            <v>BONE CUTT. FORCEPS, STILLE-LISTON, 28 CM</v>
          </cell>
          <cell r="C1504" t="str">
            <v xml:space="preserve">                                   </v>
          </cell>
          <cell r="D1504" t="str">
            <v xml:space="preserve">DE        </v>
          </cell>
          <cell r="E1504">
            <v>90189084</v>
          </cell>
          <cell r="F1504">
            <v>1</v>
          </cell>
          <cell r="G1504" t="str">
            <v xml:space="preserve">ST          </v>
          </cell>
          <cell r="H1504">
            <v>352.5</v>
          </cell>
          <cell r="I1504">
            <v>352.5</v>
          </cell>
        </row>
        <row r="1505">
          <cell r="A1505" t="str">
            <v>12-100-18-07</v>
          </cell>
          <cell r="B1505" t="str">
            <v xml:space="preserve">DRESSING FORCEPS, 18 CM                 </v>
          </cell>
          <cell r="C1505" t="str">
            <v xml:space="preserve">                                   </v>
          </cell>
          <cell r="D1505" t="str">
            <v xml:space="preserve">MY        </v>
          </cell>
          <cell r="E1505">
            <v>90189084</v>
          </cell>
          <cell r="F1505">
            <v>3</v>
          </cell>
          <cell r="G1505" t="str">
            <v xml:space="preserve">ST          </v>
          </cell>
          <cell r="H1505">
            <v>11.9</v>
          </cell>
          <cell r="I1505">
            <v>35.700000000000003</v>
          </cell>
        </row>
        <row r="1506">
          <cell r="A1506" t="str">
            <v>12-100-20-07</v>
          </cell>
          <cell r="B1506" t="str">
            <v xml:space="preserve">DRESSING FORCEPS, 20 CM                 </v>
          </cell>
          <cell r="C1506" t="str">
            <v xml:space="preserve">                                   </v>
          </cell>
          <cell r="D1506" t="str">
            <v xml:space="preserve">MY        </v>
          </cell>
          <cell r="E1506">
            <v>90189084</v>
          </cell>
          <cell r="F1506">
            <v>1</v>
          </cell>
          <cell r="G1506" t="str">
            <v xml:space="preserve">ST          </v>
          </cell>
          <cell r="H1506">
            <v>21.2</v>
          </cell>
          <cell r="I1506">
            <v>21.2</v>
          </cell>
        </row>
        <row r="1507">
          <cell r="A1507" t="str">
            <v>12-100-23-07</v>
          </cell>
          <cell r="B1507" t="str">
            <v xml:space="preserve">DRESSING FORCEPS, 23 CM                 </v>
          </cell>
          <cell r="C1507" t="str">
            <v xml:space="preserve">                                   </v>
          </cell>
          <cell r="D1507" t="str">
            <v xml:space="preserve">MY        </v>
          </cell>
          <cell r="E1507">
            <v>90189084</v>
          </cell>
          <cell r="F1507">
            <v>1</v>
          </cell>
          <cell r="G1507" t="str">
            <v xml:space="preserve">ST          </v>
          </cell>
          <cell r="H1507">
            <v>19</v>
          </cell>
          <cell r="I1507">
            <v>19</v>
          </cell>
        </row>
        <row r="1508">
          <cell r="A1508" t="str">
            <v>12-301-20-07</v>
          </cell>
          <cell r="B1508" t="str">
            <v xml:space="preserve">TISSUE FORCEPS, 1X2 T., 20.5 CM         </v>
          </cell>
          <cell r="C1508" t="str">
            <v xml:space="preserve">                                   </v>
          </cell>
          <cell r="D1508" t="str">
            <v xml:space="preserve">MY        </v>
          </cell>
          <cell r="E1508">
            <v>90189084</v>
          </cell>
          <cell r="F1508">
            <v>3</v>
          </cell>
          <cell r="G1508" t="str">
            <v xml:space="preserve">ST          </v>
          </cell>
          <cell r="H1508">
            <v>15.9</v>
          </cell>
          <cell r="I1508">
            <v>47.7</v>
          </cell>
        </row>
        <row r="1510">
          <cell r="D1510" t="str">
            <v>TOTAL:</v>
          </cell>
          <cell r="I1510">
            <v>205887.20000000036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SC EGYPT Martin"/>
    </sheetNames>
    <sheetDataSet>
      <sheetData sheetId="0">
        <row r="1">
          <cell r="B1" t="str">
            <v>Article number</v>
          </cell>
          <cell r="C1" t="str">
            <v>Produktbezeichnung (Deutsch)</v>
          </cell>
          <cell r="D1" t="str">
            <v>Product Name (English)</v>
          </cell>
        </row>
        <row r="2">
          <cell r="B2" t="str">
            <v>09-000-40-07</v>
          </cell>
          <cell r="C2" t="str">
            <v>Kapselschere, Resano, aufgew., 24,5 cm</v>
          </cell>
          <cell r="D2" t="str">
            <v>Capsule scissors, Resano, ang., 24.5 cm</v>
          </cell>
        </row>
        <row r="3">
          <cell r="B3" t="str">
            <v>09-000-60-07</v>
          </cell>
          <cell r="C3" t="str">
            <v>Nagelspaltschere, Systrunk,  ger., 13 cm</v>
          </cell>
          <cell r="D3" t="str">
            <v>Scissors, Systrunk,  str., 13 cm</v>
          </cell>
        </row>
        <row r="4">
          <cell r="B4" t="str">
            <v>09-003-52-07</v>
          </cell>
          <cell r="C4" t="str">
            <v>Schere, Rektum, Müller, S-Form, 32,5 cm</v>
          </cell>
          <cell r="D4" t="str">
            <v>Scissors, rectal, Mueller, S-sh., 32.5cm</v>
          </cell>
        </row>
        <row r="5">
          <cell r="B5" t="str">
            <v>09-003-53-07</v>
          </cell>
          <cell r="C5" t="str">
            <v>Pinzette,  Adson, Lochgr., 1x2 Z., 12 cm</v>
          </cell>
          <cell r="D5" t="str">
            <v>Forceps, Adson, perfor., 1x2 t., 12 cm</v>
          </cell>
        </row>
        <row r="6">
          <cell r="B6" t="str">
            <v>09-003-54-07</v>
          </cell>
          <cell r="C6" t="str">
            <v>Pinzette,  Adson, Lochgr., 1x2 Z., 15 cm</v>
          </cell>
          <cell r="D6" t="str">
            <v>Forceps, Adson, perfor., 1x2 t., 15 cm</v>
          </cell>
        </row>
        <row r="7">
          <cell r="B7" t="str">
            <v>09-003-55-07</v>
          </cell>
          <cell r="C7" t="str">
            <v>Pinzette,  De Bakey, atr., 3,5 mm, 35 cm</v>
          </cell>
          <cell r="D7" t="str">
            <v>Atr. Forceps, De Bakey, 3.5 mm, 35 cm</v>
          </cell>
        </row>
        <row r="8">
          <cell r="B8" t="str">
            <v>09-003-57-99</v>
          </cell>
          <cell r="C8" t="str">
            <v>Haken, Hess, 3 mm, 18 cm</v>
          </cell>
          <cell r="D8" t="str">
            <v>Retractor,  Hess, 3 mm, 18 cm</v>
          </cell>
        </row>
        <row r="9">
          <cell r="B9" t="str">
            <v>09-003-58-99</v>
          </cell>
          <cell r="C9" t="str">
            <v>Haken, Hess, 5 mm, 18 cm</v>
          </cell>
          <cell r="D9" t="str">
            <v>Retractor,  Hess, 5 mm, 18 cm</v>
          </cell>
        </row>
        <row r="10">
          <cell r="B10" t="str">
            <v>09-003-59-99</v>
          </cell>
          <cell r="C10" t="str">
            <v>Haken, Hess, 7 mm, 18 cm</v>
          </cell>
          <cell r="D10" t="str">
            <v>Retractor,  Hess, 7 mm, 18 cm</v>
          </cell>
        </row>
        <row r="11">
          <cell r="B11" t="str">
            <v>09-003-60-99</v>
          </cell>
          <cell r="C11" t="str">
            <v>Haken, Love, Fig. 1, 21,5 cm</v>
          </cell>
          <cell r="D11" t="str">
            <v>Retractor,  Love, No. 1, 21.5 cm</v>
          </cell>
        </row>
        <row r="12">
          <cell r="B12" t="str">
            <v>09-003-61-99</v>
          </cell>
          <cell r="C12" t="str">
            <v>Haken, Love, Fig. 2, 17,5 cm</v>
          </cell>
          <cell r="D12" t="str">
            <v>Retractor,  Love, No. 2, 17.5 cm</v>
          </cell>
        </row>
        <row r="13">
          <cell r="B13" t="str">
            <v>09-003-62-99</v>
          </cell>
          <cell r="C13" t="str">
            <v>Haken, Love, 4 mm, 21 cm</v>
          </cell>
          <cell r="D13" t="str">
            <v>Retractor,  Love, 4 mm, 21 cm</v>
          </cell>
        </row>
        <row r="14">
          <cell r="B14" t="str">
            <v>09-003-63-99</v>
          </cell>
          <cell r="C14" t="str">
            <v>Haken, Love, Fig. 3, 11 cm</v>
          </cell>
          <cell r="D14" t="str">
            <v>Retractor,  Love, No. 3, 11 cm</v>
          </cell>
        </row>
        <row r="15">
          <cell r="B15" t="str">
            <v>09-003-64-99</v>
          </cell>
          <cell r="C15" t="str">
            <v>Spatel, Olivecrona, konkav, 7/9 mm</v>
          </cell>
          <cell r="D15" t="str">
            <v>Spatula, Olivecr., conc., 7/9 mm</v>
          </cell>
        </row>
        <row r="16">
          <cell r="B16" t="str">
            <v>09-003-65-99</v>
          </cell>
          <cell r="C16" t="str">
            <v>Spatel, Olivecrona, konkav, 11/13 mm</v>
          </cell>
          <cell r="D16" t="str">
            <v>Spatula, Olivecr., conc., 11/13 mm</v>
          </cell>
        </row>
        <row r="17">
          <cell r="B17" t="str">
            <v>09-003-66-99</v>
          </cell>
          <cell r="C17" t="str">
            <v>Spatel, Olivecrona, konkav, 15/18 mm</v>
          </cell>
          <cell r="D17" t="str">
            <v>Spatula, Olivecr., conc., 15/18 mm</v>
          </cell>
        </row>
        <row r="18">
          <cell r="B18" t="str">
            <v>09-003-67-99</v>
          </cell>
          <cell r="C18" t="str">
            <v>Spatel, Olivecrona, konkav, 18/22 mm</v>
          </cell>
          <cell r="D18" t="str">
            <v>Spatula, Olivecr., conc., 18/22 mm</v>
          </cell>
        </row>
        <row r="19">
          <cell r="B19" t="str">
            <v>09-003-68-99</v>
          </cell>
          <cell r="C19" t="str">
            <v>Spatel, Olivecrona, konvex, 7/9 mm</v>
          </cell>
          <cell r="D19" t="str">
            <v>Spatula, Olivecr., conv., 7/9 mm</v>
          </cell>
        </row>
        <row r="20">
          <cell r="B20" t="str">
            <v>09-003-69-99</v>
          </cell>
          <cell r="C20" t="str">
            <v>Spatel, Olivecrona, konvex, 11/13 mm</v>
          </cell>
          <cell r="D20" t="str">
            <v>Spatula, Olivecr., conv., 11/13 mm</v>
          </cell>
        </row>
        <row r="21">
          <cell r="B21" t="str">
            <v>09-003-70-99</v>
          </cell>
          <cell r="C21" t="str">
            <v>Spatel, Olivecrona, konvex, 15/18 mm</v>
          </cell>
          <cell r="D21" t="str">
            <v>Spatula, Olivecr., conv., 15/18 mm</v>
          </cell>
        </row>
        <row r="22">
          <cell r="B22" t="str">
            <v>09-003-71-99</v>
          </cell>
          <cell r="C22" t="str">
            <v>Spatel, Olivecrona, konvex, 18/22 mm</v>
          </cell>
          <cell r="D22" t="str">
            <v>Spatula, Olivecr., conv., 18/22 mm</v>
          </cell>
        </row>
        <row r="23">
          <cell r="B23" t="str">
            <v>09-003-72-99</v>
          </cell>
          <cell r="C23" t="str">
            <v>Haken, Scoville, ger., 23,5 cm</v>
          </cell>
          <cell r="D23" t="str">
            <v>Retractor,  Scoville, str., 23.5 cm</v>
          </cell>
        </row>
        <row r="24">
          <cell r="B24" t="str">
            <v>09-003-73-99</v>
          </cell>
          <cell r="C24" t="str">
            <v>Haken, Holsher, geb., 24 cm</v>
          </cell>
          <cell r="D24" t="str">
            <v>Retractor,  Holsher, cvd., 24 cm</v>
          </cell>
        </row>
        <row r="25">
          <cell r="B25" t="str">
            <v>09-003-74-99</v>
          </cell>
          <cell r="C25" t="str">
            <v>Haken, Scoville, gew., 16,5 cm</v>
          </cell>
          <cell r="D25" t="str">
            <v>Retractor,  Scoville, ang., 16.5 cm</v>
          </cell>
        </row>
        <row r="26">
          <cell r="B26" t="str">
            <v>09-004-21-04</v>
          </cell>
          <cell r="C26" t="str">
            <v>Vaginalspek., Grave, isol., 76x19 mm</v>
          </cell>
          <cell r="D26" t="str">
            <v>Vaginalspec., Grave, isol., 76x19 mm</v>
          </cell>
        </row>
        <row r="27">
          <cell r="B27" t="str">
            <v>09-004-22-04</v>
          </cell>
          <cell r="C27" t="str">
            <v>Vaginalspek., Grave, isol., 101x35 mm</v>
          </cell>
          <cell r="D27" t="str">
            <v>Vaginalspec., Grave, isol., 101x35 mm</v>
          </cell>
        </row>
        <row r="28">
          <cell r="B28" t="str">
            <v>09-004-23-04</v>
          </cell>
          <cell r="C28" t="str">
            <v>Vaginalspek., Grave, isol., 120x35 mm</v>
          </cell>
          <cell r="D28" t="str">
            <v>Vaginalspec., Grave, isol., 120x35 mm</v>
          </cell>
        </row>
        <row r="29">
          <cell r="B29" t="str">
            <v>09-004-24-04</v>
          </cell>
          <cell r="C29" t="str">
            <v>Vaginalspek., Pederson,  isol., 76x13 mm</v>
          </cell>
          <cell r="D29" t="str">
            <v>Vaginalspec., Pederson,  isol., 76x13 mm</v>
          </cell>
        </row>
        <row r="30">
          <cell r="B30" t="str">
            <v>09-004-25-04</v>
          </cell>
          <cell r="C30" t="str">
            <v>Vaginalspek., Pederson,  isol., 101x22 mm</v>
          </cell>
          <cell r="D30" t="str">
            <v>Vaginalspec., Pederson,  isol., 101x22 mm</v>
          </cell>
        </row>
        <row r="31">
          <cell r="B31" t="str">
            <v>09-004-26-04</v>
          </cell>
          <cell r="C31" t="str">
            <v>Vaginalspek., Pederson,  isol., 120x25 mm</v>
          </cell>
          <cell r="D31" t="str">
            <v>Vaginalspec., Pederson,  isol., 120x25 mm</v>
          </cell>
        </row>
        <row r="32">
          <cell r="B32" t="str">
            <v>09-004-30-07</v>
          </cell>
          <cell r="C32" t="str">
            <v>Amputationsmesser, Liston, Schnitt 13 cm</v>
          </cell>
          <cell r="D32" t="str">
            <v>Amputation knife, Liston, cut 13 cm</v>
          </cell>
        </row>
        <row r="33">
          <cell r="B33" t="str">
            <v>09-004-31-07</v>
          </cell>
          <cell r="C33" t="str">
            <v>Amputationsmesser, Schnitt 160 mm, 29 cm</v>
          </cell>
          <cell r="D33" t="str">
            <v>Amputation knife, cut 160 mm, 29 cm</v>
          </cell>
        </row>
        <row r="34">
          <cell r="B34" t="str">
            <v>09-004-33-07</v>
          </cell>
          <cell r="C34" t="str">
            <v>Amputationsmesser, Liston, Schnitt 22 cm</v>
          </cell>
          <cell r="D34" t="str">
            <v>Amputation knife, Liston, cut 22 cm</v>
          </cell>
        </row>
        <row r="35">
          <cell r="B35" t="str">
            <v>09-004-34-07</v>
          </cell>
          <cell r="C35" t="str">
            <v>Amput.-Messer, Catlin, doppelschn. 16 cm</v>
          </cell>
          <cell r="D35" t="str">
            <v>Amputation knife, Catlin, dbl cut, 16cm</v>
          </cell>
        </row>
        <row r="36">
          <cell r="B36" t="str">
            <v>09-004-35-07</v>
          </cell>
          <cell r="C36" t="str">
            <v>Amput.-Messer, Catlin, doppelschn. 19 cm</v>
          </cell>
          <cell r="D36" t="str">
            <v>Amputation knife, Catlin, dbl cut, 19 cm</v>
          </cell>
        </row>
        <row r="37">
          <cell r="B37" t="str">
            <v>09-004-36-07</v>
          </cell>
          <cell r="C37" t="str">
            <v>Amput.-Messer, Catlin, doppelschn., 21cm</v>
          </cell>
          <cell r="D37" t="str">
            <v>Amputation knife, Catlin, dbl cut, 21cm</v>
          </cell>
        </row>
        <row r="38">
          <cell r="B38" t="str">
            <v>09-004-37-07</v>
          </cell>
          <cell r="C38" t="str">
            <v>Amput.-Messer, Langenbeck, Schnitt 12 cm</v>
          </cell>
          <cell r="D38" t="str">
            <v>Amputation knife, Langenbeck, cut 12 cm</v>
          </cell>
        </row>
        <row r="39">
          <cell r="B39" t="str">
            <v>09-004-38-07</v>
          </cell>
          <cell r="C39" t="str">
            <v>Amputationssäge, Charriere,  35 cm</v>
          </cell>
          <cell r="D39" t="str">
            <v>Amputation saw, Charriere,  35 cm</v>
          </cell>
        </row>
        <row r="40">
          <cell r="B40" t="str">
            <v>09-004-39-07</v>
          </cell>
          <cell r="C40" t="str">
            <v>Amputationssäge, Rust, komplett</v>
          </cell>
          <cell r="D40" t="str">
            <v>Amputation saw, Rust, complete</v>
          </cell>
        </row>
        <row r="41">
          <cell r="B41" t="str">
            <v>09-004-40-07</v>
          </cell>
          <cell r="C41" t="str">
            <v>Amputationssäge, Bier, 40,5 cm</v>
          </cell>
          <cell r="D41" t="str">
            <v>Amputation saw, Bier, 40.5 cm</v>
          </cell>
        </row>
        <row r="42">
          <cell r="B42" t="str">
            <v>09-004-41-07</v>
          </cell>
          <cell r="C42" t="str">
            <v>Amputationssäge, Charriere,  27 cm</v>
          </cell>
          <cell r="D42" t="str">
            <v>Amputation saw, Charriere,  27 cm</v>
          </cell>
        </row>
        <row r="43">
          <cell r="B43" t="str">
            <v>09-004-42-07</v>
          </cell>
          <cell r="C43" t="str">
            <v>Amputationssäge, Satterlee,  29 cm</v>
          </cell>
          <cell r="D43" t="str">
            <v>Amputation saw, Satterlee,  29 cm</v>
          </cell>
        </row>
        <row r="44">
          <cell r="B44" t="str">
            <v>09-004-43-07</v>
          </cell>
          <cell r="C44" t="str">
            <v>Ersatzsägeblatt, Charrière,  12 mm</v>
          </cell>
          <cell r="D44" t="str">
            <v>Spare saw blade, Charrière,  12 mm</v>
          </cell>
        </row>
        <row r="45">
          <cell r="B45" t="str">
            <v>09-004-44-07</v>
          </cell>
          <cell r="C45" t="str">
            <v>Ersatzsägeblatt, Charrière,  15 mm</v>
          </cell>
          <cell r="D45" t="str">
            <v>Spare saw blade, Charrière,  15 mm</v>
          </cell>
        </row>
        <row r="46">
          <cell r="B46" t="str">
            <v>09-004-45-07</v>
          </cell>
          <cell r="C46" t="str">
            <v>Ersatzsägeblatt, Charrière,  18 mm</v>
          </cell>
          <cell r="D46" t="str">
            <v>Spare saw blade, Charrière,  18 mm</v>
          </cell>
        </row>
        <row r="47">
          <cell r="B47" t="str">
            <v>09-004-46-07</v>
          </cell>
          <cell r="C47" t="str">
            <v>Ersatzsägeblatt, Rust, 6 mm</v>
          </cell>
          <cell r="D47" t="str">
            <v>Spare saw blade, Rust, 6 mm</v>
          </cell>
        </row>
        <row r="48">
          <cell r="B48" t="str">
            <v>09-004-47-07</v>
          </cell>
          <cell r="C48" t="str">
            <v>Ersatzsägeblatt, Rust, 8 mm</v>
          </cell>
          <cell r="D48" t="str">
            <v>Spare saw blade, Rust, 8 mm</v>
          </cell>
        </row>
        <row r="49">
          <cell r="B49" t="str">
            <v>09-004-48-07</v>
          </cell>
          <cell r="C49" t="str">
            <v>Ersatzsägeblatt, Rust, 12 mm</v>
          </cell>
          <cell r="D49" t="str">
            <v>Spare saw blade, Rust, 12 mm</v>
          </cell>
        </row>
        <row r="50">
          <cell r="B50" t="str">
            <v>09-004-49-07</v>
          </cell>
          <cell r="C50" t="str">
            <v>Ersatzsägeblatt, Rust, 18 mm</v>
          </cell>
          <cell r="D50" t="str">
            <v>Spare saw blade, Rust, 18 mm</v>
          </cell>
        </row>
        <row r="51">
          <cell r="B51" t="str">
            <v>09-004-50-07</v>
          </cell>
          <cell r="C51" t="str">
            <v>Ersatzsägeblatt, Bier, 4 mm</v>
          </cell>
          <cell r="D51" t="str">
            <v>Spare saw blade, Bier, 4 mm</v>
          </cell>
        </row>
        <row r="52">
          <cell r="B52" t="str">
            <v>09-004-51-07</v>
          </cell>
          <cell r="C52" t="str">
            <v>Ersatzsägeblatt, Bier, 6 mm</v>
          </cell>
          <cell r="D52" t="str">
            <v>Spare saw blade, Bier, 6 mm</v>
          </cell>
        </row>
        <row r="53">
          <cell r="B53" t="str">
            <v>09-004-52-07</v>
          </cell>
          <cell r="C53" t="str">
            <v>Ersatzsägeblatt, Bier, 8 mm</v>
          </cell>
          <cell r="D53" t="str">
            <v>Spare saw blade, Bier, 8 mm</v>
          </cell>
        </row>
        <row r="54">
          <cell r="B54" t="str">
            <v>09-004-53-07</v>
          </cell>
          <cell r="C54" t="str">
            <v>Ersatzsägeblatt, Charrière,  180 mm</v>
          </cell>
          <cell r="D54" t="str">
            <v>Spare saw blade, Charrière,  180 mm</v>
          </cell>
        </row>
        <row r="55">
          <cell r="B55" t="str">
            <v>09-004-54-07</v>
          </cell>
          <cell r="C55" t="str">
            <v>Ersatzsägeblatt, Satterlee,  200 mm</v>
          </cell>
          <cell r="D55" t="str">
            <v>Spare saw blade, Satterlee,  200 mm</v>
          </cell>
        </row>
        <row r="56">
          <cell r="B56" t="str">
            <v>09-004-55-07</v>
          </cell>
          <cell r="C56" t="str">
            <v>Stichsäge,  Langenbeck, 23,5 cm</v>
          </cell>
          <cell r="D56" t="str">
            <v>Fret saw, Langenbeck, 23.5 cm</v>
          </cell>
        </row>
        <row r="57">
          <cell r="B57" t="str">
            <v>09-004-56-07</v>
          </cell>
          <cell r="C57" t="str">
            <v>Perkussionshammer, Buck, 18 cm</v>
          </cell>
          <cell r="D57" t="str">
            <v>Reflex hammer,  Buck, 18 cm</v>
          </cell>
        </row>
        <row r="58">
          <cell r="B58" t="str">
            <v>09-004-57-07</v>
          </cell>
          <cell r="C58" t="str">
            <v>Perkussionshammer, Taylor, 17 cm</v>
          </cell>
          <cell r="D58" t="str">
            <v>Reflex hammer,  Taylor, 17 cm</v>
          </cell>
        </row>
        <row r="59">
          <cell r="B59" t="str">
            <v>09-004-58-07</v>
          </cell>
          <cell r="C59" t="str">
            <v>Reflexhammer, Taylor, 20 cm</v>
          </cell>
          <cell r="D59" t="str">
            <v>Reflex hammer,  Taylor, 20 cm</v>
          </cell>
        </row>
        <row r="60">
          <cell r="B60" t="str">
            <v>09-004-59-07</v>
          </cell>
          <cell r="C60" t="str">
            <v>Berliner Perkussionshammer, 17 cm</v>
          </cell>
          <cell r="D60" t="str">
            <v>Reflex hammer,  Berliner, 17 cm</v>
          </cell>
        </row>
        <row r="61">
          <cell r="B61" t="str">
            <v>09-004-60-02</v>
          </cell>
          <cell r="C61" t="str">
            <v>Berliner Perkussionshammer, 20 cm</v>
          </cell>
          <cell r="D61" t="str">
            <v>Reflex hammer,  Berliner, 20 cm</v>
          </cell>
        </row>
        <row r="62">
          <cell r="B62" t="str">
            <v>09-004-61-07</v>
          </cell>
          <cell r="C62" t="str">
            <v>Perkussionshammer, Trömmer</v>
          </cell>
          <cell r="D62" t="str">
            <v>Reflex hammer,  Troemmer, 24 cm</v>
          </cell>
        </row>
        <row r="63">
          <cell r="B63" t="str">
            <v>09-004-62-07</v>
          </cell>
          <cell r="C63" t="str">
            <v>Perkussionshammer, Rabiner, 23 cm</v>
          </cell>
          <cell r="D63" t="str">
            <v>Reflex hammer,  Rabiner, 23 cm</v>
          </cell>
        </row>
        <row r="64">
          <cell r="B64" t="str">
            <v>09-004-63-07</v>
          </cell>
          <cell r="C64" t="str">
            <v>Perkussionshammer, Babinsky,  m. Nadel</v>
          </cell>
          <cell r="D64" t="str">
            <v>Percussion  hammer,  Babinsky,  w. pin</v>
          </cell>
        </row>
        <row r="65">
          <cell r="B65" t="str">
            <v>09-004-73-07</v>
          </cell>
          <cell r="C65" t="str">
            <v>Pinzette,  anatomisch, Ewald, 12 cm</v>
          </cell>
          <cell r="D65" t="str">
            <v>Dressing forceps, Ewald, 12 cm</v>
          </cell>
        </row>
        <row r="66">
          <cell r="B66" t="str">
            <v>09-004-74-07</v>
          </cell>
          <cell r="C66" t="str">
            <v>Pinzette,  chirurg., Ewald, 1x2 Z., 12 cm</v>
          </cell>
          <cell r="D66" t="str">
            <v>Tissue forceps, Ewald, 1x2 T., 12 cm</v>
          </cell>
        </row>
        <row r="67">
          <cell r="B67" t="str">
            <v>09-004-75-07</v>
          </cell>
          <cell r="C67" t="str">
            <v>Pinzette,  Ferris-Smith (Ramsey),  18 cm</v>
          </cell>
          <cell r="D67" t="str">
            <v>Forceps, Ferris-Smith (Ramsey),  18 cm</v>
          </cell>
        </row>
        <row r="68">
          <cell r="B68" t="str">
            <v>09-004-76-07</v>
          </cell>
          <cell r="C68" t="str">
            <v>Pinzette,  Ramsey 1x2 Z., 18 cm</v>
          </cell>
          <cell r="D68" t="str">
            <v>Forceps, Ramsey 1x2 T., 18 cm</v>
          </cell>
        </row>
        <row r="69">
          <cell r="B69" t="str">
            <v>09-004-77-07</v>
          </cell>
          <cell r="C69" t="str">
            <v>Pinzette,  anatomisch, Gillies, 15 cm</v>
          </cell>
          <cell r="D69" t="str">
            <v>Dressing forceps, Gillies, 15 cm</v>
          </cell>
        </row>
        <row r="70">
          <cell r="B70" t="str">
            <v>09-004-78-07</v>
          </cell>
          <cell r="C70" t="str">
            <v>Pinzette,  McIndoe,  1x2 Z., 15 cm</v>
          </cell>
          <cell r="D70" t="str">
            <v>Forceps, McIndoe,  1x2 T., 15 cm</v>
          </cell>
        </row>
        <row r="71">
          <cell r="B71" t="str">
            <v>09-004-88-07</v>
          </cell>
          <cell r="C71" t="str">
            <v>Hysterekt.Klemme,Maingot,geb.,1x2Z.,25cm</v>
          </cell>
          <cell r="D71" t="str">
            <v>Hysterect.fcps., Maingot,cvd.,1x2T.,25cm</v>
          </cell>
        </row>
        <row r="72">
          <cell r="B72" t="str">
            <v>09-004-89-07</v>
          </cell>
          <cell r="C72" t="str">
            <v>Tuchklemme, Lane, 15 cm</v>
          </cell>
          <cell r="D72" t="str">
            <v>Towel clamps, Lane, 15 cm</v>
          </cell>
        </row>
        <row r="73">
          <cell r="B73" t="str">
            <v>09-004-90-07</v>
          </cell>
          <cell r="C73" t="str">
            <v>Arterienklemme, Heiss, 1x2 Z, ger., 20cm</v>
          </cell>
          <cell r="D73" t="str">
            <v>Artery Clamp, Heiss, 1x2xT., str., 20cm</v>
          </cell>
        </row>
        <row r="74">
          <cell r="B74" t="str">
            <v>09-004-91-07</v>
          </cell>
          <cell r="C74" t="str">
            <v>Arterienklemme, Heiss, 1x2 Z, geb., 20cm</v>
          </cell>
          <cell r="D74" t="str">
            <v>Artery Clamp, Heiss, 1x2xT., cvd., 20cm</v>
          </cell>
        </row>
        <row r="75">
          <cell r="B75" t="str">
            <v>09-004-92-07</v>
          </cell>
          <cell r="C75" t="str">
            <v>Klemme,  Moynihan,  gebogen,  15 cm</v>
          </cell>
          <cell r="D75" t="str">
            <v>Forceps, Moynihan,  curved, 15 cm</v>
          </cell>
        </row>
        <row r="76">
          <cell r="B76" t="str">
            <v>09-004-93-07</v>
          </cell>
          <cell r="C76" t="str">
            <v>Kornzange, Duplay, geb., 20 cm</v>
          </cell>
          <cell r="D76" t="str">
            <v>Sponge fcps., Duplay, cvd., 20 cm</v>
          </cell>
        </row>
        <row r="77">
          <cell r="B77" t="str">
            <v>09-004-94-07</v>
          </cell>
          <cell r="C77" t="str">
            <v>Schwammzange, Bozemann, ger., 26 cm</v>
          </cell>
          <cell r="D77" t="str">
            <v>Uterine fcps., Bozemann, str., 26 cm</v>
          </cell>
        </row>
        <row r="78">
          <cell r="B78" t="str">
            <v>09-005-73-07</v>
          </cell>
          <cell r="C78" t="str">
            <v>Arterienklemme, Sarot, 1x2Z., ger., 24cm</v>
          </cell>
          <cell r="D78" t="str">
            <v>Artery Clamp, Sarot, 1x2T, str., 24 cm</v>
          </cell>
        </row>
        <row r="79">
          <cell r="B79" t="str">
            <v>09-005-74-07</v>
          </cell>
          <cell r="C79" t="str">
            <v>Arterienklemme, Spencer Wells, geb.,23cm</v>
          </cell>
          <cell r="D79" t="str">
            <v>Haesmost.  Fcps, Spencer Wells, cvd.,23cm</v>
          </cell>
        </row>
        <row r="80">
          <cell r="B80" t="str">
            <v>09-005-75-07</v>
          </cell>
          <cell r="C80" t="str">
            <v>Arterienklemme, Spencer Wells, ger.,23cm</v>
          </cell>
          <cell r="D80" t="str">
            <v>Haesmost.  Fcps, Spencer Wells, str.,23cm</v>
          </cell>
        </row>
        <row r="81">
          <cell r="B81" t="str">
            <v>09-005-76-07</v>
          </cell>
          <cell r="C81" t="str">
            <v>Druckklemme, Fergusson,  ger., 20 cm</v>
          </cell>
          <cell r="D81" t="str">
            <v>Forceps, Fergusson,  str., 20 cm</v>
          </cell>
        </row>
        <row r="82">
          <cell r="B82" t="str">
            <v>09-005-84-07</v>
          </cell>
          <cell r="C82" t="str">
            <v>Knopfsonde, mit Öhr, Ø 2,0 mm, 20 cm</v>
          </cell>
          <cell r="D82" t="str">
            <v>Probe with eye, Ø 2.0 mm, 20 cm</v>
          </cell>
        </row>
        <row r="83">
          <cell r="B83" t="str">
            <v>09-005-85-07</v>
          </cell>
          <cell r="C83" t="str">
            <v>Watteträger, Jobson-Horne, 14 cm</v>
          </cell>
          <cell r="D83" t="str">
            <v>Cotton Applicator,  Jobson-Horne, 14 cm</v>
          </cell>
        </row>
        <row r="84">
          <cell r="B84" t="str">
            <v>09-005-86-07</v>
          </cell>
          <cell r="C84" t="str">
            <v>Hohlsonde, Brodie, 3,5 mm, 20 cm</v>
          </cell>
          <cell r="D84" t="str">
            <v>Grooved director, Brodie, 3,5 mm, 20 cm</v>
          </cell>
        </row>
        <row r="85">
          <cell r="B85" t="str">
            <v>09-005-87-07</v>
          </cell>
          <cell r="C85" t="str">
            <v>Fistelsonde, Pratt, klein, 21,5 cm</v>
          </cell>
          <cell r="D85" t="str">
            <v>Crypt. hook, Pratt, small, 21.5 cm</v>
          </cell>
        </row>
        <row r="86">
          <cell r="B86" t="str">
            <v>09-005-88-07</v>
          </cell>
          <cell r="C86" t="str">
            <v>Fistelsonde, Pratt, medium,  21,5cm</v>
          </cell>
          <cell r="D86" t="str">
            <v>Crypt. hook, Pratt, med., 21.5 cm</v>
          </cell>
        </row>
        <row r="87">
          <cell r="B87" t="str">
            <v>09-005-89-07</v>
          </cell>
          <cell r="C87" t="str">
            <v>Fistelsonde, Pratt, lang, 21,5 cm</v>
          </cell>
          <cell r="D87" t="str">
            <v>Crypt. hook, Pratt, large, 21.5 cm</v>
          </cell>
        </row>
        <row r="88">
          <cell r="B88" t="str">
            <v>09-005-90-07</v>
          </cell>
          <cell r="C88" t="str">
            <v>DJ-Nadelhalter, Ryder-Vascular, 12,5 cm</v>
          </cell>
          <cell r="D88" t="str">
            <v>DG-Needle  holder, Ryder-Vascular, 12.5cm</v>
          </cell>
        </row>
        <row r="89">
          <cell r="B89" t="str">
            <v>09-005-91-07</v>
          </cell>
          <cell r="C89" t="str">
            <v>DJ-Nadelhalter, Ryder-Vascular, 14,5 cm</v>
          </cell>
          <cell r="D89" t="str">
            <v>DG-Needle  holder, Ryder-Vascular, 14.5cm</v>
          </cell>
        </row>
        <row r="90">
          <cell r="B90" t="str">
            <v>09-005-92-07</v>
          </cell>
          <cell r="C90" t="str">
            <v>DJ-Nadelhalter, Ryder-Vascular, 17,5 cm</v>
          </cell>
          <cell r="D90" t="str">
            <v>DG-Needle  holder, Ryder-Vascular, 17.5cm</v>
          </cell>
        </row>
        <row r="91">
          <cell r="B91" t="str">
            <v>09-005-93-07</v>
          </cell>
          <cell r="C91" t="str">
            <v>DJ-Nadelhalter, Ryder-Vascular, 19,5 cm</v>
          </cell>
          <cell r="D91" t="str">
            <v>DG-Needle  holder, Ryder-Vascular, 19.5cm</v>
          </cell>
        </row>
        <row r="92">
          <cell r="B92" t="str">
            <v>09-005-94-07</v>
          </cell>
          <cell r="C92" t="str">
            <v>DJ-Nadelhalter, Ryder-Vascular, 22,5 cm</v>
          </cell>
          <cell r="D92" t="str">
            <v>DG-Needle  holder, Ryder-Vascular, 22.5cm</v>
          </cell>
        </row>
        <row r="93">
          <cell r="B93" t="str">
            <v>09-005-95-07</v>
          </cell>
          <cell r="C93" t="str">
            <v>DJ-Nadelhalter, Vascular,  12,5 cm</v>
          </cell>
          <cell r="D93" t="str">
            <v>DG-Needle  holder, Vascular,  12.5cm</v>
          </cell>
        </row>
        <row r="94">
          <cell r="B94" t="str">
            <v>09-005-96-07</v>
          </cell>
          <cell r="C94" t="str">
            <v>DJ-Nadelhalter, Vascular,  14,5 cm</v>
          </cell>
          <cell r="D94" t="str">
            <v>DG-Needle  holder, Vascular,  14.5cm</v>
          </cell>
        </row>
        <row r="95">
          <cell r="B95" t="str">
            <v>09-005-97-07</v>
          </cell>
          <cell r="C95" t="str">
            <v>DJ-Nadelhalter, Vascular,  17,5 cm</v>
          </cell>
          <cell r="D95" t="str">
            <v>DG-Needle  holder, Vascular,  17.5cm</v>
          </cell>
        </row>
        <row r="96">
          <cell r="B96" t="str">
            <v>09-005-98-07</v>
          </cell>
          <cell r="C96" t="str">
            <v>DJ-Nadelhalter, Vascular,  19,5 cm</v>
          </cell>
          <cell r="D96" t="str">
            <v>DG-Needle  holder, Vascular,  19.5cm</v>
          </cell>
        </row>
        <row r="97">
          <cell r="B97" t="str">
            <v>09-005-99-07</v>
          </cell>
          <cell r="C97" t="str">
            <v>DJ-Nadelhalter, Vascular,  22,5 cm</v>
          </cell>
          <cell r="D97" t="str">
            <v>DG-Needle  holder, Vascular,  22.5cm</v>
          </cell>
        </row>
        <row r="98">
          <cell r="B98" t="str">
            <v>09-006-00-07</v>
          </cell>
          <cell r="C98" t="str">
            <v>Haken, Volkmann,  scharf, 8-Z.</v>
          </cell>
          <cell r="D98" t="str">
            <v>Retractor,  Volkmann,  sh., 8-Pr.</v>
          </cell>
        </row>
        <row r="99">
          <cell r="B99" t="str">
            <v>09-006-02-07</v>
          </cell>
          <cell r="C99" t="str">
            <v>Pinzette,  Darm, Duval, 14 cm</v>
          </cell>
          <cell r="D99" t="str">
            <v>Forceps, Intestine,  Duval, 14 cm</v>
          </cell>
        </row>
        <row r="100">
          <cell r="B100" t="str">
            <v>09-006-03-07</v>
          </cell>
          <cell r="C100" t="str">
            <v>Chir. Pinzette,  Lane, gerieft,1x2Z.,14cm</v>
          </cell>
          <cell r="D100" t="str">
            <v>Tissue Forceps, Lane, 1x2T., 14 cm</v>
          </cell>
        </row>
        <row r="101">
          <cell r="B101" t="str">
            <v>09-006-04-07</v>
          </cell>
          <cell r="C101" t="str">
            <v>Chir. Pinzette,  Lane, gerieft,2x3Z.,14cm</v>
          </cell>
          <cell r="D101" t="str">
            <v>Tissue Forceps, Lane, 2x3T., 14 cm</v>
          </cell>
        </row>
        <row r="102">
          <cell r="B102" t="str">
            <v>09-006-05-07</v>
          </cell>
          <cell r="C102" t="str">
            <v>Pinzette,  chir., Strassburger Mod., 15cm</v>
          </cell>
          <cell r="D102" t="str">
            <v>Tissue forceps, Strassburger Mod., 15cm</v>
          </cell>
        </row>
        <row r="103">
          <cell r="B103" t="str">
            <v>09-006-07-07</v>
          </cell>
          <cell r="C103" t="str">
            <v>Pinzette,  chir., Strassburger Mod., 21cm</v>
          </cell>
          <cell r="D103" t="str">
            <v>Tissue forceps, Strassburger Mod., 21 cm</v>
          </cell>
        </row>
        <row r="104">
          <cell r="B104" t="str">
            <v>09-006-08-07</v>
          </cell>
          <cell r="C104" t="str">
            <v>TC-Nadelhalter, Crile-Wood, ger., 18 cm</v>
          </cell>
          <cell r="D104" t="str">
            <v>TC-Needle  holder, Crile-Wood, str., 18 c</v>
          </cell>
        </row>
        <row r="105">
          <cell r="B105" t="str">
            <v>09-006-09-07</v>
          </cell>
          <cell r="C105" t="str">
            <v>TC-Nadelhalter, Crile-Wood, ger., 23 cm</v>
          </cell>
          <cell r="D105" t="str">
            <v>TC-Needle  holder, Crile-Wood, str., 23cm</v>
          </cell>
        </row>
        <row r="106">
          <cell r="B106" t="str">
            <v>09-006-11-07</v>
          </cell>
          <cell r="C106" t="str">
            <v>TC-Nadelhalter, Baby-Crile-Wood, 15 cm</v>
          </cell>
          <cell r="D106" t="str">
            <v>TC-Needle  holder, Baby-Crile-Wood, 15 cm</v>
          </cell>
        </row>
        <row r="107">
          <cell r="B107" t="str">
            <v>09-006-12-07</v>
          </cell>
          <cell r="C107" t="str">
            <v>Pinzette,  anatomisch, Adson, 18 cm</v>
          </cell>
          <cell r="D107" t="str">
            <v>Dressing forceps. Adson, 18 cm</v>
          </cell>
        </row>
        <row r="108">
          <cell r="B108" t="str">
            <v>09-006-13-07</v>
          </cell>
          <cell r="C108" t="str">
            <v>Bauchdeckenhaken, Rochard,  50x95 mm</v>
          </cell>
          <cell r="D108" t="str">
            <v>Abdominal  retractor,  Rochard,  50x95 mm</v>
          </cell>
        </row>
        <row r="109">
          <cell r="B109" t="str">
            <v>09-006-14-07</v>
          </cell>
          <cell r="C109" t="str">
            <v>Bauchdeckenhaken, Rochard,  60x135 mm</v>
          </cell>
          <cell r="D109" t="str">
            <v>Abdominal  retractor,  Rochard,  60x135 mm</v>
          </cell>
        </row>
        <row r="110">
          <cell r="B110" t="str">
            <v>09-006-17-07</v>
          </cell>
          <cell r="C110" t="str">
            <v>Saunders  IUD-Haken, 32 cm</v>
          </cell>
          <cell r="D110" t="str">
            <v>Saunders  IUD-Hook,  32 cm</v>
          </cell>
        </row>
        <row r="111">
          <cell r="B111" t="str">
            <v>09-006-28-07</v>
          </cell>
          <cell r="C111" t="str">
            <v>Guyon Einführungsinstr. Kath., geb. 36cm</v>
          </cell>
          <cell r="D111" t="str">
            <v>Guyon catheter guide, cvd., 36 cm</v>
          </cell>
        </row>
        <row r="112">
          <cell r="B112" t="str">
            <v>09-006-29-07</v>
          </cell>
          <cell r="C112" t="str">
            <v>Mayo Gallensteinlöffel, 27,5 cm</v>
          </cell>
          <cell r="D112" t="str">
            <v>Mayo gallstone  scoop, 27.5 cm</v>
          </cell>
        </row>
        <row r="113">
          <cell r="B113" t="str">
            <v>09-006-30-07</v>
          </cell>
          <cell r="C113" t="str">
            <v>Green Thymushaken, 25x22 mm, 23 cm</v>
          </cell>
          <cell r="D113" t="str">
            <v>Green thyroid retractor,  25x22 mm, 23 cm</v>
          </cell>
        </row>
        <row r="114">
          <cell r="B114" t="str">
            <v>09-006-32-07</v>
          </cell>
          <cell r="C114" t="str">
            <v>Breisky Scheidenspekula, 180x40 mm</v>
          </cell>
          <cell r="D114" t="str">
            <v>Breisky vaginal speculum,  180x40 mm</v>
          </cell>
        </row>
        <row r="115">
          <cell r="B115" t="str">
            <v>09-006-33-07</v>
          </cell>
          <cell r="C115" t="str">
            <v>Auvard Scheidenspekula, 102X45 mm</v>
          </cell>
          <cell r="D115" t="str">
            <v>Auvard vaginal speculum,  102X45 mm</v>
          </cell>
        </row>
        <row r="116">
          <cell r="B116" t="str">
            <v>09-006-34-07</v>
          </cell>
          <cell r="C116" t="str">
            <v>Adair Hakenzange, 18,5 cm</v>
          </cell>
          <cell r="D116" t="str">
            <v>Adair tenaculum  forceps, 18.5 cm</v>
          </cell>
        </row>
        <row r="117">
          <cell r="B117" t="str">
            <v>09-006-36-07</v>
          </cell>
          <cell r="C117" t="str">
            <v>Gourdet Uteruslöffel, stumpf, 6mm, 28 cm</v>
          </cell>
          <cell r="D117" t="str">
            <v>Gourdet uterine curette, bl., 6 mm, 28cm</v>
          </cell>
        </row>
        <row r="118">
          <cell r="B118" t="str">
            <v>09-006-37-07</v>
          </cell>
          <cell r="C118" t="str">
            <v>Gourdet Uteruslöffel, stumpf, 8mm, 28 cm</v>
          </cell>
          <cell r="D118" t="str">
            <v>Gourdet uterine curette, bl., 8 mm, 28cm</v>
          </cell>
        </row>
        <row r="119">
          <cell r="B119" t="str">
            <v>09-006-39-07</v>
          </cell>
          <cell r="C119" t="str">
            <v>Gourdet Uteruslöffel, stumpf, 12mm, 28cm</v>
          </cell>
          <cell r="D119" t="str">
            <v>Gourdet uterine curette, bl., 12mm, 28cm</v>
          </cell>
        </row>
        <row r="120">
          <cell r="B120" t="str">
            <v>09-006-41-07</v>
          </cell>
          <cell r="C120" t="str">
            <v>Willet Kopfhautklemme, 19 cm</v>
          </cell>
          <cell r="D120" t="str">
            <v>Willet scalp flap forceps, 19 cm</v>
          </cell>
        </row>
        <row r="121">
          <cell r="B121" t="str">
            <v>09-006-42-07</v>
          </cell>
          <cell r="C121" t="str">
            <v>Hakenzange, Pozzi, kräftig, 25,5 cm</v>
          </cell>
          <cell r="D121" t="str">
            <v>Tenacul. fcps., Pozzi, strong, 25.5 cm</v>
          </cell>
        </row>
        <row r="122">
          <cell r="B122" t="str">
            <v>09-006-44-07</v>
          </cell>
          <cell r="C122" t="str">
            <v>Lateral Vaginalspekulum, 56x21mm,  25,5cm</v>
          </cell>
          <cell r="D122" t="str">
            <v>Lateral vaginal specula, 56x21mm,  25.5cm</v>
          </cell>
        </row>
        <row r="123">
          <cell r="B123" t="str">
            <v>09-006-45-07</v>
          </cell>
          <cell r="C123" t="str">
            <v>Mamillenring, Freeman,  gezahnt, Ø 25 mm</v>
          </cell>
          <cell r="D123" t="str">
            <v>Mamillacutter, Freeman,  serrated,  Ø 25mm</v>
          </cell>
        </row>
        <row r="124">
          <cell r="B124" t="str">
            <v>09-006-46-07</v>
          </cell>
          <cell r="C124" t="str">
            <v>Mamillenring, Freeman,  gezahnt, Ø 30 mm</v>
          </cell>
          <cell r="D124" t="str">
            <v>Mamillacutter, Freeman,  serrated,  Ø 30mm</v>
          </cell>
        </row>
        <row r="125">
          <cell r="B125" t="str">
            <v>09-006-47-07</v>
          </cell>
          <cell r="C125" t="str">
            <v>Mamillenring, Freeman,  gezahnt, Ø 34 mm</v>
          </cell>
          <cell r="D125" t="str">
            <v>Mamillacutter, Freeman,  serrated,  Ø 34mm</v>
          </cell>
        </row>
        <row r="126">
          <cell r="B126" t="str">
            <v>09-006-48-07</v>
          </cell>
          <cell r="C126" t="str">
            <v>Mamillenring, Freeman,  gezahnt, Ø 36 mm</v>
          </cell>
          <cell r="D126" t="str">
            <v>Mamillacutter, Freeman,  serrated,  Ø 36mm</v>
          </cell>
        </row>
        <row r="127">
          <cell r="B127" t="str">
            <v>09-006-49-07</v>
          </cell>
          <cell r="C127" t="str">
            <v>Mamillenring, Freeman,  gezahnt, Ø 38 mm</v>
          </cell>
          <cell r="D127" t="str">
            <v>Mamillacutter, Freeman,  serrated,  Ø 38mm</v>
          </cell>
        </row>
        <row r="128">
          <cell r="B128" t="str">
            <v>09-006-50-07</v>
          </cell>
          <cell r="C128" t="str">
            <v>Mamillenring, Freeman,  gezahnt, Ø 40 mm</v>
          </cell>
          <cell r="D128" t="str">
            <v>Mamillacutter, Freeman,  serrated,  Ø 40mm</v>
          </cell>
        </row>
        <row r="129">
          <cell r="B129" t="str">
            <v>09-006-51-07</v>
          </cell>
          <cell r="C129" t="str">
            <v>Mamillenring, Freeman,  gezahnt, Ø 42 mm</v>
          </cell>
          <cell r="D129" t="str">
            <v>Mamillacutter, Freeman,  serrated,  Ø 42mm</v>
          </cell>
        </row>
        <row r="130">
          <cell r="B130" t="str">
            <v>09-006-52-07</v>
          </cell>
          <cell r="C130" t="str">
            <v>Mamillenring, Freeman,  gezahnt, Ø 45 mm</v>
          </cell>
          <cell r="D130" t="str">
            <v>Mamillacutter, Freeman,  serrated,  Ø 45mm</v>
          </cell>
        </row>
        <row r="131">
          <cell r="B131" t="str">
            <v>09-006-53-07</v>
          </cell>
          <cell r="C131" t="str">
            <v>Mamillenring, Freeman,  gezahnt, Ø 50 mm</v>
          </cell>
          <cell r="D131" t="str">
            <v>Mamillacutter, Freeman,  serrated,  Ø 50mm</v>
          </cell>
        </row>
        <row r="132">
          <cell r="B132" t="str">
            <v>09-006-54-07</v>
          </cell>
          <cell r="C132" t="str">
            <v>Bruststütze f. Erwachsene, kompl., 34 cm</v>
          </cell>
          <cell r="D132" t="str">
            <v>Chest support f. adults, complete,  34 cm</v>
          </cell>
        </row>
        <row r="133">
          <cell r="B133" t="str">
            <v>09-006-55-07</v>
          </cell>
          <cell r="C133" t="str">
            <v>Stützstange Kinder, f.09-006-54-07, 24cm</v>
          </cell>
          <cell r="D133" t="str">
            <v>Support rod children,f.09-006-54-07,24cm</v>
          </cell>
        </row>
        <row r="134">
          <cell r="B134" t="str">
            <v>09-006-56-07</v>
          </cell>
          <cell r="C134" t="str">
            <v>OP-Laryngoskope, Fig. 1, 135 mm</v>
          </cell>
          <cell r="D134" t="str">
            <v>OP Laryngoscope, Fig. 1, 135 mm</v>
          </cell>
        </row>
        <row r="135">
          <cell r="B135" t="str">
            <v>09-006-57-07</v>
          </cell>
          <cell r="C135" t="str">
            <v>OP-Laryngoskope, Fig. 2, 152 mm</v>
          </cell>
          <cell r="D135" t="str">
            <v>OP Laryngoscope, Fig. 2, 152 mm</v>
          </cell>
        </row>
        <row r="136">
          <cell r="B136" t="str">
            <v>09-006-58-07</v>
          </cell>
          <cell r="C136" t="str">
            <v>OP-Laryngoskope, Fig. 4, 172 mm</v>
          </cell>
          <cell r="D136" t="str">
            <v>OP Laryngoscope, Fig. 4, 172 mm</v>
          </cell>
        </row>
        <row r="137">
          <cell r="B137" t="str">
            <v>09-006-60-07</v>
          </cell>
          <cell r="C137" t="str">
            <v>OP-Laryngoskope, Fig. 1, spreiz., 135 mm</v>
          </cell>
          <cell r="D137" t="str">
            <v>OP Laryngoscope, Fig. 1, spread., 135 mm</v>
          </cell>
        </row>
        <row r="138">
          <cell r="B138" t="str">
            <v>09-006-61-07</v>
          </cell>
          <cell r="C138" t="str">
            <v>OP-Laryngoskope, Fig. 2, spreiz., 152 mm</v>
          </cell>
          <cell r="D138" t="str">
            <v>OP Laryngoscope, Fig. 2, spread., 152 mm</v>
          </cell>
        </row>
        <row r="139">
          <cell r="B139" t="str">
            <v>09-006-62-07</v>
          </cell>
          <cell r="C139" t="str">
            <v>Hysterekt.  Klemme,  Gwilliam,  geb., 1x2Z.</v>
          </cell>
          <cell r="D139" t="str">
            <v>Hysterectomy Fcps., Gwilliam,  cvd., 1x2T</v>
          </cell>
        </row>
        <row r="140">
          <cell r="B140" t="str">
            <v>09-006-63-07</v>
          </cell>
          <cell r="C140" t="str">
            <v>Präpar./Ligaturklemme, Kantrowitz, 20 cm</v>
          </cell>
          <cell r="D140" t="str">
            <v>Dissect./Ligature fcps, Kantrowitz, 20cm</v>
          </cell>
        </row>
        <row r="141">
          <cell r="B141" t="str">
            <v>09-006-64-07</v>
          </cell>
          <cell r="C141" t="str">
            <v>Präpar./Ligaturklemme, Kantrowitz, 24 cm</v>
          </cell>
          <cell r="D141" t="str">
            <v>Dissect./Ligature fcps, Kantrowitz, 24cm</v>
          </cell>
        </row>
        <row r="142">
          <cell r="B142" t="str">
            <v>09-006-65-07</v>
          </cell>
          <cell r="C142" t="str">
            <v>Präpar./Ligatur-Klemme, Kantrowitz, 28cm</v>
          </cell>
          <cell r="D142" t="str">
            <v>Dissect./Ligature fcps, Kantrowitz, 28cm</v>
          </cell>
        </row>
        <row r="143">
          <cell r="B143" t="str">
            <v>09-006-66-07</v>
          </cell>
          <cell r="C143" t="str">
            <v>Haken, Wund, Morris, 70x40 mm, 24 cm</v>
          </cell>
          <cell r="D143" t="str">
            <v>Retractor,  Morris, 70x40 mm, 24 cm</v>
          </cell>
        </row>
        <row r="144">
          <cell r="B144" t="str">
            <v>09-006-67-07</v>
          </cell>
          <cell r="C144" t="str">
            <v>Haken, Wund, Morris, 51x51 mm, 21 cm</v>
          </cell>
          <cell r="D144" t="str">
            <v>Retractor,  Morris, 51x51 mm, 21 cm</v>
          </cell>
        </row>
        <row r="145">
          <cell r="B145" t="str">
            <v>09-006-68-07</v>
          </cell>
          <cell r="C145" t="str">
            <v>Wundhaken, Kelly, 50x40 mm</v>
          </cell>
          <cell r="D145" t="str">
            <v>Retractor,  Kelly, 50x40 mm</v>
          </cell>
        </row>
        <row r="146">
          <cell r="B146" t="str">
            <v>09-006-69-07</v>
          </cell>
          <cell r="C146" t="str">
            <v>Wundhaken, Kelly, 65x50 mm</v>
          </cell>
          <cell r="D146" t="str">
            <v>Retractor,  Kelly, 65x50 mm</v>
          </cell>
        </row>
        <row r="147">
          <cell r="B147" t="str">
            <v>09-006-70-07</v>
          </cell>
          <cell r="C147" t="str">
            <v>Wundhaken, Kelly, 75x65 mm</v>
          </cell>
          <cell r="D147" t="str">
            <v>Retractor,  Kelly, 75x65 mm</v>
          </cell>
        </row>
        <row r="148">
          <cell r="B148" t="str">
            <v>09-006-71-07</v>
          </cell>
          <cell r="C148" t="str">
            <v>Wundhaken, Kelly, 90x75 mm</v>
          </cell>
          <cell r="D148" t="str">
            <v>Retractor,  Kelly, 90x75 mm</v>
          </cell>
        </row>
        <row r="149">
          <cell r="B149" t="str">
            <v>09-006-72-07</v>
          </cell>
          <cell r="C149" t="str">
            <v>Bauchspatel, biegsam,  25 mm, 33 cm</v>
          </cell>
          <cell r="D149" t="str">
            <v>Abdom. Spatula, malleable,  25 mm, 33 cm</v>
          </cell>
        </row>
        <row r="150">
          <cell r="B150" t="str">
            <v>09-006-73-07</v>
          </cell>
          <cell r="C150" t="str">
            <v>Wundhaken, Meyerding, 50x16 mm, 25 cm</v>
          </cell>
          <cell r="D150" t="str">
            <v>Retractor,  Meyerding, 50x16 mm, 25 cm</v>
          </cell>
        </row>
        <row r="151">
          <cell r="B151" t="str">
            <v>09-006-74-07</v>
          </cell>
          <cell r="C151" t="str">
            <v>Wundhaken, Meyerding, 75x25 mm, 25 cm</v>
          </cell>
          <cell r="D151" t="str">
            <v>Retractor,  Meyerding, 75x25 mm, 25 cm</v>
          </cell>
        </row>
        <row r="152">
          <cell r="B152" t="str">
            <v>09-006-75-07</v>
          </cell>
          <cell r="C152" t="str">
            <v>Wundhaken, Meyerding, 90x50 mm, 25 cm</v>
          </cell>
          <cell r="D152" t="str">
            <v>Retractor,  Meyerding, 90x50 mm, 25 cm</v>
          </cell>
        </row>
        <row r="153">
          <cell r="B153" t="str">
            <v>09-006-76-07</v>
          </cell>
          <cell r="C153" t="str">
            <v>Doppelknopfsonde, Zinn, Ø 3,0 mm, 25 cm</v>
          </cell>
          <cell r="D153" t="str">
            <v>Probe, double ended, mall, Ø 3,0mm, 25cm</v>
          </cell>
        </row>
        <row r="154">
          <cell r="B154" t="str">
            <v>09-006-77-07</v>
          </cell>
          <cell r="C154" t="str">
            <v>OP-Laryngoskope, Fig. 3, spreiz., 182 mm</v>
          </cell>
          <cell r="D154" t="str">
            <v>OP Laryngoscope, Fig. 3, spread., 182 mm</v>
          </cell>
        </row>
        <row r="155">
          <cell r="B155" t="str">
            <v>09-006-78-07</v>
          </cell>
          <cell r="C155" t="str">
            <v>OP-Laryngoskope, Fig. 4, spreiz., 172 mm</v>
          </cell>
          <cell r="D155" t="str">
            <v>OP Laryngoscope, Fig. 4, spread., 172 mm</v>
          </cell>
        </row>
        <row r="156">
          <cell r="B156" t="str">
            <v>09-006-80-07</v>
          </cell>
          <cell r="C156" t="str">
            <v>Lichtträger  f. OP-Laryng., Fig. 1+2</v>
          </cell>
          <cell r="D156" t="str">
            <v>Light carrier f. OP laryng., Fig. 1+2</v>
          </cell>
        </row>
        <row r="157">
          <cell r="B157" t="str">
            <v>09-006-82-07</v>
          </cell>
          <cell r="C157" t="str">
            <v>Miniatur-Löffelzängchen, 4mm, ger.,23cm</v>
          </cell>
          <cell r="D157" t="str">
            <v>Miniatur grasping fcps., 4mm, str., 23cm</v>
          </cell>
        </row>
        <row r="158">
          <cell r="B158" t="str">
            <v>09-006-83-07</v>
          </cell>
          <cell r="C158" t="str">
            <v>Miniatur-Löffelzäng., 4mm, aufgeb.,23cm</v>
          </cell>
          <cell r="D158" t="str">
            <v>Miniatur grasping fcps., 4mm, upw., 23cm</v>
          </cell>
        </row>
        <row r="159">
          <cell r="B159" t="str">
            <v>09-006-84-07</v>
          </cell>
          <cell r="C159" t="str">
            <v>Miniatur-Löffelzäng., 4mm, re.geb.,23cm</v>
          </cell>
          <cell r="D159" t="str">
            <v>Miniatur grasp. fcps. 4mm, cvd.rt., 23cm</v>
          </cell>
        </row>
        <row r="160">
          <cell r="B160" t="str">
            <v>09-006-85-07</v>
          </cell>
          <cell r="C160" t="str">
            <v>Miniatur-Löffelzäng., 4mm, li.geb.,23cm</v>
          </cell>
          <cell r="D160" t="str">
            <v>Miniatur grasp. fcps. 4mm, cvd.le., 23cm</v>
          </cell>
        </row>
        <row r="161">
          <cell r="B161" t="str">
            <v>09-006-86-07</v>
          </cell>
          <cell r="C161" t="str">
            <v>Miniatur-Löffelzange, 1 mm, ger., 23 cm</v>
          </cell>
          <cell r="D161" t="str">
            <v>Miniature  cup fcps., 1 mm, str., 23 cm</v>
          </cell>
        </row>
        <row r="162">
          <cell r="B162" t="str">
            <v>09-006-87-07</v>
          </cell>
          <cell r="C162" t="str">
            <v>Miniatur-Löffelzange, 1mm, aufgeb., 23cm</v>
          </cell>
          <cell r="D162" t="str">
            <v>Miniature  cup fcps., 1 mm, upw., 23 cm</v>
          </cell>
        </row>
        <row r="163">
          <cell r="B163" t="str">
            <v>09-006-88-07</v>
          </cell>
          <cell r="C163" t="str">
            <v>Miniatur-Löffelzange, 1mm, re.geb., 23cm</v>
          </cell>
          <cell r="D163" t="str">
            <v>Miniature  cup fcps., 1 mm, cvd.rt., 23cm</v>
          </cell>
        </row>
        <row r="164">
          <cell r="B164" t="str">
            <v>09-006-89-07</v>
          </cell>
          <cell r="C164" t="str">
            <v>Miniatur-Löffelzange, 1mm, li.geb., 23cm</v>
          </cell>
          <cell r="D164" t="str">
            <v>Miniature  cup fcps., 1 mm, cvd.le., 23cm</v>
          </cell>
        </row>
        <row r="165">
          <cell r="B165" t="str">
            <v>09-006-90-07</v>
          </cell>
          <cell r="C165" t="str">
            <v>Mikroschere, 4 mm, gerade, 18 cm</v>
          </cell>
          <cell r="D165" t="str">
            <v>Micro scissors, 4 mm, straight, 18 cm</v>
          </cell>
        </row>
        <row r="166">
          <cell r="B166" t="str">
            <v>09-006-97-07</v>
          </cell>
          <cell r="C166" t="str">
            <v>Miniatur-Löffelzange, 2,5mm,aufgeb.,18cm</v>
          </cell>
          <cell r="D166" t="str">
            <v>Miniature  cup fcps., 2.5 mm, upw., 18 cm</v>
          </cell>
        </row>
        <row r="167">
          <cell r="B167" t="str">
            <v>09-007-04-07</v>
          </cell>
          <cell r="C167" t="str">
            <v>Saugraspatorium, 24,5 cm</v>
          </cell>
          <cell r="D167" t="str">
            <v>Suction raspatory,  25.4 cm</v>
          </cell>
        </row>
        <row r="168">
          <cell r="B168" t="str">
            <v>09-007-05-07</v>
          </cell>
          <cell r="C168" t="str">
            <v>Knotenführer, 24,5 cm</v>
          </cell>
          <cell r="D168" t="str">
            <v>Knot guide, 24.5 cm</v>
          </cell>
        </row>
        <row r="169">
          <cell r="B169" t="str">
            <v>09-007-06-07</v>
          </cell>
          <cell r="C169" t="str">
            <v>Häkchen,  Sondenknopf, stumpf, 24,5 cm</v>
          </cell>
          <cell r="D169" t="str">
            <v>Hook, with probe end, blunt, 24.5 cm</v>
          </cell>
        </row>
        <row r="170">
          <cell r="B170" t="str">
            <v>09-007-07-07</v>
          </cell>
          <cell r="C170" t="str">
            <v>Häkchen,  scharf, 24,5 cm</v>
          </cell>
          <cell r="D170" t="str">
            <v>Hook, sharp, 24.5 cm</v>
          </cell>
        </row>
        <row r="171">
          <cell r="B171" t="str">
            <v>09-007-08-07</v>
          </cell>
          <cell r="C171" t="str">
            <v>Häkchen,  90°, Sondenknopf, 24,5 cm</v>
          </cell>
          <cell r="D171" t="str">
            <v>Hook with probe end, 90°, 24.5 cm</v>
          </cell>
        </row>
        <row r="172">
          <cell r="B172" t="str">
            <v>09-007-09-07</v>
          </cell>
          <cell r="C172" t="str">
            <v>Tonsillotom,Sluder-Ballanger,#1-3,m.Gr.</v>
          </cell>
          <cell r="D172" t="str">
            <v>Tonsillotome,Sluder-Ballanger,#1-3,m.Gr.</v>
          </cell>
        </row>
        <row r="173">
          <cell r="B173" t="str">
            <v>09-007-10-07</v>
          </cell>
          <cell r="C173" t="str">
            <v>Spekulum,  Vag., Kristeller,  Satz,70x15mm</v>
          </cell>
          <cell r="D173" t="str">
            <v>Specula, vag., Kristeller,  Set, 70x15 mm</v>
          </cell>
        </row>
        <row r="174">
          <cell r="B174" t="str">
            <v>09-007-11-07</v>
          </cell>
          <cell r="C174" t="str">
            <v>Hakenzange, Teale, 3x4 Z., ger., 23 cm</v>
          </cell>
          <cell r="D174" t="str">
            <v>Forceps, tenac., Teale, 3x4T., str.,23cm</v>
          </cell>
        </row>
        <row r="175">
          <cell r="B175" t="str">
            <v>09-007-12-07</v>
          </cell>
          <cell r="C175" t="str">
            <v>Fasszange,  Darm, Allis, 5x6Z., ger.,22cm</v>
          </cell>
          <cell r="D175" t="str">
            <v>Forceps,intest., Allis, 5x6T., str.,22cm</v>
          </cell>
        </row>
        <row r="176">
          <cell r="B176" t="str">
            <v>09-007-13-07</v>
          </cell>
          <cell r="C176" t="str">
            <v>Zange, Museux, geb., 6 mm, 24 cm</v>
          </cell>
          <cell r="D176" t="str">
            <v>Forceps, Museux, cvd., 6 mm, 24 cm</v>
          </cell>
        </row>
        <row r="177">
          <cell r="B177" t="str">
            <v>09-007-14-07</v>
          </cell>
          <cell r="C177" t="str">
            <v>Zange, Museux, geb., 8 mm, 24 cm</v>
          </cell>
          <cell r="D177" t="str">
            <v>Forceps, Museux, cvd., 8 mm, 24 cm</v>
          </cell>
        </row>
        <row r="178">
          <cell r="B178" t="str">
            <v>09-007-15-07</v>
          </cell>
          <cell r="C178" t="str">
            <v>Fasszange,  Darm, Baby-Babcock, ger.,14cm</v>
          </cell>
          <cell r="D178" t="str">
            <v>Forceps, intest., Baby-Babcock,str.,14cm</v>
          </cell>
        </row>
        <row r="179">
          <cell r="B179" t="str">
            <v>09-007-16-07</v>
          </cell>
          <cell r="C179" t="str">
            <v>Klemme,  Darm, Moynihan,  gef., ger., 28cm</v>
          </cell>
          <cell r="D179" t="str">
            <v>Forceps, intest.,Moynihan,fen.,str.,28cm</v>
          </cell>
        </row>
        <row r="180">
          <cell r="B180" t="str">
            <v>09-007-17-07</v>
          </cell>
          <cell r="C180" t="str">
            <v>Zange, Abortus, Winter, Fig.3, ger. 28cm</v>
          </cell>
          <cell r="D180" t="str">
            <v>Forceps, ovum, Winter, Fig.3, str., 28cm</v>
          </cell>
        </row>
        <row r="181">
          <cell r="B181" t="str">
            <v>09-007-18-07</v>
          </cell>
          <cell r="C181" t="str">
            <v>Zange, Abortus, Winter, Fig.3, geb. 28cm</v>
          </cell>
          <cell r="D181" t="str">
            <v>Forceps, ovum, Winter, Fig.3, cvd., 28cm</v>
          </cell>
        </row>
        <row r="182">
          <cell r="B182" t="str">
            <v>09-007-19-07</v>
          </cell>
          <cell r="C182" t="str">
            <v>Löffel, Bruns, abgew., Fig.000, 23 cm</v>
          </cell>
          <cell r="D182" t="str">
            <v>Bone curette, Bruns, cvd., Fig.000, 23cm</v>
          </cell>
        </row>
        <row r="183">
          <cell r="B183" t="str">
            <v>09-007-20-07</v>
          </cell>
          <cell r="C183" t="str">
            <v>Löffel, Bruns, abgew., Fig.00, 23 cm</v>
          </cell>
          <cell r="D183" t="str">
            <v>Bone curette, Bruns, cvd., Fig.00, 23 cm</v>
          </cell>
        </row>
        <row r="184">
          <cell r="B184" t="str">
            <v>09-007-21-07</v>
          </cell>
          <cell r="C184" t="str">
            <v>Löffel, Bruns, abgew., Fig.0, 23 cm</v>
          </cell>
          <cell r="D184" t="str">
            <v>Bone curette, Bruns, cvd., Fig.0, 23 cm</v>
          </cell>
        </row>
        <row r="185">
          <cell r="B185" t="str">
            <v>09-007-22-07</v>
          </cell>
          <cell r="C185" t="str">
            <v>Löffel, Bruns, abgew., Fig.1, 23 cm</v>
          </cell>
          <cell r="D185" t="str">
            <v>Bone curette, Bruns, cvd., Fig.1, 23 cm</v>
          </cell>
        </row>
        <row r="186">
          <cell r="B186" t="str">
            <v>09-007-23-07</v>
          </cell>
          <cell r="C186" t="str">
            <v>Löffel, Bruns, abgew., Fig.2, 23 cm</v>
          </cell>
          <cell r="D186" t="str">
            <v>Bone curette, Bruns, cvd., Fig.2, 23 cm</v>
          </cell>
        </row>
        <row r="187">
          <cell r="B187" t="str">
            <v>09-007-24-07</v>
          </cell>
          <cell r="C187" t="str">
            <v>Löffel, Bruns, abgew., Fig.3, 23 cm</v>
          </cell>
          <cell r="D187" t="str">
            <v>Bone curette, Bruns, cvd., Fig.3, 23 cm</v>
          </cell>
        </row>
        <row r="188">
          <cell r="B188" t="str">
            <v>09-007-25-07</v>
          </cell>
          <cell r="C188" t="str">
            <v>Löffel, Bruns, abgew., Fig.4, 23 cm</v>
          </cell>
          <cell r="D188" t="str">
            <v>Bone curette, Bruns, cvd., Fig.4, 23 cm</v>
          </cell>
        </row>
        <row r="189">
          <cell r="B189" t="str">
            <v>09-007-26-07</v>
          </cell>
          <cell r="C189" t="str">
            <v>Löffel, Bruns, abgew., Fig.5, 23 cm</v>
          </cell>
          <cell r="D189" t="str">
            <v>Bone curette, Bruns, cvd., Fig.5, 23 cm</v>
          </cell>
        </row>
        <row r="190">
          <cell r="B190" t="str">
            <v>09-007-27-07</v>
          </cell>
          <cell r="C190" t="str">
            <v>Löffel, Bruns, abgew., Fig.6, 23 cm</v>
          </cell>
          <cell r="D190" t="str">
            <v>Bone curette, Bruns, cvd., Fig.6, 23 cm</v>
          </cell>
        </row>
        <row r="191">
          <cell r="B191" t="str">
            <v>09-007-28-07</v>
          </cell>
          <cell r="C191" t="str">
            <v>Löffel, Bruns, abgew., Fig.0000,  23 cm</v>
          </cell>
          <cell r="D191" t="str">
            <v>Bone curette, Bruns, cvd., Fig.0000,23cm</v>
          </cell>
        </row>
        <row r="192">
          <cell r="B192" t="str">
            <v>09-007-76-07</v>
          </cell>
          <cell r="C192" t="str">
            <v>Druckklemme, Fergusson,  geb., 20 cm</v>
          </cell>
          <cell r="D192" t="str">
            <v>Forceps, Fergusson,  cvd., 20 cm</v>
          </cell>
        </row>
        <row r="193">
          <cell r="B193" t="str">
            <v>09-007-80-07</v>
          </cell>
          <cell r="C193" t="str">
            <v>Skalpellgriff, Caspar, rund, 18 cm</v>
          </cell>
          <cell r="D193" t="str">
            <v>Scalpel handle, Caspar, round, 18 cm</v>
          </cell>
        </row>
        <row r="194">
          <cell r="B194" t="str">
            <v>09-007-81-07</v>
          </cell>
          <cell r="C194" t="str">
            <v>Haken, Wund, Volkmann,  8 Z., st., 22 cm</v>
          </cell>
          <cell r="D194" t="str">
            <v>Retract., Volkmann,  8 t., bl., 22 cm</v>
          </cell>
        </row>
        <row r="195">
          <cell r="B195" t="str">
            <v>09-007-82-07</v>
          </cell>
          <cell r="C195" t="str">
            <v>Pinzette,  chir., Lane, gerieft,1x2Z,18cm</v>
          </cell>
          <cell r="D195" t="str">
            <v>Forceps, tissue, Lane, 1x2 t., 18 cm</v>
          </cell>
        </row>
        <row r="196">
          <cell r="B196" t="str">
            <v>09-007-83-07</v>
          </cell>
          <cell r="C196" t="str">
            <v>Pinzette,  chir., 1x2 Z., 14,5 cm</v>
          </cell>
          <cell r="D196" t="str">
            <v>Forceps, tissue, 1x2 T., 14,5 cm</v>
          </cell>
        </row>
        <row r="197">
          <cell r="B197" t="str">
            <v>09-007-84-07</v>
          </cell>
          <cell r="C197" t="str">
            <v>Pinzette,  chir., Adson, 1x2 Z., 18 cm</v>
          </cell>
          <cell r="D197" t="str">
            <v>Forceps, tissue, Adson, 1x2 T., 18 cm</v>
          </cell>
        </row>
        <row r="198">
          <cell r="B198" t="str">
            <v>09-007-85-07</v>
          </cell>
          <cell r="C198" t="str">
            <v>Pinzette,  chir., Brown, 15 cm</v>
          </cell>
          <cell r="D198" t="str">
            <v>Forceps, tissue, Brown, 15 cm</v>
          </cell>
        </row>
        <row r="199">
          <cell r="B199" t="str">
            <v>09-007-86-07</v>
          </cell>
          <cell r="C199" t="str">
            <v>Pinzette,  Lucae, baj., 1x2 Z., 14 cm</v>
          </cell>
          <cell r="D199" t="str">
            <v>Forceps, Lucae, bayon., 1x2 T., 14 cm</v>
          </cell>
        </row>
        <row r="200">
          <cell r="B200" t="str">
            <v>09-007-87-07</v>
          </cell>
          <cell r="C200" t="str">
            <v>Pinzette,  Waugh, 1x2 Z., 18 cm</v>
          </cell>
          <cell r="D200" t="str">
            <v>Forceps, Waugh, 1x2 t., 18 cm</v>
          </cell>
        </row>
        <row r="201">
          <cell r="B201" t="str">
            <v>09-007-88-07</v>
          </cell>
          <cell r="C201" t="str">
            <v>TC-Pinzette, Ferris-Smith, 2x3 Z., 18 cm</v>
          </cell>
          <cell r="D201" t="str">
            <v>TC-forceps, Ferris-Smith, 2x3 T., 18 cm</v>
          </cell>
        </row>
        <row r="202">
          <cell r="B202" t="str">
            <v>09-007-89-07</v>
          </cell>
          <cell r="C202" t="str">
            <v>Pinzette,  Mikro, Knüpf, geb., 15 cm</v>
          </cell>
          <cell r="D202" t="str">
            <v>Forceps, micro-tying, cvd., 15 cm</v>
          </cell>
        </row>
        <row r="203">
          <cell r="B203" t="str">
            <v>09-007-90-07</v>
          </cell>
          <cell r="C203" t="str">
            <v>Pinzette,  Mikro, Knüpf,ger.,  0,3mm, 15cm</v>
          </cell>
          <cell r="D203" t="str">
            <v>Forceps, micro-tying, str., 0,3 mm, 15cm</v>
          </cell>
        </row>
        <row r="204">
          <cell r="B204" t="str">
            <v>09-007-91-07</v>
          </cell>
          <cell r="C204" t="str">
            <v>Pinzette,  Gefäß, De Bakey, 1 mm, 20 cm</v>
          </cell>
          <cell r="D204" t="str">
            <v>Fcps., atr., De Bakey, 1 mm, 20 cm</v>
          </cell>
        </row>
        <row r="205">
          <cell r="B205" t="str">
            <v>09-007-92-07</v>
          </cell>
          <cell r="C205" t="str">
            <v>Pinzette,Gefäß,DeBakey, 1 mm, 24 cm</v>
          </cell>
          <cell r="D205" t="str">
            <v>Fcps., atr., De Bakey, 1 mm, 24 cm</v>
          </cell>
        </row>
        <row r="206">
          <cell r="B206" t="str">
            <v>09-007-93-07</v>
          </cell>
          <cell r="C206" t="str">
            <v>Pinzette,Gefäß,DeBakey, 1 mm, 15 cm</v>
          </cell>
          <cell r="D206" t="str">
            <v>Fcps., atr., De Bakey, 1 mm, 15 cm</v>
          </cell>
        </row>
        <row r="207">
          <cell r="B207" t="str">
            <v>09-007-94-07</v>
          </cell>
          <cell r="C207" t="str">
            <v>Klemme,  Präp., Zenker, leicht geb., 35cm</v>
          </cell>
          <cell r="D207" t="str">
            <v>Fcps., dissecting,  Zenker, sl. cvd.,35cm</v>
          </cell>
        </row>
        <row r="208">
          <cell r="B208" t="str">
            <v>09-007-95-07</v>
          </cell>
          <cell r="C208" t="str">
            <v>Klemme,  Präp., Zenker, mittel geb., 35cm</v>
          </cell>
          <cell r="D208" t="str">
            <v>Fcps., dissecting,  Zenker, med.cvd.,35cm</v>
          </cell>
        </row>
        <row r="209">
          <cell r="B209" t="str">
            <v>09-007-96-07</v>
          </cell>
          <cell r="C209" t="str">
            <v>Klemme,  Präp., Zenker, stark geb., 35 cm</v>
          </cell>
          <cell r="D209" t="str">
            <v>Fcps., dissecting,  Zenker, st. cvd.,35cm</v>
          </cell>
        </row>
        <row r="210">
          <cell r="B210" t="str">
            <v>09-007-97-07</v>
          </cell>
          <cell r="C210" t="str">
            <v>Klemme,  Arterie, Jacob.-Hals., geb.,13cm</v>
          </cell>
          <cell r="D210" t="str">
            <v>Forceps, artery, Jacob.-Hals., cvd, 13cm</v>
          </cell>
        </row>
        <row r="211">
          <cell r="B211" t="str">
            <v>09-007-98-07</v>
          </cell>
          <cell r="C211" t="str">
            <v>Klemme,  Vasekt., Mosquito,  geb., 14 cm</v>
          </cell>
          <cell r="D211" t="str">
            <v>Forceps, vasect., Mosquito,  cvd., 14 cm</v>
          </cell>
        </row>
        <row r="212">
          <cell r="B212" t="str">
            <v>09-007-99-07</v>
          </cell>
          <cell r="C212" t="str">
            <v>Klemme,  Vasektomie, ger., 14 cm</v>
          </cell>
          <cell r="D212" t="str">
            <v>Forceps, vasectomy, str., 14 cm</v>
          </cell>
        </row>
        <row r="213">
          <cell r="B213" t="str">
            <v>09-008-01-07</v>
          </cell>
          <cell r="C213" t="str">
            <v>Klemme,  Arterie, Müller, S-Form, 37cm</v>
          </cell>
          <cell r="D213" t="str">
            <v>Forceps, atr., Müller, s-shape, 37 cm</v>
          </cell>
        </row>
        <row r="214">
          <cell r="B214" t="str">
            <v>09-008-02-07</v>
          </cell>
          <cell r="C214" t="str">
            <v>Klemme,  Meeker, geb., 18 cm</v>
          </cell>
          <cell r="D214" t="str">
            <v>Forceps, Meeker, cvd., 18 cm</v>
          </cell>
        </row>
        <row r="215">
          <cell r="B215" t="str">
            <v>09-008-03-07</v>
          </cell>
          <cell r="C215" t="str">
            <v>Klemme,  Bulldog, DeBakey-Hess, 20 mm</v>
          </cell>
          <cell r="D215" t="str">
            <v>Clamps, bulldog, De Bakey-Hess, 20 mm</v>
          </cell>
        </row>
        <row r="216">
          <cell r="B216" t="str">
            <v>09-008-04-07</v>
          </cell>
          <cell r="C216" t="str">
            <v>Klemme,  Bronchus,  Maull., 6 cm, 23 cm</v>
          </cell>
          <cell r="D216" t="str">
            <v>Forceps, bronchus,  tip 6 cm, 23 cm</v>
          </cell>
        </row>
        <row r="217">
          <cell r="B217" t="str">
            <v>09-008-05-07</v>
          </cell>
          <cell r="C217" t="str">
            <v>Klemme,  Bronchus,  Maull., 8 cm, 23 cm</v>
          </cell>
          <cell r="D217" t="str">
            <v>Forceps, bronchus,  tip 8 cm, 23 cm</v>
          </cell>
        </row>
        <row r="218">
          <cell r="B218" t="str">
            <v>09-008-06-07</v>
          </cell>
          <cell r="C218" t="str">
            <v>Klemme,  Nierenstiel, Herrick, 23 cm</v>
          </cell>
          <cell r="D218" t="str">
            <v>Fcps., renal pedicle, Herrick, 23 cm</v>
          </cell>
        </row>
        <row r="219">
          <cell r="B219" t="str">
            <v>09-008-07-07</v>
          </cell>
          <cell r="C219" t="str">
            <v>Klemme,  Tuch, Doyen, m. Ring, 18 cm</v>
          </cell>
          <cell r="D219" t="str">
            <v>Fcps., towel hold., Doyen, w. ring,18cm</v>
          </cell>
        </row>
        <row r="220">
          <cell r="B220" t="str">
            <v>09-008-08-07</v>
          </cell>
          <cell r="C220" t="str">
            <v>Klemme,  Cholezystektomie,Gray,# 2, 22 cm</v>
          </cell>
          <cell r="D220" t="str">
            <v>Fcps., cholecystectomy, Gray, # 2, 22 cm</v>
          </cell>
        </row>
        <row r="221">
          <cell r="B221" t="str">
            <v>09-008-09-07</v>
          </cell>
          <cell r="C221" t="str">
            <v>Klemme,  Cholezystektomie,Gray,# 1, 22 cm</v>
          </cell>
          <cell r="D221" t="str">
            <v>Fcps., cholecystectomy, Gray, # 1, 22 cm</v>
          </cell>
        </row>
        <row r="222">
          <cell r="B222" t="str">
            <v>09-008-10-07</v>
          </cell>
          <cell r="C222" t="str">
            <v>Klemme,  Peritoneum, Mikulicz,  1x2Z.,24cm</v>
          </cell>
          <cell r="D222" t="str">
            <v>Forceps, peritoneum, Mikulicz,  1x2t,24cm</v>
          </cell>
        </row>
        <row r="223">
          <cell r="B223" t="str">
            <v>09-008-13-07</v>
          </cell>
          <cell r="C223" t="str">
            <v>Zange, Tampon,  Pelkmann,  geb., 25cm</v>
          </cell>
          <cell r="D223" t="str">
            <v>Fcps., tampon, Pelkmann,  cvd., 25cm</v>
          </cell>
        </row>
        <row r="224">
          <cell r="B224" t="str">
            <v>09-008-14-07</v>
          </cell>
          <cell r="C224" t="str">
            <v>Zange, Tupfer, geb., 17,5 cm</v>
          </cell>
          <cell r="D224" t="str">
            <v>Fcps., sponge, cvd., 17.5 cm</v>
          </cell>
        </row>
        <row r="225">
          <cell r="B225" t="str">
            <v>09-008-15-07</v>
          </cell>
          <cell r="C225" t="str">
            <v>Haken, Kocher-Langenbeck, 80x7mm,  21,5cm</v>
          </cell>
          <cell r="D225" t="str">
            <v>Retractor,  Kocher-Lang., 80x7mm,  21.5cm</v>
          </cell>
        </row>
        <row r="226">
          <cell r="B226" t="str">
            <v>09-008-16-07</v>
          </cell>
          <cell r="C226" t="str">
            <v>Haken, Wund, Kocher-Wagner,67x25 mm,28cm</v>
          </cell>
          <cell r="D226" t="str">
            <v>Retractor,  Kocher-Wagner, 67x25 mm, 28cm</v>
          </cell>
        </row>
        <row r="227">
          <cell r="B227" t="str">
            <v>09-008-17-07</v>
          </cell>
          <cell r="C227" t="str">
            <v>Haken, Wund, Lang.-Mann., 15x6 mm,15,5cm</v>
          </cell>
          <cell r="D227" t="str">
            <v>Retractor,  Lang.-Mann., 15x6 mm, 15.5 cm</v>
          </cell>
        </row>
        <row r="228">
          <cell r="B228" t="str">
            <v>09-008-18-07</v>
          </cell>
          <cell r="C228" t="str">
            <v>Haken, Mannerfeldt, modif., 12x12 mm</v>
          </cell>
          <cell r="D228" t="str">
            <v>Retractor,  Mannerfeldt, mod., 12x12 mm</v>
          </cell>
        </row>
        <row r="229">
          <cell r="B229" t="str">
            <v>09-008-19-07</v>
          </cell>
          <cell r="C229" t="str">
            <v>Haken, Wund, Hajek, 25x10 mm, 16,5 cm</v>
          </cell>
          <cell r="D229" t="str">
            <v>Retractor,  lip-cheek,  Hajek, 16.5 cm</v>
          </cell>
        </row>
        <row r="230">
          <cell r="B230" t="str">
            <v>09-008-20-07</v>
          </cell>
          <cell r="C230" t="str">
            <v>Haken, Wund, Caspar, 67x17 mm, 22,5 cm</v>
          </cell>
          <cell r="D230" t="str">
            <v>Retractor,  Caspar, 67x17 mm, 22.5 cm</v>
          </cell>
        </row>
        <row r="231">
          <cell r="B231" t="str">
            <v>09-008-21-07</v>
          </cell>
          <cell r="C231" t="str">
            <v>Haken, Wund, Dockhorn,  40x12 mm</v>
          </cell>
          <cell r="D231" t="str">
            <v>Retractor,  Dockhorn,  40x12 mm</v>
          </cell>
        </row>
        <row r="232">
          <cell r="B232" t="str">
            <v>09-008-22-07</v>
          </cell>
          <cell r="C232" t="str">
            <v>Haken, Wund, Canny-Ryall, 20 mm, 19 cm</v>
          </cell>
          <cell r="D232" t="str">
            <v>Retractor,  Canny-Ryall, 19x28 mm, 19 cm</v>
          </cell>
        </row>
        <row r="233">
          <cell r="B233" t="str">
            <v>09-008-23-07</v>
          </cell>
          <cell r="C233" t="str">
            <v>Haken, Wund, Czerny, dopp., 17,5 cm</v>
          </cell>
          <cell r="D233" t="str">
            <v>Retractor,  Czerny, s-sharped,  17.5 cm</v>
          </cell>
        </row>
        <row r="234">
          <cell r="B234" t="str">
            <v>09-008-24-07</v>
          </cell>
          <cell r="C234" t="str">
            <v>Haken, Wund, Morris, 70x50 mm, 24 cm</v>
          </cell>
          <cell r="D234" t="str">
            <v>Retractor,  Morris, 70x50 mm, 24 cm</v>
          </cell>
        </row>
        <row r="235">
          <cell r="B235" t="str">
            <v>09-008-25-07</v>
          </cell>
          <cell r="C235" t="str">
            <v>Haken, Wund, Morris, 70x65 mm, 24,5 cm</v>
          </cell>
          <cell r="D235" t="str">
            <v>Retractor,  Morris, 70x65 mm, 24,5 cm</v>
          </cell>
        </row>
        <row r="236">
          <cell r="B236" t="str">
            <v>09-008-28-07</v>
          </cell>
          <cell r="C236" t="str">
            <v>Spatel, Davis, biegsam,  32 mm, 18 cm</v>
          </cell>
          <cell r="D236" t="str">
            <v>Spatula, Davis, malleable,  32 mm, 18 cm</v>
          </cell>
        </row>
        <row r="237">
          <cell r="B237" t="str">
            <v>09-008-29-07</v>
          </cell>
          <cell r="C237" t="str">
            <v>Häkchen,  Mannerf.,  2 Z., stumpf, 15,5 cm</v>
          </cell>
          <cell r="D237" t="str">
            <v>Hooklet, Mannerfelt, bl., 2-pr., 15.5cm</v>
          </cell>
        </row>
        <row r="238">
          <cell r="B238" t="str">
            <v>09-008-31-07</v>
          </cell>
          <cell r="C238" t="str">
            <v>Spreizer,  Wund, Miskimon,  scharf, 22 cm</v>
          </cell>
          <cell r="D238" t="str">
            <v>Spreader,  wound, Miskimon,  sharp, 22 cm</v>
          </cell>
        </row>
        <row r="239">
          <cell r="B239" t="str">
            <v>09-008-32-07</v>
          </cell>
          <cell r="C239" t="str">
            <v>Spreizer,  Lamina, Cloward,  13,5 cm</v>
          </cell>
          <cell r="D239" t="str">
            <v>Spreader,  lamina, Cloward,  13.5 cm</v>
          </cell>
        </row>
        <row r="240">
          <cell r="B240" t="str">
            <v>09-008-33-07</v>
          </cell>
          <cell r="C240" t="str">
            <v>Sonde, Doppelknopf, Zinn, Ø 3,0 mm, 40cm</v>
          </cell>
          <cell r="D240" t="str">
            <v>Probe, double ended, mall, Ø 3,0mm, 40cm</v>
          </cell>
        </row>
        <row r="241">
          <cell r="B241" t="str">
            <v>09-008-34-07</v>
          </cell>
          <cell r="C241" t="str">
            <v>TC-Nadelhalter, De Bakey, 16,5 cm</v>
          </cell>
          <cell r="D241" t="str">
            <v>TC-needle  holder, De Bakey, 16.5 cm</v>
          </cell>
        </row>
        <row r="242">
          <cell r="B242" t="str">
            <v>09-008-35-07</v>
          </cell>
          <cell r="C242" t="str">
            <v>Watteträger, Jobson-Horne, 18 cm</v>
          </cell>
          <cell r="D242" t="str">
            <v>Cotton Applicator,  Jobson-Horne, 18 cm</v>
          </cell>
        </row>
        <row r="243">
          <cell r="B243" t="str">
            <v>09-008-36-07</v>
          </cell>
          <cell r="C243" t="str">
            <v>Zange, Tumor, Toennis, klein</v>
          </cell>
          <cell r="D243" t="str">
            <v>Fcps., tumor, Toennis, small</v>
          </cell>
        </row>
        <row r="244">
          <cell r="B244" t="str">
            <v>09-008-37-07</v>
          </cell>
          <cell r="C244" t="str">
            <v>Zange, Tumor, Toennis, mittel</v>
          </cell>
          <cell r="D244" t="str">
            <v>Fcps., tumor, Toennis, medium</v>
          </cell>
        </row>
        <row r="245">
          <cell r="B245" t="str">
            <v>09-008-38-07</v>
          </cell>
          <cell r="C245" t="str">
            <v>Hammer,  Bergmann,  Ø 30mm, 300gr., 23,5cm</v>
          </cell>
          <cell r="D245" t="str">
            <v>Mallet, Bergmann,  Ø30 mm, 300gr., 23.5cm</v>
          </cell>
        </row>
        <row r="246">
          <cell r="B246" t="str">
            <v>09-008-39-07</v>
          </cell>
          <cell r="C246" t="str">
            <v>Hammer,  Wagner, Ø 35 mm, komplett</v>
          </cell>
          <cell r="D246" t="str">
            <v>Mallet, Wagner, Ø 35 mm, complete</v>
          </cell>
        </row>
        <row r="247">
          <cell r="B247" t="str">
            <v>09-008-40-07</v>
          </cell>
          <cell r="C247" t="str">
            <v>Elevator,  Freer-Yasargil, scharf, 18 cm</v>
          </cell>
          <cell r="D247" t="str">
            <v>Elevator,  Freer-Yasargil, sharp, 18 cm</v>
          </cell>
        </row>
        <row r="248">
          <cell r="B248" t="str">
            <v>09-008-41-07</v>
          </cell>
          <cell r="C248" t="str">
            <v>Elevatorium, Langenbeck, 11 mm, 23 cm</v>
          </cell>
          <cell r="D248" t="str">
            <v>Elevator,  Langenbeck, 11 mm, 23 cm</v>
          </cell>
        </row>
        <row r="249">
          <cell r="B249" t="str">
            <v>09-008-42-07</v>
          </cell>
          <cell r="C249" t="str">
            <v>Elevatorium, Lempert,  stumpf, 19 cm</v>
          </cell>
          <cell r="D249" t="str">
            <v>Elevator,  Lempert,  blunt, 19 cm</v>
          </cell>
        </row>
        <row r="250">
          <cell r="B250" t="str">
            <v>09-008-43-07</v>
          </cell>
          <cell r="C250" t="str">
            <v>Elevatorium, Bristow, 23 cm</v>
          </cell>
          <cell r="D250" t="str">
            <v>Elevator,  Bristow, 23 cm</v>
          </cell>
        </row>
        <row r="251">
          <cell r="B251" t="str">
            <v>09-008-44-07</v>
          </cell>
          <cell r="C251" t="str">
            <v>Osteotom,  Mannerfelt, 8 mm, 15,5 cm</v>
          </cell>
          <cell r="D251" t="str">
            <v>Osteotome, Mannerfelt, 8mm, 15.5 cm</v>
          </cell>
        </row>
        <row r="252">
          <cell r="B252" t="str">
            <v>09-008-45-07</v>
          </cell>
          <cell r="C252" t="str">
            <v>Meissel, Papavero  f. Lamina, 4 mm, 22 cm</v>
          </cell>
          <cell r="D252" t="str">
            <v>Chisel, Papavero,  4mm, 22cm</v>
          </cell>
        </row>
        <row r="253">
          <cell r="B253" t="str">
            <v>09-008-46-07</v>
          </cell>
          <cell r="C253" t="str">
            <v>Raspatorium, Caspar, geb., 6,2 mm, 18 cm</v>
          </cell>
          <cell r="D253" t="str">
            <v>Raspatory,  Caspar, cvd., 6.2 mm, 18 cm</v>
          </cell>
        </row>
        <row r="254">
          <cell r="B254" t="str">
            <v>09-008-47-07</v>
          </cell>
          <cell r="C254" t="str">
            <v>Raspatorium, Lempert,  3,0mm, 17cm</v>
          </cell>
          <cell r="D254" t="str">
            <v>Raspatory,  Lempert,  3.0 mm, 17 cm</v>
          </cell>
        </row>
        <row r="255">
          <cell r="B255" t="str">
            <v>09-008-48-07</v>
          </cell>
          <cell r="C255" t="str">
            <v>Raspatorium, Büchs, 9,5 mm, 19 cm</v>
          </cell>
          <cell r="D255" t="str">
            <v>Raspatory,  Büchs, 9.5 mm, 19 cm</v>
          </cell>
        </row>
        <row r="256">
          <cell r="B256" t="str">
            <v>09-008-49-07</v>
          </cell>
          <cell r="C256" t="str">
            <v>Zange, Reposition, 20,5 cm</v>
          </cell>
          <cell r="D256" t="str">
            <v>Forceps, reposition,  20.5 cm</v>
          </cell>
        </row>
        <row r="257">
          <cell r="B257" t="str">
            <v>09-008-50-07</v>
          </cell>
          <cell r="C257" t="str">
            <v>Zange, Reposition, Meyer, 20,5 cm</v>
          </cell>
          <cell r="D257" t="str">
            <v>Forceps, reposition,  Meyer, 20.5 cm</v>
          </cell>
        </row>
        <row r="258">
          <cell r="B258" t="str">
            <v>09-008-51-07</v>
          </cell>
          <cell r="C258" t="str">
            <v>Zange, Reposition, Reil, aufgeb., 17 cm</v>
          </cell>
          <cell r="D258" t="str">
            <v>Forceps, reposition,  Reil, cvd. up, 17cm</v>
          </cell>
        </row>
        <row r="259">
          <cell r="B259" t="str">
            <v>09-008-52-07</v>
          </cell>
          <cell r="C259" t="str">
            <v>Dissektor,  Watson-Cheyne, 2,0/2,7mm,19cm</v>
          </cell>
          <cell r="D259" t="str">
            <v>Dissector,  Watson-Cheyne, 2.0/2.7mm,19cm</v>
          </cell>
        </row>
        <row r="260">
          <cell r="B260" t="str">
            <v>09-008-53-07</v>
          </cell>
          <cell r="C260" t="str">
            <v>Dissektor,  Watson-Cheyne, 1,6/3,2mm,13cm</v>
          </cell>
          <cell r="D260" t="str">
            <v>Dissector,  Watson-Cheyne, 1.6/3.2mm,13cm</v>
          </cell>
        </row>
        <row r="261">
          <cell r="B261" t="str">
            <v>09-008-54-07</v>
          </cell>
          <cell r="C261" t="str">
            <v>Haken, Langenb-Würzburg,55x6mm,21,5cm</v>
          </cell>
          <cell r="D261" t="str">
            <v>Retr., Langenb-Würzburg,55x6mm,21,5cm</v>
          </cell>
        </row>
        <row r="262">
          <cell r="B262" t="str">
            <v>09-008-55-07</v>
          </cell>
          <cell r="C262" t="str">
            <v>Zange, Bohrführung, 20 cm</v>
          </cell>
          <cell r="D262" t="str">
            <v>Forceps, burrhole,  20 cm</v>
          </cell>
        </row>
        <row r="263">
          <cell r="B263" t="str">
            <v>09-008-56-07</v>
          </cell>
          <cell r="C263" t="str">
            <v>Zange, Sequester,  gerade, 20 cm</v>
          </cell>
          <cell r="D263" t="str">
            <v>Forceps, sequestrum, str., 20 cm</v>
          </cell>
        </row>
        <row r="264">
          <cell r="B264" t="str">
            <v>09-008-57-07</v>
          </cell>
          <cell r="C264" t="str">
            <v>Säge, Gips, Engel, 15,5 cm</v>
          </cell>
          <cell r="D264" t="str">
            <v>Saw, plaster, Engel, 15.5 cm</v>
          </cell>
        </row>
        <row r="265">
          <cell r="B265" t="str">
            <v>09-008-59-07</v>
          </cell>
          <cell r="C265" t="str">
            <v>Haken, Cloward,  18 mm, 18 cm</v>
          </cell>
          <cell r="D265" t="str">
            <v>Hook, Cloward,  18 mm, 18 cm</v>
          </cell>
        </row>
        <row r="266">
          <cell r="B266" t="str">
            <v>09-008-60-07</v>
          </cell>
          <cell r="C266" t="str">
            <v>Haken, Cloward,  20 mm, 18 cm</v>
          </cell>
          <cell r="D266" t="str">
            <v>Hook, Cloward,  20 mm, 18 cm</v>
          </cell>
        </row>
        <row r="267">
          <cell r="B267" t="str">
            <v>09-008-61-07</v>
          </cell>
          <cell r="C267" t="str">
            <v>Haken, Cloward,  23 mm, 18 cm</v>
          </cell>
          <cell r="D267" t="str">
            <v>Hook, Cloward,  23 mm, 18 cm</v>
          </cell>
        </row>
        <row r="268">
          <cell r="B268" t="str">
            <v>09-008-62-07</v>
          </cell>
          <cell r="C268" t="str">
            <v>Messer, Dura, Toennis, fein, 13 cm</v>
          </cell>
          <cell r="D268" t="str">
            <v>Knife, dura, Toennis, fine, 13cm</v>
          </cell>
        </row>
        <row r="269">
          <cell r="B269" t="str">
            <v>09-008-64-07</v>
          </cell>
          <cell r="C269" t="str">
            <v>Dissektor,  Sonde, Pennybaker, 23 cm</v>
          </cell>
          <cell r="D269" t="str">
            <v>Probe, dissector,  Pennybaker, 23 cm</v>
          </cell>
        </row>
        <row r="270">
          <cell r="B270" t="str">
            <v>09-008-65-07</v>
          </cell>
          <cell r="C270" t="str">
            <v>Einführungsinstrument Kath., Guyon, ger.</v>
          </cell>
          <cell r="D270" t="str">
            <v>Guide, catheter,  Guyon, str.</v>
          </cell>
        </row>
        <row r="271">
          <cell r="B271" t="str">
            <v>09-008-66-07</v>
          </cell>
          <cell r="C271" t="str">
            <v>Sonde, Gallenkanal, Moynihan,  34 cm</v>
          </cell>
          <cell r="D271" t="str">
            <v>Probe, gall duct, Moynihan,  34 cm</v>
          </cell>
        </row>
        <row r="272">
          <cell r="B272" t="str">
            <v>09-008-67-07</v>
          </cell>
          <cell r="C272" t="str">
            <v>Dilatator,  Harnr, Dittel, ger., 6CH,22cm</v>
          </cell>
          <cell r="D272" t="str">
            <v>Dilator, bile duct, Dittel,str.,6CH,22cm</v>
          </cell>
        </row>
        <row r="273">
          <cell r="B273" t="str">
            <v>09-008-68-07</v>
          </cell>
          <cell r="C273" t="str">
            <v>Dilatator,  Harnr, Dittel, ger., 7CH,22cm</v>
          </cell>
          <cell r="D273" t="str">
            <v>Dilator, bile duct, Dittel,str.,7CH,22cm</v>
          </cell>
        </row>
        <row r="274">
          <cell r="B274" t="str">
            <v>09-008-69-07</v>
          </cell>
          <cell r="C274" t="str">
            <v>Dilatator,  Harnr, Dittel, ger., 8CH,22cm</v>
          </cell>
          <cell r="D274" t="str">
            <v>Dilator, bile duct, Dittel,str.,8CH,22cm</v>
          </cell>
        </row>
        <row r="275">
          <cell r="B275" t="str">
            <v>09-008-70-07</v>
          </cell>
          <cell r="C275" t="str">
            <v>Dilatator,  Harnr, Dittel, ger., 9CH,22cm</v>
          </cell>
          <cell r="D275" t="str">
            <v>Dilator, bile duct, Dittel,str.,9CH,22cm</v>
          </cell>
        </row>
        <row r="276">
          <cell r="B276" t="str">
            <v>09-008-71-07</v>
          </cell>
          <cell r="C276" t="str">
            <v>Dilatator,  Harnr, Dittel, ger.,10CH,22cm</v>
          </cell>
          <cell r="D276" t="str">
            <v>Dilator, bile duct,Dittel,str.,10CH,22cm</v>
          </cell>
        </row>
        <row r="277">
          <cell r="B277" t="str">
            <v>09-008-72-07</v>
          </cell>
          <cell r="C277" t="str">
            <v>Dilatator,  Harnr, Dittel, ger.,11CH,22cm</v>
          </cell>
          <cell r="D277" t="str">
            <v>Dilator, bile duct, Dittel, 11 CH, 22 cm</v>
          </cell>
        </row>
        <row r="278">
          <cell r="B278" t="str">
            <v>09-008-73-07</v>
          </cell>
          <cell r="C278" t="str">
            <v>Dilatator,  Harnr, Dittel, ger.,12CH,22cm</v>
          </cell>
          <cell r="D278" t="str">
            <v>Dilator, bile duct,Dittel,str.,12CH,22cm</v>
          </cell>
        </row>
        <row r="279">
          <cell r="B279" t="str">
            <v>09-008-74-07</v>
          </cell>
          <cell r="C279" t="str">
            <v>Dilatator,  Harnr, Dittel, ger.,13CH,22cm</v>
          </cell>
          <cell r="D279" t="str">
            <v>Dilator, bile duct,Dittel,str.,13CH,22cm</v>
          </cell>
        </row>
        <row r="280">
          <cell r="B280" t="str">
            <v>09-008-75-07</v>
          </cell>
          <cell r="C280" t="str">
            <v>Dilatator,  Harnr, Dittel, ger.,14CH,22cm</v>
          </cell>
          <cell r="D280" t="str">
            <v>Dilator, bile duct,Dittel,str.,14CH,22cm</v>
          </cell>
        </row>
        <row r="281">
          <cell r="B281" t="str">
            <v>09-008-76-07</v>
          </cell>
          <cell r="C281" t="str">
            <v>Dilatator,  Harnr, Dittel, ger.,15CH,22cm</v>
          </cell>
          <cell r="D281" t="str">
            <v>Dilator, bile duct,Dittel,str.,15CH,22cm</v>
          </cell>
        </row>
        <row r="282">
          <cell r="B282" t="str">
            <v>09-008-77-07</v>
          </cell>
          <cell r="C282" t="str">
            <v>Dilatator,  Harnr, Dittel, ger.,16CH,22cm</v>
          </cell>
          <cell r="D282" t="str">
            <v>Dilator, bile duct,Dittel,str.,16CH,22cm</v>
          </cell>
        </row>
        <row r="283">
          <cell r="B283" t="str">
            <v>09-008-78-07</v>
          </cell>
          <cell r="C283" t="str">
            <v>Dilatator,  Harnr, Dittel, ger.,17CH,22cm</v>
          </cell>
          <cell r="D283" t="str">
            <v>Dilator, bile duct,Dittel,str.,17CH,22cm</v>
          </cell>
        </row>
        <row r="284">
          <cell r="B284" t="str">
            <v>09-008-79-07</v>
          </cell>
          <cell r="C284" t="str">
            <v>Dilatator,  Harnr, Dittel, ger.,18CH,22cm</v>
          </cell>
          <cell r="D284" t="str">
            <v>Dilator, bile duct,Dittel,str.,18CH,22cm</v>
          </cell>
        </row>
        <row r="285">
          <cell r="B285" t="str">
            <v>09-008-80-07</v>
          </cell>
          <cell r="C285" t="str">
            <v>Dilatator,  Harnr, Dittel, ger.,19CH,22cm</v>
          </cell>
          <cell r="D285" t="str">
            <v>Dilator, bile duct,Dittel,str.,19CH,22cm</v>
          </cell>
        </row>
        <row r="286">
          <cell r="B286" t="str">
            <v>09-008-81-07</v>
          </cell>
          <cell r="C286" t="str">
            <v>Dilatator,  Harnr, Dittel, ger.,20CH,22cm</v>
          </cell>
          <cell r="D286" t="str">
            <v>Dilator, bile duct,Dittel,str.,20CH,22cm</v>
          </cell>
        </row>
        <row r="287">
          <cell r="B287" t="str">
            <v>09-008-82-07</v>
          </cell>
          <cell r="C287" t="str">
            <v>Dilatator,  Harnr, Dittel, ger.,21CH,22cm</v>
          </cell>
          <cell r="D287" t="str">
            <v>Dilator, bile duct,Dittel,str.,21CH,22cm</v>
          </cell>
        </row>
        <row r="288">
          <cell r="B288" t="str">
            <v>09-008-83-07</v>
          </cell>
          <cell r="C288" t="str">
            <v>Dilatator,  Harnr, Dittel, ger.,22CH,22cm</v>
          </cell>
          <cell r="D288" t="str">
            <v>Dilator, bile duct,Dittel,str.,22CH,22cm</v>
          </cell>
        </row>
        <row r="289">
          <cell r="B289" t="str">
            <v>09-008-84-07</v>
          </cell>
          <cell r="C289" t="str">
            <v>Dilatator,  Harnr, Dittel, ger.,23CH,22cm</v>
          </cell>
          <cell r="D289" t="str">
            <v>Dilator, bile duct,Dittel,str.,23CH,22cm</v>
          </cell>
        </row>
        <row r="290">
          <cell r="B290" t="str">
            <v>09-008-85-07</v>
          </cell>
          <cell r="C290" t="str">
            <v>Dilatator,  Harnr, Dittel, ger.,24CH,22cm</v>
          </cell>
          <cell r="D290" t="str">
            <v>Dilator, bile duct,Dittel,str.,24CH,22cm</v>
          </cell>
        </row>
        <row r="291">
          <cell r="B291" t="str">
            <v>09-008-86-07</v>
          </cell>
          <cell r="C291" t="str">
            <v>Dilatator,  Harnr, Dittel, ger.,25CH,22cm</v>
          </cell>
          <cell r="D291" t="str">
            <v>Dilator, bile duct,Dittel,str.,25CH,22cm</v>
          </cell>
        </row>
        <row r="292">
          <cell r="B292" t="str">
            <v>09-008-87-07</v>
          </cell>
          <cell r="C292" t="str">
            <v>Dilatator,  Harnr, Dittel, ger.,26CH,22cm</v>
          </cell>
          <cell r="D292" t="str">
            <v>Dilator, bile duct,Dittel,str.,26CH,22cm</v>
          </cell>
        </row>
        <row r="293">
          <cell r="B293" t="str">
            <v>09-008-88-07</v>
          </cell>
          <cell r="C293" t="str">
            <v>Dilatator,  Harnr, Dittel, ger.,27CH,22cm</v>
          </cell>
          <cell r="D293" t="str">
            <v>Dilator, bile duct,Dittel,str.,27CH,22cm</v>
          </cell>
        </row>
        <row r="294">
          <cell r="B294" t="str">
            <v>09-008-89-07</v>
          </cell>
          <cell r="C294" t="str">
            <v>Dilatator,  Harnr, Dittel, ger.,28CH,22cm</v>
          </cell>
          <cell r="D294" t="str">
            <v>Dilator, bile duct,Dittel,str.,28CH,22cm</v>
          </cell>
        </row>
        <row r="295">
          <cell r="B295" t="str">
            <v>09-008-90-07</v>
          </cell>
          <cell r="C295" t="str">
            <v>Dilatator,  Harnr, Dittel, ger.,29CH,22cm</v>
          </cell>
          <cell r="D295" t="str">
            <v>Dilator, bile duct,Dittel,str.,29CH,22cm</v>
          </cell>
        </row>
        <row r="296">
          <cell r="B296" t="str">
            <v>09-008-91-07</v>
          </cell>
          <cell r="C296" t="str">
            <v>Dilatator,  Harnr, Dittel, ger.,30CH,22cm</v>
          </cell>
          <cell r="D296" t="str">
            <v>Dilator, bile duct,Dittel,str.,30CH,22cm</v>
          </cell>
        </row>
        <row r="297">
          <cell r="B297" t="str">
            <v>09-008-92-07</v>
          </cell>
          <cell r="C297" t="str">
            <v>Dilatator,  Harnr, Dittel, ger.,31CH,22cm</v>
          </cell>
          <cell r="D297" t="str">
            <v>Dilator, bile duct,Dittel,str.,31CH,22cm</v>
          </cell>
        </row>
        <row r="298">
          <cell r="B298" t="str">
            <v>09-008-93-07</v>
          </cell>
          <cell r="C298" t="str">
            <v>Dilatator,  Harnr, Dittel, ger.,32CH,22cm</v>
          </cell>
          <cell r="D298" t="str">
            <v>Dilator, bile duct,Dittel,str.,32CH,22cm</v>
          </cell>
        </row>
        <row r="299">
          <cell r="B299" t="str">
            <v>09-008-94-07</v>
          </cell>
          <cell r="C299" t="str">
            <v>Dilatator,  Harnr, Dittel, ger.,33CH,22cm</v>
          </cell>
          <cell r="D299" t="str">
            <v>Dilator, bile duct,Dittel,str.,33CH,22cm</v>
          </cell>
        </row>
        <row r="300">
          <cell r="B300" t="str">
            <v>09-008-95-07</v>
          </cell>
          <cell r="C300" t="str">
            <v>Dilatator,  Harnr, Dittel, ger.,34CH,22cm</v>
          </cell>
          <cell r="D300" t="str">
            <v>Dilator, bile duct,Dittel,str.,34CH,22cm</v>
          </cell>
        </row>
        <row r="301">
          <cell r="B301" t="str">
            <v>09-008-96-07</v>
          </cell>
          <cell r="C301" t="str">
            <v>Dilatator,  Harnr, Dittel, ger.,35CH,22cm</v>
          </cell>
          <cell r="D301" t="str">
            <v>Dilator, bile duct,Dittel,str.,35CH,22cm</v>
          </cell>
        </row>
        <row r="302">
          <cell r="B302" t="str">
            <v>09-008-97-07</v>
          </cell>
          <cell r="C302" t="str">
            <v>Dilatator,  Harnr, Dittel, ger.,36CH,22cm</v>
          </cell>
          <cell r="D302" t="str">
            <v>Dilator, bile duct,Dittel,str.,36CH,22cm</v>
          </cell>
        </row>
        <row r="303">
          <cell r="B303" t="str">
            <v>09-008-98-07</v>
          </cell>
          <cell r="C303" t="str">
            <v>Dilatator,  Harnr, Dittel,geb.,6CH,34,5cm</v>
          </cell>
          <cell r="D303" t="str">
            <v>Dilator,bile  duct,Dittel,cvd.,6CH,34.5cm</v>
          </cell>
        </row>
        <row r="304">
          <cell r="B304" t="str">
            <v>09-008-99-07</v>
          </cell>
          <cell r="C304" t="str">
            <v>Dilatator,  Harnr, Dittel,geb.,7CH,34,5cm</v>
          </cell>
          <cell r="D304" t="str">
            <v>Dilator,bile  duct,Dittel,cvd.,7CH,34.5cm</v>
          </cell>
        </row>
        <row r="305">
          <cell r="B305" t="str">
            <v>09-009-01-07</v>
          </cell>
          <cell r="C305" t="str">
            <v>Dilatator,  Harnr, Dittel,geb.,8CH,34,5cm</v>
          </cell>
          <cell r="D305" t="str">
            <v>Dilator,bile  duct,Dittel,cvd.,8CH,34.5cm</v>
          </cell>
        </row>
        <row r="306">
          <cell r="B306" t="str">
            <v>09-009-02-07</v>
          </cell>
          <cell r="C306" t="str">
            <v>Dilatator,  Harnr, Dittel,geb.,9CH,34,5cm</v>
          </cell>
          <cell r="D306" t="str">
            <v>Dilator,bile  duct,Dittel,cvd.,9CH,34.5cm</v>
          </cell>
        </row>
        <row r="307">
          <cell r="B307" t="str">
            <v>09-009-03-07</v>
          </cell>
          <cell r="C307" t="str">
            <v>Dilatator,  Harnr,Dittel,geb.,10CH,34,5cm</v>
          </cell>
          <cell r="D307" t="str">
            <v>Dilator,bile  duct,Dittel,cvd,10CH,34.5cm</v>
          </cell>
        </row>
        <row r="308">
          <cell r="B308" t="str">
            <v>09-009-04-07</v>
          </cell>
          <cell r="C308" t="str">
            <v>Dilatator,  Harnr,Dittel,geb.,11CH,34,5cm</v>
          </cell>
          <cell r="D308" t="str">
            <v>Dilator,bile  duct,Dittel,cvd,11CH,34.5cm</v>
          </cell>
        </row>
        <row r="309">
          <cell r="B309" t="str">
            <v>09-009-05-07</v>
          </cell>
          <cell r="C309" t="str">
            <v>Dilatator,  Harnr,Dittel,geb.,12CH,34,5cm</v>
          </cell>
          <cell r="D309" t="str">
            <v>Dilator,bile  duct,Dittel,cvd,12CH,34.5cm</v>
          </cell>
        </row>
        <row r="310">
          <cell r="B310" t="str">
            <v>09-009-06-07</v>
          </cell>
          <cell r="C310" t="str">
            <v>Dilatator,  Harnr,Dittel,geb.,13CH,34,5cm</v>
          </cell>
          <cell r="D310" t="str">
            <v>Dilator,bile  duct,Dittel,cvd,13CH,34.5cm</v>
          </cell>
        </row>
        <row r="311">
          <cell r="B311" t="str">
            <v>09-009-07-07</v>
          </cell>
          <cell r="C311" t="str">
            <v>Dilatator,  Harnr,Dittel,geb.,14CH,34,5cm</v>
          </cell>
          <cell r="D311" t="str">
            <v>Dilator,bile  duct,Dittel,cvd,14CH,34.5cm</v>
          </cell>
        </row>
        <row r="312">
          <cell r="B312" t="str">
            <v>09-009-08-07</v>
          </cell>
          <cell r="C312" t="str">
            <v>Dilatator,  Harnr,Dittel,geb.,15CH,34,5cm</v>
          </cell>
          <cell r="D312" t="str">
            <v>Dilator,bile  duct,Dittel,cvd,15CH,34.5cm</v>
          </cell>
        </row>
        <row r="313">
          <cell r="B313" t="str">
            <v>09-009-09-07</v>
          </cell>
          <cell r="C313" t="str">
            <v>Dilatator,  Harnr,Dittel,geb.,16CH,34,5cm</v>
          </cell>
          <cell r="D313" t="str">
            <v>Dilator,bile  duct,Dittel,cvd,16CH,34.5cm</v>
          </cell>
        </row>
        <row r="314">
          <cell r="B314" t="str">
            <v>09-009-10-07</v>
          </cell>
          <cell r="C314" t="str">
            <v>Dilatator,  Harnr,Dittel,geb.,17CH,34,5cm</v>
          </cell>
          <cell r="D314" t="str">
            <v>Dilator,bile  duct,Dittel,cvd,17CH,34.5cm</v>
          </cell>
        </row>
        <row r="315">
          <cell r="B315" t="str">
            <v>09-009-11-07</v>
          </cell>
          <cell r="C315" t="str">
            <v>Dilatator,  Harnr,Dittel,geb.,18CH,34,5cm</v>
          </cell>
          <cell r="D315" t="str">
            <v>Dilator,bile  duct,Dittel,cvd,18CH,34.5cm</v>
          </cell>
        </row>
        <row r="316">
          <cell r="B316" t="str">
            <v>09-009-12-07</v>
          </cell>
          <cell r="C316" t="str">
            <v>Dilatator,  Harnr,Dittel,geb.,19CH,34,5cm</v>
          </cell>
          <cell r="D316" t="str">
            <v>Dilator,bile  duct,Dittel,cvd,19CH,34.5cm</v>
          </cell>
        </row>
        <row r="317">
          <cell r="B317" t="str">
            <v>09-009-13-07</v>
          </cell>
          <cell r="C317" t="str">
            <v>Dilatator,  Harnr,Dittel,geb.,20CH,34,5cm</v>
          </cell>
          <cell r="D317" t="str">
            <v>Dilator,bile  duct,Dittel,cvd,20CH,34.5cm</v>
          </cell>
        </row>
        <row r="318">
          <cell r="B318" t="str">
            <v>09-009-14-07</v>
          </cell>
          <cell r="C318" t="str">
            <v>Dilatator,  Harnr,Dittel,geb.,21CH,34,5cm</v>
          </cell>
          <cell r="D318" t="str">
            <v>Dilator,bile  duct,Dittel,cvd,21CH,34.5cm</v>
          </cell>
        </row>
        <row r="319">
          <cell r="B319" t="str">
            <v>09-009-15-07</v>
          </cell>
          <cell r="C319" t="str">
            <v>Dilatator,  Harnr,Dittel,geb.,22CH,34,5cm</v>
          </cell>
          <cell r="D319" t="str">
            <v>Dilator,bile  duct,Dittel,cvd,22CH,34.5cm</v>
          </cell>
        </row>
        <row r="320">
          <cell r="B320" t="str">
            <v>09-009-16-07</v>
          </cell>
          <cell r="C320" t="str">
            <v>Dilatator,  Harnr,Dittel,geb.,23CH,34,5cm</v>
          </cell>
          <cell r="D320" t="str">
            <v>Dilator,bile  duct,Dittel,cvd,23CH,34.5cm</v>
          </cell>
        </row>
        <row r="321">
          <cell r="B321" t="str">
            <v>09-009-17-07</v>
          </cell>
          <cell r="C321" t="str">
            <v>Dilatator,  Harnr,Dittel,geb.,24CH,34,5cm</v>
          </cell>
          <cell r="D321" t="str">
            <v>Dilator,bile  duct,Dittel,cvd,24CH,34.5cm</v>
          </cell>
        </row>
        <row r="322">
          <cell r="B322" t="str">
            <v>09-009-18-07</v>
          </cell>
          <cell r="C322" t="str">
            <v>Dilatator,  Harnr,Dittel,geb.,25CH,34,5cm</v>
          </cell>
          <cell r="D322" t="str">
            <v>Dilator,bile  duct,Dittel,cvd,25CH,34.5cm</v>
          </cell>
        </row>
        <row r="323">
          <cell r="B323" t="str">
            <v>09-009-19-07</v>
          </cell>
          <cell r="C323" t="str">
            <v>Dilatator,  Harnr,Dittel,geb.,26CH,34,5cm</v>
          </cell>
          <cell r="D323" t="str">
            <v>Dilator,bile  duct,Dittel,cvd,26CH,34.5cm</v>
          </cell>
        </row>
        <row r="324">
          <cell r="B324" t="str">
            <v>09-009-20-07</v>
          </cell>
          <cell r="C324" t="str">
            <v>Dilatator,  Harnr,Dittel,geb.,27CH,34,5cm</v>
          </cell>
          <cell r="D324" t="str">
            <v>Dilator,bile  duct,Dittel,cvd,27CH,34.5cm</v>
          </cell>
        </row>
        <row r="325">
          <cell r="B325" t="str">
            <v>09-009-21-07</v>
          </cell>
          <cell r="C325" t="str">
            <v>Dilatator,  Harnr,Dittel,geb.,28CH,34,5cm</v>
          </cell>
          <cell r="D325" t="str">
            <v>Dilator,bile  duct,Dittel,cvd,28CH,34.5cm</v>
          </cell>
        </row>
        <row r="326">
          <cell r="B326" t="str">
            <v>09-009-22-07</v>
          </cell>
          <cell r="C326" t="str">
            <v>Dilatator,  Harnr,Dittel,geb.,29CH,34,5cm</v>
          </cell>
          <cell r="D326" t="str">
            <v>Dilator,bile  duct,Dittel,cvd,29CH,34.5cm</v>
          </cell>
        </row>
        <row r="327">
          <cell r="B327" t="str">
            <v>09-009-23-07</v>
          </cell>
          <cell r="C327" t="str">
            <v>Dilatator,  Harnr,Dittel,geb.,30CH,34,5cm</v>
          </cell>
          <cell r="D327" t="str">
            <v>Dilator,bile  duct,Dittel,cvd,30CH,34.5cm</v>
          </cell>
        </row>
        <row r="328">
          <cell r="B328" t="str">
            <v>09-009-24-07</v>
          </cell>
          <cell r="C328" t="str">
            <v>Dilatator,  Harnr,Dittel,geb.,31CH,34,5cm</v>
          </cell>
          <cell r="D328" t="str">
            <v>Dilator,bile  duct,Dittel,cvd,31CH,34.5cm</v>
          </cell>
        </row>
        <row r="329">
          <cell r="B329" t="str">
            <v>09-009-25-07</v>
          </cell>
          <cell r="C329" t="str">
            <v>Dilatator,  Harnr,Dittel,geb.,32CH,34,5cm</v>
          </cell>
          <cell r="D329" t="str">
            <v>Dilator,bile  duct,Dittel,cvd,32CH,34.5cm</v>
          </cell>
        </row>
        <row r="330">
          <cell r="B330" t="str">
            <v>09-009-26-07</v>
          </cell>
          <cell r="C330" t="str">
            <v>Dilatator,  Harnr,Dittel,geb.,33CH,34,5cm</v>
          </cell>
          <cell r="D330" t="str">
            <v>Dilator,bile  duct,Dittel,cvd,33CH,34.5cm</v>
          </cell>
        </row>
        <row r="331">
          <cell r="B331" t="str">
            <v>09-009-27-07</v>
          </cell>
          <cell r="C331" t="str">
            <v>Dilatator,  Harnr,Dittel,geb.,34CH,34,5cm</v>
          </cell>
          <cell r="D331" t="str">
            <v>Dilator,bile  duct,Dittel,cvd,34CH,34.5cm</v>
          </cell>
        </row>
        <row r="332">
          <cell r="B332" t="str">
            <v>09-009-28-07</v>
          </cell>
          <cell r="C332" t="str">
            <v>Dilatator,  Harnr,Dittel,geb.,35CH,34,5cm</v>
          </cell>
          <cell r="D332" t="str">
            <v>Dilator,bile  duct,Dittel,cvd,35CH,34.5cm</v>
          </cell>
        </row>
        <row r="333">
          <cell r="B333" t="str">
            <v>09-009-29-07</v>
          </cell>
          <cell r="C333" t="str">
            <v>Dilatator,  Harnr,Dittel,geb.,36CH,34,5cm</v>
          </cell>
          <cell r="D333" t="str">
            <v>Dilator,bile  duct,Dittel,cvd,36CH,34.5cm</v>
          </cell>
        </row>
        <row r="334">
          <cell r="B334" t="str">
            <v>09-009-31-07</v>
          </cell>
          <cell r="C334" t="str">
            <v>Zange, fass, Darm, Allis, 2x3 Z., 15,5cm</v>
          </cell>
          <cell r="D334" t="str">
            <v>Forceps, rectal, Allis, 2x3 t., 15.5 cm</v>
          </cell>
        </row>
        <row r="335">
          <cell r="B335" t="str">
            <v>09-009-32-07</v>
          </cell>
          <cell r="C335" t="str">
            <v>Zange, Nierenstein, Randall, # 5, 19cm</v>
          </cell>
          <cell r="D335" t="str">
            <v>Fcps., kidney stone, Randall, # 5, 19cm</v>
          </cell>
        </row>
        <row r="336">
          <cell r="B336" t="str">
            <v>09-009-33-07</v>
          </cell>
          <cell r="C336" t="str">
            <v>Zange, Nierenstein, Randall, # 6, 19cm</v>
          </cell>
          <cell r="D336" t="str">
            <v>Fcps., kidney stone, Randall, # 6, 19cm</v>
          </cell>
        </row>
        <row r="337">
          <cell r="B337" t="str">
            <v>09-009-34-07</v>
          </cell>
          <cell r="C337" t="str">
            <v>Klemme,  Samenstrang z. Fixierung,  14,5cm</v>
          </cell>
          <cell r="D337" t="str">
            <v>Forceps, f. spermatic  cord, 14.5 cm</v>
          </cell>
        </row>
        <row r="338">
          <cell r="B338" t="str">
            <v>09-009-35-07</v>
          </cell>
          <cell r="C338" t="str">
            <v>Spatel, Blase, Legueu, 90x35 mm, 27 cm</v>
          </cell>
          <cell r="D338" t="str">
            <v>Retr., bladder, Legueu,90x35mm, 27cm</v>
          </cell>
        </row>
        <row r="339">
          <cell r="B339" t="str">
            <v>09-009-36-07</v>
          </cell>
          <cell r="C339" t="str">
            <v>Spekulum,  vaginal,  Seidl, Satz, 90x14mm</v>
          </cell>
          <cell r="D339" t="str">
            <v>Speculum,  vaginal, Seidl, Set, 90x14 mm</v>
          </cell>
        </row>
        <row r="340">
          <cell r="B340" t="str">
            <v>09-009-37-07</v>
          </cell>
          <cell r="C340" t="str">
            <v>Spekulum,  Vaginal, Seidl, 80x8 mm</v>
          </cell>
          <cell r="D340" t="str">
            <v>Speculum,  vaginal, Seidl, 80x8 mm</v>
          </cell>
        </row>
        <row r="341">
          <cell r="B341" t="str">
            <v>09-009-38-07</v>
          </cell>
          <cell r="C341" t="str">
            <v>Spekulum,  Vaginal, Braun, 56x13 mm, 18cm</v>
          </cell>
          <cell r="D341" t="str">
            <v>Specula, vaginal, Braun, 56x13 mm, 18 cm</v>
          </cell>
        </row>
        <row r="342">
          <cell r="B342" t="str">
            <v>09-009-39-07</v>
          </cell>
          <cell r="C342" t="str">
            <v>Spek., Scheide.,  Braun, 60x10mm,  18 cm</v>
          </cell>
          <cell r="D342" t="str">
            <v>Specula, vaginal, Braun, 60x10mm,  18 cm</v>
          </cell>
        </row>
        <row r="343">
          <cell r="B343" t="str">
            <v>09-009-40-07</v>
          </cell>
          <cell r="C343" t="str">
            <v>Spekulum,  Vaginal,Collin-Landau, 90x28mm</v>
          </cell>
          <cell r="D343" t="str">
            <v>Speculum,  vaginal, Collin-Landau,90x28mm</v>
          </cell>
        </row>
        <row r="344">
          <cell r="B344" t="str">
            <v>09-009-41-07</v>
          </cell>
          <cell r="C344" t="str">
            <v>Zange, fass, Heywood-Smith,ger.,20,5cm</v>
          </cell>
          <cell r="D344" t="str">
            <v>Fcps., grasp., Heyw-Smith, str., 20.5cm</v>
          </cell>
        </row>
        <row r="345">
          <cell r="B345" t="str">
            <v>09-009-42-07</v>
          </cell>
          <cell r="C345" t="str">
            <v>Zange, Haken, Schroeder,  3x3Z., 27 cm</v>
          </cell>
          <cell r="D345" t="str">
            <v>Fcps., vulsellum,  Schroeder,  3x3T., 27cm</v>
          </cell>
        </row>
        <row r="346">
          <cell r="B346" t="str">
            <v>09-009-43-07</v>
          </cell>
          <cell r="C346" t="str">
            <v>Zange, Haken, Littlewood, 18,5 cm</v>
          </cell>
          <cell r="D346" t="str">
            <v>Fcps., vulsellum,  Littlewood, 18.5 cm</v>
          </cell>
        </row>
        <row r="347">
          <cell r="B347" t="str">
            <v>09-009-44-07</v>
          </cell>
          <cell r="C347" t="str">
            <v>Zange, Ovarien, Doyen, 20 cm</v>
          </cell>
          <cell r="D347" t="str">
            <v>Forceps, ovariam,  Doyen, 20 cm</v>
          </cell>
        </row>
        <row r="348">
          <cell r="B348" t="str">
            <v>09-009-45-07</v>
          </cell>
          <cell r="C348" t="str">
            <v>Zange, Uterusbiopsie, Tischler</v>
          </cell>
          <cell r="D348" t="str">
            <v>Forceps, uterus biops., Tischler</v>
          </cell>
        </row>
        <row r="349">
          <cell r="B349" t="str">
            <v>09-009-46-07</v>
          </cell>
          <cell r="C349" t="str">
            <v>Löffel, Sekret, Uterus, Asch, 20 cm</v>
          </cell>
          <cell r="D349" t="str">
            <v>Spoon, secret, uterine, Asch, 20 cm</v>
          </cell>
        </row>
        <row r="350">
          <cell r="B350" t="str">
            <v>09-009-47-07</v>
          </cell>
          <cell r="C350" t="str">
            <v>Speculum,  Rectal, Mathieu,  3Bl., 19,5 cm</v>
          </cell>
          <cell r="D350" t="str">
            <v>Speculum,  rectal,Mathieu,3 sheets,19.5cm</v>
          </cell>
        </row>
        <row r="351">
          <cell r="B351" t="str">
            <v>09-009-48-07</v>
          </cell>
          <cell r="C351" t="str">
            <v>Klemme,  Rektum-Anast.,Lloyd-Davis,31,5cm</v>
          </cell>
          <cell r="D351" t="str">
            <v>Fcps.,rectal-anast., Lloyd-Davis, 31.5cm</v>
          </cell>
        </row>
        <row r="352">
          <cell r="B352" t="str">
            <v>09-009-49-07</v>
          </cell>
          <cell r="C352" t="str">
            <v>Zange, Biopsie, Yeoman,  rektal, 42 cm</v>
          </cell>
          <cell r="D352" t="str">
            <v>Forceps, biopsy, Yeoman,  rectal, 42 cm</v>
          </cell>
        </row>
        <row r="353">
          <cell r="B353" t="str">
            <v>09-009-53-07</v>
          </cell>
          <cell r="C353" t="str">
            <v>Messer, Knorpel, Masing, geb., 13 cm</v>
          </cell>
          <cell r="D353" t="str">
            <v>Knife, cartilage,  Masing, cvd., 13 cm</v>
          </cell>
        </row>
        <row r="354">
          <cell r="B354" t="str">
            <v>09-009-54-07</v>
          </cell>
          <cell r="C354" t="str">
            <v>Gabel, Führung,  Plester, 16 cm</v>
          </cell>
          <cell r="D354" t="str">
            <v>Wire, guide/applicator, Plester, 16 cm</v>
          </cell>
        </row>
        <row r="355">
          <cell r="B355" t="str">
            <v>09-009-55-07</v>
          </cell>
          <cell r="C355" t="str">
            <v>Pinzette,  Ohr, Tröltsch, 1x2Z., 12,5 cm</v>
          </cell>
          <cell r="D355" t="str">
            <v>Fcps., ear, Tröltsch, 1x2T., 12.5 cm</v>
          </cell>
        </row>
        <row r="356">
          <cell r="B356" t="str">
            <v>09-009-56-07</v>
          </cell>
          <cell r="C356" t="str">
            <v>Zange, Ohrtampon, Tilley, 14 cm</v>
          </cell>
          <cell r="D356" t="str">
            <v>Forceps, ear tampon, Tilley, 14 cm</v>
          </cell>
        </row>
        <row r="357">
          <cell r="B357" t="str">
            <v>09-009-57-07</v>
          </cell>
          <cell r="C357" t="str">
            <v>Spekula,Ohr, Shea, abgeschr.,  3,9x5,5 mm</v>
          </cell>
          <cell r="D357" t="str">
            <v>Specula, ear, oblique ended, 4.0x5.4 mm</v>
          </cell>
        </row>
        <row r="358">
          <cell r="B358" t="str">
            <v>09-009-58-07</v>
          </cell>
          <cell r="C358" t="str">
            <v>Spekula,Ohr, Shea, abgeschr.,  5,0x7,4 mm</v>
          </cell>
          <cell r="D358" t="str">
            <v>Specula, ear, oblique ended, 5.0x7.3 mm</v>
          </cell>
        </row>
        <row r="359">
          <cell r="B359" t="str">
            <v>09-009-59-07</v>
          </cell>
          <cell r="C359" t="str">
            <v>Spekula,Ohr, Shea, abgeschr.,  5,8x8,3 mm</v>
          </cell>
          <cell r="D359" t="str">
            <v>Specula, ear, oblique ended, 5.8x8.3 mm</v>
          </cell>
        </row>
        <row r="360">
          <cell r="B360" t="str">
            <v>09-009-60-07</v>
          </cell>
          <cell r="C360" t="str">
            <v>Zungendrücker, Russel-Davis, 18x57 mm</v>
          </cell>
          <cell r="D360" t="str">
            <v>Depressor,  tongue, Russel-Davis, 18x57mm</v>
          </cell>
        </row>
        <row r="361">
          <cell r="B361" t="str">
            <v>09-009-61-07</v>
          </cell>
          <cell r="C361" t="str">
            <v>Zungendrücker, Russel-Davis, 22x67 mm</v>
          </cell>
          <cell r="D361" t="str">
            <v>Depressor,  tongue, Russel-Davis, 22x67mm</v>
          </cell>
        </row>
        <row r="362">
          <cell r="B362" t="str">
            <v>09-009-62-07</v>
          </cell>
          <cell r="C362" t="str">
            <v>Zungendrücker, Russel-Davis, 25x75 mm</v>
          </cell>
          <cell r="D362" t="str">
            <v>Depressor,  tongue, Russel-Davis, 25x75mm</v>
          </cell>
        </row>
        <row r="363">
          <cell r="B363" t="str">
            <v>09-009-67-07</v>
          </cell>
          <cell r="C363" t="str">
            <v>Zange, fass, Tonsillen,Denis-Browne,20cm</v>
          </cell>
          <cell r="D363" t="str">
            <v>Forceps, seiz., tonsil,Denis-Browne,20cm</v>
          </cell>
        </row>
        <row r="364">
          <cell r="B364" t="str">
            <v>09-009-68-07</v>
          </cell>
          <cell r="C364" t="str">
            <v>Klemme,  Tonsillen,  Birkett, geb., 19 cm</v>
          </cell>
          <cell r="D364" t="str">
            <v>Forceps, tonsil, Birkett, cvd., 19cm</v>
          </cell>
        </row>
        <row r="365">
          <cell r="B365" t="str">
            <v>09-009-69-07</v>
          </cell>
          <cell r="C365" t="str">
            <v>Klemme,  Tonsillen,  Birkett, ger., 18,5cm</v>
          </cell>
          <cell r="D365" t="str">
            <v>Forceps, tonsil, Birkett, str., 18.5 cm</v>
          </cell>
        </row>
        <row r="366">
          <cell r="B366" t="str">
            <v>09-009-70-07</v>
          </cell>
          <cell r="C366" t="str">
            <v>Zange, fass, Polypen, Bonney, ger., 24cm</v>
          </cell>
          <cell r="D366" t="str">
            <v>Forceps, grasping,  Bonney, str., 24 cm</v>
          </cell>
        </row>
        <row r="367">
          <cell r="B367" t="str">
            <v>09-009-71-07</v>
          </cell>
          <cell r="C367" t="str">
            <v>Haken, Gaumensegel, Nager, 24 cm</v>
          </cell>
          <cell r="D367" t="str">
            <v>Retractor,  soft palate, Nager, 24 cm</v>
          </cell>
        </row>
        <row r="368">
          <cell r="B368" t="str">
            <v>09-009-72-07</v>
          </cell>
          <cell r="C368" t="str">
            <v>Zange, Nasenrachen, Jurasz, 21 cm</v>
          </cell>
          <cell r="D368" t="str">
            <v>Forceps, nasal-pharyngeal, Jurasz, 21 cm</v>
          </cell>
        </row>
        <row r="369">
          <cell r="B369" t="str">
            <v>09-009-73-07</v>
          </cell>
          <cell r="C369" t="str">
            <v>Haken, Schilddrüse, Schönborn, 21 cm</v>
          </cell>
          <cell r="D369" t="str">
            <v>Retr., thyroid, Schoenborn, 6x13mm,  21cm</v>
          </cell>
        </row>
        <row r="370">
          <cell r="B370" t="str">
            <v>09-009-74-07</v>
          </cell>
          <cell r="C370" t="str">
            <v>Raspel, Antrum, Wiener, Ø 3,5 mm, 19,5cm</v>
          </cell>
          <cell r="D370" t="str">
            <v>Rasp, antrum, Wiener, Ø 3.5 mm, 19.5 cm</v>
          </cell>
        </row>
        <row r="371">
          <cell r="B371" t="str">
            <v>09-009-76-07</v>
          </cell>
          <cell r="C371" t="str">
            <v>Zange, Nasentampon, Tilley, 2,2 mm, 13cm</v>
          </cell>
          <cell r="D371" t="str">
            <v>Forceps, nasal, Tilley, 2.2 mm, 13 cm</v>
          </cell>
        </row>
        <row r="372">
          <cell r="B372" t="str">
            <v>09-009-77-07</v>
          </cell>
          <cell r="C372" t="str">
            <v>Messer, Periost, Muck, 12,8 cm</v>
          </cell>
          <cell r="D372" t="str">
            <v>Knife, peristeal,  Muck, 12.8 cm</v>
          </cell>
        </row>
        <row r="373">
          <cell r="B373" t="str">
            <v>09-009-78-07</v>
          </cell>
          <cell r="C373" t="str">
            <v>Handgriff  f. Stabinstrumente</v>
          </cell>
          <cell r="D373" t="str">
            <v>Handle, f. rod instruments</v>
          </cell>
        </row>
        <row r="374">
          <cell r="B374" t="str">
            <v>09-009-79-07</v>
          </cell>
          <cell r="C374" t="str">
            <v>Messer, Rund, quer oval, 24,5 cm</v>
          </cell>
          <cell r="D374" t="str">
            <v>Knife, round, across oval, 24.5 cm</v>
          </cell>
        </row>
        <row r="375">
          <cell r="B375" t="str">
            <v>09-009-80-07</v>
          </cell>
          <cell r="C375" t="str">
            <v>Stützstange, f. Erwachsene, 34 cm</v>
          </cell>
          <cell r="D375" t="str">
            <v>Support rod, f. adults, 34 cm</v>
          </cell>
        </row>
        <row r="376">
          <cell r="B376" t="str">
            <v>09-009-81-07</v>
          </cell>
          <cell r="C376" t="str">
            <v>Gummiring, für Bruststütze</v>
          </cell>
          <cell r="D376" t="str">
            <v>Rubber ring, for chest support</v>
          </cell>
        </row>
        <row r="377">
          <cell r="B377" t="str">
            <v>09-009-82-07</v>
          </cell>
          <cell r="C377" t="str">
            <v>OP-Laryngoskope, # 3, 18 cm</v>
          </cell>
          <cell r="D377" t="str">
            <v>OR-Laryngoscope, # 3, 18 cm</v>
          </cell>
        </row>
        <row r="378">
          <cell r="B378" t="str">
            <v>09-009-83-07</v>
          </cell>
          <cell r="C378" t="str">
            <v>OP-Laryngoskope, # 5, 17 cm</v>
          </cell>
          <cell r="D378" t="str">
            <v>OR-Laryngoscope, # 5, 17 cm</v>
          </cell>
        </row>
        <row r="379">
          <cell r="B379" t="str">
            <v>09-009-84-07</v>
          </cell>
          <cell r="C379" t="str">
            <v>OP-Laryngoskope, # 6, 18 cm</v>
          </cell>
          <cell r="D379" t="str">
            <v>OR-Laryngoscope, # 6, 18 cm</v>
          </cell>
        </row>
        <row r="380">
          <cell r="B380" t="str">
            <v>09-009-85-07</v>
          </cell>
          <cell r="C380" t="str">
            <v>OP-Laryngoskope, # 5, spreiz., 17 cm</v>
          </cell>
          <cell r="D380" t="str">
            <v>OR-Laryngoscope, # 5, spread., 17 cm</v>
          </cell>
        </row>
        <row r="381">
          <cell r="B381" t="str">
            <v>09-009-86-07</v>
          </cell>
          <cell r="C381" t="str">
            <v>OP-Laryngoskope, # 6, spreiz., 18 cm</v>
          </cell>
          <cell r="D381" t="str">
            <v>OR-Laryngoscope, # 6, spread., 18 cm</v>
          </cell>
        </row>
        <row r="382">
          <cell r="B382" t="str">
            <v>09-009-87-07</v>
          </cell>
          <cell r="C382" t="str">
            <v>Lichtträger  für OP-Laryngoskop, # 3-6</v>
          </cell>
          <cell r="D382" t="str">
            <v>Light carrier, f.OR-Laryng., # 3-6</v>
          </cell>
        </row>
        <row r="383">
          <cell r="B383" t="str">
            <v>09-009-89-07</v>
          </cell>
          <cell r="C383" t="str">
            <v>Rauchabsaugrohr f. OP-Laryng., # 3-7</v>
          </cell>
          <cell r="D383" t="str">
            <v>Suction tube, vapor, f. OR-Laryng., #3-7</v>
          </cell>
        </row>
        <row r="384">
          <cell r="B384" t="str">
            <v>09-009-90-07</v>
          </cell>
          <cell r="C384" t="str">
            <v>Messer, gerader Schnitt, 24,5 cm</v>
          </cell>
          <cell r="D384" t="str">
            <v>Knife, straight cutting, 24.5 cm</v>
          </cell>
        </row>
        <row r="385">
          <cell r="B385" t="str">
            <v>09-009-91-07</v>
          </cell>
          <cell r="C385" t="str">
            <v>Messer, sichelförmig geb., 24,5 cm</v>
          </cell>
          <cell r="D385" t="str">
            <v>Knife, sickle shaped cvd., 24.5 cm</v>
          </cell>
        </row>
        <row r="386">
          <cell r="B386" t="str">
            <v>09-009-92-07</v>
          </cell>
          <cell r="C386" t="str">
            <v>Messer, 45° abgewink.,  Ø 2,5 mm, 24,5 cm</v>
          </cell>
          <cell r="D386" t="str">
            <v>Knife, 45° angled, Ø 2,5 mm, 24.5 cm</v>
          </cell>
        </row>
        <row r="387">
          <cell r="B387" t="str">
            <v>09-009-93-07</v>
          </cell>
          <cell r="C387" t="str">
            <v>Messer, golfstockförmig, 24,5 cm</v>
          </cell>
          <cell r="D387" t="str">
            <v>Knife, golfstick shaped, 24.5 cm</v>
          </cell>
        </row>
        <row r="388">
          <cell r="B388" t="str">
            <v>09-009-94-07</v>
          </cell>
          <cell r="C388" t="str">
            <v>Messer, vertikal schneid.,  rund, 24,5 cm</v>
          </cell>
          <cell r="D388" t="str">
            <v>Knife, vertical cutting, round, 24.5 cm</v>
          </cell>
        </row>
        <row r="389">
          <cell r="B389" t="str">
            <v>09-009-95-07</v>
          </cell>
          <cell r="C389" t="str">
            <v>Schere, Mikro, sp/sp, ger., 4 mm, 23 cm</v>
          </cell>
          <cell r="D389" t="str">
            <v>Scissors, micro, sh/sh, str., 4 mm, 23cm</v>
          </cell>
        </row>
        <row r="390">
          <cell r="B390" t="str">
            <v>09-009-96-07</v>
          </cell>
          <cell r="C390" t="str">
            <v>Schere, Mikro, sp/sp, aufgeb., 4mm, 23cm</v>
          </cell>
          <cell r="D390" t="str">
            <v>Scissors, micro, sh/sh, upw., 4 mm, 23cm</v>
          </cell>
        </row>
        <row r="391">
          <cell r="B391" t="str">
            <v>09-009-97-07</v>
          </cell>
          <cell r="C391" t="str">
            <v>Schere, Mikro, sp/sp, re.geb., 4mm, 23cm</v>
          </cell>
          <cell r="D391" t="str">
            <v>Scissors, micro, sh/sh, ri.cvd, 4mm,23cm</v>
          </cell>
        </row>
        <row r="392">
          <cell r="B392" t="str">
            <v>09-009-98-07</v>
          </cell>
          <cell r="C392" t="str">
            <v>Schere, Mikro, sp/sp, li.geb., 4mm, 23cm</v>
          </cell>
          <cell r="D392" t="str">
            <v>Scissors, micro, sh/sh, le.cvd, 4mm,23cm</v>
          </cell>
        </row>
        <row r="393">
          <cell r="B393" t="str">
            <v>09-009-99-07</v>
          </cell>
          <cell r="C393" t="str">
            <v>Zange, fass, Mikro, ger., 8 mm, 23 cm</v>
          </cell>
          <cell r="D393" t="str">
            <v>Forceps, micro, str., 8 mm, 23 cm</v>
          </cell>
        </row>
        <row r="394">
          <cell r="B394" t="str">
            <v>09-010-01-07</v>
          </cell>
          <cell r="C394" t="str">
            <v>Zange, fass, Mikro, auf.geb.,  8 mm, 23cm</v>
          </cell>
          <cell r="D394" t="str">
            <v>Forceps, micro, upwards cvd., 8 mm, 23cm</v>
          </cell>
        </row>
        <row r="395">
          <cell r="B395" t="str">
            <v>09-010-02-07</v>
          </cell>
          <cell r="C395" t="str">
            <v>Zange, fass, Mikro, re.geb., 8 mm, 23 cm</v>
          </cell>
          <cell r="D395" t="str">
            <v>Forceps, micro, right cvd., 8 mm, 23 cm</v>
          </cell>
        </row>
        <row r="396">
          <cell r="B396" t="str">
            <v>09-010-03-07</v>
          </cell>
          <cell r="C396" t="str">
            <v>Zange, fass, Mikro, li.geb., 8 mm, 23 cm</v>
          </cell>
          <cell r="D396" t="str">
            <v>Forceps, micro, left cvd., 8 mm, 23 cm</v>
          </cell>
        </row>
        <row r="397">
          <cell r="B397" t="str">
            <v>09-010-04-07</v>
          </cell>
          <cell r="C397" t="str">
            <v>Zange, fass, Mikro,re.öffn.,aufgeb.,23cm</v>
          </cell>
          <cell r="D397" t="str">
            <v>Forceps, micro, ri.open., upw.cvd.,  23cm</v>
          </cell>
        </row>
        <row r="398">
          <cell r="B398" t="str">
            <v>09-010-05-07</v>
          </cell>
          <cell r="C398" t="str">
            <v>Zange, fass, Mikro,li.öffn.,aufgeb.,23cm</v>
          </cell>
          <cell r="D398" t="str">
            <v>Forceps, micro, le.open.,  upw.cvd.,  23cm</v>
          </cell>
        </row>
        <row r="399">
          <cell r="B399" t="str">
            <v>09-010-06-07</v>
          </cell>
          <cell r="C399" t="str">
            <v>Löffelzange, Mikro, Ø2mm, ger., 23 cm</v>
          </cell>
          <cell r="D399" t="str">
            <v>Forceps, cup, micro, Ø2mm, str., 23 cm</v>
          </cell>
        </row>
        <row r="400">
          <cell r="B400" t="str">
            <v>09-010-07-07</v>
          </cell>
          <cell r="C400" t="str">
            <v>Löffelzange, Mikro, Ø2mm, aufgeb., 23cm</v>
          </cell>
          <cell r="D400" t="str">
            <v>Forceps, cup, micro, Ø2mm, upw., 23 cm</v>
          </cell>
        </row>
        <row r="401">
          <cell r="B401" t="str">
            <v>09-010-08-07</v>
          </cell>
          <cell r="C401" t="str">
            <v>Löffelzange, Mikro, Ø2mm, re.geb., 23cm</v>
          </cell>
          <cell r="D401" t="str">
            <v>Forceps, cup, micro, Ø2mm, ri.cvd, 23 cm</v>
          </cell>
        </row>
        <row r="402">
          <cell r="B402" t="str">
            <v>09-010-09-07</v>
          </cell>
          <cell r="C402" t="str">
            <v>Löffelzange, Mikro, Ø2mm, li.geb., 23cm</v>
          </cell>
          <cell r="D402" t="str">
            <v>Forceps, cup, micro, Ø2mm, le.cvd, 23 cm</v>
          </cell>
        </row>
        <row r="403">
          <cell r="B403" t="str">
            <v>09-010-10-07</v>
          </cell>
          <cell r="C403" t="str">
            <v>Stanze, schwarz, 40°, 3mm, 40cm</v>
          </cell>
          <cell r="D403" t="str">
            <v>Punch, 40°, 3 mm, 40 cm</v>
          </cell>
        </row>
        <row r="404">
          <cell r="B404" t="str">
            <v>09-010-11-07</v>
          </cell>
          <cell r="C404" t="str">
            <v>Stanze, schwarz, 40°, 4mm, 40cm</v>
          </cell>
          <cell r="D404" t="str">
            <v>Punch, 40°, 4 mm, 40 cm</v>
          </cell>
        </row>
        <row r="405">
          <cell r="B405" t="str">
            <v>09-010-12-07</v>
          </cell>
          <cell r="C405" t="str">
            <v>Stanze, schwarz, 40°, 5mm, 40cm</v>
          </cell>
          <cell r="D405" t="str">
            <v>Punch, 40°, 5 mm, 40 cm</v>
          </cell>
        </row>
        <row r="406">
          <cell r="B406" t="str">
            <v>09-010-13-07</v>
          </cell>
          <cell r="C406" t="str">
            <v>Stanze, schwarz, 40°, 6mm, 40cm</v>
          </cell>
          <cell r="D406" t="str">
            <v>Punch, 40°, 6 mm, 40 cm</v>
          </cell>
        </row>
        <row r="407">
          <cell r="B407" t="str">
            <v>09-010-14-07</v>
          </cell>
          <cell r="C407" t="str">
            <v>Stanze, schwarz, 40°, abw., 2mm, 30cm</v>
          </cell>
          <cell r="D407" t="str">
            <v>Punch, 40°, downw., 2mm, 30cm</v>
          </cell>
        </row>
        <row r="408">
          <cell r="B408" t="str">
            <v>09-010-15-07</v>
          </cell>
          <cell r="C408" t="str">
            <v>Stanze, schwarz,   40°, abw., 3mm, 30cm</v>
          </cell>
          <cell r="D408" t="str">
            <v>Punch, 40°, downw., 3mm, 30cm</v>
          </cell>
        </row>
        <row r="409">
          <cell r="B409" t="str">
            <v>09-010-16-07</v>
          </cell>
          <cell r="C409" t="str">
            <v>Stanze, schwarz,   40°, abw., 4mm, 30cm</v>
          </cell>
          <cell r="D409" t="str">
            <v>Punch, 40°, downw., 4mm, 30cm</v>
          </cell>
        </row>
        <row r="410">
          <cell r="B410" t="str">
            <v>09-010-17-07</v>
          </cell>
          <cell r="C410" t="str">
            <v>Stanze, schwarz,   40°, abw., 5mm, 30cm</v>
          </cell>
          <cell r="D410" t="str">
            <v>Punch, 40°, downw., 5mm, 30cm</v>
          </cell>
        </row>
        <row r="411">
          <cell r="B411" t="str">
            <v>09-010-18-07</v>
          </cell>
          <cell r="C411" t="str">
            <v>Stanze, schwarz,   40°, abw., 6mm, 30cm</v>
          </cell>
          <cell r="D411" t="str">
            <v>Punch, 40°, downw., 6mm, 30cm</v>
          </cell>
        </row>
        <row r="412">
          <cell r="B412" t="str">
            <v>09-010-19-07</v>
          </cell>
          <cell r="C412" t="str">
            <v>Stanze, schwarz,   40°, abw., 2mm, 40cm</v>
          </cell>
          <cell r="D412" t="str">
            <v>Punch, 40°, downw., 2mm, 40cm</v>
          </cell>
        </row>
        <row r="413">
          <cell r="B413" t="str">
            <v>09-010-20-07</v>
          </cell>
          <cell r="C413" t="str">
            <v>Stanze, schwarz,   40°, abw., 3mm, 40cm</v>
          </cell>
          <cell r="D413" t="str">
            <v>Punch, 40°, downw., 3mm, 40cm</v>
          </cell>
        </row>
        <row r="414">
          <cell r="B414" t="str">
            <v>09-010-21-07</v>
          </cell>
          <cell r="C414" t="str">
            <v>Stanze, schwarz,   40°, abw., 4mm, 40cm</v>
          </cell>
          <cell r="D414" t="str">
            <v>Punch, 40°, downw., 4mm, 40cm</v>
          </cell>
        </row>
        <row r="415">
          <cell r="B415" t="str">
            <v>09-010-22-07</v>
          </cell>
          <cell r="C415" t="str">
            <v>Stanze, schwarz,   40°, abw., 5mm, 40cm</v>
          </cell>
          <cell r="D415" t="str">
            <v>Punch, 40°, downw., 5mm, 40cm</v>
          </cell>
        </row>
        <row r="416">
          <cell r="B416" t="str">
            <v>09-010-23-07</v>
          </cell>
          <cell r="C416" t="str">
            <v>Stanze, schwarz,   40°, abw., 6mm, 40cm</v>
          </cell>
          <cell r="D416" t="str">
            <v>Punch, 40°, downw., 6mm, 40cm</v>
          </cell>
        </row>
        <row r="417">
          <cell r="B417" t="str">
            <v>09-010-24-07</v>
          </cell>
          <cell r="C417" t="str">
            <v>Stanze, schwarz,   40°, geb., 2mm, 25cm</v>
          </cell>
          <cell r="D417" t="str">
            <v>Punch, 40°, curved, 2 mm, 25 cm</v>
          </cell>
        </row>
        <row r="418">
          <cell r="B418" t="str">
            <v>09-010-25-07</v>
          </cell>
          <cell r="C418" t="str">
            <v>Stanze, schwarz,   40°, geb., 3mm, 25cm</v>
          </cell>
          <cell r="D418" t="str">
            <v>Punch, 40°, curved, 3 mm, 25 cm</v>
          </cell>
        </row>
        <row r="419">
          <cell r="B419" t="str">
            <v>09-010-26-07</v>
          </cell>
          <cell r="C419" t="str">
            <v>Stanze, schwarz,   40°, geb., 4mm, 25cm</v>
          </cell>
          <cell r="D419" t="str">
            <v>Punch, 40°, curved, 4 mm, 25 cm</v>
          </cell>
        </row>
        <row r="420">
          <cell r="B420" t="str">
            <v>09-010-27-07</v>
          </cell>
          <cell r="C420" t="str">
            <v>Stanze,  40°, 8mm, 40cm</v>
          </cell>
          <cell r="D420" t="str">
            <v>Punch, 40°, 8mm, 40cm</v>
          </cell>
        </row>
        <row r="421">
          <cell r="B421" t="str">
            <v>09-010-28-07</v>
          </cell>
          <cell r="C421" t="str">
            <v>Stanze,  40°, abw., 8mm, 40cm</v>
          </cell>
          <cell r="D421" t="str">
            <v>Punch, 40°, downw., 8mm, 40cm</v>
          </cell>
        </row>
        <row r="422">
          <cell r="B422" t="str">
            <v>09-010-29-07</v>
          </cell>
          <cell r="C422" t="str">
            <v>Rongeur,  Caspar, abgew., m/Z, 2mm, 18cm</v>
          </cell>
          <cell r="D422" t="str">
            <v>Rongeur,  Caspar, downw.,w/t,2mm,18cm   </v>
          </cell>
        </row>
        <row r="423">
          <cell r="B423" t="str">
            <v>09-010-30-07</v>
          </cell>
          <cell r="C423" t="str">
            <v>Rongeur,  Caspar, abgew., m/Z, 3mm, 18cm</v>
          </cell>
          <cell r="D423" t="str">
            <v>Rongeur,  Caspar, downw.,w/t,3mm,18cm   </v>
          </cell>
        </row>
        <row r="424">
          <cell r="B424" t="str">
            <v>09-010-31-07</v>
          </cell>
          <cell r="C424" t="str">
            <v>Rongeur,  Caspar, abgew., m/Z, 4mm, 18cm</v>
          </cell>
          <cell r="D424" t="str">
            <v>Rongeur,  Caspar, downw.,w/t,4mm,18cm   </v>
          </cell>
        </row>
        <row r="425">
          <cell r="B425" t="str">
            <v>09-010-32-07</v>
          </cell>
          <cell r="C425" t="str">
            <v>Rongeur,  Caspar, abgew., m/Z, 5mm, 18cm</v>
          </cell>
          <cell r="D425" t="str">
            <v>Rongeur,  Caspar, downw.,w/t,5mm,18cm   </v>
          </cell>
        </row>
        <row r="426">
          <cell r="B426" t="str">
            <v>09-010-33-07</v>
          </cell>
          <cell r="C426" t="str">
            <v>Rongeur,  Caspar, abgew., m/Z, 2mm, 25cm</v>
          </cell>
          <cell r="D426" t="str">
            <v>Rongeur,  Caspar, downw.,w/t,2mm,25cm   </v>
          </cell>
        </row>
        <row r="427">
          <cell r="B427" t="str">
            <v>09-010-34-07</v>
          </cell>
          <cell r="C427" t="str">
            <v>Rongeur,  Caspar, abgew., m/Z, 3mm, 25cm</v>
          </cell>
          <cell r="D427" t="str">
            <v>Rongeur,  Caspar, downw.,w/t,3mm,25cm   </v>
          </cell>
        </row>
        <row r="428">
          <cell r="B428" t="str">
            <v>09-010-35-07</v>
          </cell>
          <cell r="C428" t="str">
            <v>Rongeur,  Caspar, abgew., m/Z, 5mm, 25cm</v>
          </cell>
          <cell r="D428" t="str">
            <v>Rongeur,  Caspar, downw.,w/t,5mm,25cm   </v>
          </cell>
        </row>
        <row r="429">
          <cell r="B429" t="str">
            <v>09-010-36-07</v>
          </cell>
          <cell r="C429" t="str">
            <v>Rongeur,  Caspar, abgew., m/Z, 2mm, 30cm</v>
          </cell>
          <cell r="D429" t="str">
            <v>Rongeur,  Caspar, downw.,w/t,2mm,30cm   </v>
          </cell>
        </row>
        <row r="430">
          <cell r="B430" t="str">
            <v>09-010-37-07</v>
          </cell>
          <cell r="C430" t="str">
            <v>Rongeur,  Caspar, abgew., m/Z, 3mm, 30cm</v>
          </cell>
          <cell r="D430" t="str">
            <v>Rongeur,  Caspar, downw.,w/t,3mm,30cm   </v>
          </cell>
        </row>
        <row r="431">
          <cell r="B431" t="str">
            <v>09-010-38-07</v>
          </cell>
          <cell r="C431" t="str">
            <v>Rongeur,  Caspar, abgew., m/Z, 5mm, 30cm</v>
          </cell>
          <cell r="D431" t="str">
            <v>Rongeur,  Caspar, downw.,w/t,5mm,30cm   </v>
          </cell>
        </row>
        <row r="432">
          <cell r="B432" t="str">
            <v>09-010-39-07</v>
          </cell>
          <cell r="C432" t="str">
            <v>Rongeur,  Caspar, aufgew., m/Z, 2mm, 18cm</v>
          </cell>
          <cell r="D432" t="str">
            <v>Rongeur,  Caspar, upw., w/t, 2mm,18cm   </v>
          </cell>
        </row>
        <row r="433">
          <cell r="B433" t="str">
            <v>09-010-40-07</v>
          </cell>
          <cell r="C433" t="str">
            <v>Rongeur,  Caspar, aufgew., m/Z, 3mm, 18cm</v>
          </cell>
          <cell r="D433" t="str">
            <v>Rongeur,  Caspar, upw., w/t, 3mm,18cm   </v>
          </cell>
        </row>
        <row r="434">
          <cell r="B434" t="str">
            <v>09-010-41-07</v>
          </cell>
          <cell r="C434" t="str">
            <v>Rongeur,  Caspar, aufgew., m/Z, 4mm, 18cm</v>
          </cell>
          <cell r="D434" t="str">
            <v>Rongeur,  Caspar, upw., w/t, 4mm,18cm   </v>
          </cell>
        </row>
        <row r="435">
          <cell r="B435" t="str">
            <v>09-010-42-07</v>
          </cell>
          <cell r="C435" t="str">
            <v>Rongeur,  Caspar, aufgew., m/Z, 5mm, 18cm</v>
          </cell>
          <cell r="D435" t="str">
            <v>Rongeur,  Caspar, upw., w/t, 5mm,18cm   </v>
          </cell>
        </row>
        <row r="436">
          <cell r="B436" t="str">
            <v>09-010-43-07</v>
          </cell>
          <cell r="C436" t="str">
            <v>Rongeur,  Caspar, aufgew., m/Z, 2mm, 25cm</v>
          </cell>
          <cell r="D436" t="str">
            <v>Rongeur,  Caspar, upw., w/t, 2mm,25cm   </v>
          </cell>
        </row>
        <row r="437">
          <cell r="B437" t="str">
            <v>09-010-44-07</v>
          </cell>
          <cell r="C437" t="str">
            <v>Rongeur,  Caspar, aufgew., m/Z, 3mm, 25cm</v>
          </cell>
          <cell r="D437" t="str">
            <v>Rongeur,  Caspar, upw., w/t, 3mm,25cm   </v>
          </cell>
        </row>
        <row r="438">
          <cell r="B438" t="str">
            <v>09-010-45-07</v>
          </cell>
          <cell r="C438" t="str">
            <v>Rongeur,  Caspar, aufgew., m/Z, 5mm, 25cm</v>
          </cell>
          <cell r="D438" t="str">
            <v>Rongeur,  Caspar, upw., w/t, 5mm,25cm   </v>
          </cell>
        </row>
        <row r="439">
          <cell r="B439" t="str">
            <v>09-010-46-07</v>
          </cell>
          <cell r="C439" t="str">
            <v>Rongeur,  Caspar, aufgew., m/Z, 2mm, 30cm</v>
          </cell>
          <cell r="D439" t="str">
            <v>Rongeur,  Caspar, upw., w/t, 2mm,30cm   </v>
          </cell>
        </row>
        <row r="440">
          <cell r="B440" t="str">
            <v>09-010-47-07</v>
          </cell>
          <cell r="C440" t="str">
            <v>Rongeur,  Caspar, aufgew., m/Z, 3mm, 30cm</v>
          </cell>
          <cell r="D440" t="str">
            <v>Rongeur,  Caspar, upw., w/t, 3mm,30cm   </v>
          </cell>
        </row>
        <row r="441">
          <cell r="B441" t="str">
            <v>09-010-48-07</v>
          </cell>
          <cell r="C441" t="str">
            <v>Rongeur,  Caspar, aufgew., m/Z, 5mm, 30cm</v>
          </cell>
          <cell r="D441" t="str">
            <v>Rongeur,  Caspar, upw., w/t, 5mm,30cm   </v>
          </cell>
        </row>
        <row r="442">
          <cell r="B442" t="str">
            <v>09-010-49-07</v>
          </cell>
          <cell r="C442" t="str">
            <v>Rongeur,  Caspar, ger., m/Z, 2 mm, 18 cm</v>
          </cell>
          <cell r="D442" t="str">
            <v>Rongeur,  Caspar, str., w/t, 2mm,18cm   </v>
          </cell>
        </row>
        <row r="443">
          <cell r="B443" t="str">
            <v>09-010-50-07</v>
          </cell>
          <cell r="C443" t="str">
            <v>Rongeur,  Caspar, ger., m/Z, 3 mm, 18 cm</v>
          </cell>
          <cell r="D443" t="str">
            <v>Rongeur,  Caspar, str., w/t, 3mm,18cm   </v>
          </cell>
        </row>
        <row r="444">
          <cell r="B444" t="str">
            <v>09-010-51-07</v>
          </cell>
          <cell r="C444" t="str">
            <v>Rongeur,  Caspar, ger., m/Z, 5 mm, 18 cm</v>
          </cell>
          <cell r="D444" t="str">
            <v>Rongeur,  Caspar, str., w/t, 5mm,18cm   </v>
          </cell>
        </row>
        <row r="445">
          <cell r="B445" t="str">
            <v>09-010-52-07</v>
          </cell>
          <cell r="C445" t="str">
            <v>Rongeur,  Caspar, ger., m/Z, 2 mm, 25 cm</v>
          </cell>
          <cell r="D445" t="str">
            <v>Rongeur,  Caspar, str., w/t, 2mm,25cm   </v>
          </cell>
        </row>
        <row r="446">
          <cell r="B446" t="str">
            <v>09-010-53-07</v>
          </cell>
          <cell r="C446" t="str">
            <v>Rongeur,  Caspar, ger., m/Z, 3 mm, 25 cm</v>
          </cell>
          <cell r="D446" t="str">
            <v>Rongeur,  Caspar, str., w/t, 3mm,25cm   </v>
          </cell>
        </row>
        <row r="447">
          <cell r="B447" t="str">
            <v>09-010-54-07</v>
          </cell>
          <cell r="C447" t="str">
            <v>Rongeur,  Caspar, ger., m/Z, 5 mm, 25 cm</v>
          </cell>
          <cell r="D447" t="str">
            <v>Rongeur,  Caspar, str., w/t, 5mm,25cm   </v>
          </cell>
        </row>
        <row r="448">
          <cell r="B448" t="str">
            <v>09-010-55-07</v>
          </cell>
          <cell r="C448" t="str">
            <v>Rongeur,  Caspar, ger., m/Z, 2 mm, 30 cm</v>
          </cell>
          <cell r="D448" t="str">
            <v>Rongeur,  Caspar, str., w/t, 2mm,30cm   </v>
          </cell>
        </row>
        <row r="449">
          <cell r="B449" t="str">
            <v>09-010-56-07</v>
          </cell>
          <cell r="C449" t="str">
            <v>Rongeur,  Caspar, ger., m/Z, 3 mm, 30 cm</v>
          </cell>
          <cell r="D449" t="str">
            <v>Rongeur,  Caspar, str., w/t, 3mm,30cm   </v>
          </cell>
        </row>
        <row r="450">
          <cell r="B450" t="str">
            <v>09-010-57-07</v>
          </cell>
          <cell r="C450" t="str">
            <v>Rongeur,  Caspar, ger., m/Z, 5 mm, 30 cm</v>
          </cell>
          <cell r="D450" t="str">
            <v>Rongeur,  Caspar, str., w/t, 5mm,30cm   </v>
          </cell>
        </row>
        <row r="451">
          <cell r="B451" t="str">
            <v>09-010-58-07</v>
          </cell>
          <cell r="C451" t="str">
            <v>Stanze,Knochen,Hajek-K.,drehb,3,5mm,16cm</v>
          </cell>
          <cell r="D451" t="str">
            <v>Punch,bone,Hajek-Kof.,turnab.,3.5mm,16cm</v>
          </cell>
        </row>
        <row r="452">
          <cell r="B452" t="str">
            <v>09-010-60-07</v>
          </cell>
          <cell r="C452" t="str">
            <v>Halter, Knochenspan, Caspar</v>
          </cell>
          <cell r="D452" t="str">
            <v>Holder, bone graft, Caspar</v>
          </cell>
        </row>
        <row r="453">
          <cell r="B453" t="str">
            <v>09-010-61-07</v>
          </cell>
          <cell r="C453" t="str">
            <v>Dissektor,  Wirbelkörper, Caspar, 20,5 cm</v>
          </cell>
          <cell r="D453" t="str">
            <v>Dissector,vertebr.body, Caspar, 20,5 cm</v>
          </cell>
        </row>
        <row r="454">
          <cell r="B454" t="str">
            <v>09-010-62-07</v>
          </cell>
          <cell r="C454" t="str">
            <v>Osteotom,  Lexer, abgew., 10 mm, 15 cm</v>
          </cell>
          <cell r="D454" t="str">
            <v>Osteotome, Lexer, angled, 10mm, 15cm</v>
          </cell>
        </row>
        <row r="455">
          <cell r="B455" t="str">
            <v>09-010-63-07</v>
          </cell>
          <cell r="C455" t="str">
            <v>Osteotom,  Lexer, abgew., 15 mm, 15 cm</v>
          </cell>
          <cell r="D455" t="str">
            <v>Osteotome, Lexer, angled, 15mm, 15cm</v>
          </cell>
        </row>
        <row r="456">
          <cell r="B456" t="str">
            <v>09-010-64-07</v>
          </cell>
          <cell r="C456" t="str">
            <v>Osteotom,  Hibbs, 38 mm, 24,5 cm</v>
          </cell>
          <cell r="D456" t="str">
            <v>Osteotome, Hibbs, 38mm, 24.5cm</v>
          </cell>
        </row>
        <row r="457">
          <cell r="B457" t="str">
            <v>09-010-65-07</v>
          </cell>
          <cell r="C457" t="str">
            <v>Knochenhebel, Schumacher, 35x18mm,  29cm</v>
          </cell>
          <cell r="D457" t="str">
            <v>Bone lever, Schumacher, 35x18mm,  29cm</v>
          </cell>
        </row>
        <row r="458">
          <cell r="B458" t="str">
            <v>09-010-66-07</v>
          </cell>
          <cell r="C458" t="str">
            <v>Knochenhebel, Buck-Gramko, 7,5 mm, Spitz</v>
          </cell>
          <cell r="D458" t="str">
            <v>Bone lever,Buck-Gramko,7.5mm,tip2mm,15cm</v>
          </cell>
        </row>
        <row r="459">
          <cell r="B459" t="str">
            <v>09-010-67-07</v>
          </cell>
          <cell r="C459" t="str">
            <v>Zange, Weller Meniskus,  geb., 20 cm</v>
          </cell>
          <cell r="D459" t="str">
            <v>Forceps, Weller meniscus,  curved, 20cm</v>
          </cell>
        </row>
        <row r="460">
          <cell r="B460" t="str">
            <v>09-010-69-07</v>
          </cell>
          <cell r="C460" t="str">
            <v>Wundhaken, Hibbs, 20x50 mm, 23,5 cm</v>
          </cell>
          <cell r="D460" t="str">
            <v>Retractor,  Hibbs, 20x50mm,  23.5cm</v>
          </cell>
        </row>
        <row r="461">
          <cell r="B461" t="str">
            <v>09-010-70-07</v>
          </cell>
          <cell r="C461" t="str">
            <v>Wundhaken, Hibbs, 25x75 mm, 23,5 cm</v>
          </cell>
          <cell r="D461" t="str">
            <v>Retractor,  Hibbs, 25x75mm,  23.5cm</v>
          </cell>
        </row>
        <row r="462">
          <cell r="B462" t="str">
            <v>09-010-72-07</v>
          </cell>
          <cell r="C462" t="str">
            <v>Wundhaken, Crile, 11 cm</v>
          </cell>
          <cell r="D462" t="str">
            <v>Retractor,  Crile, 11cm</v>
          </cell>
        </row>
        <row r="463">
          <cell r="B463" t="str">
            <v>09-010-73-07</v>
          </cell>
          <cell r="C463" t="str">
            <v>Hammer,  Bergmann,  300gr., Ø45mm, 23,5 cm</v>
          </cell>
          <cell r="D463" t="str">
            <v>Mallet, Bergmann,  300g, Ø 45mm, 23.5cm</v>
          </cell>
        </row>
        <row r="464">
          <cell r="B464" t="str">
            <v>09-010-74-07</v>
          </cell>
          <cell r="C464" t="str">
            <v>Rongeur,  Caspar, abg., m/Z, 1,5mm, 18cm</v>
          </cell>
          <cell r="D464" t="str">
            <v>Rongeur,  Caspar, down.,w/t,1,5mm,18cm   </v>
          </cell>
        </row>
        <row r="465">
          <cell r="B465" t="str">
            <v>09-010-75-07</v>
          </cell>
          <cell r="C465" t="str">
            <v>Rongeur,  Caspar, aufg., m/Z, 1,5mm, 18cm</v>
          </cell>
          <cell r="D465" t="str">
            <v>Rongeur,  Caspar, upw., w/t, 1,5mm, 18cm</v>
          </cell>
        </row>
        <row r="466">
          <cell r="B466" t="str">
            <v>10-002-01-07</v>
          </cell>
          <cell r="C466" t="str">
            <v>SKALPELL,  ANATOMISCH, FIG. 1, 15 CM</v>
          </cell>
          <cell r="D466" t="str">
            <v>DISSECTING SCALPEL,  NO. 1, 15 CM</v>
          </cell>
        </row>
        <row r="467">
          <cell r="B467" t="str">
            <v>10-002-02-07</v>
          </cell>
          <cell r="C467" t="str">
            <v>SKALPELL,  ANATOMISCH, FIG. 2, 15 CM</v>
          </cell>
          <cell r="D467" t="str">
            <v>DISSECTING SCALPEL,  NO. 2, 15 CM</v>
          </cell>
        </row>
        <row r="468">
          <cell r="B468" t="str">
            <v>10-002-03-07</v>
          </cell>
          <cell r="C468" t="str">
            <v>SKALPELL,  ANATOMISCH, FIG. 3, 15,5 CM</v>
          </cell>
          <cell r="D468" t="str">
            <v>DISSECTING SCALPEL,  NO. 3, 15.5 CM</v>
          </cell>
        </row>
        <row r="469">
          <cell r="B469" t="str">
            <v>10-002-04-07</v>
          </cell>
          <cell r="C469" t="str">
            <v>SKALPELL,  ANATOMISCH, FIG. 4, 16 CM</v>
          </cell>
          <cell r="D469" t="str">
            <v>DISSECTING SCALPEL,  NO. 4, 16 CM</v>
          </cell>
        </row>
        <row r="470">
          <cell r="B470" t="str">
            <v>10-002-05-07</v>
          </cell>
          <cell r="C470" t="str">
            <v>SKALPELL,  ANATOMISCH, FIG. 5, 16 CM</v>
          </cell>
          <cell r="D470" t="str">
            <v>DISSECTING SCALPEL,  NO. 5, 16 CM</v>
          </cell>
        </row>
        <row r="471">
          <cell r="B471" t="str">
            <v>10-002-06-07</v>
          </cell>
          <cell r="C471" t="str">
            <v>SKALPELL,  ANATOMISCH, FIG. 6, 15 CM</v>
          </cell>
          <cell r="D471" t="str">
            <v>DISSECTING SCALPEL,  NO. 6, 15 CM</v>
          </cell>
        </row>
        <row r="472">
          <cell r="B472" t="str">
            <v>10-002-07-07</v>
          </cell>
          <cell r="C472" t="str">
            <v>SKALPELL,  ANATOMISCH, FIG. 7, 15 CM</v>
          </cell>
          <cell r="D472" t="str">
            <v>DISSECTING SCALPEL,  NO. 7, 15 CM</v>
          </cell>
        </row>
        <row r="473">
          <cell r="B473" t="str">
            <v>10-002-08-07</v>
          </cell>
          <cell r="C473" t="str">
            <v>SKALPELL,  ANATOMISCH, FIG. 8, 16 CM</v>
          </cell>
          <cell r="D473" t="str">
            <v>DISSECTING SCALPEL,  NO. 8, 16 CM</v>
          </cell>
        </row>
        <row r="474">
          <cell r="B474" t="str">
            <v>10-002-09-07</v>
          </cell>
          <cell r="C474" t="str">
            <v>SKALPELL,  ANATOMISCH, FIG. 9, 16 CM</v>
          </cell>
          <cell r="D474" t="str">
            <v>DISSECTING SCALPEL,  NO. 9, 16 CM</v>
          </cell>
        </row>
        <row r="475">
          <cell r="B475" t="str">
            <v>10-002-10-07</v>
          </cell>
          <cell r="C475" t="str">
            <v>SKALPELL,  ANATOMISCH, FIG. 10, 17 CM</v>
          </cell>
          <cell r="D475" t="str">
            <v>DISSECTING SCALPEL,  NO. 10, 17 CM</v>
          </cell>
        </row>
        <row r="476">
          <cell r="B476" t="str">
            <v>10-038-16-07</v>
          </cell>
          <cell r="C476" t="str">
            <v>HIRNMESSER, VIRCHOW,  30 CM</v>
          </cell>
          <cell r="D476" t="str">
            <v>BRAIN KNIFE, VIRCHOW,  30 CM</v>
          </cell>
        </row>
        <row r="477">
          <cell r="B477" t="str">
            <v>10-038-20-07</v>
          </cell>
          <cell r="C477" t="str">
            <v>HIRNMESSER, VIRCHOW,  33,5 CM</v>
          </cell>
          <cell r="D477" t="str">
            <v>BRAIN KNIFE, VIRCHOW,  33.5 CM</v>
          </cell>
        </row>
        <row r="478">
          <cell r="B478" t="str">
            <v>10-038-24-07</v>
          </cell>
          <cell r="C478" t="str">
            <v>HIRNMESSER, VIRCHOW,  38 CM</v>
          </cell>
          <cell r="D478" t="str">
            <v>BRAIN KNIFE, VIRCHOW,  38 CM</v>
          </cell>
        </row>
        <row r="479">
          <cell r="B479" t="str">
            <v>10-040-01-07</v>
          </cell>
          <cell r="C479" t="str">
            <v>Modelliermessergriff, Nagata, klein</v>
          </cell>
          <cell r="D479" t="str">
            <v>Modeling  knife handle, Nagata, small</v>
          </cell>
        </row>
        <row r="480">
          <cell r="B480" t="str">
            <v>10-040-02-07</v>
          </cell>
          <cell r="C480" t="str">
            <v>Modelliermessergriff, Nagata, groß</v>
          </cell>
          <cell r="D480" t="str">
            <v>Modeling  knife handle, Nagata, big</v>
          </cell>
        </row>
        <row r="481">
          <cell r="B481" t="str">
            <v>10-040-03-07</v>
          </cell>
          <cell r="C481" t="str">
            <v>Modelliermesserklinge, Nagata, 3,0 mm</v>
          </cell>
          <cell r="D481" t="str">
            <v>Modeling  knife blade, Nagata, 3,0 mm</v>
          </cell>
        </row>
        <row r="482">
          <cell r="B482" t="str">
            <v>10-040-04-07</v>
          </cell>
          <cell r="C482" t="str">
            <v>Modelliermesserklinge, Nagata, 4,5 mm</v>
          </cell>
          <cell r="D482" t="str">
            <v>Modeling  knife blade, Nagata, 4,5 mm</v>
          </cell>
        </row>
        <row r="483">
          <cell r="B483" t="str">
            <v>10-040-05-07</v>
          </cell>
          <cell r="C483" t="str">
            <v>Modelliermesserklinge, Nagata, 6,0 mm</v>
          </cell>
          <cell r="D483" t="str">
            <v>Modeling  knife blade, Nagata, 6,0 mm</v>
          </cell>
        </row>
        <row r="484">
          <cell r="B484" t="str">
            <v>10-090-09-07</v>
          </cell>
          <cell r="C484" t="str">
            <v>KLINGENHALTER, TROUTMAN-CHRIS, 9 CM</v>
          </cell>
          <cell r="D484" t="str">
            <v>BLADEHOLDER, TROUTMAN-CHRIS, STR., 9 CM</v>
          </cell>
        </row>
        <row r="485">
          <cell r="B485" t="str">
            <v>10-094-13-07</v>
          </cell>
          <cell r="C485" t="str">
            <v>KLINGENHALTER, CASTROVIEJO, 13 CM</v>
          </cell>
          <cell r="D485" t="str">
            <v>BLADEHOLDER, CASTROVIEJO, 13 CM</v>
          </cell>
        </row>
        <row r="486">
          <cell r="B486" t="str">
            <v>10-100-04-07</v>
          </cell>
          <cell r="C486" t="str">
            <v>SKALPELLGRIFF, NR. 4, 13,5 CM</v>
          </cell>
          <cell r="D486" t="str">
            <v>SCALPEL HANDLE,  NO. 4, 13.5 CM</v>
          </cell>
        </row>
        <row r="487">
          <cell r="B487" t="str">
            <v>10-100-34-07</v>
          </cell>
          <cell r="C487" t="str">
            <v>SKALPELLGRIFF, NR. 3 &amp; 4, DOPP., 16 CM</v>
          </cell>
          <cell r="D487" t="str">
            <v>SCALPEL HANDLE,  NO 3 &amp; 4, DOUBLE,  16 CM</v>
          </cell>
        </row>
        <row r="488">
          <cell r="B488" t="str">
            <v>10-104-41-07</v>
          </cell>
          <cell r="C488" t="str">
            <v>SKALPELLGRIFF, NR. 4L, LANG, 21 CM</v>
          </cell>
          <cell r="D488" t="str">
            <v>SCALPEL HANDLE,  NO. 4L, LONG, 21 CM</v>
          </cell>
        </row>
        <row r="489">
          <cell r="B489" t="str">
            <v>10-104-45-07</v>
          </cell>
          <cell r="C489" t="str">
            <v>SKALPELLGRIFF, NR. 4L, GEW., 20,5 CM</v>
          </cell>
          <cell r="D489" t="str">
            <v>SCALPEL HANDLE,  NO. 4L, ANG., 20.5 CM</v>
          </cell>
        </row>
        <row r="490">
          <cell r="B490" t="str">
            <v>10-109-09-07</v>
          </cell>
          <cell r="C490" t="str">
            <v>SKALPELLGRIFF, COLLIN, NR. 9, 14,5 CM</v>
          </cell>
          <cell r="D490" t="str">
            <v>SCALPEL HANDLE,  COLLIN, NO. 9, 14.5 CM</v>
          </cell>
        </row>
        <row r="491">
          <cell r="B491" t="str">
            <v>10-118-03-07</v>
          </cell>
          <cell r="C491" t="str">
            <v>SCHWENKKOPF-KLINGENHALTER, 15,5 CM</v>
          </cell>
          <cell r="D491" t="str">
            <v>SWIVEL HEAD SCALPEL HANDLE,  15.5 CM</v>
          </cell>
        </row>
        <row r="492">
          <cell r="B492" t="str">
            <v>10-120-04-07</v>
          </cell>
          <cell r="C492" t="str">
            <v>SKALPELLGRIFF, NR. 3, 16 CM</v>
          </cell>
          <cell r="D492" t="str">
            <v>SCALPEL HANDLE,  NO. 3, 16 CM</v>
          </cell>
        </row>
        <row r="493">
          <cell r="B493" t="str">
            <v>10-130-03-07</v>
          </cell>
          <cell r="C493" t="str">
            <v>SKALPELLGRIFF, NR. 3, 12 CM</v>
          </cell>
          <cell r="D493" t="str">
            <v>SCALPEL HANDLE,  NO. 3, 12 CM</v>
          </cell>
        </row>
        <row r="494">
          <cell r="B494" t="str">
            <v>10-130-04-07</v>
          </cell>
          <cell r="C494" t="str">
            <v>SKALPELLGRIFF, NR. 3, FORM WIE NR. 4</v>
          </cell>
          <cell r="D494" t="str">
            <v>SCALPEL HANDLE,  NO. 3, SHAPE AS NO. 4</v>
          </cell>
        </row>
        <row r="495">
          <cell r="B495" t="str">
            <v>10-130-05-07</v>
          </cell>
          <cell r="C495" t="str">
            <v>SKALPELLGRIFF, NR. 3, M. CM-SKALA,  12 CM</v>
          </cell>
          <cell r="D495" t="str">
            <v>SCALPEL HANDLE,  NO. 3, CM-SCALE,  12 CM</v>
          </cell>
        </row>
        <row r="496">
          <cell r="B496" t="str">
            <v>10-133-31-07</v>
          </cell>
          <cell r="C496" t="str">
            <v>SKALPELLGRIFF, NR. 3L, LANG, 21,5 CM</v>
          </cell>
          <cell r="D496" t="str">
            <v>SCALPEL HANDLE,  NO. 3L, LONG, 21.5 CM</v>
          </cell>
        </row>
        <row r="497">
          <cell r="B497" t="str">
            <v>10-133-35-07</v>
          </cell>
          <cell r="C497" t="str">
            <v>SKALPELLGRIFF, NR. 3L, GEW., LANG</v>
          </cell>
          <cell r="D497" t="str">
            <v>SCALPEL HANDLE,  NO. 3L, ANG., 21.5 CM</v>
          </cell>
        </row>
        <row r="498">
          <cell r="B498" t="str">
            <v>10-135-01-07</v>
          </cell>
          <cell r="C498" t="str">
            <v>Skalpellgriff, Nr. 3XL, 26 cm</v>
          </cell>
          <cell r="D498" t="str">
            <v>Scalpel handle,No.  3XL, 26 cm</v>
          </cell>
        </row>
        <row r="499">
          <cell r="B499" t="str">
            <v>10-137-07-07</v>
          </cell>
          <cell r="C499" t="str">
            <v>SKALPELLGRIFF, NR. 7, MASSIV, 16 CM</v>
          </cell>
          <cell r="D499" t="str">
            <v>SCALPEL HANDLE,  NO. 7, SOLID, 16 CM</v>
          </cell>
        </row>
        <row r="500">
          <cell r="B500" t="str">
            <v>10-137-71-07</v>
          </cell>
          <cell r="C500" t="str">
            <v>SKALPELLGRIFF, NR. 7K, MASSIV, KURZ</v>
          </cell>
          <cell r="D500" t="str">
            <v>SCALPEL HANDLE,  NO. 7K, SOLID, SHORT</v>
          </cell>
        </row>
        <row r="501">
          <cell r="B501" t="str">
            <v>10-140-03-07</v>
          </cell>
          <cell r="C501" t="str">
            <v>SKALPELLGRIFF, RUND, NR. 3, 15,5 CM</v>
          </cell>
          <cell r="D501" t="str">
            <v>SCALPEL HANDLE,  ROUND, NO. 3, 15.5 CM</v>
          </cell>
        </row>
        <row r="502">
          <cell r="B502" t="str">
            <v>10-142-03-07</v>
          </cell>
          <cell r="C502" t="str">
            <v>SKALPELLGRIFF, KUNSTST.,  NR. 3, 12,5 CM</v>
          </cell>
          <cell r="D502" t="str">
            <v>SCALPEL HANDLE,  PLASTIC, NO. 3, 12.5 CM</v>
          </cell>
        </row>
        <row r="503">
          <cell r="B503" t="str">
            <v>10-146-03-07</v>
          </cell>
          <cell r="C503" t="str">
            <v>SKALPELLGRIFF, RUND, GER., NR. 3, 14 CM</v>
          </cell>
          <cell r="D503" t="str">
            <v>SCALPEL HANDLE ROUND, STR., NO. 3, 14 CM</v>
          </cell>
        </row>
        <row r="504">
          <cell r="B504" t="str">
            <v>10-147-03-07</v>
          </cell>
          <cell r="C504" t="str">
            <v>SKALPELLGRIFF, RUND, GEW., NR. 3, 14 CM</v>
          </cell>
          <cell r="D504" t="str">
            <v>SCALPEL HANDLE ROUND, ANG., NO. 3, 14 CM</v>
          </cell>
        </row>
        <row r="505">
          <cell r="B505" t="str">
            <v>10-148-03-07</v>
          </cell>
          <cell r="C505" t="str">
            <v>SKALPELLGRIFF, KAYE, RUND, NR. 3, 15 CM</v>
          </cell>
          <cell r="D505" t="str">
            <v>SCALPEL HANDLE KAYE, ROUND, NO. 3, 15 CM</v>
          </cell>
        </row>
        <row r="506">
          <cell r="B506" t="str">
            <v>10-149-01-07</v>
          </cell>
          <cell r="C506" t="str">
            <v>Skalpellgriff, Landolt, baj., 21 cm</v>
          </cell>
          <cell r="D506" t="str">
            <v>Scalpel handle, Landolt, bay., 21 cm</v>
          </cell>
        </row>
        <row r="507">
          <cell r="B507" t="str">
            <v>10-149-02-07</v>
          </cell>
          <cell r="C507" t="str">
            <v>Skalpellgriff, Landolt, baj., 25 cm</v>
          </cell>
          <cell r="D507" t="str">
            <v>Scalpel handle, Landolt, bay., 25 cm</v>
          </cell>
        </row>
        <row r="508">
          <cell r="B508" t="str">
            <v>10-149-03-07</v>
          </cell>
          <cell r="C508" t="str">
            <v>Skalpellgriff, lang, schlank, 21,5 cm</v>
          </cell>
          <cell r="D508" t="str">
            <v>Scalpel handle, long, fine, 21,5 cm</v>
          </cell>
        </row>
        <row r="509">
          <cell r="B509" t="str">
            <v>10-149-05-07</v>
          </cell>
          <cell r="C509" t="str">
            <v>Skalpellgriff, baj., 21 cm</v>
          </cell>
          <cell r="D509" t="str">
            <v>Scalpel handle, bay., 21 cm</v>
          </cell>
        </row>
        <row r="510">
          <cell r="B510" t="str">
            <v>10-149-06-07</v>
          </cell>
          <cell r="C510" t="str">
            <v>Skalpellgriff, Mini, rund, 15,5 cm</v>
          </cell>
          <cell r="D510" t="str">
            <v>Scalpel handle, Mini, round, 15,5 cm</v>
          </cell>
        </row>
        <row r="511">
          <cell r="B511" t="str">
            <v>10-155-10-04</v>
          </cell>
          <cell r="C511" t="str">
            <v>SKALPELLKLINGE, FIG. 10, STERIL</v>
          </cell>
          <cell r="D511" t="str">
            <v>SCALPEL BLADE, NO. 10, STERILE</v>
          </cell>
        </row>
        <row r="512">
          <cell r="B512" t="str">
            <v>10-155-11-04</v>
          </cell>
          <cell r="C512" t="str">
            <v>SKALPELLKLINGE, FIG. 11, STERIL</v>
          </cell>
          <cell r="D512" t="str">
            <v>SCALPEL BLADE, NO. 11, STERILE</v>
          </cell>
        </row>
        <row r="513">
          <cell r="B513" t="str">
            <v>10-155-12-04</v>
          </cell>
          <cell r="C513" t="str">
            <v>SKALPELLKLINGE, FIG. 12, STERIL</v>
          </cell>
          <cell r="D513" t="str">
            <v>SCALPEL BLADE, NO. 12, STERILE</v>
          </cell>
        </row>
        <row r="514">
          <cell r="B514" t="str">
            <v>10-155-15-04</v>
          </cell>
          <cell r="C514" t="str">
            <v>SKALPELLKLINGE, FIG. 15, STERIL</v>
          </cell>
          <cell r="D514" t="str">
            <v>SCALPEL BLADE, NO. 15, STERILE</v>
          </cell>
        </row>
        <row r="515">
          <cell r="B515" t="str">
            <v>10-155-18-04</v>
          </cell>
          <cell r="C515" t="str">
            <v>SKALPELLKLINGE, FIG. 18, STERIL</v>
          </cell>
          <cell r="D515" t="str">
            <v>SCALPEL BLADE, NO. 18, STERILE</v>
          </cell>
        </row>
        <row r="516">
          <cell r="B516" t="str">
            <v>10-155-20-04</v>
          </cell>
          <cell r="C516" t="str">
            <v>SKALPELLKLINGE, FIG. 20, STERIL</v>
          </cell>
          <cell r="D516" t="str">
            <v>SCALPEL BLADE, NO. 20, STERILE</v>
          </cell>
        </row>
        <row r="517">
          <cell r="B517" t="str">
            <v>10-155-21-04</v>
          </cell>
          <cell r="C517" t="str">
            <v>SKALPELLKLINGE, FIG. 21, STERIL</v>
          </cell>
          <cell r="D517" t="str">
            <v>SCALPEL BLADE, NO. 21, STERILE</v>
          </cell>
        </row>
        <row r="518">
          <cell r="B518" t="str">
            <v>10-155-22-04</v>
          </cell>
          <cell r="C518" t="str">
            <v>SKALPELLKLINGE, FIG. 22, STERIL</v>
          </cell>
          <cell r="D518" t="str">
            <v>SCALPEL BLADE, NO. 22, STERILE</v>
          </cell>
        </row>
        <row r="519">
          <cell r="B519" t="str">
            <v>10-155-23-04</v>
          </cell>
          <cell r="C519" t="str">
            <v>SKALPELLKLINGE, FIG. 23, STERIL</v>
          </cell>
          <cell r="D519" t="str">
            <v>SCALPEL BLADE, NO. 23, STERILE</v>
          </cell>
        </row>
        <row r="520">
          <cell r="B520" t="str">
            <v>10-155-24-04</v>
          </cell>
          <cell r="C520" t="str">
            <v>SKALPELLKLINGE, FIG. 24, STERIL</v>
          </cell>
          <cell r="D520" t="str">
            <v>SCALPEL BLADE, NO. 24, STERILE</v>
          </cell>
        </row>
        <row r="521">
          <cell r="B521" t="str">
            <v>10-155-36-04</v>
          </cell>
          <cell r="C521" t="str">
            <v>SKALPELLKLINGE, FIG. 36, STERIL</v>
          </cell>
          <cell r="D521" t="str">
            <v>SCALPEL BLADE, NO. 36, STERILE</v>
          </cell>
        </row>
        <row r="522">
          <cell r="B522" t="str">
            <v>10-156-12-04</v>
          </cell>
          <cell r="C522" t="str">
            <v>SKALPELLKLINGE, FIG. 12D, STERIL</v>
          </cell>
          <cell r="D522" t="str">
            <v>SCALPEL BLADE, NO. 12D, STERILE</v>
          </cell>
        </row>
        <row r="523">
          <cell r="B523" t="str">
            <v>10-156-15-04</v>
          </cell>
          <cell r="C523" t="str">
            <v>SKALPELLKLINGE, FIG. 15C, STERIL</v>
          </cell>
          <cell r="D523" t="str">
            <v>SCALPEL BLADE, NO. 15C, STERILE</v>
          </cell>
        </row>
        <row r="524">
          <cell r="B524" t="str">
            <v>10-160-01-07</v>
          </cell>
          <cell r="C524" t="str">
            <v>SKALPELLGRIFF F. MIKROKLINGEN, 13,5 CM</v>
          </cell>
          <cell r="D524" t="str">
            <v>SCALPEL HANDLE F. MICROBLADE, 13.5 CM</v>
          </cell>
        </row>
        <row r="525">
          <cell r="B525" t="str">
            <v>10-199-00-01</v>
          </cell>
          <cell r="C525" t="str">
            <v>KLING-EX,  SKALPELLKLINGEN-ENTFERNER</v>
          </cell>
          <cell r="D525" t="str">
            <v>KLING-EX,  SCALPEL BLADE REMOVER</v>
          </cell>
        </row>
        <row r="526">
          <cell r="B526" t="str">
            <v>10-285-20-04</v>
          </cell>
          <cell r="C526" t="str">
            <v>EINMALSKALPELL, FIG. 20, STERIL</v>
          </cell>
          <cell r="D526" t="str">
            <v>DISPOSABLE SCALPEL,  NO. 20, STERILE</v>
          </cell>
        </row>
        <row r="527">
          <cell r="B527" t="str">
            <v>10-285-21-04</v>
          </cell>
          <cell r="C527" t="str">
            <v>EINMALSKALPELL, FIG. 21, STERIL</v>
          </cell>
          <cell r="D527" t="str">
            <v>DISPOSABLE SCALPEL,  NO. 21, STERILE</v>
          </cell>
        </row>
        <row r="528">
          <cell r="B528" t="str">
            <v>10-285-22-04</v>
          </cell>
          <cell r="C528" t="str">
            <v>EINMALSKALPELL, FIG. 22, STERIL</v>
          </cell>
          <cell r="D528" t="str">
            <v>DISPOSABLE SCALPEL,  NO. 22, STERILE</v>
          </cell>
        </row>
        <row r="529">
          <cell r="B529" t="str">
            <v>10-285-23-04</v>
          </cell>
          <cell r="C529" t="str">
            <v>EINMALSKALPELL, FIG. 23, STERIL</v>
          </cell>
          <cell r="D529" t="str">
            <v>DISPOSABLE SCALPEL,  NO. 23, STERILE</v>
          </cell>
        </row>
        <row r="530">
          <cell r="B530" t="str">
            <v>10-285-24-04</v>
          </cell>
          <cell r="C530" t="str">
            <v>EINMALSKALPELL, FIG. 24, STERIL</v>
          </cell>
          <cell r="D530" t="str">
            <v>DISPOSABLE SCALPEL,  NO. 24, STERILE</v>
          </cell>
        </row>
        <row r="531">
          <cell r="B531" t="str">
            <v>10-295-10-04</v>
          </cell>
          <cell r="C531" t="str">
            <v>EINMALSKALPELL, FIG. 10, STERIL</v>
          </cell>
          <cell r="D531" t="str">
            <v>DISPOSABLE SCALPEL,  NO. 10, STERILE</v>
          </cell>
        </row>
        <row r="532">
          <cell r="B532" t="str">
            <v>10-295-11-04</v>
          </cell>
          <cell r="C532" t="str">
            <v>EINMALSKALPELL, FIG. 11, STERIL</v>
          </cell>
          <cell r="D532" t="str">
            <v>DISPOSABLE SCALPEL,  NO. 11, STERILE</v>
          </cell>
        </row>
        <row r="533">
          <cell r="B533" t="str">
            <v>10-295-12-04</v>
          </cell>
          <cell r="C533" t="str">
            <v>EINMALSKALPELL, FIG. 12, STERIL</v>
          </cell>
          <cell r="D533" t="str">
            <v>DISPOSABLE SCALPEL,  NO. 12, STERILE</v>
          </cell>
        </row>
        <row r="534">
          <cell r="B534" t="str">
            <v>10-295-15-04</v>
          </cell>
          <cell r="C534" t="str">
            <v>EINMALSKALPELL, FIG. 15, STERIL</v>
          </cell>
          <cell r="D534" t="str">
            <v>DISPOSABLE SCALPEL,  NO. 15, STERILE</v>
          </cell>
        </row>
        <row r="535">
          <cell r="B535" t="str">
            <v>10-296-12-04</v>
          </cell>
          <cell r="C535" t="str">
            <v>EINMALSKALPELL, FIG. 12D, STERIL</v>
          </cell>
          <cell r="D535" t="str">
            <v>DISPOSABLE SCALPEL,  NO. 12D, STERILE</v>
          </cell>
        </row>
        <row r="536">
          <cell r="B536" t="str">
            <v>10-296-15-04</v>
          </cell>
          <cell r="C536" t="str">
            <v>EINMALSKALPELL, FIG. 15C, STERIL</v>
          </cell>
          <cell r="D536" t="str">
            <v>DISPOSABLE SCALPEL,  NO. 15C, STERILE</v>
          </cell>
        </row>
        <row r="537">
          <cell r="B537" t="str">
            <v>10-500-19-07</v>
          </cell>
          <cell r="C537" t="str">
            <v>AMPUTATIONSMESSER, SCHNITT 190 MM, 32 CM</v>
          </cell>
          <cell r="D537" t="str">
            <v>AMPUTATING KNIFE, CUT 190 MM, 32 CM</v>
          </cell>
        </row>
        <row r="538">
          <cell r="B538" t="str">
            <v>10-560-06-07</v>
          </cell>
          <cell r="C538" t="str">
            <v>RESEKTIONSMESSER, MASSIV, 19 CM</v>
          </cell>
          <cell r="D538" t="str">
            <v>RESECTION KNIFE, SOLID, 19 CM</v>
          </cell>
        </row>
        <row r="539">
          <cell r="B539" t="str">
            <v>10-878-00-07</v>
          </cell>
          <cell r="C539" t="str">
            <v>DERMATOM, HUMBY, KOMPL., 32 CM</v>
          </cell>
          <cell r="D539" t="str">
            <v>DERMATOME, HUMBY, COMPLETE, 32 CM</v>
          </cell>
        </row>
        <row r="540">
          <cell r="B540" t="str">
            <v>10-880-00-07</v>
          </cell>
          <cell r="C540" t="str">
            <v>DERMATOM, SCHINK, KOMPL., 30 CM</v>
          </cell>
          <cell r="D540" t="str">
            <v>DERMATOME, SCHINK, COMPLETE, 30 CM</v>
          </cell>
        </row>
        <row r="541">
          <cell r="B541" t="str">
            <v>10-882-19-07</v>
          </cell>
          <cell r="C541" t="str">
            <v>HANDDERMATOM, SILVER, 19,5 CM</v>
          </cell>
          <cell r="D541" t="str">
            <v>DERMATOME, SILVER, 19.5 CM</v>
          </cell>
        </row>
        <row r="542">
          <cell r="B542" t="str">
            <v>11-100-11-07</v>
          </cell>
          <cell r="C542" t="str">
            <v>SCHERE, CHIR., ST/ST, GER., 12 CM</v>
          </cell>
          <cell r="D542" t="str">
            <v>OPERATING SCISSORS,  BL/BL, STR., 12 CM</v>
          </cell>
        </row>
        <row r="543">
          <cell r="B543" t="str">
            <v>11-100-13-07</v>
          </cell>
          <cell r="C543" t="str">
            <v>SCHERE, CHIR., ST/ST, GER., 13 CM</v>
          </cell>
          <cell r="D543" t="str">
            <v>OPERATING SCISSORS,  BL/BL, STR., 13 CM</v>
          </cell>
        </row>
        <row r="544">
          <cell r="B544" t="str">
            <v>11-100-14-07</v>
          </cell>
          <cell r="C544" t="str">
            <v>SCHERE, CHIR., ST/ST, GER., 14,5 CM</v>
          </cell>
          <cell r="D544" t="str">
            <v>OPERATING SCISSORS,  BL/BL, STR., 14.5 CM</v>
          </cell>
        </row>
        <row r="545">
          <cell r="B545" t="str">
            <v>11-100-16-07</v>
          </cell>
          <cell r="C545" t="str">
            <v>SCHERE, CHIR., ST/ST, GER., 16,5 CM</v>
          </cell>
          <cell r="D545" t="str">
            <v>OPERATING SCISSORS,  BL/BL, STR., 16.5 CM</v>
          </cell>
        </row>
        <row r="546">
          <cell r="B546" t="str">
            <v>11-100-18-07</v>
          </cell>
          <cell r="C546" t="str">
            <v>SCHERE, CHIR., ST/ST, GER., 18,5 CM</v>
          </cell>
          <cell r="D546" t="str">
            <v>OPERATING SCISSORS,  BL/BL, STR., 18.5 CM</v>
          </cell>
        </row>
        <row r="547">
          <cell r="B547" t="str">
            <v>11-100-20-07</v>
          </cell>
          <cell r="C547" t="str">
            <v>SCHERE, CHIR., ST/ST, GER., 20,5 CM</v>
          </cell>
          <cell r="D547" t="str">
            <v>OPERATING SCISSORS,  BL/BL, STR., 20.5 CM</v>
          </cell>
        </row>
        <row r="548">
          <cell r="B548" t="str">
            <v>11-102-11-07</v>
          </cell>
          <cell r="C548" t="str">
            <v>SCHERE, CHIR., SP/ST, GER., 12 CM</v>
          </cell>
          <cell r="D548" t="str">
            <v>OPERATING SCISSORS,  SH/BL, STR., 12 CM</v>
          </cell>
        </row>
        <row r="549">
          <cell r="B549" t="str">
            <v>11-102-13-07</v>
          </cell>
          <cell r="C549" t="str">
            <v>SCHERE, CHIR., SP/ST, GER., 13 CM</v>
          </cell>
          <cell r="D549" t="str">
            <v>OPERATING SCISSORS,  SH/BL, STR., 13 CM</v>
          </cell>
        </row>
        <row r="550">
          <cell r="B550" t="str">
            <v>11-102-14-07</v>
          </cell>
          <cell r="C550" t="str">
            <v>SCHERE, CHIR., SP/ST, GER., 14,5 CM</v>
          </cell>
          <cell r="D550" t="str">
            <v>OPERATING SCISSORS,  SH/BL, STR., 14.5 CM</v>
          </cell>
        </row>
        <row r="551">
          <cell r="B551" t="str">
            <v>11-102-16-07</v>
          </cell>
          <cell r="C551" t="str">
            <v>SCHERE, CHIR., SP/ST, GER., 16,5 CM</v>
          </cell>
          <cell r="D551" t="str">
            <v>OPERATING SCISSORS,  SH/BL, STR., 16.5 CM</v>
          </cell>
        </row>
        <row r="552">
          <cell r="B552" t="str">
            <v>11-102-18-07</v>
          </cell>
          <cell r="C552" t="str">
            <v>SCHERE, CHIR., SP/ST, GER., 18,5 CM</v>
          </cell>
          <cell r="D552" t="str">
            <v>OPERATING SCISSORS,  SH/BL, STR., 18.5 CM</v>
          </cell>
        </row>
        <row r="553">
          <cell r="B553" t="str">
            <v>11-102-20-07</v>
          </cell>
          <cell r="C553" t="str">
            <v>SCHERE, CHIR., SP/ST, GER., 20,5 CM</v>
          </cell>
          <cell r="D553" t="str">
            <v>OPERATING SCISSORS,  SH/BL, STR., 20.5 CM</v>
          </cell>
        </row>
        <row r="554">
          <cell r="B554" t="str">
            <v>11-104-11-07</v>
          </cell>
          <cell r="C554" t="str">
            <v>SCHERE, CHIR., SP/SP, GER., 12 CM</v>
          </cell>
          <cell r="D554" t="str">
            <v>OPERATING SCISSORS,  SH/SH, STR., 12 CM</v>
          </cell>
        </row>
        <row r="555">
          <cell r="B555" t="str">
            <v>11-104-13-07</v>
          </cell>
          <cell r="C555" t="str">
            <v>SCHERE, CHIR., SP/SP, GER., 13 CM</v>
          </cell>
          <cell r="D555" t="str">
            <v>OPERATING SCISSORS,  SH/SH, STR., 13 CM</v>
          </cell>
        </row>
        <row r="556">
          <cell r="B556" t="str">
            <v>11-104-14-07</v>
          </cell>
          <cell r="C556" t="str">
            <v>SCHERE, CHIR., SP/SP, GER., 14,5 CM</v>
          </cell>
          <cell r="D556" t="str">
            <v>OPERATING SCISSORS,  SH/SH, STR., 14.5 CM</v>
          </cell>
        </row>
        <row r="557">
          <cell r="B557" t="str">
            <v>11-104-16-07</v>
          </cell>
          <cell r="C557" t="str">
            <v>SCHERE, CHIR., SP/SP, GER., 16,5 CM</v>
          </cell>
          <cell r="D557" t="str">
            <v>OPERATING SCISSORS,  SH/SH, STR., 16.5 CM</v>
          </cell>
        </row>
        <row r="558">
          <cell r="B558" t="str">
            <v>11-105-11-07</v>
          </cell>
          <cell r="C558" t="str">
            <v>SCHERE, CHIR., ST/ST, GEB., 12 CM</v>
          </cell>
          <cell r="D558" t="str">
            <v>OPERATING SCISSORS,  BL/BL, CVD., 12 CM</v>
          </cell>
        </row>
        <row r="559">
          <cell r="B559" t="str">
            <v>11-105-13-07</v>
          </cell>
          <cell r="C559" t="str">
            <v>SCHERE, CHIR., ST/ST, GEB., 13 CM</v>
          </cell>
          <cell r="D559" t="str">
            <v>OPERATING SCISSORS,  BL/BL, CVD., 13 CM</v>
          </cell>
        </row>
        <row r="560">
          <cell r="B560" t="str">
            <v>11-105-14-07</v>
          </cell>
          <cell r="C560" t="str">
            <v>SCHERE, CHIR., ST/ST, GEB., 14,5 CM</v>
          </cell>
          <cell r="D560" t="str">
            <v>OPERATING SCISSORS,  BL/BL, CVD., 14.5 CM</v>
          </cell>
        </row>
        <row r="561">
          <cell r="B561" t="str">
            <v>11-105-16-07</v>
          </cell>
          <cell r="C561" t="str">
            <v>SCHERE, CHIR., ST/ST, GEB., 16,5 CM</v>
          </cell>
          <cell r="D561" t="str">
            <v>OPERATING SCISSORS,  BL/BL, CVD., 16.5 CM</v>
          </cell>
        </row>
        <row r="562">
          <cell r="B562" t="str">
            <v>11-105-18-07</v>
          </cell>
          <cell r="C562" t="str">
            <v>SCHERE, CHIR., ST/ST, GEB., 18,5 CM</v>
          </cell>
          <cell r="D562" t="str">
            <v>OPERATING SCISSORS,  BL/BL, CVD., 18.5 CM</v>
          </cell>
        </row>
        <row r="563">
          <cell r="B563" t="str">
            <v>11-105-20-07</v>
          </cell>
          <cell r="C563" t="str">
            <v>SCHERE, CHIR., ST/ST, GEB., 20,5 CM</v>
          </cell>
          <cell r="D563" t="str">
            <v>OPERATING SCISSORS,  BL/BL, CVD., 20.5 CM</v>
          </cell>
        </row>
        <row r="564">
          <cell r="B564" t="str">
            <v>11-107-11-07</v>
          </cell>
          <cell r="C564" t="str">
            <v>SCHERE, CHIR., SP/ST, GEB., 12 CM</v>
          </cell>
          <cell r="D564" t="str">
            <v>OPERATING SCISSORS,  SH/BL, CVD., 12 CM</v>
          </cell>
        </row>
        <row r="565">
          <cell r="B565" t="str">
            <v>11-107-13-07</v>
          </cell>
          <cell r="C565" t="str">
            <v>SCHERE, CHIR., SP/ST, GEB., 13 CM</v>
          </cell>
          <cell r="D565" t="str">
            <v>OPERATING SCISSORS,  SH/BL, CVD., 13 CM</v>
          </cell>
        </row>
        <row r="566">
          <cell r="B566" t="str">
            <v>11-107-14-07</v>
          </cell>
          <cell r="C566" t="str">
            <v>SCHERE, CHIR., SP/ST, GEB., 14,5 CM</v>
          </cell>
          <cell r="D566" t="str">
            <v>OPERATING SCISSORS,  SH/BL, CVD., 14.5 CM</v>
          </cell>
        </row>
        <row r="567">
          <cell r="B567" t="str">
            <v>11-107-16-07</v>
          </cell>
          <cell r="C567" t="str">
            <v>SCHERE, CHIR., SP/ST, GEB., 16,5 CM</v>
          </cell>
          <cell r="D567" t="str">
            <v>OPERATING SCISSORS,  SH/BL, CVD., 16.5 CM</v>
          </cell>
        </row>
        <row r="568">
          <cell r="B568" t="str">
            <v>11-107-18-07</v>
          </cell>
          <cell r="C568" t="str">
            <v>SCHERE, CHIR., SP/ST, GEB., 18,5 CM</v>
          </cell>
          <cell r="D568" t="str">
            <v>OPERATING SCISSORS,  SH/BL, CVD., 18.5 CM</v>
          </cell>
        </row>
        <row r="569">
          <cell r="B569" t="str">
            <v>11-107-20-07</v>
          </cell>
          <cell r="C569" t="str">
            <v>SCHERE, CHIR., SP/ST, GEB., 20,5 CM</v>
          </cell>
          <cell r="D569" t="str">
            <v>OPERATING SCISSORS,  SH/BL, CVD., 20.5 CM</v>
          </cell>
        </row>
        <row r="570">
          <cell r="B570" t="str">
            <v>11-109-11-07</v>
          </cell>
          <cell r="C570" t="str">
            <v>SCHERE, CHIR., SP/SP, GEB., 12 CM</v>
          </cell>
          <cell r="D570" t="str">
            <v>OPERATING SCISSORS,  SH/SH, CVD., 12 CM</v>
          </cell>
        </row>
        <row r="571">
          <cell r="B571" t="str">
            <v>11-109-13-07</v>
          </cell>
          <cell r="C571" t="str">
            <v>SCHERE, CHIR., SP/SP, GEB., 13 CM</v>
          </cell>
          <cell r="D571" t="str">
            <v>OPERATING SCISSORS,  SH/SH, CVD., 13 CM</v>
          </cell>
        </row>
        <row r="572">
          <cell r="B572" t="str">
            <v>11-109-14-07</v>
          </cell>
          <cell r="C572" t="str">
            <v>SCHERE, CHIR., SP/SP, GEB., 14,5 CM</v>
          </cell>
          <cell r="D572" t="str">
            <v>OPERATING SCISSORS,  SH/SH, CVD., 14.5 CM</v>
          </cell>
        </row>
        <row r="573">
          <cell r="B573" t="str">
            <v>11-109-16-07</v>
          </cell>
          <cell r="C573" t="str">
            <v>SCHERE, CHIR., SP/SP, GEB., 16,5 CM</v>
          </cell>
          <cell r="D573" t="str">
            <v>OPERATING SCISSORS,  SH/SH, CVD., 16.5 CM</v>
          </cell>
        </row>
        <row r="574">
          <cell r="B574" t="str">
            <v>11-110-01-07</v>
          </cell>
          <cell r="C574" t="str">
            <v>Schere, fein, sp/sp, ger., 11 cm</v>
          </cell>
          <cell r="D574" t="str">
            <v>Scissor, fine, sh/sh, str., 11 cm</v>
          </cell>
        </row>
        <row r="575">
          <cell r="B575" t="str">
            <v>11-110-02-07</v>
          </cell>
          <cell r="C575" t="str">
            <v>Schere, fein, sp/sp, geb., 11 cm</v>
          </cell>
          <cell r="D575" t="str">
            <v>Scissor, fine, sh/sh, cvd., 11 cm</v>
          </cell>
        </row>
        <row r="576">
          <cell r="B576" t="str">
            <v>11-110-03-07</v>
          </cell>
          <cell r="C576" t="str">
            <v>Schere, Knapp, st/st, ger., 12 cm</v>
          </cell>
          <cell r="D576" t="str">
            <v>Scissor, Knapp, bl/bl, str., 12 cm</v>
          </cell>
        </row>
        <row r="577">
          <cell r="B577" t="str">
            <v>11-110-04-07</v>
          </cell>
          <cell r="C577" t="str">
            <v>Schere, Knapp, st/st, geb., 12 cm</v>
          </cell>
          <cell r="D577" t="str">
            <v>Scissor, Knapp, bl/bl, cvd., 12 cm</v>
          </cell>
        </row>
        <row r="578">
          <cell r="B578" t="str">
            <v>11-120-14-07</v>
          </cell>
          <cell r="C578" t="str">
            <v>SCHERE, GRAZIL, ST/ST, GER., 14,5 CM</v>
          </cell>
          <cell r="D578" t="str">
            <v>SCISSORS,  DELICATE,  BL/BL, STR., 14.5 CM</v>
          </cell>
        </row>
        <row r="579">
          <cell r="B579" t="str">
            <v>11-122-14-07</v>
          </cell>
          <cell r="C579" t="str">
            <v>SCHERE, GRAZIL, SP/ST, GER., 14,5 CM</v>
          </cell>
          <cell r="D579" t="str">
            <v>SCISSORS,  DELICATE,  SH/BL, STR., 14.5 CM</v>
          </cell>
        </row>
        <row r="580">
          <cell r="B580" t="str">
            <v>11-124-14-07</v>
          </cell>
          <cell r="C580" t="str">
            <v>SCHERE, GRAZIL, SP/SP, GER., 14,5 CM</v>
          </cell>
          <cell r="D580" t="str">
            <v>SCISSORS,  DELICATE,  SH/SH, STR., 14.5 CM</v>
          </cell>
        </row>
        <row r="581">
          <cell r="B581" t="str">
            <v>11-125-14-07</v>
          </cell>
          <cell r="C581" t="str">
            <v>SCHERE, GRAZIL, ST/ST, GEB., 14,5 CM</v>
          </cell>
          <cell r="D581" t="str">
            <v>SCISSORS,  DELICATE,  BL/BL, CVD., 14.5 CM</v>
          </cell>
        </row>
        <row r="582">
          <cell r="B582" t="str">
            <v>11-127-14-07</v>
          </cell>
          <cell r="C582" t="str">
            <v>SCHERE, GRAZIL, SP/ST, GEB. 14,5 CM</v>
          </cell>
          <cell r="D582" t="str">
            <v>SCISSORS,  DELICATE,  SH/BL, CVD., 14.5 CM</v>
          </cell>
        </row>
        <row r="583">
          <cell r="B583" t="str">
            <v>11-129-14-07</v>
          </cell>
          <cell r="C583" t="str">
            <v>SCHERE, GRAZIL, SP/SP, GEB., 14,5 CM</v>
          </cell>
          <cell r="D583" t="str">
            <v>SCISSORS,  DELICATE,  SH/SH, CVD., 14.5 CM</v>
          </cell>
        </row>
        <row r="584">
          <cell r="B584" t="str">
            <v>11-136-14-07</v>
          </cell>
          <cell r="C584" t="str">
            <v>INZISIONSSCHERE, GER., 14,5 CM</v>
          </cell>
          <cell r="D584" t="str">
            <v>INCISION  SCISSORS,  STR., 14.5 CM</v>
          </cell>
        </row>
        <row r="585">
          <cell r="B585" t="str">
            <v>11-140-14-07</v>
          </cell>
          <cell r="C585" t="str">
            <v>Schere, Deaver, sp/st, ger., 14,5 cm</v>
          </cell>
          <cell r="D585" t="str">
            <v>Scissors, Deaver, pd/bl, str., 14.5 cm</v>
          </cell>
        </row>
        <row r="586">
          <cell r="B586" t="str">
            <v>11-141-14-07</v>
          </cell>
          <cell r="C586" t="str">
            <v>Schere, Deaver, sp/st, geb., 14,5 cm</v>
          </cell>
          <cell r="D586" t="str">
            <v>Scissors, Deaver, pd/bl, cvd., 14.5 cm</v>
          </cell>
        </row>
        <row r="587">
          <cell r="B587" t="str">
            <v>11-170-14-07</v>
          </cell>
          <cell r="C587" t="str">
            <v>SCHERE, MAYO, GER., 14,5 CM</v>
          </cell>
          <cell r="D587" t="str">
            <v>SCISSORS,  MAYO, STR., 14.5 CM</v>
          </cell>
        </row>
        <row r="588">
          <cell r="B588" t="str">
            <v>11-170-17-07</v>
          </cell>
          <cell r="C588" t="str">
            <v>SCHERE, MAYO, GER., 17 CM</v>
          </cell>
          <cell r="D588" t="str">
            <v>SCISSORS,  MAYO, STR., 17 CM</v>
          </cell>
        </row>
        <row r="589">
          <cell r="B589" t="str">
            <v>11-170-23-07</v>
          </cell>
          <cell r="C589" t="str">
            <v>SCHERE, MAYO, GER., 23,5 CM</v>
          </cell>
          <cell r="D589" t="str">
            <v>SCISSORS,  MAYO, STR., 23.5 CM</v>
          </cell>
        </row>
        <row r="590">
          <cell r="B590" t="str">
            <v>11-171-14-07</v>
          </cell>
          <cell r="C590" t="str">
            <v>SCHERE, MAYO, GEB., 14,5 CM</v>
          </cell>
          <cell r="D590" t="str">
            <v>SCISSORS,  MAYO, CVD., 14.5 CM</v>
          </cell>
        </row>
        <row r="591">
          <cell r="B591" t="str">
            <v>11-171-17-07</v>
          </cell>
          <cell r="C591" t="str">
            <v>SCHERE, MAYO, GEB., 17 CM</v>
          </cell>
          <cell r="D591" t="str">
            <v>SCISSORS,  MAYO, CVD., 17 CM</v>
          </cell>
        </row>
        <row r="592">
          <cell r="B592" t="str">
            <v>11-171-23-07</v>
          </cell>
          <cell r="C592" t="str">
            <v>SCHERE, MAYO, GEB., 23,5 CM</v>
          </cell>
          <cell r="D592" t="str">
            <v>SCISSORS,  MAYO, CVD., 23.5 CM</v>
          </cell>
        </row>
        <row r="593">
          <cell r="B593" t="str">
            <v>11-174-22-07</v>
          </cell>
          <cell r="C593" t="str">
            <v>SCHERE, MAYO-HARRINGTON, GER., 23 CM</v>
          </cell>
          <cell r="D593" t="str">
            <v>SCISSORS,  MAYO-HARRINGTON, STR., 23 CM</v>
          </cell>
        </row>
        <row r="594">
          <cell r="B594" t="str">
            <v>11-175-22-07</v>
          </cell>
          <cell r="C594" t="str">
            <v>SCHERE, MAYO-HARRINGTON, GEB., 23 CM</v>
          </cell>
          <cell r="D594" t="str">
            <v>SCISSORS,  MAYO-HARRINGTON, CVD., 23 CM</v>
          </cell>
        </row>
        <row r="595">
          <cell r="B595" t="str">
            <v>11-175-30-07</v>
          </cell>
          <cell r="C595" t="str">
            <v>SCHERE, MAYO-HARRINGTON, GEB., 28 CM</v>
          </cell>
          <cell r="D595" t="str">
            <v>SCISSORS,  MAYO-HARRINGTON, CVD., 28 CM</v>
          </cell>
        </row>
        <row r="596">
          <cell r="B596" t="str">
            <v>11-180-15-07</v>
          </cell>
          <cell r="C596" t="str">
            <v>SCHERE, MAYO-STILLE, GER., 15 CM</v>
          </cell>
          <cell r="D596" t="str">
            <v>SCISSORS,  MAYO-STILLE, STR., 15 CM</v>
          </cell>
        </row>
        <row r="597">
          <cell r="B597" t="str">
            <v>11-180-17-07</v>
          </cell>
          <cell r="C597" t="str">
            <v>SCHERE, MAYO-STILLE, GER., 17 CM</v>
          </cell>
          <cell r="D597" t="str">
            <v>SCISSORS,  MAYO-STILLE, STR., 17 CM</v>
          </cell>
        </row>
        <row r="598">
          <cell r="B598" t="str">
            <v>11-181-15-07</v>
          </cell>
          <cell r="C598" t="str">
            <v>SCHERE, MAYO-STILLE, GEB., 15 CM</v>
          </cell>
          <cell r="D598" t="str">
            <v>SCISSORS,  MAYO-STILLE, CVD., 15 CM</v>
          </cell>
        </row>
        <row r="599">
          <cell r="B599" t="str">
            <v>11-181-17-07</v>
          </cell>
          <cell r="C599" t="str">
            <v>SCHERE, MAYO-STILLE, GEB., 17 CM</v>
          </cell>
          <cell r="D599" t="str">
            <v>SCISSORS,  MAYO-STILLE, CVD., 17 CM</v>
          </cell>
        </row>
        <row r="600">
          <cell r="B600" t="str">
            <v>11-184-16-07</v>
          </cell>
          <cell r="C600" t="str">
            <v>SCHERE, MAYO-STILLE, GER., 16 CM</v>
          </cell>
          <cell r="D600" t="str">
            <v>SCISSORS,  MAYO-STILLE, STR., 16 CM</v>
          </cell>
        </row>
        <row r="601">
          <cell r="B601" t="str">
            <v>11-184-19-07</v>
          </cell>
          <cell r="C601" t="str">
            <v>SCHERE, MAYO-STILLE, GER., 19,5 CM</v>
          </cell>
          <cell r="D601" t="str">
            <v>SCISSORS,  MAYO-STILLE, STR., 19.5 CM</v>
          </cell>
        </row>
        <row r="602">
          <cell r="B602" t="str">
            <v>11-184-21-07</v>
          </cell>
          <cell r="C602" t="str">
            <v>SCHERE, MAYO-STILLE, GER., 21,5 CM</v>
          </cell>
          <cell r="D602" t="str">
            <v>SCISSORS,  MAYO-STILLE, STR., 21.5 CM</v>
          </cell>
        </row>
        <row r="603">
          <cell r="B603" t="str">
            <v>11-185-16-07</v>
          </cell>
          <cell r="C603" t="str">
            <v>SCHERE, MAYO-STILLE, GEB., 16 CM</v>
          </cell>
          <cell r="D603" t="str">
            <v>SCISSORS,  MAYO-STILLE, CVD., 16 CM</v>
          </cell>
        </row>
        <row r="604">
          <cell r="B604" t="str">
            <v>11-185-19-07</v>
          </cell>
          <cell r="C604" t="str">
            <v>SCHERE, MAYO-STILLE, GEB., 19,5 CM</v>
          </cell>
          <cell r="D604" t="str">
            <v>SCISSORS,  MAYO-STILLE, CVD., 19.5 CM</v>
          </cell>
        </row>
        <row r="605">
          <cell r="B605" t="str">
            <v>11-185-21-07</v>
          </cell>
          <cell r="C605" t="str">
            <v>SCHERE, MAYO-STILLE, GEB., 21,5 CM</v>
          </cell>
          <cell r="D605" t="str">
            <v>SCISSORS,  MAYO-STILLE, CVD., 21.5 CM</v>
          </cell>
        </row>
        <row r="606">
          <cell r="B606" t="str">
            <v>11-190-17-07</v>
          </cell>
          <cell r="C606" t="str">
            <v>SCHERE, MAYO-NOBLE, GER., 16,5 CM</v>
          </cell>
          <cell r="D606" t="str">
            <v>SCISSORS,  MAYO-NOBLE, STR., 16.5 CM</v>
          </cell>
        </row>
        <row r="607">
          <cell r="B607" t="str">
            <v>11-191-17-07</v>
          </cell>
          <cell r="C607" t="str">
            <v>SCHERE, MAYO-NOBLE, GEB., 16,5 CM</v>
          </cell>
          <cell r="D607" t="str">
            <v>SCISSORS,  MAYO-NOBLE, CVD., 16.5 CM</v>
          </cell>
        </row>
        <row r="608">
          <cell r="B608" t="str">
            <v>11-200-20-07</v>
          </cell>
          <cell r="C608" t="str">
            <v>SCHERE, SIMS, ST/ST, GER., 20 CM</v>
          </cell>
          <cell r="D608" t="str">
            <v>SCISSORS,  SIMS, BL/BL, STR., 20 CM</v>
          </cell>
        </row>
        <row r="609">
          <cell r="B609" t="str">
            <v>11-200-23-07</v>
          </cell>
          <cell r="C609" t="str">
            <v>SCHERE, SIMS, ST/ST, GER., 23 CM</v>
          </cell>
          <cell r="D609" t="str">
            <v>SCISSORS,  SIMS, BL/BL, STR., 23 CM</v>
          </cell>
        </row>
        <row r="610">
          <cell r="B610" t="str">
            <v>11-203-20-07</v>
          </cell>
          <cell r="C610" t="str">
            <v>SCHERE, SIMS, ST/ST, GEB., 20 CM</v>
          </cell>
          <cell r="D610" t="str">
            <v>SCISSORS,  SIMS, BL/BL, CVD., 20 CM</v>
          </cell>
        </row>
        <row r="611">
          <cell r="B611" t="str">
            <v>11-203-23-07</v>
          </cell>
          <cell r="C611" t="str">
            <v>SCHERE, SIMS, ST/ST, GEB., 23 CM</v>
          </cell>
          <cell r="D611" t="str">
            <v>SCISSORS,  SIMS, BL/BL, CVD., 23 CM</v>
          </cell>
        </row>
        <row r="612">
          <cell r="B612" t="str">
            <v>11-226-16-07</v>
          </cell>
          <cell r="C612" t="str">
            <v>SCHERE, KELLY, GER., 16 CM</v>
          </cell>
          <cell r="D612" t="str">
            <v>SCISSORS,  KELLY, STR., 16 CM</v>
          </cell>
        </row>
        <row r="613">
          <cell r="B613" t="str">
            <v>11-227-16-07</v>
          </cell>
          <cell r="C613" t="str">
            <v>SCHERE, KELLY, GEB., 16 CM</v>
          </cell>
          <cell r="D613" t="str">
            <v>SCISSORS,  KELLY, CVD., 16 CM</v>
          </cell>
        </row>
        <row r="614">
          <cell r="B614" t="str">
            <v>11-230-17-07</v>
          </cell>
          <cell r="C614" t="str">
            <v>SCHERE, DOYEN, ST/ST, GER., 18,5 CM</v>
          </cell>
          <cell r="D614" t="str">
            <v>SCISSORS,  DOYEN, BL/BL, STR., 18.5 CM</v>
          </cell>
        </row>
        <row r="615">
          <cell r="B615" t="str">
            <v>11-231-17-07</v>
          </cell>
          <cell r="C615" t="str">
            <v>SCHERE, DOYEN, ST/ST, GEB., 18,5 CM</v>
          </cell>
          <cell r="D615" t="str">
            <v>SCISSORS,  DOYEN, BL/BL, CVD., 18.5 CM</v>
          </cell>
        </row>
        <row r="616">
          <cell r="B616" t="str">
            <v>11-232-24-07</v>
          </cell>
          <cell r="C616" t="str">
            <v>SCHERE, SIMS-SIEBOLD, GER., 24,5 CM</v>
          </cell>
          <cell r="D616" t="str">
            <v>SCISSORS,  SIMS-SIEBOLD, STR., 24.5 CM</v>
          </cell>
        </row>
        <row r="617">
          <cell r="B617" t="str">
            <v>11-233-24-07</v>
          </cell>
          <cell r="C617" t="str">
            <v>SCHERE, SIMS-SIEBOLD, GEB., 24,5 CM</v>
          </cell>
          <cell r="D617" t="str">
            <v>SCISSORS,  SIMS-SIEBOLD, CVD., 24.5 CM</v>
          </cell>
        </row>
        <row r="618">
          <cell r="B618" t="str">
            <v>11-235-20-07</v>
          </cell>
          <cell r="C618" t="str">
            <v>UTERUSSCHERE, GEB., 20 CM</v>
          </cell>
          <cell r="D618" t="str">
            <v>UTERINE  SCISSORS,  CVD., 20 CM</v>
          </cell>
        </row>
        <row r="619">
          <cell r="B619" t="str">
            <v>11-235-23-07</v>
          </cell>
          <cell r="C619" t="str">
            <v>UTERUSSCHERE, GEB., 23 CM</v>
          </cell>
          <cell r="D619" t="str">
            <v>UTERINE  SCISSORS,  CVD., 23 CM</v>
          </cell>
        </row>
        <row r="620">
          <cell r="B620" t="str">
            <v>11-248-11-07</v>
          </cell>
          <cell r="C620" t="str">
            <v>PRÄPARIERSCHERE, ST/ST, GER., 11,5 CM</v>
          </cell>
          <cell r="D620" t="str">
            <v>DISSECT.  SCISSORS,  BL/BL, STR., 11.5 CM</v>
          </cell>
        </row>
        <row r="621">
          <cell r="B621" t="str">
            <v>11-249-11-07</v>
          </cell>
          <cell r="C621" t="str">
            <v>PRÄPARIERSCHERE, ST/ST, GEB., 11,5 CM</v>
          </cell>
          <cell r="D621" t="str">
            <v>DISSECT.  SCISSORS,  BL/BL, CVD., 11.5 CM</v>
          </cell>
        </row>
        <row r="622">
          <cell r="B622" t="str">
            <v>11-250-14-07</v>
          </cell>
          <cell r="C622" t="str">
            <v>PRÄPARIERSCHERE, ST/ST, GER., 14,5 CM</v>
          </cell>
          <cell r="D622" t="str">
            <v>DISSECT.  SCISSORS,  BL/BL, STR., 14.5 CM</v>
          </cell>
        </row>
        <row r="623">
          <cell r="B623" t="str">
            <v>11-252-14-07</v>
          </cell>
          <cell r="C623" t="str">
            <v>PRÄPARIERSCHERE, SP/ST, GER., 14,5 CM</v>
          </cell>
          <cell r="D623" t="str">
            <v>DISSECT.  SCISSORS,  SH/BL, STR., 14.5 CM</v>
          </cell>
        </row>
        <row r="624">
          <cell r="B624" t="str">
            <v>11-254-14-07</v>
          </cell>
          <cell r="C624" t="str">
            <v>PRÄPARIERSCHERE, SP/SP, GER., 14,5 CM</v>
          </cell>
          <cell r="D624" t="str">
            <v>DISSECT.  SCISSORS,  SH/SH, STR., 14.5 CM</v>
          </cell>
        </row>
        <row r="625">
          <cell r="B625" t="str">
            <v>11-255-14-07</v>
          </cell>
          <cell r="C625" t="str">
            <v>PRÄPARIERSCHERE, ST/ST, GEB., 14,5 CM</v>
          </cell>
          <cell r="D625" t="str">
            <v>DISSECT.  SCISSORS,  BL/BL, CVD., 14.5 CM</v>
          </cell>
        </row>
        <row r="626">
          <cell r="B626" t="str">
            <v>11-257-14-07</v>
          </cell>
          <cell r="C626" t="str">
            <v>PRÄPARIERSCHERE, SP/ST, GEB., 14,5 CM</v>
          </cell>
          <cell r="D626" t="str">
            <v>DISSECT.  SCISSORS,  SH/BL, CVD., 14.5 CM</v>
          </cell>
        </row>
        <row r="627">
          <cell r="B627" t="str">
            <v>11-259-14-07</v>
          </cell>
          <cell r="C627" t="str">
            <v>PRÄPARIERSCHERE, SP/SP, GEB., 14,5 CM</v>
          </cell>
          <cell r="D627" t="str">
            <v>DISSECT.  SCISSORS,  SH/SH, CVD., 14.5 CM</v>
          </cell>
        </row>
        <row r="628">
          <cell r="B628" t="str">
            <v>11-264-15-07</v>
          </cell>
          <cell r="C628" t="str">
            <v>PRÄPARIERSCHERE, ST/ST, GER., 15,5 CM</v>
          </cell>
          <cell r="D628" t="str">
            <v>DISSECT.  SCISSORS,  BL/BL, STR., 15.5 CM</v>
          </cell>
        </row>
        <row r="629">
          <cell r="B629" t="str">
            <v>11-265-15-07</v>
          </cell>
          <cell r="C629" t="str">
            <v>PRÄPARIERSCHERE, ST/ST, GEB., 15,5 CM</v>
          </cell>
          <cell r="D629" t="str">
            <v>DISSECT.  SCISSORS,  BL/BL, CVD., 15.5 CM</v>
          </cell>
        </row>
        <row r="630">
          <cell r="B630" t="str">
            <v>11-280-18-07</v>
          </cell>
          <cell r="C630" t="str">
            <v>Schere, Präp.,Metzenb.,st./st.,ger.,18cm</v>
          </cell>
          <cell r="D630" t="str">
            <v>Scissors, diss.,Metzenb.,bl/bl,str.,18cm</v>
          </cell>
        </row>
        <row r="631">
          <cell r="B631" t="str">
            <v>11-280-20-07</v>
          </cell>
          <cell r="C631" t="str">
            <v>Schere, Präp.,Metzenb.,st/st,ger.,20,5cm</v>
          </cell>
          <cell r="D631" t="str">
            <v>Scissors,diss.,Metzenb.,bl/bl,str,20,5cm</v>
          </cell>
        </row>
        <row r="632">
          <cell r="B632" t="str">
            <v>11-280-23-07</v>
          </cell>
          <cell r="C632" t="str">
            <v>Schere, Präp.,Metzenb.,st./st.,ger.,23cm</v>
          </cell>
          <cell r="D632" t="str">
            <v>Scissors, diss.,Metzenb.,bl/bl,str.,23cm</v>
          </cell>
        </row>
        <row r="633">
          <cell r="B633" t="str">
            <v>11-280-25-07</v>
          </cell>
          <cell r="C633" t="str">
            <v>Schere, Präp.,Metzenb.,st./st.,ger.,26cm</v>
          </cell>
          <cell r="D633" t="str">
            <v>Scissors, diss.,Metzenb.,bl/bl,str.,26cm</v>
          </cell>
        </row>
        <row r="634">
          <cell r="B634" t="str">
            <v>11-280-28-07</v>
          </cell>
          <cell r="C634" t="str">
            <v>Schere, Präp.,Metzenb.,st/st,ger.,28,5cm</v>
          </cell>
          <cell r="D634" t="str">
            <v>Scissors,diss.,Metzenb.,bl/bl,str,28,5cm</v>
          </cell>
        </row>
        <row r="635">
          <cell r="B635" t="str">
            <v>11-280-30-07</v>
          </cell>
          <cell r="C635" t="str">
            <v>Schere, Präp.,Metzenb.,st./st.,ger.,31cm</v>
          </cell>
          <cell r="D635" t="str">
            <v>Scissors, diss.,Metzenb.,bl/bl,str.,31cm</v>
          </cell>
        </row>
        <row r="636">
          <cell r="B636" t="str">
            <v>11-284-18-07</v>
          </cell>
          <cell r="C636" t="str">
            <v>PRÄPARIERSCHERE, SPITZ, GER., 18 CM</v>
          </cell>
          <cell r="D636" t="str">
            <v>DISSECTING SCISSORS,  SH/SH, STR., 18 CM</v>
          </cell>
        </row>
        <row r="637">
          <cell r="B637" t="str">
            <v>11-284-20-07</v>
          </cell>
          <cell r="C637" t="str">
            <v>PRÄPARIERSCHERE, SPITZ, GER., 20,5 CM</v>
          </cell>
          <cell r="D637" t="str">
            <v>DISSECTING SCISSORS,  STR., 20.5 CM</v>
          </cell>
        </row>
        <row r="638">
          <cell r="B638" t="str">
            <v>11-285-18-07</v>
          </cell>
          <cell r="C638" t="str">
            <v>PRÄPARIERSCHERE, METZENBAUM, GEB., 18 CM</v>
          </cell>
          <cell r="D638" t="str">
            <v>DISSECTING SCISSORS,  CVD., 18 CM</v>
          </cell>
        </row>
        <row r="639">
          <cell r="B639" t="str">
            <v>11-285-20-07</v>
          </cell>
          <cell r="C639" t="str">
            <v>PRÄPARIERSCHERE, METZENB.,  GEB., 20,5 CM</v>
          </cell>
          <cell r="D639" t="str">
            <v>DISSECTING SCISSORS,  CVD., 20.5 CM</v>
          </cell>
        </row>
        <row r="640">
          <cell r="B640" t="str">
            <v>11-285-23-07</v>
          </cell>
          <cell r="C640" t="str">
            <v>PRÄPARIERSCHERE, METZENBAUM, GEB., 23 CM</v>
          </cell>
          <cell r="D640" t="str">
            <v>DISSECTING SCISSORS,  CVD., 23 CM</v>
          </cell>
        </row>
        <row r="641">
          <cell r="B641" t="str">
            <v>11-285-25-07</v>
          </cell>
          <cell r="C641" t="str">
            <v>PRÄPARIERSCHERE, METZENBAUM, GEB., 26 CM</v>
          </cell>
          <cell r="D641" t="str">
            <v>DISSECTING SCISSORS,  CVD., 26 CM</v>
          </cell>
        </row>
        <row r="642">
          <cell r="B642" t="str">
            <v>11-285-28-07</v>
          </cell>
          <cell r="C642" t="str">
            <v>PRÄPARIERSCHERE, METZENB.,  GEB., 28,5 CM</v>
          </cell>
          <cell r="D642" t="str">
            <v>DISSECTING SCISSORS,  CVD., 28.5 CM</v>
          </cell>
        </row>
        <row r="643">
          <cell r="B643" t="str">
            <v>11-285-30-07</v>
          </cell>
          <cell r="C643" t="str">
            <v>PRÄPARIERSCHERE, METZENBAUM, GEB., 31 CM</v>
          </cell>
          <cell r="D643" t="str">
            <v>DISSECTING SCISSORS,  CVD., 31 CM</v>
          </cell>
        </row>
        <row r="644">
          <cell r="B644" t="str">
            <v>11-298-14-07</v>
          </cell>
          <cell r="C644" t="str">
            <v>PRÄPARIERSCHERE, GEZ., GER., 14,5 CM</v>
          </cell>
          <cell r="D644" t="str">
            <v>DISSECT.  SCISSORS,  SERR., STR., 14.5 CM</v>
          </cell>
        </row>
        <row r="645">
          <cell r="B645" t="str">
            <v>11-299-14-07</v>
          </cell>
          <cell r="C645" t="str">
            <v>PRÄPARIERSCHERE, GEZ., GEB., 14,5 CM</v>
          </cell>
          <cell r="D645" t="str">
            <v>DISSECT.  SCISSORS,  SERR., CVD., 14.5 CM</v>
          </cell>
        </row>
        <row r="646">
          <cell r="B646" t="str">
            <v>11-300-15-07</v>
          </cell>
          <cell r="C646" t="str">
            <v>PRÄPARIERSCHERE, SP/SP, GER., 15,5 CM</v>
          </cell>
          <cell r="D646" t="str">
            <v>DISSECT.  SCISSORS,  SH/SH, STR., 15.5 CM</v>
          </cell>
        </row>
        <row r="647">
          <cell r="B647" t="str">
            <v>11-301-15-07</v>
          </cell>
          <cell r="C647" t="str">
            <v>PRÄPARIERSCHERE, SP/SP, GEB., 15,5 CM</v>
          </cell>
          <cell r="D647" t="str">
            <v>DISSECT.  SCISSORS,  SH/SH, CVD., 15.5 CM</v>
          </cell>
        </row>
        <row r="648">
          <cell r="B648" t="str">
            <v>11-302-15-07</v>
          </cell>
          <cell r="C648" t="str">
            <v>Schere, Präparier,  Kübler, 15 cm</v>
          </cell>
          <cell r="D648" t="str">
            <v>Scissors, dissecting,  Kübler 15 cm</v>
          </cell>
        </row>
        <row r="649">
          <cell r="B649" t="str">
            <v>11-305-00-07</v>
          </cell>
          <cell r="C649" t="str">
            <v>SCHERE, KAYE, GEB., GEZ., 18,5 CM</v>
          </cell>
          <cell r="D649" t="str">
            <v>SCISSORS,  KAYE, CVD., SERR., 18.5 CM</v>
          </cell>
        </row>
        <row r="650">
          <cell r="B650" t="str">
            <v>11-306-12-07</v>
          </cell>
          <cell r="C650" t="str">
            <v>SCHERE, GORNEY,  GER., GEZ., 12,5 CM</v>
          </cell>
          <cell r="D650" t="str">
            <v>SCISSORS,  GORNEY,  STR., SERR., 12.5 CM</v>
          </cell>
        </row>
        <row r="651">
          <cell r="B651" t="str">
            <v>11-306-19-07</v>
          </cell>
          <cell r="C651" t="str">
            <v>SCHERE, GORNEY,  GER., GEZ., 19,5 CM</v>
          </cell>
          <cell r="D651" t="str">
            <v>SCISSORS,  GORNEY,  STR., SERR., 19.5 CM</v>
          </cell>
        </row>
        <row r="652">
          <cell r="B652" t="str">
            <v>11-307-19-07</v>
          </cell>
          <cell r="C652" t="str">
            <v>SCHERE, GORNEY,  GEB., GEZ., 19,5 CM</v>
          </cell>
          <cell r="D652" t="str">
            <v>SCISSORS,  GORNEY,  CVD., SERR., 19.5 CM</v>
          </cell>
        </row>
        <row r="653">
          <cell r="B653" t="str">
            <v>11-308-17-07</v>
          </cell>
          <cell r="C653" t="str">
            <v>FACE-LIFT  SCHERE, ASTON, GER., 17 CM</v>
          </cell>
          <cell r="D653" t="str">
            <v>FACE-LIFT  SCISSORS,  ASTON, STR., 17 CM</v>
          </cell>
        </row>
        <row r="654">
          <cell r="B654" t="str">
            <v>11-310-16-07</v>
          </cell>
          <cell r="C654" t="str">
            <v>PRÄPARIERSCHERE, LEXER, GER., 16 CM</v>
          </cell>
          <cell r="D654" t="str">
            <v>DISSECTING SCISSORS,  LEXER, STR., 16 CM</v>
          </cell>
        </row>
        <row r="655">
          <cell r="B655" t="str">
            <v>11-311-16-07</v>
          </cell>
          <cell r="C655" t="str">
            <v>PRÄPARIERSCHERE, LEXER, GEB., 16 CM</v>
          </cell>
          <cell r="D655" t="str">
            <v>DISSECTING SCISSORS,  LEXER, CVD., 16 CM</v>
          </cell>
        </row>
        <row r="656">
          <cell r="B656" t="str">
            <v>11-314-18-07</v>
          </cell>
          <cell r="C656" t="str">
            <v>TC-Präparierschere, Hohenfellner, 18 cm</v>
          </cell>
          <cell r="D656" t="str">
            <v>TC-Dissect  scissors, Hohenfellner, 18 cm</v>
          </cell>
        </row>
        <row r="657">
          <cell r="B657" t="str">
            <v>11-314-21-07</v>
          </cell>
          <cell r="C657" t="str">
            <v>TC-Präparierschere, Hohenfellner, 21 cm</v>
          </cell>
          <cell r="D657" t="str">
            <v>TC-Dissect  scissors, Hohenfellner, 21 cm</v>
          </cell>
        </row>
        <row r="658">
          <cell r="B658" t="str">
            <v>11-314-24-07</v>
          </cell>
          <cell r="C658" t="str">
            <v>TC-Präparierschere, Hohenfellner, 24 cm</v>
          </cell>
          <cell r="D658" t="str">
            <v>TC-Dissect  scissors, Hohenfellner, 24 cm</v>
          </cell>
        </row>
        <row r="659">
          <cell r="B659" t="str">
            <v>11-316-17-07</v>
          </cell>
          <cell r="C659" t="str">
            <v>TC-Präparierschere, DeBakey,  17,5 cm</v>
          </cell>
          <cell r="D659" t="str">
            <v>TC-Dissect  scissors, DeBakey,  17,5 cm</v>
          </cell>
        </row>
        <row r="660">
          <cell r="B660" t="str">
            <v>11-316-20-07</v>
          </cell>
          <cell r="C660" t="str">
            <v>TC-Präparierschere, DeBakey,  20 cm</v>
          </cell>
          <cell r="D660" t="str">
            <v>TC-Dissect  scissors, DeBakey,  20 cm</v>
          </cell>
        </row>
        <row r="661">
          <cell r="B661" t="str">
            <v>11-317-11-07</v>
          </cell>
          <cell r="C661" t="str">
            <v>NASENSCHERE, CINELLI, 11,5 CM</v>
          </cell>
          <cell r="D661" t="str">
            <v>NASAL SCISSORS,  CINELLI, 11.5 CM</v>
          </cell>
        </row>
        <row r="662">
          <cell r="B662" t="str">
            <v>11-317-14-07</v>
          </cell>
          <cell r="C662" t="str">
            <v>NASENSCHERE, FOMON, GEB., 14 CM</v>
          </cell>
          <cell r="D662" t="str">
            <v>NASAL SCISSORS,  FOMON, CVD., 14 CM</v>
          </cell>
        </row>
        <row r="663">
          <cell r="B663" t="str">
            <v>11-319-19-07</v>
          </cell>
          <cell r="C663" t="str">
            <v>PRÄPARIERSCHERE, THOREK,  GEB., 18,5 CM</v>
          </cell>
          <cell r="D663" t="str">
            <v>DISSECT.  SCISSORS,  THOREK,  CVD., 18.5 CM</v>
          </cell>
        </row>
        <row r="664">
          <cell r="B664" t="str">
            <v>11-320-10-07</v>
          </cell>
          <cell r="C664" t="str">
            <v>PRÄPARIERSCHERE, LEXER-BABY, GER., 10 CM</v>
          </cell>
          <cell r="D664" t="str">
            <v>DISS. SCISSORS,  LEXER-BABY, STR., 10 CM</v>
          </cell>
        </row>
        <row r="665">
          <cell r="B665" t="str">
            <v>11-321-10-07</v>
          </cell>
          <cell r="C665" t="str">
            <v>PRÄPARIERSCHERE, LEXER-BABY, GEB., 10 CM</v>
          </cell>
          <cell r="D665" t="str">
            <v>DISS. SCISSORS,  LEXER-BABY, CVD., 10 CM</v>
          </cell>
        </row>
        <row r="666">
          <cell r="B666" t="str">
            <v>11-324-16-07</v>
          </cell>
          <cell r="C666" t="str">
            <v>PRÄP.-SCHERE, LEXER, FEIN, GER., 16,5 CM</v>
          </cell>
          <cell r="D666" t="str">
            <v>SCISSORS,  LEXER, FINE, STR., 16.5 CM</v>
          </cell>
        </row>
        <row r="667">
          <cell r="B667" t="str">
            <v>11-325-16-07</v>
          </cell>
          <cell r="C667" t="str">
            <v>PRÄP.-SCHERE, LEXER, FEIN, GEB., 16,5 CM</v>
          </cell>
          <cell r="D667" t="str">
            <v>SCISSORS,  LEXER, FINE, CVD., 16.5 CM</v>
          </cell>
        </row>
        <row r="668">
          <cell r="B668" t="str">
            <v>11-326-14-07</v>
          </cell>
          <cell r="C668" t="str">
            <v>PRÄPARIERSCHERE, FEIN, GER., 14,5 CM</v>
          </cell>
          <cell r="D668" t="str">
            <v>DISSECT.  SCISSORS,  FINE, STR., 14.5 CM</v>
          </cell>
        </row>
        <row r="669">
          <cell r="B669" t="str">
            <v>11-327-14-07</v>
          </cell>
          <cell r="C669" t="str">
            <v>PRÄPARIERSCHERE, FEIN, GEB., 14,5 CM</v>
          </cell>
          <cell r="D669" t="str">
            <v>DISSECT.  SCISSORS,  FINE, CVD., 14.5 CM</v>
          </cell>
        </row>
        <row r="670">
          <cell r="B670" t="str">
            <v>11-328-14-07</v>
          </cell>
          <cell r="C670" t="str">
            <v>PRÄP.-SCHERE, FEIN, SP/SP, GER., 14,5 CM</v>
          </cell>
          <cell r="D670" t="str">
            <v>SCISSORS,  FINE, SH/SH, STR., 14.5 CM</v>
          </cell>
        </row>
        <row r="671">
          <cell r="B671" t="str">
            <v>11-329-14-07</v>
          </cell>
          <cell r="C671" t="str">
            <v>PRÄP.-SCHERE, FEIN, SP/SP, GEB., 14,5 CM</v>
          </cell>
          <cell r="D671" t="str">
            <v>SCISSORS,  FINE, SH/SH, CVD., 14.5 CM</v>
          </cell>
        </row>
        <row r="672">
          <cell r="B672" t="str">
            <v>11-329-18-07</v>
          </cell>
          <cell r="C672" t="str">
            <v>Schere, Präp., fein, sp/sp, geb., 18cm</v>
          </cell>
          <cell r="D672" t="str">
            <v>Scissor, Diss., fine, sh/sh, cvd., 18cm</v>
          </cell>
        </row>
        <row r="673">
          <cell r="B673" t="str">
            <v>11-329-20-07</v>
          </cell>
          <cell r="C673" t="str">
            <v>Schere, Präp., fein, sp/sp, geb., 20cm</v>
          </cell>
          <cell r="D673" t="str">
            <v>Scissor, Diss., fine, sh/sh, cvd., 20cm</v>
          </cell>
        </row>
        <row r="674">
          <cell r="B674" t="str">
            <v>11-330-18-07</v>
          </cell>
          <cell r="C674" t="str">
            <v>PRÄPARIERSCHERE, FEIN, GER., 18 CM</v>
          </cell>
          <cell r="D674" t="str">
            <v>DISSECTING SCISSORS,  FINE, STR., 18 CM</v>
          </cell>
        </row>
        <row r="675">
          <cell r="B675" t="str">
            <v>11-330-20-07</v>
          </cell>
          <cell r="C675" t="str">
            <v>PRÄPARIERSCHERE, FEIN, GER., 20,5 CM</v>
          </cell>
          <cell r="D675" t="str">
            <v>DISSECTING SCISSORS,  FINE, STR., 20.5 CM</v>
          </cell>
        </row>
        <row r="676">
          <cell r="B676" t="str">
            <v>11-330-23-07</v>
          </cell>
          <cell r="C676" t="str">
            <v>PRÄPARIERSCHERE, FEIN, GER., 23 CM</v>
          </cell>
          <cell r="D676" t="str">
            <v>DISSECT.  SCISSORS,  FINE, STR., 23 CM</v>
          </cell>
        </row>
        <row r="677">
          <cell r="B677" t="str">
            <v>11-331-18-07</v>
          </cell>
          <cell r="C677" t="str">
            <v>PRÄPARIERSCHERE, FEIN, GEB., 18 CM</v>
          </cell>
          <cell r="D677" t="str">
            <v>DISSECT.  SCISSORS,  FINE, CVD., 18 CM</v>
          </cell>
        </row>
        <row r="678">
          <cell r="B678" t="str">
            <v>11-331-20-07</v>
          </cell>
          <cell r="C678" t="str">
            <v>PRÄPARIERSCHERE, FEIN, GEB., 20,5 CM</v>
          </cell>
          <cell r="D678" t="str">
            <v>DISSECT.  SCISSORS,  FINE, CVD., 20.5 CM</v>
          </cell>
        </row>
        <row r="679">
          <cell r="B679" t="str">
            <v>11-331-23-07</v>
          </cell>
          <cell r="C679" t="str">
            <v>PRÄPARIERSCHERE, FEIN, GEB., 23 CM</v>
          </cell>
          <cell r="D679" t="str">
            <v>DISSECT.  SCISSORS,  FINE, CVD., 23 CM</v>
          </cell>
        </row>
        <row r="680">
          <cell r="B680" t="str">
            <v>11-335-18-07</v>
          </cell>
          <cell r="C680" t="str">
            <v>PRÄPARIERSCHERE, FEIN, S-FORM, 18 CM</v>
          </cell>
          <cell r="D680" t="str">
            <v>DISSECT.  SCISSORS,  FINE, S-SHAPE,  18 CM</v>
          </cell>
        </row>
        <row r="681">
          <cell r="B681" t="str">
            <v>11-335-20-07</v>
          </cell>
          <cell r="C681" t="str">
            <v>PRÄPARIERSCHERE, FEIN, S-FORM, 20,5 CM</v>
          </cell>
          <cell r="D681" t="str">
            <v>DISS. SCISSORS,  FINE, S-SHAPE,  20.5 CM</v>
          </cell>
        </row>
        <row r="682">
          <cell r="B682" t="str">
            <v>11-335-23-07</v>
          </cell>
          <cell r="C682" t="str">
            <v>PRÄPARIERSCHERE, FEIN, S-FORM, 23 CM</v>
          </cell>
          <cell r="D682" t="str">
            <v>DISSECT.  SCISSORS,  FINE, S-SHAPE,  23 CM</v>
          </cell>
        </row>
        <row r="683">
          <cell r="B683" t="str">
            <v>11-339-12-07</v>
          </cell>
          <cell r="C683" t="str">
            <v>GAUMENSPALTENSCHERE, GEB., 12,5 CM</v>
          </cell>
          <cell r="D683" t="str">
            <v>CLEFT PALATE SCISSORS,  CVD., 12.5 CM</v>
          </cell>
        </row>
        <row r="684">
          <cell r="B684" t="str">
            <v>11-339-18-07</v>
          </cell>
          <cell r="C684" t="str">
            <v>GAUMENSPALTENSCHERE, GEB., 18 CM</v>
          </cell>
          <cell r="D684" t="str">
            <v>CLEFT PALATE SCISSORS,  CVD., 18 CM</v>
          </cell>
        </row>
        <row r="685">
          <cell r="B685" t="str">
            <v>11-340-14-07</v>
          </cell>
          <cell r="C685" t="str">
            <v>SCHERE, SANVENERO, SP/SP, GER., 14 CM</v>
          </cell>
          <cell r="D685" t="str">
            <v>SCISSORS,  SANVENERO, SH/SH, STR., 14 CM</v>
          </cell>
        </row>
        <row r="686">
          <cell r="B686" t="str">
            <v>11-341-14-07</v>
          </cell>
          <cell r="C686" t="str">
            <v>SCHERE, SANVENERO, SP/SP, GEB., 14 CM</v>
          </cell>
          <cell r="D686" t="str">
            <v>SCISSORS,  SANVENERO, SH/SH, CVD., 14 CM</v>
          </cell>
        </row>
        <row r="687">
          <cell r="B687" t="str">
            <v>11-344-11-07</v>
          </cell>
          <cell r="C687" t="str">
            <v>PRÄPARIERSCHERE, FEIN, GER., 11 CM</v>
          </cell>
          <cell r="D687" t="str">
            <v>DISSECT.  SCISSORS,  FINE, STR., 11 CM</v>
          </cell>
        </row>
        <row r="688">
          <cell r="B688" t="str">
            <v>11-345-11-07</v>
          </cell>
          <cell r="C688" t="str">
            <v>PRÄPARIERSCHERE, FEIN, GEB., 11 CM</v>
          </cell>
          <cell r="D688" t="str">
            <v>DISSECT.  SCISSORS,  FINE, CVD., 11 CM</v>
          </cell>
        </row>
        <row r="689">
          <cell r="B689" t="str">
            <v>11-350-14-07</v>
          </cell>
          <cell r="C689" t="str">
            <v>SCHERE, JOSEPH, SP/SP, GER., 14,5 CM</v>
          </cell>
          <cell r="D689" t="str">
            <v>SCISSORS,  JOSEPH, SH/SH, STR., 14.5 CM</v>
          </cell>
        </row>
        <row r="690">
          <cell r="B690" t="str">
            <v>11-351-14-07</v>
          </cell>
          <cell r="C690" t="str">
            <v>SCHERE, JOSEPH, SP/SP, GEB., 14,5 CM</v>
          </cell>
          <cell r="D690" t="str">
            <v>SCISSORS,  JOSEPH, SH/SH, CVD., 14.5 CM</v>
          </cell>
        </row>
        <row r="691">
          <cell r="B691" t="str">
            <v>11-352-14-07</v>
          </cell>
          <cell r="C691" t="str">
            <v>SCHERE, PECK-JOSEPH, GER., SP., 14,5 CM</v>
          </cell>
          <cell r="D691" t="str">
            <v>SCISSORS,  PECK-JOSEPH, STR., SH, 14.5 CM</v>
          </cell>
        </row>
        <row r="692">
          <cell r="B692" t="str">
            <v>11-353-14-07</v>
          </cell>
          <cell r="C692" t="str">
            <v>SCHER, PECK-JOSEPH, GEB., SP., 14,5 CM</v>
          </cell>
          <cell r="D692" t="str">
            <v>SCISSORS,  PECK-JOSEPH, CVD., SH, 14.5 CM</v>
          </cell>
        </row>
        <row r="693">
          <cell r="B693" t="str">
            <v>11-354-14-07</v>
          </cell>
          <cell r="C693" t="str">
            <v>SCHERE, PECK-JOSEPH, GER., ST., 14,5 CM</v>
          </cell>
          <cell r="D693" t="str">
            <v>SCISSORS,  PECK-JOSEPH, STR., BL, 14.5 CM</v>
          </cell>
        </row>
        <row r="694">
          <cell r="B694" t="str">
            <v>11-355-14-07</v>
          </cell>
          <cell r="C694" t="str">
            <v>SCHERE, PECK-JOSEPH, GEB., ST., 14,5 CM</v>
          </cell>
          <cell r="D694" t="str">
            <v>SCISSORS,  PECK-JOSEPH, CVD., BL, 14.5 CM</v>
          </cell>
        </row>
        <row r="695">
          <cell r="B695" t="str">
            <v>11-357-12-07</v>
          </cell>
          <cell r="C695" t="str">
            <v>VENENSCHERE, SHEA, GEB., 12 CM</v>
          </cell>
          <cell r="D695" t="str">
            <v>VEIN SCISSORS,  SHEA, CVD., 12 CM</v>
          </cell>
        </row>
        <row r="696">
          <cell r="B696" t="str">
            <v>11-358-13-07</v>
          </cell>
          <cell r="C696" t="str">
            <v>DISSEKTIONS- U. ZAHNFLEISCHSCHERE, 13 CM</v>
          </cell>
          <cell r="D696" t="str">
            <v>DISSECTING &amp; GUM SCISSORS,  13 CM</v>
          </cell>
        </row>
        <row r="697">
          <cell r="B697" t="str">
            <v>11-359-12-07</v>
          </cell>
          <cell r="C697" t="str">
            <v>PRÄPARIERSCHERE, KILNER, GEB., 12 CM</v>
          </cell>
          <cell r="D697" t="str">
            <v>DISSECTING SCISSORS,  KILNER, CVD., 12 CM</v>
          </cell>
        </row>
        <row r="698">
          <cell r="B698" t="str">
            <v>11-359-15-07</v>
          </cell>
          <cell r="C698" t="str">
            <v>PRÄPARIERSCHERE, KILNER, GEB., 15 CM</v>
          </cell>
          <cell r="D698" t="str">
            <v>DISSECTING SCISSORS,  KILNER, CVD., 15 CM</v>
          </cell>
        </row>
        <row r="699">
          <cell r="B699" t="str">
            <v>11-359-18-07</v>
          </cell>
          <cell r="C699" t="str">
            <v>Schere, Präp., Kilner, st/st, geb., 18cm</v>
          </cell>
          <cell r="D699" t="str">
            <v>Scissor, Diss., Kilner, bl/bl, cvd.,18cm</v>
          </cell>
        </row>
        <row r="700">
          <cell r="B700" t="str">
            <v>11-359-20-07</v>
          </cell>
          <cell r="C700" t="str">
            <v>Schere, Präp., Kilner, st/st, geb., 20cm</v>
          </cell>
          <cell r="D700" t="str">
            <v>Scissor, Diss., Kilner, bl/bl, cvd.,20cm</v>
          </cell>
        </row>
        <row r="701">
          <cell r="B701" t="str">
            <v>11-362-14-07</v>
          </cell>
          <cell r="C701" t="str">
            <v>DISSEKTIONSSCHERE, GER., 14,5 CM</v>
          </cell>
          <cell r="D701" t="str">
            <v>DISSECTING SCISSORS,  STR., 14.5 CM</v>
          </cell>
        </row>
        <row r="702">
          <cell r="B702" t="str">
            <v>11-363-14-07</v>
          </cell>
          <cell r="C702" t="str">
            <v>DISSEKTIONSSCHERE, GEB., 14,5 CM</v>
          </cell>
          <cell r="D702" t="str">
            <v>DISSECTING SCISSORS,  CVD., 14.5 CM</v>
          </cell>
        </row>
        <row r="703">
          <cell r="B703" t="str">
            <v>11-364-14-07</v>
          </cell>
          <cell r="C703" t="str">
            <v>Schere, Präp., Reynolds,  ger., 14 cm</v>
          </cell>
          <cell r="D703" t="str">
            <v>Scissor, Diss., Reynolds,  str., 14 cm</v>
          </cell>
        </row>
        <row r="704">
          <cell r="B704" t="str">
            <v>11-364-15-07</v>
          </cell>
          <cell r="C704" t="str">
            <v>SCHERE, REYNOLDS, GER., 15,5 CM</v>
          </cell>
          <cell r="D704" t="str">
            <v>SCISSORS,  REYNOLDS, STR., 15.5 CM</v>
          </cell>
        </row>
        <row r="705">
          <cell r="B705" t="str">
            <v>11-364-18-07</v>
          </cell>
          <cell r="C705" t="str">
            <v>Schere, Präp., Reynolds,  ger., 18 cm</v>
          </cell>
          <cell r="D705" t="str">
            <v>Scissor, Diss., Reynolds,  str., 18 cm</v>
          </cell>
        </row>
        <row r="706">
          <cell r="B706" t="str">
            <v>11-365-14-07</v>
          </cell>
          <cell r="C706" t="str">
            <v>Schere, Präp., Reynolds,  geb., 14 cm</v>
          </cell>
          <cell r="D706" t="str">
            <v>Scissor, Diss., Reynolds,  cvd., 14 cm</v>
          </cell>
        </row>
        <row r="707">
          <cell r="B707" t="str">
            <v>11-365-15-07</v>
          </cell>
          <cell r="C707" t="str">
            <v>SCHERE, REYNOLDS, GEB., 15,5 CM</v>
          </cell>
          <cell r="D707" t="str">
            <v>SCISSORS,  REYNOLDS, CVD., 15.5 CM</v>
          </cell>
        </row>
        <row r="708">
          <cell r="B708" t="str">
            <v>11-365-18-07</v>
          </cell>
          <cell r="C708" t="str">
            <v>SCHERE, REYNOLDS, GEB., 18 CM</v>
          </cell>
          <cell r="D708" t="str">
            <v>SCISSORS,  REYNOLDS, CVD., 18 CM</v>
          </cell>
        </row>
        <row r="709">
          <cell r="B709" t="str">
            <v>11-367-14-07</v>
          </cell>
          <cell r="C709" t="str">
            <v>SCHERE, JAMESON,  GEB., 15,5 CM</v>
          </cell>
          <cell r="D709" t="str">
            <v>SCISSORS,  JAMESON,  CVD., 15.5 CM</v>
          </cell>
        </row>
        <row r="710">
          <cell r="B710" t="str">
            <v>11-369-14-07</v>
          </cell>
          <cell r="C710" t="str">
            <v>SCHERE, JAMESON,  GEB., GEZ., 15,5 CM</v>
          </cell>
          <cell r="D710" t="str">
            <v>SCISSORS,  JAMESON,  CVD., SERR., 15.5 CM</v>
          </cell>
        </row>
        <row r="711">
          <cell r="B711" t="str">
            <v>11-370-01-07</v>
          </cell>
          <cell r="C711" t="str">
            <v>Mikroschere, ger., spitz/spitz,  12 cm</v>
          </cell>
          <cell r="D711" t="str">
            <v>Micro Scissors, str., sh/sh, 12 cm</v>
          </cell>
        </row>
        <row r="712">
          <cell r="B712" t="str">
            <v>11-370-02-07</v>
          </cell>
          <cell r="C712" t="str">
            <v>Mikroschere, ger., spitz/spitz,  12 cm</v>
          </cell>
          <cell r="D712" t="str">
            <v>Micro Scissors, str., sh/sh, 12 cm</v>
          </cell>
        </row>
        <row r="713">
          <cell r="B713" t="str">
            <v>11-371-01-07</v>
          </cell>
          <cell r="C713" t="str">
            <v>Mikroschere, geb., spitz/spitz,  12 cm</v>
          </cell>
          <cell r="D713" t="str">
            <v>Micro Scissors, cvd., sh/sh, 12 cm</v>
          </cell>
        </row>
        <row r="714">
          <cell r="B714" t="str">
            <v>11-371-02-07</v>
          </cell>
          <cell r="C714" t="str">
            <v>Mikroschere, geb., spitz/stumpf, 12 cm</v>
          </cell>
          <cell r="D714" t="str">
            <v>Micro Scissors, cvd, sh/bl, 12 cm</v>
          </cell>
        </row>
        <row r="715">
          <cell r="B715" t="str">
            <v>11-371-03-07</v>
          </cell>
          <cell r="C715" t="str">
            <v>Mikroschere, geb., stumpf/stumpf, 12 cm</v>
          </cell>
          <cell r="D715" t="str">
            <v>Micro Scissors, cvd, bl/bl, 12 cm</v>
          </cell>
        </row>
        <row r="716">
          <cell r="B716" t="str">
            <v>11-371-04-07</v>
          </cell>
          <cell r="C716" t="str">
            <v>Mikroschere, geb., m. Knopf, 12 cm</v>
          </cell>
          <cell r="D716" t="str">
            <v>Micro Scissors, cvd., button-end, 12 cm</v>
          </cell>
        </row>
        <row r="717">
          <cell r="B717" t="str">
            <v>11-371-05-07</v>
          </cell>
          <cell r="C717" t="str">
            <v>Mikroschere, geb., spitz/spitz,  12 cm</v>
          </cell>
          <cell r="D717" t="str">
            <v>Micro Scissors, cvd., sh/sh, 12 cm</v>
          </cell>
        </row>
        <row r="718">
          <cell r="B718" t="str">
            <v>11-371-06-07</v>
          </cell>
          <cell r="C718" t="str">
            <v>Mikroschere, geb., spitz/stumpf, 12 cm</v>
          </cell>
          <cell r="D718" t="str">
            <v>Micro Scissors, cvd., sh/bl, 12 cm</v>
          </cell>
        </row>
        <row r="719">
          <cell r="B719" t="str">
            <v>11-371-07-07</v>
          </cell>
          <cell r="C719" t="str">
            <v>Mikroschere, geb., stumpf/stumpf, 12 cm</v>
          </cell>
          <cell r="D719" t="str">
            <v>Micro Scissors, cvd., bl/bl, 12 cm</v>
          </cell>
        </row>
        <row r="720">
          <cell r="B720" t="str">
            <v>11-371-08-07</v>
          </cell>
          <cell r="C720" t="str">
            <v>Mikroschere, geb., m. Knopf, 12 cm</v>
          </cell>
          <cell r="D720" t="str">
            <v>Micro Scissors, cvd., button-end, 12 cm</v>
          </cell>
        </row>
        <row r="721">
          <cell r="B721" t="str">
            <v>11-374-19-07</v>
          </cell>
          <cell r="C721" t="str">
            <v>GEFÄSSSCHERE, FEIN, SP/SP, GER., 20 CM</v>
          </cell>
          <cell r="D721" t="str">
            <v>VASC. SCISSORS,  FINE, SH/SH, STR., 20 CM</v>
          </cell>
        </row>
        <row r="722">
          <cell r="B722" t="str">
            <v>11-375-19-07</v>
          </cell>
          <cell r="C722" t="str">
            <v>GEFÄSSSCHERE, FEIN, SP/SP, GEB., 20 CM</v>
          </cell>
          <cell r="D722" t="str">
            <v>VASC. SCISSORS,  FINE, SH/SH, CVD., 20 CM</v>
          </cell>
        </row>
        <row r="723">
          <cell r="B723" t="str">
            <v>11-375-24-07</v>
          </cell>
          <cell r="C723" t="str">
            <v>GEFÄSSSCHERE, SATINSKY,  S-FORM, 25,5 CM</v>
          </cell>
          <cell r="D723" t="str">
            <v>VASC. SCISSORS,  SATINSKY,  S-SHP, 25.5 CM</v>
          </cell>
        </row>
        <row r="724">
          <cell r="B724" t="str">
            <v>11-379-45-07</v>
          </cell>
          <cell r="C724" t="str">
            <v>SCHERE, DIETHRICH-SALYER, GEW., 13 CM</v>
          </cell>
          <cell r="D724" t="str">
            <v>SCISSORS,  DIETHRICH-SALYER, ANG., 13 CM</v>
          </cell>
        </row>
        <row r="725">
          <cell r="B725" t="str">
            <v>11-380-25-07</v>
          </cell>
          <cell r="C725" t="str">
            <v>Schere, Dietrich-Potts, 10mm, 25°,18cm</v>
          </cell>
          <cell r="D725" t="str">
            <v>Scissors, Dietrich-Potts, 10mm,25°,18cm</v>
          </cell>
        </row>
        <row r="726">
          <cell r="B726" t="str">
            <v>11-380-45-07</v>
          </cell>
          <cell r="C726" t="str">
            <v>Schere, Dietrich-Potts, 10mm, 45°,18cm</v>
          </cell>
          <cell r="D726" t="str">
            <v>Scissors, Dietrich-Potts, 10mm,45°,18cm</v>
          </cell>
        </row>
        <row r="727">
          <cell r="B727" t="str">
            <v>11-380-60-07</v>
          </cell>
          <cell r="C727" t="str">
            <v>Schere, Dietrich-Potts, 10mm, 60°,18cm</v>
          </cell>
          <cell r="D727" t="str">
            <v>Scissors, Dietrich-Potts, 10mm,60°,18cm</v>
          </cell>
        </row>
        <row r="728">
          <cell r="B728" t="str">
            <v>11-380-90-07</v>
          </cell>
          <cell r="C728" t="str">
            <v>Schere, Dietrich-Potts, 10mm, 90°,18cm</v>
          </cell>
          <cell r="D728" t="str">
            <v>Scissors, Dietrich-Potts, 10mm,90°,18cm</v>
          </cell>
        </row>
        <row r="729">
          <cell r="B729" t="str">
            <v>11-381-00-07</v>
          </cell>
          <cell r="C729" t="str">
            <v>Schere, Dietrich-Potts, 10mm,125°,18cm</v>
          </cell>
          <cell r="D729" t="str">
            <v>Scissors, Dietrich-Potts, 10mm,125°,18cm</v>
          </cell>
        </row>
        <row r="730">
          <cell r="B730" t="str">
            <v>11-381-01-07</v>
          </cell>
          <cell r="C730" t="str">
            <v>GEFÄSSSCHERE, DIETHRICH, 125°, M. FÜHR.</v>
          </cell>
          <cell r="D730" t="str">
            <v>DIETRICH  SCISSORS  125 DEG WG</v>
          </cell>
        </row>
        <row r="731">
          <cell r="B731" t="str">
            <v>11-381-25-07</v>
          </cell>
          <cell r="C731" t="str">
            <v>SC-Schere,Dietrich-Potts,10mm,25°,18cm</v>
          </cell>
          <cell r="D731" t="str">
            <v>SC-Scissors,Dietrich-Potts,10mm,25°,18cm</v>
          </cell>
        </row>
        <row r="732">
          <cell r="B732" t="str">
            <v>11-381-45-07</v>
          </cell>
          <cell r="C732" t="str">
            <v>SC-Schere,Dietrich-Potts,10mm,45°,18cm</v>
          </cell>
          <cell r="D732" t="str">
            <v>SC-Scissors,Dietrich-Potts,10mm,45°,18cm</v>
          </cell>
        </row>
        <row r="733">
          <cell r="B733" t="str">
            <v>11-381-60-07</v>
          </cell>
          <cell r="C733" t="str">
            <v>SC-Schere,Dietrich-Potts,10mm,60°,18cm</v>
          </cell>
          <cell r="D733" t="str">
            <v>SC-Scissors,Dietrich-Potts,10mm,60°,18cm</v>
          </cell>
        </row>
        <row r="734">
          <cell r="B734" t="str">
            <v>11-381-90-07</v>
          </cell>
          <cell r="C734" t="str">
            <v>SC-Schere,Dietrich-Potts,10mm,90°,18cm</v>
          </cell>
          <cell r="D734" t="str">
            <v>SC-Scissors,Dietrich-Potts,10mm,90°,18cm</v>
          </cell>
        </row>
        <row r="735">
          <cell r="B735" t="str">
            <v>11-382-00-07</v>
          </cell>
          <cell r="C735" t="str">
            <v>SC-Schere,Dietrich-Potts,10mm,125°,18cm</v>
          </cell>
          <cell r="D735" t="str">
            <v>SC-Scissors,Dietr.-Potts,10mm,125°,18cm</v>
          </cell>
        </row>
        <row r="736">
          <cell r="B736" t="str">
            <v>11-382-25-07</v>
          </cell>
          <cell r="C736" t="str">
            <v>Schere, Dietrich-Potts, 7mm, 25°, 18cm</v>
          </cell>
          <cell r="D736" t="str">
            <v>Scissors, Dietrich-Potts, 7mm,25°,18cm</v>
          </cell>
        </row>
        <row r="737">
          <cell r="B737" t="str">
            <v>11-382-45-07</v>
          </cell>
          <cell r="C737" t="str">
            <v>Schere, Dietrich-Potts, 7mm, 45°, 18cm</v>
          </cell>
          <cell r="D737" t="str">
            <v>Scissors, Dietrich-Potts, 7mm,45°,18cm</v>
          </cell>
        </row>
        <row r="738">
          <cell r="B738" t="str">
            <v>11-382-60-07</v>
          </cell>
          <cell r="C738" t="str">
            <v>Schere, Dietrich-Potts, 7mm, 60°, 18cm</v>
          </cell>
          <cell r="D738" t="str">
            <v>Scissors, Dietrich-Potts, 7mm,60°,18cm</v>
          </cell>
        </row>
        <row r="739">
          <cell r="B739" t="str">
            <v>11-382-90-07</v>
          </cell>
          <cell r="C739" t="str">
            <v>Schere, Dietrich-Potts, 7mm, 90°, 18cm</v>
          </cell>
          <cell r="D739" t="str">
            <v>Scissors, Dietrich-Potts, 7mm,90°,18cm</v>
          </cell>
        </row>
        <row r="740">
          <cell r="B740" t="str">
            <v>11-383-01-07</v>
          </cell>
          <cell r="C740" t="str">
            <v>Schere, Dietrich-Potts, 7mm, 125°,18cm</v>
          </cell>
          <cell r="D740" t="str">
            <v>Scissors, Dietrich-Potts, 7mm,125°18cm</v>
          </cell>
        </row>
        <row r="741">
          <cell r="B741" t="str">
            <v>11-383-25-07</v>
          </cell>
          <cell r="C741" t="str">
            <v>SC-Schere,Dietrich-Potts,7mm,25°,18cm</v>
          </cell>
          <cell r="D741" t="str">
            <v>SC-Scissors,Dietrich-Potts,7mm,25°,18cm</v>
          </cell>
        </row>
        <row r="742">
          <cell r="B742" t="str">
            <v>11-383-45-07</v>
          </cell>
          <cell r="C742" t="str">
            <v>SC-Schere,Dietrich-Potts,7mm,45°,18cm</v>
          </cell>
          <cell r="D742" t="str">
            <v>SC-Scissors,Dietrich-Potts,7mm,45°,18cm</v>
          </cell>
        </row>
        <row r="743">
          <cell r="B743" t="str">
            <v>11-383-60-07</v>
          </cell>
          <cell r="C743" t="str">
            <v>SC-Schere,Dietrich-Potts,7mm,60°,18cm</v>
          </cell>
          <cell r="D743" t="str">
            <v>SC-Scissors,Dietrich-Potts,7mm,60°,18cm</v>
          </cell>
        </row>
        <row r="744">
          <cell r="B744" t="str">
            <v>11-383-90-07</v>
          </cell>
          <cell r="C744" t="str">
            <v>SC-Schere,Dietrich-Potts,7mm,90°,18cm</v>
          </cell>
          <cell r="D744" t="str">
            <v>SC-Scissors,Dietrich-Potts,7mm,90°,18cm</v>
          </cell>
        </row>
        <row r="745">
          <cell r="B745" t="str">
            <v>11-384-00-07</v>
          </cell>
          <cell r="C745" t="str">
            <v>SC-Schere,Dietrich-Potts,7mm,125°,18cm</v>
          </cell>
          <cell r="D745" t="str">
            <v>SC-Scissors,Dietrich-Potts,7mm,125°,18cm</v>
          </cell>
        </row>
        <row r="746">
          <cell r="B746" t="str">
            <v>11-384-25-07</v>
          </cell>
          <cell r="C746" t="str">
            <v>Coronarschere, 25°, 10 mm, fl., 21 cm</v>
          </cell>
          <cell r="D746" t="str">
            <v>Coronary  scissors, 25°, 10mm, fl, 21 cm</v>
          </cell>
        </row>
        <row r="747">
          <cell r="B747" t="str">
            <v>11-384-45-07</v>
          </cell>
          <cell r="C747" t="str">
            <v>Coronarschere, 45°, 10 mm, fl., 21 cm</v>
          </cell>
          <cell r="D747" t="str">
            <v>Coronary  scissors, 45°, 10mm, fl, 21 cm</v>
          </cell>
        </row>
        <row r="748">
          <cell r="B748" t="str">
            <v>11-384-60-07</v>
          </cell>
          <cell r="C748" t="str">
            <v>Coronarschere, 60°, 10 mm, fl., 21 cm</v>
          </cell>
          <cell r="D748" t="str">
            <v>Coronary  scissors, 60°, 10mm, fl, 21 cm</v>
          </cell>
        </row>
        <row r="749">
          <cell r="B749" t="str">
            <v>11-384-90-07</v>
          </cell>
          <cell r="C749" t="str">
            <v>Coronarschere, 90°, 10 mm, fl., 21 cm</v>
          </cell>
          <cell r="D749" t="str">
            <v>Coronary  scissors, 90°, 10mm, fl, 21 cm</v>
          </cell>
        </row>
        <row r="750">
          <cell r="B750" t="str">
            <v>11-385-00-07</v>
          </cell>
          <cell r="C750" t="str">
            <v>Coronarschere, 125°, 10 mm, fl., 21 cm</v>
          </cell>
          <cell r="D750" t="str">
            <v>Coronary  scissors, 125°, 10mm, fl, 21cm</v>
          </cell>
        </row>
        <row r="751">
          <cell r="B751" t="str">
            <v>11-386-25-07</v>
          </cell>
          <cell r="C751" t="str">
            <v>Schere,Dietrich-Hegemann,15mm,25°,18cm</v>
          </cell>
          <cell r="D751" t="str">
            <v>Scissors,Dietrich-Hegemann,15mm,25°,18cm</v>
          </cell>
        </row>
        <row r="752">
          <cell r="B752" t="str">
            <v>11-386-45-07</v>
          </cell>
          <cell r="C752" t="str">
            <v>Schere,Dietrich-Hegemann,15mm,45°,18cm</v>
          </cell>
          <cell r="D752" t="str">
            <v>Scissors,Dietrich-Hegemann,15mm,45°,18cm</v>
          </cell>
        </row>
        <row r="753">
          <cell r="B753" t="str">
            <v>11-386-60-07</v>
          </cell>
          <cell r="C753" t="str">
            <v>Schere,Dietrich-Hegemann,15mm,60°,18cm</v>
          </cell>
          <cell r="D753" t="str">
            <v>Scissors,Dietrich-Hegemann,15mm,60°,18cm</v>
          </cell>
        </row>
        <row r="754">
          <cell r="B754" t="str">
            <v>11-386-90-07</v>
          </cell>
          <cell r="C754" t="str">
            <v>Schere,Dietrich-Hegemann,15mm,90°,18cm</v>
          </cell>
          <cell r="D754" t="str">
            <v>Scissors,Dietrich-Hegemann,15mm,90°,18cm</v>
          </cell>
        </row>
        <row r="755">
          <cell r="B755" t="str">
            <v>11-387-00-07</v>
          </cell>
          <cell r="C755" t="str">
            <v>Schere,Dietrich-Hegemann,15mm,125°,18cm</v>
          </cell>
          <cell r="D755" t="str">
            <v>Scissors,Dietr.-Hegemann,15mm,125°,18cm</v>
          </cell>
        </row>
        <row r="756">
          <cell r="B756" t="str">
            <v>11-387-25-07</v>
          </cell>
          <cell r="C756" t="str">
            <v>Schere,Dietrich-Hegemann,15mm,25°,14 cm</v>
          </cell>
          <cell r="D756" t="str">
            <v>Scissors,Dietrich-Hegemann,15mm,25°,14cm</v>
          </cell>
        </row>
        <row r="757">
          <cell r="B757" t="str">
            <v>11-387-45-07</v>
          </cell>
          <cell r="C757" t="str">
            <v>Schere,Dietrich-Hegemann,15mm,45°,14 cm</v>
          </cell>
          <cell r="D757" t="str">
            <v>Scissors,Dietrich-Hegemann,15mm,45°,14cm</v>
          </cell>
        </row>
        <row r="758">
          <cell r="B758" t="str">
            <v>11-387-60-07</v>
          </cell>
          <cell r="C758" t="str">
            <v>Schere,Dietrich-Hegemann,15mm,60°,14 cm</v>
          </cell>
          <cell r="D758" t="str">
            <v>Scissors,Dietrich-Hegemann,15mm,60°,14cm</v>
          </cell>
        </row>
        <row r="759">
          <cell r="B759" t="str">
            <v>11-387-90-07</v>
          </cell>
          <cell r="C759" t="str">
            <v>Schere,Dietrich-Hegemann,15mm,90°,14 cm</v>
          </cell>
          <cell r="D759" t="str">
            <v>Scissors,Dietrich-Hegemann,15mm,90°,14cm</v>
          </cell>
        </row>
        <row r="760">
          <cell r="B760" t="str">
            <v>11-388-00-07</v>
          </cell>
          <cell r="C760" t="str">
            <v>Schere,Dietrich-Hegemann,15mm,125°,14cm</v>
          </cell>
          <cell r="D760" t="str">
            <v>Scissors,Dietr.-Hegemann,15mm,125°,14cm</v>
          </cell>
        </row>
        <row r="761">
          <cell r="B761" t="str">
            <v>11-390-45-07</v>
          </cell>
          <cell r="C761" t="str">
            <v>GEFÄSSSCHERE, 45°, 16,5 CM</v>
          </cell>
          <cell r="D761" t="str">
            <v>VASCULAR  SCISSORS,  45°, 16.5 CM</v>
          </cell>
        </row>
        <row r="762">
          <cell r="B762" t="str">
            <v>11-390-60-07</v>
          </cell>
          <cell r="C762" t="str">
            <v>GEFÄSSSCHERE, 60°, 16 CM</v>
          </cell>
          <cell r="D762" t="str">
            <v>VASCULAR  SCISSORS,  60°, 16 CM</v>
          </cell>
        </row>
        <row r="763">
          <cell r="B763" t="str">
            <v>11-391-19-07</v>
          </cell>
          <cell r="C763" t="str">
            <v>WINKELSCHERE, 60°, M. KNOPF, 18 CM</v>
          </cell>
          <cell r="D763" t="str">
            <v>SCISSORS,  ANGLED 60°, BUTTON END, 18 CM</v>
          </cell>
        </row>
        <row r="764">
          <cell r="B764" t="str">
            <v>11-393-19-07</v>
          </cell>
          <cell r="C764" t="str">
            <v>WINKELSCHERE, 60°, 18 CM</v>
          </cell>
          <cell r="D764" t="str">
            <v>SCISSORS,  ANGLED 60°, 18 CM</v>
          </cell>
        </row>
        <row r="765">
          <cell r="B765" t="str">
            <v>11-394-19-07</v>
          </cell>
          <cell r="C765" t="str">
            <v>WINKELSCHERE, 40°, 18,5 CM</v>
          </cell>
          <cell r="D765" t="str">
            <v>SCISSORS,  ANGLED 40°, 18.5 CM</v>
          </cell>
        </row>
        <row r="766">
          <cell r="B766" t="str">
            <v>11-395-19-07</v>
          </cell>
          <cell r="C766" t="str">
            <v>WINKELSCHERE, 25°, 19 CM</v>
          </cell>
          <cell r="D766" t="str">
            <v>SCISSORS,  ANGLED 25°, 19 CM</v>
          </cell>
        </row>
        <row r="767">
          <cell r="B767" t="str">
            <v>11-396-19-07</v>
          </cell>
          <cell r="C767" t="str">
            <v>TC-Schere,  Potts-Smith, 18 cm</v>
          </cell>
          <cell r="D767" t="str">
            <v>TC-scissors, Potts-Smith, 18 cm</v>
          </cell>
        </row>
        <row r="768">
          <cell r="B768" t="str">
            <v>11-397-19-07</v>
          </cell>
          <cell r="C768" t="str">
            <v>SCHERE, POTTS, AUFGEW.,  19,5 CM</v>
          </cell>
          <cell r="D768" t="str">
            <v>SCISSORS,  POTTS, ANGLED UPW., 19.5 CM</v>
          </cell>
        </row>
        <row r="769">
          <cell r="B769" t="str">
            <v>11-398-19-07</v>
          </cell>
          <cell r="C769" t="str">
            <v>TC-Schere,  Potts-Smith, 18,5 cm</v>
          </cell>
          <cell r="D769" t="str">
            <v>TC-scissors, Potts-Smith, 18,5 cm</v>
          </cell>
        </row>
        <row r="770">
          <cell r="B770" t="str">
            <v>11-400-25-07</v>
          </cell>
          <cell r="C770" t="str">
            <v>CORONARSCHERE, 25°, BLATT 10 MM, 18 CM</v>
          </cell>
          <cell r="D770" t="str">
            <v>CORONARY SCISSORS,  25°, 10 MM, 18 CM</v>
          </cell>
        </row>
        <row r="771">
          <cell r="B771" t="str">
            <v>11-400-45-07</v>
          </cell>
          <cell r="C771" t="str">
            <v>CORONARSCHERE, 45°, BLATT 10 MM, 18 CM</v>
          </cell>
          <cell r="D771" t="str">
            <v>CORONARY SCISSORS,  45°, 10 MM, 18 CM</v>
          </cell>
        </row>
        <row r="772">
          <cell r="B772" t="str">
            <v>11-400-60-07</v>
          </cell>
          <cell r="C772" t="str">
            <v>CORONARSCHERE, 60°, BLATT 10 MM, 18 CM</v>
          </cell>
          <cell r="D772" t="str">
            <v>CORONARY SCISSORS,  60°, 10 MM, 18 CM</v>
          </cell>
        </row>
        <row r="773">
          <cell r="B773" t="str">
            <v>11-400-90-07</v>
          </cell>
          <cell r="C773" t="str">
            <v>CORONARSCHERE, 90°, BLATT 10 MM, 18 CM</v>
          </cell>
          <cell r="D773" t="str">
            <v>CORONARY SCISSORS,  90°, 10 MM, 18 CM</v>
          </cell>
        </row>
        <row r="774">
          <cell r="B774" t="str">
            <v>11-401-00-07</v>
          </cell>
          <cell r="C774" t="str">
            <v>CORONARSCHERE, 125°, BLATT 10 MM, 18 CM</v>
          </cell>
          <cell r="D774" t="str">
            <v>CORONARY SCISSORS,  125°, 10 MM, 18 CM</v>
          </cell>
        </row>
        <row r="775">
          <cell r="B775" t="str">
            <v>11-412-25-07</v>
          </cell>
          <cell r="C775" t="str">
            <v>Coronarschere, 25°, 10 mm, rund, 18 cm</v>
          </cell>
          <cell r="D775" t="str">
            <v>Coronary  scissors, 25°, 10 mm, rd, 18 cm</v>
          </cell>
        </row>
        <row r="776">
          <cell r="B776" t="str">
            <v>11-412-45-07</v>
          </cell>
          <cell r="C776" t="str">
            <v>Coronarschere, 45°, 10 mm, rund, 18 cm</v>
          </cell>
          <cell r="D776" t="str">
            <v>Coronary  scissors, 45°, 10 mm, rd, 18 cm</v>
          </cell>
        </row>
        <row r="777">
          <cell r="B777" t="str">
            <v>11-412-60-07</v>
          </cell>
          <cell r="C777" t="str">
            <v>Coronarschere, 60°, 10 mm, rund, 18 cm</v>
          </cell>
          <cell r="D777" t="str">
            <v>Coronary  scissors, 60°, 10 mm, rd, 18 cm</v>
          </cell>
        </row>
        <row r="778">
          <cell r="B778" t="str">
            <v>11-412-90-07</v>
          </cell>
          <cell r="C778" t="str">
            <v>Coronarschere, 90°, 10 mm, rund, 18 cm</v>
          </cell>
          <cell r="D778" t="str">
            <v>Coronary  scissors, 90°, 10 mm, rd, 18 cm</v>
          </cell>
        </row>
        <row r="779">
          <cell r="B779" t="str">
            <v>11-413-00-07</v>
          </cell>
          <cell r="C779" t="str">
            <v>Coronarschere, 125°, 10 mm, rund, 18 cm</v>
          </cell>
          <cell r="D779" t="str">
            <v>Coronary  sciss., 125°, 10 mm, rd, 18 cm</v>
          </cell>
        </row>
        <row r="780">
          <cell r="B780" t="str">
            <v>11-419-90-07</v>
          </cell>
          <cell r="C780" t="str">
            <v>GEFÄSSSCHERE, FAVALORO, 14,5 CM</v>
          </cell>
          <cell r="D780" t="str">
            <v>VASCULAR  SCISSORS,  FAVALORO, 14.5 CM</v>
          </cell>
        </row>
        <row r="781">
          <cell r="B781" t="str">
            <v>11-420-11-07</v>
          </cell>
          <cell r="C781" t="str">
            <v>GEFÄSSSCHERE M. KNOPF, GER., 12 CM</v>
          </cell>
          <cell r="D781" t="str">
            <v>VASCULAR  SCISSORS,  BUTTON,  STR., 12 CM</v>
          </cell>
        </row>
        <row r="782">
          <cell r="B782" t="str">
            <v>11-436-25-07</v>
          </cell>
          <cell r="C782" t="str">
            <v>Coronarschere, 25°, 10 mm, rd., 21 cm</v>
          </cell>
          <cell r="D782" t="str">
            <v>Coronary  scissors, 25°, 10mm, rd, 21 cm</v>
          </cell>
        </row>
        <row r="783">
          <cell r="B783" t="str">
            <v>11-436-45-07</v>
          </cell>
          <cell r="C783" t="str">
            <v>Coronarschere, 45°, 10 mm, rd., 21 cm</v>
          </cell>
          <cell r="D783" t="str">
            <v>Coronary  scissors, 45°, 10mm, rd, 21 cm</v>
          </cell>
        </row>
        <row r="784">
          <cell r="B784" t="str">
            <v>11-436-60-07</v>
          </cell>
          <cell r="C784" t="str">
            <v>Coronarschere, 60°, 10 mm, rd., 21 cm</v>
          </cell>
          <cell r="D784" t="str">
            <v>Coronary  scissors, 60°, 10mm, rd, 21 cm</v>
          </cell>
        </row>
        <row r="785">
          <cell r="B785" t="str">
            <v>11-436-90-07</v>
          </cell>
          <cell r="C785" t="str">
            <v>Coronarschere, 90°, 10 mm, rd., 21 cm</v>
          </cell>
          <cell r="D785" t="str">
            <v>Coronary  scissors, 90°, 10mm, rd, 21 cm</v>
          </cell>
        </row>
        <row r="786">
          <cell r="B786" t="str">
            <v>11-437-00-07</v>
          </cell>
          <cell r="C786" t="str">
            <v>Coronarschere, 125°, 10 mm, rd., 21 cm</v>
          </cell>
          <cell r="D786" t="str">
            <v>Coronary  scissors, 125°, 10mm, rd, 21cm</v>
          </cell>
        </row>
        <row r="787">
          <cell r="B787" t="str">
            <v>11-445-22-07</v>
          </cell>
          <cell r="C787" t="str">
            <v>SCHERE, STRULLY,  ST/ST, GEB., 22 CM</v>
          </cell>
          <cell r="D787" t="str">
            <v>SCISSORS,  STRULLY,  BL/BL, CVD., 22 CM</v>
          </cell>
        </row>
        <row r="788">
          <cell r="B788" t="str">
            <v>11-446-22-07</v>
          </cell>
          <cell r="C788" t="str">
            <v>Schere, Strully, sp/sp, geb., 22 cm</v>
          </cell>
          <cell r="D788" t="str">
            <v>Scissors, Strully, pd/pd, cvd., 22 cm</v>
          </cell>
        </row>
        <row r="789">
          <cell r="B789" t="str">
            <v>11-455-17-07</v>
          </cell>
          <cell r="C789" t="str">
            <v>Schere, Schmieden-Taylor, 16,5 cm</v>
          </cell>
          <cell r="D789" t="str">
            <v>Scissor, Schmieden-Taylor, 16.5 cm</v>
          </cell>
        </row>
        <row r="790">
          <cell r="B790" t="str">
            <v>11-459-17-07</v>
          </cell>
          <cell r="C790" t="str">
            <v>SCHERE, TOENNIS-ADSON, GEB., 17,5 CM</v>
          </cell>
          <cell r="D790" t="str">
            <v>SCISSORS,  TOENNIS-ADSON, CVD., 17.5 CM</v>
          </cell>
        </row>
        <row r="791">
          <cell r="B791" t="str">
            <v>11-475-23-07</v>
          </cell>
          <cell r="C791" t="str">
            <v>SCHERE, OLIVECRONA, KNIEGEB.,  13 CM</v>
          </cell>
          <cell r="D791" t="str">
            <v>SCISSORS,  OLIVECRONA, KNEE BENT, 13 CM</v>
          </cell>
        </row>
        <row r="792">
          <cell r="B792" t="str">
            <v>11-495-17-07</v>
          </cell>
          <cell r="C792" t="str">
            <v>SCHERE, DEAN, AUFGEW.,  17,5 CM</v>
          </cell>
          <cell r="D792" t="str">
            <v>SCISSORS,  DEAN, ANGLED UPW., 17.5 CM</v>
          </cell>
        </row>
        <row r="793">
          <cell r="B793" t="str">
            <v>11-497-17-07</v>
          </cell>
          <cell r="C793" t="str">
            <v>SCHERE, DEAN, GEZ., AUFGEW.,  17,5 CM</v>
          </cell>
          <cell r="D793" t="str">
            <v>SCISSORS,  DEAN, SERR., ANG. UP., 17.5 CM</v>
          </cell>
        </row>
        <row r="794">
          <cell r="B794" t="str">
            <v>11-499-19-07</v>
          </cell>
          <cell r="C794" t="str">
            <v>TONSILLENSCHERE, GOOD, GEB., 19,5 CM</v>
          </cell>
          <cell r="D794" t="str">
            <v>TONSIL SCISSORS,  GOOD, CVD., 19.5 CM</v>
          </cell>
        </row>
        <row r="795">
          <cell r="B795" t="str">
            <v>11-503-15-07</v>
          </cell>
          <cell r="C795" t="str">
            <v>TC-NASENSCHERE, FOMON, GEB., 14,5 CM</v>
          </cell>
          <cell r="D795" t="str">
            <v>TC-NASAL  SCISSORS,  FOMON, CVD., 14.5 CM</v>
          </cell>
        </row>
        <row r="796">
          <cell r="B796" t="str">
            <v>11-505-16-07</v>
          </cell>
          <cell r="C796" t="str">
            <v>TC-NASENSCHERE, Cottle, GEB., 16 CM</v>
          </cell>
          <cell r="D796" t="str">
            <v>TC-NASAL  SCISSORS,  Cottle, CVD., 16 CM</v>
          </cell>
        </row>
        <row r="797">
          <cell r="B797" t="str">
            <v>11-507-15-07</v>
          </cell>
          <cell r="C797" t="str">
            <v>NASENSCHERE, FOMON, KNIEGEB.,  14 CM</v>
          </cell>
          <cell r="D797" t="str">
            <v>NASAL SCISSORS,  FOMON, KNEE BENT, 14 CM</v>
          </cell>
        </row>
        <row r="798">
          <cell r="B798" t="str">
            <v>11-508-12-07</v>
          </cell>
          <cell r="C798" t="str">
            <v>Schere, Faden, Littler, 12 cm</v>
          </cell>
          <cell r="D798" t="str">
            <v>Scissor, Faden, Littler, 12 cm</v>
          </cell>
        </row>
        <row r="799">
          <cell r="B799" t="str">
            <v>11-509-10-07</v>
          </cell>
          <cell r="C799" t="str">
            <v>Schere, Nase ,Cottle-M.,  sp., geb., 10cm</v>
          </cell>
          <cell r="D799" t="str">
            <v>Scissor, Nose, Cottle-M.,  sh., cvd.,10cm</v>
          </cell>
        </row>
        <row r="800">
          <cell r="B800" t="str">
            <v>11-509-13-07</v>
          </cell>
          <cell r="C800" t="str">
            <v>Schere, Nase, Fomon, geb., 12,5 cm</v>
          </cell>
          <cell r="D800" t="str">
            <v>Scissor, Nose, Fomon, cvd., 12,5 cm</v>
          </cell>
        </row>
        <row r="801">
          <cell r="B801" t="str">
            <v>11-509-14-07</v>
          </cell>
          <cell r="C801" t="str">
            <v>Schere, Nase, Converse,  ger., 13,5 cm</v>
          </cell>
          <cell r="D801" t="str">
            <v>Scissor, Nose, Converse,  str., 13,5 cm</v>
          </cell>
        </row>
        <row r="802">
          <cell r="B802" t="str">
            <v>11-509-16-07</v>
          </cell>
          <cell r="C802" t="str">
            <v>NASENSCHERE, COTTLE, KNIEGEB.,  15,5 CM</v>
          </cell>
          <cell r="D802" t="str">
            <v>NASAL SCISSORS,  COTTLE, 15.5 CM</v>
          </cell>
        </row>
        <row r="803">
          <cell r="B803" t="str">
            <v>11-509-18-07</v>
          </cell>
          <cell r="C803" t="str">
            <v>Schere, Nase, Cottle, abgew., 18 cm</v>
          </cell>
          <cell r="D803" t="str">
            <v>Scissor, Nose, Cottle, angl., 18 cm</v>
          </cell>
        </row>
        <row r="804">
          <cell r="B804" t="str">
            <v>11-510-20-07</v>
          </cell>
          <cell r="C804" t="str">
            <v>Schere, Nase, Heymann,  abgew., 20 cm</v>
          </cell>
          <cell r="D804" t="str">
            <v>Scissor, Nose, Heymann,  angl., 20 cm</v>
          </cell>
        </row>
        <row r="805">
          <cell r="B805" t="str">
            <v>11-511-10-07</v>
          </cell>
          <cell r="C805" t="str">
            <v>Schere, Nase, Cottle-M.,  st., geb., 10cm</v>
          </cell>
          <cell r="D805" t="str">
            <v>Scissor, Nose, Cottle-M.,  bl., cvd.,10cm</v>
          </cell>
        </row>
        <row r="806">
          <cell r="B806" t="str">
            <v>11-511-18-07</v>
          </cell>
          <cell r="C806" t="str">
            <v>NASENSCHERE, HEYMANN, KNIEGEB.,  18 CM</v>
          </cell>
          <cell r="D806" t="str">
            <v>NASAL SCISSORS,  HEYMANN, 18 CM</v>
          </cell>
        </row>
        <row r="807">
          <cell r="B807" t="str">
            <v>11-513-13-07</v>
          </cell>
          <cell r="C807" t="str">
            <v>TC-Schere,  Nase, Giunta, geb., 13,5 cm</v>
          </cell>
          <cell r="D807" t="str">
            <v>TC-Scissor,  Nose, Giunta, cvd., 13,5 cm</v>
          </cell>
        </row>
        <row r="808">
          <cell r="B808" t="str">
            <v>11-513-14-07</v>
          </cell>
          <cell r="C808" t="str">
            <v>Schere, Nase, Aufricht, geb., 14 cm</v>
          </cell>
          <cell r="D808" t="str">
            <v>Scissor, Nose, Aufricht, cvd., 14 cm</v>
          </cell>
        </row>
        <row r="809">
          <cell r="B809" t="str">
            <v>11-513-18-07</v>
          </cell>
          <cell r="C809" t="str">
            <v>NASENSCHERE, HEYMANN, GEZ., 18 CM</v>
          </cell>
          <cell r="D809" t="str">
            <v>NASAL SCISSORS,  HEYMANN, SERR., 18 CM</v>
          </cell>
        </row>
        <row r="810">
          <cell r="B810" t="str">
            <v>11-514-19-07</v>
          </cell>
          <cell r="C810" t="str">
            <v>Schere, Knorpel, McIndoe,  ger., 19 cm</v>
          </cell>
          <cell r="D810" t="str">
            <v>Scissor, Cart., McIndoe,  str., 19 cm</v>
          </cell>
        </row>
        <row r="811">
          <cell r="B811" t="str">
            <v>11-517-11-07</v>
          </cell>
          <cell r="C811" t="str">
            <v>SCHERE, CONVERSE, ST/ST, 10,5 CM</v>
          </cell>
          <cell r="D811" t="str">
            <v>SCISSORS,  CONVERSE, BL/BL, 10.5 CM</v>
          </cell>
        </row>
        <row r="812">
          <cell r="B812" t="str">
            <v>11-519-11-07</v>
          </cell>
          <cell r="C812" t="str">
            <v>SCHERE, CONVERSE, SP/SP, 10,5 CM</v>
          </cell>
          <cell r="D812" t="str">
            <v>SCISSORS,  CONVERSE, SH/SH, 10.5 CM</v>
          </cell>
        </row>
        <row r="813">
          <cell r="B813" t="str">
            <v>11-531-18-07</v>
          </cell>
          <cell r="C813" t="str">
            <v>EPISIOTOMIESCHERE, WALDMANN, 18 CM</v>
          </cell>
          <cell r="D813" t="str">
            <v>EPISIOTOMY SCISSORS,  WALDMANN, 18 CM</v>
          </cell>
        </row>
        <row r="814">
          <cell r="B814" t="str">
            <v>11-535-14-07</v>
          </cell>
          <cell r="C814" t="str">
            <v>DAMMSCHERE, BRAUN-STADLER, 14,5 CM</v>
          </cell>
          <cell r="D814" t="str">
            <v>PERINEUM  SCISS., BRAUN-STADLER, 14.5 CM</v>
          </cell>
        </row>
        <row r="815">
          <cell r="B815" t="str">
            <v>11-537-22-07</v>
          </cell>
          <cell r="C815" t="str">
            <v>DAMMSCHERE, BRAUN-STADLER, 22 CM</v>
          </cell>
          <cell r="D815" t="str">
            <v>PERINEUM  SCISS., BRAUN-STADLER, 22 CM</v>
          </cell>
        </row>
        <row r="816">
          <cell r="B816" t="str">
            <v>11-545-10-07</v>
          </cell>
          <cell r="C816" t="str">
            <v>NABELSCHNURSCHERE, MOD. USA, 10,5 CM</v>
          </cell>
          <cell r="D816" t="str">
            <v>UMBILICAL  SCISSORS,  US TYPE, 10.5 CM</v>
          </cell>
        </row>
        <row r="817">
          <cell r="B817" t="str">
            <v>11-547-16-07</v>
          </cell>
          <cell r="C817" t="str">
            <v>NABELSCHNURSCHERE, SCHUHMACHER, 15,5 CM</v>
          </cell>
          <cell r="D817" t="str">
            <v>UMBILICAL  SCISSORS,  SCHUHMACHER, 15.5 CM</v>
          </cell>
        </row>
        <row r="818">
          <cell r="B818" t="str">
            <v>11-551-16-07</v>
          </cell>
          <cell r="C818" t="str">
            <v>NABELSCHNURSCHERE, BUSCH, 16 CM</v>
          </cell>
          <cell r="D818" t="str">
            <v>UMBILICAL  SCISSORS,  BUSCH, 16 CM</v>
          </cell>
        </row>
        <row r="819">
          <cell r="B819" t="str">
            <v>11-553-16-07</v>
          </cell>
          <cell r="C819" t="str">
            <v>NABELSCHNURSCHERE, BUSCH, GEZ., 16 CM</v>
          </cell>
          <cell r="D819" t="str">
            <v>UMBILICAL  SCISSORS,  BUSCH, SERR., 16 CM</v>
          </cell>
        </row>
        <row r="820">
          <cell r="B820" t="str">
            <v>11-566-13-07</v>
          </cell>
          <cell r="C820" t="str">
            <v>SCHERE, GOLDMANN-FOX, GER., GEZ., 13 CM</v>
          </cell>
          <cell r="D820" t="str">
            <v>SCISSORS,  GOLDM.-FOX, STR., SERR., 13 CM</v>
          </cell>
        </row>
        <row r="821">
          <cell r="B821" t="str">
            <v>11-567-13-07</v>
          </cell>
          <cell r="C821" t="str">
            <v>SCHERE, GOLDMANN-FOX, GEB., GEZ., 13 CM</v>
          </cell>
          <cell r="D821" t="str">
            <v>SCISSORS,  GOLDM.-FOX, CVD., SERR., 13 CM</v>
          </cell>
        </row>
        <row r="822">
          <cell r="B822" t="str">
            <v>11-570-12-07</v>
          </cell>
          <cell r="C822" t="str">
            <v>SCHERE, WAGNER,  SP/SP, GER., 12 CM</v>
          </cell>
          <cell r="D822" t="str">
            <v>SCISSORS,  WAGNER,  SH/SH, STR., 12 CM</v>
          </cell>
        </row>
        <row r="823">
          <cell r="B823" t="str">
            <v>11-571-12-07</v>
          </cell>
          <cell r="C823" t="str">
            <v>SCHERE, WAGNER,  SP/SP, GEB., 12 CM</v>
          </cell>
          <cell r="D823" t="str">
            <v>SCISSORS,  WAGNER,  SH/SH, CVD., 12 CM</v>
          </cell>
        </row>
        <row r="824">
          <cell r="B824" t="str">
            <v>11-582-12-07</v>
          </cell>
          <cell r="C824" t="str">
            <v>FEINE SCHERE, SP/ST, GER., 12 CM</v>
          </cell>
          <cell r="D824" t="str">
            <v>SCISSORS,  DELICATE,  SH/BL, STR., 12 CM</v>
          </cell>
        </row>
        <row r="825">
          <cell r="B825" t="str">
            <v>11-584-12-07</v>
          </cell>
          <cell r="C825" t="str">
            <v>FEINE SCHERE, SP/SP, GER., 12 CM</v>
          </cell>
          <cell r="D825" t="str">
            <v>SCISSORS,  DELICATE,  SH/SH, STR., 12 CM</v>
          </cell>
        </row>
        <row r="826">
          <cell r="B826" t="str">
            <v>11-587-12-07</v>
          </cell>
          <cell r="C826" t="str">
            <v>FEINE SCHERE, SP/ST, GEB., 12 CM</v>
          </cell>
          <cell r="D826" t="str">
            <v>SCISSORS,  DELICATE,  SH/BL, CVD., 12 CM</v>
          </cell>
        </row>
        <row r="827">
          <cell r="B827" t="str">
            <v>11-589-12-07</v>
          </cell>
          <cell r="C827" t="str">
            <v>FEINE SCHERE, SP/SP, GEB., 12 CM</v>
          </cell>
          <cell r="D827" t="str">
            <v>SCISSORS,  DELICATE,  SH/SH, CVD., 12 CM</v>
          </cell>
        </row>
        <row r="828">
          <cell r="B828" t="str">
            <v>11-593-11-07</v>
          </cell>
          <cell r="C828" t="str">
            <v>ZAHNFLEISCHSCHERE, S-FORM, 11,5 CM</v>
          </cell>
          <cell r="D828" t="str">
            <v>GUM SCISSORS,  S-SHAPE,  11.5 CM</v>
          </cell>
        </row>
        <row r="829">
          <cell r="B829" t="str">
            <v>11-594-11-07</v>
          </cell>
          <cell r="C829" t="str">
            <v>FEINE SCHERE, ST/ST, GER., 11,5 CM</v>
          </cell>
          <cell r="D829" t="str">
            <v>SCISSORS,  DELICATE,  BL/BL, STR., 11.5 CM</v>
          </cell>
        </row>
        <row r="830">
          <cell r="B830" t="str">
            <v>11-595-11-07</v>
          </cell>
          <cell r="C830" t="str">
            <v>FEINE SCHERE, ST/ST, GEB., 11,5 CM</v>
          </cell>
          <cell r="D830" t="str">
            <v>SCISSORS,  DELICATE,  BL/BL, CVD., 11.5 CM</v>
          </cell>
        </row>
        <row r="831">
          <cell r="B831" t="str">
            <v>11-605-16-07</v>
          </cell>
          <cell r="C831" t="str">
            <v>SCHERE, LOCKLIN,  ABGEW. GEZ., 16 CM</v>
          </cell>
          <cell r="D831" t="str">
            <v>SCISSORS,  LOCKLIN,  ANGLED,  SERR., 16 CM</v>
          </cell>
        </row>
        <row r="832">
          <cell r="B832" t="str">
            <v>11-607-16-07</v>
          </cell>
          <cell r="C832" t="str">
            <v>SCHERE, LOCKLIN,  GEB., GEZ., 16 CM</v>
          </cell>
          <cell r="D832" t="str">
            <v>SCISSORS,  LOCKLIN,  CVD., SERR., 16 CM</v>
          </cell>
        </row>
        <row r="833">
          <cell r="B833" t="str">
            <v>11-618-08-07</v>
          </cell>
          <cell r="C833" t="str">
            <v>FEINE SCHERE, SP/SP, GER., 9 CM</v>
          </cell>
          <cell r="D833" t="str">
            <v>SCISSORS,  DELICATE,  SH/SH, STR., 9 CM</v>
          </cell>
        </row>
        <row r="834">
          <cell r="B834" t="str">
            <v>11-619-08-07</v>
          </cell>
          <cell r="C834" t="str">
            <v>FEINE SCHERE, SP/SP, GEB., 9 CM</v>
          </cell>
          <cell r="D834" t="str">
            <v>SCISSORS,  DELICATE,  SH/SH, CVD., 9 CM</v>
          </cell>
        </row>
        <row r="835">
          <cell r="B835" t="str">
            <v>11-620-09-07</v>
          </cell>
          <cell r="C835" t="str">
            <v>IRISSCHERE, SP/SP, GER., 9 CM</v>
          </cell>
          <cell r="D835" t="str">
            <v>IRIS SCISSORS,  SH/SH, STR., 9 CM</v>
          </cell>
        </row>
        <row r="836">
          <cell r="B836" t="str">
            <v>11-620-10-07</v>
          </cell>
          <cell r="C836" t="str">
            <v>IRISSCHERE, SP/SP, GER., 10,5 CM</v>
          </cell>
          <cell r="D836" t="str">
            <v>IRIS SCISSORS,  SH/SH, STR., 10.5 CM</v>
          </cell>
        </row>
        <row r="837">
          <cell r="B837" t="str">
            <v>11-621-09-07</v>
          </cell>
          <cell r="C837" t="str">
            <v>IRISSCHERE, SP/SP, GEB., 9 CM</v>
          </cell>
          <cell r="D837" t="str">
            <v>IRIS SCISSORS,  SH/SH, CVD., 9 CM</v>
          </cell>
        </row>
        <row r="838">
          <cell r="B838" t="str">
            <v>11-621-10-07</v>
          </cell>
          <cell r="C838" t="str">
            <v>IRISSCHERE, SP/SP, GEB., 10,5 CM</v>
          </cell>
          <cell r="D838" t="str">
            <v>IRIS SCISSORS,  SH/SH, CVD., 10.5 CM</v>
          </cell>
        </row>
        <row r="839">
          <cell r="B839" t="str">
            <v>11-622-10-07</v>
          </cell>
          <cell r="C839" t="str">
            <v>IRISSCHERE, SP/SP, FLACH, GER., 10,5 CM</v>
          </cell>
          <cell r="D839" t="str">
            <v>IRIS SCISSORS,  SH/SH, FLAT, STR.,10.5  CM</v>
          </cell>
        </row>
        <row r="840">
          <cell r="B840" t="str">
            <v>11-624-09-07</v>
          </cell>
          <cell r="C840" t="str">
            <v>IRISSCHERE, MOD. BONN, ST/ST, GER., 9 CM</v>
          </cell>
          <cell r="D840" t="str">
            <v>IRIS SCISSORS,  BONN, BL/BL, STR., 9 CM</v>
          </cell>
        </row>
        <row r="841">
          <cell r="B841" t="str">
            <v>11-625-09-07</v>
          </cell>
          <cell r="C841" t="str">
            <v>IRISSCHERE, MOD. BONN, ST/ST, GEB., 9 CM</v>
          </cell>
          <cell r="D841" t="str">
            <v>IRIS SCISSORS,  BONN, BL/BL, CVD., 9 CM</v>
          </cell>
        </row>
        <row r="842">
          <cell r="B842" t="str">
            <v>11-630-11-07</v>
          </cell>
          <cell r="C842" t="str">
            <v>IRISSCHERE, SP/SP, GER., 11,5 CM</v>
          </cell>
          <cell r="D842" t="str">
            <v>IRIS SCISSORS,  SH/SH, STR., 11.5 CM</v>
          </cell>
        </row>
        <row r="843">
          <cell r="B843" t="str">
            <v>11-631-11-07</v>
          </cell>
          <cell r="C843" t="str">
            <v>IRISSCHERE, SP/SP, GEB., 11,5 CM</v>
          </cell>
          <cell r="D843" t="str">
            <v>IRIS SCISSORS,  SH/SH, CVD., 11.5 CM</v>
          </cell>
        </row>
        <row r="844">
          <cell r="B844" t="str">
            <v>11-633-11-07</v>
          </cell>
          <cell r="C844" t="str">
            <v>IRISSCHERE, SP/SP, ABGEB., 11,5 CM</v>
          </cell>
          <cell r="D844" t="str">
            <v>IRIS SCISSORS,  SH/SH, CVD. DOWN, 11.5 CM</v>
          </cell>
        </row>
        <row r="845">
          <cell r="B845" t="str">
            <v>11-635-11-07</v>
          </cell>
          <cell r="C845" t="str">
            <v>IRISSCHERE, SP/SP, ABGEW. , 11,5 CM</v>
          </cell>
          <cell r="D845" t="str">
            <v>IRIS SCISSORS,  SH/SH, ANGLED , 11.5 CM</v>
          </cell>
        </row>
        <row r="846">
          <cell r="B846" t="str">
            <v>11-640-12-07</v>
          </cell>
          <cell r="C846" t="str">
            <v>IRISSCHERE, SP/SP, GER., 12,5 CM</v>
          </cell>
          <cell r="D846" t="str">
            <v>IRIS SCISSORS,  SH/SH, STR., 12.5 CM</v>
          </cell>
        </row>
        <row r="847">
          <cell r="B847" t="str">
            <v>11-641-12-07</v>
          </cell>
          <cell r="C847" t="str">
            <v>IRISSCHERE, SP/SP, GEB., 12,5 CM</v>
          </cell>
          <cell r="D847" t="str">
            <v>IRIS SCISSORS,  SH/SH, CVD., 12.5 CM</v>
          </cell>
        </row>
        <row r="848">
          <cell r="B848" t="str">
            <v>11-642-11-07</v>
          </cell>
          <cell r="C848" t="str">
            <v>SC-Schere,  fein, sp/sp, ger., 11 cm</v>
          </cell>
          <cell r="D848" t="str">
            <v>SC-Scissor,  fine, sh/sh, str., 11 cm</v>
          </cell>
        </row>
        <row r="849">
          <cell r="B849" t="str">
            <v>11-643-11-07</v>
          </cell>
          <cell r="C849" t="str">
            <v>SC-Schere,  fein, sp/sp, geb., 11 cm</v>
          </cell>
          <cell r="D849" t="str">
            <v>SC-Scissor,  fine, sh/sh, cvd., 11 cm</v>
          </cell>
        </row>
        <row r="850">
          <cell r="B850" t="str">
            <v>11-644-13-07</v>
          </cell>
          <cell r="C850" t="str">
            <v>SC-Schere,  Jabaley, sp/sp, ger., 13 cm</v>
          </cell>
          <cell r="D850" t="str">
            <v>SC-Scissor,  Jabaley, sh/sh, str., 13 cm</v>
          </cell>
        </row>
        <row r="851">
          <cell r="B851" t="str">
            <v>11-645-13-07</v>
          </cell>
          <cell r="C851" t="str">
            <v>SC-Schere,  Jabaley, sp/sp, geb., 13 cm</v>
          </cell>
          <cell r="D851" t="str">
            <v>SC-Scissor,  Jabaley, sh/sh, cvd., 13 cm</v>
          </cell>
        </row>
        <row r="852">
          <cell r="B852" t="str">
            <v>11-650-14-07</v>
          </cell>
          <cell r="C852" t="str">
            <v>SC-Schere,  chir., sp/st, ger., 14,5 cm</v>
          </cell>
          <cell r="D852" t="str">
            <v>SC Scissors, chir., sh/bl, str., 14.5 cm</v>
          </cell>
        </row>
        <row r="853">
          <cell r="B853" t="str">
            <v>11-651-14-07</v>
          </cell>
          <cell r="C853" t="str">
            <v>SC-Schere,  chir., sp/st, geb., 14,5 cm</v>
          </cell>
          <cell r="D853" t="str">
            <v>SC Scissors, chir., sh/bl, cvd., 14.5 cm</v>
          </cell>
        </row>
        <row r="854">
          <cell r="B854" t="str">
            <v>11-652-14-07</v>
          </cell>
          <cell r="C854" t="str">
            <v>SC-Schere,  Mayo, ger., 14,5 cm</v>
          </cell>
          <cell r="D854" t="str">
            <v>SC Scissors, Mayo, str., 14,5 cm</v>
          </cell>
        </row>
        <row r="855">
          <cell r="B855" t="str">
            <v>11-652-17-07</v>
          </cell>
          <cell r="C855" t="str">
            <v>SC-Schere,  Mayo, ger., 17 cm</v>
          </cell>
          <cell r="D855" t="str">
            <v>SC Scissors, Mayo, str., 17 cm</v>
          </cell>
        </row>
        <row r="856">
          <cell r="B856" t="str">
            <v>11-652-23-07</v>
          </cell>
          <cell r="C856" t="str">
            <v>SC-Schere,  Mayo, ger., 23,5 cm</v>
          </cell>
          <cell r="D856" t="str">
            <v>SC Scissors, Mayo, str., 23,5 cm</v>
          </cell>
        </row>
        <row r="857">
          <cell r="B857" t="str">
            <v>11-653-14-07</v>
          </cell>
          <cell r="C857" t="str">
            <v>SC-Schere,  Mayo, geb., 14,5 cm</v>
          </cell>
          <cell r="D857" t="str">
            <v>SC Scissors, Mayo, cvd., 14,5 cm</v>
          </cell>
        </row>
        <row r="858">
          <cell r="B858" t="str">
            <v>11-653-17-07</v>
          </cell>
          <cell r="C858" t="str">
            <v>SC-Schere,  Mayo, geb., 17 cm</v>
          </cell>
          <cell r="D858" t="str">
            <v>SC Scissors, Mayo, cvd., 17 cm</v>
          </cell>
        </row>
        <row r="859">
          <cell r="B859" t="str">
            <v>11-653-23-07</v>
          </cell>
          <cell r="C859" t="str">
            <v>SC-Schere,  Mayo, geb., 23,5 cm</v>
          </cell>
          <cell r="D859" t="str">
            <v>SC Scissors, Mayo, cvd., 23,5 cm</v>
          </cell>
        </row>
        <row r="860">
          <cell r="B860" t="str">
            <v>11-654-15-07</v>
          </cell>
          <cell r="C860" t="str">
            <v>SC-Schere,  Mayo-Stille, ger., 15 cm</v>
          </cell>
          <cell r="D860" t="str">
            <v>SC Scissors, Mayo-Stille, str., 15 cm</v>
          </cell>
        </row>
        <row r="861">
          <cell r="B861" t="str">
            <v>11-654-17-07</v>
          </cell>
          <cell r="C861" t="str">
            <v>SC-Schere,  Mayo-Stille, ger., 17 cm</v>
          </cell>
          <cell r="D861" t="str">
            <v>SC Scissors, Mayo-Stille, str., 17 cm</v>
          </cell>
        </row>
        <row r="862">
          <cell r="B862" t="str">
            <v>11-655-15-07</v>
          </cell>
          <cell r="C862" t="str">
            <v>SC-Schere,  Mayo-Stille, geb., 15 cm</v>
          </cell>
          <cell r="D862" t="str">
            <v>SC Scissors, Mayo-Stille, cvd., 15 cm</v>
          </cell>
        </row>
        <row r="863">
          <cell r="B863" t="str">
            <v>11-655-17-07</v>
          </cell>
          <cell r="C863" t="str">
            <v>SC-Schere,  Mayo-Stille, geb., 17 cm</v>
          </cell>
          <cell r="D863" t="str">
            <v>SC Scissors, Mayo-Stille, cvd., 17 cm</v>
          </cell>
        </row>
        <row r="864">
          <cell r="B864" t="str">
            <v>11-656-16-07</v>
          </cell>
          <cell r="C864" t="str">
            <v>SC-Schere,  Kelly, ger., 16 cm</v>
          </cell>
          <cell r="D864" t="str">
            <v>SC Scissors, Kelly, str., 16 cm</v>
          </cell>
        </row>
        <row r="865">
          <cell r="B865" t="str">
            <v>11-657-16-07</v>
          </cell>
          <cell r="C865" t="str">
            <v>SC-Schere,  Kelly, geb., 16 cm</v>
          </cell>
          <cell r="D865" t="str">
            <v>SC Scissors, Kelly, cvd., 16 cm</v>
          </cell>
        </row>
        <row r="866">
          <cell r="B866" t="str">
            <v>11-658-11-07</v>
          </cell>
          <cell r="C866" t="str">
            <v>SC-Präp.-Schere, Metzenb.,  ger., 11,5 cm</v>
          </cell>
          <cell r="D866" t="str">
            <v>SC-Dissect.Scissors,Metzenb.str. 11,5 cm</v>
          </cell>
        </row>
        <row r="867">
          <cell r="B867" t="str">
            <v>11-658-14-07</v>
          </cell>
          <cell r="C867" t="str">
            <v>SC-Präp.-Schere, Metzenb.,  ger., 14,5 cm</v>
          </cell>
          <cell r="D867" t="str">
            <v>SC-Dissect.Scissors,Metzenb.str. 14,5 cm</v>
          </cell>
        </row>
        <row r="868">
          <cell r="B868" t="str">
            <v>11-659-11-07</v>
          </cell>
          <cell r="C868" t="str">
            <v>SC-Präp.-Schere, Metzenb.,  geb., 11,5 cm</v>
          </cell>
          <cell r="D868" t="str">
            <v>SC-Dissect.Scissors,Metzenb.cvd. 11,5 cm</v>
          </cell>
        </row>
        <row r="869">
          <cell r="B869" t="str">
            <v>11-659-14-07</v>
          </cell>
          <cell r="C869" t="str">
            <v>SC-Präp.-Schere, Metzenb.,  geb., 14,5 cm</v>
          </cell>
          <cell r="D869" t="str">
            <v>SC-Dissect.Scissors,Metzenb.cvd. 14,5 cm</v>
          </cell>
        </row>
        <row r="870">
          <cell r="B870" t="str">
            <v>11-660-18-07</v>
          </cell>
          <cell r="C870" t="str">
            <v>SC-Präp.-Schere, Metzenb.,  ger., 18 cm</v>
          </cell>
          <cell r="D870" t="str">
            <v>SC-Dissect.Scissors,Metzenb.str. 18 cm</v>
          </cell>
        </row>
        <row r="871">
          <cell r="B871" t="str">
            <v>11-660-20-07</v>
          </cell>
          <cell r="C871" t="str">
            <v>SC-Präp.-Schere, Metzenb.,  ger., 20,5 cm</v>
          </cell>
          <cell r="D871" t="str">
            <v>SC-Dissect.Scissors,Metzenb.str. 20,5 cm</v>
          </cell>
        </row>
        <row r="872">
          <cell r="B872" t="str">
            <v>11-660-23-07</v>
          </cell>
          <cell r="C872" t="str">
            <v>SC-Präp.-Schere, Metzenb.,  ger., 23 cm</v>
          </cell>
          <cell r="D872" t="str">
            <v>SC-Dissect.Scissors,Metzenb.str. 23 cm</v>
          </cell>
        </row>
        <row r="873">
          <cell r="B873" t="str">
            <v>11-660-26-07</v>
          </cell>
          <cell r="C873" t="str">
            <v>SC-Präp.-Schere, Metzenb.,  ger., 26 cm</v>
          </cell>
          <cell r="D873" t="str">
            <v>SC-Dissect.Scissors,Metzenb.str. 26 cm</v>
          </cell>
        </row>
        <row r="874">
          <cell r="B874" t="str">
            <v>11-660-28-07</v>
          </cell>
          <cell r="C874" t="str">
            <v>SC-Präp.-Schere, Metzenb.,  ger., 28,5 cm</v>
          </cell>
          <cell r="D874" t="str">
            <v>SC-Dissect.Scissors,Metzenb.str. 28,5 cm</v>
          </cell>
        </row>
        <row r="875">
          <cell r="B875" t="str">
            <v>11-660-31-07</v>
          </cell>
          <cell r="C875" t="str">
            <v>SC-Präp.-Schere, Metzenb.,  ger., 31 cm</v>
          </cell>
          <cell r="D875" t="str">
            <v>SC-Dissect.Scissors,Metzenb.str. 31 cm</v>
          </cell>
        </row>
        <row r="876">
          <cell r="B876" t="str">
            <v>11-661-18-07</v>
          </cell>
          <cell r="C876" t="str">
            <v>SC-Präp.-Schere, Metzenb.,  geb., 18 cm</v>
          </cell>
          <cell r="D876" t="str">
            <v>SC-Dissect.Scissors,Metzenb.cvd. 18 cm</v>
          </cell>
        </row>
        <row r="877">
          <cell r="B877" t="str">
            <v>11-661-20-07</v>
          </cell>
          <cell r="C877" t="str">
            <v>SC-Präp.-Schere, Metzenb.,  geb., 20,5 cm</v>
          </cell>
          <cell r="D877" t="str">
            <v>SC-Dissect.Scissors,Metzenb.cvd. 20,5 cm</v>
          </cell>
        </row>
        <row r="878">
          <cell r="B878" t="str">
            <v>11-661-23-07</v>
          </cell>
          <cell r="C878" t="str">
            <v>SC-Präp.-Schere, Metzenb.,  geb., 23 cm</v>
          </cell>
          <cell r="D878" t="str">
            <v>SC-Dissect.Scissors,Metzenb.cvd. 23 cm</v>
          </cell>
        </row>
        <row r="879">
          <cell r="B879" t="str">
            <v>11-661-26-07</v>
          </cell>
          <cell r="C879" t="str">
            <v>SC-Präp.-Schere, Metzenb.,  geb., 26 cm</v>
          </cell>
          <cell r="D879" t="str">
            <v>SC-Dissect.Scissors,Metzenb.cvd. 26 cm</v>
          </cell>
        </row>
        <row r="880">
          <cell r="B880" t="str">
            <v>11-661-28-07</v>
          </cell>
          <cell r="C880" t="str">
            <v>SC-Präp.-Schere, Metzenb.,  geb., 28,5 cm</v>
          </cell>
          <cell r="D880" t="str">
            <v>SC-Dissect.Scissors,Metzenb.cvd. 28,5 cm</v>
          </cell>
        </row>
        <row r="881">
          <cell r="B881" t="str">
            <v>11-661-31-07</v>
          </cell>
          <cell r="C881" t="str">
            <v>SC-Präp.-Schere, Metzenb.,  geb., 31 cm</v>
          </cell>
          <cell r="D881" t="str">
            <v>SC-Dissect.Scissors,Metzenb.cvd. 31 cm</v>
          </cell>
        </row>
        <row r="882">
          <cell r="B882" t="str">
            <v>11-662-10-07</v>
          </cell>
          <cell r="C882" t="str">
            <v>SC-Präp.-Schere, Lexer-Baby, ger., 10 cm</v>
          </cell>
          <cell r="D882" t="str">
            <v>SC-Diss.Scissors,Lexer-Baby, str., 10 cm</v>
          </cell>
        </row>
        <row r="883">
          <cell r="B883" t="str">
            <v>11-662-16-07</v>
          </cell>
          <cell r="C883" t="str">
            <v>SC-Präp.-Schere, Lexer, ger., 16 cm</v>
          </cell>
          <cell r="D883" t="str">
            <v>SC-Dissect.Scissors, Lexer, str., 16 cm</v>
          </cell>
        </row>
        <row r="884">
          <cell r="B884" t="str">
            <v>11-663-10-07</v>
          </cell>
          <cell r="C884" t="str">
            <v>SC-Präp.-Schere, Lexer-Baby, geb., 10 cm</v>
          </cell>
          <cell r="D884" t="str">
            <v>SC-Diss.Scissors,Lexer-Baby, cvd., 10 cm</v>
          </cell>
        </row>
        <row r="885">
          <cell r="B885" t="str">
            <v>11-663-16-07</v>
          </cell>
          <cell r="C885" t="str">
            <v>SC-Präp.-Schere, Lexer, geb., 16 cm</v>
          </cell>
          <cell r="D885" t="str">
            <v>SC-Dissect.Scissors, Lexer, cvd., 16 cm</v>
          </cell>
        </row>
        <row r="886">
          <cell r="B886" t="str">
            <v>11-665-14-07</v>
          </cell>
          <cell r="C886" t="str">
            <v>SC-Präp.-Schere, Metz. fein, geb, 14,5cm</v>
          </cell>
          <cell r="D886" t="str">
            <v>SC-Diss.Scissors, Metz.fine,cvd,14,5 cm</v>
          </cell>
        </row>
        <row r="887">
          <cell r="B887" t="str">
            <v>11-665-18-07</v>
          </cell>
          <cell r="C887" t="str">
            <v>SC-Präp.-Schere, Metz. fein, geb, 18cm</v>
          </cell>
          <cell r="D887" t="str">
            <v>SC-Diss.Scissors, Metz.fine,cvd, 18cm</v>
          </cell>
        </row>
        <row r="888">
          <cell r="B888" t="str">
            <v>11-665-20-07</v>
          </cell>
          <cell r="C888" t="str">
            <v>SC-Präp.-Schere, Metz. fein, geb, 20,5cm</v>
          </cell>
          <cell r="D888" t="str">
            <v>SC-Diss.Scissors, Metz.fine,cvd, 20,5cm</v>
          </cell>
        </row>
        <row r="889">
          <cell r="B889" t="str">
            <v>11-665-23-07</v>
          </cell>
          <cell r="C889" t="str">
            <v>SC-Präp.-Schere, Metz. fein, geb, 23cm</v>
          </cell>
          <cell r="D889" t="str">
            <v>SC-Diss.Scissors, Metz.fine,cvd, 23cm</v>
          </cell>
        </row>
        <row r="890">
          <cell r="B890" t="str">
            <v>11-666-14-07</v>
          </cell>
          <cell r="C890" t="str">
            <v>SC-Schere,  Joseph, sp/sp, ger., 14,5 cm</v>
          </cell>
          <cell r="D890" t="str">
            <v>SC-Scissors, Joseph, sh/sh, str., 14,5cm</v>
          </cell>
        </row>
        <row r="891">
          <cell r="B891" t="str">
            <v>11-667-14-07</v>
          </cell>
          <cell r="C891" t="str">
            <v>SC-Schere,  Joseph, sp/sp, geb., 14,5 cm</v>
          </cell>
          <cell r="D891" t="str">
            <v>SC-Scissors, Joseph, sh/sh, cvc., 14,5cm</v>
          </cell>
        </row>
        <row r="892">
          <cell r="B892" t="str">
            <v>11-669-12-07</v>
          </cell>
          <cell r="C892" t="str">
            <v>SC-Präp.-Schere, Kilner, geb., 12 cm</v>
          </cell>
          <cell r="D892" t="str">
            <v>SC-Dissect.Scissors, Kilner, cvd., 12 cm</v>
          </cell>
        </row>
        <row r="893">
          <cell r="B893" t="str">
            <v>11-669-15-07</v>
          </cell>
          <cell r="C893" t="str">
            <v>SC-Präp.-Schere, Kilner, geb., 15 cm</v>
          </cell>
          <cell r="D893" t="str">
            <v>SC-Dissect.Scissors, Kilner, cvd., 15 cm</v>
          </cell>
        </row>
        <row r="894">
          <cell r="B894" t="str">
            <v>11-670-18-07</v>
          </cell>
          <cell r="C894" t="str">
            <v>SC-Schere,  Präp., Kilner, geb., 18 cm</v>
          </cell>
          <cell r="D894" t="str">
            <v>SC-Scissor,  Diss., Kilner, cvd., 18 cm</v>
          </cell>
        </row>
        <row r="895">
          <cell r="B895" t="str">
            <v>11-671-15-07</v>
          </cell>
          <cell r="C895" t="str">
            <v>SC-Schere,  Reynolds,  geb., 15,5 cm</v>
          </cell>
          <cell r="D895" t="str">
            <v>SC-Scissors, Reynolds,  cvd., 15,5 cm</v>
          </cell>
        </row>
        <row r="896">
          <cell r="B896" t="str">
            <v>11-671-18-07</v>
          </cell>
          <cell r="C896" t="str">
            <v>SC-Schere,  Reynolds,  geb., 18 cm</v>
          </cell>
          <cell r="D896" t="str">
            <v>SC-Scissors, Reynolds,  cvd., 18 cm</v>
          </cell>
        </row>
        <row r="897">
          <cell r="B897" t="str">
            <v>11-672-10-07</v>
          </cell>
          <cell r="C897" t="str">
            <v>SC-Schere,  Iris, sp/sp, ger., 10,5 cm</v>
          </cell>
          <cell r="D897" t="str">
            <v>SC-Scissor,  Iris, sh/sh, str., 10,5 cm</v>
          </cell>
        </row>
        <row r="898">
          <cell r="B898" t="str">
            <v>11-672-11-07</v>
          </cell>
          <cell r="C898" t="str">
            <v>SC-Irisschere, sp/sp, ger., 11,5 cm</v>
          </cell>
          <cell r="D898" t="str">
            <v>SC-Iris Scissors, sh/sh, str., 11,5 cm</v>
          </cell>
        </row>
        <row r="899">
          <cell r="B899" t="str">
            <v>11-673-10-07</v>
          </cell>
          <cell r="C899" t="str">
            <v>SC-Schere,  Iris, sp/sp, geb., 10,5 cm</v>
          </cell>
          <cell r="D899" t="str">
            <v>SC-Scissor,  Iris, sh/sh, cvd., 10,5 cm</v>
          </cell>
        </row>
        <row r="900">
          <cell r="B900" t="str">
            <v>11-673-11-07</v>
          </cell>
          <cell r="C900" t="str">
            <v>SC-Irisschere, sp/sp, geb., 11,5 cm</v>
          </cell>
          <cell r="D900" t="str">
            <v>SC-Iris Scissors, sh/sh, cvd., 11,5 cm</v>
          </cell>
        </row>
        <row r="901">
          <cell r="B901" t="str">
            <v>11-674-10-07</v>
          </cell>
          <cell r="C901" t="str">
            <v>SC-Schere,  Stevens, sp/sp, ger., 10,5 cm</v>
          </cell>
          <cell r="D901" t="str">
            <v>SC-Scissors, Stevens, sh/sh, str.,10,5cm</v>
          </cell>
        </row>
        <row r="902">
          <cell r="B902" t="str">
            <v>11-675-10-07</v>
          </cell>
          <cell r="C902" t="str">
            <v>SC-Schere,  Stevens, sp/sp, geb., 10,5 cm</v>
          </cell>
          <cell r="D902" t="str">
            <v>SC-Scissors, Stevens, sh/sh, cvd.,10,5cm</v>
          </cell>
        </row>
        <row r="903">
          <cell r="B903" t="str">
            <v>11-676-10-07</v>
          </cell>
          <cell r="C903" t="str">
            <v>SC-Schere,  Stevens, st/st, ger., 10,5 cm</v>
          </cell>
          <cell r="D903" t="str">
            <v>SC-Scissors, Stevens, bl/bl, str.,10,5cm</v>
          </cell>
        </row>
        <row r="904">
          <cell r="B904" t="str">
            <v>11-677-10-07</v>
          </cell>
          <cell r="C904" t="str">
            <v>SC-Schere,  Stevens, st/st, geb., 10,5 cm</v>
          </cell>
          <cell r="D904" t="str">
            <v>SC-Scissors, Stevens, bl/bl, cvd.,10,5cm</v>
          </cell>
        </row>
        <row r="905">
          <cell r="B905" t="str">
            <v>11-678-10-07</v>
          </cell>
          <cell r="C905" t="str">
            <v>Schere, Stevens, st/st, ger., 10 cm</v>
          </cell>
          <cell r="D905" t="str">
            <v>Scissor, Stevens, bl/bl, str., 10 cm</v>
          </cell>
        </row>
        <row r="906">
          <cell r="B906" t="str">
            <v>11-679-10-07</v>
          </cell>
          <cell r="C906" t="str">
            <v>Schere, Stevens, st/st, geb., 10 cm</v>
          </cell>
          <cell r="D906" t="str">
            <v>Scissor, Stevens, bl/bl, cvd, 10 cm</v>
          </cell>
        </row>
        <row r="907">
          <cell r="B907" t="str">
            <v>11-680-11-07</v>
          </cell>
          <cell r="C907" t="str">
            <v>SEHNENSCHERE, SP/SP, GER., 11 CM</v>
          </cell>
          <cell r="D907" t="str">
            <v>TENOTOMY SCISSORS,  SH/SH, STR., 11 CM</v>
          </cell>
        </row>
        <row r="908">
          <cell r="B908" t="str">
            <v>11-681-11-07</v>
          </cell>
          <cell r="C908" t="str">
            <v>SEHNENSCHERE, SP/SP, GEB., 11 CM</v>
          </cell>
          <cell r="D908" t="str">
            <v>TENOTOMY SCISSORS,  SH/SH, CVD., 11 CM</v>
          </cell>
        </row>
        <row r="909">
          <cell r="B909" t="str">
            <v>11-682-11-07</v>
          </cell>
          <cell r="C909" t="str">
            <v>SEHNENSCHERE, ST/ST, GER., 11 CM</v>
          </cell>
          <cell r="D909" t="str">
            <v>TENOTOMY SCISSORS,  BL/BL, STR., 11 CM</v>
          </cell>
        </row>
        <row r="910">
          <cell r="B910" t="str">
            <v>11-683-11-07</v>
          </cell>
          <cell r="C910" t="str">
            <v>SEHNENSCHERE, ST/ST, GEB., 11 CM</v>
          </cell>
          <cell r="D910" t="str">
            <v>TENOTOMY SCISSORS,  BL/BL, CVD., 11 CM</v>
          </cell>
        </row>
        <row r="911">
          <cell r="B911" t="str">
            <v>11-690-11-07</v>
          </cell>
          <cell r="C911" t="str">
            <v>STRABISMUSSCHERE, ST/ST, GER., 11,5 CM</v>
          </cell>
          <cell r="D911" t="str">
            <v>STRABISMUS SCISS., BL/BL, STR., 11.5 CM</v>
          </cell>
        </row>
        <row r="912">
          <cell r="B912" t="str">
            <v>11-691-11-07</v>
          </cell>
          <cell r="C912" t="str">
            <v>STRABISMUSSCHERE, ST/ST, GEB., 11,5 CM</v>
          </cell>
          <cell r="D912" t="str">
            <v>STRABISMUS SCISS., BL/BL, CVD., 11.5 CM</v>
          </cell>
        </row>
        <row r="913">
          <cell r="B913" t="str">
            <v>11-705-11-07</v>
          </cell>
          <cell r="C913" t="str">
            <v>ENUKLEATIONSSCHERE, GEB., 11,5 CM</v>
          </cell>
          <cell r="D913" t="str">
            <v>ENUCLEATION SCISSORS,  CVD., 11.5 CM</v>
          </cell>
        </row>
        <row r="914">
          <cell r="B914" t="str">
            <v>11-710-15-07</v>
          </cell>
          <cell r="C914" t="str">
            <v>MIKROSCHERE, SP/SP, GER., RUNDGR.,  15 CM</v>
          </cell>
          <cell r="D914" t="str">
            <v>MICRO SCISS., SH/SH, STR., 15 CM</v>
          </cell>
        </row>
        <row r="915">
          <cell r="B915" t="str">
            <v>11-710-18-07</v>
          </cell>
          <cell r="C915" t="str">
            <v>MIKROSCHERE, SP/SP, GER., RUNDGR.,  18 CM</v>
          </cell>
          <cell r="D915" t="str">
            <v>MICRO SCISS., SH/SH, STR., 18 CM</v>
          </cell>
        </row>
        <row r="916">
          <cell r="B916" t="str">
            <v>11-710-19-07</v>
          </cell>
          <cell r="C916" t="str">
            <v>MIKROSCHERE, SP/SP, GER., RUNDGR.,  18 CM</v>
          </cell>
          <cell r="D916" t="str">
            <v>MICRO SCISS., SH/SH, STR., 18 CM</v>
          </cell>
        </row>
        <row r="917">
          <cell r="B917" t="str">
            <v>11-711-15-07</v>
          </cell>
          <cell r="C917" t="str">
            <v>MIKROSCHERE, SP/SP, GEB., RUNDGR.,  15 CM</v>
          </cell>
          <cell r="D917" t="str">
            <v>MICRO SCISS., SH/SH, CVD., 15 CM</v>
          </cell>
        </row>
        <row r="918">
          <cell r="B918" t="str">
            <v>11-711-18-07</v>
          </cell>
          <cell r="C918" t="str">
            <v>MIKROSCHERE, SP/SP, GEB., RUNDGR.,  18 CM</v>
          </cell>
          <cell r="D918" t="str">
            <v>MICRO SCISS., SH/SH, CVD., 18 CM</v>
          </cell>
        </row>
        <row r="919">
          <cell r="B919" t="str">
            <v>11-711-19-07</v>
          </cell>
          <cell r="C919" t="str">
            <v>MIKROSCHERE, ST/ST, GEB., RUNDGR.,  18 CM</v>
          </cell>
          <cell r="D919" t="str">
            <v>MICRO SCISS., BL/BL, CVD., 18 CM</v>
          </cell>
        </row>
        <row r="920">
          <cell r="B920" t="str">
            <v>11-711-20-07</v>
          </cell>
          <cell r="C920" t="str">
            <v>MIKROSCHERE, ST/ST, GEB., RUNDGR.,  18 CM</v>
          </cell>
          <cell r="D920" t="str">
            <v>MICRO SCISS., BL/BL, CVD., 18 CM</v>
          </cell>
        </row>
        <row r="921">
          <cell r="B921" t="str">
            <v>11-712-15-07</v>
          </cell>
          <cell r="C921" t="str">
            <v>MIKROSCHERE, SP/SP, GER., FLACHG.,  15 CM</v>
          </cell>
          <cell r="D921" t="str">
            <v>MICRO SCISS., SH/SH, STR., 15 CM</v>
          </cell>
        </row>
        <row r="922">
          <cell r="B922" t="str">
            <v>11-712-18-07</v>
          </cell>
          <cell r="C922" t="str">
            <v>MIKROSCHERE, SP/SP, GER., FLACHG.,  18 CM</v>
          </cell>
          <cell r="D922" t="str">
            <v>MICRO SCISS., SH/SH, STR., 18 CM</v>
          </cell>
        </row>
        <row r="923">
          <cell r="B923" t="str">
            <v>11-712-19-07</v>
          </cell>
          <cell r="C923" t="str">
            <v>MIKROSCHERE, SP/SP, GER., FLACHG.,  18 CM</v>
          </cell>
          <cell r="D923" t="str">
            <v>MICRO SCISS., SH/SH, STR., 18 CM</v>
          </cell>
        </row>
        <row r="924">
          <cell r="B924" t="str">
            <v>11-713-15-07</v>
          </cell>
          <cell r="C924" t="str">
            <v>MIKROSCHERE, SP/SP, GEB., FLACHG.,  15 CM</v>
          </cell>
          <cell r="D924" t="str">
            <v>MICRO SCISS., SH/SH, CVD., 15 CM</v>
          </cell>
        </row>
        <row r="925">
          <cell r="B925" t="str">
            <v>11-713-18-07</v>
          </cell>
          <cell r="C925" t="str">
            <v>MIKROSCHERE, SP/SP, GEB., FLACHG.,  18 CM</v>
          </cell>
          <cell r="D925" t="str">
            <v>MICRO SCISS., SH/SH, CVD., 18 CM</v>
          </cell>
        </row>
        <row r="926">
          <cell r="B926" t="str">
            <v>11-713-19-07</v>
          </cell>
          <cell r="C926" t="str">
            <v>MIKROSCHERE, ST/ST, GEB., FLACHG.,  18 CM</v>
          </cell>
          <cell r="D926" t="str">
            <v>MICRO SCISS., BL/BL, CVD., 18 CM</v>
          </cell>
        </row>
        <row r="927">
          <cell r="B927" t="str">
            <v>11-713-20-07</v>
          </cell>
          <cell r="C927" t="str">
            <v>Mikroschere, st/st, geb., Flachg., 18 cm</v>
          </cell>
          <cell r="D927" t="str">
            <v>Micro sciss., bl/bl, cvd., 18 cm</v>
          </cell>
        </row>
        <row r="928">
          <cell r="B928" t="str">
            <v>11-740-11-07</v>
          </cell>
          <cell r="C928" t="str">
            <v>STRABISMUS-FEDERSCHERE, GER., 11,5 CM</v>
          </cell>
          <cell r="D928" t="str">
            <v>STRABISMUS SCISSORS,  STR., 11.5 CM</v>
          </cell>
        </row>
        <row r="929">
          <cell r="B929" t="str">
            <v>11-741-11-07</v>
          </cell>
          <cell r="C929" t="str">
            <v>STRABISMUS-FEDERSCHERE, GEB., 11,5 CM</v>
          </cell>
          <cell r="D929" t="str">
            <v>STRABISMUS SCISSORS,  CVD., 11.5 CM</v>
          </cell>
        </row>
        <row r="930">
          <cell r="B930" t="str">
            <v>11-758-12-07</v>
          </cell>
          <cell r="C930" t="str">
            <v>MIKRO-VENENSCHERE, BIEMER, GER., 12 CM</v>
          </cell>
          <cell r="D930" t="str">
            <v>MICRO VEIN SCISSORS,  BIEMER, STR., 12 CM</v>
          </cell>
        </row>
        <row r="931">
          <cell r="B931" t="str">
            <v>11-760-09-07</v>
          </cell>
          <cell r="C931" t="str">
            <v>MIKRO-FEDERSCHERE, SP/SP, GER., 10 CM</v>
          </cell>
          <cell r="D931" t="str">
            <v>MICRO SCISSORS,  SH/SH, STR., 10 CM</v>
          </cell>
        </row>
        <row r="932">
          <cell r="B932" t="str">
            <v>11-761-09-07</v>
          </cell>
          <cell r="C932" t="str">
            <v>MIKRO-FEDERSCHERE, SP/SP, ABGEW.,  9,5 CM</v>
          </cell>
          <cell r="D932" t="str">
            <v>MICRO SCISSORS,  SH/SH, DOWNW.,  9.5 CM</v>
          </cell>
        </row>
        <row r="933">
          <cell r="B933" t="str">
            <v>11-765-18-07</v>
          </cell>
          <cell r="C933" t="str">
            <v>SCHERE, JABOMA,  F. LKG, LI., 18 CM</v>
          </cell>
          <cell r="D933" t="str">
            <v>SCISSORS,  JABOMA,  CLEFT PAL., L., 18 CM</v>
          </cell>
        </row>
        <row r="934">
          <cell r="B934" t="str">
            <v>11-767-18-07</v>
          </cell>
          <cell r="C934" t="str">
            <v>SCHERE, JABOMA,  F. LKG, RE., 18 CM</v>
          </cell>
          <cell r="D934" t="str">
            <v>SCISSORS,  JABOMA,  CLEFT PAL., R., 18 CM</v>
          </cell>
        </row>
        <row r="935">
          <cell r="B935" t="str">
            <v>11-769-18-07</v>
          </cell>
          <cell r="C935" t="str">
            <v>SCHERE, JABOMA,  F. LKG, SP., GEW., 18 CM</v>
          </cell>
          <cell r="D935" t="str">
            <v>SCISSORS,  JABOMA,  CLEFT PAL., ANG., 18CM</v>
          </cell>
        </row>
        <row r="936">
          <cell r="B936" t="str">
            <v>11-782-21-07</v>
          </cell>
          <cell r="C936" t="str">
            <v>DARMSCHERE M. WIDERHAKEN, 21,5 CM</v>
          </cell>
          <cell r="D936" t="str">
            <v>INTESTINAL SCISSORS,  W. HOOK, 21.5 CM</v>
          </cell>
        </row>
        <row r="937">
          <cell r="B937" t="str">
            <v>11-784-09-07</v>
          </cell>
          <cell r="C937" t="str">
            <v>GAUMENSPALTENSCHERE, GER., 9,5 CM</v>
          </cell>
          <cell r="D937" t="str">
            <v>CLEFT PALATE SCISSORS,  STR., 9.5 CM</v>
          </cell>
        </row>
        <row r="938">
          <cell r="B938" t="str">
            <v>11-784-21-07</v>
          </cell>
          <cell r="C938" t="str">
            <v>DARMSCHERE, 1 BLATT GEKNÖPFT, 21,5 CM</v>
          </cell>
          <cell r="D938" t="str">
            <v>INTESTINAL SCISSORS,  BUTTON END, 21.5 CM</v>
          </cell>
        </row>
        <row r="939">
          <cell r="B939" t="str">
            <v>11-785-32-07</v>
          </cell>
          <cell r="C939" t="str">
            <v>REKTUMSCHERE, STARK GEB., 32,5 CM</v>
          </cell>
          <cell r="D939" t="str">
            <v>RECTAL SCISSORS,  HEAVY CVD., 32,5 CM</v>
          </cell>
        </row>
        <row r="940">
          <cell r="B940" t="str">
            <v>11-797-10-07</v>
          </cell>
          <cell r="C940" t="str">
            <v>Schere, Tenot., Stevens, geb, sp, 10 cm</v>
          </cell>
          <cell r="D940" t="str">
            <v>Scissors, Tenot., Stevens,Crvd,Poi.,10cm</v>
          </cell>
        </row>
        <row r="941">
          <cell r="B941" t="str">
            <v>11-801-10-07</v>
          </cell>
          <cell r="C941" t="str">
            <v>GAUMENSPALTENSCHERE, GEB., 10 CM</v>
          </cell>
          <cell r="D941" t="str">
            <v>CLEFT PALATE SCISSORS,  CVD., 10 CM</v>
          </cell>
        </row>
        <row r="942">
          <cell r="B942" t="str">
            <v>11-809-11-07</v>
          </cell>
          <cell r="C942" t="str">
            <v>PRÄPARIERSCHERE, KAYE, GEB., GEZ., 11 CM</v>
          </cell>
          <cell r="D942" t="str">
            <v>FACE LIFT SCISS., KAYE, CVD., 11 CM</v>
          </cell>
        </row>
        <row r="943">
          <cell r="B943" t="str">
            <v>11-819-13-07</v>
          </cell>
          <cell r="C943" t="str">
            <v>FADENSCHERE, NORTHBENT, ABGEB., 13 CM</v>
          </cell>
          <cell r="D943" t="str">
            <v>LIGAT. SCISSORS,  NORTHBENT, CVD., 13 CM</v>
          </cell>
        </row>
        <row r="944">
          <cell r="B944" t="str">
            <v>11-821-09-07</v>
          </cell>
          <cell r="C944" t="str">
            <v>Schere, Faden, O'Brien, abgew. 9 cm</v>
          </cell>
          <cell r="D944" t="str">
            <v>Scissor, Faden, O'Brien, angl., 9 cm</v>
          </cell>
        </row>
        <row r="945">
          <cell r="B945" t="str">
            <v>11-824-09-07</v>
          </cell>
          <cell r="C945" t="str">
            <v>LIGATURSCHERE, SPENCER,  GER., 9 CM</v>
          </cell>
          <cell r="D945" t="str">
            <v>LIGATURE  SCISSORS,  SPENCER,  STR., 9 CM</v>
          </cell>
        </row>
        <row r="946">
          <cell r="B946" t="str">
            <v>11-824-10-07</v>
          </cell>
          <cell r="C946" t="str">
            <v>Schere, Faden, Spencer, ger., 10,5 cm</v>
          </cell>
          <cell r="D946" t="str">
            <v>Scissor, Faden, Spencer, str., 10,5 cm</v>
          </cell>
        </row>
        <row r="947">
          <cell r="B947" t="str">
            <v>11-826-13-07</v>
          </cell>
          <cell r="C947" t="str">
            <v>LIGATURSCHERE, SPENCER,  GER., 13 CM</v>
          </cell>
          <cell r="D947" t="str">
            <v>LIGATURE  SCISSORS,  SPENCER,  STR., 13 CM</v>
          </cell>
        </row>
        <row r="948">
          <cell r="B948" t="str">
            <v>11-830-14-07</v>
          </cell>
          <cell r="C948" t="str">
            <v>LIGATURSCHERE, BUCK, GER., 14,5 CM</v>
          </cell>
          <cell r="D948" t="str">
            <v>LIGATURE  SCISSORS,  BUCK, STR., 14.5 CM</v>
          </cell>
        </row>
        <row r="949">
          <cell r="B949" t="str">
            <v>11-830-18-07</v>
          </cell>
          <cell r="C949" t="str">
            <v>LIGATURSCHERE, BUCK, GER., 18 CM</v>
          </cell>
          <cell r="D949" t="str">
            <v>LIGATURE  SCISSORS,  BUCK, STR., 18 CM</v>
          </cell>
        </row>
        <row r="950">
          <cell r="B950" t="str">
            <v>11-834-14-07</v>
          </cell>
          <cell r="C950" t="str">
            <v>LIGATURSCHERE, LITTAUER,  GER., 14 CM</v>
          </cell>
          <cell r="D950" t="str">
            <v>LIGATURE  SCISSORS,  LITTAUER,  STR., 14 CM</v>
          </cell>
        </row>
        <row r="951">
          <cell r="B951" t="str">
            <v>11-840-12-07</v>
          </cell>
          <cell r="C951" t="str">
            <v>LIGATURSCHERE, EISELSBERG, 12 CM</v>
          </cell>
          <cell r="D951" t="str">
            <v>LIGATURE  SCISSORS,  EISELSBERG, 12 CM</v>
          </cell>
        </row>
        <row r="952">
          <cell r="B952" t="str">
            <v>11-865-12-07</v>
          </cell>
          <cell r="C952" t="str">
            <v>UNIVERSAL-DRAHTSCHERE, ABGEW.,  12 CM</v>
          </cell>
          <cell r="D952" t="str">
            <v>WIRE SCISSORS,  UNIVERSAL, ANGLED,  12 CM</v>
          </cell>
        </row>
        <row r="953">
          <cell r="B953" t="str">
            <v>11-874-10-07</v>
          </cell>
          <cell r="C953" t="str">
            <v>DRAHTSCHERE, BEEBEE, SP/SP, GER., 10 CM</v>
          </cell>
          <cell r="D953" t="str">
            <v>WIRE SCISS., BEEBEE, SH/SH, STR., 10 CM</v>
          </cell>
        </row>
        <row r="954">
          <cell r="B954" t="str">
            <v>11-875-10-07</v>
          </cell>
          <cell r="C954" t="str">
            <v>DRAHTSCHERE, BEEBEE, SP/SP, GEB., 10 CM</v>
          </cell>
          <cell r="D954" t="str">
            <v>WIRE SCISS., BEEBEE, SH/SH, CVD., 10 CM</v>
          </cell>
        </row>
        <row r="955">
          <cell r="B955" t="str">
            <v>11-878-12-07</v>
          </cell>
          <cell r="C955" t="str">
            <v>DRAHTSCHERE, SP/SP, GER., GEZ., 12 CM</v>
          </cell>
          <cell r="D955" t="str">
            <v>WIRE SCISSORS,  SH/SH, STR., SERR., 12 CM</v>
          </cell>
        </row>
        <row r="956">
          <cell r="B956" t="str">
            <v>11-879-12-07</v>
          </cell>
          <cell r="C956" t="str">
            <v>DRAHTSCHERE, SP/SP, GEB., GEZ., 12 CM</v>
          </cell>
          <cell r="D956" t="str">
            <v>WIRE SCISSORS,  SH/SH, CVD., SERR., 12 CM</v>
          </cell>
        </row>
        <row r="957">
          <cell r="B957" t="str">
            <v>11-887-11-07</v>
          </cell>
          <cell r="C957" t="str">
            <v>Schere, Präparier,  Aquila, geb., 11,5 cm</v>
          </cell>
          <cell r="D957" t="str">
            <v>Scissors, dissecting,  Aquila,cvd.,11,5cm</v>
          </cell>
        </row>
        <row r="958">
          <cell r="B958" t="str">
            <v>11-887-18-07</v>
          </cell>
          <cell r="C958" t="str">
            <v>AQUILA PRÄPARIERSCHERE, GEB., 18 CM</v>
          </cell>
          <cell r="D958" t="str">
            <v>AQUILA DISSECTING SCISSORS,  CVD., 18 CM</v>
          </cell>
        </row>
        <row r="959">
          <cell r="B959" t="str">
            <v>11-887-20-07</v>
          </cell>
          <cell r="C959" t="str">
            <v>AQUILA PRÄPARIERSCHERE, GEB., 20,5 CM</v>
          </cell>
          <cell r="D959" t="str">
            <v>AQUILA DISSECT.  SCISSORS,  CVD., 20.5 CM</v>
          </cell>
        </row>
        <row r="960">
          <cell r="B960" t="str">
            <v>11-887-23-07</v>
          </cell>
          <cell r="C960" t="str">
            <v>AQUILA PRÄPARIERSCHERE, GEB., 23 CM</v>
          </cell>
          <cell r="D960" t="str">
            <v>AQUILA DISSECTING-SCISSORS, CVD., 23 CM</v>
          </cell>
        </row>
        <row r="961">
          <cell r="B961" t="str">
            <v>11-887-25-07</v>
          </cell>
          <cell r="C961" t="str">
            <v>AQUILA PRÄPARIERSCHERE, GEB., 25 CM</v>
          </cell>
          <cell r="D961" t="str">
            <v>AQUILA DISSECTING-SCISSORS, CVD., 25 CM</v>
          </cell>
        </row>
        <row r="962">
          <cell r="B962" t="str">
            <v>11-887-30-07</v>
          </cell>
          <cell r="C962" t="str">
            <v>AQUILA PRÄPARIERSCHERE, GEB., 30 CM</v>
          </cell>
          <cell r="D962" t="str">
            <v>AQUILA DISSECTING-SCISSORS, CVD., 30 CM</v>
          </cell>
        </row>
        <row r="963">
          <cell r="B963" t="str">
            <v>11-889-14-07</v>
          </cell>
          <cell r="C963" t="str">
            <v>AQUILA PRÄP.-SCHERE, FEIN, GEB., 14,5 CM</v>
          </cell>
          <cell r="D963" t="str">
            <v>AQUILA SCISSORS,  CVD., FINE, 14.5 CM</v>
          </cell>
        </row>
        <row r="964">
          <cell r="B964" t="str">
            <v>11-889-18-07</v>
          </cell>
          <cell r="C964" t="str">
            <v>AQUILA PRÄP.-SCHERE, FEIN, GEB., 18 CM</v>
          </cell>
          <cell r="D964" t="str">
            <v>AQUILA SCISSORS,  CVD., FINE, 18 CM</v>
          </cell>
        </row>
        <row r="965">
          <cell r="B965" t="str">
            <v>11-893-17-07</v>
          </cell>
          <cell r="C965" t="str">
            <v>AQUILA SCHERE, EXTRA FEIN, GEB., 17,5 CM</v>
          </cell>
          <cell r="D965" t="str">
            <v>AQUILA SCISS., CVD., EXTRA FINE, 17.5 CM</v>
          </cell>
        </row>
        <row r="966">
          <cell r="B966" t="str">
            <v>11-895-16-07</v>
          </cell>
          <cell r="C966" t="str">
            <v>AQUILA SCHERE, MAYO-LEXER, GEB., 16 CM</v>
          </cell>
          <cell r="D966" t="str">
            <v>AQUILA SCISSORS,  MAYO-LEXER, CVD., 16 CM</v>
          </cell>
        </row>
        <row r="967">
          <cell r="B967" t="str">
            <v>11-902-14-07</v>
          </cell>
          <cell r="C967" t="str">
            <v>TC-SCHERE, CHIR., ST/ST, GER., 14,5 CM</v>
          </cell>
          <cell r="D967" t="str">
            <v>TC-SCISSORS, BL/BL, STR., 14.5 CM</v>
          </cell>
        </row>
        <row r="968">
          <cell r="B968" t="str">
            <v>11-903-14-07</v>
          </cell>
          <cell r="C968" t="str">
            <v>TC-SCHERE, CHIR., ST/ST, GEB., 14,5 CM</v>
          </cell>
          <cell r="D968" t="str">
            <v>TC-SCISSORS, BL/BL, CVD., 14.5 CM</v>
          </cell>
        </row>
        <row r="969">
          <cell r="B969" t="str">
            <v>11-904-14-07</v>
          </cell>
          <cell r="C969" t="str">
            <v>TC-SCHERE, CHIR., SP/ST, GER., 14,5 CM</v>
          </cell>
          <cell r="D969" t="str">
            <v>TC-SCISSORS, SH/BL, STR., 14.5 CM</v>
          </cell>
        </row>
        <row r="970">
          <cell r="B970" t="str">
            <v>11-905-14-07</v>
          </cell>
          <cell r="C970" t="str">
            <v>TC-SCHERE, CHIR., SP/ST, GEB., 14,5 CM</v>
          </cell>
          <cell r="D970" t="str">
            <v>TC-SCISSORS, SH/BL, CVD., 14.5 CM</v>
          </cell>
        </row>
        <row r="971">
          <cell r="B971" t="str">
            <v>11-906-14-07</v>
          </cell>
          <cell r="C971" t="str">
            <v>TC-SCHERE, CHIR., SP/SP, GER., 14,5 CM</v>
          </cell>
          <cell r="D971" t="str">
            <v>TC-SCISSORS, SH/SH, STR., 14.5 CM</v>
          </cell>
        </row>
        <row r="972">
          <cell r="B972" t="str">
            <v>11-907-14-07</v>
          </cell>
          <cell r="C972" t="str">
            <v>TC-SCHERE, CHIR., SP/SP, GEB., 14,5 CM</v>
          </cell>
          <cell r="D972" t="str">
            <v>TC-SCISSORS, SH/SH, CVD., 14.5 CM</v>
          </cell>
        </row>
        <row r="973">
          <cell r="B973" t="str">
            <v>11-910-14-07</v>
          </cell>
          <cell r="C973" t="str">
            <v>TC-SCHERE, MAYO, GER., 14,5 CM</v>
          </cell>
          <cell r="D973" t="str">
            <v>TC-SCISSORS, MAYO, STR., 14.5 CM</v>
          </cell>
        </row>
        <row r="974">
          <cell r="B974" t="str">
            <v>11-910-17-07</v>
          </cell>
          <cell r="C974" t="str">
            <v>TC-SCHERE, MAYO, GER., 17 CM</v>
          </cell>
          <cell r="D974" t="str">
            <v>TC-SCISSORS, MAYO, STR., 17 CM</v>
          </cell>
        </row>
        <row r="975">
          <cell r="B975" t="str">
            <v>11-910-23-07</v>
          </cell>
          <cell r="C975" t="str">
            <v>TC-SCHERE, MAYO, GER., 23 CM</v>
          </cell>
          <cell r="D975" t="str">
            <v>TC-SCISSORS, MAYO, STR., 23 CM</v>
          </cell>
        </row>
        <row r="976">
          <cell r="B976" t="str">
            <v>11-911-14-07</v>
          </cell>
          <cell r="C976" t="str">
            <v>TC-SCHERE, MAYO, GEB., 14,5 CM</v>
          </cell>
          <cell r="D976" t="str">
            <v>TC-SCISSORS, MAYO, CVD., 14.5 CM</v>
          </cell>
        </row>
        <row r="977">
          <cell r="B977" t="str">
            <v>11-911-17-07</v>
          </cell>
          <cell r="C977" t="str">
            <v>TC-SCHERE, MAYO, GEB., 17 CM</v>
          </cell>
          <cell r="D977" t="str">
            <v>TC-SCISSORS, MAYO, CVD., 17 CM</v>
          </cell>
        </row>
        <row r="978">
          <cell r="B978" t="str">
            <v>11-911-23-07</v>
          </cell>
          <cell r="C978" t="str">
            <v>TC-SCHERE, MAYO, GEB., 23 CM</v>
          </cell>
          <cell r="D978" t="str">
            <v>TC-SCISSORS, MAYO, CVD., 23 CM</v>
          </cell>
        </row>
        <row r="979">
          <cell r="B979" t="str">
            <v>11-914-14-07</v>
          </cell>
          <cell r="C979" t="str">
            <v>TC-LIGATURSCHERE, GEB., GEZ., 14,5 CM</v>
          </cell>
          <cell r="D979" t="str">
            <v>TC-Ligature sciss., cvd., serr., 14,5 cm</v>
          </cell>
        </row>
        <row r="980">
          <cell r="B980" t="str">
            <v>11-914-18-07</v>
          </cell>
          <cell r="C980" t="str">
            <v>TC-LIGATURSCHERE, GEB., GEZ., 18 CM</v>
          </cell>
          <cell r="D980" t="str">
            <v>TC-Ligature sciss., cvd., serr., 18 cm</v>
          </cell>
        </row>
        <row r="981">
          <cell r="B981" t="str">
            <v>11-914-20-07</v>
          </cell>
          <cell r="C981" t="str">
            <v>TC-LIGATURSCHERE, GEB., GEZ., 20,5 CM</v>
          </cell>
          <cell r="D981" t="str">
            <v>TC-Ligature sciss., cvd., serr., 20,5 cm</v>
          </cell>
        </row>
        <row r="982">
          <cell r="B982" t="str">
            <v>11-914-23-07</v>
          </cell>
          <cell r="C982" t="str">
            <v>TC-LIGATURSCHERE, GEB., GEZ., 23 CM</v>
          </cell>
          <cell r="D982" t="str">
            <v>TC-Ligature sciss., cvd., serr., 23 cm</v>
          </cell>
        </row>
        <row r="983">
          <cell r="B983" t="str">
            <v>11-914-25-07</v>
          </cell>
          <cell r="C983" t="str">
            <v>TC-LIGATURSCHERE, GEB., GEZ., 25 CM</v>
          </cell>
          <cell r="D983" t="str">
            <v>TC-Ligature sciss., cvd., serr., 25 cm</v>
          </cell>
        </row>
        <row r="984">
          <cell r="B984" t="str">
            <v>11-914-30-07</v>
          </cell>
          <cell r="C984" t="str">
            <v>TC-LIGATURSCHERE, GEB., GEZ. 30 CM</v>
          </cell>
          <cell r="D984" t="str">
            <v>TC-Ligature sciss., cvd., serr., 30 cm</v>
          </cell>
        </row>
        <row r="985">
          <cell r="B985" t="str">
            <v>11-915-14-07</v>
          </cell>
          <cell r="C985" t="str">
            <v>TC-LIGATURSCHERE, GEB., GEZ., 14,5 CM</v>
          </cell>
          <cell r="D985" t="str">
            <v>TC-Ligature sciss., cvd., serr., 14,5 cm</v>
          </cell>
        </row>
        <row r="986">
          <cell r="B986" t="str">
            <v>11-915-17-07</v>
          </cell>
          <cell r="C986" t="str">
            <v>TC-LIGATURSCHERE, GEB., GEZ., 17 CM</v>
          </cell>
          <cell r="D986" t="str">
            <v>TC-Ligature sciss., cvd., serr., 17 cm</v>
          </cell>
        </row>
        <row r="987">
          <cell r="B987" t="str">
            <v>11-915-23-07</v>
          </cell>
          <cell r="C987" t="str">
            <v>TC-LIGATURSCHERE, GEB., GEZ., 23 CM</v>
          </cell>
          <cell r="D987" t="str">
            <v>TC-Ligature sciss., cvd., serr., 23 cm</v>
          </cell>
        </row>
        <row r="988">
          <cell r="B988" t="str">
            <v>11-916-14-07</v>
          </cell>
          <cell r="C988" t="str">
            <v>TCC-Blackline-Schere, Präp., ger., 14 cm</v>
          </cell>
          <cell r="D988" t="str">
            <v>TCC-Blackline-Scissor, Diss., str., 14cm</v>
          </cell>
        </row>
        <row r="989">
          <cell r="B989" t="str">
            <v>11-916-18-07</v>
          </cell>
          <cell r="C989" t="str">
            <v>TCC-Blackline-Schere, Präp., ger., 18 cm</v>
          </cell>
          <cell r="D989" t="str">
            <v>TCC-Blackline-Scissor, Diss., str., 18cm</v>
          </cell>
        </row>
        <row r="990">
          <cell r="B990" t="str">
            <v>11-916-20-07</v>
          </cell>
          <cell r="C990" t="str">
            <v>TCC-Blackline-Schere, Präp., ger., 20 cm</v>
          </cell>
          <cell r="D990" t="str">
            <v>TCC-Blackline-Scissor, Diss., str., 20cm</v>
          </cell>
        </row>
        <row r="991">
          <cell r="B991" t="str">
            <v>11-917-11-07</v>
          </cell>
          <cell r="C991" t="str">
            <v>Schere, Präp., TCC Blackline,geb.,11,5cm</v>
          </cell>
          <cell r="D991" t="str">
            <v>Sciss., diss., TCC Blackline,cvd.,11,5cm</v>
          </cell>
        </row>
        <row r="992">
          <cell r="B992" t="str">
            <v>11-917-18-07</v>
          </cell>
          <cell r="C992" t="str">
            <v>TCC-BLACKLINE PRÄP.-SCHERE, GEB., 18 CM</v>
          </cell>
          <cell r="D992" t="str">
            <v>TCC BLACKLINE  DISS. SCISS., CVD., 18 CM</v>
          </cell>
        </row>
        <row r="993">
          <cell r="B993" t="str">
            <v>11-917-20-07</v>
          </cell>
          <cell r="C993" t="str">
            <v>TCC-BLACKLINE PRÄP.-SCHERE, GEB., 20,5CM</v>
          </cell>
          <cell r="D993" t="str">
            <v>TCC BLACKLINE  DISS. SCISS., CVD., 20.5CM</v>
          </cell>
        </row>
        <row r="994">
          <cell r="B994" t="str">
            <v>11-917-23-07</v>
          </cell>
          <cell r="C994" t="str">
            <v>TCC-BLACKLINE PRÄP.-SCHERE, GEB., 23 CM</v>
          </cell>
          <cell r="D994" t="str">
            <v>TCC BLACKLINE  DISS. SCISS., CVD., 23 CM</v>
          </cell>
        </row>
        <row r="995">
          <cell r="B995" t="str">
            <v>11-917-25-07</v>
          </cell>
          <cell r="C995" t="str">
            <v>TCC-BLACKLINE PRÄP.-SCHERE, GEB., 25 CM</v>
          </cell>
          <cell r="D995" t="str">
            <v>TCC BLACKLINE  DISS. SCISS., CVD., 25 CM</v>
          </cell>
        </row>
        <row r="996">
          <cell r="B996" t="str">
            <v>11-917-30-07</v>
          </cell>
          <cell r="C996" t="str">
            <v>TCC-BLACKLINE PRÄP.-SCHERE, GEB., 30 CM</v>
          </cell>
          <cell r="D996" t="str">
            <v>TCC BLACKLINE  DISS. SCISS., CVD., 30 CM</v>
          </cell>
        </row>
        <row r="997">
          <cell r="B997" t="str">
            <v>11-919-14-07</v>
          </cell>
          <cell r="C997" t="str">
            <v>TCC-BLACKLINE PRÄP.-SCHERE, GEB., 14,5CM</v>
          </cell>
          <cell r="D997" t="str">
            <v>TCC BLACKLINE  DISS. SCISS., CVD., 14.5CM</v>
          </cell>
        </row>
        <row r="998">
          <cell r="B998" t="str">
            <v>11-919-18-07</v>
          </cell>
          <cell r="C998" t="str">
            <v>TCC-BLACKLINE PRÄP.-SCHERE, GEB. 18 CM</v>
          </cell>
          <cell r="D998" t="str">
            <v>TCC BLACKLINE  DISS. SCISS., CVD., 18 CM</v>
          </cell>
        </row>
        <row r="999">
          <cell r="B999" t="str">
            <v>11-921-17-07</v>
          </cell>
          <cell r="C999" t="str">
            <v>TCC-BLACKLINE SCHERE, FEIN, GEB., 17 CM</v>
          </cell>
          <cell r="D999" t="str">
            <v>TCC-BLACKLINE SCISS., FINE, CVD., 17 CM</v>
          </cell>
        </row>
        <row r="1000">
          <cell r="B1000" t="str">
            <v>11-923-16-07</v>
          </cell>
          <cell r="C1000" t="str">
            <v>TCC-BLACKLINE PRÄP.-SCHERE, GEB., 16 CM</v>
          </cell>
          <cell r="D1000" t="str">
            <v>TCC-BLACKLINE DISS. SCISS., CVD., 16 CM</v>
          </cell>
        </row>
        <row r="1001">
          <cell r="B1001" t="str">
            <v>11-925-20-07</v>
          </cell>
          <cell r="C1001" t="str">
            <v>TCC-BLACKLINE UTERUSSCHERE, GEB., 20 CM</v>
          </cell>
          <cell r="D1001" t="str">
            <v>TCC-BLACKLINE UTERINE  SCISS., CVD., 20CM</v>
          </cell>
        </row>
        <row r="1002">
          <cell r="B1002" t="str">
            <v>11-925-23-07</v>
          </cell>
          <cell r="C1002" t="str">
            <v>TCC-BLACKLINE UTERUSSCHERE, GEB., 23 CM</v>
          </cell>
          <cell r="D1002" t="str">
            <v>TCC-BLACKLINE UTERINE  SCISS., CVD., 23CM</v>
          </cell>
        </row>
        <row r="1003">
          <cell r="B1003" t="str">
            <v>11-930-15-07</v>
          </cell>
          <cell r="C1003" t="str">
            <v>TC-SCHERE, MAYO-STILLE, GER., 14,5 CM</v>
          </cell>
          <cell r="D1003" t="str">
            <v>TC-SCISSORS, MAYO-STILLE, STR., 14.5 CM</v>
          </cell>
        </row>
        <row r="1004">
          <cell r="B1004" t="str">
            <v>11-930-17-07</v>
          </cell>
          <cell r="C1004" t="str">
            <v>TC-SCHERE, MAYO-STILLE, GER., 17 CM</v>
          </cell>
          <cell r="D1004" t="str">
            <v>TC-SCISSORS, MAYO-STILLE, STR., 17 CM</v>
          </cell>
        </row>
        <row r="1005">
          <cell r="B1005" t="str">
            <v>11-931-15-07</v>
          </cell>
          <cell r="C1005" t="str">
            <v>TC-SCHERE, MAYO-STILLE, GEB., 14,5 CM</v>
          </cell>
          <cell r="D1005" t="str">
            <v>TC-SCISSORS, MAYO-STILLE, CVD., 14.5 CM</v>
          </cell>
        </row>
        <row r="1006">
          <cell r="B1006" t="str">
            <v>11-931-17-07</v>
          </cell>
          <cell r="C1006" t="str">
            <v>TC-SCHERE, MAYO-STILLE, GEB., 17 CM</v>
          </cell>
          <cell r="D1006" t="str">
            <v>TC-SCISSORS, MAYO-STILLE, CVD., 17 CM</v>
          </cell>
        </row>
        <row r="1007">
          <cell r="B1007" t="str">
            <v>11-934-12-07</v>
          </cell>
          <cell r="C1007" t="str">
            <v>TC-Schere,  Präp., Knapp, ger., 12,5 cm</v>
          </cell>
          <cell r="D1007" t="str">
            <v>TC-Scissor,  Diss., Knapp, str., 12,5 cm</v>
          </cell>
        </row>
        <row r="1008">
          <cell r="B1008" t="str">
            <v>11-935-12-07</v>
          </cell>
          <cell r="C1008" t="str">
            <v>TC-Schere,  Präp., Knapp, geb., 12,5 cm</v>
          </cell>
          <cell r="D1008" t="str">
            <v>TC-Scissor,  Diss., Knapp, cvd., 12,5 cm</v>
          </cell>
        </row>
        <row r="1009">
          <cell r="B1009" t="str">
            <v>11-936-11-07</v>
          </cell>
          <cell r="C1009" t="str">
            <v>TC-PRÄPARIERSCHERE, GER., 11,5 CM</v>
          </cell>
          <cell r="D1009" t="str">
            <v>TC-DISSECTING SCISSORS,  STR., 11.5 CM</v>
          </cell>
        </row>
        <row r="1010">
          <cell r="B1010" t="str">
            <v>11-937-11-07</v>
          </cell>
          <cell r="C1010" t="str">
            <v>TC-PRÄPARIERSCHERE, GEB., 11,5 CM</v>
          </cell>
          <cell r="D1010" t="str">
            <v>TC-DISSECTING SCISSORS,  CVD., 11.5 CM</v>
          </cell>
        </row>
        <row r="1011">
          <cell r="B1011" t="str">
            <v>11-938-14-07</v>
          </cell>
          <cell r="C1011" t="str">
            <v>TC-PRÄPARIERSCHERE, GER., 14,5 CM</v>
          </cell>
          <cell r="D1011" t="str">
            <v>TC-DISSECTING SCISSORS,  STR., 14.5 CM</v>
          </cell>
        </row>
        <row r="1012">
          <cell r="B1012" t="str">
            <v>11-939-14-07</v>
          </cell>
          <cell r="C1012" t="str">
            <v>TC-PRÄPARIERSCHERE, GEB., 14,5 CM</v>
          </cell>
          <cell r="D1012" t="str">
            <v>TC-DISSECTING SCISSORS,  CVD., 14.5 CM</v>
          </cell>
        </row>
        <row r="1013">
          <cell r="B1013" t="str">
            <v>11-942-18-07</v>
          </cell>
          <cell r="C1013" t="str">
            <v>TC-PRÄPARIERSCHERE, GER., 18 CM</v>
          </cell>
          <cell r="D1013" t="str">
            <v>TC-DISSECTING SCISSORS,  STR., 18 CM</v>
          </cell>
        </row>
        <row r="1014">
          <cell r="B1014" t="str">
            <v>11-942-20-07</v>
          </cell>
          <cell r="C1014" t="str">
            <v>TC-PRÄPARIERSCHERE, GER., 20,5 CM</v>
          </cell>
          <cell r="D1014" t="str">
            <v>TC-DISSECTING SCISSORS,  STR., 20.5 CM</v>
          </cell>
        </row>
        <row r="1015">
          <cell r="B1015" t="str">
            <v>11-942-23-07</v>
          </cell>
          <cell r="C1015" t="str">
            <v>TC-PRÄPARIERSCHERE, GER., 23 CM</v>
          </cell>
          <cell r="D1015" t="str">
            <v>TC-DISSECTING SCISSORS,  STR., 23 CM</v>
          </cell>
        </row>
        <row r="1016">
          <cell r="B1016" t="str">
            <v>11-942-25-07</v>
          </cell>
          <cell r="C1016" t="str">
            <v>TC-PRÄPARIERSCHERE, GER., 26 CM</v>
          </cell>
          <cell r="D1016" t="str">
            <v>TC-DISSECTING SCISSORS,  STR., 26 CM</v>
          </cell>
        </row>
        <row r="1017">
          <cell r="B1017" t="str">
            <v>11-942-28-07</v>
          </cell>
          <cell r="C1017" t="str">
            <v>TC-PRÄPARIERSCHERE, GER., 28,5 CM</v>
          </cell>
          <cell r="D1017" t="str">
            <v>TC-DISSECTING SCISSORS,  STR., 28.5 CM</v>
          </cell>
        </row>
        <row r="1018">
          <cell r="B1018" t="str">
            <v>11-942-30-07</v>
          </cell>
          <cell r="C1018" t="str">
            <v>TC-PRÄPARIERSCHERE, GER., 31 CM</v>
          </cell>
          <cell r="D1018" t="str">
            <v>TC-DISSECTING SCISSORS,  STR., 31 CM</v>
          </cell>
        </row>
        <row r="1019">
          <cell r="B1019" t="str">
            <v>11-943-18-07</v>
          </cell>
          <cell r="C1019" t="str">
            <v>TC-Präparierschere, geb., 18 cm</v>
          </cell>
          <cell r="D1019" t="str">
            <v>TC-Dissecting Scissors, cvd., 18 cm</v>
          </cell>
        </row>
        <row r="1020">
          <cell r="B1020" t="str">
            <v>11-943-20-07</v>
          </cell>
          <cell r="C1020" t="str">
            <v>TC-PRÄPARIERSCHERE, GEB., 20,5 CM</v>
          </cell>
          <cell r="D1020" t="str">
            <v>TC-DISSECTING SCISSORS,  CVD., 20.5 CM</v>
          </cell>
        </row>
        <row r="1021">
          <cell r="B1021" t="str">
            <v>11-943-23-07</v>
          </cell>
          <cell r="C1021" t="str">
            <v>TC-PRÄPARIERSCHERE, GEB., 23 CM</v>
          </cell>
          <cell r="D1021" t="str">
            <v>TC-DISSECTING SCISSORS,  CVD., 23 CM</v>
          </cell>
        </row>
        <row r="1022">
          <cell r="B1022" t="str">
            <v>11-943-25-07</v>
          </cell>
          <cell r="C1022" t="str">
            <v>TC-PRÄPARIERSCHERE, GEB., 26 CM</v>
          </cell>
          <cell r="D1022" t="str">
            <v>TC-DISSECTING SCISSORS,  CVD., 26 CM</v>
          </cell>
        </row>
        <row r="1023">
          <cell r="B1023" t="str">
            <v>11-943-28-07</v>
          </cell>
          <cell r="C1023" t="str">
            <v>TC-PRÄPARIERSCHERE, GEB., 28,5 CM</v>
          </cell>
          <cell r="D1023" t="str">
            <v>TC-DISSECTING SCISSORS,  CVD., 28.5 CM</v>
          </cell>
        </row>
        <row r="1024">
          <cell r="B1024" t="str">
            <v>11-943-30-07</v>
          </cell>
          <cell r="C1024" t="str">
            <v>TC-PRÄPARIERSCHERE, GEB., 30 CM</v>
          </cell>
          <cell r="D1024" t="str">
            <v>TC-DISSECTING SCISSORS,  CVD., 30 CM</v>
          </cell>
        </row>
        <row r="1025">
          <cell r="B1025" t="str">
            <v>11-945-20-07</v>
          </cell>
          <cell r="C1025" t="str">
            <v>TC-SCHERE, METZENBAUM-THOREK, 20 CM</v>
          </cell>
          <cell r="D1025" t="str">
            <v>TC-SCISSORS, METZENBAUM-THOREK, 20 CM</v>
          </cell>
        </row>
        <row r="1026">
          <cell r="B1026" t="str">
            <v>11-945-23-07</v>
          </cell>
          <cell r="C1026" t="str">
            <v>TC-SCHERE, METZENBAUM-THOREK, 23 CM</v>
          </cell>
          <cell r="D1026" t="str">
            <v>TC-SCISSORS, METZENBAUM-THOREK, 23 CM</v>
          </cell>
        </row>
        <row r="1027">
          <cell r="B1027" t="str">
            <v>11-945-28-07</v>
          </cell>
          <cell r="C1027" t="str">
            <v>TC-SCHERE, METZENBAUM-THOREK, 28 CM</v>
          </cell>
          <cell r="D1027" t="str">
            <v>TC-SCISSORS, METZENBAUM-THOREK, 28 CM</v>
          </cell>
        </row>
        <row r="1028">
          <cell r="B1028" t="str">
            <v>11-948-14-07</v>
          </cell>
          <cell r="C1028" t="str">
            <v>TC-SCHERE, JOSEPH, SP/SP, GER., 14,5 CM</v>
          </cell>
          <cell r="D1028" t="str">
            <v>TC-SCISS.,  JOSEPH, SH/SH, STR., 14.5 CM</v>
          </cell>
        </row>
        <row r="1029">
          <cell r="B1029" t="str">
            <v>11-949-14-07</v>
          </cell>
          <cell r="C1029" t="str">
            <v>TC-SCHERE, JOSEPH, SP/SP, GEB., 14,5 CM</v>
          </cell>
          <cell r="D1029" t="str">
            <v>TC-SCISS.,  JOSEPH, SH/SH, CVD., 14.5 CM</v>
          </cell>
        </row>
        <row r="1030">
          <cell r="B1030" t="str">
            <v>11-950-10-07</v>
          </cell>
          <cell r="C1030" t="str">
            <v>TC-Schere,  Präp., Lexer, ger., 10 cm</v>
          </cell>
          <cell r="D1030" t="str">
            <v>TC-Scissor,  Diss., Lexer, str., 10 cm</v>
          </cell>
        </row>
        <row r="1031">
          <cell r="B1031" t="str">
            <v>11-950-16-07</v>
          </cell>
          <cell r="C1031" t="str">
            <v>TC-SCHERE, LEXER, FEIN, GER., 16 CM</v>
          </cell>
          <cell r="D1031" t="str">
            <v>TC-SCISSORS, LEXER, FINE, STR., 16 CM</v>
          </cell>
        </row>
        <row r="1032">
          <cell r="B1032" t="str">
            <v>11-950-21-07</v>
          </cell>
          <cell r="C1032" t="str">
            <v>TC-SCHERE, LEXER, FEIN, GER., 21 CM</v>
          </cell>
          <cell r="D1032" t="str">
            <v>TC-SCISSORS, LEXER, FINE, STR., 21 CM</v>
          </cell>
        </row>
        <row r="1033">
          <cell r="B1033" t="str">
            <v>11-951-10-07</v>
          </cell>
          <cell r="C1033" t="str">
            <v>TC-Schere,  Präp., Lexer, geb., 10 cm</v>
          </cell>
          <cell r="D1033" t="str">
            <v>TC-Scissor,  Diss., Lexer, cvd., 10 cm</v>
          </cell>
        </row>
        <row r="1034">
          <cell r="B1034" t="str">
            <v>11-951-16-07</v>
          </cell>
          <cell r="C1034" t="str">
            <v>TC-SCHERE, LEXER, FEIN, GEB., 16 CM</v>
          </cell>
          <cell r="D1034" t="str">
            <v>TC-SCISSORS, LEXER, FINE, CVD., 16 CM</v>
          </cell>
        </row>
        <row r="1035">
          <cell r="B1035" t="str">
            <v>11-951-21-07</v>
          </cell>
          <cell r="C1035" t="str">
            <v>TC-SCHERE, LEXER, FEIN, GEB., 21 CM</v>
          </cell>
          <cell r="D1035" t="str">
            <v>TC-SCISSORS, LEXER, FINE, CVD., 21 CM</v>
          </cell>
        </row>
        <row r="1036">
          <cell r="B1036" t="str">
            <v>11-953-16-07</v>
          </cell>
          <cell r="C1036" t="str">
            <v>TC-SCHERE, MAYO-LEXER, GEB., 16 CM</v>
          </cell>
          <cell r="D1036" t="str">
            <v>TC-SCISSORS, MAYO-LEXER, CVD., 16 CM</v>
          </cell>
        </row>
        <row r="1037">
          <cell r="B1037" t="str">
            <v>11-954-14-07</v>
          </cell>
          <cell r="C1037" t="str">
            <v>TC-PRÄPARIERSCHERE, FEIN, GER., 14,5 CM</v>
          </cell>
          <cell r="D1037" t="str">
            <v>TC-DISS. SCISSORS,  FINE, STR., 14.5 CM</v>
          </cell>
        </row>
        <row r="1038">
          <cell r="B1038" t="str">
            <v>11-955-14-07</v>
          </cell>
          <cell r="C1038" t="str">
            <v>TC-PRÄPARIERSCHERE, FEIN, GEB., 14,5 CM</v>
          </cell>
          <cell r="D1038" t="str">
            <v>TC-DISS. SCISSORS,  FINE, CVD., 14.5 CM</v>
          </cell>
        </row>
        <row r="1039">
          <cell r="B1039" t="str">
            <v>11-956-14-07</v>
          </cell>
          <cell r="C1039" t="str">
            <v>TC-PRÄPARIERSCHERE, SP/SP, GER., 14,5 CM</v>
          </cell>
          <cell r="D1039" t="str">
            <v>TC-DISS. SCISSORS,  SH/SH, STR., 14.5 CM</v>
          </cell>
        </row>
        <row r="1040">
          <cell r="B1040" t="str">
            <v>11-957-14-07</v>
          </cell>
          <cell r="C1040" t="str">
            <v>TC-PRÄPARIERSCHERE, SP/SP, GEB., 14,5 CM</v>
          </cell>
          <cell r="D1040" t="str">
            <v>TC-DISS. SCISSORS,  SH/SH, CVD., 14.5 CM</v>
          </cell>
        </row>
        <row r="1041">
          <cell r="B1041" t="str">
            <v>11-960-18-07</v>
          </cell>
          <cell r="C1041" t="str">
            <v>TC-PRÄPARIERSCHERE, FEIN, GER., 18 CM</v>
          </cell>
          <cell r="D1041" t="str">
            <v>TC-DISS. SCISSORS,  FINE, STR., 18 CM</v>
          </cell>
        </row>
        <row r="1042">
          <cell r="B1042" t="str">
            <v>11-961-18-07</v>
          </cell>
          <cell r="C1042" t="str">
            <v>TC-PRÄPARIERSCHERE, FEIN, GEB., 18 CM</v>
          </cell>
          <cell r="D1042" t="str">
            <v>TC-DISS. SCISSORS,  FINE, CVD., 18 CM</v>
          </cell>
        </row>
        <row r="1043">
          <cell r="B1043" t="str">
            <v>11-961-20-07</v>
          </cell>
          <cell r="C1043" t="str">
            <v>TC-PRÄPARIERSCHERE, FEIN, GEB., 20,5 CM</v>
          </cell>
          <cell r="D1043" t="str">
            <v>TC-DISS. SCISSORS,  FINE, CVD., 20.5 CM</v>
          </cell>
        </row>
        <row r="1044">
          <cell r="B1044" t="str">
            <v>11-961-23-07</v>
          </cell>
          <cell r="C1044" t="str">
            <v>TC-PRÄPARIERSCHERE, FEIN, GEB., 23 CM</v>
          </cell>
          <cell r="D1044" t="str">
            <v>TC-DISS. SCISSORS,  FINE, CVD., 23 CM</v>
          </cell>
        </row>
        <row r="1045">
          <cell r="B1045" t="str">
            <v>11-961-25-07</v>
          </cell>
          <cell r="C1045" t="str">
            <v>TC-PRÄPARIERSCHERE, FEIN, GEB., 26 CM</v>
          </cell>
          <cell r="D1045" t="str">
            <v>TC-DISS. SCISSORS,  FINE, CVD., 26 CM</v>
          </cell>
        </row>
        <row r="1046">
          <cell r="B1046" t="str">
            <v>11-961-28-07</v>
          </cell>
          <cell r="C1046" t="str">
            <v>TC-PRÄPARIERSCHERE, FEIN, GEB., 28,5 CM</v>
          </cell>
          <cell r="D1046" t="str">
            <v>TC-DISS. SCISSORS,  FINE, CVD., 28.5 CM</v>
          </cell>
        </row>
        <row r="1047">
          <cell r="B1047" t="str">
            <v>11-962-18-07</v>
          </cell>
          <cell r="C1047" t="str">
            <v>TC-PRÄPARIERSCHERE, SP/SP, GER., 18 CM</v>
          </cell>
          <cell r="D1047" t="str">
            <v>TC-DISS. SCISSORS,  SH/SH, STR., 18 CM</v>
          </cell>
        </row>
        <row r="1048">
          <cell r="B1048" t="str">
            <v>11-962-20-07</v>
          </cell>
          <cell r="C1048" t="str">
            <v>TC-PRÄPARIERSCHERE, SP/SP, GER., 20 CM</v>
          </cell>
          <cell r="D1048" t="str">
            <v>TC-DISS. SCISSORS,  SH/SH, STR., 20 CM</v>
          </cell>
        </row>
        <row r="1049">
          <cell r="B1049" t="str">
            <v>11-962-23-07</v>
          </cell>
          <cell r="C1049" t="str">
            <v>TC-Präparierschere, sp/sp, ger., 23 cm</v>
          </cell>
          <cell r="D1049" t="str">
            <v>TC-Diss. scissors, sh/sh, str., 23 cm</v>
          </cell>
        </row>
        <row r="1050">
          <cell r="B1050" t="str">
            <v>11-965-14-07</v>
          </cell>
          <cell r="C1050" t="str">
            <v>TC-PRÄP.-SCHERE, LAHEY, GEB., 14,5 CM</v>
          </cell>
          <cell r="D1050" t="str">
            <v>TC-DISS. SCISSORS,  LAHEY, CVD., 14.5 CM</v>
          </cell>
        </row>
        <row r="1051">
          <cell r="B1051" t="str">
            <v>11-965-17-07</v>
          </cell>
          <cell r="C1051" t="str">
            <v>TC-PRÄP.-SCHERE, TOENNIS,  GEB., 17,5 CM</v>
          </cell>
          <cell r="D1051" t="str">
            <v>TC-DISS. SCISS., TOENNIS,  CVD., 17.5 CM</v>
          </cell>
        </row>
        <row r="1052">
          <cell r="B1052" t="str">
            <v>11-965-20-07</v>
          </cell>
          <cell r="C1052" t="str">
            <v>TC-PRÄPARIERSCHERE, FEIN, GEB., 20,5 CM</v>
          </cell>
          <cell r="D1052" t="str">
            <v>TC-DISS. SCISSORS,  FINE, CVD., 20.5 CM</v>
          </cell>
        </row>
        <row r="1053">
          <cell r="B1053" t="str">
            <v>11-965-23-07</v>
          </cell>
          <cell r="C1053" t="str">
            <v>TC-PRÄPARIERSCHERE, FEIN, GEB., 23 CM</v>
          </cell>
          <cell r="D1053" t="str">
            <v>TC-DISS. SCISSORS,  FINE, CVD., 23 CM</v>
          </cell>
        </row>
        <row r="1054">
          <cell r="B1054" t="str">
            <v>11-967-18-07</v>
          </cell>
          <cell r="C1054" t="str">
            <v>TC-PRÄPARIERSCHERE, FEIN, S-FORM, 18 CM</v>
          </cell>
          <cell r="D1054" t="str">
            <v>TC-DISS. SCISSORS,  FINE, S-SHAPE,  18 CM</v>
          </cell>
        </row>
        <row r="1055">
          <cell r="B1055" t="str">
            <v>11-967-20-07</v>
          </cell>
          <cell r="C1055" t="str">
            <v>TC-PRÄP.-SCHERE, FEIN, S-FORM, 20,5 CM</v>
          </cell>
          <cell r="D1055" t="str">
            <v>TC-DISS. SCISSORS,  FINE, S-SHA., 20.5 CM</v>
          </cell>
        </row>
        <row r="1056">
          <cell r="B1056" t="str">
            <v>11-967-23-07</v>
          </cell>
          <cell r="C1056" t="str">
            <v>TC-PRÄPARIERSCHERE, FEIN, S-FORM, 23 CM</v>
          </cell>
          <cell r="D1056" t="str">
            <v>TC-DISS. SCISSORS,  FINE, S-SHAPE,  23 CM</v>
          </cell>
        </row>
        <row r="1057">
          <cell r="B1057" t="str">
            <v>11-968-11-07</v>
          </cell>
          <cell r="C1057" t="str">
            <v>TC-Schere,  Siegert, ger., 11,5 cm</v>
          </cell>
          <cell r="D1057" t="str">
            <v>TC-Scissor,  Siegert, str., 11,5 cm</v>
          </cell>
        </row>
        <row r="1058">
          <cell r="B1058" t="str">
            <v>11-969-11-07</v>
          </cell>
          <cell r="C1058" t="str">
            <v>TC-Schere,  Siegert, geb., 11,5 cm</v>
          </cell>
          <cell r="D1058" t="str">
            <v>TC-Scissor,  Siegert, cvd., 11,5 cm</v>
          </cell>
        </row>
        <row r="1059">
          <cell r="B1059" t="str">
            <v>11-969-17-07</v>
          </cell>
          <cell r="C1059" t="str">
            <v>TC-Schere,  Gorney-Freeman, geb., 17 cm</v>
          </cell>
          <cell r="D1059" t="str">
            <v>TC-Scissor,  Gorney-Freeman, cvd., 17 cm</v>
          </cell>
        </row>
        <row r="1060">
          <cell r="B1060" t="str">
            <v>11-969-19-07</v>
          </cell>
          <cell r="C1060" t="str">
            <v>TC-Schere,  Gorney-Freeman, geb., 19 cm</v>
          </cell>
          <cell r="D1060" t="str">
            <v>TC-Scissor,  Gorney-Freeman, cvd., 19 cm</v>
          </cell>
        </row>
        <row r="1061">
          <cell r="B1061" t="str">
            <v>11-969-23-07</v>
          </cell>
          <cell r="C1061" t="str">
            <v>TC-Schere,  Gorney-Freeman, geb., 23 cm</v>
          </cell>
          <cell r="D1061" t="str">
            <v>TC-Scissor,  Gorney-Freeman, cvd., 23 cm</v>
          </cell>
        </row>
        <row r="1062">
          <cell r="B1062" t="str">
            <v>11-970-19-07</v>
          </cell>
          <cell r="C1062" t="str">
            <v>TC-FACE-LIFT SCHERE, GER., GEZ., 20 CM</v>
          </cell>
          <cell r="D1062" t="str">
            <v>TC-FACE-LIFT SCISS., STR., SERR., 20 CM</v>
          </cell>
        </row>
        <row r="1063">
          <cell r="B1063" t="str">
            <v>11-970-23-07</v>
          </cell>
          <cell r="C1063" t="str">
            <v>TC-FACE-LIFT SCHERE, GER., GEZ., 23 CM</v>
          </cell>
          <cell r="D1063" t="str">
            <v>TC-FACE-LIFT SCISS., STR., SERR., 23 CM</v>
          </cell>
        </row>
        <row r="1064">
          <cell r="B1064" t="str">
            <v>11-971-19-07</v>
          </cell>
          <cell r="C1064" t="str">
            <v>TC-Schere,  Gorney, geb., 20 cm</v>
          </cell>
          <cell r="D1064" t="str">
            <v>TC-Scissor,  Gorney, cvd., 20 cm</v>
          </cell>
        </row>
        <row r="1065">
          <cell r="B1065" t="str">
            <v>11-971-23-07</v>
          </cell>
          <cell r="C1065" t="str">
            <v>TC-Schere,  Gorney, geb., 23 cm</v>
          </cell>
          <cell r="D1065" t="str">
            <v>TC-Scissor,  Gorney, cvd., 23 cm</v>
          </cell>
        </row>
        <row r="1066">
          <cell r="B1066" t="str">
            <v>11-973-17-07</v>
          </cell>
          <cell r="C1066" t="str">
            <v>TC-FACE-LIFT SCHERE, GEB., GEZ., 17 CM</v>
          </cell>
          <cell r="D1066" t="str">
            <v>TC-FACE-LIFT SCISS., CVD., SERR., 17 CM</v>
          </cell>
        </row>
        <row r="1067">
          <cell r="B1067" t="str">
            <v>11-974-23-07</v>
          </cell>
          <cell r="C1067" t="str">
            <v>TC-Schere,  Gorney-Freeman, kniegeb, 23 cm</v>
          </cell>
          <cell r="D1067" t="str">
            <v>TC-Scissor,  Gorney-Freeman, angl., 23 cm</v>
          </cell>
        </row>
        <row r="1068">
          <cell r="B1068" t="str">
            <v>11-975-20-07</v>
          </cell>
          <cell r="C1068" t="str">
            <v>AQUILA UTERUSSCHERE, SIMS, GEB., 20 CM</v>
          </cell>
          <cell r="D1068" t="str">
            <v>AQUILA UTERINE  SCISS., SIMS, CVD., 20 CM</v>
          </cell>
        </row>
        <row r="1069">
          <cell r="B1069" t="str">
            <v>11-975-23-07</v>
          </cell>
          <cell r="C1069" t="str">
            <v>AQUILA UTERUSSCHERE, SIMS, GEB., 23 CM</v>
          </cell>
          <cell r="D1069" t="str">
            <v>AQUILA UTERINE  SCISS., SIMS, CVD., 23 CM</v>
          </cell>
        </row>
        <row r="1070">
          <cell r="B1070" t="str">
            <v>11-976-23-07</v>
          </cell>
          <cell r="C1070" t="str">
            <v>TC-UTERUSSCHERE, SIMS, GER., 23 CM</v>
          </cell>
          <cell r="D1070" t="str">
            <v>TC-UTERINE SCISSORS,  SIMS, STR., 23 CM</v>
          </cell>
        </row>
        <row r="1071">
          <cell r="B1071" t="str">
            <v>11-977-23-07</v>
          </cell>
          <cell r="C1071" t="str">
            <v>TC-UTERUSSCHERE, SIMS, GEB., 23 CM</v>
          </cell>
          <cell r="D1071" t="str">
            <v>TC-UTERINE SCISSORS,  SIMS, CVD., 23 CM</v>
          </cell>
        </row>
        <row r="1072">
          <cell r="B1072" t="str">
            <v>11-979-22-07</v>
          </cell>
          <cell r="C1072" t="str">
            <v>TC-PARAMETRIUMSCHERE, ST. GEB., 22 CM</v>
          </cell>
          <cell r="D1072" t="str">
            <v>TC-PARAMETRIUM SCISSORS,  ST. CVD., 22 CM</v>
          </cell>
        </row>
        <row r="1073">
          <cell r="B1073" t="str">
            <v>11-979-23-07</v>
          </cell>
          <cell r="C1073" t="str">
            <v>TC-PARAMETRIUMSCHERE, GEB., 23 CM</v>
          </cell>
          <cell r="D1073" t="str">
            <v>TC-PARAMETRIUM SCISSORS,  CVD., 23 CM</v>
          </cell>
        </row>
        <row r="1074">
          <cell r="B1074" t="str">
            <v>11-980-13-07</v>
          </cell>
          <cell r="C1074" t="str">
            <v>TC-FADENSCHERE, SP/SP, GER., 13 CM</v>
          </cell>
          <cell r="D1074" t="str">
            <v>TC-LIGATURE SCISSORS,  SH/SH, STR., 13 CM</v>
          </cell>
        </row>
        <row r="1075">
          <cell r="B1075" t="str">
            <v>11-981-13-07</v>
          </cell>
          <cell r="C1075" t="str">
            <v>TC-FADENSCHERE, SP/SP, GEB., 13 CM</v>
          </cell>
          <cell r="D1075" t="str">
            <v>TC-LIGATURE SCISSORS,  SH/SH, CVD., 13 CM</v>
          </cell>
        </row>
        <row r="1076">
          <cell r="B1076" t="str">
            <v>11-982-11-07</v>
          </cell>
          <cell r="C1076" t="str">
            <v>TC-IRISSCHERE, SP/SP, GER., 11,5 CM</v>
          </cell>
          <cell r="D1076" t="str">
            <v>TC-IRIS SCISSORS,  SH/SH, STR., 11.5 CM</v>
          </cell>
        </row>
        <row r="1077">
          <cell r="B1077" t="str">
            <v>11-983-11-07</v>
          </cell>
          <cell r="C1077" t="str">
            <v>TC-IRISSCHERE, SP/SP, GEB., 11,5 CM</v>
          </cell>
          <cell r="D1077" t="str">
            <v>TC-IRIS SCISSORS,  SH/SH, CVD., 11.5 CM</v>
          </cell>
        </row>
        <row r="1078">
          <cell r="B1078" t="str">
            <v>11-985-25-07</v>
          </cell>
          <cell r="C1078" t="str">
            <v>TC-WINKELSCHERE, 25°, 19 CM</v>
          </cell>
          <cell r="D1078" t="str">
            <v>TC-SCISSORS, DE BAKEY, 25°, 19 CM</v>
          </cell>
        </row>
        <row r="1079">
          <cell r="B1079" t="str">
            <v>11-985-45-07</v>
          </cell>
          <cell r="C1079" t="str">
            <v>TC-WINKELSCHERE, 45°, 18,5 CM</v>
          </cell>
          <cell r="D1079" t="str">
            <v>TC-SCISSORS, DE BAKEY, 45°, 18.5 CM</v>
          </cell>
        </row>
        <row r="1080">
          <cell r="B1080" t="str">
            <v>11-985-60-07</v>
          </cell>
          <cell r="C1080" t="str">
            <v>TC-WINKELSCHERE, 60°, 18 CM</v>
          </cell>
          <cell r="D1080" t="str">
            <v>TC-SCISSORS, DE BAKEY, 60°, 18 CM</v>
          </cell>
        </row>
        <row r="1081">
          <cell r="B1081" t="str">
            <v>11-987-25-07</v>
          </cell>
          <cell r="C1081" t="str">
            <v>TC-WINKELSCHERE, 25°, 23 CM</v>
          </cell>
          <cell r="D1081" t="str">
            <v>TC-SCISSORS, DE BAKEY, 25°, 23 CM</v>
          </cell>
        </row>
        <row r="1082">
          <cell r="B1082" t="str">
            <v>11-987-45-07</v>
          </cell>
          <cell r="C1082" t="str">
            <v>TC-WINKELSCHERE, 45°, 22,5 CM</v>
          </cell>
          <cell r="D1082" t="str">
            <v>TC-SCISSORS, DE BAKEY, 45°, 22,5 CM</v>
          </cell>
        </row>
        <row r="1083">
          <cell r="B1083" t="str">
            <v>11-987-60-07</v>
          </cell>
          <cell r="C1083" t="str">
            <v>TC-WINKELSCHERE, 60°, 22 CM</v>
          </cell>
          <cell r="D1083" t="str">
            <v>TC-SCISSORS, DE BAKEY, 60°, 22 CM</v>
          </cell>
        </row>
        <row r="1084">
          <cell r="B1084" t="str">
            <v>11-989-11-07</v>
          </cell>
          <cell r="C1084" t="str">
            <v>TC-SCHERE, SP/SP, ABGEW. , 11 CM</v>
          </cell>
          <cell r="D1084" t="str">
            <v>TC-SCISSORS, SH/SH, ANGLED,  11 CM</v>
          </cell>
        </row>
        <row r="1085">
          <cell r="B1085" t="str">
            <v>11-989-22-07</v>
          </cell>
          <cell r="C1085" t="str">
            <v>AQUILA HYSTEREK.-SCHERE, ST. GEB., 22 CM</v>
          </cell>
          <cell r="D1085" t="str">
            <v>AQUILA PARAMETR.-SCISS., ST. CVD., 22 CM</v>
          </cell>
        </row>
        <row r="1086">
          <cell r="B1086" t="str">
            <v>11-989-23-07</v>
          </cell>
          <cell r="C1086" t="str">
            <v>AQUILA HYSTEREKT.-SCHERE, GEB., 23 CM</v>
          </cell>
          <cell r="D1086" t="str">
            <v>AQUILA PARAMETR.-SCISS., CVD., 23 CM</v>
          </cell>
        </row>
        <row r="1087">
          <cell r="B1087" t="str">
            <v>11-991-12-07</v>
          </cell>
          <cell r="C1087" t="str">
            <v>TC-PRÄP.-SCHERE, RAGNELL,  GEB., 12,5 CM</v>
          </cell>
          <cell r="D1087" t="str">
            <v>TC-SCISSORS, RAGNELL,  CVD., 12.5 CM</v>
          </cell>
        </row>
        <row r="1088">
          <cell r="B1088" t="str">
            <v>11-991-15-07</v>
          </cell>
          <cell r="C1088" t="str">
            <v>TC-Schere,  Präp., Kilner-Rag., geb.,15cm</v>
          </cell>
          <cell r="D1088" t="str">
            <v>TC-Scissor,  Diss., Kilner-Rag., cvd,15cm</v>
          </cell>
        </row>
        <row r="1089">
          <cell r="B1089" t="str">
            <v>11-991-18-07</v>
          </cell>
          <cell r="C1089" t="str">
            <v>TC-Schere,  Präp., Kilner-Rag., geb.,18cm</v>
          </cell>
          <cell r="D1089" t="str">
            <v>TC-Scissor,  Diss., Kilner-Rag., cvd,18cm</v>
          </cell>
        </row>
        <row r="1090">
          <cell r="B1090" t="str">
            <v>11-992-16-07</v>
          </cell>
          <cell r="C1090" t="str">
            <v>TC-SCHERE, KELLY, SP/SP, GER., 16 CM</v>
          </cell>
          <cell r="D1090" t="str">
            <v>TC-SCISSORS, KELLY, SH/SH, STR., 16 CM</v>
          </cell>
        </row>
        <row r="1091">
          <cell r="B1091" t="str">
            <v>11-993-16-07</v>
          </cell>
          <cell r="C1091" t="str">
            <v>TC-SCHERE, KELLY, SP/SP, GEB., 16 CM</v>
          </cell>
          <cell r="D1091" t="str">
            <v>TC-SCISSORS, KELLY, SH/SH, CVD., 16 CM</v>
          </cell>
        </row>
        <row r="1092">
          <cell r="B1092" t="str">
            <v>11-994-17-07</v>
          </cell>
          <cell r="C1092" t="str">
            <v>TC-SCHERE, DEAN, SP/SP, GEB., 17,5 CM</v>
          </cell>
          <cell r="D1092" t="str">
            <v>TC-SCISSORS, DEAN, SH/SH, CVD., 17.5 CM</v>
          </cell>
        </row>
        <row r="1093">
          <cell r="B1093" t="str">
            <v>11-995-12-07</v>
          </cell>
          <cell r="C1093" t="str">
            <v>TC-UNIVERSAL DRAHTSCHERE, GEW., 12,5 CM</v>
          </cell>
          <cell r="D1093" t="str">
            <v>TC-UNIVERSAL WIRE SCISS., ANG., 12.5 CM</v>
          </cell>
        </row>
        <row r="1094">
          <cell r="B1094" t="str">
            <v>11-996-16-07</v>
          </cell>
          <cell r="C1094" t="str">
            <v>TC-MARTIN DRAHTSCHERE, 16 CM</v>
          </cell>
          <cell r="D1094" t="str">
            <v>TC MARTIN WIRE SCISSORS</v>
          </cell>
        </row>
        <row r="1095">
          <cell r="B1095" t="str">
            <v>11-997-16-07</v>
          </cell>
          <cell r="C1095" t="str">
            <v>TC-SCHERE, LOCKLIN,  GEB., 16 CM</v>
          </cell>
          <cell r="D1095" t="str">
            <v>TC-SCISSORS, LOCKLIN,  CVD., 16 CM</v>
          </cell>
        </row>
        <row r="1096">
          <cell r="B1096" t="str">
            <v>11-999-16-07</v>
          </cell>
          <cell r="C1096" t="str">
            <v>TC-SCHERE, LOCKLIN,  GEB., GEZ., 16 CM</v>
          </cell>
          <cell r="D1096" t="str">
            <v>TC-SCISSORS, LOCKLIN,  CVD., SERR., 16 CM</v>
          </cell>
        </row>
        <row r="1097">
          <cell r="B1097" t="str">
            <v>12-100-10-07</v>
          </cell>
          <cell r="C1097" t="str">
            <v>ANATOMISCHE PINZETTE,  10,5 CM</v>
          </cell>
          <cell r="D1097" t="str">
            <v>DRESSING  FORCEPS,  10,5 CM</v>
          </cell>
        </row>
        <row r="1098">
          <cell r="B1098" t="str">
            <v>12-100-11-07</v>
          </cell>
          <cell r="C1098" t="str">
            <v>PINZETTE,  ANATOM.,  11,5 CM</v>
          </cell>
          <cell r="D1098" t="str">
            <v>DRESSING  FORCEPS,  11.5 CM</v>
          </cell>
        </row>
        <row r="1099">
          <cell r="B1099" t="str">
            <v>12-100-13-07</v>
          </cell>
          <cell r="C1099" t="str">
            <v>PINZETTE,  ANATOM.,  13 CM</v>
          </cell>
          <cell r="D1099" t="str">
            <v>DRESSING  FORCEPS,  13 CM</v>
          </cell>
        </row>
        <row r="1100">
          <cell r="B1100" t="str">
            <v>12-100-14-07</v>
          </cell>
          <cell r="C1100" t="str">
            <v>PINZETTE,  ANATOM.,  14,5 CM</v>
          </cell>
          <cell r="D1100" t="str">
            <v>DRESSING  FORCEPS,  14.5 CM</v>
          </cell>
        </row>
        <row r="1101">
          <cell r="B1101" t="str">
            <v>12-100-16-07</v>
          </cell>
          <cell r="C1101" t="str">
            <v>PINZETTE,  ANATOM.,  16 CM</v>
          </cell>
          <cell r="D1101" t="str">
            <v>DRESSING  FORCEPS,  16 CM</v>
          </cell>
        </row>
        <row r="1102">
          <cell r="B1102" t="str">
            <v>12-100-18-07</v>
          </cell>
          <cell r="C1102" t="str">
            <v>PINZETTE,  ANATOM.,  18 CM</v>
          </cell>
          <cell r="D1102" t="str">
            <v>DRESSING  FORCEPS,  18 CM</v>
          </cell>
        </row>
        <row r="1103">
          <cell r="B1103" t="str">
            <v>12-100-20-07</v>
          </cell>
          <cell r="C1103" t="str">
            <v>PINZETTE,  ANATOM.,  20 CM</v>
          </cell>
          <cell r="D1103" t="str">
            <v>DRESSING  FORCEPS,  20 CM</v>
          </cell>
        </row>
        <row r="1104">
          <cell r="B1104" t="str">
            <v>12-100-23-07</v>
          </cell>
          <cell r="C1104" t="str">
            <v>PINZETTE,  ANATOM.,  23 CM</v>
          </cell>
          <cell r="D1104" t="str">
            <v>DRESSING  FORCEPS,  23 CM</v>
          </cell>
        </row>
        <row r="1105">
          <cell r="B1105" t="str">
            <v>12-100-25-07</v>
          </cell>
          <cell r="C1105" t="str">
            <v>PINZETTE,  ANATOM.,  25 CM</v>
          </cell>
          <cell r="D1105" t="str">
            <v>DRESSING  FORCEPS,  25 CM</v>
          </cell>
        </row>
        <row r="1106">
          <cell r="B1106" t="str">
            <v>12-100-30-07</v>
          </cell>
          <cell r="C1106" t="str">
            <v>PINZETTE,  ANATOM.,  30,5 CM</v>
          </cell>
          <cell r="D1106" t="str">
            <v>DRESSING  FORCEPS,  30.5 CM</v>
          </cell>
        </row>
        <row r="1107">
          <cell r="B1107" t="str">
            <v>12-120-11-07</v>
          </cell>
          <cell r="C1107" t="str">
            <v>PINZETTE,  ANATOM.,  MITTELBREIT, 12 CM</v>
          </cell>
          <cell r="D1107" t="str">
            <v>DRESSING  FORCEPS,  MEDIUM  WIDE, 12 CM</v>
          </cell>
        </row>
        <row r="1108">
          <cell r="B1108" t="str">
            <v>12-120-13-07</v>
          </cell>
          <cell r="C1108" t="str">
            <v>PINZETTE,  ANATOM.,  MITTELBREIT, 13 CM</v>
          </cell>
          <cell r="D1108" t="str">
            <v>DRESSING  FORCEPS,  MEDIUM  WIDE, 13 CM</v>
          </cell>
        </row>
        <row r="1109">
          <cell r="B1109" t="str">
            <v>12-120-14-07</v>
          </cell>
          <cell r="C1109" t="str">
            <v>PINZETTE,  ANATOM.,  MITTELBREIT, 14,5 CM</v>
          </cell>
          <cell r="D1109" t="str">
            <v>DRESSING  FORCEPS,  MEDIUM  WIDE, 14.5 CM</v>
          </cell>
        </row>
        <row r="1110">
          <cell r="B1110" t="str">
            <v>12-120-16-07</v>
          </cell>
          <cell r="C1110" t="str">
            <v>PINZETTE,  ANATOM.,  MITTELBREIT, 16 CM</v>
          </cell>
          <cell r="D1110" t="str">
            <v>DRESSING  FORCEPS,  MEDIUM  WIDE, 16 CM</v>
          </cell>
        </row>
        <row r="1111">
          <cell r="B1111" t="str">
            <v>12-120-18-07</v>
          </cell>
          <cell r="C1111" t="str">
            <v>PINZETTE,  ANATOM.,  MITTELBREIT, 18 CM</v>
          </cell>
          <cell r="D1111" t="str">
            <v>DRESSING  FORCEPS,  MEDIUM  WIDE, 18 CM</v>
          </cell>
        </row>
        <row r="1112">
          <cell r="B1112" t="str">
            <v>12-120-20-07</v>
          </cell>
          <cell r="C1112" t="str">
            <v>PINZETTE,  ANATOM.,  MITTELBREIT, 20 CM</v>
          </cell>
          <cell r="D1112" t="str">
            <v>DRESSING  FORCEPS,  MEDIUM  WIDE, 20 CM</v>
          </cell>
        </row>
        <row r="1113">
          <cell r="B1113" t="str">
            <v>12-120-23-07</v>
          </cell>
          <cell r="C1113" t="str">
            <v>PINZETTE,  ANATOM.,  MITTELBREIT, 23 CM</v>
          </cell>
          <cell r="D1113" t="str">
            <v>DRESSING  FORCEPS,  MEDIUM  WIDE, 23 CM</v>
          </cell>
        </row>
        <row r="1114">
          <cell r="B1114" t="str">
            <v>12-120-25-07</v>
          </cell>
          <cell r="C1114" t="str">
            <v>PINZETTE,  ANATOM.,  MITTELBREIT, 25 CM</v>
          </cell>
          <cell r="D1114" t="str">
            <v>DRESSING  FORCEPS,  MEDIUM  WIDE, 25 CM</v>
          </cell>
        </row>
        <row r="1115">
          <cell r="B1115" t="str">
            <v>12-120-30-07</v>
          </cell>
          <cell r="C1115" t="str">
            <v>PINZETTE,  ANATOM.,  MITTELBREIT, 30 CM</v>
          </cell>
          <cell r="D1115" t="str">
            <v>DRESSING  FORCEPS,  MEDIUM  WIDE, 30 CM</v>
          </cell>
        </row>
        <row r="1116">
          <cell r="B1116" t="str">
            <v>12-122-13-07</v>
          </cell>
          <cell r="C1116" t="str">
            <v>Pinzette,  anat., mittelbr.,  geb., 13 cm</v>
          </cell>
          <cell r="D1116" t="str">
            <v>Dressing forceps, medium wide, cvd.,13cm</v>
          </cell>
        </row>
        <row r="1117">
          <cell r="B1117" t="str">
            <v>12-123-15-07</v>
          </cell>
          <cell r="C1117" t="str">
            <v>Pinzette,  anatom.,  extr.breit,  14,5 cm</v>
          </cell>
          <cell r="D1117" t="str">
            <v>Dressing forceps, extra wide, 14.5 cm</v>
          </cell>
        </row>
        <row r="1118">
          <cell r="B1118" t="str">
            <v>12-126-13-07</v>
          </cell>
          <cell r="C1118" t="str">
            <v>PINZETTE,  ANATOM.,  FEIN, 13 CM</v>
          </cell>
          <cell r="D1118" t="str">
            <v>DRESSING  FORCEPS,  DELICATE,  13 CM</v>
          </cell>
        </row>
        <row r="1119">
          <cell r="B1119" t="str">
            <v>12-126-14-07</v>
          </cell>
          <cell r="C1119" t="str">
            <v>PINZETTE,  ANATOM.,  FEIN, 14,5 CM</v>
          </cell>
          <cell r="D1119" t="str">
            <v>DRESSING  FORCEPS,  DELICATE,  14.5 CM</v>
          </cell>
        </row>
        <row r="1120">
          <cell r="B1120" t="str">
            <v>12-130-15-07</v>
          </cell>
          <cell r="C1120" t="str">
            <v>PINZETTE,  ANATOM.,  STILLE, 15 CM</v>
          </cell>
          <cell r="D1120" t="str">
            <v>DRESSING  FORCEPS,  STILLE, 15 CM</v>
          </cell>
        </row>
        <row r="1121">
          <cell r="B1121" t="str">
            <v>12-131-17-07</v>
          </cell>
          <cell r="C1121" t="str">
            <v>Pinzette,  anatom.,  Bonney, 17 cm</v>
          </cell>
          <cell r="D1121" t="str">
            <v>Dressing forceps, Bonney, 17 cm</v>
          </cell>
        </row>
        <row r="1122">
          <cell r="B1122" t="str">
            <v>12-132-19-07</v>
          </cell>
          <cell r="C1122" t="str">
            <v>Pinzette,  anatom.,  glattes Maul, 18,5 cm</v>
          </cell>
          <cell r="D1122" t="str">
            <v>Dress. forceps, smooth, 18.5 cm</v>
          </cell>
        </row>
        <row r="1123">
          <cell r="B1123" t="str">
            <v>12-134-20-07</v>
          </cell>
          <cell r="C1123" t="str">
            <v>Pinzette,  anatom.,  abgew., 20 cm</v>
          </cell>
          <cell r="D1123" t="str">
            <v>Dress. forceps, ang. down, 20 cm</v>
          </cell>
        </row>
        <row r="1124">
          <cell r="B1124" t="str">
            <v>12-135-15-07</v>
          </cell>
          <cell r="C1124" t="str">
            <v>PINZETTE,  ANATOM.,  SCHWED.  MOD. 15 CM</v>
          </cell>
          <cell r="D1124" t="str">
            <v>DRESSING  FORCEPS,  SWEDISH  TYPE, 15 CM</v>
          </cell>
        </row>
        <row r="1125">
          <cell r="B1125" t="str">
            <v>12-135-17-07</v>
          </cell>
          <cell r="C1125" t="str">
            <v>PINZETTE,  ANATOM.,  SCHWED.  MOD. 18 CM</v>
          </cell>
          <cell r="D1125" t="str">
            <v>DRESSING  FORCEPS,  SWEDISH  TYPE, 18 CM</v>
          </cell>
        </row>
        <row r="1126">
          <cell r="B1126" t="str">
            <v>12-135-20-07</v>
          </cell>
          <cell r="C1126" t="str">
            <v>PINZETTE,  ANATOM.,  SCHWED.  MOD. 20 CM</v>
          </cell>
          <cell r="D1126" t="str">
            <v>DRESSING  FORCEPS,  SWEDISH  TYPE, 20 CM</v>
          </cell>
        </row>
        <row r="1127">
          <cell r="B1127" t="str">
            <v>12-166-12-07</v>
          </cell>
          <cell r="C1127" t="str">
            <v>PINZETTE,  ANATOM.,  MINI-ADSON, 12 CM</v>
          </cell>
          <cell r="D1127" t="str">
            <v>DRESSING  FORCEPS,  MINI-ADSON, 12 CM</v>
          </cell>
        </row>
        <row r="1128">
          <cell r="B1128" t="str">
            <v>12-168-12-07</v>
          </cell>
          <cell r="C1128" t="str">
            <v>PINZETTE,  ANATOM.,  ADSON, 12 CM</v>
          </cell>
          <cell r="D1128" t="str">
            <v>DRESSING  FORCEPS,  ADSON, 12 CM</v>
          </cell>
        </row>
        <row r="1129">
          <cell r="B1129" t="str">
            <v>12-168-15-07</v>
          </cell>
          <cell r="C1129" t="str">
            <v>PINZETTE,  ANATOM.,  ADSON, 15 CM</v>
          </cell>
          <cell r="D1129" t="str">
            <v>DRESSING  FORCEPS,  ADSON, 15 CM</v>
          </cell>
        </row>
        <row r="1130">
          <cell r="B1130" t="str">
            <v>12-170-15-07</v>
          </cell>
          <cell r="C1130" t="str">
            <v>PINZETTE,  ANATOM.,  MCINDOE,  15 CM</v>
          </cell>
          <cell r="D1130" t="str">
            <v>DRESSING  FORCEPS,  MCINDOE,  15 CM</v>
          </cell>
        </row>
        <row r="1131">
          <cell r="B1131" t="str">
            <v>12-171-20-07</v>
          </cell>
          <cell r="C1131" t="str">
            <v>PINZETTE,  ANATOM.,  WAUGH,  20 CM</v>
          </cell>
          <cell r="D1131" t="str">
            <v>DRESSING  FORCEPS,  WAUGH,  20 CM</v>
          </cell>
        </row>
        <row r="1132">
          <cell r="B1132" t="str">
            <v>12-172-12-07</v>
          </cell>
          <cell r="C1132" t="str">
            <v>PINZETTE,  ANATOM.,  SEMKEN,  12,5 CM</v>
          </cell>
          <cell r="D1132" t="str">
            <v>DRESSING  FORCEPS,  SEMKEN,  12.5 CM</v>
          </cell>
        </row>
        <row r="1133">
          <cell r="B1133" t="str">
            <v>12-172-15-07</v>
          </cell>
          <cell r="C1133" t="str">
            <v>PINZETTE,  ANATOM.,  SEMKEN,  15 CM</v>
          </cell>
          <cell r="D1133" t="str">
            <v>DRESSING  FORCEPS,  SEMKEN,  15 CM</v>
          </cell>
        </row>
        <row r="1134">
          <cell r="B1134" t="str">
            <v>12-174-17-07</v>
          </cell>
          <cell r="C1134" t="str">
            <v>PINZETTE,  ANATOM.,  TAYLOR, 17 CM</v>
          </cell>
          <cell r="D1134" t="str">
            <v>DRESSING  FORCEPS,  TAYLOR, 17 CM</v>
          </cell>
        </row>
        <row r="1135">
          <cell r="B1135" t="str">
            <v>12-180-17-07</v>
          </cell>
          <cell r="C1135" t="str">
            <v>PINZETTE,  ANATOM.,  SCHABERENDE, 17,5 CM</v>
          </cell>
          <cell r="D1135" t="str">
            <v>DRESSING  FORCEPS,  W. SCRAPER,  17.5 CM</v>
          </cell>
        </row>
        <row r="1136">
          <cell r="B1136" t="str">
            <v>12-183-17-07</v>
          </cell>
          <cell r="C1136" t="str">
            <v>PINZETTE,  ANATOM.,  BAJONETTF., 18,5 CM</v>
          </cell>
          <cell r="D1136" t="str">
            <v>DRESSING  FORCEPS,  BAYON., 18.5 CM</v>
          </cell>
        </row>
        <row r="1137">
          <cell r="B1137" t="str">
            <v>12-184-06-07</v>
          </cell>
          <cell r="C1137" t="str">
            <v>MIKROPINZETTE, ANATOM.,  0,6 MM, 15,5 CM</v>
          </cell>
          <cell r="D1137" t="str">
            <v>MICRO DRESSING  FORCEPS,  0.6 MM, 15.5 CM</v>
          </cell>
        </row>
        <row r="1138">
          <cell r="B1138" t="str">
            <v>12-184-08-07</v>
          </cell>
          <cell r="C1138" t="str">
            <v>MIKROPINZETTE, ANATOM.,  0,8 MM, 15,5 CM</v>
          </cell>
          <cell r="D1138" t="str">
            <v>MICRO DRESSING  FORCEPS,  0.8 MM, 15.5 CM</v>
          </cell>
        </row>
        <row r="1139">
          <cell r="B1139" t="str">
            <v>12-184-10-07</v>
          </cell>
          <cell r="C1139" t="str">
            <v>MIKROPINZETTE, ANATOM.,  1,0 MM, 15,5 CM</v>
          </cell>
          <cell r="D1139" t="str">
            <v>MICRO DRESSING  FORCEPS,  1,0MM, 15.5 CM</v>
          </cell>
        </row>
        <row r="1140">
          <cell r="B1140" t="str">
            <v>12-184-18-07</v>
          </cell>
          <cell r="C1140" t="str">
            <v>ATRAUMA-PINZETTE, GER., 17,5 CM</v>
          </cell>
          <cell r="D1140" t="str">
            <v>ATRAUMATIC FORCEPS,  STR., 17.5 CM</v>
          </cell>
        </row>
        <row r="1141">
          <cell r="B1141" t="str">
            <v>12-186-18-07</v>
          </cell>
          <cell r="C1141" t="str">
            <v>PINZETTE,  ANATOM.,  GERALD, GER., 17,5 CM</v>
          </cell>
          <cell r="D1141" t="str">
            <v>DRESSING  FORCEPS,  GERALD, STR., 17.5 CM</v>
          </cell>
        </row>
        <row r="1142">
          <cell r="B1142" t="str">
            <v>12-187-18-07</v>
          </cell>
          <cell r="C1142" t="str">
            <v>PINZETTE,  ANATOM.,  GERALD, GEB., 17 CM</v>
          </cell>
          <cell r="D1142" t="str">
            <v>DRESSING  FORCEPS,  GERALD, CVD., 17 CM</v>
          </cell>
        </row>
        <row r="1143">
          <cell r="B1143" t="str">
            <v>12-188-17-07</v>
          </cell>
          <cell r="C1143" t="str">
            <v>PINZETTE,  ANAT., CUSHING,  GER., 17,5 CM</v>
          </cell>
          <cell r="D1143" t="str">
            <v>DRESSING  FORCEPS,  CUSHING,  STR., 17.5 CM</v>
          </cell>
        </row>
        <row r="1144">
          <cell r="B1144" t="str">
            <v>12-189-17-07</v>
          </cell>
          <cell r="C1144" t="str">
            <v>PINZETTE,  ANATOM.,  CUSHING,  GEB., 17 CM</v>
          </cell>
          <cell r="D1144" t="str">
            <v>DRESSING  FORCEPS,  CUSHING,  CVD., 17 CM</v>
          </cell>
        </row>
        <row r="1145">
          <cell r="B1145" t="str">
            <v>12-192-18-07</v>
          </cell>
          <cell r="C1145" t="str">
            <v>PINZETTE,  ANATOM.,  POTTS-SMITH, 18 CM</v>
          </cell>
          <cell r="D1145" t="str">
            <v>DRESSING  FORCEPS,  POTTS-SMITH, 18 CM</v>
          </cell>
        </row>
        <row r="1146">
          <cell r="B1146" t="str">
            <v>12-192-21-07</v>
          </cell>
          <cell r="C1146" t="str">
            <v>PINZETTE,  ANATOM.,  POTTS-SMITH, 21 CM</v>
          </cell>
          <cell r="D1146" t="str">
            <v>DRESSING  FORCEPS,  POTTS-SMITH, 21 CM</v>
          </cell>
        </row>
        <row r="1147">
          <cell r="B1147" t="str">
            <v>12-192-25-07</v>
          </cell>
          <cell r="C1147" t="str">
            <v>PINZETTE,  ANATOM.,  POTTS-SMITH, 25 CM</v>
          </cell>
          <cell r="D1147" t="str">
            <v>DRESSING  FORCEPS,  POTTS-SMITH, 25 CM</v>
          </cell>
        </row>
        <row r="1148">
          <cell r="B1148" t="str">
            <v>12-192-30-07</v>
          </cell>
          <cell r="C1148" t="str">
            <v>PINZETTE,  ANATOM.,  POTTS-SMITH, 30 CM</v>
          </cell>
          <cell r="D1148" t="str">
            <v>DRESSING  FORCEPS,  POTTS-SMITH, 30 CM</v>
          </cell>
        </row>
        <row r="1149">
          <cell r="B1149" t="str">
            <v>12-230-17-07</v>
          </cell>
          <cell r="C1149" t="str">
            <v>TC-PINZETTE, BONNEY,  1X2 Z., 17,5 CM</v>
          </cell>
          <cell r="D1149" t="str">
            <v>TC-FORCEPS, BONNEY,  1X2 T., 17.5 CM</v>
          </cell>
        </row>
        <row r="1150">
          <cell r="B1150" t="str">
            <v>12-234-17-07</v>
          </cell>
          <cell r="C1150" t="str">
            <v>TC-PINZETTE, GERALD, 1X2 Z., 17,5 CM</v>
          </cell>
          <cell r="D1150" t="str">
            <v>TC-FORCEPS, GERALD, 1X2 T., 17.5 CM</v>
          </cell>
        </row>
        <row r="1151">
          <cell r="B1151" t="str">
            <v>12-236-15-07</v>
          </cell>
          <cell r="C1151" t="str">
            <v>TC-PINZETTE, GILLIES, 1X2 Z., 15,5 CM</v>
          </cell>
          <cell r="D1151" t="str">
            <v>TC-FORCEPS, GILLIES, 1X2 T., 15.5 CM</v>
          </cell>
        </row>
        <row r="1152">
          <cell r="B1152" t="str">
            <v>12-238-15-07</v>
          </cell>
          <cell r="C1152" t="str">
            <v>TC-PINZETTE, ANATOM.,  MCINDOE,  15 CM</v>
          </cell>
          <cell r="D1152" t="str">
            <v>TC-DRESSING FORCEPS,  MCINDOE,  15 CM</v>
          </cell>
        </row>
        <row r="1153">
          <cell r="B1153" t="str">
            <v>12-240-16-07</v>
          </cell>
          <cell r="C1153" t="str">
            <v>TC-PINZETTE, SEMKEN,  1X2 Z., 15,5 CM</v>
          </cell>
          <cell r="D1153" t="str">
            <v>TC-FORCEPS, SEMKEN,  1X2 T., 15.5 CM</v>
          </cell>
        </row>
        <row r="1154">
          <cell r="B1154" t="str">
            <v>12-240-18-07</v>
          </cell>
          <cell r="C1154" t="str">
            <v>TC-PINZETTE, SEMKEN,  1X2 Z., 17,5 CM</v>
          </cell>
          <cell r="D1154" t="str">
            <v>TC-FORCEPS, SEMKEN,  1X2 T., 17.5 CM</v>
          </cell>
        </row>
        <row r="1155">
          <cell r="B1155" t="str">
            <v>12-242-16-07</v>
          </cell>
          <cell r="C1155" t="str">
            <v>TC-PINZETTE, 1X2 Z., FEIN, 15,5 CM</v>
          </cell>
          <cell r="D1155" t="str">
            <v>TC-FORCEPS, 1X2 T., DELICATE,  15.5 CM</v>
          </cell>
        </row>
        <row r="1156">
          <cell r="B1156" t="str">
            <v>12-242-18-07</v>
          </cell>
          <cell r="C1156" t="str">
            <v>TC-PINZETTE, 1X2 Z., FEIN, 17,5 CM</v>
          </cell>
          <cell r="D1156" t="str">
            <v>TC-FORCEPS, 1X2 T., DELICATE,  17.5 CM</v>
          </cell>
        </row>
        <row r="1157">
          <cell r="B1157" t="str">
            <v>12-244-12-07</v>
          </cell>
          <cell r="C1157" t="str">
            <v>TC-PINZETTE, ADSON-BROWN, GEZ., 12 CM</v>
          </cell>
          <cell r="D1157" t="str">
            <v>TC-FORCEPS, ADSON-BROWN, SERR., 12 CM</v>
          </cell>
        </row>
        <row r="1158">
          <cell r="B1158" t="str">
            <v>12-246-12-07</v>
          </cell>
          <cell r="C1158" t="str">
            <v>TC-PINZETTE, MIKRO-ADSON, 1X2 Z., 12 CM</v>
          </cell>
          <cell r="D1158" t="str">
            <v>TC-FORCEPS, MICRO-ADSON, 1X2 T., 12 CM</v>
          </cell>
        </row>
        <row r="1159">
          <cell r="B1159" t="str">
            <v>12-246-15-07</v>
          </cell>
          <cell r="C1159" t="str">
            <v>TC-PINZETTE, MIKRO-ADSON, 1X2 Z., 15 CM</v>
          </cell>
          <cell r="D1159" t="str">
            <v>TC-FORCEPS, MICRO-ADSON, 1X2 T., 15 CM</v>
          </cell>
        </row>
        <row r="1160">
          <cell r="B1160" t="str">
            <v>12-250-12-07</v>
          </cell>
          <cell r="C1160" t="str">
            <v>TC-PINZETTE, ANATOM.,  ADSON, 12 CM</v>
          </cell>
          <cell r="D1160" t="str">
            <v>TC-DRESSING FORCEPS,  ADSON, 12 CM</v>
          </cell>
        </row>
        <row r="1161">
          <cell r="B1161" t="str">
            <v>12-250-15-07</v>
          </cell>
          <cell r="C1161" t="str">
            <v>TC-PINZETTE, ANATOM.,  ADSON, 15 CM</v>
          </cell>
          <cell r="D1161" t="str">
            <v>TC-DRESSING FORCEPS,  ADSON, 15 CM</v>
          </cell>
        </row>
        <row r="1162">
          <cell r="B1162" t="str">
            <v>12-252-12-07</v>
          </cell>
          <cell r="C1162" t="str">
            <v>TC-PINZETTE, ADSON, 1X2 Z., 12 CM</v>
          </cell>
          <cell r="D1162" t="str">
            <v>TC-TISSUE  FORCEPS,  ADSON, 1X2 T., 12 CM</v>
          </cell>
        </row>
        <row r="1163">
          <cell r="B1163" t="str">
            <v>12-252-15-07</v>
          </cell>
          <cell r="C1163" t="str">
            <v>TC-PINZETTE, ADSON, 1X2 Z., 15 CM</v>
          </cell>
          <cell r="D1163" t="str">
            <v>TC-TISSUE  FORCEPS,  ADSON, 1X2 T., 15 CM</v>
          </cell>
        </row>
        <row r="1164">
          <cell r="B1164" t="str">
            <v>12-254-17-07</v>
          </cell>
          <cell r="C1164" t="str">
            <v>TC-PINZETTE, ANATOM.,  CUSHING,  17,5 CM</v>
          </cell>
          <cell r="D1164" t="str">
            <v>TC-DRESSING FORCEPS,  CUSHING,  17.5 CM</v>
          </cell>
        </row>
        <row r="1165">
          <cell r="B1165" t="str">
            <v>12-255-18-07</v>
          </cell>
          <cell r="C1165" t="str">
            <v>TC-PINZETTE, CUSHING,  GEWINK.,  17 CM</v>
          </cell>
          <cell r="D1165" t="str">
            <v>TC-DRESS.  FORCEPS,  CUSHING,  ANG., 17 CM</v>
          </cell>
        </row>
        <row r="1166">
          <cell r="B1166" t="str">
            <v>12-256-18-07</v>
          </cell>
          <cell r="C1166" t="str">
            <v>TC-PINZETTE, CUSHING-TAYLOR, 18,5 CM</v>
          </cell>
          <cell r="D1166" t="str">
            <v>TC-FORCEPS, CUSHING-TAYLOR, 18.5 CM</v>
          </cell>
        </row>
        <row r="1167">
          <cell r="B1167" t="str">
            <v>12-258-14-07</v>
          </cell>
          <cell r="C1167" t="str">
            <v>TC-Pinzette, anat., Potts-Smith, 14,5 cm</v>
          </cell>
          <cell r="D1167" t="str">
            <v>TC-Dress.  forceps, Potts-Smith, 14.5 cm</v>
          </cell>
        </row>
        <row r="1168">
          <cell r="B1168" t="str">
            <v>12-258-15-07</v>
          </cell>
          <cell r="C1168" t="str">
            <v>TC-PINZETTE, ANAT., POTTS-SMITH, 16 CM</v>
          </cell>
          <cell r="D1168" t="str">
            <v>TC-DRESSING FORCEPS,  POTTS-SMITH, 16 CM</v>
          </cell>
        </row>
        <row r="1169">
          <cell r="B1169" t="str">
            <v>12-258-18-07</v>
          </cell>
          <cell r="C1169" t="str">
            <v>TC-Pinzette, anat., Potts-Smith, 18,5 cm</v>
          </cell>
          <cell r="D1169" t="str">
            <v>TC-Dress.  forceps, Potts-Smith, 18.5 cm</v>
          </cell>
        </row>
        <row r="1170">
          <cell r="B1170" t="str">
            <v>12-258-20-07</v>
          </cell>
          <cell r="C1170" t="str">
            <v>TC-Pinzette, anat., Potts-Smith, 20 cm</v>
          </cell>
          <cell r="D1170" t="str">
            <v>TC-Dress.  forceps, Potts-Smith, 20 cm</v>
          </cell>
        </row>
        <row r="1171">
          <cell r="B1171" t="str">
            <v>12-258-23-07</v>
          </cell>
          <cell r="C1171" t="str">
            <v>TC-Pinzette, anat., Potts-Smith, 23 cm</v>
          </cell>
          <cell r="D1171" t="str">
            <v>TC-Dress.  forceps, Potts-Smith, 23 cm</v>
          </cell>
        </row>
        <row r="1172">
          <cell r="B1172" t="str">
            <v>12-258-25-07</v>
          </cell>
          <cell r="C1172" t="str">
            <v>TC-Pinzette, anat., Potts-Smith, 25 cm</v>
          </cell>
          <cell r="D1172" t="str">
            <v>TC-Dress.  forceps, Potts-Smith, 25 cm</v>
          </cell>
        </row>
        <row r="1173">
          <cell r="B1173" t="str">
            <v>12-260-14-07</v>
          </cell>
          <cell r="C1173" t="str">
            <v>TC-PINZETTE, OEHLER, 1X2 Z., 14,5 CM</v>
          </cell>
          <cell r="D1173" t="str">
            <v>TC-TISSUE  FCPS., OEHLER, 1X2 T., 14.5 CM</v>
          </cell>
        </row>
        <row r="1174">
          <cell r="B1174" t="str">
            <v>12-260-16-07</v>
          </cell>
          <cell r="C1174" t="str">
            <v>TC-PINZETTE, OEHLER, 1X2 Z., 16 CM</v>
          </cell>
          <cell r="D1174" t="str">
            <v>TC-TISSUE  FORCEPS,  OEHLER, 1X2 T., 16 CM</v>
          </cell>
        </row>
        <row r="1175">
          <cell r="B1175" t="str">
            <v>12-260-18-07</v>
          </cell>
          <cell r="C1175" t="str">
            <v>TC-PINZETTE, OEHLER, 1X2 Z., 18 CM</v>
          </cell>
          <cell r="D1175" t="str">
            <v>TC-TISSUE  FORCEPS,  OEHLER, 1X2 T., 18 CM</v>
          </cell>
        </row>
        <row r="1176">
          <cell r="B1176" t="str">
            <v>12-260-20-07</v>
          </cell>
          <cell r="C1176" t="str">
            <v>TC-PINZETTE, OEHLER, 1X2 Z., 20 CM</v>
          </cell>
          <cell r="D1176" t="str">
            <v>TC-TISSUE  FORCEPS,  OEHLER, 1X2 T., 20 CM</v>
          </cell>
        </row>
        <row r="1177">
          <cell r="B1177" t="str">
            <v>12-260-25-07</v>
          </cell>
          <cell r="C1177" t="str">
            <v>TC-PINZETTE, OEHLER, 1X2 Z., 25 CM</v>
          </cell>
          <cell r="D1177" t="str">
            <v>TC-TISSUE  FORCEPS,  OEHLER, 1X2 T., 25 CM</v>
          </cell>
        </row>
        <row r="1178">
          <cell r="B1178" t="str">
            <v>12-266-15-07</v>
          </cell>
          <cell r="C1178" t="str">
            <v>TC-PINZETTE, ANATOM.,  WANGENSTEEN, 15 CM</v>
          </cell>
          <cell r="D1178" t="str">
            <v>TC-DRESSING FORCEPS,  WANGENSTEEN, 15 CM</v>
          </cell>
        </row>
        <row r="1179">
          <cell r="B1179" t="str">
            <v>12-266-23-07</v>
          </cell>
          <cell r="C1179" t="str">
            <v>TC-PINZETTE, ANATOM.,  WANGENSTEEN, 23 CM</v>
          </cell>
          <cell r="D1179" t="str">
            <v>TC-DRESSING FORCEPS,  WANGENSTEEN, 23 CM</v>
          </cell>
        </row>
        <row r="1180">
          <cell r="B1180" t="str">
            <v>12-267-20-07</v>
          </cell>
          <cell r="C1180" t="str">
            <v>TC-Pinzette, Kübler, 20 cm</v>
          </cell>
          <cell r="D1180" t="str">
            <v>TC-Forceps, Kübler, 20 cm</v>
          </cell>
        </row>
        <row r="1181">
          <cell r="B1181" t="str">
            <v>12-272-15-07</v>
          </cell>
          <cell r="C1181" t="str">
            <v>TC-ATRAUMA PINZETTE,  2,0 MM, 16 CM</v>
          </cell>
          <cell r="D1181" t="str">
            <v>TC-ATR. FORCEPS,  DEBAKEY,  2.0 MM, 16 CM</v>
          </cell>
        </row>
        <row r="1182">
          <cell r="B1182" t="str">
            <v>12-272-19-07</v>
          </cell>
          <cell r="C1182" t="str">
            <v>TC-ATRAUMA PINZETTE,  2,0 MM, 20 CM</v>
          </cell>
          <cell r="D1182" t="str">
            <v>TC-ATR. FORCEPS,  DEBAKEY,  2.0 MM, 20 CM</v>
          </cell>
        </row>
        <row r="1183">
          <cell r="B1183" t="str">
            <v>12-272-24-07</v>
          </cell>
          <cell r="C1183" t="str">
            <v>TC-ATRAUMA PINZETTE,  2,0 MM, 24,5 CM</v>
          </cell>
          <cell r="D1183" t="str">
            <v>TC-ATR. FORCEPS,  DEBAKEY,  2.0 MM, 24.5 C</v>
          </cell>
        </row>
        <row r="1184">
          <cell r="B1184" t="str">
            <v>12-276-18-07</v>
          </cell>
          <cell r="C1184" t="str">
            <v>TC-PINZETTE, JABOMA,  ANATOM.,  18 CM</v>
          </cell>
          <cell r="D1184" t="str">
            <v>TC-DRESSING FORCEPS,  JABOMA,  18 CM</v>
          </cell>
        </row>
        <row r="1185">
          <cell r="B1185" t="str">
            <v>12-278-18-07</v>
          </cell>
          <cell r="C1185" t="str">
            <v>TC-PINZETTE, JABOMA,  1X2 Z., 18 CM</v>
          </cell>
          <cell r="D1185" t="str">
            <v>TC-TISSUE  FORCEPS,  JABOMA,  1X2 T., 18 CM</v>
          </cell>
        </row>
        <row r="1186">
          <cell r="B1186" t="str">
            <v>12-279-18-07</v>
          </cell>
          <cell r="C1186" t="str">
            <v>TC-PINZETTE, JABOMA,  GEW., 1X2 Z., 18 CM</v>
          </cell>
          <cell r="D1186" t="str">
            <v>TC-FORCEPS, JABOMA,  ANG., 1X2 T., 18 CM</v>
          </cell>
        </row>
        <row r="1187">
          <cell r="B1187" t="str">
            <v>12-282-16-09</v>
          </cell>
          <cell r="C1187" t="str">
            <v>TI-ATRAUMA-PINZETTE, 1,5 MM, 16 CM</v>
          </cell>
          <cell r="D1187" t="str">
            <v>TI-ATRAUMA-FORCEPS, 1.5 MM, 16 CM</v>
          </cell>
        </row>
        <row r="1188">
          <cell r="B1188" t="str">
            <v>12-282-20-09</v>
          </cell>
          <cell r="C1188" t="str">
            <v>TI-ATRAUMA-PINZETTE, 1,5 MM, 20,5 CM</v>
          </cell>
          <cell r="D1188" t="str">
            <v>TI-ATRAUMA-FORCEPS, 1.5 MM, 20.5 CM</v>
          </cell>
        </row>
        <row r="1189">
          <cell r="B1189" t="str">
            <v>12-282-24-09</v>
          </cell>
          <cell r="C1189" t="str">
            <v>TI-ATRAUMA-PINZETTE, 1,5 MM, 24,5 CM</v>
          </cell>
          <cell r="D1189" t="str">
            <v>TI-ATRAUMA-FORCEPS, 1.5 MM, 24.5 CM</v>
          </cell>
        </row>
        <row r="1190">
          <cell r="B1190" t="str">
            <v>12-284-16-09</v>
          </cell>
          <cell r="C1190" t="str">
            <v>TI-ATRAUMA-PINZETTE, 1,8 MM, 16 CM</v>
          </cell>
          <cell r="D1190" t="str">
            <v>TI-ATRAUMA-FORCEPS, 1.8 MM, 16 CM</v>
          </cell>
        </row>
        <row r="1191">
          <cell r="B1191" t="str">
            <v>12-284-20-09</v>
          </cell>
          <cell r="C1191" t="str">
            <v>TI-ATRAUMA-PINZETTE, 1,8 MM, 20,5 CM</v>
          </cell>
          <cell r="D1191" t="str">
            <v>TI-ATRAUMA-FORCEPS, 1.8 MM, 20.5 CM</v>
          </cell>
        </row>
        <row r="1192">
          <cell r="B1192" t="str">
            <v>12-284-24-09</v>
          </cell>
          <cell r="C1192" t="str">
            <v>TI-ATRAUMA-PINZETTE, 1,8 MM, 24,5 CM</v>
          </cell>
          <cell r="D1192" t="str">
            <v>TI-ATRAUMA-FORCEPS, 1.8 MM, 24.5 CM</v>
          </cell>
        </row>
        <row r="1193">
          <cell r="B1193" t="str">
            <v>12-285-18-07</v>
          </cell>
          <cell r="C1193" t="str">
            <v>Pinzette,  atrauma,  Gerald, 1,2 mm, 18 cm</v>
          </cell>
          <cell r="D1193" t="str">
            <v>Forceps, atraum., Gerald, 1,2 mm, 18 cm</v>
          </cell>
        </row>
        <row r="1194">
          <cell r="B1194" t="str">
            <v>12-285-20-07</v>
          </cell>
          <cell r="C1194" t="str">
            <v>Pinzette,  atrauma,  Gerald, 1,2 mm, 20 cm</v>
          </cell>
          <cell r="D1194" t="str">
            <v>Forceps, atraum., Gerald, 1,2 mm, 20 cm</v>
          </cell>
        </row>
        <row r="1195">
          <cell r="B1195" t="str">
            <v>12-286-18-07</v>
          </cell>
          <cell r="C1195" t="str">
            <v>Ringpinzette, Gerald, Ø1,0x0,5  mm, 18 cm</v>
          </cell>
          <cell r="D1195" t="str">
            <v>Ring forceps, Gerald, Ø 1,0x0,5 mm, 18cm</v>
          </cell>
        </row>
        <row r="1196">
          <cell r="B1196" t="str">
            <v>12-286-20-07</v>
          </cell>
          <cell r="C1196" t="str">
            <v>Ringpinzette, Gerald, Ø1,0x0,5  mm, 20 cm</v>
          </cell>
          <cell r="D1196" t="str">
            <v>Ring forceps, Gerald, Ø 1,0x0,5 mm, 20cm</v>
          </cell>
        </row>
        <row r="1197">
          <cell r="B1197" t="str">
            <v>12-287-18-07</v>
          </cell>
          <cell r="C1197" t="str">
            <v>Pinzette,  Plateau, Gerald, 1,0 mm, 18 cm</v>
          </cell>
          <cell r="D1197" t="str">
            <v>Forceps, plateau, Gerald, 1,0 mm, 18 cm</v>
          </cell>
        </row>
        <row r="1198">
          <cell r="B1198" t="str">
            <v>12-287-20-07</v>
          </cell>
          <cell r="C1198" t="str">
            <v>Pinzette,  Plateau, Gerald, 1,0 mm, 20 cm</v>
          </cell>
          <cell r="D1198" t="str">
            <v>Forceps, plateau, Gerald, 1,0 mm, 20 cm</v>
          </cell>
        </row>
        <row r="1199">
          <cell r="B1199" t="str">
            <v>12-301-10-07</v>
          </cell>
          <cell r="C1199" t="str">
            <v>PINZETTE,  CHIR., 1X2 Z., 10,5 CM</v>
          </cell>
          <cell r="D1199" t="str">
            <v>TISSUE FORCEPS  1X2 T, 10,5 CM</v>
          </cell>
        </row>
        <row r="1200">
          <cell r="B1200" t="str">
            <v>12-301-11-07</v>
          </cell>
          <cell r="C1200" t="str">
            <v>PINZETTE,  CHIR., 1X2 Z., 12 CM</v>
          </cell>
          <cell r="D1200" t="str">
            <v>TISSUE FORCEPS,  1X2 T., 12 CM</v>
          </cell>
        </row>
        <row r="1201">
          <cell r="B1201" t="str">
            <v>12-301-13-07</v>
          </cell>
          <cell r="C1201" t="str">
            <v>PINZETTE,  CHIR., 1X2 Z., 13 CM</v>
          </cell>
          <cell r="D1201" t="str">
            <v>TISSUE FORCEPS,  1X2 T., 13 CM</v>
          </cell>
        </row>
        <row r="1202">
          <cell r="B1202" t="str">
            <v>12-301-14-07</v>
          </cell>
          <cell r="C1202" t="str">
            <v>PINZETTE,  CHIR., 1X2 Z., 14,5 CM</v>
          </cell>
          <cell r="D1202" t="str">
            <v>TISSUE FORCEPS,  1X2 T., 14.5 CM</v>
          </cell>
        </row>
        <row r="1203">
          <cell r="B1203" t="str">
            <v>12-301-16-07</v>
          </cell>
          <cell r="C1203" t="str">
            <v>PINZETTE,  CHIR., 1X2 Z., 16 CM</v>
          </cell>
          <cell r="D1203" t="str">
            <v>TISSUE FORCEPS,  1X2 T., 16 CM</v>
          </cell>
        </row>
        <row r="1204">
          <cell r="B1204" t="str">
            <v>12-301-18-07</v>
          </cell>
          <cell r="C1204" t="str">
            <v>PINZETTE,  CHIR., 1X2 Z., 18 CM</v>
          </cell>
          <cell r="D1204" t="str">
            <v>TISSUE FORCEPS,  1X2 T., 18 CM</v>
          </cell>
        </row>
        <row r="1205">
          <cell r="B1205" t="str">
            <v>12-301-20-07</v>
          </cell>
          <cell r="C1205" t="str">
            <v>PINZETTE,  CHIR., 1X2 Z., 20,5 CM</v>
          </cell>
          <cell r="D1205" t="str">
            <v>TISSUE FORCEPS,  1X2 T., 20.5 CM</v>
          </cell>
        </row>
        <row r="1206">
          <cell r="B1206" t="str">
            <v>12-301-23-07</v>
          </cell>
          <cell r="C1206" t="str">
            <v>PINZETTE,  CHIR., 1X2 Z., 23 CM</v>
          </cell>
          <cell r="D1206" t="str">
            <v>TISSUE FORCEPS,  1X2 T., 23 CM</v>
          </cell>
        </row>
        <row r="1207">
          <cell r="B1207" t="str">
            <v>12-301-25-07</v>
          </cell>
          <cell r="C1207" t="str">
            <v>PINZETTE,  CHIR., 1X2 Z., 25 CM</v>
          </cell>
          <cell r="D1207" t="str">
            <v>TISSUE FORCEPS,  1X2 T., 25 CM</v>
          </cell>
        </row>
        <row r="1208">
          <cell r="B1208" t="str">
            <v>12-301-30-07</v>
          </cell>
          <cell r="C1208" t="str">
            <v>PINZETTE,  CHIR., 1X2 Z., 30,5 CM</v>
          </cell>
          <cell r="D1208" t="str">
            <v>TISSUE FORCEPS,  1X2 T., 30.5 CM</v>
          </cell>
        </row>
        <row r="1209">
          <cell r="B1209" t="str">
            <v>12-302-11-07</v>
          </cell>
          <cell r="C1209" t="str">
            <v>PINZETTE,  CHIR., 2X3 Z., 12 CM</v>
          </cell>
          <cell r="D1209" t="str">
            <v>TISSUE FORCEPS,  2X3 T., 12 CM</v>
          </cell>
        </row>
        <row r="1210">
          <cell r="B1210" t="str">
            <v>12-302-13-07</v>
          </cell>
          <cell r="C1210" t="str">
            <v>PINZETTE,  CHIR., 2X3 Z., 13 CM</v>
          </cell>
          <cell r="D1210" t="str">
            <v>TISSUE FORCEPS,  2X3 T., 13 CM</v>
          </cell>
        </row>
        <row r="1211">
          <cell r="B1211" t="str">
            <v>12-302-14-07</v>
          </cell>
          <cell r="C1211" t="str">
            <v>PINZETTE,  CHIR., 2X3 Z., 14,5 CM</v>
          </cell>
          <cell r="D1211" t="str">
            <v>TISSUE FORCEPS,  2X3 T., 14.5 CM</v>
          </cell>
        </row>
        <row r="1212">
          <cell r="B1212" t="str">
            <v>12-302-16-07</v>
          </cell>
          <cell r="C1212" t="str">
            <v>PINZETTE,  CHIR., 2X3 Z., 16 CM</v>
          </cell>
          <cell r="D1212" t="str">
            <v>TISSUE FORCEPS,  2X3 T., 16 CM</v>
          </cell>
        </row>
        <row r="1213">
          <cell r="B1213" t="str">
            <v>12-302-18-07</v>
          </cell>
          <cell r="C1213" t="str">
            <v>PINZETTE,  CHIR., 2X3 Z., 18 CM</v>
          </cell>
          <cell r="D1213" t="str">
            <v>TISSUE FORCEPS,  2X3 T., 18 CM</v>
          </cell>
        </row>
        <row r="1214">
          <cell r="B1214" t="str">
            <v>12-302-20-07</v>
          </cell>
          <cell r="C1214" t="str">
            <v>PINZETTE,  CHIR., 2X3 Z., 20,5 CM</v>
          </cell>
          <cell r="D1214" t="str">
            <v>TISSUE FORCEPS,  2X3 T., 20.5 CM</v>
          </cell>
        </row>
        <row r="1215">
          <cell r="B1215" t="str">
            <v>12-302-25-07</v>
          </cell>
          <cell r="C1215" t="str">
            <v>PINZETTE,  CHIR., 2X3 Z., 25 CM</v>
          </cell>
          <cell r="D1215" t="str">
            <v>TISSUE FORCEPS,  2X3 T., 25 CM</v>
          </cell>
        </row>
        <row r="1216">
          <cell r="B1216" t="str">
            <v>12-303-14-07</v>
          </cell>
          <cell r="C1216" t="str">
            <v>PINZETTE,  CHIR., 3X4 Z., 14,5 CM</v>
          </cell>
          <cell r="D1216" t="str">
            <v>TISSUE FORCEPS,  3X4 T., 14.5 CM</v>
          </cell>
        </row>
        <row r="1217">
          <cell r="B1217" t="str">
            <v>12-303-16-07</v>
          </cell>
          <cell r="C1217" t="str">
            <v>PINZETTE,  CHIR., 3X4 Z., 16 CM</v>
          </cell>
          <cell r="D1217" t="str">
            <v>TISSUE FORCEPS,  3X4 T., 16 CM</v>
          </cell>
        </row>
        <row r="1218">
          <cell r="B1218" t="str">
            <v>12-303-20-07</v>
          </cell>
          <cell r="C1218" t="str">
            <v>Pinzette,  chir., 3x4 Z., 20 cm</v>
          </cell>
          <cell r="D1218" t="str">
            <v>Dissecting  forceps, 3x4T., 20 cm</v>
          </cell>
        </row>
        <row r="1219">
          <cell r="B1219" t="str">
            <v>12-304-14-07</v>
          </cell>
          <cell r="C1219" t="str">
            <v>PINZETTE,  CHIR., 4X5 Z., 14,5 CM</v>
          </cell>
          <cell r="D1219" t="str">
            <v>TISSUE FORCEPS,  4X5 T., 14.5 CM</v>
          </cell>
        </row>
        <row r="1220">
          <cell r="B1220" t="str">
            <v>12-304-16-07</v>
          </cell>
          <cell r="C1220" t="str">
            <v>PINZETTE,  CHIR., 4X5 Z., 16 CM</v>
          </cell>
          <cell r="D1220" t="str">
            <v>TISSUE FORCEPS,  4X5 T., 16 CM</v>
          </cell>
        </row>
        <row r="1221">
          <cell r="B1221" t="str">
            <v>12-321-13-07</v>
          </cell>
          <cell r="C1221" t="str">
            <v>PINZETTE,  CHIR., 1X2 Z., SCHMAL,  13 CM</v>
          </cell>
          <cell r="D1221" t="str">
            <v>TISSUE FORCEPS,  1X2 T., SLIM, 13 CM</v>
          </cell>
        </row>
        <row r="1222">
          <cell r="B1222" t="str">
            <v>12-321-14-07</v>
          </cell>
          <cell r="C1222" t="str">
            <v>PINZETTE,  CHIR., 1X2 Z., SCHMAL,  14,5 CM</v>
          </cell>
          <cell r="D1222" t="str">
            <v>TISSUE FORCEPS,  1X2 T., SLIM, 14.5 CM</v>
          </cell>
        </row>
        <row r="1223">
          <cell r="B1223" t="str">
            <v>12-321-16-07</v>
          </cell>
          <cell r="C1223" t="str">
            <v>PINZETTE,  CHIR., 1X2 Z., SCHMAL,  16 CM</v>
          </cell>
          <cell r="D1223" t="str">
            <v>TISSUE FORCEPS,  1X2 T., SLIM, 16 CM</v>
          </cell>
        </row>
        <row r="1224">
          <cell r="B1224" t="str">
            <v>12-321-18-07</v>
          </cell>
          <cell r="C1224" t="str">
            <v>PINZETTE,  CHIR., 1X2 Z., SCHMAL,  18 CM</v>
          </cell>
          <cell r="D1224" t="str">
            <v>TISSUE FORCEPS,  1X2 T., SLIM, 18 CM</v>
          </cell>
        </row>
        <row r="1225">
          <cell r="B1225" t="str">
            <v>12-321-20-07</v>
          </cell>
          <cell r="C1225" t="str">
            <v>PINZETTE,  CHIR., 1X2 Z., SCHMAL,  20,5 CM</v>
          </cell>
          <cell r="D1225" t="str">
            <v>TISSUE FORCEPS,  1X2 T., SLIM, 20.5 CM</v>
          </cell>
        </row>
        <row r="1226">
          <cell r="B1226" t="str">
            <v>12-321-23-07</v>
          </cell>
          <cell r="C1226" t="str">
            <v>PINZETTE,  CHIR., 1X2 Z., SCHMAL,  23 CM</v>
          </cell>
          <cell r="D1226" t="str">
            <v>TISSUE FORCEPS,  1X2 T., SLIM, 23 CM</v>
          </cell>
        </row>
        <row r="1227">
          <cell r="B1227" t="str">
            <v>12-321-25-07</v>
          </cell>
          <cell r="C1227" t="str">
            <v>PINZETTE,  CHIR., 1X2 Z., SCHMAL,  25 CM</v>
          </cell>
          <cell r="D1227" t="str">
            <v>TISSUE FORCEPS,  1X2 T., SLIM, 25 CM</v>
          </cell>
        </row>
        <row r="1228">
          <cell r="B1228" t="str">
            <v>12-321-30-07</v>
          </cell>
          <cell r="C1228" t="str">
            <v>PINZETTE,  CHIR., 1X2 Z., SCHMAL,  30 CM</v>
          </cell>
          <cell r="D1228" t="str">
            <v>TISSUE FORCEPS,  1X2 T., SLIM, 30 CM</v>
          </cell>
        </row>
        <row r="1229">
          <cell r="B1229" t="str">
            <v>12-323-15-07</v>
          </cell>
          <cell r="C1229" t="str">
            <v>Pinzette,  chir.,1x2Z.,schmal,geb.,14,5cm</v>
          </cell>
          <cell r="D1229" t="str">
            <v>Diss. forceps, 1x2T., slim, cvd.,14.5cm</v>
          </cell>
        </row>
        <row r="1230">
          <cell r="B1230" t="str">
            <v>12-326-13-07</v>
          </cell>
          <cell r="C1230" t="str">
            <v>PINZETTE,  CHIR., 1X2 Z., FEIN, 13 CM</v>
          </cell>
          <cell r="D1230" t="str">
            <v>TISSUE FORCEPS,  1X2 T., DELICATE,  13 CM</v>
          </cell>
        </row>
        <row r="1231">
          <cell r="B1231" t="str">
            <v>12-326-14-07</v>
          </cell>
          <cell r="C1231" t="str">
            <v>PINZETTE,  CHIR., 1X2 Z., FEIN, 14,5 CM</v>
          </cell>
          <cell r="D1231" t="str">
            <v>TISSUE FORCEPS,  1X2 T., DELIC., 14.5 CM</v>
          </cell>
        </row>
        <row r="1232">
          <cell r="B1232" t="str">
            <v>12-331-15-07</v>
          </cell>
          <cell r="C1232" t="str">
            <v>PINZETTE,  CHIR., STILLE, 1X2 Z., 15 CM</v>
          </cell>
          <cell r="D1232" t="str">
            <v>TISSUE FORCEPS,  STILLE, 1X2 T., 15 CM</v>
          </cell>
        </row>
        <row r="1233">
          <cell r="B1233" t="str">
            <v>12-332-15-07</v>
          </cell>
          <cell r="C1233" t="str">
            <v>PINZETTE,  CHIR., STILLE, 3X2 Z., 15 CM</v>
          </cell>
          <cell r="D1233" t="str">
            <v>TISSUE FORCEPS,  STILLE, 3X2 T., 15 CM</v>
          </cell>
        </row>
        <row r="1234">
          <cell r="B1234" t="str">
            <v>12-366-15-07</v>
          </cell>
          <cell r="C1234" t="str">
            <v>PINZETTE,  ADLERKREUTZ, 2X3 Z., 15,5 CM</v>
          </cell>
          <cell r="D1234" t="str">
            <v>FORCEPS,  ADLERKREUTZ, 2X3 T., 15.5 CM</v>
          </cell>
        </row>
        <row r="1235">
          <cell r="B1235" t="str">
            <v>12-366-20-07</v>
          </cell>
          <cell r="C1235" t="str">
            <v>PINZETTE,  ADLERKREUTZ, 2X3 Z., 20,5 CM</v>
          </cell>
          <cell r="D1235" t="str">
            <v>FORCEPS,  ADLERKREUTZ, 2X3 T., 20.5 CM</v>
          </cell>
        </row>
        <row r="1236">
          <cell r="B1236" t="str">
            <v>12-367-15-07</v>
          </cell>
          <cell r="C1236" t="str">
            <v>PINZETTE,  ADLERKREUTZ, 4X5 Z., 15,5 CM</v>
          </cell>
          <cell r="D1236" t="str">
            <v>FORCEPS,  ADLERKREUTZ, 4X5 T., 15.5 CM</v>
          </cell>
        </row>
        <row r="1237">
          <cell r="B1237" t="str">
            <v>12-367-20-07</v>
          </cell>
          <cell r="C1237" t="str">
            <v>PINZETTE,  ADLERKREUTZ, 4X5 Z., 20 CM</v>
          </cell>
          <cell r="D1237" t="str">
            <v>FORCEPS,  ADLERKREUTZ, 4X5 T., 20 CM</v>
          </cell>
        </row>
        <row r="1238">
          <cell r="B1238" t="str">
            <v>12-367-25-07</v>
          </cell>
          <cell r="C1238" t="str">
            <v>PINZETTE,  ADLERKREUTZ, 4X5 Z., 25 CM</v>
          </cell>
          <cell r="D1238" t="str">
            <v>FORCEPS,  ADLERKREUTZ, 4X5 T., 25 CM</v>
          </cell>
        </row>
        <row r="1239">
          <cell r="B1239" t="str">
            <v>12-368-12-07</v>
          </cell>
          <cell r="C1239" t="str">
            <v>PINZETTE,  CHIR., ADSON, 1X2 Z., 12 CM</v>
          </cell>
          <cell r="D1239" t="str">
            <v>TISSUE FORCEPS,  ADSON, 1X2 T., 12 CM</v>
          </cell>
        </row>
        <row r="1240">
          <cell r="B1240" t="str">
            <v>12-368-15-07</v>
          </cell>
          <cell r="C1240" t="str">
            <v>Pinzette,  chir., Adson, 1x2 Z., 15 cm</v>
          </cell>
          <cell r="D1240" t="str">
            <v>Diss. forceps, Adson, 1x2 T., 15 cm</v>
          </cell>
        </row>
        <row r="1241">
          <cell r="B1241" t="str">
            <v>12-369-12-07</v>
          </cell>
          <cell r="C1241" t="str">
            <v>Pinzette,  chir., Adson, 2x3 Z., 12 cm</v>
          </cell>
          <cell r="D1241" t="str">
            <v>Forceps, tissue, Adson, 2x3 t., 12 cm</v>
          </cell>
        </row>
        <row r="1242">
          <cell r="B1242" t="str">
            <v>12-370-15-07</v>
          </cell>
          <cell r="C1242" t="str">
            <v>Pinzette,  chir., Gillies, 1x2 Z., 15,5cm</v>
          </cell>
          <cell r="D1242" t="str">
            <v>Diss. forceps, Gillies, 1x2 T., 15,5 cm</v>
          </cell>
        </row>
        <row r="1243">
          <cell r="B1243" t="str">
            <v>12-371-20-07</v>
          </cell>
          <cell r="C1243" t="str">
            <v>Pinzette,  chir., Waugh, 1x2 Z., 20 cm</v>
          </cell>
          <cell r="D1243" t="str">
            <v>Diss. forceps, Waugh, 1x2 T., 20 cm</v>
          </cell>
        </row>
        <row r="1244">
          <cell r="B1244" t="str">
            <v>12-371-25-07</v>
          </cell>
          <cell r="C1244" t="str">
            <v>Pinzette,  chir., Waugh, 1x2 Z., 25 cm</v>
          </cell>
          <cell r="D1244" t="str">
            <v>Dissecting  forceps, Waugh, 1x2 t., 25 cm</v>
          </cell>
        </row>
        <row r="1245">
          <cell r="B1245" t="str">
            <v>12-372-12-07</v>
          </cell>
          <cell r="C1245" t="str">
            <v>Pinzette,  chir., Semken 1x2 Z., 12,5 cm</v>
          </cell>
          <cell r="D1245" t="str">
            <v>Diss. forceps, Semken, 1x2 T., 12.5 cm</v>
          </cell>
        </row>
        <row r="1246">
          <cell r="B1246" t="str">
            <v>12-372-15-07</v>
          </cell>
          <cell r="C1246" t="str">
            <v>Pinzette,  chir., Semken, 1x2 Z., 15 cm</v>
          </cell>
          <cell r="D1246" t="str">
            <v>Diss. forceps, Semken, 1x2 T., 15 cm</v>
          </cell>
        </row>
        <row r="1247">
          <cell r="B1247" t="str">
            <v>12-374-17-07</v>
          </cell>
          <cell r="C1247" t="str">
            <v>Pinzette,  chir., Taylor, 1x2 Z., 17,5 cm</v>
          </cell>
          <cell r="D1247" t="str">
            <v>Diss. forceps, Taylor, 1x2 T., 17.5 cm</v>
          </cell>
        </row>
        <row r="1248">
          <cell r="B1248" t="str">
            <v>12-380-17-07</v>
          </cell>
          <cell r="C1248" t="str">
            <v>Pinzette,  chir., Taylor, 1x2 Z., 17 cm</v>
          </cell>
          <cell r="D1248" t="str">
            <v>Diss. forceps, Taylor, 1x2 T., 17 cm</v>
          </cell>
        </row>
        <row r="1249">
          <cell r="B1249" t="str">
            <v>12-383-17-07</v>
          </cell>
          <cell r="C1249" t="str">
            <v>Pinzette,  chir., bajon., 1x2 Z., 18,5 cm</v>
          </cell>
          <cell r="D1249" t="str">
            <v>Diss. forceps, bayon., 1x2 T., 18.5 cm</v>
          </cell>
        </row>
        <row r="1250">
          <cell r="B1250" t="str">
            <v>12-384-06-07</v>
          </cell>
          <cell r="C1250" t="str">
            <v>MIKROPINZETTE, 1X2 Z., 0,6 MM, 15,5 CM</v>
          </cell>
          <cell r="D1250" t="str">
            <v>MICRO FORCEPS,  1X2 T., 0.6 MM, 15.5 CM</v>
          </cell>
        </row>
        <row r="1251">
          <cell r="B1251" t="str">
            <v>12-384-08-07</v>
          </cell>
          <cell r="C1251" t="str">
            <v>MIKROPINZETTE, 1X2 Z., 0,8 MM, 15,5 CM</v>
          </cell>
          <cell r="D1251" t="str">
            <v>MICRO FORCEPS,  1X2 T., 0.8 MM, 15.5 CM</v>
          </cell>
        </row>
        <row r="1252">
          <cell r="B1252" t="str">
            <v>12-384-10-07</v>
          </cell>
          <cell r="C1252" t="str">
            <v>MIKROPINZETTE, 1X2 Z., 1,0 MM, 15,5 CM</v>
          </cell>
          <cell r="D1252" t="str">
            <v>MICRO FORCEPS,  1X2 T., 1.0 MM, 15.5 CM</v>
          </cell>
        </row>
        <row r="1253">
          <cell r="B1253" t="str">
            <v>12-386-17-07</v>
          </cell>
          <cell r="C1253" t="str">
            <v>PINZETTE,  GERALD, 1X2 Z., GER., 17,5 CM</v>
          </cell>
          <cell r="D1253" t="str">
            <v>FORCEPS,  GERALD, 1X2 T., STR., 17.5 CM</v>
          </cell>
        </row>
        <row r="1254">
          <cell r="B1254" t="str">
            <v>12-387-17-07</v>
          </cell>
          <cell r="C1254" t="str">
            <v>PINZETTE,  GERALD, 1X2 Z., GEB., 17 CM</v>
          </cell>
          <cell r="D1254" t="str">
            <v>FORCEPS,  GERALD, 1X2 T., CVD., 17 CM</v>
          </cell>
        </row>
        <row r="1255">
          <cell r="B1255" t="str">
            <v>12-388-17-07</v>
          </cell>
          <cell r="C1255" t="str">
            <v>PINZETTE,  CHIR., CUSHING,  1X2 Z., 18 CM</v>
          </cell>
          <cell r="D1255" t="str">
            <v>TISSUE FORCEPS,  CUSHING,  1X2 T., 18 CM</v>
          </cell>
        </row>
        <row r="1256">
          <cell r="B1256" t="str">
            <v>12-392-18-07</v>
          </cell>
          <cell r="C1256" t="str">
            <v>PINZETTE,  POTTS-SMITH, 1X2 Z., 18 CM</v>
          </cell>
          <cell r="D1256" t="str">
            <v>FORCEPS,  POTTS-SMITH, 1X2 T., 18 CM</v>
          </cell>
        </row>
        <row r="1257">
          <cell r="B1257" t="str">
            <v>12-392-21-07</v>
          </cell>
          <cell r="C1257" t="str">
            <v>PINZETTE,  POTTS-SMITH, 1X2 Z., 21 CM</v>
          </cell>
          <cell r="D1257" t="str">
            <v>FORCEPS,  POTTS-SMITH, 1X2 T., 21 CM</v>
          </cell>
        </row>
        <row r="1258">
          <cell r="B1258" t="str">
            <v>12-392-25-07</v>
          </cell>
          <cell r="C1258" t="str">
            <v>PINZETTE,  POTTS-SMITH, 1X2 Z., 25 CM</v>
          </cell>
          <cell r="D1258" t="str">
            <v>FORCEPS,  POTTS-SMITH, 1X2 T., 25 CM</v>
          </cell>
        </row>
        <row r="1259">
          <cell r="B1259" t="str">
            <v>12-400-12-07</v>
          </cell>
          <cell r="C1259" t="str">
            <v>PINZETTE,  ADSON BROWN, 7X7 Z., 12 CM</v>
          </cell>
          <cell r="D1259" t="str">
            <v>FORCEPS,  ADSON BROWN, 7X7 T., 12 CM</v>
          </cell>
        </row>
        <row r="1260">
          <cell r="B1260" t="str">
            <v>12-402-12-07</v>
          </cell>
          <cell r="C1260" t="str">
            <v>PINZETTE,  MINI-ADSON, 1X2 Z., 12 CM</v>
          </cell>
          <cell r="D1260" t="str">
            <v>FORCEPS,  MINI-ADSON, 1X2 T., 12 CM</v>
          </cell>
        </row>
        <row r="1261">
          <cell r="B1261" t="str">
            <v>12-403-12-07</v>
          </cell>
          <cell r="C1261" t="str">
            <v>PINZETTE,  MI.-ADSON, 1X2 Z., GEB., 12 CM</v>
          </cell>
          <cell r="D1261" t="str">
            <v>FORCEPS,  MI.-ADSON, 1X2 T., CVD., 12 CM</v>
          </cell>
        </row>
        <row r="1262">
          <cell r="B1262" t="str">
            <v>12-404-12-07</v>
          </cell>
          <cell r="C1262" t="str">
            <v>PINZETTE,  ANATOM.,  MIKRO-ADSON, 12 CM</v>
          </cell>
          <cell r="D1262" t="str">
            <v>DRESSING  FORCEPS,  MICRO-ADSON, 12 CM</v>
          </cell>
        </row>
        <row r="1263">
          <cell r="B1263" t="str">
            <v>12-404-15-07</v>
          </cell>
          <cell r="C1263" t="str">
            <v>PINZETTE,  ANATOM.,  MIKRO-ADSON, 15 CM</v>
          </cell>
          <cell r="D1263" t="str">
            <v>DRESSING  FORCEPS,  MICRO-ADSON, 15 CM</v>
          </cell>
        </row>
        <row r="1264">
          <cell r="B1264" t="str">
            <v>12-405-15-07</v>
          </cell>
          <cell r="C1264" t="str">
            <v>PINZETTE,ANATOM.,MIKRO-ADSON N. SHIGENO</v>
          </cell>
          <cell r="D1264" t="str">
            <v>DRESSING  FCPS,MICRO-ADSON ACC.TO SHIGENO</v>
          </cell>
        </row>
        <row r="1265">
          <cell r="B1265" t="str">
            <v>12-406-12-07</v>
          </cell>
          <cell r="C1265" t="str">
            <v>PINZETTE,  MIKRO-ADSON, 1X2 Z., 12 CM</v>
          </cell>
          <cell r="D1265" t="str">
            <v>FORCEPS,  MICRO-ADSON, 1X2 T., 12 CM</v>
          </cell>
        </row>
        <row r="1266">
          <cell r="B1266" t="str">
            <v>12-406-15-07</v>
          </cell>
          <cell r="C1266" t="str">
            <v>PINZETTE,  MIKRO-ADSON, 1X2 Z., 15 CM</v>
          </cell>
          <cell r="D1266" t="str">
            <v>FORCEPS,  MICRO-ADSON, 1X2 T., 15 CM</v>
          </cell>
        </row>
        <row r="1267">
          <cell r="B1267" t="str">
            <v>12-408-11-07</v>
          </cell>
          <cell r="C1267" t="str">
            <v>MIKROPINZETTE, FEIN, 1X2 Z., 10,5 CM</v>
          </cell>
          <cell r="D1267" t="str">
            <v>MICRO FORCEPS,  DELICATE,  1X2 T., 10.5 CM</v>
          </cell>
        </row>
        <row r="1268">
          <cell r="B1268" t="str">
            <v>12-409-12-07</v>
          </cell>
          <cell r="C1268" t="str">
            <v>UHRMACHER-PINZETTE, GEB., NR. 7, 12 CM</v>
          </cell>
          <cell r="D1268" t="str">
            <v>FORCEPS,  JEWELER,  CVD., NO. 7, 12 CM</v>
          </cell>
        </row>
        <row r="1269">
          <cell r="B1269" t="str">
            <v>12-410-12-07</v>
          </cell>
          <cell r="C1269" t="str">
            <v>UHRMACHER-PINZETTE, GER., NR. 3, 12 CM</v>
          </cell>
          <cell r="D1269" t="str">
            <v>FORCEPS,  JEWELER,  STR., NO. 3, 12 CM</v>
          </cell>
        </row>
        <row r="1270">
          <cell r="B1270" t="str">
            <v>12-412-11-07</v>
          </cell>
          <cell r="C1270" t="str">
            <v>Pinzette,  Uhrmacher,ger.,#3C,Ø0,4mm,11cm</v>
          </cell>
          <cell r="D1270" t="str">
            <v>Forceps, jeweler, str., #3 C,Ø0,4mm,11cm</v>
          </cell>
        </row>
        <row r="1271">
          <cell r="B1271" t="str">
            <v>12-414-11-07</v>
          </cell>
          <cell r="C1271" t="str">
            <v>UHRMACHER-PINZETTE, GER., NR. 5, 11 CM</v>
          </cell>
          <cell r="D1271" t="str">
            <v>FORCEPS,  JEWELER,  STR., NO. 5, 11 CM</v>
          </cell>
        </row>
        <row r="1272">
          <cell r="B1272" t="str">
            <v>12-416-11-07</v>
          </cell>
          <cell r="C1272" t="str">
            <v>UHRMACHER-PINZETTE, GER., NR. 4, 11 CM</v>
          </cell>
          <cell r="D1272" t="str">
            <v>FORCEPS,  JEWELER,  STR., NO. 4, 11 CM</v>
          </cell>
        </row>
        <row r="1273">
          <cell r="B1273" t="str">
            <v>12-418-11-07</v>
          </cell>
          <cell r="C1273" t="str">
            <v>Uhrmacher-Pinzette, abgew., 11 cm</v>
          </cell>
          <cell r="D1273" t="str">
            <v>Forceps, Jeweler, ang. down, 11 cm</v>
          </cell>
        </row>
        <row r="1274">
          <cell r="B1274" t="str">
            <v>12-420-15-07</v>
          </cell>
          <cell r="C1274" t="str">
            <v>PINZETTE,  CHIR., RUSS. MODELL,  15 CM</v>
          </cell>
          <cell r="D1274" t="str">
            <v>TISSUE FORCEPS,  RUSSIAN-TYPE, 15 CM</v>
          </cell>
        </row>
        <row r="1275">
          <cell r="B1275" t="str">
            <v>12-420-20-07</v>
          </cell>
          <cell r="C1275" t="str">
            <v>PINZETTE,  CHIR., RUSS. MODELL,  20 CM</v>
          </cell>
          <cell r="D1275" t="str">
            <v>TISSUE FORCEPS,  RUSSIAN-TYPE, 20 CM</v>
          </cell>
        </row>
        <row r="1276">
          <cell r="B1276" t="str">
            <v>12-420-25-07</v>
          </cell>
          <cell r="C1276" t="str">
            <v>PINZETTE,  CHIR., RUSS. MODELL,  25,5 CM</v>
          </cell>
          <cell r="D1276" t="str">
            <v>TISSUE FORCEPS,  RUSSIAN-TYPE, 25.5 CM</v>
          </cell>
        </row>
        <row r="1277">
          <cell r="B1277" t="str">
            <v>12-426-14-07</v>
          </cell>
          <cell r="C1277" t="str">
            <v>PINZETTE,  CHIR., DURANTE,  14,5 CM</v>
          </cell>
          <cell r="D1277" t="str">
            <v>TISSUE FORCEPS,  DURANTE,  14.5 CM</v>
          </cell>
        </row>
        <row r="1278">
          <cell r="B1278" t="str">
            <v>12-426-16-07</v>
          </cell>
          <cell r="C1278" t="str">
            <v>PINZETTE,  CHIR., DURANTE,  16 CM</v>
          </cell>
          <cell r="D1278" t="str">
            <v>TISSUE FORCEPS,  DURANTE,  16 CM</v>
          </cell>
        </row>
        <row r="1279">
          <cell r="B1279" t="str">
            <v>12-426-20-07</v>
          </cell>
          <cell r="C1279" t="str">
            <v>PINZETTE,  CHIR., DURANTE,  20,5 CM</v>
          </cell>
          <cell r="D1279" t="str">
            <v>TISSUE FORCEPS,  DURANTE,  20.5 CM</v>
          </cell>
        </row>
        <row r="1280">
          <cell r="B1280" t="str">
            <v>12-426-25-07</v>
          </cell>
          <cell r="C1280" t="str">
            <v>PINZETTE,  CHIR., DURANTE,  25 CM</v>
          </cell>
          <cell r="D1280" t="str">
            <v>TISSUE FORCEPS,  DURANTE,  25 CM</v>
          </cell>
        </row>
        <row r="1281">
          <cell r="B1281" t="str">
            <v>12-444-18-07</v>
          </cell>
          <cell r="C1281" t="str">
            <v>PINZETTE,  STILLE-BARRAYA, 3X4 Z., 18 CM</v>
          </cell>
          <cell r="D1281" t="str">
            <v>FORCEPS,  STILLE-BARRAYA, 3X4 T., 18 CM</v>
          </cell>
        </row>
        <row r="1282">
          <cell r="B1282" t="str">
            <v>12-451-18-07</v>
          </cell>
          <cell r="C1282" t="str">
            <v>PINZETTE,  CHIR., BONNEY,  1X2 Z., 17,5 CM</v>
          </cell>
          <cell r="D1282" t="str">
            <v>TISSUE FORCEPS,  BONNEY,  1X2 T., 17.5 CM</v>
          </cell>
        </row>
        <row r="1283">
          <cell r="B1283" t="str">
            <v>12-456-23-07</v>
          </cell>
          <cell r="C1283" t="str">
            <v>PINZETTE,  MAYO, RUSS. MODELL,  23 CM</v>
          </cell>
          <cell r="D1283" t="str">
            <v>FORCEPS,  MAYO, RUSSIAN-TYPE, 23 CM</v>
          </cell>
        </row>
        <row r="1284">
          <cell r="B1284" t="str">
            <v>12-460-18-07</v>
          </cell>
          <cell r="C1284" t="str">
            <v>PINZETTE,  GEFENSTERTES MAUL, 18 CM</v>
          </cell>
          <cell r="D1284" t="str">
            <v>FORCEPS,  FENESTRATED JAW, 18 CM</v>
          </cell>
        </row>
        <row r="1285">
          <cell r="B1285" t="str">
            <v>12-460-23-07</v>
          </cell>
          <cell r="C1285" t="str">
            <v>PINZETTE,  GEFENSTERTES MAUL, 23 CM</v>
          </cell>
          <cell r="D1285" t="str">
            <v>FORCEPS,  FENESTRATED JAW, 23 CM</v>
          </cell>
        </row>
        <row r="1286">
          <cell r="B1286" t="str">
            <v>12-466-23-07</v>
          </cell>
          <cell r="C1286" t="str">
            <v>Pinzette,  Nelson, 8x7 Zähne, 23 cm</v>
          </cell>
          <cell r="D1286" t="str">
            <v>Forceps, Nelson, 8x7 t., 23 cm</v>
          </cell>
        </row>
        <row r="1287">
          <cell r="B1287" t="str">
            <v>12-467-23-07</v>
          </cell>
          <cell r="C1287" t="str">
            <v>Pinzette,  Resano, 23 cm</v>
          </cell>
          <cell r="D1287" t="str">
            <v>Forceps, Resano, 23 cm</v>
          </cell>
        </row>
        <row r="1288">
          <cell r="B1288" t="str">
            <v>12-468-18-07</v>
          </cell>
          <cell r="C1288" t="str">
            <v>TUBENFASSPINZETTE, MAUL ISOLIERT,  18 CM</v>
          </cell>
          <cell r="D1288" t="str">
            <v>TUBAL SEIZING FORCEPS,  ISOL. JAW, 18 CM</v>
          </cell>
        </row>
        <row r="1289">
          <cell r="B1289" t="str">
            <v>12-502-10-07</v>
          </cell>
          <cell r="C1289" t="str">
            <v>PINZETTE,  ANATOM.,  FEIN, GER., 10 CM</v>
          </cell>
          <cell r="D1289" t="str">
            <v>DRESSING  FORCEPS,  FINE, STR., 10 CM</v>
          </cell>
        </row>
        <row r="1290">
          <cell r="B1290" t="str">
            <v>12-503-10-07</v>
          </cell>
          <cell r="C1290" t="str">
            <v>PINZETTE,  ANATOM.,  FEIN, GEB., 10 CM</v>
          </cell>
          <cell r="D1290" t="str">
            <v>DRESSING  FORCEPS,  FINE, CVD., 10 CM</v>
          </cell>
        </row>
        <row r="1291">
          <cell r="B1291" t="str">
            <v>12-505-10-07</v>
          </cell>
          <cell r="C1291" t="str">
            <v>PINZETTE,  ANAT., FEIN, ST. GEB., 9,5 CM</v>
          </cell>
          <cell r="D1291" t="str">
            <v>DRESSING  FORCEPS,  FINE, ST. CVD., 9.5 CM</v>
          </cell>
        </row>
        <row r="1292">
          <cell r="B1292" t="str">
            <v>12-512-10-07</v>
          </cell>
          <cell r="C1292" t="str">
            <v>PINZETTE,  FEIN, 1X2 Z., GER., 10 CM</v>
          </cell>
          <cell r="D1292" t="str">
            <v>TISSUE FORCEPS,  1X2 T., STR., 10 CM</v>
          </cell>
        </row>
        <row r="1293">
          <cell r="B1293" t="str">
            <v>12-513-10-07</v>
          </cell>
          <cell r="C1293" t="str">
            <v>PINZETTE,  FEIN, 1X2 Z., GEB., 10 CM</v>
          </cell>
          <cell r="D1293" t="str">
            <v>FORCEPS,  FINE, 1X2 T., SL. CVD., 10 CM</v>
          </cell>
        </row>
        <row r="1294">
          <cell r="B1294" t="str">
            <v>12-515-10-07</v>
          </cell>
          <cell r="C1294" t="str">
            <v>PINZETTE,  FEIN, 1X2 Z., GEB., 9,5 CM</v>
          </cell>
          <cell r="D1294" t="str">
            <v>FORCEPS,  FINE, 1X2 T., ST. CVD., 9.5 CM</v>
          </cell>
        </row>
        <row r="1295">
          <cell r="B1295" t="str">
            <v>12-552-01-07</v>
          </cell>
          <cell r="C1295" t="str">
            <v>Mikropinzette, Spitze Ø 0,15 mm, 11 cm</v>
          </cell>
          <cell r="D1295" t="str">
            <v>Micro Forceps, Tip Ø 0,15 mm, 11 cm</v>
          </cell>
        </row>
        <row r="1296">
          <cell r="B1296" t="str">
            <v>12-552-02-07</v>
          </cell>
          <cell r="C1296" t="str">
            <v>Mikropinzette, Spitze Ø 0,20 mm, 11 cm</v>
          </cell>
          <cell r="D1296" t="str">
            <v>Micro Forceps, Tip Ø 0,20 mm, 11 cm</v>
          </cell>
        </row>
        <row r="1297">
          <cell r="B1297" t="str">
            <v>12-552-03-07</v>
          </cell>
          <cell r="C1297" t="str">
            <v>Mikropinzette, Spitze Ø 0,30 mm, 11 cm</v>
          </cell>
          <cell r="D1297" t="str">
            <v>Micro Forceps, Tip Ø 0,30 mm, 11 cm</v>
          </cell>
        </row>
        <row r="1298">
          <cell r="B1298" t="str">
            <v>12-552-04-07</v>
          </cell>
          <cell r="C1298" t="str">
            <v>Dilatat.-Pinzette, 10°, Ø 0,10 mm, 11 cm</v>
          </cell>
          <cell r="D1298" t="str">
            <v>Dilating-Forceps, 10°, Ø 0,10 mm, 11 cm</v>
          </cell>
        </row>
        <row r="1299">
          <cell r="B1299" t="str">
            <v>12-552-05-07</v>
          </cell>
          <cell r="C1299" t="str">
            <v>Dilatat.-Pinzette, 10°, Ø 0,20 mm, 11 cm</v>
          </cell>
          <cell r="D1299" t="str">
            <v>Dilating-Forceps, 10°, Ø 0,20 mm, 11 cm</v>
          </cell>
        </row>
        <row r="1300">
          <cell r="B1300" t="str">
            <v>12-552-06-07</v>
          </cell>
          <cell r="C1300" t="str">
            <v>Dilatat.-Pinzette, 10°, Ø 0,30 mm, 11 cm</v>
          </cell>
          <cell r="D1300" t="str">
            <v>Dilating-Forceps, 10°, Ø 0,30 mm, 11 cm</v>
          </cell>
        </row>
        <row r="1301">
          <cell r="B1301" t="str">
            <v>12-552-07-07</v>
          </cell>
          <cell r="C1301" t="str">
            <v>Mikropinzette, Spitze Ø 0,15 mm, 11 cm</v>
          </cell>
          <cell r="D1301" t="str">
            <v>Micro Forceps, Tip Ø 0,15 mm, 11 cm</v>
          </cell>
        </row>
        <row r="1302">
          <cell r="B1302" t="str">
            <v>12-552-08-07</v>
          </cell>
          <cell r="C1302" t="str">
            <v>Mikropinzette, Spitze Ø 0,20 mm, 11 cm</v>
          </cell>
          <cell r="D1302" t="str">
            <v>Micro Forceps, Tip Ø 0,20 mm, 11 cm</v>
          </cell>
        </row>
        <row r="1303">
          <cell r="B1303" t="str">
            <v>12-552-09-07</v>
          </cell>
          <cell r="C1303" t="str">
            <v>Mikropinzette, Spitze Ø 0,30 mm, 11 cm</v>
          </cell>
          <cell r="D1303" t="str">
            <v>Micro Forceps, Tip Ø 0,30 mm, 11 cm</v>
          </cell>
        </row>
        <row r="1304">
          <cell r="B1304" t="str">
            <v>12-552-10-07</v>
          </cell>
          <cell r="C1304" t="str">
            <v>Dilatat.-Pinzette, 10°, Ø 0,10 mm, 11 cm</v>
          </cell>
          <cell r="D1304" t="str">
            <v>Dilating-Forceps, 10°, Ø 0,10 mm, 11 cm</v>
          </cell>
        </row>
        <row r="1305">
          <cell r="B1305" t="str">
            <v>12-552-11-07</v>
          </cell>
          <cell r="C1305" t="str">
            <v>Dilatat.-Pinzette, 10°, Ø 0,20 mm, 11 cm</v>
          </cell>
          <cell r="D1305" t="str">
            <v>Dilating-Forceps, 10°, Ø 0,20 mm, 11 cm</v>
          </cell>
        </row>
        <row r="1306">
          <cell r="B1306" t="str">
            <v>12-552-12-07</v>
          </cell>
          <cell r="C1306" t="str">
            <v>Dilatat.-Pinzette, 10°, Ø 0,30 mm, 11 cm</v>
          </cell>
          <cell r="D1306" t="str">
            <v>Dilating-Forceps, 10°, Ø 0,30 mm, 11 cm</v>
          </cell>
        </row>
        <row r="1307">
          <cell r="B1307" t="str">
            <v>12-553-01-07</v>
          </cell>
          <cell r="C1307" t="str">
            <v>Mikropinzette, Ø 0,5 mm, 1x2 Z., 11 cm</v>
          </cell>
          <cell r="D1307" t="str">
            <v>Micro Forceps, Ø 0,5 mm, 1x2 T., 11 cm</v>
          </cell>
        </row>
        <row r="1308">
          <cell r="B1308" t="str">
            <v>12-553-05-07</v>
          </cell>
          <cell r="C1308" t="str">
            <v>Mikropinzette, Ring-Ø 1,2 mm, 11 cm</v>
          </cell>
          <cell r="D1308" t="str">
            <v>Micro Forceps, Ring-Ø 1,2 mm, 11 cm</v>
          </cell>
        </row>
        <row r="1309">
          <cell r="B1309" t="str">
            <v>12-553-06-07</v>
          </cell>
          <cell r="C1309" t="str">
            <v>Mikropinzette, Dreikant-Spitze, 11 cm</v>
          </cell>
          <cell r="D1309" t="str">
            <v>Micro Forceps, triangle-tip, 11 cm</v>
          </cell>
        </row>
        <row r="1310">
          <cell r="B1310" t="str">
            <v>12-553-07-07</v>
          </cell>
          <cell r="C1310" t="str">
            <v>Mikropinzette, Ø 0,5 mm, 1x2 Z., 11 cm</v>
          </cell>
          <cell r="D1310" t="str">
            <v>Micro Forceps, Ø 0,5 mm, 1x2 T., 11 cm</v>
          </cell>
        </row>
        <row r="1311">
          <cell r="B1311" t="str">
            <v>12-553-08-07</v>
          </cell>
          <cell r="C1311" t="str">
            <v>Mikropinzette, Ring-Ø 1,2 mm, 11 cm</v>
          </cell>
          <cell r="D1311" t="str">
            <v>Micro Forceps, Ring Ø 1,2 mm, 11 cm</v>
          </cell>
        </row>
        <row r="1312">
          <cell r="B1312" t="str">
            <v>12-553-09-07</v>
          </cell>
          <cell r="C1312" t="str">
            <v>Mikropinzette, Dreikant-Spitze, 11 cm</v>
          </cell>
          <cell r="D1312" t="str">
            <v>Micro Forceps, triangle-tip, 11 cm</v>
          </cell>
        </row>
        <row r="1313">
          <cell r="B1313" t="str">
            <v>12-560-00-07</v>
          </cell>
          <cell r="C1313" t="str">
            <v>MIKROPINZETTE, GER., 0,3 MM, 11 CM</v>
          </cell>
          <cell r="D1313" t="str">
            <v>MICRO FORCEPS,  STR., 0.3 MM, 11 CM</v>
          </cell>
        </row>
        <row r="1314">
          <cell r="B1314" t="str">
            <v>12-560-02-07</v>
          </cell>
          <cell r="C1314" t="str">
            <v>DILATAT.-PINZETTE, 10°, 5X0,2 MM, 11 CM</v>
          </cell>
          <cell r="D1314" t="str">
            <v>DILATING-FORCEPS, 10°, 5X0.2 MM, 11 CM</v>
          </cell>
        </row>
        <row r="1315">
          <cell r="B1315" t="str">
            <v>12-560-03-07</v>
          </cell>
          <cell r="C1315" t="str">
            <v>DILATAT.-PINZETTE, 10°, 5X0,3 MM, 11 CM</v>
          </cell>
          <cell r="D1315" t="str">
            <v>DILATING-FORCEPS, 10°, 5X0.3 MM, 11 CM</v>
          </cell>
        </row>
        <row r="1316">
          <cell r="B1316" t="str">
            <v>12-560-05-07</v>
          </cell>
          <cell r="C1316" t="str">
            <v>MIKROPINZETTE PIERSE-SPITZE, GER., 11 CM</v>
          </cell>
          <cell r="D1316" t="str">
            <v>MICRO FORCEPS,  PIERSE-TIP, STR., 11 CM</v>
          </cell>
        </row>
        <row r="1317">
          <cell r="B1317" t="str">
            <v>12-560-45-07</v>
          </cell>
          <cell r="C1317" t="str">
            <v>MIKROPINZETTE, 45°, 0,3 MM, 11 CM</v>
          </cell>
          <cell r="D1317" t="str">
            <v>MICRO FORCEPS,  45°, 0.3 MM, 11 CM</v>
          </cell>
        </row>
        <row r="1318">
          <cell r="B1318" t="str">
            <v>12-561-00-07</v>
          </cell>
          <cell r="C1318" t="str">
            <v>MIKROPINZETTE, GER., 0,3 MM, 13,5 CM</v>
          </cell>
          <cell r="D1318" t="str">
            <v>MICRO FORCEPS,  STR., 0.3 MM, 13.5 CM</v>
          </cell>
        </row>
        <row r="1319">
          <cell r="B1319" t="str">
            <v>12-561-02-07</v>
          </cell>
          <cell r="C1319" t="str">
            <v>DILAT.-PINZETTE, 10°, 5X0,2 MM, 13,5 CM</v>
          </cell>
          <cell r="D1319" t="str">
            <v>DILATING-FORCEPS, 10°, 5X0.2 MM, 13.5 CM</v>
          </cell>
        </row>
        <row r="1320">
          <cell r="B1320" t="str">
            <v>12-561-03-07</v>
          </cell>
          <cell r="C1320" t="str">
            <v>DILAT.-PINZETTE, 10°, 5X0,3 MM, 13,5 CM</v>
          </cell>
          <cell r="D1320" t="str">
            <v>DILATING-FORCEPS, 10°, 5X0.3 MM, 13.5 CM</v>
          </cell>
        </row>
        <row r="1321">
          <cell r="B1321" t="str">
            <v>12-561-05-07</v>
          </cell>
          <cell r="C1321" t="str">
            <v>MIKROPINZETTE PIERSE-SP.,  GER., 13,5 CM</v>
          </cell>
          <cell r="D1321" t="str">
            <v>MICRO FORCEPS,  PIERSE-TIP, STR., 13.5 CM</v>
          </cell>
        </row>
        <row r="1322">
          <cell r="B1322" t="str">
            <v>12-561-45-07</v>
          </cell>
          <cell r="C1322" t="str">
            <v>MIKROPINZETTE, 45° GEW., 0,3 MM, 13,5 CM</v>
          </cell>
          <cell r="D1322" t="str">
            <v>MICRO FORCEPS,  45° ANG., 0.3 MM, 13.5 CM</v>
          </cell>
        </row>
        <row r="1323">
          <cell r="B1323" t="str">
            <v>12-562-00-07</v>
          </cell>
          <cell r="C1323" t="str">
            <v>MIKROPINZETTE, GER., 6X0,3 MM, 15 CM</v>
          </cell>
          <cell r="D1323" t="str">
            <v>MICRO FORCEPS,  STR., 6X0.3 MM, 15 CM</v>
          </cell>
        </row>
        <row r="1324">
          <cell r="B1324" t="str">
            <v>12-562-01-07</v>
          </cell>
          <cell r="C1324" t="str">
            <v>MIKROGEW.PINZETTE, GEB., 6X0,3 MM, 15 CM</v>
          </cell>
          <cell r="D1324" t="str">
            <v>FCPS., COUNTERB., CVD., 6X0.3 MM, 15 CM</v>
          </cell>
        </row>
        <row r="1325">
          <cell r="B1325" t="str">
            <v>12-562-02-07</v>
          </cell>
          <cell r="C1325" t="str">
            <v>MIKROGEW.-PINZETTE, 45°, 6X0,3 MM, 15 CM</v>
          </cell>
          <cell r="D1325" t="str">
            <v>FCPS., COUNTERB., 45°, 6X0.3 MM, 15 CM</v>
          </cell>
        </row>
        <row r="1326">
          <cell r="B1326" t="str">
            <v>12-562-03-07</v>
          </cell>
          <cell r="C1326" t="str">
            <v>RINGPINZETTE M. GEWICHT,  1X0,5 MM, 15 CM</v>
          </cell>
          <cell r="D1326" t="str">
            <v>RING FORCEPS  W. WEIGHT,  1X0.5 MM, 15 CM</v>
          </cell>
        </row>
        <row r="1327">
          <cell r="B1327" t="str">
            <v>12-562-04-07</v>
          </cell>
          <cell r="C1327" t="str">
            <v>MIKROGEW.PINZETTE, GER., 5X0,3 MM, 15 CM</v>
          </cell>
          <cell r="D1327" t="str">
            <v>FCPS., COUNTERB., STR., 5X0.3 MM, 15 CM</v>
          </cell>
        </row>
        <row r="1328">
          <cell r="B1328" t="str">
            <v>12-562-05-07</v>
          </cell>
          <cell r="C1328" t="str">
            <v>MIKROGEW.-PINZETTE, GER., PIERSE, 15 CM</v>
          </cell>
          <cell r="D1328" t="str">
            <v>FCPS., COUNTERB., STR., PIERSE, 15 CM</v>
          </cell>
        </row>
        <row r="1329">
          <cell r="B1329" t="str">
            <v>12-563-00-07</v>
          </cell>
          <cell r="C1329" t="str">
            <v>MIKROPINZETTE, GER., 6X0,3 MM, 18 CM</v>
          </cell>
          <cell r="D1329" t="str">
            <v>FCPS., COUNTERB., 6X0.3 MM, 18 CM</v>
          </cell>
        </row>
        <row r="1330">
          <cell r="B1330" t="str">
            <v>12-563-01-07</v>
          </cell>
          <cell r="C1330" t="str">
            <v>MIKROPINZETTE, GEB., 6X0,3 MM, 18 CM</v>
          </cell>
          <cell r="D1330" t="str">
            <v>MICRO FORCEPS,  CVD., 6X0.3 MM, 18 CM</v>
          </cell>
        </row>
        <row r="1331">
          <cell r="B1331" t="str">
            <v>12-563-02-07</v>
          </cell>
          <cell r="C1331" t="str">
            <v>MIKROGEW.-PINZETTE, 45°, 6X0,3 MM, 18 CM</v>
          </cell>
          <cell r="D1331" t="str">
            <v>FCPS., COUNTERB., 45°, 6X0.3 MM, 18 CM</v>
          </cell>
        </row>
        <row r="1332">
          <cell r="B1332" t="str">
            <v>12-563-03-07</v>
          </cell>
          <cell r="C1332" t="str">
            <v>RINGPINZETTE M. GEWICHT,  1X0,5 MM, 18 CM</v>
          </cell>
          <cell r="D1332" t="str">
            <v>RING FORCEPS  W. WEIGHT,  1X0.5 MM, 18 CM</v>
          </cell>
        </row>
        <row r="1333">
          <cell r="B1333" t="str">
            <v>12-563-04-07</v>
          </cell>
          <cell r="C1333" t="str">
            <v>MIKROGEW.-PINZ., GER., 5X0,3 MM, 18 CM</v>
          </cell>
          <cell r="D1333" t="str">
            <v>FCPS., COUNTERB., STR., 5X0.3 MM, 18 CM</v>
          </cell>
        </row>
        <row r="1334">
          <cell r="B1334" t="str">
            <v>12-563-05-07</v>
          </cell>
          <cell r="C1334" t="str">
            <v>MIKROGEW.-PINZ., GER., PIERSE-SP.,  18 CM</v>
          </cell>
          <cell r="D1334" t="str">
            <v>FCPS., COUNTERB., STR., PIERSE, 18 CM</v>
          </cell>
        </row>
        <row r="1335">
          <cell r="B1335" t="str">
            <v>12-564-15-07</v>
          </cell>
          <cell r="C1335" t="str">
            <v>MIKROPINZETTE, GER., 6,0X0,4 MM, 15 CM</v>
          </cell>
          <cell r="D1335" t="str">
            <v>MICRO FORCEPS,  STR., 6.0X0.4 MM, 15 CM</v>
          </cell>
        </row>
        <row r="1336">
          <cell r="B1336" t="str">
            <v>12-564-18-07</v>
          </cell>
          <cell r="C1336" t="str">
            <v>Pinzette,  Mikro, ger., 6,0x0,4 mm, 18cm</v>
          </cell>
          <cell r="D1336" t="str">
            <v>Forceps, Micro, str., 6,0x0,4 mm, 18 cm</v>
          </cell>
        </row>
        <row r="1337">
          <cell r="B1337" t="str">
            <v>12-565-15-07</v>
          </cell>
          <cell r="C1337" t="str">
            <v>MIKROPINZETTE, GEB., 6,0X0,4 MM, 15 CM</v>
          </cell>
          <cell r="D1337" t="str">
            <v>MICRO FORCEPS,  CVD., 6.0X0.4 MM, 15 CM</v>
          </cell>
        </row>
        <row r="1338">
          <cell r="B1338" t="str">
            <v>12-565-18-07</v>
          </cell>
          <cell r="C1338" t="str">
            <v>MIKROPINZETTE, GEB., 6,0X0,4 MM, 18 CM</v>
          </cell>
          <cell r="D1338" t="str">
            <v>MICRO FORCEPS,  CVD., 6.0X0.4 MM, 18 CM</v>
          </cell>
        </row>
        <row r="1339">
          <cell r="B1339" t="str">
            <v>12-566-15-07</v>
          </cell>
          <cell r="C1339" t="str">
            <v>MIKROPINZETTE, GER., 6,0X0,7 MM, 15 CM</v>
          </cell>
          <cell r="D1339" t="str">
            <v>MICRO FORCEPS,  STR., 6.0X0.7 MM, 15 CM</v>
          </cell>
        </row>
        <row r="1340">
          <cell r="B1340" t="str">
            <v>12-566-18-07</v>
          </cell>
          <cell r="C1340" t="str">
            <v>MIKROPINZETTE, GER., 6,0X0,7 MM, 18 CM</v>
          </cell>
          <cell r="D1340" t="str">
            <v>MICRO FORCEPS,  STR., 6.0X0.7 MM, 18 CM</v>
          </cell>
        </row>
        <row r="1341">
          <cell r="B1341" t="str">
            <v>12-566-21-07</v>
          </cell>
          <cell r="C1341" t="str">
            <v>MIKROPINZETTE, GER., 6,0X0,7 MM, 21 CM</v>
          </cell>
          <cell r="D1341" t="str">
            <v>MICRO FORCEPS,  STR., 6.0X0.7 MM, 21 CM</v>
          </cell>
        </row>
        <row r="1342">
          <cell r="B1342" t="str">
            <v>12-567-15-07</v>
          </cell>
          <cell r="C1342" t="str">
            <v>MIKROPINZETTE, GEB., 6,0X0,7 MM, 15 CM</v>
          </cell>
          <cell r="D1342" t="str">
            <v>MICRO FORCEPS,  CVD., 6.0X0.7 MM, 15 CM</v>
          </cell>
        </row>
        <row r="1343">
          <cell r="B1343" t="str">
            <v>12-567-18-07</v>
          </cell>
          <cell r="C1343" t="str">
            <v>MIKROPINZETTE, GEB., 6,0X0,7 MM, 18 CM</v>
          </cell>
          <cell r="D1343" t="str">
            <v>MICRO FORCEPS,  CVD., 6.0X0.7 MM, 18 CM</v>
          </cell>
        </row>
        <row r="1344">
          <cell r="B1344" t="str">
            <v>12-567-21-07</v>
          </cell>
          <cell r="C1344" t="str">
            <v>MIKROPINZETTE, GEB., 6,0X0,7 MM, 21 CM</v>
          </cell>
          <cell r="D1344" t="str">
            <v>MICRO FORCEPS,  CVD., 6.0X0.7 MM, 21 CM</v>
          </cell>
        </row>
        <row r="1345">
          <cell r="B1345" t="str">
            <v>12-568-15-07</v>
          </cell>
          <cell r="C1345" t="str">
            <v>MIKROPINZ., 1X2 Z., GER., 0,4 MM, 15 CM</v>
          </cell>
          <cell r="D1345" t="str">
            <v>MICRO FCPS., 1X2 T., STR., 0.4 MM, 15 CM</v>
          </cell>
        </row>
        <row r="1346">
          <cell r="B1346" t="str">
            <v>12-568-18-07</v>
          </cell>
          <cell r="C1346" t="str">
            <v>MIKROPINZ., 1X2 Z., GER., 0,4 MM, 18 CM</v>
          </cell>
          <cell r="D1346" t="str">
            <v>MICRO FCPS., 1X2 T., STR., 0.4 MM, 18 CM</v>
          </cell>
        </row>
        <row r="1347">
          <cell r="B1347" t="str">
            <v>12-569-15-07</v>
          </cell>
          <cell r="C1347" t="str">
            <v>MIKROPINZ., 1X2 Z., GEB., 0,4 MM, 15 CM</v>
          </cell>
          <cell r="D1347" t="str">
            <v>MICRO FCPS., 1X2 T., CVD., 0.4 MM, 15 CM</v>
          </cell>
        </row>
        <row r="1348">
          <cell r="B1348" t="str">
            <v>12-569-18-07</v>
          </cell>
          <cell r="C1348" t="str">
            <v>MIKROPINZ., 1X2 Z., GEB., 0,4 MM, 18 CM</v>
          </cell>
          <cell r="D1348" t="str">
            <v>MICRO FCPS., 1X2 T., CVD., 0.4 MM, 18 CM</v>
          </cell>
        </row>
        <row r="1349">
          <cell r="B1349" t="str">
            <v>12-570-15-07</v>
          </cell>
          <cell r="C1349" t="str">
            <v>MIKROPINZ., 1X2 Z., GER., 0,7 MM, 15 CM</v>
          </cell>
          <cell r="D1349" t="str">
            <v>MICRO FCPS., 1X2 T., STR., 0.7 MM, 15 CM</v>
          </cell>
        </row>
        <row r="1350">
          <cell r="B1350" t="str">
            <v>12-570-18-07</v>
          </cell>
          <cell r="C1350" t="str">
            <v>MIKROPINZ., 1X2 Z., GER., 0,7 MM, 18 CM</v>
          </cell>
          <cell r="D1350" t="str">
            <v>MICRO FCPS., 1X2 T., STR., 0.7 MM, 18 CM</v>
          </cell>
        </row>
        <row r="1351">
          <cell r="B1351" t="str">
            <v>12-571-15-07</v>
          </cell>
          <cell r="C1351" t="str">
            <v>MIKROPINZ., 1X2 Z., GEB., 0,7 MM, 15 CM</v>
          </cell>
          <cell r="D1351" t="str">
            <v>MICRO FCPS., 1X2 T., CVD., 0.7 MM, 15 CM</v>
          </cell>
        </row>
        <row r="1352">
          <cell r="B1352" t="str">
            <v>12-571-18-07</v>
          </cell>
          <cell r="C1352" t="str">
            <v>MIKROPINZ., 1X2 Z., GEB., 0,7 MM, 18 CM</v>
          </cell>
          <cell r="D1352" t="str">
            <v>MICRO FCPS., 1X2 T., CVD., 0.7 MM, 18 CM</v>
          </cell>
        </row>
        <row r="1353">
          <cell r="B1353" t="str">
            <v>12-574-15-07</v>
          </cell>
          <cell r="C1353" t="str">
            <v>RINGPINZETTE, GER., Ø 1,0X0,5 MM, 15 CM</v>
          </cell>
          <cell r="D1353" t="str">
            <v>RING FORCEPS,  STR., Ø 1.0X0.5 MM, 15 CM</v>
          </cell>
        </row>
        <row r="1354">
          <cell r="B1354" t="str">
            <v>12-574-18-07</v>
          </cell>
          <cell r="C1354" t="str">
            <v>RINGPINZETTE, GER., Ø 1,0X0,5 MM, 18 CM</v>
          </cell>
          <cell r="D1354" t="str">
            <v>RING FORCEPS,  STR., Ø 1.0X0.5 MM, 18 CM</v>
          </cell>
        </row>
        <row r="1355">
          <cell r="B1355" t="str">
            <v>12-574-21-07</v>
          </cell>
          <cell r="C1355" t="str">
            <v>RINGPINZETTE, GER., Ø 1,0X0,5 MM, 21 CM</v>
          </cell>
          <cell r="D1355" t="str">
            <v>RING FORCEPS,  STR., Ø 1.0X0.5 MM, 21 CM</v>
          </cell>
        </row>
        <row r="1356">
          <cell r="B1356" t="str">
            <v>12-576-15-07</v>
          </cell>
          <cell r="C1356" t="str">
            <v>RINGPINZETTE, GER., Ø 2,0X1,0 MM, 15 CM</v>
          </cell>
          <cell r="D1356" t="str">
            <v>RING FORCEPS,  STR., Ø 2.0X1.0 MM, 15 CM</v>
          </cell>
        </row>
        <row r="1357">
          <cell r="B1357" t="str">
            <v>12-576-18-07</v>
          </cell>
          <cell r="C1357" t="str">
            <v>RINGPINZETTE, GER., Ø 2,0X1,0 MM, 18 CM</v>
          </cell>
          <cell r="D1357" t="str">
            <v>RING FORCEPS,  STR., Ø 2.0X1.0 MM, 18 CM</v>
          </cell>
        </row>
        <row r="1358">
          <cell r="B1358" t="str">
            <v>12-576-21-07</v>
          </cell>
          <cell r="C1358" t="str">
            <v>RINGPINZETTE, GER., Ø 2,0X1,0 MM, 21 CM</v>
          </cell>
          <cell r="D1358" t="str">
            <v>RING FORCEPS,  STR., Ø 2.0X1.0 MM, 21 CM</v>
          </cell>
        </row>
        <row r="1359">
          <cell r="B1359" t="str">
            <v>12-578-15-09</v>
          </cell>
          <cell r="C1359" t="str">
            <v>MIKROPINZETTE, GER., 6,0X0,4 MM, 15 CM</v>
          </cell>
          <cell r="D1359" t="str">
            <v>TI-MICRO  FCPS., STR., 6.0X0.4 MM, 15 CM</v>
          </cell>
        </row>
        <row r="1360">
          <cell r="B1360" t="str">
            <v>12-578-18-09</v>
          </cell>
          <cell r="C1360" t="str">
            <v>MIKROPINZETTE, GER., 6,0X0,4 MM, 18 CM</v>
          </cell>
          <cell r="D1360" t="str">
            <v>TI-MICRO  FCPS., STR., 6.0X0.4 MM, 18 CM</v>
          </cell>
        </row>
        <row r="1361">
          <cell r="B1361" t="str">
            <v>12-579-15-09</v>
          </cell>
          <cell r="C1361" t="str">
            <v>MIKROPINZETTE, GEB., 6,0X0,4 MM, 15 CM</v>
          </cell>
          <cell r="D1361" t="str">
            <v>TI-MICRO  FCPS., CVD., 6.0X0.4 MM, 15 CM</v>
          </cell>
        </row>
        <row r="1362">
          <cell r="B1362" t="str">
            <v>12-579-18-09</v>
          </cell>
          <cell r="C1362" t="str">
            <v>MIKROPINZETTE, GEB., 6,0X0,4 MM, 18 CM</v>
          </cell>
          <cell r="D1362" t="str">
            <v>TI-MICRO  FCPS., CVD., 6.0X0.4 MM, 18 CM</v>
          </cell>
        </row>
        <row r="1363">
          <cell r="B1363" t="str">
            <v>12-580-15-09</v>
          </cell>
          <cell r="C1363" t="str">
            <v>MIKROPINZETTE, GER., 6,0X0,8 MM, 15 CM</v>
          </cell>
          <cell r="D1363" t="str">
            <v>TI-MICRO  FCPS., STR., 6.0X0.8 MM, 15 CM</v>
          </cell>
        </row>
        <row r="1364">
          <cell r="B1364" t="str">
            <v>12-580-18-09</v>
          </cell>
          <cell r="C1364" t="str">
            <v>MIKROPINZETTE, GER., 6,0X0,8 MM, 18 CM</v>
          </cell>
          <cell r="D1364" t="str">
            <v>TI-MICRO  FCPS., STR., 6.0X0.8 MM, 18 CM</v>
          </cell>
        </row>
        <row r="1365">
          <cell r="B1365" t="str">
            <v>12-580-21-09</v>
          </cell>
          <cell r="C1365" t="str">
            <v>MIKROPINZETTE, GER., 6,0X0,8 MM, 21 CM</v>
          </cell>
          <cell r="D1365" t="str">
            <v>TI-MICRO  FCPS., STR., 6.0X0.8 MM, 21 CM</v>
          </cell>
        </row>
        <row r="1366">
          <cell r="B1366" t="str">
            <v>12-581-15-09</v>
          </cell>
          <cell r="C1366" t="str">
            <v>MIKROPINZETTE, GEB., 6,0X0,8 MM, 15 CM</v>
          </cell>
          <cell r="D1366" t="str">
            <v>TI-MICRO  FCPS., CVD., 6.0X0.8 MM, 15 CM</v>
          </cell>
        </row>
        <row r="1367">
          <cell r="B1367" t="str">
            <v>12-581-18-09</v>
          </cell>
          <cell r="C1367" t="str">
            <v>MIKROPINZETTE, GEB., 6,0X0,8 MM, 18 CM</v>
          </cell>
          <cell r="D1367" t="str">
            <v>TI-MICRO  FCPS., CVD., 6.0X0.8 MM, 18 CM</v>
          </cell>
        </row>
        <row r="1368">
          <cell r="B1368" t="str">
            <v>12-581-21-09</v>
          </cell>
          <cell r="C1368" t="str">
            <v>MIKROPINZETTE, GEB., 6,0X0,8 MM, 21 CM</v>
          </cell>
          <cell r="D1368" t="str">
            <v>TI-MICRO  FCPS., CVD., 6.0X0.8 MM, 21 CM</v>
          </cell>
        </row>
        <row r="1369">
          <cell r="B1369" t="str">
            <v>12-582-15-09</v>
          </cell>
          <cell r="C1369" t="str">
            <v>MIKROPINZ., GER., 1X2 Z., 0,4 MM, 15 CM</v>
          </cell>
          <cell r="D1369" t="str">
            <v>MICRO FCPS., STR., 1X2 T., 0.4 MM, 15 CM</v>
          </cell>
        </row>
        <row r="1370">
          <cell r="B1370" t="str">
            <v>12-582-18-09</v>
          </cell>
          <cell r="C1370" t="str">
            <v>MIKROPINZ., GER., 1X2 Z., 0,4 MM, 18 CM</v>
          </cell>
          <cell r="D1370" t="str">
            <v>MICRO FCPS., STR., 1X2 T., 0.4 MM, 18 CM</v>
          </cell>
        </row>
        <row r="1371">
          <cell r="B1371" t="str">
            <v>12-583-15-09</v>
          </cell>
          <cell r="C1371" t="str">
            <v>MIKROPINZ., GEB., 1X2 Z., 0,4 MM, 15 CM</v>
          </cell>
          <cell r="D1371" t="str">
            <v>MICRO FCPS., CVD., 1X2 T., 0.4 MM, 15 CM</v>
          </cell>
        </row>
        <row r="1372">
          <cell r="B1372" t="str">
            <v>12-583-18-09</v>
          </cell>
          <cell r="C1372" t="str">
            <v>MIKROPINZ., GEB., 1X2 Z., 0,4 MM, 18 CM</v>
          </cell>
          <cell r="D1372" t="str">
            <v>MICRO FCPS., CVD., 1X2 T., 0.4 MM, 18 CM</v>
          </cell>
        </row>
        <row r="1373">
          <cell r="B1373" t="str">
            <v>12-586-15-09</v>
          </cell>
          <cell r="C1373" t="str">
            <v>TI-RINGPINZETTE, GER., 1,0X0,5 MM, 15 CM</v>
          </cell>
          <cell r="D1373" t="str">
            <v>TI-RING FORCEPS,  STR., 1.0X0.5 MM, 15 CM</v>
          </cell>
        </row>
        <row r="1374">
          <cell r="B1374" t="str">
            <v>12-586-18-09</v>
          </cell>
          <cell r="C1374" t="str">
            <v>TI-RINGPINZETTE, GER., 1,0X0,5 MM, 18 CM</v>
          </cell>
          <cell r="D1374" t="str">
            <v>TI-RING FORCEPS,  STR., 1.0X0.5 MM, 18 CM</v>
          </cell>
        </row>
        <row r="1375">
          <cell r="B1375" t="str">
            <v>12-586-21-09</v>
          </cell>
          <cell r="C1375" t="str">
            <v>TI-RINGPINZETTE, GER., 1,0X0,5 MM, 21 CM</v>
          </cell>
          <cell r="D1375" t="str">
            <v>TI-RING FORCEPS,  STR., 1.0X0.5 MM, 21 CM</v>
          </cell>
        </row>
        <row r="1376">
          <cell r="B1376" t="str">
            <v>12-588-15-09</v>
          </cell>
          <cell r="C1376" t="str">
            <v>TI-RINGPINZETTE, GER., 2,0X1,0 MM, 15 CM</v>
          </cell>
          <cell r="D1376" t="str">
            <v>TI-RING FORCEPS,  STR., 2.0X1.0 MM, 15 CM</v>
          </cell>
        </row>
        <row r="1377">
          <cell r="B1377" t="str">
            <v>12-588-18-09</v>
          </cell>
          <cell r="C1377" t="str">
            <v>TI-RINGPINZETTE, GER., 2,0X1,0 MM, 18 CM</v>
          </cell>
          <cell r="D1377" t="str">
            <v>TI-RING FORCEPS,  STR., 2.0X1.0 MM, 18 CM</v>
          </cell>
        </row>
        <row r="1378">
          <cell r="B1378" t="str">
            <v>12-588-21-09</v>
          </cell>
          <cell r="C1378" t="str">
            <v>TI-RINGPINZETTE, GER., 2,0X1,0 MM, 21 CM</v>
          </cell>
          <cell r="D1378" t="str">
            <v>TI-RING FORCEPS,  STR., 2.0X1.0 MM, 21 CM</v>
          </cell>
        </row>
        <row r="1379">
          <cell r="B1379" t="str">
            <v>12-589-15-07</v>
          </cell>
          <cell r="C1379" t="str">
            <v>Mikropinzette, atrauma,  1,2 mm, 15 cm</v>
          </cell>
          <cell r="D1379" t="str">
            <v>ATR. MICRO FORCEPS,  STR., 1.2 MM, 15 CM</v>
          </cell>
        </row>
        <row r="1380">
          <cell r="B1380" t="str">
            <v>12-589-18-07</v>
          </cell>
          <cell r="C1380" t="str">
            <v>Mikropinzette, atrauma,  1,2 mm, 18 cm</v>
          </cell>
          <cell r="D1380" t="str">
            <v>ATR. MICRO FORCEPS,  STR., 1.2 MM, 18 CM</v>
          </cell>
        </row>
        <row r="1381">
          <cell r="B1381" t="str">
            <v>12-589-21-07</v>
          </cell>
          <cell r="C1381" t="str">
            <v>Mikropinzette, atrauma,  1,2 mm, 21 cm</v>
          </cell>
          <cell r="D1381" t="str">
            <v>ATR. MICRO FORCEPS,  STR., 1.2 MM, 21 CM</v>
          </cell>
        </row>
        <row r="1382">
          <cell r="B1382" t="str">
            <v>12-590-15-09</v>
          </cell>
          <cell r="C1382" t="str">
            <v>TI-MIKROPINZETTE, ATRAUMA,  1,2 MM, 15 CM</v>
          </cell>
          <cell r="D1382" t="str">
            <v>TI-ATR. MICRO FCPS., STR., 1.2 MM, 15 CM</v>
          </cell>
        </row>
        <row r="1383">
          <cell r="B1383" t="str">
            <v>12-590-18-09</v>
          </cell>
          <cell r="C1383" t="str">
            <v>TI-MIKROPINZETTE, ATRAUMA,  1,2 MM, 18 CM</v>
          </cell>
          <cell r="D1383" t="str">
            <v>TI-ATR. MICRO FCPS., STR., 1.2 MM, 18 CM</v>
          </cell>
        </row>
        <row r="1384">
          <cell r="B1384" t="str">
            <v>12-590-21-09</v>
          </cell>
          <cell r="C1384" t="str">
            <v>TI-MIKROPINZETTE, ATRAUMA,  1,2 MM, 21 CM</v>
          </cell>
          <cell r="D1384" t="str">
            <v>TI-ATR. MICRO FCPS., STR., 1.2 MM, 21 CM</v>
          </cell>
        </row>
        <row r="1385">
          <cell r="B1385" t="str">
            <v>12-591-00-07</v>
          </cell>
          <cell r="C1385" t="str">
            <v>MIKROPINZETTE, GER., 6X0,3 MM, 15 CM, FG</v>
          </cell>
          <cell r="D1385" t="str">
            <v>MICRO FORCEPS,  STR., 6X0.3 MM, 15 CM</v>
          </cell>
        </row>
        <row r="1386">
          <cell r="B1386" t="str">
            <v>12-591-01-07</v>
          </cell>
          <cell r="C1386" t="str">
            <v>MIKROPINZETTE, GEB., 6X0,3 MM, 15 CM, FG</v>
          </cell>
          <cell r="D1386" t="str">
            <v>MICRO FORCEPS,  CVD., 6X0.3 MM, 15 CM</v>
          </cell>
        </row>
        <row r="1387">
          <cell r="B1387" t="str">
            <v>12-591-02-07</v>
          </cell>
          <cell r="C1387" t="str">
            <v>MIKROPINZETTE, 45°, 6X0,3 MM, 15 CM, FG</v>
          </cell>
          <cell r="D1387" t="str">
            <v>MICRO FORCEPS,  45°, 6X0.3 MM, 15 CM</v>
          </cell>
        </row>
        <row r="1388">
          <cell r="B1388" t="str">
            <v>12-591-03-07</v>
          </cell>
          <cell r="C1388" t="str">
            <v>RINGPINZETTE, Ø 1X0,5 MM, 15 CM, FG</v>
          </cell>
          <cell r="D1388" t="str">
            <v>RING FORCEPS,  Ø 1X0.5 MM, 15 CM</v>
          </cell>
        </row>
        <row r="1389">
          <cell r="B1389" t="str">
            <v>12-591-04-07</v>
          </cell>
          <cell r="C1389" t="str">
            <v>MIKROPINZETTE, GER., 5X0,3 MM, 15 CM</v>
          </cell>
          <cell r="D1389" t="str">
            <v>MICRO FORCEPS,  STR., 5X0.3 MM, 15 CM</v>
          </cell>
        </row>
        <row r="1390">
          <cell r="B1390" t="str">
            <v>12-591-05-07</v>
          </cell>
          <cell r="C1390" t="str">
            <v>MIKROPINZETTE, GER., PIERSE, 15 CM ,FG</v>
          </cell>
          <cell r="D1390" t="str">
            <v>MICRO FORCEPS,  STR., PIERSE, 15 CM,</v>
          </cell>
        </row>
        <row r="1391">
          <cell r="B1391" t="str">
            <v>12-592-00-07</v>
          </cell>
          <cell r="C1391" t="str">
            <v>MIKROPINZETTE, GER., 6X0,3MM,  18 CM, FG</v>
          </cell>
          <cell r="D1391" t="str">
            <v>MICRO FORCEPS,  STR., 6X0.3 MM, 18 CM</v>
          </cell>
        </row>
        <row r="1392">
          <cell r="B1392" t="str">
            <v>12-592-01-07</v>
          </cell>
          <cell r="C1392" t="str">
            <v>MIKROPINZETTE, GEB., 6X0,3 MM, 18 CM, FG</v>
          </cell>
          <cell r="D1392" t="str">
            <v>MICRO FORCEPS,  CVD., 6X0.3 MM, 18 CM</v>
          </cell>
        </row>
        <row r="1393">
          <cell r="B1393" t="str">
            <v>12-592-02-07</v>
          </cell>
          <cell r="C1393" t="str">
            <v>MIKROPINZETTE, 45°, 6X0,3 MM, 18 CM, FG</v>
          </cell>
          <cell r="D1393" t="str">
            <v>MICRO FORCEPS,  45°, 6X0.3 MM, 18 CM</v>
          </cell>
        </row>
        <row r="1394">
          <cell r="B1394" t="str">
            <v>12-592-03-07</v>
          </cell>
          <cell r="C1394" t="str">
            <v>RINGPINZETTE, Ø 1X0,5 MM, 18 CM, FG</v>
          </cell>
          <cell r="D1394" t="str">
            <v>RING FORCEPS,  Ø 1X0.5 MM, 18 CM</v>
          </cell>
        </row>
        <row r="1395">
          <cell r="B1395" t="str">
            <v>12-592-04-07</v>
          </cell>
          <cell r="C1395" t="str">
            <v>MIKROPINZETTE, GER., 5X0,3 MM, 18 CM, FG</v>
          </cell>
          <cell r="D1395" t="str">
            <v>MICRO FORCEPS,  STR., 5X0.3 MM, 18 CM</v>
          </cell>
        </row>
        <row r="1396">
          <cell r="B1396" t="str">
            <v>12-592-05-07</v>
          </cell>
          <cell r="C1396" t="str">
            <v>MIKROPINZETTE, GER., PIERSE, 18 CM, FG</v>
          </cell>
          <cell r="D1396" t="str">
            <v>MICRO FORCEPS,  STR., PIERSE, 18 CM</v>
          </cell>
        </row>
        <row r="1397">
          <cell r="B1397" t="str">
            <v>12-600-12-07</v>
          </cell>
          <cell r="C1397" t="str">
            <v>SPLITTERPINZETTE, GLATT, GER., 12,5 CM</v>
          </cell>
          <cell r="D1397" t="str">
            <v>SPLINTER  FORCEPS,  SMOOTH,  STR., 12.5 CM</v>
          </cell>
        </row>
        <row r="1398">
          <cell r="B1398" t="str">
            <v>12-601-12-07</v>
          </cell>
          <cell r="C1398" t="str">
            <v>SPLITTERPINZETTE, GLATT, GEB., 12,5 CM</v>
          </cell>
          <cell r="D1398" t="str">
            <v>SPLINTER  FORCEPS,  SMOOTH,  12.5 CM</v>
          </cell>
        </row>
        <row r="1399">
          <cell r="B1399" t="str">
            <v>12-604-09-07</v>
          </cell>
          <cell r="C1399" t="str">
            <v>Splitterpinzette, gerieft, ger., 9 cm</v>
          </cell>
          <cell r="D1399" t="str">
            <v>Splinter forceps, serr., str., 9 cm</v>
          </cell>
        </row>
        <row r="1400">
          <cell r="B1400" t="str">
            <v>12-604-11-07</v>
          </cell>
          <cell r="C1400" t="str">
            <v>Splitterpinzette, gerieft, ger., 10,5 cm</v>
          </cell>
          <cell r="D1400" t="str">
            <v>Splinter forceps, serr., str., 10.5 cm</v>
          </cell>
        </row>
        <row r="1401">
          <cell r="B1401" t="str">
            <v>12-604-12-07</v>
          </cell>
          <cell r="C1401" t="str">
            <v>SPLITTERPINZETTE, GERIEFT,  GER., 12,5 CM</v>
          </cell>
          <cell r="D1401" t="str">
            <v>SPLINTER  FORCEPS,  SERR., STR., 12.5 CM</v>
          </cell>
        </row>
        <row r="1402">
          <cell r="B1402" t="str">
            <v>12-605-09-07</v>
          </cell>
          <cell r="C1402" t="str">
            <v>Splitterpinzette, gerieft, geb., 9 cm</v>
          </cell>
          <cell r="D1402" t="str">
            <v>Splinter forceps, serr., cvd., 9 cm</v>
          </cell>
        </row>
        <row r="1403">
          <cell r="B1403" t="str">
            <v>12-605-12-07</v>
          </cell>
          <cell r="C1403" t="str">
            <v>SPLITTERPINZETTE, GERIEFT,  GEB., 12,5 CM</v>
          </cell>
          <cell r="D1403" t="str">
            <v>SPLINTER  FORCEPS,  SERR., CVD., 12.5 CM</v>
          </cell>
        </row>
        <row r="1404">
          <cell r="B1404" t="str">
            <v>12-624-12-07</v>
          </cell>
          <cell r="C1404" t="str">
            <v>Knüpfpinzette m. Plateau, 0,3 mm, 12 cm</v>
          </cell>
          <cell r="D1404" t="str">
            <v>Tying forceps, w. plateau, 0.3 mm, 12 cm</v>
          </cell>
        </row>
        <row r="1405">
          <cell r="B1405" t="str">
            <v>12-630-07-07</v>
          </cell>
          <cell r="C1405" t="str">
            <v>SPLITTERPINZETTE, FEILCHENFELD, 7,5 CM</v>
          </cell>
          <cell r="D1405" t="str">
            <v>SPLINTER  FORCEPS,  FEILCHENFELD, 7.5 CM</v>
          </cell>
        </row>
        <row r="1406">
          <cell r="B1406" t="str">
            <v>12-630-09-07</v>
          </cell>
          <cell r="C1406" t="str">
            <v>SPLITTERPINZETTE, FEILCHENFELD, 9 CM</v>
          </cell>
          <cell r="D1406" t="str">
            <v>SPLINTER  FORCEPS,  FEILCHENFELD, 9 CM</v>
          </cell>
        </row>
        <row r="1407">
          <cell r="B1407" t="str">
            <v>12-630-11-07</v>
          </cell>
          <cell r="C1407" t="str">
            <v>SPLITTERPINZETTE, FEILCHENFELD, 11,5 CM</v>
          </cell>
          <cell r="D1407" t="str">
            <v>SPLINTER  FORCEPS,  FEILCHENFELD, 11.5 CM</v>
          </cell>
        </row>
        <row r="1408">
          <cell r="B1408" t="str">
            <v>12-640-10-07</v>
          </cell>
          <cell r="C1408" t="str">
            <v>SPLITTERPINZETTE, HUNTER,  GER., 10,5 CM</v>
          </cell>
          <cell r="D1408" t="str">
            <v>SPLINTER  FORCEPS,  HUNTER,  STR., 10.5 CM</v>
          </cell>
        </row>
        <row r="1409">
          <cell r="B1409" t="str">
            <v>12-641-10-07</v>
          </cell>
          <cell r="C1409" t="str">
            <v>SPLITTERPINZETTE, HUNTER,  GEB., 10,5 CM</v>
          </cell>
          <cell r="D1409" t="str">
            <v>SPLINTER  FORCEPS,  HUNTER,  CVD., 10.5 CM</v>
          </cell>
        </row>
        <row r="1410">
          <cell r="B1410" t="str">
            <v>12-664-08-07</v>
          </cell>
          <cell r="C1410" t="str">
            <v>CILIENPINZETTE, LITTAUER,  8,5 CM</v>
          </cell>
          <cell r="D1410" t="str">
            <v>CILIA FORCEPS,  LITTAUER,  8.5 CM</v>
          </cell>
        </row>
        <row r="1411">
          <cell r="B1411" t="str">
            <v>12-666-09-07</v>
          </cell>
          <cell r="C1411" t="str">
            <v>CILIENPINZETTE, GERIEFT,  SCHRÄG,  9 CM</v>
          </cell>
          <cell r="D1411" t="str">
            <v>CILIA FORCEPS,  SERR., OBLIQUE,  9 CM</v>
          </cell>
        </row>
        <row r="1412">
          <cell r="B1412" t="str">
            <v>12-674-09-07</v>
          </cell>
          <cell r="C1412" t="str">
            <v>CILIENPINZETTE, DOUGLAS,  SCHMAL,  9 CM</v>
          </cell>
          <cell r="D1412" t="str">
            <v>CILIA FORCEPS,  DOUGLAS,  NARROW,  9 CM</v>
          </cell>
        </row>
        <row r="1413">
          <cell r="B1413" t="str">
            <v>12-676-09-07</v>
          </cell>
          <cell r="C1413" t="str">
            <v>CILIENPINZETTE, DOUGLAS,  BREIT, 9 CM</v>
          </cell>
          <cell r="D1413" t="str">
            <v>CILIA FORCEPS,  DOUGLAS,  WIDE, 9 CM</v>
          </cell>
        </row>
        <row r="1414">
          <cell r="B1414" t="str">
            <v>12-680-09-07</v>
          </cell>
          <cell r="C1414" t="str">
            <v>CILIENPINZETTE, BEER, GLATT, 9 CM</v>
          </cell>
          <cell r="D1414" t="str">
            <v>CILIA FORCEPS,  BEER, SMOOTH,  9 CM</v>
          </cell>
        </row>
        <row r="1415">
          <cell r="B1415" t="str">
            <v>12-695-10-07</v>
          </cell>
          <cell r="C1415" t="str">
            <v>CILIENPINZETTE, BARRAQUER, GEW., 11 CM</v>
          </cell>
          <cell r="D1415" t="str">
            <v>CILIA FORCEPS,  BARRAQUER, ANG., 11 CM</v>
          </cell>
        </row>
        <row r="1416">
          <cell r="B1416" t="str">
            <v>12-720-13-07</v>
          </cell>
          <cell r="C1416" t="str">
            <v>SPLITTERZANGE, STIEGLITZ,  GER., 14 CM</v>
          </cell>
          <cell r="D1416" t="str">
            <v>SPLINTER  FORCEPS,  STIEGLITZ,  STR., 14 CM</v>
          </cell>
        </row>
        <row r="1417">
          <cell r="B1417" t="str">
            <v>12-721-13-07</v>
          </cell>
          <cell r="C1417" t="str">
            <v>SPLITTERZANGE, STIEGLITZ,  GEB., 13,5 CM</v>
          </cell>
          <cell r="D1417" t="str">
            <v>SPLINTER  FORCEPS,  STIEGL., CVD., 13.5 CM</v>
          </cell>
        </row>
        <row r="1418">
          <cell r="B1418" t="str">
            <v>12-725-11-07</v>
          </cell>
          <cell r="C1418" t="str">
            <v>SPLITTERZANGE, PEET, GEW., 12,5 CM</v>
          </cell>
          <cell r="D1418" t="str">
            <v>SPLINTER  FORCEPS,  PEET, ANG., 12.5 CM</v>
          </cell>
        </row>
        <row r="1419">
          <cell r="B1419" t="str">
            <v>12-774-15-07</v>
          </cell>
          <cell r="C1419" t="str">
            <v>Ringpinz.,  ger., P., Ø 1,0x0,5 mm, 15 cm</v>
          </cell>
          <cell r="D1419" t="str">
            <v>Ring forceps, plat., Ø 1,0x0,5 mm, 15 cm</v>
          </cell>
        </row>
        <row r="1420">
          <cell r="B1420" t="str">
            <v>12-774-18-07</v>
          </cell>
          <cell r="C1420" t="str">
            <v>Ringpinz.,  ger., P., Ø 1,0x0,5 mm, 18 cm</v>
          </cell>
          <cell r="D1420" t="str">
            <v>Ring fcps., str., P., Ø 1,0x0,5 mm, 18cm</v>
          </cell>
        </row>
        <row r="1421">
          <cell r="B1421" t="str">
            <v>12-774-21-07</v>
          </cell>
          <cell r="C1421" t="str">
            <v>Ringpinz.,  ger., P., Ø 1,0x0,5 mm, 21 cm</v>
          </cell>
          <cell r="D1421" t="str">
            <v>Ring fcps., str., P., Ø 1,0x0,5 mm, 21cm</v>
          </cell>
        </row>
        <row r="1422">
          <cell r="B1422" t="str">
            <v>12-776-15-07</v>
          </cell>
          <cell r="C1422" t="str">
            <v>Ringpinz.,  ger., P., Ø 2,0x1,0 mm, 15 cm</v>
          </cell>
          <cell r="D1422" t="str">
            <v>Ring forceps, plat., Ø 2,0x1,0 mm, 15 cm</v>
          </cell>
        </row>
        <row r="1423">
          <cell r="B1423" t="str">
            <v>12-776-18-07</v>
          </cell>
          <cell r="C1423" t="str">
            <v>Ringpinz.,  ger., P., Ø 2,0x1,0 mm, 18 cm</v>
          </cell>
          <cell r="D1423" t="str">
            <v>Ring fcps., str., P., Ø 2,0x1,0 mm, 18cm</v>
          </cell>
        </row>
        <row r="1424">
          <cell r="B1424" t="str">
            <v>12-776-21-07</v>
          </cell>
          <cell r="C1424" t="str">
            <v>Ringpinz.,  ger., P., Ø 2,0x1,0 mm, 21 cm</v>
          </cell>
          <cell r="D1424" t="str">
            <v>Ring fcps., str., P., Ø 2,0x1,0 mm, 21cm</v>
          </cell>
        </row>
        <row r="1425">
          <cell r="B1425" t="str">
            <v>12-786-15-09</v>
          </cell>
          <cell r="C1425" t="str">
            <v>Ti-Ringpinz., ger., P., Ø1,0x0,5mm, 15cm</v>
          </cell>
          <cell r="D1425" t="str">
            <v>Ti.-ring forc.,str.,pl., Ø1,0x0,5mm,15cm</v>
          </cell>
        </row>
        <row r="1426">
          <cell r="B1426" t="str">
            <v>12-786-18-09</v>
          </cell>
          <cell r="C1426" t="str">
            <v>Ti-R.-pinz.,  ger., P., Ø 1,0x0,5mm, 18cm</v>
          </cell>
          <cell r="D1426" t="str">
            <v>Ti-R. fcps., str., P., Ø 1,0x0,5mm, 18cm</v>
          </cell>
        </row>
        <row r="1427">
          <cell r="B1427" t="str">
            <v>12-786-21-09</v>
          </cell>
          <cell r="C1427" t="str">
            <v>Ti-R.-pinz.,  ger., P., Ø 1,0x0,5mm, 21cm</v>
          </cell>
          <cell r="D1427" t="str">
            <v>Ti-R. fcps., str., P., Ø 1,0x0,5mm, 21cm</v>
          </cell>
        </row>
        <row r="1428">
          <cell r="B1428" t="str">
            <v>12-787-15-09</v>
          </cell>
          <cell r="C1428" t="str">
            <v>Ti-Ringpinz., ger., P., Ø2,0x1,0mm, 15cm</v>
          </cell>
          <cell r="D1428" t="str">
            <v>Ti.-ring forc.,str.,pl., Ø2,0x1,0mm,15cm</v>
          </cell>
        </row>
        <row r="1429">
          <cell r="B1429" t="str">
            <v>12-787-18-09</v>
          </cell>
          <cell r="C1429" t="str">
            <v>Ti-R.-pinz.,  ger., P., Ø 2,0x1,0mm, 18cm</v>
          </cell>
          <cell r="D1429" t="str">
            <v>Ti-R. fcps., str., P., Ø 2,0x1,0mm, 18cm</v>
          </cell>
        </row>
        <row r="1430">
          <cell r="B1430" t="str">
            <v>12-787-21-09</v>
          </cell>
          <cell r="C1430" t="str">
            <v>Ti-R.-pinz.,  ger., P., Ø 2,0x1,0mm, 21cm</v>
          </cell>
          <cell r="D1430" t="str">
            <v>Ti-R. fcps., str., P., Ø 2,0x1,0mm, 21cm</v>
          </cell>
        </row>
        <row r="1431">
          <cell r="B1431" t="str">
            <v>13-010-00-07</v>
          </cell>
          <cell r="C1431" t="str">
            <v>Spreizer,  Gefäss, Biemer, 16 cm</v>
          </cell>
          <cell r="D1431" t="str">
            <v>Spreader,  vascular,  Biemer, 16 cm</v>
          </cell>
        </row>
        <row r="1432">
          <cell r="B1432" t="str">
            <v>13-050-14-07</v>
          </cell>
          <cell r="C1432" t="str">
            <v>CLIP-ANLEGEPINZETTE, O. SCHLOSS,  14,5 CM</v>
          </cell>
          <cell r="D1432" t="str">
            <v>CLIP APPLYING  FORCEPS,  W/O LOCK, 14.5 CM</v>
          </cell>
        </row>
        <row r="1433">
          <cell r="B1433" t="str">
            <v>13-051-14-07</v>
          </cell>
          <cell r="C1433" t="str">
            <v>CLIP-ANLEGEPINZETTE, M. SCHLOSS,  14,5 CM</v>
          </cell>
          <cell r="D1433" t="str">
            <v>CLIP APPLYING  FORCEPS,  W. LOCK, 14.5 CM</v>
          </cell>
        </row>
        <row r="1434">
          <cell r="B1434" t="str">
            <v>13-052-04-07</v>
          </cell>
          <cell r="C1434" t="str">
            <v>GEFÄSSCLIP, BIEMER, 6 MM</v>
          </cell>
          <cell r="D1434" t="str">
            <v>VASCULAR  CLIP, BIEMER, 6 MM</v>
          </cell>
        </row>
        <row r="1435">
          <cell r="B1435" t="str">
            <v>13-052-05-07</v>
          </cell>
          <cell r="C1435" t="str">
            <v>GEFÄSSCLIP, BIEMER, 9 MM</v>
          </cell>
          <cell r="D1435" t="str">
            <v>VASCULAR  CLIP, BIEMER, 9 MM</v>
          </cell>
        </row>
        <row r="1436">
          <cell r="B1436" t="str">
            <v>13-053-05-07</v>
          </cell>
          <cell r="C1436" t="str">
            <v>GEFÄSSCLIP, BIEMER, 9 MM, SCHMAL</v>
          </cell>
          <cell r="D1436" t="str">
            <v>VASCULAR  CLIP, BIEMER, 9 MM, SLIM</v>
          </cell>
        </row>
        <row r="1437">
          <cell r="B1437" t="str">
            <v>13-054-05-07</v>
          </cell>
          <cell r="C1437" t="str">
            <v>APPROXIMATOR, BIEMER-MÜLLER, GER.</v>
          </cell>
          <cell r="D1437" t="str">
            <v>APPROXIMATOR, BIEMER-MUELLER, STR.</v>
          </cell>
        </row>
        <row r="1438">
          <cell r="B1438" t="str">
            <v>13-055-05-07</v>
          </cell>
          <cell r="C1438" t="str">
            <v>APPROXIMATOR, BIEMER-MÜLLER, GEW., 9 MM</v>
          </cell>
          <cell r="D1438" t="str">
            <v>APPROXIMATOR, BIEMER-MUELLER, ANG., 9 MM</v>
          </cell>
        </row>
        <row r="1439">
          <cell r="B1439" t="str">
            <v>13-056-03-07</v>
          </cell>
          <cell r="C1439" t="str">
            <v>APPROXIMATOR, BIEMER-MÜLLER, 4,5 MM</v>
          </cell>
          <cell r="D1439" t="str">
            <v>APPROXIMATOR, BIEMER-MUELLER, 4.5 MM</v>
          </cell>
        </row>
        <row r="1440">
          <cell r="B1440" t="str">
            <v>13-058-05-07</v>
          </cell>
          <cell r="C1440" t="str">
            <v>APPROXIMATOR, BIEMER-MÜLLER, 9 MM</v>
          </cell>
          <cell r="D1440" t="str">
            <v>APPROXIMATOR, BIEMER-MUELLER, 9 MM</v>
          </cell>
        </row>
        <row r="1441">
          <cell r="B1441" t="str">
            <v>13-059-05-07</v>
          </cell>
          <cell r="C1441" t="str">
            <v>APPROXIMATOR, BIEMER-MÜLLER, GEW., 9 MM</v>
          </cell>
          <cell r="D1441" t="str">
            <v>APPROXIMATOR, BIEMER-MUELLER, ANG., 9 MM</v>
          </cell>
        </row>
        <row r="1442">
          <cell r="B1442" t="str">
            <v>13-062-00-07</v>
          </cell>
          <cell r="C1442" t="str">
            <v>APPROXIMATOR F. TIEFE BEREICHE</v>
          </cell>
          <cell r="D1442" t="str">
            <v>APPROXIMATOR F. DEEP AREAS</v>
          </cell>
        </row>
        <row r="1443">
          <cell r="B1443" t="str">
            <v>13-062-01-07</v>
          </cell>
          <cell r="C1443" t="str">
            <v>SCHLÜSSEL  F. APPROXIMATOREN</v>
          </cell>
          <cell r="D1443" t="str">
            <v>KEY F. APPROXIMATORS</v>
          </cell>
        </row>
        <row r="1444">
          <cell r="B1444" t="str">
            <v>13-062-02-07</v>
          </cell>
          <cell r="C1444" t="str">
            <v>APPROXIMATOR, ALLEIN</v>
          </cell>
          <cell r="D1444" t="str">
            <v>APPROXIMATOR, ONLY</v>
          </cell>
        </row>
        <row r="1445">
          <cell r="B1445" t="str">
            <v>13-102-04-07</v>
          </cell>
          <cell r="C1445" t="str">
            <v>MINI-GEFÄSSCLIP, MAUL 4,0X0,75  MM</v>
          </cell>
          <cell r="D1445" t="str">
            <v>MINI-VASCULAR CLIP, JAW 4.0X0.75  MM</v>
          </cell>
        </row>
        <row r="1446">
          <cell r="B1446" t="str">
            <v>13-102-06-07</v>
          </cell>
          <cell r="C1446" t="str">
            <v>MINI-GEFÄSSCLIP, MAUL 6,0X1,0 MM</v>
          </cell>
          <cell r="D1446" t="str">
            <v>MINI-VASCULAR CLIP, JAW 6.0X1.0 MM</v>
          </cell>
        </row>
        <row r="1447">
          <cell r="B1447" t="str">
            <v>13-102-08-07</v>
          </cell>
          <cell r="C1447" t="str">
            <v>MINI-GEFÄSSCLIP, MAUL 8,0X2,0 MM</v>
          </cell>
          <cell r="D1447" t="str">
            <v>MINI-VASCULAR CLIP, JAW 8.0X2.0 MM</v>
          </cell>
        </row>
        <row r="1448">
          <cell r="B1448" t="str">
            <v>13-102-10-07</v>
          </cell>
          <cell r="C1448" t="str">
            <v>MINI-GEFÄSSCLIP, MAUL 10,0X2,0  MM</v>
          </cell>
          <cell r="D1448" t="str">
            <v>MINI-VASCULAR CLIP, JAW 10.0X2.0  MM</v>
          </cell>
        </row>
        <row r="1449">
          <cell r="B1449" t="str">
            <v>13-104-14-07</v>
          </cell>
          <cell r="C1449" t="str">
            <v>ANLEGEZANGE F. MINICLIPS,  14,5 CM</v>
          </cell>
          <cell r="D1449" t="str">
            <v>APPLYING  FORCEPS  F. MINI CLIPS, 14.5 CM</v>
          </cell>
        </row>
        <row r="1450">
          <cell r="B1450" t="str">
            <v>13-106-18-07</v>
          </cell>
          <cell r="C1450" t="str">
            <v>ANLEGEZANGE F. MINICLIPS,  BAJO., 18 CM</v>
          </cell>
          <cell r="D1450" t="str">
            <v>APPL. FORCEPS,  MINI CLIPS, BAYO., 18 CM</v>
          </cell>
        </row>
        <row r="1451">
          <cell r="B1451" t="str">
            <v>13-108-10-07</v>
          </cell>
          <cell r="C1451" t="str">
            <v>BULLDOGKLEMME, LEICHT, GER., 31 MM</v>
          </cell>
          <cell r="D1451" t="str">
            <v>BULLDOG  CLAMP, LIGHTWEIGHT, STR., 31 MM</v>
          </cell>
        </row>
        <row r="1452">
          <cell r="B1452" t="str">
            <v>13-108-14-07</v>
          </cell>
          <cell r="C1452" t="str">
            <v>BULLDOGKLEMME, LEICHT, GER., 35 MM</v>
          </cell>
          <cell r="D1452" t="str">
            <v>BULLDOG  CLAMP, LIGHTWEIGHT, STR., 35 MM</v>
          </cell>
        </row>
        <row r="1453">
          <cell r="B1453" t="str">
            <v>13-108-18-07</v>
          </cell>
          <cell r="C1453" t="str">
            <v>BULLDOGKLEMME, LEICHT, GER., 39 MM</v>
          </cell>
          <cell r="D1453" t="str">
            <v>BULLDOG  CLAMP, LIGHTWEIGHT, STR., 39 MM</v>
          </cell>
        </row>
        <row r="1454">
          <cell r="B1454" t="str">
            <v>13-109-10-07</v>
          </cell>
          <cell r="C1454" t="str">
            <v>BULLDOGKLEMME, LEICHT, GEW., 30 MM</v>
          </cell>
          <cell r="D1454" t="str">
            <v>BULLDOG  CLAMP, LIGHTWEIGHT, ANG., 30 MM</v>
          </cell>
        </row>
        <row r="1455">
          <cell r="B1455" t="str">
            <v>13-109-14-07</v>
          </cell>
          <cell r="C1455" t="str">
            <v>BULLDOGKLEMME, LEICHT, GEW., 33 MM</v>
          </cell>
          <cell r="D1455" t="str">
            <v>BULLDOG  CLAMP, LIGHTWEIGHT, ANG., 33 MM</v>
          </cell>
        </row>
        <row r="1456">
          <cell r="B1456" t="str">
            <v>13-109-18-07</v>
          </cell>
          <cell r="C1456" t="str">
            <v>BULLDOGKLEMME, LEICHT, GEW., 36 MM</v>
          </cell>
          <cell r="D1456" t="str">
            <v>BULLDOG  CLAMP, LIGHTWEIGHT, ANG., 36 MM</v>
          </cell>
        </row>
        <row r="1457">
          <cell r="B1457" t="str">
            <v>13-110-06-07</v>
          </cell>
          <cell r="C1457" t="str">
            <v>BULLDOGKLEMME, DIEFFENBACH, GER., 60 MM</v>
          </cell>
          <cell r="D1457" t="str">
            <v>BULLDOG  CLAMP, DIEFFENBACH, STR., 60 MM</v>
          </cell>
        </row>
        <row r="1458">
          <cell r="B1458" t="str">
            <v>13-111-06-07</v>
          </cell>
          <cell r="C1458" t="str">
            <v>BULLDOGKLEMME, DIEFFENBACH, GEB., 60 MM</v>
          </cell>
          <cell r="D1458" t="str">
            <v>BULLDOG  CLAMP, DIEFFENBACH, CVD., 60 MM</v>
          </cell>
        </row>
        <row r="1459">
          <cell r="B1459" t="str">
            <v>13-114-03-07</v>
          </cell>
          <cell r="C1459" t="str">
            <v>BULLDOGKLEMME, DIEFFENBACH, GER., 35 MM</v>
          </cell>
          <cell r="D1459" t="str">
            <v>BULLDOG  CLAMP, DIEFFENBACH, STR., 35 MM</v>
          </cell>
        </row>
        <row r="1460">
          <cell r="B1460" t="str">
            <v>13-114-05-07</v>
          </cell>
          <cell r="C1460" t="str">
            <v>BULLDOGKLEMME, DIEFFENBACH, GER., 50 MM</v>
          </cell>
          <cell r="D1460" t="str">
            <v>BULLDOG  CLAMP, DIEFFENBACH, STR., 50 MM</v>
          </cell>
        </row>
        <row r="1461">
          <cell r="B1461" t="str">
            <v>13-115-03-07</v>
          </cell>
          <cell r="C1461" t="str">
            <v>BULLDOGKLEMME, DIEFFENBACH, GEB., 35 MM</v>
          </cell>
          <cell r="D1461" t="str">
            <v>BULLDOG  CLAMP, DIEFFENBACH, CVD., 35 MM</v>
          </cell>
        </row>
        <row r="1462">
          <cell r="B1462" t="str">
            <v>13-115-05-07</v>
          </cell>
          <cell r="C1462" t="str">
            <v>BULLDOGKLEMME, DIEFFENBACH, GEB., 50 MM</v>
          </cell>
          <cell r="D1462" t="str">
            <v>BULLDOG  CLAMP, DIEFFENBACH, CVD., 50 MM</v>
          </cell>
        </row>
        <row r="1463">
          <cell r="B1463" t="str">
            <v>13-115-38-07</v>
          </cell>
          <cell r="C1463" t="str">
            <v>BULLDOGKLEMME, JOHNS-HOPKINS GER., 38 MM</v>
          </cell>
          <cell r="D1463" t="str">
            <v>BULLDOG  CLAMP, JOHNS-HOPKINS STR., 38 MM</v>
          </cell>
        </row>
        <row r="1464">
          <cell r="B1464" t="str">
            <v>13-115-45-07</v>
          </cell>
          <cell r="C1464" t="str">
            <v>BULLDOGKLEMME, JOHNS-HOPKINS GER., 45 MM</v>
          </cell>
          <cell r="D1464" t="str">
            <v>BULLDOG  CLAMP, JOHNS-HOPKINS STR., 45 MM</v>
          </cell>
        </row>
        <row r="1465">
          <cell r="B1465" t="str">
            <v>13-115-55-07</v>
          </cell>
          <cell r="C1465" t="str">
            <v>BULLDOGKLEMME, JOHNS-HOPKINS GER., 55 MM</v>
          </cell>
          <cell r="D1465" t="str">
            <v>BULLDOG  CLAMP, JOHNS-HOPKINS STR., 55 MM</v>
          </cell>
        </row>
        <row r="1466">
          <cell r="B1466" t="str">
            <v>13-115-65-07</v>
          </cell>
          <cell r="C1466" t="str">
            <v>BULLDOGKLEMME, JOHNS-HOPKINS GER., 65 MM</v>
          </cell>
          <cell r="D1466" t="str">
            <v>BULLDOG  CLAMP, JOHNS-HOPKINS STR., 65 MM</v>
          </cell>
        </row>
        <row r="1467">
          <cell r="B1467" t="str">
            <v>13-115-75-07</v>
          </cell>
          <cell r="C1467" t="str">
            <v>BULLDOGKLEMME, JOHNS-HOPKINS GER., 75 MM</v>
          </cell>
          <cell r="D1467" t="str">
            <v>BULLDOG  CLAMP, JOHNS-HOPKINS STR., 75 MM</v>
          </cell>
        </row>
        <row r="1468">
          <cell r="B1468" t="str">
            <v>13-115-90-07</v>
          </cell>
          <cell r="C1468" t="str">
            <v>BULLDOGKLEMME, JOHNS-HOPKINS GER., 90 MM</v>
          </cell>
          <cell r="D1468" t="str">
            <v>BULLDOG  CLAMP, JOHNS-HOPKINS STR., 90 MM</v>
          </cell>
        </row>
        <row r="1469">
          <cell r="B1469" t="str">
            <v>13-116-38-07</v>
          </cell>
          <cell r="C1469" t="str">
            <v>BULLDOGKLEMME, JOHNS-HOPKINS GEB., 38 MM</v>
          </cell>
          <cell r="D1469" t="str">
            <v>BULLDOG  CLAMP, JOHNS-HOPKINS CVD., 38 MM</v>
          </cell>
        </row>
        <row r="1470">
          <cell r="B1470" t="str">
            <v>13-116-45-07</v>
          </cell>
          <cell r="C1470" t="str">
            <v>BULLDOGKLEMME, JOHNS-HOPKINS GEB., 45 MM</v>
          </cell>
          <cell r="D1470" t="str">
            <v>BULLDOG  CLAMP, JOHNS-HOPKINS CVD., 45 MM</v>
          </cell>
        </row>
        <row r="1471">
          <cell r="B1471" t="str">
            <v>13-116-55-07</v>
          </cell>
          <cell r="C1471" t="str">
            <v>BULLDOGKLEMME, JOHNS-HOPKINS GEB., 55 MM</v>
          </cell>
          <cell r="D1471" t="str">
            <v>BULLDOG  CLAMP, JOHNS-HOPKINS CVD., 55 MM</v>
          </cell>
        </row>
        <row r="1472">
          <cell r="B1472" t="str">
            <v>13-116-65-07</v>
          </cell>
          <cell r="C1472" t="str">
            <v>BULLDOGKLEMME, JOHNS-HOPKINS GEB., 65 MM</v>
          </cell>
          <cell r="D1472" t="str">
            <v>BULLDOG  CLAMP, JOHNS-HOPKINS CVD., 65 MM</v>
          </cell>
        </row>
        <row r="1473">
          <cell r="B1473" t="str">
            <v>13-116-75-07</v>
          </cell>
          <cell r="C1473" t="str">
            <v>BULLDOGKLEMME, JOHNS-HOPKINS GEB., 75 MM</v>
          </cell>
          <cell r="D1473" t="str">
            <v>BULLDOG  CLAMP, JOHNS-HOPKINS CVD., 75 MM</v>
          </cell>
        </row>
        <row r="1474">
          <cell r="B1474" t="str">
            <v>13-116-90-07</v>
          </cell>
          <cell r="C1474" t="str">
            <v>BULLDOGKLEMME, JOHNS-HOPKINS GEB., 90 MM</v>
          </cell>
          <cell r="D1474" t="str">
            <v>BULLDOG  CLAMP, JOHNS-HOPKINS CVD., 90 MM</v>
          </cell>
        </row>
        <row r="1475">
          <cell r="B1475" t="str">
            <v>13-120-08-07</v>
          </cell>
          <cell r="C1475" t="str">
            <v>BULLDOGKLEMME, DIETHRICH, GER., 8 MM</v>
          </cell>
          <cell r="D1475" t="str">
            <v>BULLDOG  CLAMP, DIETHRICH, STR., 8 MM</v>
          </cell>
        </row>
        <row r="1476">
          <cell r="B1476" t="str">
            <v>13-120-10-07</v>
          </cell>
          <cell r="C1476" t="str">
            <v>BULLDOGKLEMME, DIETHRICH, GER., 12 MM</v>
          </cell>
          <cell r="D1476" t="str">
            <v>BULLDOG  CLAMP, DIETHRICH, STR., 12 MM</v>
          </cell>
        </row>
        <row r="1477">
          <cell r="B1477" t="str">
            <v>13-120-12-07</v>
          </cell>
          <cell r="C1477" t="str">
            <v>BULLDOGKLEMME, DIETHRICH, GER., 20 MM</v>
          </cell>
          <cell r="D1477" t="str">
            <v>BULLDOG  CLAMP, DIETHRICH, STR., 20 MM</v>
          </cell>
        </row>
        <row r="1478">
          <cell r="B1478" t="str">
            <v>13-121-08-07</v>
          </cell>
          <cell r="C1478" t="str">
            <v>BULLDOGKLEMME, DIETHRICH, GEB., 8 MM</v>
          </cell>
          <cell r="D1478" t="str">
            <v>BULLDOG  CLAMP, DIETHRICH, CVD., 8 MM</v>
          </cell>
        </row>
        <row r="1479">
          <cell r="B1479" t="str">
            <v>13-121-10-07</v>
          </cell>
          <cell r="C1479" t="str">
            <v>BULLDOGKLEMME, DIETHRICH, GEB., 12 MM</v>
          </cell>
          <cell r="D1479" t="str">
            <v>BULLDOG  CLAMP, DIETHRICH, CVD., 12 MM</v>
          </cell>
        </row>
        <row r="1480">
          <cell r="B1480" t="str">
            <v>13-121-12-07</v>
          </cell>
          <cell r="C1480" t="str">
            <v>BULLDOGKLEMME, DIETHRICH, GEB., 20 MM</v>
          </cell>
          <cell r="D1480" t="str">
            <v>BULLDOG  CLAMP, DIETHRICH, CVD., 20 MM</v>
          </cell>
        </row>
        <row r="1481">
          <cell r="B1481" t="str">
            <v>13-122-10-07</v>
          </cell>
          <cell r="C1481" t="str">
            <v>ATR.-BULLDOGKLEMME, GER., 10 MM</v>
          </cell>
          <cell r="D1481" t="str">
            <v>ATR. BULLDOG  CLAMP, STR., 10 MM</v>
          </cell>
        </row>
        <row r="1482">
          <cell r="B1482" t="str">
            <v>13-122-14-07</v>
          </cell>
          <cell r="C1482" t="str">
            <v>ATR.-BULLDOGKLEMME, GER., 14 MM</v>
          </cell>
          <cell r="D1482" t="str">
            <v>ATR. BULLDOG  CLAMP, STR., 14 MM</v>
          </cell>
        </row>
        <row r="1483">
          <cell r="B1483" t="str">
            <v>13-122-20-07</v>
          </cell>
          <cell r="C1483" t="str">
            <v>ATR.-BULLDOGKLEMME, GER., 20 MM</v>
          </cell>
          <cell r="D1483" t="str">
            <v>ATR. BULLDOG  CLAMP, STR., 20 MM</v>
          </cell>
        </row>
        <row r="1484">
          <cell r="B1484" t="str">
            <v>13-123-10-07</v>
          </cell>
          <cell r="C1484" t="str">
            <v>ATR.-BULLDOGKLEMME, GEB., 10 MM</v>
          </cell>
          <cell r="D1484" t="str">
            <v>ATR. BULLDOG  CLAMP, ANG., 10 MM</v>
          </cell>
        </row>
        <row r="1485">
          <cell r="B1485" t="str">
            <v>13-123-14-07</v>
          </cell>
          <cell r="C1485" t="str">
            <v>ATR.-BULLDOGKLEMME, GEB., 14 MM</v>
          </cell>
          <cell r="D1485" t="str">
            <v>ATR. BULLDOG  CLAMP, ANG., 14 MM</v>
          </cell>
        </row>
        <row r="1486">
          <cell r="B1486" t="str">
            <v>13-123-20-07</v>
          </cell>
          <cell r="C1486" t="str">
            <v>ATR.-BULLDOGKLEMME, GEB., 20 MM</v>
          </cell>
          <cell r="D1486" t="str">
            <v>ATR. BULLDOG  CLAMP, ANG., 20 MM</v>
          </cell>
        </row>
        <row r="1487">
          <cell r="B1487" t="str">
            <v>13-125-10-07</v>
          </cell>
          <cell r="C1487" t="str">
            <v>Atr.-Bulldogklemme, geb., 10 mm</v>
          </cell>
          <cell r="D1487" t="str">
            <v>Atr. bulldog clamp, cvd., 10 mm</v>
          </cell>
        </row>
        <row r="1488">
          <cell r="B1488" t="str">
            <v>13-125-14-07</v>
          </cell>
          <cell r="C1488" t="str">
            <v>Atr.-Bulldogklemme, geb., 14 mm</v>
          </cell>
          <cell r="D1488" t="str">
            <v>Atr. bulldog clamp, cvd., 14 mm</v>
          </cell>
        </row>
        <row r="1489">
          <cell r="B1489" t="str">
            <v>13-125-20-07</v>
          </cell>
          <cell r="C1489" t="str">
            <v>Atr.-Bulldogklemme, geb., 20 mm</v>
          </cell>
          <cell r="D1489" t="str">
            <v>Atr. bulldog clamp, cvd., 20 mm</v>
          </cell>
        </row>
        <row r="1490">
          <cell r="B1490" t="str">
            <v>13-131-24-07</v>
          </cell>
          <cell r="C1490" t="str">
            <v>ANLEGEZANGE F. MINI GLOVER,  24 CM</v>
          </cell>
          <cell r="D1490" t="str">
            <v>Applying forceps f. Mini Glover, 24 cm</v>
          </cell>
        </row>
        <row r="1491">
          <cell r="B1491" t="str">
            <v>13-132-30-09</v>
          </cell>
          <cell r="C1491" t="str">
            <v>TI-BULLDOGKLEMME, VENEN, GER., 30 MM</v>
          </cell>
          <cell r="D1491" t="str">
            <v>TI-BULLDOG CLAMP, VEINS, STR., 30 MM</v>
          </cell>
        </row>
        <row r="1492">
          <cell r="B1492" t="str">
            <v>13-132-35-09</v>
          </cell>
          <cell r="C1492" t="str">
            <v>TI-BULLDOGKLEMME, VENEN, GER., 35 MM</v>
          </cell>
          <cell r="D1492" t="str">
            <v>TI-BULLDOG CLAMP, VEINS, STR., 35 MM</v>
          </cell>
        </row>
        <row r="1493">
          <cell r="B1493" t="str">
            <v>13-132-40-09</v>
          </cell>
          <cell r="C1493" t="str">
            <v>TI-BULLDOGKLEMME, VENEN, GER., 40 MM</v>
          </cell>
          <cell r="D1493" t="str">
            <v>TI-BULLDOG CLAMP, VEINS, STR., 40 MM</v>
          </cell>
        </row>
        <row r="1494">
          <cell r="B1494" t="str">
            <v>13-132-50-09</v>
          </cell>
          <cell r="C1494" t="str">
            <v>TI-BULLDOGKLEMME, VENEN, GER., 50 MM</v>
          </cell>
          <cell r="D1494" t="str">
            <v>TI-BULLDOG CLAMP, VEINS, STR., 50 MM</v>
          </cell>
        </row>
        <row r="1495">
          <cell r="B1495" t="str">
            <v>13-133-30-09</v>
          </cell>
          <cell r="C1495" t="str">
            <v>TI-BULLDOGKLEMME, VENEN, GEB., 30 MM</v>
          </cell>
          <cell r="D1495" t="str">
            <v>TI-BULLDOG CLAMP, VEINS, CVD., 30 MM</v>
          </cell>
        </row>
        <row r="1496">
          <cell r="B1496" t="str">
            <v>13-133-35-09</v>
          </cell>
          <cell r="C1496" t="str">
            <v>TI-BULLDOGKLEMME, VENEN, GEB., 35 MM</v>
          </cell>
          <cell r="D1496" t="str">
            <v>TI-BULLDOG CLAMP, VEINS, CVD., 35 MM</v>
          </cell>
        </row>
        <row r="1497">
          <cell r="B1497" t="str">
            <v>13-133-40-09</v>
          </cell>
          <cell r="C1497" t="str">
            <v>TI-BULLDOGKLEMME, VENEN, GEB., 40 MM</v>
          </cell>
          <cell r="D1497" t="str">
            <v>TI-BULLDOG CLAMP, VEINS, CVD., 40 MM</v>
          </cell>
        </row>
        <row r="1498">
          <cell r="B1498" t="str">
            <v>13-133-50-09</v>
          </cell>
          <cell r="C1498" t="str">
            <v>TI-BULLDOGKLEMME, VENEN, GEB., 50 MM</v>
          </cell>
          <cell r="D1498" t="str">
            <v>TI-BULLDOG CLAMP, VEINS, CVD., 50 MM</v>
          </cell>
        </row>
        <row r="1499">
          <cell r="B1499" t="str">
            <v>13-135-30-09</v>
          </cell>
          <cell r="C1499" t="str">
            <v>TI-BULLDOGKLEMME, VENEN, ST. GEB., 30 MM</v>
          </cell>
          <cell r="D1499" t="str">
            <v>TI-BULLDOG CLAMP, VEINS, ST. CVD., 30 MM</v>
          </cell>
        </row>
        <row r="1500">
          <cell r="B1500" t="str">
            <v>13-135-35-09</v>
          </cell>
          <cell r="C1500" t="str">
            <v>TI-BULLDOGKLEMME, VENEN, ST. GEB., 35 MM</v>
          </cell>
          <cell r="D1500" t="str">
            <v>TI-BULLDOG CLAMP, VEINS, ST. CVD., 35 MM</v>
          </cell>
        </row>
        <row r="1501">
          <cell r="B1501" t="str">
            <v>13-135-40-09</v>
          </cell>
          <cell r="C1501" t="str">
            <v>TI-BULLDOGKLEMME, VENEN, ST. GEB., 40 MM</v>
          </cell>
          <cell r="D1501" t="str">
            <v>TI-BULLDOG CLAMP, VEINS, ST. CVD., 40 MM</v>
          </cell>
        </row>
        <row r="1502">
          <cell r="B1502" t="str">
            <v>13-135-50-09</v>
          </cell>
          <cell r="C1502" t="str">
            <v>TI-BULLDOGKLEMME, VENEN, ST. GEB., 50 MM</v>
          </cell>
          <cell r="D1502" t="str">
            <v>TI-BULLDOG CLAMP, VEINS, ST. CVD., 50 MM</v>
          </cell>
        </row>
        <row r="1503">
          <cell r="B1503" t="str">
            <v>13-142-30-09</v>
          </cell>
          <cell r="C1503" t="str">
            <v>TI-BULLDOGKLEMME, ARTERIEN,  GER., 30 MM</v>
          </cell>
          <cell r="D1503" t="str">
            <v>TI-BULLDOG CLAMP, ARTERIES,  STR., 30 MM</v>
          </cell>
        </row>
        <row r="1504">
          <cell r="B1504" t="str">
            <v>13-142-35-09</v>
          </cell>
          <cell r="C1504" t="str">
            <v>TI-BULLDOGKLEMME, ARTERIEN,  GER., 35 MM</v>
          </cell>
          <cell r="D1504" t="str">
            <v>TI-BULLDOG CLAMP, ARTERIES,  STR., 35 MM</v>
          </cell>
        </row>
        <row r="1505">
          <cell r="B1505" t="str">
            <v>13-142-40-09</v>
          </cell>
          <cell r="C1505" t="str">
            <v>TI-BULLDOGKLEMME, ARTERIEN,  GER., 40 MM</v>
          </cell>
          <cell r="D1505" t="str">
            <v>TI-BULLDOG CLAMP, ARTERIES,  STR., 40 MM</v>
          </cell>
        </row>
        <row r="1506">
          <cell r="B1506" t="str">
            <v>13-142-50-09</v>
          </cell>
          <cell r="C1506" t="str">
            <v>TI-BULLDOGKLEMME, ARTERIEN,  GER., 50 MM</v>
          </cell>
          <cell r="D1506" t="str">
            <v>TI-BULLDOG CLAMP, ARTERIES,  STR., 50 MM</v>
          </cell>
        </row>
        <row r="1507">
          <cell r="B1507" t="str">
            <v>13-143-30-09</v>
          </cell>
          <cell r="C1507" t="str">
            <v>TI-BULLDOGKLEMME, ARTERIEN,  GEB., 30 MM</v>
          </cell>
          <cell r="D1507" t="str">
            <v>TI-BULLDOG CLAMP, ARTERIES,  CVD., 30 MM</v>
          </cell>
        </row>
        <row r="1508">
          <cell r="B1508" t="str">
            <v>13-143-35-09</v>
          </cell>
          <cell r="C1508" t="str">
            <v>TI-BULLDOGKLEMME, ARTERIEN,  GEB., 35 MM</v>
          </cell>
          <cell r="D1508" t="str">
            <v>TI-BULLDOG CLAMP, ARTERIES,  CVD., 35 MM</v>
          </cell>
        </row>
        <row r="1509">
          <cell r="B1509" t="str">
            <v>13-143-40-09</v>
          </cell>
          <cell r="C1509" t="str">
            <v>TI-BULLDOGKLEMME, ARTERIEN,  GEB., 40 MM</v>
          </cell>
          <cell r="D1509" t="str">
            <v>TI-BULLDOG CLAMP, ARTERIES,  CVD., 40 MM</v>
          </cell>
        </row>
        <row r="1510">
          <cell r="B1510" t="str">
            <v>13-143-50-09</v>
          </cell>
          <cell r="C1510" t="str">
            <v>TI-BULLDOGKLEMME, ARTERIEN,  GEB., 50 MM</v>
          </cell>
          <cell r="D1510" t="str">
            <v>TI-BULLDOG CLAMP, ARTERIES,  CVD., 50 MM</v>
          </cell>
        </row>
        <row r="1511">
          <cell r="B1511" t="str">
            <v>13-145-30-09</v>
          </cell>
          <cell r="C1511" t="str">
            <v>TI-BULLDOGKLEMME, ART., ST. GEB., 30 MM</v>
          </cell>
          <cell r="D1511" t="str">
            <v>TI-BULLDOG CLAMP, ART., ST. CVD., 30 MM</v>
          </cell>
        </row>
        <row r="1512">
          <cell r="B1512" t="str">
            <v>13-145-35-09</v>
          </cell>
          <cell r="C1512" t="str">
            <v>TI-BULLDOGKLEMME, ART., ST. GEB., 35 MM</v>
          </cell>
          <cell r="D1512" t="str">
            <v>TI-BULLDOG CLAMP, ART., ST. CVD., 35 MM</v>
          </cell>
        </row>
        <row r="1513">
          <cell r="B1513" t="str">
            <v>13-145-40-09</v>
          </cell>
          <cell r="C1513" t="str">
            <v>TI-BULLDOGKLEMME, ART., ST. GEB., 40 MM</v>
          </cell>
          <cell r="D1513" t="str">
            <v>TI-BULLDOG CLAMP, ART., ST. CVD., 40 MM</v>
          </cell>
        </row>
        <row r="1514">
          <cell r="B1514" t="str">
            <v>13-145-50-09</v>
          </cell>
          <cell r="C1514" t="str">
            <v>TI-BULLDOGKLEMME, ART., ST. GEB., 50 MM</v>
          </cell>
          <cell r="D1514" t="str">
            <v>TI-BULLDOG CLAMP, ART., ST. CVD., 50 MM</v>
          </cell>
        </row>
        <row r="1515">
          <cell r="B1515" t="str">
            <v>13-176-14-07</v>
          </cell>
          <cell r="C1515" t="str">
            <v>KLEMME,  PEAN, GER., KURZFASSEND, 14,5 CM</v>
          </cell>
          <cell r="D1515" t="str">
            <v>FORCEPS,  PEAN, STR., SHORT JAW, 14.5 CM</v>
          </cell>
        </row>
        <row r="1516">
          <cell r="B1516" t="str">
            <v>13-176-16-07</v>
          </cell>
          <cell r="C1516" t="str">
            <v>KLEMME,  PEAN, GER., KURZFASSEND, 16 CM</v>
          </cell>
          <cell r="D1516" t="str">
            <v>FORCEPS,  PEAN, STR., SHORT JAW, 16 CM</v>
          </cell>
        </row>
        <row r="1517">
          <cell r="B1517" t="str">
            <v>13-248-13-07</v>
          </cell>
          <cell r="C1517" t="str">
            <v>KLEMME,  SPENCER-WELLS, GER., 13 CM</v>
          </cell>
          <cell r="D1517" t="str">
            <v>FORCEPS,  SPENCER-WELLS, STR., 13 CM</v>
          </cell>
        </row>
        <row r="1518">
          <cell r="B1518" t="str">
            <v>13-248-14-07</v>
          </cell>
          <cell r="C1518" t="str">
            <v>KLEMME,  SPENCER-WELLS, GER., 14,5 CM</v>
          </cell>
          <cell r="D1518" t="str">
            <v>FORCEPS,  SPENCER-WELLS, STR., 14.5 CM</v>
          </cell>
        </row>
        <row r="1519">
          <cell r="B1519" t="str">
            <v>13-248-15-07</v>
          </cell>
          <cell r="C1519" t="str">
            <v>KLEMME,  SPENCER-WELLS, GER., 15,5 CM</v>
          </cell>
          <cell r="D1519" t="str">
            <v>FORCEPS,  SPENCER-WELLS, STR., 15.5 CM</v>
          </cell>
        </row>
        <row r="1520">
          <cell r="B1520" t="str">
            <v>13-248-18-07</v>
          </cell>
          <cell r="C1520" t="str">
            <v>KLEMME,  SPENCER-WELLS, GER., 18,5 CM</v>
          </cell>
          <cell r="D1520" t="str">
            <v>FORCEPS,  SPENCER-WELLS, STR., 18.5 CM</v>
          </cell>
        </row>
        <row r="1521">
          <cell r="B1521" t="str">
            <v>13-248-20-07</v>
          </cell>
          <cell r="C1521" t="str">
            <v>KLEMME,  SPENCER-WELLS, GER., 20 CM</v>
          </cell>
          <cell r="D1521" t="str">
            <v>FORCEPS,  SPENCER-WELLS, STR., 20 CM</v>
          </cell>
        </row>
        <row r="1522">
          <cell r="B1522" t="str">
            <v>13-249-13-07</v>
          </cell>
          <cell r="C1522" t="str">
            <v>KLEMME,  SPENCER-WELLS, GEB., 13 CM</v>
          </cell>
          <cell r="D1522" t="str">
            <v>FORCEPS,  SPENCER-WELLS, CVD., 13 CM</v>
          </cell>
        </row>
        <row r="1523">
          <cell r="B1523" t="str">
            <v>13-249-14-07</v>
          </cell>
          <cell r="C1523" t="str">
            <v>KLEMME,  SPENCER-WELLS, GEB., 14 CM</v>
          </cell>
          <cell r="D1523" t="str">
            <v>FORCEPS,  SPENCER-WELLS, CVD., 14 CM</v>
          </cell>
        </row>
        <row r="1524">
          <cell r="B1524" t="str">
            <v>13-249-15-07</v>
          </cell>
          <cell r="C1524" t="str">
            <v>KLEMME,  SPENCER-WELLS, GEB., 15 CM</v>
          </cell>
          <cell r="D1524" t="str">
            <v>FORCEPS,  SPENCER-WELLS, CVD., 15 CM</v>
          </cell>
        </row>
        <row r="1525">
          <cell r="B1525" t="str">
            <v>13-249-18-07</v>
          </cell>
          <cell r="C1525" t="str">
            <v>KLEMME,  SPENCER-WELLS, GEB., 18 CM</v>
          </cell>
          <cell r="D1525" t="str">
            <v>FORCEPS,  SPENCER-WELLS, CVD., 18 CM</v>
          </cell>
        </row>
        <row r="1526">
          <cell r="B1526" t="str">
            <v>13-249-20-07</v>
          </cell>
          <cell r="C1526" t="str">
            <v>KLEMME,  SPENCER-WELLS, GEB., 20 CM</v>
          </cell>
          <cell r="D1526" t="str">
            <v>FORCEPS,  SPENCER-WELLS, CVD., 20 CM</v>
          </cell>
        </row>
        <row r="1527">
          <cell r="B1527" t="str">
            <v>13-256-13-07</v>
          </cell>
          <cell r="C1527" t="str">
            <v>KLEMME,  CHAPUT,  GER., 2X3 Z., 12,5 CM</v>
          </cell>
          <cell r="D1527" t="str">
            <v>FORCEPS,  CHAPUT,  STR., 2X3 T., 12.5 CM</v>
          </cell>
        </row>
        <row r="1528">
          <cell r="B1528" t="str">
            <v>13-258-13-07</v>
          </cell>
          <cell r="C1528" t="str">
            <v>KLEMME,  TUFFIER,  GER., 5X6 Z., 12,5 CM</v>
          </cell>
          <cell r="D1528" t="str">
            <v>FORCEPS,  TUFFIER,  STR., 5X6 T., 12.5 CM</v>
          </cell>
        </row>
        <row r="1529">
          <cell r="B1529" t="str">
            <v>13-266-25-07</v>
          </cell>
          <cell r="C1529" t="str">
            <v>ATR.-ORGANFASSZANGE, 25 CM</v>
          </cell>
          <cell r="D1529" t="str">
            <v>ATR. ORGAN SEIZING FORCEPS,  25 CM</v>
          </cell>
        </row>
        <row r="1530">
          <cell r="B1530" t="str">
            <v>13-266-26-07</v>
          </cell>
          <cell r="C1530" t="str">
            <v>ATR.-ORGANFASSZANGE, 26 CM</v>
          </cell>
          <cell r="D1530" t="str">
            <v>ATR. ORGAN SEIZING FORCEPS,  26 CM</v>
          </cell>
        </row>
        <row r="1531">
          <cell r="B1531" t="str">
            <v>13-268-14-07</v>
          </cell>
          <cell r="C1531" t="str">
            <v>FASSZANGE, COLLIN, DREIECK-MAUL, 14 CM</v>
          </cell>
          <cell r="D1531" t="str">
            <v>FORCEPS,  COLLIN, TRIANGLE  JAW, 14 CM</v>
          </cell>
        </row>
        <row r="1532">
          <cell r="B1532" t="str">
            <v>13-278-17-07</v>
          </cell>
          <cell r="C1532" t="str">
            <v>FASSZANGE, COLLIN, OVALES MAUL, 17 CM</v>
          </cell>
          <cell r="D1532" t="str">
            <v>FORCEPS,  COLLIN, OVAL JAW, 17 CM</v>
          </cell>
        </row>
        <row r="1533">
          <cell r="B1533" t="str">
            <v>13-280-15-07</v>
          </cell>
          <cell r="C1533" t="str">
            <v>KLEMME,  PENNINGT., DREIECK-MAUL, 15,5 CM</v>
          </cell>
          <cell r="D1533" t="str">
            <v>FORCEPS,  PENNINGT., TRIANG. JAW, 15.5 CM</v>
          </cell>
        </row>
        <row r="1534">
          <cell r="B1534" t="str">
            <v>13-280-20-07</v>
          </cell>
          <cell r="C1534" t="str">
            <v>KLEMME,  PENNINGT., DREIECK-MAUL, 21 CM</v>
          </cell>
          <cell r="D1534" t="str">
            <v>FORCEPS,  PENNINGT., TRIANG. JAW, 21 CM</v>
          </cell>
        </row>
        <row r="1535">
          <cell r="B1535" t="str">
            <v>13-290-14-07</v>
          </cell>
          <cell r="C1535" t="str">
            <v>FACE-LIFT  KLEMME,  MARTEL-REES, 13,5 CM</v>
          </cell>
          <cell r="D1535" t="str">
            <v>FACE-LIFT  FORCEPS,  MARTEL-REES, 13.5 CM</v>
          </cell>
        </row>
        <row r="1536">
          <cell r="B1536" t="str">
            <v>13-303-01-07</v>
          </cell>
          <cell r="C1536" t="str">
            <v>KLEMME,  MIXTER-BABY, LEICHT GEB., 13,5CM</v>
          </cell>
          <cell r="D1536" t="str">
            <v>FORCEPS,  MIXTER-BABY, SL. CVD., 13.5 CM</v>
          </cell>
        </row>
        <row r="1537">
          <cell r="B1537" t="str">
            <v>13-303-02-07</v>
          </cell>
          <cell r="C1537" t="str">
            <v>KLEMME,  MIXTER-BABY, STARK GEB., 13 CM</v>
          </cell>
          <cell r="D1537" t="str">
            <v>FORCEPS,  MIXTER-BABY, STR. CVD., 13 CM</v>
          </cell>
        </row>
        <row r="1538">
          <cell r="B1538" t="str">
            <v>13-304-14-07</v>
          </cell>
          <cell r="C1538" t="str">
            <v>Arterienklemme, Mikro-Adson, 14 cm</v>
          </cell>
          <cell r="D1538" t="str">
            <v>Hemost. forceps, Micro-Adson, 14 cm</v>
          </cell>
        </row>
        <row r="1539">
          <cell r="B1539" t="str">
            <v>13-305-18-07</v>
          </cell>
          <cell r="C1539" t="str">
            <v>Arterienklemme, Baby-Adson, 18 cm</v>
          </cell>
          <cell r="D1539" t="str">
            <v>Hemost. forceps, Baby-Adson, 18 cm</v>
          </cell>
        </row>
        <row r="1540">
          <cell r="B1540" t="str">
            <v>13-306-10-07</v>
          </cell>
          <cell r="C1540" t="str">
            <v>ARTERIENKLEMME, HARTMANN, GER., 10 CM</v>
          </cell>
          <cell r="D1540" t="str">
            <v>HAEM. FORCEPS,  HARTMANN, STR., 10 CM</v>
          </cell>
        </row>
        <row r="1541">
          <cell r="B1541" t="str">
            <v>13-307-10-07</v>
          </cell>
          <cell r="C1541" t="str">
            <v>ARTERIENKLEMME, HARTMANN, GEB., 10 CM</v>
          </cell>
          <cell r="D1541" t="str">
            <v>HAEM. FORCEPS,  HARTMANN, CVD., 10 CM</v>
          </cell>
        </row>
        <row r="1542">
          <cell r="B1542" t="str">
            <v>13-309-12-07</v>
          </cell>
          <cell r="C1542" t="str">
            <v>FADENKLEMME, KREUZGERIEFT, GEB., 12 CM</v>
          </cell>
          <cell r="D1542" t="str">
            <v>LIGATURE  FORCEPS,  SERR., CVD., 12 CM</v>
          </cell>
        </row>
        <row r="1543">
          <cell r="B1543" t="str">
            <v>13-310-12-07</v>
          </cell>
          <cell r="C1543" t="str">
            <v>MOSQUITOKLEMME, GER., 12,5 CM</v>
          </cell>
          <cell r="D1543" t="str">
            <v>HAEM. FORCEPS,  MOSQUITO, STR., 12.5 CM</v>
          </cell>
        </row>
        <row r="1544">
          <cell r="B1544" t="str">
            <v>13-310-14-07</v>
          </cell>
          <cell r="C1544" t="str">
            <v>MOSQUITOKLEMME, GER., 14,5 CM</v>
          </cell>
          <cell r="D1544" t="str">
            <v>HAEM. FORCEPS,  MOSQUITO, STR., 14.5 CM</v>
          </cell>
        </row>
        <row r="1545">
          <cell r="B1545" t="str">
            <v>13-310-62-09</v>
          </cell>
          <cell r="C1545" t="str">
            <v>TI-MOSQUITOKLEMME, GER., 12,5 CM</v>
          </cell>
          <cell r="D1545" t="str">
            <v>TI-FORCEPS, MOSQUITO,STR., 12.5 CM</v>
          </cell>
        </row>
        <row r="1546">
          <cell r="B1546" t="str">
            <v>13-311-12-07</v>
          </cell>
          <cell r="C1546" t="str">
            <v>MOSQUITOKLEMME, GEB., 12 CM</v>
          </cell>
          <cell r="D1546" t="str">
            <v>HAEM. FORCEPS,  MOSQUITO, CVD., 12 CM</v>
          </cell>
        </row>
        <row r="1547">
          <cell r="B1547" t="str">
            <v>13-311-14-07</v>
          </cell>
          <cell r="C1547" t="str">
            <v>MOSQUITOKLEMME, GEB., 14 CM</v>
          </cell>
          <cell r="D1547" t="str">
            <v>HAEM. FORCEPS,  MOSQUITO, CVD., 14 CM</v>
          </cell>
        </row>
        <row r="1548">
          <cell r="B1548" t="str">
            <v>13-311-62-09</v>
          </cell>
          <cell r="C1548" t="str">
            <v>TI-MOSQUITOKLEMME, GEB., 12 CM</v>
          </cell>
          <cell r="D1548" t="str">
            <v>TI-FORCEPS, MOSQUITO, CVD., 12 CM</v>
          </cell>
        </row>
        <row r="1549">
          <cell r="B1549" t="str">
            <v>13-312-12-07</v>
          </cell>
          <cell r="C1549" t="str">
            <v>MOSQUITOKLEMME, 1X2 Z., GER., 12,5 CM</v>
          </cell>
          <cell r="D1549" t="str">
            <v>FORCEPS,  MOSQUITO, 1X2 T., STR., 12.5 CM</v>
          </cell>
        </row>
        <row r="1550">
          <cell r="B1550" t="str">
            <v>13-312-14-07</v>
          </cell>
          <cell r="C1550" t="str">
            <v>MOSQUITOKLEMME, 1X2 Z., GER., 14,5 CM</v>
          </cell>
          <cell r="D1550" t="str">
            <v>FORCEPS,  MOSQUITO, 1X2 T., STR., 14.5 CM</v>
          </cell>
        </row>
        <row r="1551">
          <cell r="B1551" t="str">
            <v>13-312-62-09</v>
          </cell>
          <cell r="C1551" t="str">
            <v>TI-MOSQUITOKLEMME, 1X2 Z., GER., 12 CM</v>
          </cell>
          <cell r="D1551" t="str">
            <v>TI-FORCEPS, MOSQUITO,1X2 T., STR., 12 CM</v>
          </cell>
        </row>
        <row r="1552">
          <cell r="B1552" t="str">
            <v>13-313-12-07</v>
          </cell>
          <cell r="C1552" t="str">
            <v>MOSQUITOKLEMME, 1X2 Z., GEB., 12,5 CM</v>
          </cell>
          <cell r="D1552" t="str">
            <v>FORCEPS,  MOSQUITO, 1X2 T., CVD., 12.5 CM</v>
          </cell>
        </row>
        <row r="1553">
          <cell r="B1553" t="str">
            <v>13-313-14-07</v>
          </cell>
          <cell r="C1553" t="str">
            <v>MOSQUITOKLEMME, 1X2 Z., GEB., 14,5 CM</v>
          </cell>
          <cell r="D1553" t="str">
            <v>FORCEPS,  MOSQUITO, 1X2 T., CVD., 14.5 CM</v>
          </cell>
        </row>
        <row r="1554">
          <cell r="B1554" t="str">
            <v>13-313-62-09</v>
          </cell>
          <cell r="C1554" t="str">
            <v>TI-MOSQUITOKLEMME, 1X2 Z., GEB., 12 CM</v>
          </cell>
          <cell r="D1554" t="str">
            <v>TI-FORCEPS, MOSQUITO,1X2 T., CVD., 12 CM</v>
          </cell>
        </row>
        <row r="1555">
          <cell r="B1555" t="str">
            <v>13-316-18-07</v>
          </cell>
          <cell r="C1555" t="str">
            <v>MOSQUITOKLEMME, GER., 18,5 CM</v>
          </cell>
          <cell r="D1555" t="str">
            <v>HAEM. FORCEPS,  MOSQUITO, STR., 18.5 CM</v>
          </cell>
        </row>
        <row r="1556">
          <cell r="B1556" t="str">
            <v>13-316-21-07</v>
          </cell>
          <cell r="C1556" t="str">
            <v>MOSQUITOKLEMME, GER., 21 CM</v>
          </cell>
          <cell r="D1556" t="str">
            <v>HAEM. FORCEPS,  MOSQUITO, STR., 21 CM</v>
          </cell>
        </row>
        <row r="1557">
          <cell r="B1557" t="str">
            <v>13-317-18-07</v>
          </cell>
          <cell r="C1557" t="str">
            <v>MOSQUITOKLEMME, GEB., 18 CM</v>
          </cell>
          <cell r="D1557" t="str">
            <v>HAEM. FORCEPS,  MOSQUITO, CVD., 18 CM</v>
          </cell>
        </row>
        <row r="1558">
          <cell r="B1558" t="str">
            <v>13-317-21-07</v>
          </cell>
          <cell r="C1558" t="str">
            <v>MOSQUITOKLEMME, GEB., 20,5 CM</v>
          </cell>
          <cell r="D1558" t="str">
            <v>HAEM. FORCEPS,  MOSQUITO, CVD., 20.5 CM</v>
          </cell>
        </row>
        <row r="1559">
          <cell r="B1559" t="str">
            <v>13-318-18-07</v>
          </cell>
          <cell r="C1559" t="str">
            <v>MOSQUITOKLEMME, 1X2 Z., GER., 18,5 CM</v>
          </cell>
          <cell r="D1559" t="str">
            <v>FORCEPS,  MOSQUITO, 1X2 T., STR., 18.5 CM</v>
          </cell>
        </row>
        <row r="1560">
          <cell r="B1560" t="str">
            <v>13-318-21-07</v>
          </cell>
          <cell r="C1560" t="str">
            <v>MOSQUITOKLEMME, 1X2 Z., GER., 21 CM</v>
          </cell>
          <cell r="D1560" t="str">
            <v>FORCEPS,  MOSQUITO, 1X2 T., STR., 21 CM</v>
          </cell>
        </row>
        <row r="1561">
          <cell r="B1561" t="str">
            <v>13-319-18-07</v>
          </cell>
          <cell r="C1561" t="str">
            <v>MOSQUITOKLEMME, 1X2 Z., GEB., 18 CM</v>
          </cell>
          <cell r="D1561" t="str">
            <v>FORCEPS,  MOSQUITO, 1X2 T., CVD., 18 CM</v>
          </cell>
        </row>
        <row r="1562">
          <cell r="B1562" t="str">
            <v>13-319-21-07</v>
          </cell>
          <cell r="C1562" t="str">
            <v>MOSQUITOKLEMME, 1X2 Z., GEB., 20,5 CM</v>
          </cell>
          <cell r="D1562" t="str">
            <v>FORCEPS,  MOSQUITO, 1X2 T., CVD., 20.5 CM</v>
          </cell>
        </row>
        <row r="1563">
          <cell r="B1563" t="str">
            <v>13-320-10-07</v>
          </cell>
          <cell r="C1563" t="str">
            <v>MIKRO-MOSQUITOKLEMME, GER., 10 CM</v>
          </cell>
          <cell r="D1563" t="str">
            <v>FORCEPS  MICRO-MOSQUITO, STR., 10 CM</v>
          </cell>
        </row>
        <row r="1564">
          <cell r="B1564" t="str">
            <v>13-320-12-07</v>
          </cell>
          <cell r="C1564" t="str">
            <v>MIKRO-MOSQUITOKLEMME, GER., 12 CM</v>
          </cell>
          <cell r="D1564" t="str">
            <v>FORCEPS  MICRO-MOSQUITO, STR., 12 CM</v>
          </cell>
        </row>
        <row r="1565">
          <cell r="B1565" t="str">
            <v>13-321-10-07</v>
          </cell>
          <cell r="C1565" t="str">
            <v>MIKRO-MOSQUITOKLEMME, GEB., 10 CM</v>
          </cell>
          <cell r="D1565" t="str">
            <v>FORCEPS  MICRO-MOSQUITO, CVD., 10 CM</v>
          </cell>
        </row>
        <row r="1566">
          <cell r="B1566" t="str">
            <v>13-321-12-07</v>
          </cell>
          <cell r="C1566" t="str">
            <v>MIKRO-MOSQUITOKLEMME, GEB., 12 CM</v>
          </cell>
          <cell r="D1566" t="str">
            <v>FORCEPS  MICRO-MOSQUITO, CVD., 12 CM</v>
          </cell>
        </row>
        <row r="1567">
          <cell r="B1567" t="str">
            <v>13-322-10-07</v>
          </cell>
          <cell r="C1567" t="str">
            <v>MIK.-MOSQUITOKLEMME, 1X2 Z., GER., 10 CM</v>
          </cell>
          <cell r="D1567" t="str">
            <v>FCPS. MIC. MOSQUITO, 1X2 T., STR., 10 CM</v>
          </cell>
        </row>
        <row r="1568">
          <cell r="B1568" t="str">
            <v>13-322-12-07</v>
          </cell>
          <cell r="C1568" t="str">
            <v>MIK.-MOSQUITOKLEMME, 1X2 Z., GER., 12 CM</v>
          </cell>
          <cell r="D1568" t="str">
            <v>FCPS. MIC. MOSQUITO, 1X2 T., STR., 12 CM</v>
          </cell>
        </row>
        <row r="1569">
          <cell r="B1569" t="str">
            <v>13-323-10-07</v>
          </cell>
          <cell r="C1569" t="str">
            <v>MIK.-MOSQUITOKLEMME, 1X2 Z., GEB., 10 CM</v>
          </cell>
          <cell r="D1569" t="str">
            <v>FCPS. MIC. MOSQUITO, 1X2 T., CVD., 10 CM</v>
          </cell>
        </row>
        <row r="1570">
          <cell r="B1570" t="str">
            <v>13-323-12-07</v>
          </cell>
          <cell r="C1570" t="str">
            <v>MIK.-MOSQUITOKLEMME, 1X2 Z., GEB., 12 CM</v>
          </cell>
          <cell r="D1570" t="str">
            <v>FCPS. MIC. MOSQUITO, 1X2 T., CVD., 12 CM</v>
          </cell>
        </row>
        <row r="1571">
          <cell r="B1571" t="str">
            <v>13-324-14-07</v>
          </cell>
          <cell r="C1571" t="str">
            <v>ARTERIENKLEMME, PROV.-HOSP., GER., 14 CM</v>
          </cell>
          <cell r="D1571" t="str">
            <v>HAEM. FORCEPS,  PROV.-HOSP., STR., 14 CM</v>
          </cell>
        </row>
        <row r="1572">
          <cell r="B1572" t="str">
            <v>13-325-14-07</v>
          </cell>
          <cell r="C1572" t="str">
            <v>ARTERIENKLEMME, PROV.-HOSP., GEB.,13,5CM</v>
          </cell>
          <cell r="D1572" t="str">
            <v>HAEM. FORCEPS,  PROV.-HOSP., CVD., 13,5CM</v>
          </cell>
        </row>
        <row r="1573">
          <cell r="B1573" t="str">
            <v>13-326-15-07</v>
          </cell>
          <cell r="C1573" t="str">
            <v>ARTERIENKLEMME, LERICHE,  GER., 15,5 CM</v>
          </cell>
          <cell r="D1573" t="str">
            <v>HAEM. FORCEPS,  LERICHE,  STR., 15.5 CM</v>
          </cell>
        </row>
        <row r="1574">
          <cell r="B1574" t="str">
            <v>13-327-15-07</v>
          </cell>
          <cell r="C1574" t="str">
            <v>ARTERIENKLEMME, LERICHE,  GEB., 15 CM</v>
          </cell>
          <cell r="D1574" t="str">
            <v>HAEM. FORCEPS,  LERICHE,  CVD., 15 CM</v>
          </cell>
        </row>
        <row r="1575">
          <cell r="B1575" t="str">
            <v>13-328-15-07</v>
          </cell>
          <cell r="C1575" t="str">
            <v>KLEMME,  LERICHE,  1X2 Z., GER., 15,5 CM</v>
          </cell>
          <cell r="D1575" t="str">
            <v>FORCEPS,  LERICHE,  1X2 T., STR., 15.5 CM</v>
          </cell>
        </row>
        <row r="1576">
          <cell r="B1576" t="str">
            <v>13-329-15-07</v>
          </cell>
          <cell r="C1576" t="str">
            <v>KLEMME,  LERICHE,  1X2 Z., GEB., 15 CM</v>
          </cell>
          <cell r="D1576" t="str">
            <v>FORCEPS,  LERICHE,  1X2 T., CVD., 15 CM</v>
          </cell>
        </row>
        <row r="1577">
          <cell r="B1577" t="str">
            <v>13-330-14-07</v>
          </cell>
          <cell r="C1577" t="str">
            <v>ARTERIENKLEMME, KELLY, GER., 14,5 CM</v>
          </cell>
          <cell r="D1577" t="str">
            <v>HAEM. FORCEPS,  KELLY, STR., 14.5 CM</v>
          </cell>
        </row>
        <row r="1578">
          <cell r="B1578" t="str">
            <v>13-331-14-07</v>
          </cell>
          <cell r="C1578" t="str">
            <v>ARTERIENKLEMME, KELLY, GEB., 14 CM</v>
          </cell>
          <cell r="D1578" t="str">
            <v>HAEM. FORCEPS,  KELLY, CVD., 14 CM</v>
          </cell>
        </row>
        <row r="1579">
          <cell r="B1579" t="str">
            <v>13-332-12-07</v>
          </cell>
          <cell r="C1579" t="str">
            <v>Artierienklemme, Dunhill, ger., 13 CM</v>
          </cell>
          <cell r="D1579" t="str">
            <v>Haem. Forceps, Dunhill, Str., 13 CM</v>
          </cell>
        </row>
        <row r="1580">
          <cell r="B1580" t="str">
            <v>13-333-19-07</v>
          </cell>
          <cell r="C1580" t="str">
            <v>ARTERIENKLEMME, DUNHILL,  GEB., 18,5 CM</v>
          </cell>
          <cell r="D1580" t="str">
            <v>HAEM. FORCEPS,  DUNHILL,  CVD., 18.5 CM</v>
          </cell>
        </row>
        <row r="1581">
          <cell r="B1581" t="str">
            <v>13-334-16-07</v>
          </cell>
          <cell r="C1581" t="str">
            <v>KLEMME,  KELLY-RANKIN, GER., 16 CM</v>
          </cell>
          <cell r="D1581" t="str">
            <v>HAEM. FORCEPS,  KELLY-RANKIN, STR., 16 CM</v>
          </cell>
        </row>
        <row r="1582">
          <cell r="B1582" t="str">
            <v>13-335-16-07</v>
          </cell>
          <cell r="C1582" t="str">
            <v>KLEMME,  KELLY-RANKIN, GEB., 16 CM</v>
          </cell>
          <cell r="D1582" t="str">
            <v>HAEM. FCPS., KELLY-RANKIN, CVD., 16 CM</v>
          </cell>
        </row>
        <row r="1583">
          <cell r="B1583" t="str">
            <v>13-337-13-07</v>
          </cell>
          <cell r="C1583" t="str">
            <v>DRAHTFANGKLEMME N. OBWEGESER, 13,5 CM</v>
          </cell>
          <cell r="D1583" t="str">
            <v>OBWEGESER WIRE CATCHING  FORC</v>
          </cell>
        </row>
        <row r="1584">
          <cell r="B1584" t="str">
            <v>13-339-14-07</v>
          </cell>
          <cell r="C1584" t="str">
            <v>PRÄP.-KLEMME, OVERHOLT, GEB., 13,5 CM</v>
          </cell>
          <cell r="D1584" t="str">
            <v>DISS. FORCEPS,  OVERHOLT, CVD., 13.5 CM</v>
          </cell>
        </row>
        <row r="1585">
          <cell r="B1585" t="str">
            <v>13-340-14-07</v>
          </cell>
          <cell r="C1585" t="str">
            <v>ARTERIENKLEMME, CRILE, GER., 14,5 CM</v>
          </cell>
          <cell r="D1585" t="str">
            <v>HAEMOST.  FORCEPS,  CRILE, STR., 14.5 CM</v>
          </cell>
        </row>
        <row r="1586">
          <cell r="B1586" t="str">
            <v>13-341-14-07</v>
          </cell>
          <cell r="C1586" t="str">
            <v>ARTERIENKLEMME, CRILE, GEB., 14,5 CM</v>
          </cell>
          <cell r="D1586" t="str">
            <v>HAEMOST.  FORCEPS,  CRILE, CVD., 14,5 CM</v>
          </cell>
        </row>
        <row r="1587">
          <cell r="B1587" t="str">
            <v>13-342-14-07</v>
          </cell>
          <cell r="C1587" t="str">
            <v>KLEMME,  CRILE, 1X2 Z., GER., 14,5 CM</v>
          </cell>
          <cell r="D1587" t="str">
            <v>FORCEPS,  CRILE, 1X2 T., STR., 14.5 CM</v>
          </cell>
        </row>
        <row r="1588">
          <cell r="B1588" t="str">
            <v>13-343-14-07</v>
          </cell>
          <cell r="C1588" t="str">
            <v>KLEMME,  CRILE, 1X2 Z., GEB., 14,5 CM</v>
          </cell>
          <cell r="D1588" t="str">
            <v>FORCEPS,  CRILE, 1X2 T., CVD., 14.5 CM</v>
          </cell>
        </row>
        <row r="1589">
          <cell r="B1589" t="str">
            <v>13-346-16-07</v>
          </cell>
          <cell r="C1589" t="str">
            <v>KLEMME,  CRILE-RANKIN, GER., 16 CM</v>
          </cell>
          <cell r="D1589" t="str">
            <v>FORCEPS,  CRILE-RANKIN, STR., 16 CM</v>
          </cell>
        </row>
        <row r="1590">
          <cell r="B1590" t="str">
            <v>13-347-16-07</v>
          </cell>
          <cell r="C1590" t="str">
            <v>KLEMME,  CRILE-RANKIN, GEB., 16 CM</v>
          </cell>
          <cell r="D1590" t="str">
            <v>FORCEPS,  CRILE-RANKIN, CVD., 16 CM</v>
          </cell>
        </row>
        <row r="1591">
          <cell r="B1591" t="str">
            <v>13-348-15-07</v>
          </cell>
          <cell r="C1591" t="str">
            <v>KLEMME,  LOVELACE,  GER., 16 CM</v>
          </cell>
          <cell r="D1591" t="str">
            <v>FORCEPS,  LOVELACE,  STR., 16 CM</v>
          </cell>
        </row>
        <row r="1592">
          <cell r="B1592" t="str">
            <v>13-350-15-07</v>
          </cell>
          <cell r="C1592" t="str">
            <v>KLEMME,  LOVELACE,  1X2 Z., GER., 16 CM</v>
          </cell>
          <cell r="D1592" t="str">
            <v>FORCEPS,  LOVELACE,  1X2 T., STR., 16 CM</v>
          </cell>
        </row>
        <row r="1593">
          <cell r="B1593" t="str">
            <v>13-351-12-07</v>
          </cell>
          <cell r="C1593" t="str">
            <v>KLEMME,  DANDY-MOSQUITO, GEB., 12 CM</v>
          </cell>
          <cell r="D1593" t="str">
            <v>FORCEPS,  DANDY-MOSQUITO, CVD., 12 CM</v>
          </cell>
        </row>
        <row r="1594">
          <cell r="B1594" t="str">
            <v>13-355-14-07</v>
          </cell>
          <cell r="C1594" t="str">
            <v>KLEMME,  DANDY, SEITLICHGEB., 14,5 CM</v>
          </cell>
          <cell r="D1594" t="str">
            <v>FORCEPS,  DANDY, CVD. SIDEW., 14.5 CM</v>
          </cell>
        </row>
        <row r="1595">
          <cell r="B1595" t="str">
            <v>13-357-14-07</v>
          </cell>
          <cell r="C1595" t="str">
            <v>KLEMME,  DANDY, 1X2 Z., SEITL.GEB.,  14 CM</v>
          </cell>
          <cell r="D1595" t="str">
            <v>FORCEPS,  DANDY, 1X2 T., CVD., 14 CM</v>
          </cell>
        </row>
        <row r="1596">
          <cell r="B1596" t="str">
            <v>13-363-18-07</v>
          </cell>
          <cell r="C1596" t="str">
            <v>KLEMME,  SCHNIDT,  STARK GEB., 18,5 CM</v>
          </cell>
          <cell r="D1596" t="str">
            <v>FORCEPS,  SCHNIDT,  STRONG CVD., 18.5 CM</v>
          </cell>
        </row>
        <row r="1597">
          <cell r="B1597" t="str">
            <v>13-363-19-07</v>
          </cell>
          <cell r="C1597" t="str">
            <v>KLEMME,  SCHNIDT,  LEICHT GEB., 19 CM</v>
          </cell>
          <cell r="D1597" t="str">
            <v>FORCEPS,  SCHNIDT,  SLIGHT CVD., 19 CM</v>
          </cell>
        </row>
        <row r="1598">
          <cell r="B1598" t="str">
            <v>13-364-18-07</v>
          </cell>
          <cell r="C1598" t="str">
            <v>KLEMME,  ADSON, GER., 19 CM</v>
          </cell>
          <cell r="D1598" t="str">
            <v>HAEM. FORCEPS,  ADSON, STR., 19 CM</v>
          </cell>
        </row>
        <row r="1599">
          <cell r="B1599" t="str">
            <v>13-365-18-07</v>
          </cell>
          <cell r="C1599" t="str">
            <v>KLEMME,  ADSON, GEB., 18,5 CM</v>
          </cell>
          <cell r="D1599" t="str">
            <v>HAEM. FORCEPS,  ADSON, CVD., 18.5 CM</v>
          </cell>
        </row>
        <row r="1600">
          <cell r="B1600" t="str">
            <v>13-369-20-07</v>
          </cell>
          <cell r="C1600" t="str">
            <v>KLEMME,  MARTIN-FUCHSIG, GEB., 20,5 CM</v>
          </cell>
          <cell r="D1600" t="str">
            <v>FORCEPS,  MARTIN-FUCHSIG, CVD., 20.5 CM</v>
          </cell>
        </row>
        <row r="1601">
          <cell r="B1601" t="str">
            <v>13-370-16-07</v>
          </cell>
          <cell r="C1601" t="str">
            <v>Klemme,  Rochester-Carmalt, ger., 17 cm</v>
          </cell>
          <cell r="D1601" t="str">
            <v>Forceps, Rochester-Carmalt, str., 17 cm</v>
          </cell>
        </row>
        <row r="1602">
          <cell r="B1602" t="str">
            <v>13-370-20-07</v>
          </cell>
          <cell r="C1602" t="str">
            <v>Klemme,  Rochester-Carmalt, ger., 20,5 cm</v>
          </cell>
          <cell r="D1602" t="str">
            <v>Forceps, Rochest.-Carmalt, str., 20.5 cm</v>
          </cell>
        </row>
        <row r="1603">
          <cell r="B1603" t="str">
            <v>13-371-16-07</v>
          </cell>
          <cell r="C1603" t="str">
            <v>KLEMME,  ROCHESTER-CARMALT, GEB., 16,5 CM</v>
          </cell>
          <cell r="D1603" t="str">
            <v>FORCEPS,  ROCHEST.-CARMALT, CVD., 16.5 CM</v>
          </cell>
        </row>
        <row r="1604">
          <cell r="B1604" t="str">
            <v>13-371-20-07</v>
          </cell>
          <cell r="C1604" t="str">
            <v>KLEMME,  ROCHESTER-CARMALT, GEB., 20 CM</v>
          </cell>
          <cell r="D1604" t="str">
            <v>FORCEPS,  ROCHESTER-CARMALT, CVD., 20 CM</v>
          </cell>
        </row>
        <row r="1605">
          <cell r="B1605" t="str">
            <v>13-374-13-07</v>
          </cell>
          <cell r="C1605" t="str">
            <v>KLEMME,  PEAN, GRAZIL, GER., 13,5 CM</v>
          </cell>
          <cell r="D1605" t="str">
            <v>FORCEPS,  PEAN, DELICATE,  STR., 13,5 CM</v>
          </cell>
        </row>
        <row r="1606">
          <cell r="B1606" t="str">
            <v>13-374-14-07</v>
          </cell>
          <cell r="C1606" t="str">
            <v>KLEMME,  PEAN, GRAZIL, GER., 14,5 CM</v>
          </cell>
          <cell r="D1606" t="str">
            <v>FORCEPS,  PEAN, DELICATE,  STR., 14.5 CM</v>
          </cell>
        </row>
        <row r="1607">
          <cell r="B1607" t="str">
            <v>13-374-16-07</v>
          </cell>
          <cell r="C1607" t="str">
            <v>KLEMME,  PEAN, GRAZIL, GER., 17 CM</v>
          </cell>
          <cell r="D1607" t="str">
            <v>FORCEPS,  PEAN, DELICATE,  STR., 17 CM</v>
          </cell>
        </row>
        <row r="1608">
          <cell r="B1608" t="str">
            <v>13-375-13-07</v>
          </cell>
          <cell r="C1608" t="str">
            <v>KLEMME,  PEAN, GRAZIL, GEB., 13 CM</v>
          </cell>
          <cell r="D1608" t="str">
            <v>FORCEPS,  PEAN, DELICATE,  CVD., 13 CM</v>
          </cell>
        </row>
        <row r="1609">
          <cell r="B1609" t="str">
            <v>13-375-14-07</v>
          </cell>
          <cell r="C1609" t="str">
            <v>KLEMME,  PEAN, GRAZIL, GEB., 14 CM</v>
          </cell>
          <cell r="D1609" t="str">
            <v>FORCEPS,  PEAN, DELICATE,  CVD., 14 CM</v>
          </cell>
        </row>
        <row r="1610">
          <cell r="B1610" t="str">
            <v>13-375-16-07</v>
          </cell>
          <cell r="C1610" t="str">
            <v>KLEMME,  PEAN, GRAZIL, GEB., 16,5 CM</v>
          </cell>
          <cell r="D1610" t="str">
            <v>FORCEPS,  PEAN, DELICATE,  CVD., 16.5 CM</v>
          </cell>
        </row>
        <row r="1611">
          <cell r="B1611" t="str">
            <v>13-380-14-07</v>
          </cell>
          <cell r="C1611" t="str">
            <v>KLEMME,  PEAN-NIPPON, GER., 14,5 CM</v>
          </cell>
          <cell r="D1611" t="str">
            <v>FORCEPS,  PEAN-NIPPON, STR., 14.5 CM</v>
          </cell>
        </row>
        <row r="1612">
          <cell r="B1612" t="str">
            <v>13-380-16-07</v>
          </cell>
          <cell r="C1612" t="str">
            <v>KLEMME,  PEAN-NIPPON, GER., 16,5 CM</v>
          </cell>
          <cell r="D1612" t="str">
            <v>FORCEPS,  PEAN-NIPPON, STR., 16.5 CM</v>
          </cell>
        </row>
        <row r="1613">
          <cell r="B1613" t="str">
            <v>13-380-18-07</v>
          </cell>
          <cell r="C1613" t="str">
            <v>KLEMME,  PEAN-NIPPON, GER., 18,5 CM</v>
          </cell>
          <cell r="D1613" t="str">
            <v>FORCEPS,  PEAN-NIPPON, STR., 18.5 CM</v>
          </cell>
        </row>
        <row r="1614">
          <cell r="B1614" t="str">
            <v>13-381-14-07</v>
          </cell>
          <cell r="C1614" t="str">
            <v>KLEMME,  PEAN-NIPPON, GEB., 14 CM</v>
          </cell>
          <cell r="D1614" t="str">
            <v>FORCEPS,  PEAN-NIPPON, CVD., 14 CM</v>
          </cell>
        </row>
        <row r="1615">
          <cell r="B1615" t="str">
            <v>13-381-16-07</v>
          </cell>
          <cell r="C1615" t="str">
            <v>KLEMME,  PEAN-NIPPON, GEB., 16 CM</v>
          </cell>
          <cell r="D1615" t="str">
            <v>FORCEPS,  PEAN-NIPPON, CVD., 16 CM</v>
          </cell>
        </row>
        <row r="1616">
          <cell r="B1616" t="str">
            <v>13-381-18-07</v>
          </cell>
          <cell r="C1616" t="str">
            <v>KLEMME,  PEAN-NIPPON, GEB., 18 CM</v>
          </cell>
          <cell r="D1616" t="str">
            <v>FORCEPS,  PEAN-NIPPON, CVD., 18 CM</v>
          </cell>
        </row>
        <row r="1617">
          <cell r="B1617" t="str">
            <v>13-382-14-07</v>
          </cell>
          <cell r="C1617" t="str">
            <v>KLEMME,  K.-NIPPON, 1X2 Z., GER., 14,5 CM</v>
          </cell>
          <cell r="D1617" t="str">
            <v>FCPS., KOCHER-NIP. 1X2 T., STR., 14.5 CM</v>
          </cell>
        </row>
        <row r="1618">
          <cell r="B1618" t="str">
            <v>13-382-16-07</v>
          </cell>
          <cell r="C1618" t="str">
            <v>KLEMME,  K.-NIPPON, 1X2 Z., GER., 16,5 CM</v>
          </cell>
          <cell r="D1618" t="str">
            <v>FCPS., KOCHER-NIP. 1X2 T., STR., 16.5 CM</v>
          </cell>
        </row>
        <row r="1619">
          <cell r="B1619" t="str">
            <v>13-382-18-07</v>
          </cell>
          <cell r="C1619" t="str">
            <v>KLEMME,  K.-NIPPON, 1X2 Z., GER., 18,5 CM</v>
          </cell>
          <cell r="D1619" t="str">
            <v>FCPS., KOCHER-NIP. 1X2 T., STR., 18.5 CM</v>
          </cell>
        </row>
        <row r="1620">
          <cell r="B1620" t="str">
            <v>13-383-14-07</v>
          </cell>
          <cell r="C1620" t="str">
            <v>KLEMME,  K.-NIPPON, 1X2 Z., GEB., 14 CM</v>
          </cell>
          <cell r="D1620" t="str">
            <v>FCPS., KOCHER-NIP. 1X2 T., CVD., 14 CM</v>
          </cell>
        </row>
        <row r="1621">
          <cell r="B1621" t="str">
            <v>13-383-16-07</v>
          </cell>
          <cell r="C1621" t="str">
            <v>KLEMME,  K.-NIPPON, 1X2 Z., GEB., 16 CM</v>
          </cell>
          <cell r="D1621" t="str">
            <v>FCPS., KOCHER-NIP. 1X2 T., CVD., 16 CM</v>
          </cell>
        </row>
        <row r="1622">
          <cell r="B1622" t="str">
            <v>13-383-18-07</v>
          </cell>
          <cell r="C1622" t="str">
            <v>KLEMME,  K.-NIPPON, 1X2 Z., GEB., 18 CM</v>
          </cell>
          <cell r="D1622" t="str">
            <v>FCPS., KOCHER-NIP. 1X2 T., CVD., 18 CM</v>
          </cell>
        </row>
        <row r="1623">
          <cell r="B1623" t="str">
            <v>13-384-13-07</v>
          </cell>
          <cell r="C1623" t="str">
            <v>KLEMME,  KOCHER,  1X2 Z., GER., 13 CM</v>
          </cell>
          <cell r="D1623" t="str">
            <v>FORCEPS,  KOCHER,  1X2 T., STR., 13 CM</v>
          </cell>
        </row>
        <row r="1624">
          <cell r="B1624" t="str">
            <v>13-384-14-07</v>
          </cell>
          <cell r="C1624" t="str">
            <v>KLEMME,  KOCHER,  1X2 Z., GER., 14 CM</v>
          </cell>
          <cell r="D1624" t="str">
            <v>FORCEPS,  KOCHER,  1X2 T., STR., 14 CM</v>
          </cell>
        </row>
        <row r="1625">
          <cell r="B1625" t="str">
            <v>13-384-16-07</v>
          </cell>
          <cell r="C1625" t="str">
            <v>KLEMME,  KOCHER,  1X2 Z., GER., 16 CM</v>
          </cell>
          <cell r="D1625" t="str">
            <v>FORCEPS,  KOCHER,  1X2 T., STR., 16 CM</v>
          </cell>
        </row>
        <row r="1626">
          <cell r="B1626" t="str">
            <v>13-385-13-07</v>
          </cell>
          <cell r="C1626" t="str">
            <v>KLEMME,  KOCHER,  1X2 Z., GEB., 13 CM</v>
          </cell>
          <cell r="D1626" t="str">
            <v>FORCEPS,  KOCHER,  1X2 T., CVD., 13 CM</v>
          </cell>
        </row>
        <row r="1627">
          <cell r="B1627" t="str">
            <v>13-385-14-07</v>
          </cell>
          <cell r="C1627" t="str">
            <v>KLEMME,  KOCHER,  1X2 Z., GEB., 14 CM</v>
          </cell>
          <cell r="D1627" t="str">
            <v>FORCEPS,  KOCHER,  1X2 T., CVD., 14 CM</v>
          </cell>
        </row>
        <row r="1628">
          <cell r="B1628" t="str">
            <v>13-385-16-07</v>
          </cell>
          <cell r="C1628" t="str">
            <v>KLEMME,  KOCHER,  1X2 Z., GEB., 16 CM</v>
          </cell>
          <cell r="D1628" t="str">
            <v>FORCEPS,  KOCHER,  1X2 T., CVD., 16 CM</v>
          </cell>
        </row>
        <row r="1629">
          <cell r="B1629" t="str">
            <v>13-390-20-07</v>
          </cell>
          <cell r="C1629" t="str">
            <v>KLEMME,  BENGOLEA, GER., 21,5 CM</v>
          </cell>
          <cell r="D1629" t="str">
            <v>FORCEPS,  BENGOLEA, STR., 21.5 CM</v>
          </cell>
        </row>
        <row r="1630">
          <cell r="B1630" t="str">
            <v>13-390-26-07</v>
          </cell>
          <cell r="C1630" t="str">
            <v>KLEMME,  BENGOLEA, GER., 26 CM</v>
          </cell>
          <cell r="D1630" t="str">
            <v>FORCEPS,  BENGOLEA, STR., 26 CM</v>
          </cell>
        </row>
        <row r="1631">
          <cell r="B1631" t="str">
            <v>13-391-20-07</v>
          </cell>
          <cell r="C1631" t="str">
            <v>KLEMME,  BENGOLEA, GEB., 21,5 CM</v>
          </cell>
          <cell r="D1631" t="str">
            <v>FORCEPS,  BENGOLEA, CVD., 21.5 CM</v>
          </cell>
        </row>
        <row r="1632">
          <cell r="B1632" t="str">
            <v>13-391-26-07</v>
          </cell>
          <cell r="C1632" t="str">
            <v>KLEMME,  BENGOLEA, GEB., 26 CM</v>
          </cell>
          <cell r="D1632" t="str">
            <v>FORCEPS,  BENGOLEA, CVD., 26 CM</v>
          </cell>
        </row>
        <row r="1633">
          <cell r="B1633" t="str">
            <v>13-392-20-07</v>
          </cell>
          <cell r="C1633" t="str">
            <v>KLEMME,  BENGOLEA, 1X2 Z., GER., 21,5 CM</v>
          </cell>
          <cell r="D1633" t="str">
            <v>FORCEPS,  BENGOLEA, 1X2 T., STR., 21.5 CM</v>
          </cell>
        </row>
        <row r="1634">
          <cell r="B1634" t="str">
            <v>13-392-26-07</v>
          </cell>
          <cell r="C1634" t="str">
            <v>KLEMME,  BENGOLEA, 1X2 Z., GER., 26 CM</v>
          </cell>
          <cell r="D1634" t="str">
            <v>FORCEPS,  BENGOLEA, 1X2 T., STR., 26 CM</v>
          </cell>
        </row>
        <row r="1635">
          <cell r="B1635" t="str">
            <v>13-393-20-07</v>
          </cell>
          <cell r="C1635" t="str">
            <v>KLEMME,  BENGOLEA, 1X2 Z., GEB., 21,5 CM</v>
          </cell>
          <cell r="D1635" t="str">
            <v>FORCEPS,  BENGOLEA, 1X2 T., CVD., 21.5 CM</v>
          </cell>
        </row>
        <row r="1636">
          <cell r="B1636" t="str">
            <v>13-393-26-07</v>
          </cell>
          <cell r="C1636" t="str">
            <v>KLEMME,  BENGOLEA, 1X2 Z., GEB., 26 CM</v>
          </cell>
          <cell r="D1636" t="str">
            <v>FORCEPS,  BENGOLEA, 1X2 T., CVD., 26 CM</v>
          </cell>
        </row>
        <row r="1637">
          <cell r="B1637" t="str">
            <v>13-410-14-07</v>
          </cell>
          <cell r="C1637" t="str">
            <v>ARTERIENKLEMME, PEAN, GER., 14,5 CM</v>
          </cell>
          <cell r="D1637" t="str">
            <v>HAEMOSTATIC FORCEPS,  PEAN, STR., 14.5 CM</v>
          </cell>
        </row>
        <row r="1638">
          <cell r="B1638" t="str">
            <v>13-410-16-07</v>
          </cell>
          <cell r="C1638" t="str">
            <v>ARTERIENKLEMME, PEAN, GER., 16,5 CM</v>
          </cell>
          <cell r="D1638" t="str">
            <v>HAEMOSTATIC FORCEPS,  PEAN, STR., 16.5 CM</v>
          </cell>
        </row>
        <row r="1639">
          <cell r="B1639" t="str">
            <v>13-410-18-07</v>
          </cell>
          <cell r="C1639" t="str">
            <v>ARTERIENKLEMME, PEAN, GER., 18,5 CM</v>
          </cell>
          <cell r="D1639" t="str">
            <v>HAEMOSTATIC FORCEPS,  PEAN, STR., 18.5 CM</v>
          </cell>
        </row>
        <row r="1640">
          <cell r="B1640" t="str">
            <v>13-410-20-07</v>
          </cell>
          <cell r="C1640" t="str">
            <v>ARTERIENKLEMME, PEAN, GER., 20,5 CM</v>
          </cell>
          <cell r="D1640" t="str">
            <v>HAEMOSTATIC FORCEPS,  PEAN, STR., 20.5 CM</v>
          </cell>
        </row>
        <row r="1641">
          <cell r="B1641" t="str">
            <v>13-410-22-07</v>
          </cell>
          <cell r="C1641" t="str">
            <v>ARTERIENKLEMME, PEAN, GER., 22,5 CM</v>
          </cell>
          <cell r="D1641" t="str">
            <v>HAEMOSTATIC FORCEPS,  PEAN, STR., 22.5 CM</v>
          </cell>
        </row>
        <row r="1642">
          <cell r="B1642" t="str">
            <v>13-410-24-07</v>
          </cell>
          <cell r="C1642" t="str">
            <v>ARTERIENKLEMME, PEAN, GER., 24 CM</v>
          </cell>
          <cell r="D1642" t="str">
            <v>HAEMOSTATIC FORCEPS,  PEAN, STR., 24 CM</v>
          </cell>
        </row>
        <row r="1643">
          <cell r="B1643" t="str">
            <v>13-410-26-07</v>
          </cell>
          <cell r="C1643" t="str">
            <v>ARTERIENKLEMME, PEAN, GER., 26 CM</v>
          </cell>
          <cell r="D1643" t="str">
            <v>HAEMOSTATIC FORCEPS,  PEAN, STR., 26 CM</v>
          </cell>
        </row>
        <row r="1644">
          <cell r="B1644" t="str">
            <v>13-410-30-07</v>
          </cell>
          <cell r="C1644" t="str">
            <v>ARTERIENKLEMME, PEAN, GER., 31 CM</v>
          </cell>
          <cell r="D1644" t="str">
            <v>HAEMOSTATIC FORCEPS,  PEAN, STR., 31 CM</v>
          </cell>
        </row>
        <row r="1645">
          <cell r="B1645" t="str">
            <v>13-411-14-07</v>
          </cell>
          <cell r="C1645" t="str">
            <v>ARTERIENKLEMME, PEAN, GEB., 14 CM</v>
          </cell>
          <cell r="D1645" t="str">
            <v>HAEMOSTATIC FORCEPS,  PEAN, CVD., 14 CM</v>
          </cell>
        </row>
        <row r="1646">
          <cell r="B1646" t="str">
            <v>13-411-16-07</v>
          </cell>
          <cell r="C1646" t="str">
            <v>ARTERIENKLEMME, PEAN, GEB., 16,5 CM</v>
          </cell>
          <cell r="D1646" t="str">
            <v>HAEMOSTATIC FORCEPS,  PEAN, CVD., 16,5 CM</v>
          </cell>
        </row>
        <row r="1647">
          <cell r="B1647" t="str">
            <v>13-411-18-07</v>
          </cell>
          <cell r="C1647" t="str">
            <v>ARTERIENKLEMME, PEAN, GEB., 18,5 CM</v>
          </cell>
          <cell r="D1647" t="str">
            <v>HAEMOSTATIC FORCEPS,  PEAN, CRV., 18.5 CM</v>
          </cell>
        </row>
        <row r="1648">
          <cell r="B1648" t="str">
            <v>13-411-20-07</v>
          </cell>
          <cell r="C1648" t="str">
            <v>ARTERIENKLEMME, PEAN, GEB., 20,5 CM</v>
          </cell>
          <cell r="D1648" t="str">
            <v>HAEMOSTATIC FORCEPS,  PEAN, CRV., 20.5 CM</v>
          </cell>
        </row>
        <row r="1649">
          <cell r="B1649" t="str">
            <v>13-411-22-07</v>
          </cell>
          <cell r="C1649" t="str">
            <v>ARTERIENKLEMME, PEAN, GEB., 22 CM</v>
          </cell>
          <cell r="D1649" t="str">
            <v>HAEMOSTATIC FORCEPS,  PEAN, CRV., 22 CM</v>
          </cell>
        </row>
        <row r="1650">
          <cell r="B1650" t="str">
            <v>13-411-24-07</v>
          </cell>
          <cell r="C1650" t="str">
            <v>ARTERIENKLEMME, PEAN, GEB., 24 CM</v>
          </cell>
          <cell r="D1650" t="str">
            <v>HAEMOSTATIC FORCEPS,  PEAN, CRV., 24 CM</v>
          </cell>
        </row>
        <row r="1651">
          <cell r="B1651" t="str">
            <v>13-411-26-07</v>
          </cell>
          <cell r="C1651" t="str">
            <v>ARTERIENKLEMME, PEAN, GEB., 26 CM</v>
          </cell>
          <cell r="D1651" t="str">
            <v>HAEMOSTATIC FORCEPS,  PEAN, CRV.., 26 CM</v>
          </cell>
        </row>
        <row r="1652">
          <cell r="B1652" t="str">
            <v>13-411-30-07</v>
          </cell>
          <cell r="C1652" t="str">
            <v>ARTERIENKLEMME, PEAN, GEB., 30,5 CM</v>
          </cell>
          <cell r="D1652" t="str">
            <v>HAEMOSTATIC FORCEPS,  PEAN, CRV., 30,5 CM</v>
          </cell>
        </row>
        <row r="1653">
          <cell r="B1653" t="str">
            <v>13-414-14-07</v>
          </cell>
          <cell r="C1653" t="str">
            <v>KLEMME,  KOCHER,  1X2 Z., GER., 14,5 CM</v>
          </cell>
          <cell r="D1653" t="str">
            <v>FORCEPS,  KOCHER,  1X2 T., STR., 14.5 CM</v>
          </cell>
        </row>
        <row r="1654">
          <cell r="B1654" t="str">
            <v>13-414-16-07</v>
          </cell>
          <cell r="C1654" t="str">
            <v>KLEMME,  KOCHER,  1X2 Z., GER., 16 CM</v>
          </cell>
          <cell r="D1654" t="str">
            <v>FORCEPS,  KOCHER,  1X2 T., STR., 16 CM</v>
          </cell>
        </row>
        <row r="1655">
          <cell r="B1655" t="str">
            <v>13-414-18-07</v>
          </cell>
          <cell r="C1655" t="str">
            <v>KLEMME,  KOCHER,  1X2 Z., GER., 18,5 CM</v>
          </cell>
          <cell r="D1655" t="str">
            <v>FORCEPS,  KOCHER,  1X2 T., STR., 18.5 CM</v>
          </cell>
        </row>
        <row r="1656">
          <cell r="B1656" t="str">
            <v>13-414-20-07</v>
          </cell>
          <cell r="C1656" t="str">
            <v>KLEMME,  KOCHER,  1X2 Z., GER., 20,5CM</v>
          </cell>
          <cell r="D1656" t="str">
            <v>FORCEPS,  KOCHER,  1X2 T., STR., 20,5 CM</v>
          </cell>
        </row>
        <row r="1657">
          <cell r="B1657" t="str">
            <v>13-414-22-07</v>
          </cell>
          <cell r="C1657" t="str">
            <v>KLEMME,  KOCHER,  1X2 Z., GER., 22,5 CM</v>
          </cell>
          <cell r="D1657" t="str">
            <v>FORCEPS,  KOCHER,  1X2 T., STR., 22.5 CM</v>
          </cell>
        </row>
        <row r="1658">
          <cell r="B1658" t="str">
            <v>13-414-24-07</v>
          </cell>
          <cell r="C1658" t="str">
            <v>KLEMME,  KOCHER,  1X2 Z., GER., 24 CM</v>
          </cell>
          <cell r="D1658" t="str">
            <v>FORCEPS,  KOCHER,  1X2 T., STR., 24 CM</v>
          </cell>
        </row>
        <row r="1659">
          <cell r="B1659" t="str">
            <v>13-414-26-07</v>
          </cell>
          <cell r="C1659" t="str">
            <v>KLEMME,  KOCHER,  1X2 Z., GER., 26 CM</v>
          </cell>
          <cell r="D1659" t="str">
            <v>FORCEPS,  KOCHER,  1X2 T., STR., 26 CM</v>
          </cell>
        </row>
        <row r="1660">
          <cell r="B1660" t="str">
            <v>13-414-30-07</v>
          </cell>
          <cell r="C1660" t="str">
            <v>KLEMME,  KOCHER,  1X2 Z., GER., 31 CM</v>
          </cell>
          <cell r="D1660" t="str">
            <v>FORCEPS,  KOCHER,  1X2 T., STR., 31 CM</v>
          </cell>
        </row>
        <row r="1661">
          <cell r="B1661" t="str">
            <v>13-415-14-07</v>
          </cell>
          <cell r="C1661" t="str">
            <v>KLEMME,  KOCHER,  1X2 Z., GEB., 14 CM</v>
          </cell>
          <cell r="D1661" t="str">
            <v>FORCEPS,  KOCHER,  1X2 T., CVD., 14 CM</v>
          </cell>
        </row>
        <row r="1662">
          <cell r="B1662" t="str">
            <v>13-415-16-07</v>
          </cell>
          <cell r="C1662" t="str">
            <v>KLEMME,  KOCHER,  1X2 Z., GEB., 16,5 CM</v>
          </cell>
          <cell r="D1662" t="str">
            <v>FORCEPS,  KOCHER,  1X2 T., CVD., 16,5 CM</v>
          </cell>
        </row>
        <row r="1663">
          <cell r="B1663" t="str">
            <v>13-415-18-07</v>
          </cell>
          <cell r="C1663" t="str">
            <v>KLEMME,  KOCHER,  1X2 Z., GEB., 18,5 CM</v>
          </cell>
          <cell r="D1663" t="str">
            <v>FORCEPS,  KOCHER,  1X2 T., CVD., 18,5 CM</v>
          </cell>
        </row>
        <row r="1664">
          <cell r="B1664" t="str">
            <v>13-415-20-07</v>
          </cell>
          <cell r="C1664" t="str">
            <v>KLEMME,  KOCHER,  1X2 Z., GEB., 20 CM</v>
          </cell>
          <cell r="D1664" t="str">
            <v>FORCEPS,  KOCHER,  1X2 T., CVD., 20 CM</v>
          </cell>
        </row>
        <row r="1665">
          <cell r="B1665" t="str">
            <v>13-415-22-07</v>
          </cell>
          <cell r="C1665" t="str">
            <v>KLEMME,  KOCHER,  1X2 Z., GEB., 22,5 CM</v>
          </cell>
          <cell r="D1665" t="str">
            <v>FORCEPS,  KOCHER,  1X2 T., CVD., 22,5 CM</v>
          </cell>
        </row>
        <row r="1666">
          <cell r="B1666" t="str">
            <v>13-415-24-07</v>
          </cell>
          <cell r="C1666" t="str">
            <v>KLEMME,  KOCHER,  1X2 Z., GEB., 24 CM</v>
          </cell>
          <cell r="D1666" t="str">
            <v>FORCEPS,  KOCHER,  1X2 T., CVD., 24 CM</v>
          </cell>
        </row>
        <row r="1667">
          <cell r="B1667" t="str">
            <v>13-415-26-07</v>
          </cell>
          <cell r="C1667" t="str">
            <v>KLEMME,  KOCHER,  1X2 Z., GEB., 26 CM</v>
          </cell>
          <cell r="D1667" t="str">
            <v>FORCEPS,  KOCHER,  1X2 T., CVD., 26 CM</v>
          </cell>
        </row>
        <row r="1668">
          <cell r="B1668" t="str">
            <v>13-415-30-07</v>
          </cell>
          <cell r="C1668" t="str">
            <v>KLEMME,  KOCHER,  1X2 Z., GEB., 30,5 CM</v>
          </cell>
          <cell r="D1668" t="str">
            <v>FORCEPS,  KOCHER,  1X2 T., CVD., 30 CM</v>
          </cell>
        </row>
        <row r="1669">
          <cell r="B1669" t="str">
            <v>13-417-01-07</v>
          </cell>
          <cell r="C1669" t="str">
            <v>PRÄP.-KLEMME, OVERH.-MARTIN, S, 18,5 CM</v>
          </cell>
          <cell r="D1669" t="str">
            <v>DISS. FORCEPS,  OVERH.-MARTIN, S, 18.5 CM</v>
          </cell>
        </row>
        <row r="1670">
          <cell r="B1670" t="str">
            <v>13-417-02-07</v>
          </cell>
          <cell r="C1670" t="str">
            <v>PRÄP.-KLEMME, OVERH.-MARTIN, S, 20,5 CM</v>
          </cell>
          <cell r="D1670" t="str">
            <v>DISS. FORCEPS,  OVERH.-MARTIN, S, 20.5 CM</v>
          </cell>
        </row>
        <row r="1671">
          <cell r="B1671" t="str">
            <v>13-417-03-07</v>
          </cell>
          <cell r="C1671" t="str">
            <v>PRÄP.-KLEMME, OVERH.-MARTIN, S, 21 CM</v>
          </cell>
          <cell r="D1671" t="str">
            <v>DISS. FORCEPS,  OVERH.-MARTIN, S, 21 CM</v>
          </cell>
        </row>
        <row r="1672">
          <cell r="B1672" t="str">
            <v>13-417-04-07</v>
          </cell>
          <cell r="C1672" t="str">
            <v>PRÄP.-KLEMME, OVERH.-MARTIN, S, 21,5 CM</v>
          </cell>
          <cell r="D1672" t="str">
            <v>DISS. FORCEPS,  OVERH.-MARTIN, S, 21.5 CM</v>
          </cell>
        </row>
        <row r="1673">
          <cell r="B1673" t="str">
            <v>13-417-05-07</v>
          </cell>
          <cell r="C1673" t="str">
            <v>PRÄP.-KLEMME, OVERH.-MARTIN, S, 24,5 CM</v>
          </cell>
          <cell r="D1673" t="str">
            <v>DISS. FORCEPS,  OVERH.-MARTIN, S, 24.5 CM</v>
          </cell>
        </row>
        <row r="1674">
          <cell r="B1674" t="str">
            <v>13-419-18-07</v>
          </cell>
          <cell r="C1674" t="str">
            <v>PRÄP.-KLEMME, BABY-MIXTER, GEB., 18,5 CM</v>
          </cell>
          <cell r="D1674" t="str">
            <v>DISS. FORCEPS,  BABY-MIXTER, CVD., 18.5CM</v>
          </cell>
        </row>
        <row r="1675">
          <cell r="B1675" t="str">
            <v>13-421-14-07</v>
          </cell>
          <cell r="C1675" t="str">
            <v>PRÄP.-KLEMME, BABY-ADSON, GEB., 14,5 CM</v>
          </cell>
          <cell r="D1675" t="str">
            <v>DISS. FORCEPS,  BABY-ADSON, CVD., 14.5 CM</v>
          </cell>
        </row>
        <row r="1676">
          <cell r="B1676" t="str">
            <v>13-421-18-07</v>
          </cell>
          <cell r="C1676" t="str">
            <v>PRÄP.-KLEMME, BABY-ADSON, GEB., 18 CM</v>
          </cell>
          <cell r="D1676" t="str">
            <v>DISS. FORCEPS,  BABY-ADSON, CVD., 18 CM</v>
          </cell>
        </row>
        <row r="1677">
          <cell r="B1677" t="str">
            <v>13-422-20-07</v>
          </cell>
          <cell r="C1677" t="str">
            <v>PRÄP.-KLEMME, HEISS, GER., 21 CM</v>
          </cell>
          <cell r="D1677" t="str">
            <v>DISS. FORCEPS,  HEISS, STR., 21 CM</v>
          </cell>
        </row>
        <row r="1678">
          <cell r="B1678" t="str">
            <v>13-423-20-07</v>
          </cell>
          <cell r="C1678" t="str">
            <v>PRÄP.-KLEMME, HEISS, LEICHT GEB., 20 CM</v>
          </cell>
          <cell r="D1678" t="str">
            <v>DISS. FORCEPS,  HEISS, SLIGHT CVD., 20 CM</v>
          </cell>
        </row>
        <row r="1679">
          <cell r="B1679" t="str">
            <v>13-425-20-07</v>
          </cell>
          <cell r="C1679" t="str">
            <v>PRÄP.-KLEMME, HEISS, STARK GEB., 21 CM</v>
          </cell>
          <cell r="D1679" t="str">
            <v>DISS. FORCEPS,  HEISS, STRONG CVD., 21 CM</v>
          </cell>
        </row>
        <row r="1680">
          <cell r="B1680" t="str">
            <v>13-427-21-07</v>
          </cell>
          <cell r="C1680" t="str">
            <v>PRÄP.-KLEMME, OVERH.-MIXT., GEB., 22 CM</v>
          </cell>
          <cell r="D1680" t="str">
            <v>DISS. FORCEPS,  OVERH.-MIXT., CVD., 22 CM</v>
          </cell>
        </row>
        <row r="1681">
          <cell r="B1681" t="str">
            <v>13-428-22-07</v>
          </cell>
          <cell r="C1681" t="str">
            <v>KLEMME,  ROBERTS,  GER., 22,5 CM</v>
          </cell>
          <cell r="D1681" t="str">
            <v>FORCEPS,  ROBERTS,  STR., 22.5 CM</v>
          </cell>
        </row>
        <row r="1682">
          <cell r="B1682" t="str">
            <v>13-429-22-07</v>
          </cell>
          <cell r="C1682" t="str">
            <v>KLEMME,  ROBERTS,  GEB., 22 CM</v>
          </cell>
          <cell r="D1682" t="str">
            <v>FORCEPS,  ROBERTS,  CVD., 22 CM</v>
          </cell>
        </row>
        <row r="1683">
          <cell r="B1683" t="str">
            <v>13-432-24-07</v>
          </cell>
          <cell r="C1683" t="str">
            <v>KLEMME,  SAROT, GER., 25 CM</v>
          </cell>
          <cell r="D1683" t="str">
            <v>FORCEPS,  SAROT, STR., 25 CM</v>
          </cell>
        </row>
        <row r="1684">
          <cell r="B1684" t="str">
            <v>13-433-24-07</v>
          </cell>
          <cell r="C1684" t="str">
            <v>KLEMME,  SAROT, GEB., 24,5 CM</v>
          </cell>
          <cell r="D1684" t="str">
            <v>FORCEPS,  SAROT, CVD., 24.5 CM</v>
          </cell>
        </row>
        <row r="1685">
          <cell r="B1685" t="str">
            <v>13-439-18-07</v>
          </cell>
          <cell r="C1685" t="str">
            <v>KLEMME,  CRAFOORD, GEB., 18,5 CM</v>
          </cell>
          <cell r="D1685" t="str">
            <v>FORCEPS,  CRAFOORD, CVD., 18.5 CM</v>
          </cell>
        </row>
        <row r="1686">
          <cell r="B1686" t="str">
            <v>13-439-24-07</v>
          </cell>
          <cell r="C1686" t="str">
            <v>KLEMME,  CRAFOORD, GEB., 24,5 CM</v>
          </cell>
          <cell r="D1686" t="str">
            <v>FORCEPS,  CRAFOORD, CVD., 24.5 CM</v>
          </cell>
        </row>
        <row r="1687">
          <cell r="B1687" t="str">
            <v>13-443-01-07</v>
          </cell>
          <cell r="C1687" t="str">
            <v>PRÄP.-KLEMME, OVERHOLT, FIG. 1, 20,5 CM</v>
          </cell>
          <cell r="D1687" t="str">
            <v>DISS. FORCEPS,  OVERHOLT, NO. 1, 20.5 CM</v>
          </cell>
        </row>
        <row r="1688">
          <cell r="B1688" t="str">
            <v>13-443-02-07</v>
          </cell>
          <cell r="C1688" t="str">
            <v>PRÄP.-KLEMME, OVERHOLT, FIG. 2, 20 CM</v>
          </cell>
          <cell r="D1688" t="str">
            <v>DISS. FORCEPS,  OVERHOLT, NO. 2, 20 CM</v>
          </cell>
        </row>
        <row r="1689">
          <cell r="B1689" t="str">
            <v>13-443-03-07</v>
          </cell>
          <cell r="C1689" t="str">
            <v>PRÄP.-KLEMME, OVERHOLT, FIG. 3, 21,5 CM</v>
          </cell>
          <cell r="D1689" t="str">
            <v>DISS. FORCEPS,  OVERHOLT, NO. 3, 21.5 CM</v>
          </cell>
        </row>
        <row r="1690">
          <cell r="B1690" t="str">
            <v>13-443-04-07</v>
          </cell>
          <cell r="C1690" t="str">
            <v>PRÄP.-KLEMME, OVERHOLT, FIG. 4, 22 CM</v>
          </cell>
          <cell r="D1690" t="str">
            <v>DISS. FORCEPS,  OVERHOLT, NO. 4, 22 CM</v>
          </cell>
        </row>
        <row r="1691">
          <cell r="B1691" t="str">
            <v>13-443-05-07</v>
          </cell>
          <cell r="C1691" t="str">
            <v>PRÄP.-KLEMME, OVERHOLT, FIG. 5, 21,5 CM</v>
          </cell>
          <cell r="D1691" t="str">
            <v>DISS. FORCEPS,  OVERHOLT, NO. 5, 21.5 CM</v>
          </cell>
        </row>
        <row r="1692">
          <cell r="B1692" t="str">
            <v>13-443-06-07</v>
          </cell>
          <cell r="C1692" t="str">
            <v>PRÄP.-KLEMME, OVERHOLT, FIG. 6, 21,5 CM</v>
          </cell>
          <cell r="D1692" t="str">
            <v>DISS. FORCEPS,  OVERHOLT, NO. 6, 21.5 CM</v>
          </cell>
        </row>
        <row r="1693">
          <cell r="B1693" t="str">
            <v>13-443-07-07</v>
          </cell>
          <cell r="C1693" t="str">
            <v>PRÄP.-KLEMME, OVERHOLT, FIG. 7, 22 CM</v>
          </cell>
          <cell r="D1693" t="str">
            <v>DISS. FORCEPS,  OVERHOLT, NO. 7, 22 CM</v>
          </cell>
        </row>
        <row r="1694">
          <cell r="B1694" t="str">
            <v>13-447-01-07</v>
          </cell>
          <cell r="C1694" t="str">
            <v>PRÄP.-KLEMME, OVERHOLT, FIG. 1, 27 CM</v>
          </cell>
          <cell r="D1694" t="str">
            <v>DISS. FORCEPS,  OVERHOLT, NO. 1, 27 CM</v>
          </cell>
        </row>
        <row r="1695">
          <cell r="B1695" t="str">
            <v>13-447-02-07</v>
          </cell>
          <cell r="C1695" t="str">
            <v>PRÄP.-KLEMME, OVERHOLT, FIG. 2, 26,5 CM</v>
          </cell>
          <cell r="D1695" t="str">
            <v>DISS. FORCEPS,  OVERHOLT, NO. 2, 26.5 CM</v>
          </cell>
        </row>
        <row r="1696">
          <cell r="B1696" t="str">
            <v>13-447-03-07</v>
          </cell>
          <cell r="C1696" t="str">
            <v>PRÄP.-KLEMME, OVERHOLT, FIG. 3, 27,5 CM</v>
          </cell>
          <cell r="D1696" t="str">
            <v>DISS. FORCEPS,  OVERHOLT, NO. 3, 27.5 CM</v>
          </cell>
        </row>
        <row r="1697">
          <cell r="B1697" t="str">
            <v>13-447-04-07</v>
          </cell>
          <cell r="C1697" t="str">
            <v>PRÄP.-KLEMME, OVERHOLT, FIG. 4, 28 CM</v>
          </cell>
          <cell r="D1697" t="str">
            <v>DISS. FORCEPS,  OVERHOLT, NO. 4, 28 CM</v>
          </cell>
        </row>
        <row r="1698">
          <cell r="B1698" t="str">
            <v>13-447-05-07</v>
          </cell>
          <cell r="C1698" t="str">
            <v>PRÄP.-KLEMME, OVERHOLT, FIG. 5, 27,5 CM</v>
          </cell>
          <cell r="D1698" t="str">
            <v>DISS. FORCEPS,  OVERHOLT, NO. 5, 27.5 CM</v>
          </cell>
        </row>
        <row r="1699">
          <cell r="B1699" t="str">
            <v>13-447-06-07</v>
          </cell>
          <cell r="C1699" t="str">
            <v>PRÄP.-KLEMME, OVERHOLT, FIG. 6, 28 CM</v>
          </cell>
          <cell r="D1699" t="str">
            <v>DISS. FORCEPS,  OVERHOLT, NO. 6, 28 CM</v>
          </cell>
        </row>
        <row r="1700">
          <cell r="B1700" t="str">
            <v>13-447-07-07</v>
          </cell>
          <cell r="C1700" t="str">
            <v>PRÄP.-KLEMME, OVERHOLT, FIG. 7, 27,5 CM</v>
          </cell>
          <cell r="D1700" t="str">
            <v>DISS. FORCEPS,  OVERHOLT, NO. 7, 27.5 CM</v>
          </cell>
        </row>
        <row r="1701">
          <cell r="B1701" t="str">
            <v>13-448-00-07</v>
          </cell>
          <cell r="C1701" t="str">
            <v>KLEMME,  OVERHOLT, FEIN, GEB., 21,5 CM</v>
          </cell>
          <cell r="D1701" t="str">
            <v>FORCEPS,  OVERHOLT, FINE, CVD., 21.5 CM</v>
          </cell>
        </row>
        <row r="1702">
          <cell r="B1702" t="str">
            <v>13-448-01-07</v>
          </cell>
          <cell r="C1702" t="str">
            <v>KLEMME,  OVERHOLT, FEIN, GEB., 22 CM</v>
          </cell>
          <cell r="D1702" t="str">
            <v>FORCEPS,  OVERHOLT, FINE, CVD., 22 CM</v>
          </cell>
        </row>
        <row r="1703">
          <cell r="B1703" t="str">
            <v>13-448-02-07</v>
          </cell>
          <cell r="C1703" t="str">
            <v>KLEMME,  OVERHOLT, FEIN, GEB., 22,5 CM</v>
          </cell>
          <cell r="D1703" t="str">
            <v>FORCEPS,  OVERHOLT, FINE, CVD., 22.5 CM</v>
          </cell>
        </row>
        <row r="1704">
          <cell r="B1704" t="str">
            <v>13-448-03-07</v>
          </cell>
          <cell r="C1704" t="str">
            <v>KLEMME,  OVERHOLT, FEIN, GEB., 23 CM</v>
          </cell>
          <cell r="D1704" t="str">
            <v>FORCEPS,  OVERHOLT, FINE, CVD., 23 CM</v>
          </cell>
        </row>
        <row r="1705">
          <cell r="B1705" t="str">
            <v>13-448-06-07</v>
          </cell>
          <cell r="C1705" t="str">
            <v>KLEMME,  OVERHOLT, FEIN, GEB., 22,5 CM</v>
          </cell>
          <cell r="D1705" t="str">
            <v>FORCEPS,  OVERHOLT, FINE, CVD., 22.5 CM</v>
          </cell>
        </row>
        <row r="1706">
          <cell r="B1706" t="str">
            <v>13-449-00-07</v>
          </cell>
          <cell r="C1706" t="str">
            <v>KLEMME,  OVERHOLT, FEIN, GEB., 29,5 CM</v>
          </cell>
          <cell r="D1706" t="str">
            <v>FORCEPS,  OVERHOLT, FINE, CVD., 29.5 CM</v>
          </cell>
        </row>
        <row r="1707">
          <cell r="B1707" t="str">
            <v>13-449-01-07</v>
          </cell>
          <cell r="C1707" t="str">
            <v>KLEMME,  OVERHOLT, FEIN, GEB., 29,5 CM</v>
          </cell>
          <cell r="D1707" t="str">
            <v>FORCEPS,  OVERHOLT, FINE, CVD., 29.5 CM</v>
          </cell>
        </row>
        <row r="1708">
          <cell r="B1708" t="str">
            <v>13-449-06-07</v>
          </cell>
          <cell r="C1708" t="str">
            <v>KLEMME,  OVERHOLT, FEIN, GEB., 30 CM</v>
          </cell>
          <cell r="D1708" t="str">
            <v>FORCEPS,  OVERHOLT, FINE, CVD., 30 CM</v>
          </cell>
        </row>
        <row r="1709">
          <cell r="B1709" t="str">
            <v>13-450-01-07</v>
          </cell>
          <cell r="C1709" t="str">
            <v>KLEMME,  OVERHOLT-MINI, S-FORM, 15 CM</v>
          </cell>
          <cell r="D1709" t="str">
            <v>FORCEPS,  OVERHOLT-MINI, S-SHAPE,  15 CM</v>
          </cell>
        </row>
        <row r="1710">
          <cell r="B1710" t="str">
            <v>13-450-02-07</v>
          </cell>
          <cell r="C1710" t="str">
            <v>KLEMME,  OVERHOLT-MINI, 20 CM</v>
          </cell>
          <cell r="D1710" t="str">
            <v>FORCEPS,  OVERHOLT-MINI, 20 CM</v>
          </cell>
        </row>
        <row r="1711">
          <cell r="B1711" t="str">
            <v>13-451-13-07</v>
          </cell>
          <cell r="C1711" t="str">
            <v>PRÄPARIERKLEMME, GEMINI, ST. GEB., 13 CM</v>
          </cell>
          <cell r="D1711" t="str">
            <v>DISS. FORCEPS,  GEMINI, STR. CVD., 13 CM</v>
          </cell>
        </row>
        <row r="1712">
          <cell r="B1712" t="str">
            <v>13-451-16-07</v>
          </cell>
          <cell r="C1712" t="str">
            <v>PRÄPARIERKLEMME, GEMINI, ST. GEB., 16 CM</v>
          </cell>
          <cell r="D1712" t="str">
            <v>DISS. FORCEPS,  GEMINI, STR. CVD., 16 CM</v>
          </cell>
        </row>
        <row r="1713">
          <cell r="B1713" t="str">
            <v>13-451-18-07</v>
          </cell>
          <cell r="C1713" t="str">
            <v>PRÄPARIERKLEMME, GEMINI, ST. GEB., 18 CM</v>
          </cell>
          <cell r="D1713" t="str">
            <v>DISS. FORCEPS,  GEMINI, STR. CVD., 18 CM</v>
          </cell>
        </row>
        <row r="1714">
          <cell r="B1714" t="str">
            <v>13-451-20-07</v>
          </cell>
          <cell r="C1714" t="str">
            <v>PRÄPARIERKLEMME, GEMINI, ST. GEB., 21 CM</v>
          </cell>
          <cell r="D1714" t="str">
            <v>DISS. FORCEPS,  GEMINI, STR. CVD., 21 CM</v>
          </cell>
        </row>
        <row r="1715">
          <cell r="B1715" t="str">
            <v>13-451-23-07</v>
          </cell>
          <cell r="C1715" t="str">
            <v>PRÄPARIERKLEMME, GEMINI, ST. GEB., 23 CM</v>
          </cell>
          <cell r="D1715" t="str">
            <v>DISS. FORCEPS,  GEMINI, STR. CVD., 23 CM</v>
          </cell>
        </row>
        <row r="1716">
          <cell r="B1716" t="str">
            <v>13-451-25-07</v>
          </cell>
          <cell r="C1716" t="str">
            <v>PRÄPARIERKLEMME, GEMINI, ST. GEB., 25 CM</v>
          </cell>
          <cell r="D1716" t="str">
            <v>DISS. FORCEPS,  GEMINI, STR. CVD., 25 CM</v>
          </cell>
        </row>
        <row r="1717">
          <cell r="B1717" t="str">
            <v>13-451-28-07</v>
          </cell>
          <cell r="C1717" t="str">
            <v>PRÄPARIERKLEMME, GEMINI, ST. GEB., 28 CM</v>
          </cell>
          <cell r="D1717" t="str">
            <v>DISS. FORCEPS,  GEMINI, STR. CVD., 28 CM</v>
          </cell>
        </row>
        <row r="1718">
          <cell r="B1718" t="str">
            <v>13-453-18-07</v>
          </cell>
          <cell r="C1718" t="str">
            <v>PRÄP.-KLEMME, MINI-GEMINI, GEB., 18 CM</v>
          </cell>
          <cell r="D1718" t="str">
            <v>DISS. FORCEPS,  MINI-GEMINI, CVD., 18 CM</v>
          </cell>
        </row>
        <row r="1719">
          <cell r="B1719" t="str">
            <v>13-453-22-07</v>
          </cell>
          <cell r="C1719" t="str">
            <v>PRÄP.-KLEMME, MINI-GEMINI, GEB., 23 CM</v>
          </cell>
          <cell r="D1719" t="str">
            <v>DISS. FORCEPS,  MINI-GEMINI, CVD., 23 CM</v>
          </cell>
        </row>
        <row r="1720">
          <cell r="B1720" t="str">
            <v>13-453-25-07</v>
          </cell>
          <cell r="C1720" t="str">
            <v>PRÄP.-KLEMME, MINI-GEMINI, GEB., 25 CM</v>
          </cell>
          <cell r="D1720" t="str">
            <v>DISS. FORCEPS,  MINI-GEMINI, CVD., 25 CM</v>
          </cell>
        </row>
        <row r="1721">
          <cell r="B1721" t="str">
            <v>13-453-28-07</v>
          </cell>
          <cell r="C1721" t="str">
            <v>PRÄP.-KLEMME, MINI-GEMINI, GEB., 28,5 CM</v>
          </cell>
          <cell r="D1721" t="str">
            <v>DISS. FCPS., MINI-GEMINI, CVD., 28.5 CM</v>
          </cell>
        </row>
        <row r="1722">
          <cell r="B1722" t="str">
            <v>13-461-01-07</v>
          </cell>
          <cell r="C1722" t="str">
            <v>PRÄPARIERKLEMME, RUMEL, FIG. 1, 24 CM</v>
          </cell>
          <cell r="D1722" t="str">
            <v>DISSECTING FORCEPS,  RUMEL, NO. 1, 24 CM</v>
          </cell>
        </row>
        <row r="1723">
          <cell r="B1723" t="str">
            <v>13-461-02-07</v>
          </cell>
          <cell r="C1723" t="str">
            <v>PRÄPARIERKLEMME, RUMEL, FIG. 2, 24 CM</v>
          </cell>
          <cell r="D1723" t="str">
            <v>DISSECTING FORCEPS,  RUMEL, NO. 2, 24 CM</v>
          </cell>
        </row>
        <row r="1724">
          <cell r="B1724" t="str">
            <v>13-461-03-07</v>
          </cell>
          <cell r="C1724" t="str">
            <v>PRÄPARIERKLEMME, RUMEL, FIG. 3, 23,5 CM</v>
          </cell>
          <cell r="D1724" t="str">
            <v>DISSECT.  FORCEPS,  RUMEL, NO. 3, 23.5 CM</v>
          </cell>
        </row>
        <row r="1725">
          <cell r="B1725" t="str">
            <v>13-461-04-07</v>
          </cell>
          <cell r="C1725" t="str">
            <v>PRÄPARIERKLEMME, RUMEL, FIG. 4, 24 CM</v>
          </cell>
          <cell r="D1725" t="str">
            <v>DISSECTING FORCEPS,  RUMEL, NO. 4, 24 CM</v>
          </cell>
        </row>
        <row r="1726">
          <cell r="B1726" t="str">
            <v>13-461-05-07</v>
          </cell>
          <cell r="C1726" t="str">
            <v>PRÄPARIERKLEMME, RUMEL, FIG. 5, 24 CM</v>
          </cell>
          <cell r="D1726" t="str">
            <v>DISSECTING FORCEPS,  RUMEL, NO. 5, 24 CM</v>
          </cell>
        </row>
        <row r="1727">
          <cell r="B1727" t="str">
            <v>13-469-01-07</v>
          </cell>
          <cell r="C1727" t="str">
            <v>PRÄP.-KLEMME, ZENKER, L. GEB., 29,5 CM</v>
          </cell>
          <cell r="D1727" t="str">
            <v>DISS. FORCEPS,  ZENKER, SL. CVD., 29.5 CM</v>
          </cell>
        </row>
        <row r="1728">
          <cell r="B1728" t="str">
            <v>13-469-02-07</v>
          </cell>
          <cell r="C1728" t="str">
            <v>PRÄP.-KLEMME, ZENKER, ST. GEB., 28,5 CM</v>
          </cell>
          <cell r="D1728" t="str">
            <v>DISS. FORCEPS,  ZENKER, ST. CVD., 28.5 CM</v>
          </cell>
        </row>
        <row r="1729">
          <cell r="B1729" t="str">
            <v>13-471-14-07</v>
          </cell>
          <cell r="C1729" t="str">
            <v>PRÄP.-KLEMME MIXTER-BABY, GEB., 13 CM</v>
          </cell>
          <cell r="D1729" t="str">
            <v>DISS. FORCEPS,  MIXTER-BABY, CVD., 13 CM</v>
          </cell>
        </row>
        <row r="1730">
          <cell r="B1730" t="str">
            <v>13-473-15-07</v>
          </cell>
          <cell r="C1730" t="str">
            <v>PRÄPARIERKLEMME, MIXTER, GEW., 16 CM</v>
          </cell>
          <cell r="D1730" t="str">
            <v>DISSECTING FORCEPS,  MIXTER, ANG., 16 CM</v>
          </cell>
        </row>
        <row r="1731">
          <cell r="B1731" t="str">
            <v>13-473-19-07</v>
          </cell>
          <cell r="C1731" t="str">
            <v>PRÄPARIERKLEMME, MIXTER, GEW., 17,5 CM</v>
          </cell>
          <cell r="D1731" t="str">
            <v>DISS. FORCEPS,  MIXTER, ANG., 17.5 CM</v>
          </cell>
        </row>
        <row r="1732">
          <cell r="B1732" t="str">
            <v>13-479-14-07</v>
          </cell>
          <cell r="C1732" t="str">
            <v>PRÄPARIERKLEMME, O'SHAUGNESSY, 15 CM</v>
          </cell>
          <cell r="D1732" t="str">
            <v>DISSECTING FORCEPS,  O'SHAUGNESSY, 15 CM</v>
          </cell>
        </row>
        <row r="1733">
          <cell r="B1733" t="str">
            <v>13-479-17-07</v>
          </cell>
          <cell r="C1733" t="str">
            <v>PRÄPARIERKLEMME, O'SHAUGNESSY, 18 CM</v>
          </cell>
          <cell r="D1733" t="str">
            <v>DISSECTING FORCEPS,  O'SHAUGNESSY, 18 CM</v>
          </cell>
        </row>
        <row r="1734">
          <cell r="B1734" t="str">
            <v>13-479-19-07</v>
          </cell>
          <cell r="C1734" t="str">
            <v>PRÄPARIERKLEMME, O'SHAUGNESSY, 18,5 CM</v>
          </cell>
          <cell r="D1734" t="str">
            <v>DISSECT.  FORCEPS,  O'SHAUGNESSY, 18.5 CM</v>
          </cell>
        </row>
        <row r="1735">
          <cell r="B1735" t="str">
            <v>13-479-20-07</v>
          </cell>
          <cell r="C1735" t="str">
            <v>PRÄPARIERKLEMME, O'SHAUGNESSY, 20 CM</v>
          </cell>
          <cell r="D1735" t="str">
            <v>DISSECTING FORCEPS,  O'SHAUGNESSY, 20 CM</v>
          </cell>
        </row>
        <row r="1736">
          <cell r="B1736" t="str">
            <v>13-479-23-07</v>
          </cell>
          <cell r="C1736" t="str">
            <v>PRÄPARIERKLEMME, O'SHAUGNESSY, 23 CM</v>
          </cell>
          <cell r="D1736" t="str">
            <v>DISSECTING FORCEPS,  O'SHAUGNESSY, 23 CM</v>
          </cell>
        </row>
        <row r="1737">
          <cell r="B1737" t="str">
            <v>13-479-26-07</v>
          </cell>
          <cell r="C1737" t="str">
            <v>PRÄPARIERKLEMME, O'SHAUGNESSY, 26 CM</v>
          </cell>
          <cell r="D1737" t="str">
            <v>DISSECTING FORCEPS,  O'SHAUGNESSY, 26 CM</v>
          </cell>
        </row>
        <row r="1738">
          <cell r="B1738" t="str">
            <v>13-483-22-07</v>
          </cell>
          <cell r="C1738" t="str">
            <v>PRÄPARIERKLEMME, MIXTER, GEB., 22,5 CM</v>
          </cell>
          <cell r="D1738" t="str">
            <v>DISSECT.  FORCEPS,  MIXTER, CVD., 22.5 CM</v>
          </cell>
        </row>
        <row r="1739">
          <cell r="B1739" t="str">
            <v>13-485-23-07</v>
          </cell>
          <cell r="C1739" t="str">
            <v>PRÄPARIERKLEMME, MIXTER, ST. GEB., 23 CM</v>
          </cell>
          <cell r="D1739" t="str">
            <v>DISS. FORCEPS,  MIXTER, STR. CVD., 23 CM</v>
          </cell>
        </row>
        <row r="1740">
          <cell r="B1740" t="str">
            <v>13-487-21-07</v>
          </cell>
          <cell r="C1740" t="str">
            <v>KLEMME,  WICKSTROEM, ABGEW.,  21 CM</v>
          </cell>
          <cell r="D1740" t="str">
            <v>FORCEPS,  WICKSTROEM, ANGELD,  21 CM</v>
          </cell>
        </row>
        <row r="1741">
          <cell r="B1741" t="str">
            <v>13-487-24-07</v>
          </cell>
          <cell r="C1741" t="str">
            <v>KLEMME,  WICKSTROEM, ABGEW.,  24,5 CM</v>
          </cell>
          <cell r="D1741" t="str">
            <v>FORCEPS,  WICKSTROEM, ANGELD,  24.5 CM</v>
          </cell>
        </row>
        <row r="1742">
          <cell r="B1742" t="str">
            <v>13-491-22-07</v>
          </cell>
          <cell r="C1742" t="str">
            <v>KLEMME,  MIXTER, GEW., LÄNGSGER., 22,5 CM</v>
          </cell>
          <cell r="D1742" t="str">
            <v>FORCEPS,  MIXTER, ANG., LONGIT.,  22.5 CM</v>
          </cell>
        </row>
        <row r="1743">
          <cell r="B1743" t="str">
            <v>13-493-25-07</v>
          </cell>
          <cell r="C1743" t="str">
            <v>KLEMME,  MIXTER, GEW., LÄNGSGER., 26 CM</v>
          </cell>
          <cell r="D1743" t="str">
            <v>FORCEPS,  MIXTER, ANG., LONGIT.,  26 CM</v>
          </cell>
        </row>
        <row r="1744">
          <cell r="B1744" t="str">
            <v>13-495-28-07</v>
          </cell>
          <cell r="C1744" t="str">
            <v>KLEMME,  MIXTER, GEW., LÄNGSGER., 28 CM</v>
          </cell>
          <cell r="D1744" t="str">
            <v>FORCEPS,  MIXTER, ANG., LONGIT.,  28 CM</v>
          </cell>
        </row>
        <row r="1745">
          <cell r="B1745" t="str">
            <v>13-497-22-07</v>
          </cell>
          <cell r="C1745" t="str">
            <v>KLEMME,  MCQUIGG,  GEW., LÄNGSG.  23,5 CM</v>
          </cell>
          <cell r="D1745" t="str">
            <v>DISSECT.  FORCEPS,  MCQUIGG,  ANG., 23.5 CM</v>
          </cell>
        </row>
        <row r="1746">
          <cell r="B1746" t="str">
            <v>13-501-18-07</v>
          </cell>
          <cell r="C1746" t="str">
            <v>KLEMME,  LOWER, LÄNGSGER., GEW., 18,5 CM</v>
          </cell>
          <cell r="D1746" t="str">
            <v>FORCEPS,  LOWER, LONGITUD., ANG., 18,5 CM</v>
          </cell>
        </row>
        <row r="1747">
          <cell r="B1747" t="str">
            <v>13-511-19-07</v>
          </cell>
          <cell r="C1747" t="str">
            <v>KLEMME,  LAHEY, LÄNGSGER., GEB., 19,5 CM</v>
          </cell>
          <cell r="D1747" t="str">
            <v>FORCEPS,  LAHEY, LONGIT.,  CVD., 19.5 CM</v>
          </cell>
        </row>
        <row r="1748">
          <cell r="B1748" t="str">
            <v>13-513-23-07</v>
          </cell>
          <cell r="C1748" t="str">
            <v>KLEMME,  LAHEY, LÄNGSGER., GEB., 22,5 CM</v>
          </cell>
          <cell r="D1748" t="str">
            <v>FORCEPS,  LAHEY, LONGITUD., CVD., 22.5 CM</v>
          </cell>
        </row>
        <row r="1749">
          <cell r="B1749" t="str">
            <v>13-521-24-07</v>
          </cell>
          <cell r="C1749" t="str">
            <v>KLEMME,  FINOCHIETTO, ABGEW.,  24,5 CM</v>
          </cell>
          <cell r="D1749" t="str">
            <v>FORCEPS,  FINOCCHIETTO, ANG., 24.5 CM</v>
          </cell>
        </row>
        <row r="1750">
          <cell r="B1750" t="str">
            <v>13-527-01-07</v>
          </cell>
          <cell r="C1750" t="str">
            <v>ATR.-URO-TANGENTIALKLEMME, FIG. 1, 25 CM</v>
          </cell>
          <cell r="D1750" t="str">
            <v>ATR. URO-TANGENTIAL FCPS., NO. 1, 25 CM</v>
          </cell>
        </row>
        <row r="1751">
          <cell r="B1751" t="str">
            <v>13-527-02-07</v>
          </cell>
          <cell r="C1751" t="str">
            <v>ATR.-URO-TANGENTIALKLEMME, FIG. 2, 26 CM</v>
          </cell>
          <cell r="D1751" t="str">
            <v>ATR. URO-TANGENTIAL FCPS., NO. 2, 26 CM</v>
          </cell>
        </row>
        <row r="1752">
          <cell r="B1752" t="str">
            <v>13-529-23-07</v>
          </cell>
          <cell r="C1752" t="str">
            <v>ATR.-NIERENSTIELKLEMME, GUYON, 23 CM</v>
          </cell>
          <cell r="D1752" t="str">
            <v>ATR. KIDNEY PEDI. FORCEPS,  GUYON, 23 CM</v>
          </cell>
        </row>
        <row r="1753">
          <cell r="B1753" t="str">
            <v>13-529-24-07</v>
          </cell>
          <cell r="C1753" t="str">
            <v>ATR.-NIERENSTIELKLEMME, GUYON, 24 CM</v>
          </cell>
          <cell r="D1753" t="str">
            <v>ATR. KIDNEY PEDI. FORCEPS,  GUYON, 24 CM</v>
          </cell>
        </row>
        <row r="1754">
          <cell r="B1754" t="str">
            <v>13-531-20-07</v>
          </cell>
          <cell r="C1754" t="str">
            <v>NIERENSTIELKLEMME, GUYON, 19,5 CM</v>
          </cell>
          <cell r="D1754" t="str">
            <v>KIDNEY PEDICLE FORCEPS,  GUYON, 19.5 CM</v>
          </cell>
        </row>
        <row r="1755">
          <cell r="B1755" t="str">
            <v>13-531-22-07</v>
          </cell>
          <cell r="C1755" t="str">
            <v>NIERENSTIELKLEMME, GUYON, 21,5 CM</v>
          </cell>
          <cell r="D1755" t="str">
            <v>KIDNEY PEDICLE FORCEPS,  GUYON, 21.5 CM</v>
          </cell>
        </row>
        <row r="1756">
          <cell r="B1756" t="str">
            <v>13-531-24-07</v>
          </cell>
          <cell r="C1756" t="str">
            <v>NIERENSTIELKLEMME, GUYON, 24,5 CM</v>
          </cell>
          <cell r="D1756" t="str">
            <v>KIDNEY PEDICLE FORCEPS,  GUYON, 24.5 CM</v>
          </cell>
        </row>
        <row r="1757">
          <cell r="B1757" t="str">
            <v>13-533-23-07</v>
          </cell>
          <cell r="C1757" t="str">
            <v>NIERENSTIELKLEMME, GUYON, LANG, 24 CM</v>
          </cell>
          <cell r="D1757" t="str">
            <v>KIDNEY PEDI. FORCEPS,  GUYON, LONG, 24 CM</v>
          </cell>
        </row>
        <row r="1758">
          <cell r="B1758" t="str">
            <v>13-577-19-07</v>
          </cell>
          <cell r="C1758" t="str">
            <v>PRÄP.-KLEMME, KELLY, LEICHT GEB., 19 CM</v>
          </cell>
          <cell r="D1758" t="str">
            <v>DISS. FORCEPS,  KELLY, SLIGHT CVD., 19 CM</v>
          </cell>
        </row>
        <row r="1759">
          <cell r="B1759" t="str">
            <v>13-577-22-07</v>
          </cell>
          <cell r="C1759" t="str">
            <v>PRÄP.-KLEMME, KELLY, LE. GEB., 22,5 CM</v>
          </cell>
          <cell r="D1759" t="str">
            <v>DISS. FORCEPS,  KELLY, SL. CVD., 22.5 CM</v>
          </cell>
        </row>
        <row r="1760">
          <cell r="B1760" t="str">
            <v>13-577-24-07</v>
          </cell>
          <cell r="C1760" t="str">
            <v>Präp.-Klemme, Kelly, leicht geb., 23 cm</v>
          </cell>
          <cell r="D1760" t="str">
            <v>Diss. forceps, Kelly, slight cvd., 23 cm</v>
          </cell>
        </row>
        <row r="1761">
          <cell r="B1761" t="str">
            <v>13-579-19-07</v>
          </cell>
          <cell r="C1761" t="str">
            <v>PRÄP.-KLEMME, KELLY, MITTEL GEB., 19 CM</v>
          </cell>
          <cell r="D1761" t="str">
            <v>DISS. FORCEPS,  KELLY, MEDIUM  CVD., 19 CM</v>
          </cell>
        </row>
        <row r="1762">
          <cell r="B1762" t="str">
            <v>13-579-22-07</v>
          </cell>
          <cell r="C1762" t="str">
            <v>PRÄP.-KLEMME, KELLY, MITTEL GEB., 22 CM</v>
          </cell>
          <cell r="D1762" t="str">
            <v>DISS. FORCEPS,  KELLY, MEDIUM  CVD., 22 CM</v>
          </cell>
        </row>
        <row r="1763">
          <cell r="B1763" t="str">
            <v>13-579-24-07</v>
          </cell>
          <cell r="C1763" t="str">
            <v>PRÄP.-KLEMME, KELLY, MITT. GEB., 23,5 CM</v>
          </cell>
          <cell r="D1763" t="str">
            <v>DISS. FORCEPS,  KELLY, MED. CVD., 23.5 CM</v>
          </cell>
        </row>
        <row r="1764">
          <cell r="B1764" t="str">
            <v>13-581-19-07</v>
          </cell>
          <cell r="C1764" t="str">
            <v>PRÄP.-KLEMME, KELLY, STARK GEB., 18,5 CM</v>
          </cell>
          <cell r="D1764" t="str">
            <v>DISS. FORCEPS,  KELLY, STR. CVD., 18.5 CM</v>
          </cell>
        </row>
        <row r="1765">
          <cell r="B1765" t="str">
            <v>13-581-22-07</v>
          </cell>
          <cell r="C1765" t="str">
            <v>PRÄP.-KLEMME, KELLY, STARK GEB., 21,5 CM</v>
          </cell>
          <cell r="D1765" t="str">
            <v>DISS. FORCEPS,  KELLY, STR. CVD., 21.5 CM</v>
          </cell>
        </row>
        <row r="1766">
          <cell r="B1766" t="str">
            <v>13-581-24-07</v>
          </cell>
          <cell r="C1766" t="str">
            <v>PRÄP.-KLEMME, KELLY, STARK GEB., 23 CM</v>
          </cell>
          <cell r="D1766" t="str">
            <v>DISS. FORCEPS,  KELLY, STR. CVD., 23 CM</v>
          </cell>
        </row>
        <row r="1767">
          <cell r="B1767" t="str">
            <v>13-583-28-07</v>
          </cell>
          <cell r="C1767" t="str">
            <v>PRÄPARIERKLEMME, LAWRENCE, 28 CM</v>
          </cell>
          <cell r="D1767" t="str">
            <v>DISSECTING FORCEPS,  LAWRENCE, 28 CM</v>
          </cell>
        </row>
        <row r="1768">
          <cell r="B1768" t="str">
            <v>13-585-28-07</v>
          </cell>
          <cell r="C1768" t="str">
            <v>PRÄPARIERKLEMME, MEEKER,  GEW., 28 CM</v>
          </cell>
          <cell r="D1768" t="str">
            <v>DISSECTING FORCEPS,  MEEKER,  ANG., 28 CM</v>
          </cell>
        </row>
        <row r="1769">
          <cell r="B1769" t="str">
            <v>13-595-19-07</v>
          </cell>
          <cell r="C1769" t="str">
            <v>KLEMME,  NEGUS, WEITE BIEGUNG,  19,5 CM</v>
          </cell>
          <cell r="D1769" t="str">
            <v>FORCEPS,  NEGUS, WIDE CVD., 19.5 CM</v>
          </cell>
        </row>
        <row r="1770">
          <cell r="B1770" t="str">
            <v>13-597-19-07</v>
          </cell>
          <cell r="C1770" t="str">
            <v>KLEMME,  NEGUS, ENGE BIEGUNG,  20 CM</v>
          </cell>
          <cell r="D1770" t="str">
            <v>FORCEPS,  NEGUS, NARROW  CVD., 20 CM</v>
          </cell>
        </row>
        <row r="1771">
          <cell r="B1771" t="str">
            <v>13-600-21-07</v>
          </cell>
          <cell r="C1771" t="str">
            <v>KLEMME,  PHANEUF,  1X2 Z., GER., 20,5 CM</v>
          </cell>
          <cell r="D1771" t="str">
            <v>FORCEPS,  PHANEUF,  1X2 T., STR., 20.5 CM</v>
          </cell>
        </row>
        <row r="1772">
          <cell r="B1772" t="str">
            <v>13-601-21-07</v>
          </cell>
          <cell r="C1772" t="str">
            <v>KLEMME,  PHANEUF,  1X2 Z., GEW., 20 CM</v>
          </cell>
          <cell r="D1772" t="str">
            <v>FORCEPS,  PHANEUF,  1X2 T., ANG., 20 CM</v>
          </cell>
        </row>
        <row r="1773">
          <cell r="B1773" t="str">
            <v>13-613-19-07</v>
          </cell>
          <cell r="C1773" t="str">
            <v>KLEMME,  HEANEY,  1 ZAHN, GEB., 19,5 CM</v>
          </cell>
          <cell r="D1773" t="str">
            <v>CLAMP FCPS., HEANEY,  1 T., CVD., 19.5 CM</v>
          </cell>
        </row>
        <row r="1774">
          <cell r="B1774" t="str">
            <v>13-613-21-07</v>
          </cell>
          <cell r="C1774" t="str">
            <v>KLEMME,  HEANEY,  1 ZAHN, GEB., 21,5 CM</v>
          </cell>
          <cell r="D1774" t="str">
            <v>CLAMP FCPS., HEANEY,  1 T., CVD., 21.5 CM</v>
          </cell>
        </row>
        <row r="1775">
          <cell r="B1775" t="str">
            <v>13-613-23-07</v>
          </cell>
          <cell r="C1775" t="str">
            <v>KLEMME,  HEANEY,  1 ZAHN, GEB., 24 CM</v>
          </cell>
          <cell r="D1775" t="str">
            <v>CLAMP FCPS., HEANEY,  1 T., CVD., 24 CM</v>
          </cell>
        </row>
        <row r="1776">
          <cell r="B1776" t="str">
            <v>13-615-19-07</v>
          </cell>
          <cell r="C1776" t="str">
            <v>KLEMME,  HEANEY,  2 Z., GEB., 19,5 CM</v>
          </cell>
          <cell r="D1776" t="str">
            <v>CLAMP FCPS., HEANEY,  2 T., CVD., 19.5 CM</v>
          </cell>
        </row>
        <row r="1777">
          <cell r="B1777" t="str">
            <v>13-615-21-07</v>
          </cell>
          <cell r="C1777" t="str">
            <v>KLEMME,  HEANEY,  2 Z., GEB., 21,5 CM</v>
          </cell>
          <cell r="D1777" t="str">
            <v>CLAMP FCPS., HEANEY,  2 T., CVD., 21.5 CM</v>
          </cell>
        </row>
        <row r="1778">
          <cell r="B1778" t="str">
            <v>13-615-23-07</v>
          </cell>
          <cell r="C1778" t="str">
            <v>KLEMME,  HEANEY,  2 Z., GEB., 24 CM</v>
          </cell>
          <cell r="D1778" t="str">
            <v>CLAMP FCPS., HEANEY,  2 T., CVD., 24 CM</v>
          </cell>
        </row>
        <row r="1779">
          <cell r="B1779" t="str">
            <v>13-625-21-07</v>
          </cell>
          <cell r="C1779" t="str">
            <v>KLEMMZANGE, WERTHEIM-CULLEN, 21 CM</v>
          </cell>
          <cell r="D1779" t="str">
            <v>CLAMP FCPS., WERTHEIM-CULLEN, 21 CM</v>
          </cell>
        </row>
        <row r="1780">
          <cell r="B1780" t="str">
            <v>13-635-10-07</v>
          </cell>
          <cell r="C1780" t="str">
            <v>PARAMETRIUMKLEMME, FIG. 1, 21,5 CM</v>
          </cell>
          <cell r="D1780" t="str">
            <v>PARAMETRIUM FORCEPS,  NO. 1, 21.5 CM</v>
          </cell>
        </row>
        <row r="1781">
          <cell r="B1781" t="str">
            <v>13-635-20-07</v>
          </cell>
          <cell r="C1781" t="str">
            <v>PARAMETRIUMKLEMME, FIG. 2, 21 CM</v>
          </cell>
          <cell r="D1781" t="str">
            <v>PARAMETRIUM FORCEPS,  NO. 2, 21 CM</v>
          </cell>
        </row>
        <row r="1782">
          <cell r="B1782" t="str">
            <v>13-635-30-07</v>
          </cell>
          <cell r="C1782" t="str">
            <v>PARAMETRIUMKLEMME, FIG. 3, 21 CM</v>
          </cell>
          <cell r="D1782" t="str">
            <v>PARAMETRIUM FORCEPS,  NO. 3, 21 CM</v>
          </cell>
        </row>
        <row r="1783">
          <cell r="B1783" t="str">
            <v>13-635-40-07</v>
          </cell>
          <cell r="C1783" t="str">
            <v>PARAMETRIUMKLEMME, FIG. 4, 20,5 CM</v>
          </cell>
          <cell r="D1783" t="str">
            <v>PARAMETRIUM FORCEPS,  NO. 4, 20.5 CM</v>
          </cell>
        </row>
        <row r="1784">
          <cell r="B1784" t="str">
            <v>13-637-10-07</v>
          </cell>
          <cell r="C1784" t="str">
            <v>PARAMETRIUMKLEMME, FIG. 1, 25,5 CM</v>
          </cell>
          <cell r="D1784" t="str">
            <v>PARAMETRIUM FORCEPS,  NO. 1, 25.5 CM</v>
          </cell>
        </row>
        <row r="1785">
          <cell r="B1785" t="str">
            <v>13-637-20-07</v>
          </cell>
          <cell r="C1785" t="str">
            <v>PARAMETRIUMKLEMME, FIG. 2, 25 CM</v>
          </cell>
          <cell r="D1785" t="str">
            <v>PARAMETRIUM FORCEPS,  NO. 2, 25 CM</v>
          </cell>
        </row>
        <row r="1786">
          <cell r="B1786" t="str">
            <v>13-637-30-07</v>
          </cell>
          <cell r="C1786" t="str">
            <v>PARAMETRIUMKLEMME, FIG. 3, 24,5 CM</v>
          </cell>
          <cell r="D1786" t="str">
            <v>PARAMETRIUM FORCEPS,  NO. 3, 24.5 CM</v>
          </cell>
        </row>
        <row r="1787">
          <cell r="B1787" t="str">
            <v>13-637-35-07</v>
          </cell>
          <cell r="C1787" t="str">
            <v>PARAMETRIUMKLEMME, FIG. 4, 24,5 CM</v>
          </cell>
          <cell r="D1787" t="str">
            <v>PARAMETRIUM FCPS., NO. 4, 24.5CM</v>
          </cell>
        </row>
        <row r="1788">
          <cell r="B1788" t="str">
            <v>13-671-23-07</v>
          </cell>
          <cell r="C1788" t="str">
            <v>KLEMMZANGE, MOYNIHAN, GEB., 23 CM</v>
          </cell>
          <cell r="D1788" t="str">
            <v>CLAMP FORCEPS,  MOYNIHAN, CVD., 23 CM</v>
          </cell>
        </row>
        <row r="1789">
          <cell r="B1789" t="str">
            <v>13-673-24-07</v>
          </cell>
          <cell r="C1789" t="str">
            <v>KLEMMZANGE, MOYNIHAN, GEB., 23,5 CM</v>
          </cell>
          <cell r="D1789" t="str">
            <v>CLAMP FORCEPS,  MOYNIHAN, CVD., 23.5 CM</v>
          </cell>
        </row>
        <row r="1790">
          <cell r="B1790" t="str">
            <v>13-697-25-07</v>
          </cell>
          <cell r="C1790" t="str">
            <v>KLEMME,  WERTHEIM, GEB., 26 CM</v>
          </cell>
          <cell r="D1790" t="str">
            <v>CLAMP FORCEPS,  WERTHEIM, CVD., 26 CM</v>
          </cell>
        </row>
        <row r="1791">
          <cell r="B1791" t="str">
            <v>13-717-22-07</v>
          </cell>
          <cell r="C1791" t="str">
            <v>KLEMME,  WERTHEIM, 1X2 Z., GEB., 22,5 CM</v>
          </cell>
          <cell r="D1791" t="str">
            <v>FORCEPS,  WERTHEIM, 1X2 T., CVD., 22.5 CM</v>
          </cell>
        </row>
        <row r="1792">
          <cell r="B1792" t="str">
            <v>13-719-23-07</v>
          </cell>
          <cell r="C1792" t="str">
            <v>KLEMME,  WERTHEIM, 1X2 Z., GEB., 22,5 CM</v>
          </cell>
          <cell r="D1792" t="str">
            <v>FORCEPS,  WERTHEIM, 1X2 T., CVD., 22.5 CM</v>
          </cell>
        </row>
        <row r="1793">
          <cell r="B1793" t="str">
            <v>13-721-14-07</v>
          </cell>
          <cell r="C1793" t="str">
            <v>PERITONEUMKLEMME, BABY-MIKULICZ, 14,5 CM</v>
          </cell>
          <cell r="D1793" t="str">
            <v>PERITON.  FORCEPS,  BABY-MIKULICZ, 14.5 CM</v>
          </cell>
        </row>
        <row r="1794">
          <cell r="B1794" t="str">
            <v>13-725-18-07</v>
          </cell>
          <cell r="C1794" t="str">
            <v>PERITONEUMKLEMME, MIKULICZ,  18,5 CM</v>
          </cell>
          <cell r="D1794" t="str">
            <v>PERITONEAL FORCEPS,  MIKULICZ,  18.5 CM</v>
          </cell>
        </row>
        <row r="1795">
          <cell r="B1795" t="str">
            <v>13-727-20-07</v>
          </cell>
          <cell r="C1795" t="str">
            <v>PERITONEUMKLEMME, MIKULICZ,  20 CM</v>
          </cell>
          <cell r="D1795" t="str">
            <v>PERITONEAL FORCEPS,  MIKULICZ,  20 CM</v>
          </cell>
        </row>
        <row r="1796">
          <cell r="B1796" t="str">
            <v>13-745-20-07</v>
          </cell>
          <cell r="C1796" t="str">
            <v>PERIT.-KLEMME, MIKULICZ,  KRÄFTIG,  20 CM</v>
          </cell>
          <cell r="D1796" t="str">
            <v>PERITON.  FORCEPS,  MIKULICZ,  HEAVY, 20 CM</v>
          </cell>
        </row>
        <row r="1797">
          <cell r="B1797" t="str">
            <v>13-749-21-07</v>
          </cell>
          <cell r="C1797" t="str">
            <v>PERITONEUMKLEMME, MIKULICZ,  20,5 CM</v>
          </cell>
          <cell r="D1797" t="str">
            <v>PERITONEAL FORCEPS,  MIKULICZ,  20.5 CM</v>
          </cell>
        </row>
        <row r="1798">
          <cell r="B1798" t="str">
            <v>13-751-20-07</v>
          </cell>
          <cell r="C1798" t="str">
            <v>PERIT.-KLEMME, FAURE, LEICHT GEB., 21 CM</v>
          </cell>
          <cell r="D1798" t="str">
            <v>PERITON.  FORCEPS,  FAURE, SL. CVD., 21 CM</v>
          </cell>
        </row>
        <row r="1799">
          <cell r="B1799" t="str">
            <v>13-753-20-07</v>
          </cell>
          <cell r="C1799" t="str">
            <v>PERIT.-KLEMME, FAURE, STARK GEB., 21 CM</v>
          </cell>
          <cell r="D1799" t="str">
            <v>PERIT. FORCEPS,  FAURE, STR. CVD., 21 CM</v>
          </cell>
        </row>
        <row r="1800">
          <cell r="B1800" t="str">
            <v>13-875-09-07</v>
          </cell>
          <cell r="C1800" t="str">
            <v>BULLDOG-TUCHKLEMME, SCHÄDEL,  9 CM</v>
          </cell>
          <cell r="D1800" t="str">
            <v>BULLDOG-TOWEL FORCEPS,  SCHAEDEL,  9 CM</v>
          </cell>
        </row>
        <row r="1801">
          <cell r="B1801" t="str">
            <v>13-881-05-07</v>
          </cell>
          <cell r="C1801" t="str">
            <v>BULLDOG-TUCHKLEMME, JONES, 5,5 CM</v>
          </cell>
          <cell r="D1801" t="str">
            <v>BULLDOG-TOWEL FORCEPS,  JONES, 5.5 CM</v>
          </cell>
        </row>
        <row r="1802">
          <cell r="B1802" t="str">
            <v>13-881-09-07</v>
          </cell>
          <cell r="C1802" t="str">
            <v>BULLDOG-TUCHKLEMME, JONES, 8,5 CM</v>
          </cell>
          <cell r="D1802" t="str">
            <v>BULLDOG-TOWEL FORCEPS,  JONES, 8.5 CM</v>
          </cell>
        </row>
        <row r="1803">
          <cell r="B1803" t="str">
            <v>13-909-11-07</v>
          </cell>
          <cell r="C1803" t="str">
            <v>TUCHKLEMME, SCHARF, GRAZIL, 11 CM</v>
          </cell>
          <cell r="D1803" t="str">
            <v>TOWEL FORCEPS,  SHARP, GRACILE,  11 CM</v>
          </cell>
        </row>
        <row r="1804">
          <cell r="B1804" t="str">
            <v>13-909-13-07</v>
          </cell>
          <cell r="C1804" t="str">
            <v>TUCHKLEMME, SCHARF, GRAZIL, 13 CM</v>
          </cell>
          <cell r="D1804" t="str">
            <v>TOWEL FORCEPS,  SHARP, GRACILE,  13 CM</v>
          </cell>
        </row>
        <row r="1805">
          <cell r="B1805" t="str">
            <v>13-913-11-07</v>
          </cell>
          <cell r="C1805" t="str">
            <v>TUCHKLEMME, SCHARF, M. KLAMMER,  11 CM</v>
          </cell>
          <cell r="D1805" t="str">
            <v>TOWEL FORCEPS,  SHARP, W. CLIP, 11.5 CM</v>
          </cell>
        </row>
        <row r="1806">
          <cell r="B1806" t="str">
            <v>13-915-08-07</v>
          </cell>
          <cell r="C1806" t="str">
            <v>TUCHKLEMME, BACKHAUS, SCHARF, 9 CM</v>
          </cell>
          <cell r="D1806" t="str">
            <v>TOWEL FORCEPS,  BACKHAUS, SHARP, 9 CM</v>
          </cell>
        </row>
        <row r="1807">
          <cell r="B1807" t="str">
            <v>13-915-11-07</v>
          </cell>
          <cell r="C1807" t="str">
            <v>TUCHKLEMME, BACKHAUS, SCHARF, 11 CM</v>
          </cell>
          <cell r="D1807" t="str">
            <v>TOWEL FORCEPS,  BACKHAUS, SHARP, 11 CM</v>
          </cell>
        </row>
        <row r="1808">
          <cell r="B1808" t="str">
            <v>13-915-13-07</v>
          </cell>
          <cell r="C1808" t="str">
            <v>TUCHKLEMME, BACKHAUS, SCHARF, 13 CM</v>
          </cell>
          <cell r="D1808" t="str">
            <v>TOWEL FORCEPS,  BACKHAUS, SHARP, 13 CM</v>
          </cell>
        </row>
        <row r="1809">
          <cell r="B1809" t="str">
            <v>13-915-15-07</v>
          </cell>
          <cell r="C1809" t="str">
            <v>TUCHKLEMME, BACKHAUS, SCHARF, 16 CM</v>
          </cell>
          <cell r="D1809" t="str">
            <v>TOWEL FORCEPS,  BACKHAUS, SHARP, 16 CM</v>
          </cell>
        </row>
        <row r="1810">
          <cell r="B1810" t="str">
            <v>13-916-15-07</v>
          </cell>
          <cell r="C1810" t="str">
            <v>TUCHKLEMME, WEIT, F. SCHLAUCHFIX.,14,5CM</v>
          </cell>
          <cell r="D1810" t="str">
            <v>TOWEL FORCEPS,  WIDE, F. TUBE FIX.,14,5CM</v>
          </cell>
        </row>
        <row r="1811">
          <cell r="B1811" t="str">
            <v>13-917-13-07</v>
          </cell>
          <cell r="C1811" t="str">
            <v>TUCHKLEMME, RÖDER, 13,5 CM</v>
          </cell>
          <cell r="D1811" t="str">
            <v>TOWEL FORCEPS,  ROEDER,  13.5 CM</v>
          </cell>
        </row>
        <row r="1812">
          <cell r="B1812" t="str">
            <v>13-919-10-07</v>
          </cell>
          <cell r="C1812" t="str">
            <v>TUCHKLEMME, LORNA, FEIN GEZ., 10 CM</v>
          </cell>
          <cell r="D1812" t="str">
            <v>TOWEL FORCEPS,  LORNA, FINE SERR., 10 CM</v>
          </cell>
        </row>
        <row r="1813">
          <cell r="B1813" t="str">
            <v>13-919-13-07</v>
          </cell>
          <cell r="C1813" t="str">
            <v>TUCHKLEMME, LORNA, FEIN GEZ., 13 CM</v>
          </cell>
          <cell r="D1813" t="str">
            <v>TOWEL FORCEPS,  LORNA, FINE SERR., 13 CM</v>
          </cell>
        </row>
        <row r="1814">
          <cell r="B1814" t="str">
            <v>13-921-16-07</v>
          </cell>
          <cell r="C1814" t="str">
            <v>TUCHKLEMME, BERNHARD, GER., 16,5 CM</v>
          </cell>
          <cell r="D1814" t="str">
            <v>TOWEL FORCEPS,  BERNHARD, STR., 16.5 CM</v>
          </cell>
        </row>
        <row r="1815">
          <cell r="B1815" t="str">
            <v>13-923-10-07</v>
          </cell>
          <cell r="C1815" t="str">
            <v>TUCHKLEMME, TOHOKU,  STUMPF,  10,5 CM</v>
          </cell>
          <cell r="D1815" t="str">
            <v>TOWEL FORCEPS,  TOHOKU,  BLUNT, 10.5 CM</v>
          </cell>
        </row>
        <row r="1816">
          <cell r="B1816" t="str">
            <v>13-923-13-07</v>
          </cell>
          <cell r="C1816" t="str">
            <v>TUCHKLEMME, TOHOKU,  STUMPF,  13,5 CM</v>
          </cell>
          <cell r="D1816" t="str">
            <v>TOWEL FORCEPS,  TOHOKU,  BLUNT, 13.5 CM</v>
          </cell>
        </row>
        <row r="1817">
          <cell r="B1817" t="str">
            <v>13-923-14-07</v>
          </cell>
          <cell r="C1817" t="str">
            <v>TUCHKLEMME, PEERS-BERTRAM, 14,5 CM</v>
          </cell>
          <cell r="D1817" t="str">
            <v>TOWEL FORCEPS,  PEERS-BERTRAM, 14.5 CM</v>
          </cell>
        </row>
        <row r="1818">
          <cell r="B1818" t="str">
            <v>13-924-11-07</v>
          </cell>
          <cell r="C1818" t="str">
            <v>TUCHKLEMME F. PAPIERABDECKUNG, 11,5 CM</v>
          </cell>
          <cell r="D1818" t="str">
            <v>TOWEL FORCEPS  F. PAPER DRAPES, 11.5 CM</v>
          </cell>
        </row>
        <row r="1819">
          <cell r="B1819" t="str">
            <v>13-924-14-07</v>
          </cell>
          <cell r="C1819" t="str">
            <v>TUCHKLEMME F. PAPIERABDECKUNG, 14 CM</v>
          </cell>
          <cell r="D1819" t="str">
            <v>TOWEL FORCEPS  F. PAPER DRAPES, 14 CM</v>
          </cell>
        </row>
        <row r="1820">
          <cell r="B1820" t="str">
            <v>13-935-20-07</v>
          </cell>
          <cell r="C1820" t="str">
            <v>TUCHKLEMME, LANE, GER., 20 CM</v>
          </cell>
          <cell r="D1820" t="str">
            <v>TOWEL FORCEPS,  LANE, STR., 20 CM</v>
          </cell>
        </row>
        <row r="1821">
          <cell r="B1821" t="str">
            <v>13-938-00-07</v>
          </cell>
          <cell r="C1821" t="str">
            <v>Halterung,  Schlauchhalter</v>
          </cell>
          <cell r="D1821" t="str">
            <v>Carrier for tube holding inlays</v>
          </cell>
        </row>
        <row r="1822">
          <cell r="B1822" t="str">
            <v>13-938-01-04</v>
          </cell>
          <cell r="C1822" t="str">
            <v>Inlay Erwachsen  Var.1, f. 13-938-00-07</v>
          </cell>
          <cell r="D1822" t="str">
            <v>Inlay for adults var. 1, f. 13-938-00-07</v>
          </cell>
        </row>
        <row r="1823">
          <cell r="B1823" t="str">
            <v>13-938-02-04</v>
          </cell>
          <cell r="C1823" t="str">
            <v>Inlay Erwachsen  Var.2, f. 13-938-00-07</v>
          </cell>
          <cell r="D1823" t="str">
            <v>Inlay for adults var. 2, f. 13-938-00-07</v>
          </cell>
        </row>
        <row r="1824">
          <cell r="B1824" t="str">
            <v>13-938-03-04</v>
          </cell>
          <cell r="C1824" t="str">
            <v>Inlay Kind, f. 13-938-00-07</v>
          </cell>
          <cell r="D1824" t="str">
            <v>Inlay for children,  f. 13-938-00-07</v>
          </cell>
        </row>
        <row r="1825">
          <cell r="B1825" t="str">
            <v>13-938-04-04</v>
          </cell>
          <cell r="C1825" t="str">
            <v>Inlay Kleinkinder, f. 13-938-00-07</v>
          </cell>
          <cell r="D1825" t="str">
            <v>Inlay for infants, f. 13-938-00-07</v>
          </cell>
        </row>
        <row r="1826">
          <cell r="B1826" t="str">
            <v>13-938-05-04</v>
          </cell>
          <cell r="C1826" t="str">
            <v>Inlay Neonaten,  f. 13-938-00-07</v>
          </cell>
          <cell r="D1826" t="str">
            <v>Inlay f. neonates,  f. 13-938-00-07</v>
          </cell>
        </row>
        <row r="1827">
          <cell r="B1827" t="str">
            <v>13-940-14-07</v>
          </cell>
          <cell r="C1827" t="str">
            <v>SCHLAUCHKLEMME, LANGE SPERRE, 14 CM</v>
          </cell>
          <cell r="D1827" t="str">
            <v>TUBE CLAMP, LONG RATCHET,  14 CM</v>
          </cell>
        </row>
        <row r="1828">
          <cell r="B1828" t="str">
            <v>13-942-16-07</v>
          </cell>
          <cell r="C1828" t="str">
            <v>SCHLAUCHKLEMME, GLATTES  MAUL, 16,5 CM</v>
          </cell>
          <cell r="D1828" t="str">
            <v>TUBE CLAMP, SMOOTH  JAW, 16.5 CM</v>
          </cell>
        </row>
        <row r="1829">
          <cell r="B1829" t="str">
            <v>13-944-15-07</v>
          </cell>
          <cell r="C1829" t="str">
            <v>SCHLAUCHKLEMME, STANDARD, 15,5 CM</v>
          </cell>
          <cell r="D1829" t="str">
            <v>TUBE CLAMP, STANDARD, 15.5 CM</v>
          </cell>
        </row>
        <row r="1830">
          <cell r="B1830" t="str">
            <v>13-944-18-07</v>
          </cell>
          <cell r="C1830" t="str">
            <v>SCHLAUCHKLEMME, STANDARD, 19 CM</v>
          </cell>
          <cell r="D1830" t="str">
            <v>TUBE CLAMP, STANDARD, 19 CM</v>
          </cell>
        </row>
        <row r="1831">
          <cell r="B1831" t="str">
            <v>13-944-20-07</v>
          </cell>
          <cell r="C1831" t="str">
            <v>SCHLAUCHKLEMME, STANDARD, 20,5 CM</v>
          </cell>
          <cell r="D1831" t="str">
            <v>TUBE CLAMP, STANDARD, 20.5 CM</v>
          </cell>
        </row>
        <row r="1832">
          <cell r="B1832" t="str">
            <v>13-946-15-07</v>
          </cell>
          <cell r="C1832" t="str">
            <v>SCHLAUCHKLEMME M. SCHUTZBÜGEL, 15,5 CM</v>
          </cell>
          <cell r="D1832" t="str">
            <v>TUBE CLAMP, W. PROTECTION CLIP, 15.5 CM</v>
          </cell>
        </row>
        <row r="1833">
          <cell r="B1833" t="str">
            <v>13-946-18-07</v>
          </cell>
          <cell r="C1833" t="str">
            <v>SCHLAUCHKLEMME M. SCHUTZBÜGEL, 19 CM</v>
          </cell>
          <cell r="D1833" t="str">
            <v>TUBE CLAMP, W. PROTECTION CLIP, 19 CM</v>
          </cell>
        </row>
        <row r="1834">
          <cell r="B1834" t="str">
            <v>13-946-20-07</v>
          </cell>
          <cell r="C1834" t="str">
            <v>SCHLAUCHKLEMME M. SCHUTZBÜGEL, 20,5 CM</v>
          </cell>
          <cell r="D1834" t="str">
            <v>TUBE CLAMP, W. PROTECTION CLIP, 20.5 CM</v>
          </cell>
        </row>
        <row r="1835">
          <cell r="B1835" t="str">
            <v>13-948-01-04</v>
          </cell>
          <cell r="C1835" t="str">
            <v>ROLLENKLEMME, BROMPTON, ALU, 16,5 CM</v>
          </cell>
          <cell r="D1835" t="str">
            <v>TUBE MILK. CLAMP, BROMPTON, ALU, 16.5 CM</v>
          </cell>
        </row>
        <row r="1836">
          <cell r="B1836" t="str">
            <v>13-948-02-07</v>
          </cell>
          <cell r="C1836" t="str">
            <v>ROLLENKLEMME, GUNNAR-HEY, 18 CM</v>
          </cell>
          <cell r="D1836" t="str">
            <v>TUBE MILKING  CLAMP, GUNNAR-HEY, 18 CM</v>
          </cell>
        </row>
        <row r="1837">
          <cell r="B1837" t="str">
            <v>14-100-22-07</v>
          </cell>
          <cell r="C1837" t="str">
            <v>TUPFERZANGE, ULRICH, GER., 22,5 CM</v>
          </cell>
          <cell r="D1837" t="str">
            <v>TAMPON  FORCEPS,  ULRICH, STR., 22.5 CM</v>
          </cell>
        </row>
        <row r="1838">
          <cell r="B1838" t="str">
            <v>14-100-27-07</v>
          </cell>
          <cell r="C1838" t="str">
            <v>TUPFERZANGE, ULRICH, GER., 27 CM</v>
          </cell>
          <cell r="D1838" t="str">
            <v>TAMPON  FORCEPS,  ULRICH, STR., 27 CM</v>
          </cell>
        </row>
        <row r="1839">
          <cell r="B1839" t="str">
            <v>14-101-22-07</v>
          </cell>
          <cell r="C1839" t="str">
            <v>TUPFERZANGE, ULRICH, GEB., 22,5 CM</v>
          </cell>
          <cell r="D1839" t="str">
            <v>TAMPON  FORCEPS,  ULRICH, CVD., 22.5 CM</v>
          </cell>
        </row>
        <row r="1840">
          <cell r="B1840" t="str">
            <v>14-101-27-07</v>
          </cell>
          <cell r="C1840" t="str">
            <v>TUPFERZANGE, ULRICH, GEB., 26,5 CM</v>
          </cell>
          <cell r="D1840" t="str">
            <v>TAMPON  FORCEPS,  ULRICH, CVD., 26.5 CM</v>
          </cell>
        </row>
        <row r="1841">
          <cell r="B1841" t="str">
            <v>14-110-13-07</v>
          </cell>
          <cell r="C1841" t="str">
            <v>SINUSKLEMME, LISTER, GER., 13 CM</v>
          </cell>
          <cell r="D1841" t="str">
            <v>SINUS FORCEPS,  LISTER, STR., 13 CM</v>
          </cell>
        </row>
        <row r="1842">
          <cell r="B1842" t="str">
            <v>14-110-16-07</v>
          </cell>
          <cell r="C1842" t="str">
            <v>SINUSKLEMME, LISTER, GER., 16 CM</v>
          </cell>
          <cell r="D1842" t="str">
            <v>SINUS FORCEPS,  LISTER, STR., 16 CM</v>
          </cell>
        </row>
        <row r="1843">
          <cell r="B1843" t="str">
            <v>14-110-18-07</v>
          </cell>
          <cell r="C1843" t="str">
            <v>SINUSKLEMME, LISTER, GER., 18,5 CM</v>
          </cell>
          <cell r="D1843" t="str">
            <v>SINUS FORCEPS,  LISTER, STR., 18.5 CM</v>
          </cell>
        </row>
        <row r="1844">
          <cell r="B1844" t="str">
            <v>14-115-13-07</v>
          </cell>
          <cell r="C1844" t="str">
            <v>Zange, Tupfer, Bryant, 13 cm</v>
          </cell>
          <cell r="D1844" t="str">
            <v>Forceps, tampon, Bryant, 13 cm</v>
          </cell>
        </row>
        <row r="1845">
          <cell r="B1845" t="str">
            <v>14-120-17-07</v>
          </cell>
          <cell r="C1845" t="str">
            <v>KORNZANGE, MARTIN,  GER., 17,5 CM</v>
          </cell>
          <cell r="D1845" t="str">
            <v>DRESSING  FORCEPS,  MARTIN,  STR., 17.5 CM</v>
          </cell>
        </row>
        <row r="1846">
          <cell r="B1846" t="str">
            <v>14-222-20-07</v>
          </cell>
          <cell r="C1846" t="str">
            <v>KORNZANGE, GROSS-MAIER, GER., 20,5 CM</v>
          </cell>
          <cell r="D1846" t="str">
            <v>FORCEPS,  GROSS-MAIER, STR., 20.5 CM</v>
          </cell>
        </row>
        <row r="1847">
          <cell r="B1847" t="str">
            <v>14-222-22-07</v>
          </cell>
          <cell r="C1847" t="str">
            <v>KORNZANGE, GROSS-MAIER, GER., 22,5 CM</v>
          </cell>
          <cell r="D1847" t="str">
            <v>FORCEPS,  GROSS-MAIER, STR., 22.5 CM</v>
          </cell>
        </row>
        <row r="1848">
          <cell r="B1848" t="str">
            <v>14-222-27-07</v>
          </cell>
          <cell r="C1848" t="str">
            <v>KORNZANGE, GROSS-MAIER, GER., 26,5 CM</v>
          </cell>
          <cell r="D1848" t="str">
            <v>FORCEPS,  GROSS-MAIER, STR., 26.5 CM</v>
          </cell>
        </row>
        <row r="1849">
          <cell r="B1849" t="str">
            <v>14-223-20-07</v>
          </cell>
          <cell r="C1849" t="str">
            <v>KORNZANGE, GROSS-MAIER, GEB., 20,5 CM</v>
          </cell>
          <cell r="D1849" t="str">
            <v>FORCEPS,  GROSS-MAIER, CVD., 20.5 CM</v>
          </cell>
        </row>
        <row r="1850">
          <cell r="B1850" t="str">
            <v>14-223-22-07</v>
          </cell>
          <cell r="C1850" t="str">
            <v>KORNZANGE, GROSS-MAIER, GEB., 22,5 CM</v>
          </cell>
          <cell r="D1850" t="str">
            <v>FORCEPS,  GROSS-MAIER, CVD., 22.5 CM</v>
          </cell>
        </row>
        <row r="1851">
          <cell r="B1851" t="str">
            <v>14-223-27-07</v>
          </cell>
          <cell r="C1851" t="str">
            <v>KORNZANGE, GROSS-MAIER, GEB., 26,5 CM</v>
          </cell>
          <cell r="D1851" t="str">
            <v>FORCEPS,  GROSS-MAIER, CVD., 26,5 CM</v>
          </cell>
        </row>
        <row r="1852">
          <cell r="B1852" t="str">
            <v>14-231-40-07</v>
          </cell>
          <cell r="C1852" t="str">
            <v>TUNNELIER-KORNZANGE, GEB., 39,5 CM</v>
          </cell>
          <cell r="D1852" t="str">
            <v>TUNNELING-FORCEPS, CVD., 39.5 CM</v>
          </cell>
        </row>
        <row r="1853">
          <cell r="B1853" t="str">
            <v>14-286-25-07</v>
          </cell>
          <cell r="C1853" t="str">
            <v>TUPFERZANGE, COLLIN, GER., 25 CM</v>
          </cell>
          <cell r="D1853" t="str">
            <v>TAMPON  FORCEPS,  COLLIN, STR., 25 CM</v>
          </cell>
        </row>
        <row r="1854">
          <cell r="B1854" t="str">
            <v>14-290-25-07</v>
          </cell>
          <cell r="C1854" t="str">
            <v>TUPFERZANGE, CHERON,  BAJONETTF., 25 CM</v>
          </cell>
          <cell r="D1854" t="str">
            <v>TAMPON  FORCEPS,  CHERON,  BAYON., 25 CM</v>
          </cell>
        </row>
        <row r="1855">
          <cell r="B1855" t="str">
            <v>14-313-26-07</v>
          </cell>
          <cell r="C1855" t="str">
            <v>SCHWAMMZANGE, BOZEMANN, S-FORM, 26 CM</v>
          </cell>
          <cell r="D1855" t="str">
            <v>SPONGE FORCEPS,  BOZEMANN, S-SHAPE,  26 CM</v>
          </cell>
        </row>
        <row r="1856">
          <cell r="B1856" t="str">
            <v>14-320-24-07</v>
          </cell>
          <cell r="C1856" t="str">
            <v>SCHWAMMZANGE, BERGMANN, GER., 24 CM</v>
          </cell>
          <cell r="D1856" t="str">
            <v>SPONGE FORCEPS,  BERGMANN, STR., 24 CM</v>
          </cell>
        </row>
        <row r="1857">
          <cell r="B1857" t="str">
            <v>14-350-25-07</v>
          </cell>
          <cell r="C1857" t="str">
            <v>ZANGE, FÖRSTER,  GLATT, GER., 25 CM</v>
          </cell>
          <cell r="D1857" t="str">
            <v>FORCEPS,  FOERSTER,  SMOOTH,  STR., 25 CM</v>
          </cell>
        </row>
        <row r="1858">
          <cell r="B1858" t="str">
            <v>14-352-18-07</v>
          </cell>
          <cell r="C1858" t="str">
            <v>ZANGE, FÖRSTER,  GERIEFT,  GER., 18 CM</v>
          </cell>
          <cell r="D1858" t="str">
            <v>FORCEPS,  FOERSTER,  SERR., STR., 18 CM</v>
          </cell>
        </row>
        <row r="1859">
          <cell r="B1859" t="str">
            <v>14-352-20-07</v>
          </cell>
          <cell r="C1859" t="str">
            <v>ZANGE, FÖRSTER,  GERIEFT,  GER., 20,5 CM</v>
          </cell>
          <cell r="D1859" t="str">
            <v>FORCEPS,  FOERSTER,  SERR., STR., 20.5 CM</v>
          </cell>
        </row>
        <row r="1860">
          <cell r="B1860" t="str">
            <v>14-352-25-07</v>
          </cell>
          <cell r="C1860" t="str">
            <v>ZANGE, FÖRSTER,  GERIEFT,  GER., 25 CM</v>
          </cell>
          <cell r="D1860" t="str">
            <v>FORCEPS,  FOERSTER,  SERR., STR., 25 CM</v>
          </cell>
        </row>
        <row r="1861">
          <cell r="B1861" t="str">
            <v>14-353-25-07</v>
          </cell>
          <cell r="C1861" t="str">
            <v>ZANGE, FÖRSTER,  GLATT, GEB., 24,5 CM</v>
          </cell>
          <cell r="D1861" t="str">
            <v>FORCEPS,  FOERSTER,  SMOOTH,  CVD., 24.5 CM</v>
          </cell>
        </row>
        <row r="1862">
          <cell r="B1862" t="str">
            <v>14-355-18-07</v>
          </cell>
          <cell r="C1862" t="str">
            <v>ZANGE, FÖRSTER,  GERIEFT,  GEB., 18 CM</v>
          </cell>
          <cell r="D1862" t="str">
            <v>FORCEPS,  FOERSTER,  SERR., CVD., 18 CM</v>
          </cell>
        </row>
        <row r="1863">
          <cell r="B1863" t="str">
            <v>14-355-20-07</v>
          </cell>
          <cell r="C1863" t="str">
            <v>ZANGE, FÖRSTER,  GERIEFT,  GEB., 20,5 CM</v>
          </cell>
          <cell r="D1863" t="str">
            <v>FORCEPS,  FOERSTER,  SERR., CVD., 20.5 CM</v>
          </cell>
        </row>
        <row r="1864">
          <cell r="B1864" t="str">
            <v>14-355-25-07</v>
          </cell>
          <cell r="C1864" t="str">
            <v>ZANGE, FÖRSTER,  GERIEFT,  GEB., 24,5 CM</v>
          </cell>
          <cell r="D1864" t="str">
            <v>FORCEPS,  FOERSTER,  SERR., CVD., 24.5 CM</v>
          </cell>
        </row>
        <row r="1865">
          <cell r="B1865" t="str">
            <v>14-360-25-07</v>
          </cell>
          <cell r="C1865" t="str">
            <v>ZANGE, FÖRSTER,  SCHMAL,  GER., 25 CM</v>
          </cell>
          <cell r="D1865" t="str">
            <v>FORCEPS,  FOERSTER,  SLIM, STR., 25 CM</v>
          </cell>
        </row>
        <row r="1866">
          <cell r="B1866" t="str">
            <v>14-361-25-07</v>
          </cell>
          <cell r="C1866" t="str">
            <v>ZANGE, FÖRSTER,  SCHMAL,  GEB., 24,5 CM</v>
          </cell>
          <cell r="D1866" t="str">
            <v>FORCEPS,  FOERSTER,  SLIM, CVD., 24.5 CM</v>
          </cell>
        </row>
        <row r="1867">
          <cell r="B1867" t="str">
            <v>14-370-18-07</v>
          </cell>
          <cell r="C1867" t="str">
            <v>SCHWAMMZANGE, RAMPLEY,  GER., 18 CM</v>
          </cell>
          <cell r="D1867" t="str">
            <v>SPONGE FORCEPS,  RAMPLEY,  STR., 18 CM</v>
          </cell>
        </row>
        <row r="1868">
          <cell r="B1868" t="str">
            <v>14-370-25-07</v>
          </cell>
          <cell r="C1868" t="str">
            <v>Schwammzange, rampley,  ger., 24,5 CM</v>
          </cell>
          <cell r="D1868" t="str">
            <v>Sponge, Forceps, Rampley,  Str., 24.5 CM</v>
          </cell>
        </row>
        <row r="1869">
          <cell r="B1869" t="str">
            <v>15-006-10-07</v>
          </cell>
          <cell r="C1869" t="str">
            <v>KNOCHENHÄKCHEN, RASSE, 1-ZINK., 16 CM</v>
          </cell>
          <cell r="D1869" t="str">
            <v>BONE HOOKLET,  RASSE, 1-PR., 16 CM</v>
          </cell>
        </row>
        <row r="1870">
          <cell r="B1870" t="str">
            <v>15-055-01-07</v>
          </cell>
          <cell r="C1870" t="str">
            <v>Wundhaken, Cope, 18 cm</v>
          </cell>
          <cell r="D1870" t="str">
            <v>Retractor,  Cope, 18 cm</v>
          </cell>
        </row>
        <row r="1871">
          <cell r="B1871" t="str">
            <v>15-056-01-07</v>
          </cell>
          <cell r="C1871" t="str">
            <v>Häkchen,  Barsky, 1-Z., 15 cm</v>
          </cell>
          <cell r="D1871" t="str">
            <v>Hooklet, Barsky, 1-t., 15 cm</v>
          </cell>
        </row>
        <row r="1872">
          <cell r="B1872" t="str">
            <v>15-056-02-07</v>
          </cell>
          <cell r="C1872" t="str">
            <v>Häkchen,  Barsky, 2-Z., 15 cm</v>
          </cell>
          <cell r="D1872" t="str">
            <v>Hooklet, Barsky, 2-t., 15 cm</v>
          </cell>
        </row>
        <row r="1873">
          <cell r="B1873" t="str">
            <v>15-066-01-07</v>
          </cell>
          <cell r="C1873" t="str">
            <v>MIKROHÄKCHEN, GRAEFE, SCHARF, 15 CM</v>
          </cell>
          <cell r="D1873" t="str">
            <v>MICRO HOOKLET,  GRAEFE, SHARP, 15 CM</v>
          </cell>
        </row>
        <row r="1874">
          <cell r="B1874" t="str">
            <v>15-066-02-07</v>
          </cell>
          <cell r="C1874" t="str">
            <v>MIKROHÄKCHEN, GRAEFE, STUMPF,  15 CM</v>
          </cell>
          <cell r="D1874" t="str">
            <v>MICRO HOOKLET,  GRAEFE, BLUNT, 15 CM</v>
          </cell>
        </row>
        <row r="1875">
          <cell r="B1875" t="str">
            <v>15-068-01-07</v>
          </cell>
          <cell r="C1875" t="str">
            <v>HÄKCHEN,  SCHARF, 1-ZINK., FIG. 1, 16 CM</v>
          </cell>
          <cell r="D1875" t="str">
            <v>MICRO HOOK, SHARP, 1-PR., NO. 1, 16 CM</v>
          </cell>
        </row>
        <row r="1876">
          <cell r="B1876" t="str">
            <v>15-068-02-07</v>
          </cell>
          <cell r="C1876" t="str">
            <v>HÄKCHEN,  SCHARF, 1-ZINK., FIG. 2, 16 CM</v>
          </cell>
          <cell r="D1876" t="str">
            <v>MICRO HOOK, SHARP, 1-PR., NO. 2, 16 CM</v>
          </cell>
        </row>
        <row r="1877">
          <cell r="B1877" t="str">
            <v>15-068-03-07</v>
          </cell>
          <cell r="C1877" t="str">
            <v>HÄKCHEN,  SCHARF, 1-ZINK., FIG. 3, 16 CM</v>
          </cell>
          <cell r="D1877" t="str">
            <v>MICRO HOOK, SHARP, 1-PR., NO. 3, 16 CM</v>
          </cell>
        </row>
        <row r="1878">
          <cell r="B1878" t="str">
            <v>15-068-04-07</v>
          </cell>
          <cell r="C1878" t="str">
            <v>HÄKCHEN,  SCHARF, 1-ZINK., FIG. 4, 16 CM</v>
          </cell>
          <cell r="D1878" t="str">
            <v>MICRO HOOK, SHARP, 1-PR., NO. 4, 16 CM</v>
          </cell>
        </row>
        <row r="1879">
          <cell r="B1879" t="str">
            <v>15-068-05-07</v>
          </cell>
          <cell r="C1879" t="str">
            <v>MIKROHÄKCHEN, RASSE, SCHARF, 16 CM</v>
          </cell>
          <cell r="D1879" t="str">
            <v>MICRO HOOKLET,  RASSE, SHARP, 16 CM</v>
          </cell>
        </row>
        <row r="1880">
          <cell r="B1880" t="str">
            <v>15-070-16-07</v>
          </cell>
          <cell r="C1880" t="str">
            <v>HÄKCHEN,  O'CONNOR, SCHARF, 1-Z., 16 CM</v>
          </cell>
          <cell r="D1880" t="str">
            <v>HOOKLET,  O'CONNOR, SHARP, 1-PR., 16 CM</v>
          </cell>
        </row>
        <row r="1881">
          <cell r="B1881" t="str">
            <v>15-072-01-07</v>
          </cell>
          <cell r="C1881" t="str">
            <v>HÄKCHEN,  GUTHRIE,  SCHF., 2-Z., 16 CM</v>
          </cell>
          <cell r="D1881" t="str">
            <v>HOOKLET,  GUTHRIE,  SHARP, 2-PR., 16 CM</v>
          </cell>
        </row>
        <row r="1882">
          <cell r="B1882" t="str">
            <v>15-072-02-07</v>
          </cell>
          <cell r="C1882" t="str">
            <v>HÄKCHEN,  GUTHRIE,  SCHF., 2-Z., 16 CM</v>
          </cell>
          <cell r="D1882" t="str">
            <v>HOOKLET,  GUTHRIE,  SHARP, 2-PR., 16 CM</v>
          </cell>
        </row>
        <row r="1883">
          <cell r="B1883" t="str">
            <v>15-074-01-07</v>
          </cell>
          <cell r="C1883" t="str">
            <v>WUNDHÄKCHEN, SCHARF, 1-ZINK., 16,5 CM</v>
          </cell>
          <cell r="D1883" t="str">
            <v>HOOKLET,  SHARP, 1-PR., 16.5 CM</v>
          </cell>
        </row>
        <row r="1884">
          <cell r="B1884" t="str">
            <v>15-074-02-07</v>
          </cell>
          <cell r="C1884" t="str">
            <v>WUNDHÄKCHEN, SCHARF, 2-ZINK., 16,5 CM</v>
          </cell>
          <cell r="D1884" t="str">
            <v>HOOKLET,  SHARP, 2-PR., 16.5 CM</v>
          </cell>
        </row>
        <row r="1885">
          <cell r="B1885" t="str">
            <v>15-074-03-07</v>
          </cell>
          <cell r="C1885" t="str">
            <v>WUNDHÄKCHEN, SCHARF, 3-ZINK., 16,5 CM</v>
          </cell>
          <cell r="D1885" t="str">
            <v>HOOKLET,  SHARP, 3-PR., 16.5 CM</v>
          </cell>
        </row>
        <row r="1886">
          <cell r="B1886" t="str">
            <v>15-074-04-07</v>
          </cell>
          <cell r="C1886" t="str">
            <v>WUNDHÄKCHEN, SCHARF, 4-ZINK., 16,5 CM</v>
          </cell>
          <cell r="D1886" t="str">
            <v>HOOKLET,  SHARP, 4-PR., 16.5 CM</v>
          </cell>
        </row>
        <row r="1887">
          <cell r="B1887" t="str">
            <v>15-075-01-07</v>
          </cell>
          <cell r="C1887" t="str">
            <v>WUNDHÄKCHEN, STUMPF,  1-ZINK., 16,5 CM</v>
          </cell>
          <cell r="D1887" t="str">
            <v>HOOKLET,  BLUNT, 1-PR., 16.5 CM</v>
          </cell>
        </row>
        <row r="1888">
          <cell r="B1888" t="str">
            <v>15-075-02-07</v>
          </cell>
          <cell r="C1888" t="str">
            <v>WUNDHÄKCHEN, STUMPF,  2-ZINK., 16,5 CM</v>
          </cell>
          <cell r="D1888" t="str">
            <v>HOOKLET,  BLUNT, 2-PR., 16.5 CM</v>
          </cell>
        </row>
        <row r="1889">
          <cell r="B1889" t="str">
            <v>15-075-03-07</v>
          </cell>
          <cell r="C1889" t="str">
            <v>WUNDHÄKCHEN, STUMPF,  3-ZINK., 16,5 CM</v>
          </cell>
          <cell r="D1889" t="str">
            <v>HOOKLET,  BLUNT, 3-PR., 16.5 CM</v>
          </cell>
        </row>
        <row r="1890">
          <cell r="B1890" t="str">
            <v>15-075-04-07</v>
          </cell>
          <cell r="C1890" t="str">
            <v>WUNDHÄKCHEN, STUMPF,  4-ZINK., 16,5 CM</v>
          </cell>
          <cell r="D1890" t="str">
            <v>HOOKLET,  BLUNT, 4-PR., 16.5 CM</v>
          </cell>
        </row>
        <row r="1891">
          <cell r="B1891" t="str">
            <v>15-078-02-07</v>
          </cell>
          <cell r="C1891" t="str">
            <v>HÄKCHEN,  FLEX., SCHF., 2-ZINK., 15,5 CM</v>
          </cell>
          <cell r="D1891" t="str">
            <v>HOOKLET,  FLEXIBLE,  SHARP, 2-PR., 15.5 CM</v>
          </cell>
        </row>
        <row r="1892">
          <cell r="B1892" t="str">
            <v>15-078-03-07</v>
          </cell>
          <cell r="C1892" t="str">
            <v>HÄKCHEN,  FLEX., SCHF., 3-ZINK., 15,5 CM</v>
          </cell>
          <cell r="D1892" t="str">
            <v>HOOKLET,  FLEXIBLE,  SHARP, 3-PR., 15.5 CM</v>
          </cell>
        </row>
        <row r="1893">
          <cell r="B1893" t="str">
            <v>15-079-02-07</v>
          </cell>
          <cell r="C1893" t="str">
            <v>HÄKCHEN,  FLEX., STPF., 2-ZINK., 15,5 CM</v>
          </cell>
          <cell r="D1893" t="str">
            <v>HOOKLET,  FLEXIBLE,  BLUNT, 2-PR., 15.5 CM</v>
          </cell>
        </row>
        <row r="1894">
          <cell r="B1894" t="str">
            <v>15-079-03-07</v>
          </cell>
          <cell r="C1894" t="str">
            <v>HÄKCHEN,  FLEX., STPF., 3-ZINK., 15,5 CM</v>
          </cell>
          <cell r="D1894" t="str">
            <v>HOOKLET,  FLEXIBLE,  BLUNT, 3-PR., 15.5 CM</v>
          </cell>
        </row>
        <row r="1895">
          <cell r="B1895" t="str">
            <v>15-086-04-07</v>
          </cell>
          <cell r="C1895" t="str">
            <v>HÄKCHEN,  FEIN, SCHF., 4-ZINK., 16,5 CM</v>
          </cell>
          <cell r="D1895" t="str">
            <v>HOOKLET,   DELICATE,  4-PR., 16.5 CM</v>
          </cell>
        </row>
        <row r="1896">
          <cell r="B1896" t="str">
            <v>15-087-04-07</v>
          </cell>
          <cell r="C1896" t="str">
            <v>HÄKCHEN,  FEIN, STPF., 4-ZINK., 16,5 CM</v>
          </cell>
          <cell r="D1896" t="str">
            <v>HOOKLET,  DELICATE,  BLUNT, 4-PR., 16.5 CM</v>
          </cell>
        </row>
        <row r="1897">
          <cell r="B1897" t="str">
            <v>15-088-12-07</v>
          </cell>
          <cell r="C1897" t="str">
            <v>MIKRO-GEFÄSSHÄKCHEN, STUMPF,  12 CM</v>
          </cell>
          <cell r="D1897" t="str">
            <v>MICRO-VASCULAR HOOKLET,  BLUNT, 12 CM</v>
          </cell>
        </row>
        <row r="1898">
          <cell r="B1898" t="str">
            <v>15-091-08-07</v>
          </cell>
          <cell r="C1898" t="str">
            <v>SATTELHÄKCHEN, DESMARRES, 8 MM, 16 CM</v>
          </cell>
          <cell r="D1898" t="str">
            <v>HOOKLET,  DESMARRES, 8 MM, 16 CM</v>
          </cell>
        </row>
        <row r="1899">
          <cell r="B1899" t="str">
            <v>15-091-10-07</v>
          </cell>
          <cell r="C1899" t="str">
            <v>SATTELHÄKCHEN, DESMARRES, 10 MM, 16 CM</v>
          </cell>
          <cell r="D1899" t="str">
            <v>HOOKLET,  DESMARRES, 10 MM, 16 CM</v>
          </cell>
        </row>
        <row r="1900">
          <cell r="B1900" t="str">
            <v>15-091-12-07</v>
          </cell>
          <cell r="C1900" t="str">
            <v>SATTELHÄKCHEN, DESMARRES, 12 MM, 16 CM</v>
          </cell>
          <cell r="D1900" t="str">
            <v>HOOKLET,  DESMARRES, 12 MM, 16 CM</v>
          </cell>
        </row>
        <row r="1901">
          <cell r="B1901" t="str">
            <v>15-091-14-07</v>
          </cell>
          <cell r="C1901" t="str">
            <v>SATTELHÄKCHEN, DESMARRES, 14 MM, 16 CM</v>
          </cell>
          <cell r="D1901" t="str">
            <v>HOOKLET,  DESMARRES, 14 MM, 16 CM</v>
          </cell>
        </row>
        <row r="1902">
          <cell r="B1902" t="str">
            <v>15-091-16-07</v>
          </cell>
          <cell r="C1902" t="str">
            <v>SATTELHÄKCHEN, DESMARRES, 16 MM, 16 CM</v>
          </cell>
          <cell r="D1902" t="str">
            <v>HOOKLET,  DESMARRES, 16 MM, 16 CM</v>
          </cell>
        </row>
        <row r="1903">
          <cell r="B1903" t="str">
            <v>15-091-18-07</v>
          </cell>
          <cell r="C1903" t="str">
            <v>SATTELHÄKCHEN, DESMARRES, 18 MM, 16 CM</v>
          </cell>
          <cell r="D1903" t="str">
            <v>HOOKLET,  DESMARRES, 18 MM, 16 CM</v>
          </cell>
        </row>
        <row r="1904">
          <cell r="B1904" t="str">
            <v>15-095-10-07</v>
          </cell>
          <cell r="C1904" t="str">
            <v>HÄKCHEN,  MINI-LANGENBECK, 12X6 MM, 16 CM</v>
          </cell>
          <cell r="D1904" t="str">
            <v>HOOKLET,  MINI-LANGENBECK, 12X6 MM, 16 CM</v>
          </cell>
        </row>
        <row r="1905">
          <cell r="B1905" t="str">
            <v>15-095-17-07</v>
          </cell>
          <cell r="C1905" t="str">
            <v>HÄKCHEN,  MINI-LANGENBECK, 18X6 MM, 16 CM</v>
          </cell>
          <cell r="D1905" t="str">
            <v>HOOKLET,  MINI-LANGENBECK, 18X6 MM, 16 CM</v>
          </cell>
        </row>
        <row r="1906">
          <cell r="B1906" t="str">
            <v>15-095-20-07</v>
          </cell>
          <cell r="C1906" t="str">
            <v>HÄKCHEN,  MINI-LANGENBECK, 20X6 MM, 16 CM</v>
          </cell>
          <cell r="D1906" t="str">
            <v>HOOKLET,  MINI-LANGENBECK, 20X6 MM, 16 CM</v>
          </cell>
        </row>
        <row r="1907">
          <cell r="B1907" t="str">
            <v>15-095-22-07</v>
          </cell>
          <cell r="C1907" t="str">
            <v>HÄKCHEN,  MINI-LANGENBECK, 21X8 MM, 16 CM</v>
          </cell>
          <cell r="D1907" t="str">
            <v>HOOKLET,  MINI-LANGENBECK, 21X8 MM, 16 CM</v>
          </cell>
        </row>
        <row r="1908">
          <cell r="B1908" t="str">
            <v>15-099-16-07</v>
          </cell>
          <cell r="C1908" t="str">
            <v>WUNDHAKEN, STUMPF,  2-Z., 14X8 MM, 16 CM</v>
          </cell>
          <cell r="D1908" t="str">
            <v>RETRACTOR, BLUNT, 2-PR., 14X8 MM, 16 CM</v>
          </cell>
        </row>
        <row r="1909">
          <cell r="B1909" t="str">
            <v>15-100-01-07</v>
          </cell>
          <cell r="C1909" t="str">
            <v>WUNDHAKEN, FEIN, SCHF., 1-ZINK., 16,5 CM</v>
          </cell>
          <cell r="D1909" t="str">
            <v>RETRACTOR, DELIC., SHARP, 1-PR., 16.5 CM</v>
          </cell>
        </row>
        <row r="1910">
          <cell r="B1910" t="str">
            <v>15-100-02-07</v>
          </cell>
          <cell r="C1910" t="str">
            <v>WUNDHAKEN, FEIN, SCHF., 2-ZINK., 16,5 CM</v>
          </cell>
          <cell r="D1910" t="str">
            <v>RETRACTOR, DELIC., SHARP, 2-PR., 16.5 CM</v>
          </cell>
        </row>
        <row r="1911">
          <cell r="B1911" t="str">
            <v>15-100-03-07</v>
          </cell>
          <cell r="C1911" t="str">
            <v>WUNDHAKEN, FEIN, SCHF., 3-ZINK., 16,5 CM</v>
          </cell>
          <cell r="D1911" t="str">
            <v>RETRACTOR, DELIC., SHARP, 3-PR., 16.5 CM</v>
          </cell>
        </row>
        <row r="1912">
          <cell r="B1912" t="str">
            <v>15-100-04-07</v>
          </cell>
          <cell r="C1912" t="str">
            <v>WUNDHAKEN, FEIN, SCHF., 4-ZINK., 16,5 CM</v>
          </cell>
          <cell r="D1912" t="str">
            <v>RETRACTOR, DELIC., SHARP, 4-PR., 16.5 CM</v>
          </cell>
        </row>
        <row r="1913">
          <cell r="B1913" t="str">
            <v>15-101-01-07</v>
          </cell>
          <cell r="C1913" t="str">
            <v>WUNDHAKEN, FEIN, STPF., 1-ZINK., 16,5 CM</v>
          </cell>
          <cell r="D1913" t="str">
            <v>RETRACTOR, DELIC., BLUNT, 1-PR., 16.5 CM</v>
          </cell>
        </row>
        <row r="1914">
          <cell r="B1914" t="str">
            <v>15-101-02-07</v>
          </cell>
          <cell r="C1914" t="str">
            <v>WUNDHAKEN, FEIN, STPF., 2-ZINK., 16,5 CM</v>
          </cell>
          <cell r="D1914" t="str">
            <v>RETRACTOR, DELIC., BLUNT, 2-PR., 16.5 CM</v>
          </cell>
        </row>
        <row r="1915">
          <cell r="B1915" t="str">
            <v>15-101-03-07</v>
          </cell>
          <cell r="C1915" t="str">
            <v>WUNDHAKEN, FEIN, STPF., 3-ZINK., 16,5 CM</v>
          </cell>
          <cell r="D1915" t="str">
            <v>RETRACTOR, DELIC., BLUNT, 3-PR., 16.5 CM</v>
          </cell>
        </row>
        <row r="1916">
          <cell r="B1916" t="str">
            <v>15-101-04-07</v>
          </cell>
          <cell r="C1916" t="str">
            <v>WUNDHAKEN, FEIN, STPF., 4-ZINK., 16,5 CM</v>
          </cell>
          <cell r="D1916" t="str">
            <v>RETRACTOR, DELIC., BLUNT, 4-PR., 16.5 CM</v>
          </cell>
        </row>
        <row r="1917">
          <cell r="B1917" t="str">
            <v>15-151-01-07</v>
          </cell>
          <cell r="C1917" t="str">
            <v>HÄKCHEN,  MEYERDING, 18X7 MM, 18 CM</v>
          </cell>
          <cell r="D1917" t="str">
            <v>HOOKLET,  MEYERDING, 18X7 MM, 18 CM</v>
          </cell>
        </row>
        <row r="1918">
          <cell r="B1918" t="str">
            <v>15-151-02-07</v>
          </cell>
          <cell r="C1918" t="str">
            <v>HÄKCHEN,  MEYERDING, 16X5 MM, 18 CM</v>
          </cell>
          <cell r="D1918" t="str">
            <v>HOOKLET,  MEYERDING, 16X5 MM, 18 CM</v>
          </cell>
        </row>
        <row r="1919">
          <cell r="B1919" t="str">
            <v>15-151-03-07</v>
          </cell>
          <cell r="C1919" t="str">
            <v>HÄKCHEN,  MEYERDING, 7X4 MM, 18 CM</v>
          </cell>
          <cell r="D1919" t="str">
            <v>HOOKLET,  MEYERDING, 7X4 MM, 18 CM</v>
          </cell>
        </row>
        <row r="1920">
          <cell r="B1920" t="str">
            <v>15-151-04-07</v>
          </cell>
          <cell r="C1920" t="str">
            <v>HÄKCHEN,  MEYERDING, 12X4 MM, 18 CM</v>
          </cell>
          <cell r="D1920" t="str">
            <v>HOOKLET,  MEYERDING, 12X4 MM, 18 CM</v>
          </cell>
        </row>
        <row r="1921">
          <cell r="B1921" t="str">
            <v>15-151-05-07</v>
          </cell>
          <cell r="C1921" t="str">
            <v>HÄKCHEN,  MEYERDING, 8X4 MM, 18 CM</v>
          </cell>
          <cell r="D1921" t="str">
            <v>HOOKLET,  MEYERDING, 8X4 MM, 18 CM</v>
          </cell>
        </row>
        <row r="1922">
          <cell r="B1922" t="str">
            <v>15-151-06-07</v>
          </cell>
          <cell r="C1922" t="str">
            <v>HÄKCHEN,  MEYERDING, 7X9 MM, 18 CM</v>
          </cell>
          <cell r="D1922" t="str">
            <v>HOOKLET,  MEYERDING, 7X9 MM, 18 CM</v>
          </cell>
        </row>
        <row r="1923">
          <cell r="B1923" t="str">
            <v>15-161-01-07</v>
          </cell>
          <cell r="C1923" t="str">
            <v>HÄKCHEN,  SENN-GREEN, 20X6 MM, 16 CM</v>
          </cell>
          <cell r="D1923" t="str">
            <v>HOOKLET,  SENN-GREEN, 20X6 MM, 16 CM</v>
          </cell>
        </row>
        <row r="1924">
          <cell r="B1924" t="str">
            <v>15-161-02-07</v>
          </cell>
          <cell r="C1924" t="str">
            <v>HÄKCHEN,  SENN-GREEN, 10X6 MM, 16 CM</v>
          </cell>
          <cell r="D1924" t="str">
            <v>HOOKLET,  SENN-GREEN, 10X6 MM, 16 CM</v>
          </cell>
        </row>
        <row r="1925">
          <cell r="B1925" t="str">
            <v>15-164-14-07</v>
          </cell>
          <cell r="C1925" t="str">
            <v>DOPPELHÄKCHEN, RAGNELL-DAVIS, 15 CM</v>
          </cell>
          <cell r="D1925" t="str">
            <v>HOOKLET,  DOUBLE,  RAGNELL-DAVIS, 15 CM</v>
          </cell>
        </row>
        <row r="1926">
          <cell r="B1926" t="str">
            <v>15-164-24-07</v>
          </cell>
          <cell r="C1926" t="str">
            <v>Doppelhäkchen, Ragnell-D.,  11x4mm/19x6mm</v>
          </cell>
          <cell r="D1926" t="str">
            <v>Double Hooklet, Ragnell-D.  11x4mm/19x6mm</v>
          </cell>
        </row>
        <row r="1927">
          <cell r="B1927" t="str">
            <v>15-166-16-07</v>
          </cell>
          <cell r="C1927" t="str">
            <v>HÄKCHEN,  SENN-MÜLLER, SCH., 16 CM</v>
          </cell>
          <cell r="D1927" t="str">
            <v>HOOKLET,  SENN-MUELLER, SHARP, 16 CM</v>
          </cell>
        </row>
        <row r="1928">
          <cell r="B1928" t="str">
            <v>15-167-16-07</v>
          </cell>
          <cell r="C1928" t="str">
            <v>HÄKCHEN,  SENN-MÜLLER, ST., 16 CM</v>
          </cell>
          <cell r="D1928" t="str">
            <v>HOOKLET,  SENN-MUELLER, BLUNT, 16 CM</v>
          </cell>
        </row>
        <row r="1929">
          <cell r="B1929" t="str">
            <v>15-170-20-07</v>
          </cell>
          <cell r="C1929" t="str">
            <v>WUNDHAKEN, CUSHING,  GEFENSTERT, 20,5 CM</v>
          </cell>
          <cell r="D1929" t="str">
            <v>RETRACTOR, CUSHING,  FENESTRATED, 20,5 CM</v>
          </cell>
        </row>
        <row r="1930">
          <cell r="B1930" t="str">
            <v>15-171-08-07</v>
          </cell>
          <cell r="C1930" t="str">
            <v>SATTELHÄKCHEN, CUSHING,  8 MM, 20,5 CM</v>
          </cell>
          <cell r="D1930" t="str">
            <v>HOOKLET,  CUSHING,  8 MM, 20.5 CM</v>
          </cell>
        </row>
        <row r="1931">
          <cell r="B1931" t="str">
            <v>15-171-10-07</v>
          </cell>
          <cell r="C1931" t="str">
            <v>SATTELHÄKCHEN, CUSHING,  10 MM, 20,5 CM</v>
          </cell>
          <cell r="D1931" t="str">
            <v>HOOKLET,  CUSHING,  10 MM, 20.5 CM</v>
          </cell>
        </row>
        <row r="1932">
          <cell r="B1932" t="str">
            <v>15-171-12-07</v>
          </cell>
          <cell r="C1932" t="str">
            <v>SATTELHÄKCHEN, CUSHING,  12 MM, 20,5 CM</v>
          </cell>
          <cell r="D1932" t="str">
            <v>HOOKLET,  CUSHING,  12 MM, 20.5 CM</v>
          </cell>
        </row>
        <row r="1933">
          <cell r="B1933" t="str">
            <v>15-171-14-07</v>
          </cell>
          <cell r="C1933" t="str">
            <v>SATTELHÄKCHEN, CUSHING,  14 MM, 20,5 CM</v>
          </cell>
          <cell r="D1933" t="str">
            <v>HOOKLET,  CUSHING,  14 MM, 20.5 CM</v>
          </cell>
        </row>
        <row r="1934">
          <cell r="B1934" t="str">
            <v>15-171-16-07</v>
          </cell>
          <cell r="C1934" t="str">
            <v>SATTELHÄKCHEN, CUSHING,  16 MM, 20,5 CM</v>
          </cell>
          <cell r="D1934" t="str">
            <v>HOOKLET,  CUSHING,  16 MM, 20.5 CM</v>
          </cell>
        </row>
        <row r="1935">
          <cell r="B1935" t="str">
            <v>15-171-18-07</v>
          </cell>
          <cell r="C1935" t="str">
            <v>SATTELHÄKCHEN, CUSHING,  18 MM, 20,5 CM</v>
          </cell>
          <cell r="D1935" t="str">
            <v>HOOKLET,  CUSHING,  18 MM, 20.5 CM</v>
          </cell>
        </row>
        <row r="1936">
          <cell r="B1936" t="str">
            <v>15-172-08-07</v>
          </cell>
          <cell r="C1936" t="str">
            <v>SATTELHÄKCHEN, CUSHING,  8 MM, 24 CM</v>
          </cell>
          <cell r="D1936" t="str">
            <v>HOOKLET,  CUSHING,  8 MM, 24 CM</v>
          </cell>
        </row>
        <row r="1937">
          <cell r="B1937" t="str">
            <v>15-172-10-07</v>
          </cell>
          <cell r="C1937" t="str">
            <v>SATTELHÄKCHEN, CUSHING,  10 MM, 24 CM</v>
          </cell>
          <cell r="D1937" t="str">
            <v>HOOKLET,  CUSHING,  10 MM, 24 CM</v>
          </cell>
        </row>
        <row r="1938">
          <cell r="B1938" t="str">
            <v>15-172-12-07</v>
          </cell>
          <cell r="C1938" t="str">
            <v>SATTELHÄKCHEN, CUSHING,  12 MM, 24 CM</v>
          </cell>
          <cell r="D1938" t="str">
            <v>HOOKLET,  CUSHING,  12 MM, 24 CM</v>
          </cell>
        </row>
        <row r="1939">
          <cell r="B1939" t="str">
            <v>15-172-14-07</v>
          </cell>
          <cell r="C1939" t="str">
            <v>SATTELHÄKCHEN, CUSHING,  14 MM, 24 CM</v>
          </cell>
          <cell r="D1939" t="str">
            <v>HOOKLET,  CUSHING,  14 MM, 24 CM</v>
          </cell>
        </row>
        <row r="1940">
          <cell r="B1940" t="str">
            <v>15-172-16-07</v>
          </cell>
          <cell r="C1940" t="str">
            <v>SATTELHÄKCHEN, CUSHING,  16 MM, 24 CM</v>
          </cell>
          <cell r="D1940" t="str">
            <v>HOOKLET,  CUSHING,  16 MM, 24 CM</v>
          </cell>
        </row>
        <row r="1941">
          <cell r="B1941" t="str">
            <v>15-172-18-07</v>
          </cell>
          <cell r="C1941" t="str">
            <v>SATTELHÄKCHEN, CUSHING,  18 MM, 24 CM</v>
          </cell>
          <cell r="D1941" t="str">
            <v>HOOKLET,  CUSHING,  18 MM, 24 CM</v>
          </cell>
        </row>
        <row r="1942">
          <cell r="B1942" t="str">
            <v>15-174-04-07</v>
          </cell>
          <cell r="C1942" t="str">
            <v>SATTELHÄKCHEN, BIEGSAM,  4 MM, 24 CM</v>
          </cell>
          <cell r="D1942" t="str">
            <v>HOOKLET,  MALLEABLE SHAFT, 4 MM, 24 CM</v>
          </cell>
        </row>
        <row r="1943">
          <cell r="B1943" t="str">
            <v>15-174-06-07</v>
          </cell>
          <cell r="C1943" t="str">
            <v>SATTELHÄKCHEN, BIEGSAM,  6 MM, 24 CM</v>
          </cell>
          <cell r="D1943" t="str">
            <v>HOOKLET,  MALLEABLE SHAFT, 6 MM, 24 CM</v>
          </cell>
        </row>
        <row r="1944">
          <cell r="B1944" t="str">
            <v>15-174-08-07</v>
          </cell>
          <cell r="C1944" t="str">
            <v>SATTELHÄKCHEN, BIEGSAM,  8 MM, 24 CM</v>
          </cell>
          <cell r="D1944" t="str">
            <v>HOOKLET,  MALLEABLE SHAFT, 8 MM, 24 CM</v>
          </cell>
        </row>
        <row r="1945">
          <cell r="B1945" t="str">
            <v>15-174-11-07</v>
          </cell>
          <cell r="C1945" t="str">
            <v>SATTELHÄKCHEN, BIEGSAM,  11 MM, 24 CM</v>
          </cell>
          <cell r="D1945" t="str">
            <v>HOOKLET,  MALLEABLE SHAFT, 11 MM, 24 CM</v>
          </cell>
        </row>
        <row r="1946">
          <cell r="B1946" t="str">
            <v>15-174-15-07</v>
          </cell>
          <cell r="C1946" t="str">
            <v>SATTELHÄKCHEN, BIEGSAM,  15 MM, 24 CM</v>
          </cell>
          <cell r="D1946" t="str">
            <v>HOOKLET,  MALLEABLE SHAFT, 15 MM, 24 CM</v>
          </cell>
        </row>
        <row r="1947">
          <cell r="B1947" t="str">
            <v>15-174-17-07</v>
          </cell>
          <cell r="C1947" t="str">
            <v>SATTELHÄKCHEN, BIEGSAM,  17 MM, 24 CM</v>
          </cell>
          <cell r="D1947" t="str">
            <v>HOOKLET,  MALLEABLE SHAFT, 17 MM, 24 CM</v>
          </cell>
        </row>
        <row r="1948">
          <cell r="B1948" t="str">
            <v>15-174-20-07</v>
          </cell>
          <cell r="C1948" t="str">
            <v>SATTELHÄKCHEN, BIEGSAM,  20 MM, 24 CM</v>
          </cell>
          <cell r="D1948" t="str">
            <v>HOOKLET,  MALLEABLE SHAFT, 20 MM, 24 CM</v>
          </cell>
        </row>
        <row r="1949">
          <cell r="B1949" t="str">
            <v>15-174-23-07</v>
          </cell>
          <cell r="C1949" t="str">
            <v>SATTELHÄKCHEN, BIEGSAM,  23 MM, 24 CM</v>
          </cell>
          <cell r="D1949" t="str">
            <v>HOOKLET,  MALLEABLE SHAFT, 23 MM, 24 CM</v>
          </cell>
        </row>
        <row r="1950">
          <cell r="B1950" t="str">
            <v>15-176-01-07</v>
          </cell>
          <cell r="C1950" t="str">
            <v>VENENHÄKCHEN, BROM, SCHMAL,  19 CM</v>
          </cell>
          <cell r="D1950" t="str">
            <v>VEIN HOOKLET,  BROM, SMALL, 19 CM</v>
          </cell>
        </row>
        <row r="1951">
          <cell r="B1951" t="str">
            <v>15-176-02-07</v>
          </cell>
          <cell r="C1951" t="str">
            <v>VENENHÄKCHEN, BROM, BREIT, 19 CM</v>
          </cell>
          <cell r="D1951" t="str">
            <v>VEIN HOOKLET,  BROM, LARGE, 19 CM</v>
          </cell>
        </row>
        <row r="1952">
          <cell r="B1952" t="str">
            <v>15-191-01-07</v>
          </cell>
          <cell r="C1952" t="str">
            <v>HÄKCHEN,  STRANDELL-STILLE, FIG. 1, 19 CM</v>
          </cell>
          <cell r="D1952" t="str">
            <v>HOOKLET,  STRANDELL-STILLE, NO. 1, 19 CM</v>
          </cell>
        </row>
        <row r="1953">
          <cell r="B1953" t="str">
            <v>15-191-02-07</v>
          </cell>
          <cell r="C1953" t="str">
            <v>HÄKCHEN,  STRANDELL-STILLE, FIG. 2, 19 CM</v>
          </cell>
          <cell r="D1953" t="str">
            <v>HOOKLET,  STRANDELL-STILLE, NO. 2, 19 CM</v>
          </cell>
        </row>
        <row r="1954">
          <cell r="B1954" t="str">
            <v>15-195-01-07</v>
          </cell>
          <cell r="C1954" t="str">
            <v>WUNDHAKEN, KLAPP, 2-Z., STPF., 17,5 CM</v>
          </cell>
          <cell r="D1954" t="str">
            <v>RETRACTOR, KLAPP, 2-PR., BLUNT, 17.5 CM</v>
          </cell>
        </row>
        <row r="1955">
          <cell r="B1955" t="str">
            <v>15-195-02-07</v>
          </cell>
          <cell r="C1955" t="str">
            <v>WUNDHAKEN, KLAPP, 3-Z., STPF., 17,5 CM</v>
          </cell>
          <cell r="D1955" t="str">
            <v>RETRACTOR, KLAPP, 3-PR., BLUNT, 17.5 CM</v>
          </cell>
        </row>
        <row r="1956">
          <cell r="B1956" t="str">
            <v>15-195-03-07</v>
          </cell>
          <cell r="C1956" t="str">
            <v>WUNDHAKEN, KLAPP, 4-Z., STPF., 17,5 CM</v>
          </cell>
          <cell r="D1956" t="str">
            <v>RETRACTOR, KLAPP, 4-PR., BLUNT, 17.5 CM</v>
          </cell>
        </row>
        <row r="1957">
          <cell r="B1957" t="str">
            <v>15-200-04-07</v>
          </cell>
          <cell r="C1957" t="str">
            <v>WUNDHÄKCHEN, FEIN, 4-Z., SCHARF, 16,5 CM</v>
          </cell>
          <cell r="D1957" t="str">
            <v>HOOKLET,  DELICATE,  4-PR., SHARP, 16.5 CM</v>
          </cell>
        </row>
        <row r="1958">
          <cell r="B1958" t="str">
            <v>15-201-04-07</v>
          </cell>
          <cell r="C1958" t="str">
            <v>WUNDHÄKCHEN, FEIN, 4-Z., STUMPF,  16,5 CM</v>
          </cell>
          <cell r="D1958" t="str">
            <v>HOOKLET,  DELICATE,  4-PR., BLUNT, 16.5 CM</v>
          </cell>
        </row>
        <row r="1959">
          <cell r="B1959" t="str">
            <v>15-210-01-07</v>
          </cell>
          <cell r="C1959" t="str">
            <v>HAKEN, VOLKMANN, SCHARF, 1-Z., 21,5 CM</v>
          </cell>
          <cell r="D1959" t="str">
            <v>RETRACTOR, VOLKMANN, SH., 1-PR., 21.5 CM</v>
          </cell>
        </row>
        <row r="1960">
          <cell r="B1960" t="str">
            <v>15-210-02-07</v>
          </cell>
          <cell r="C1960" t="str">
            <v>HAKEN, VOLKMANN, SCHARF, 2-Z., 21,5 CM</v>
          </cell>
          <cell r="D1960" t="str">
            <v>RETRACTOR, VOLKMANN, SH., 2-PR., 21.5 CM</v>
          </cell>
        </row>
        <row r="1961">
          <cell r="B1961" t="str">
            <v>15-210-03-07</v>
          </cell>
          <cell r="C1961" t="str">
            <v>HAKEN, VOLKMANN, SCHARF, 3-Z., 21,5 CM</v>
          </cell>
          <cell r="D1961" t="str">
            <v>RETRACTOR, VOLKMANN, SH., 3-PR., 21.5 CM</v>
          </cell>
        </row>
        <row r="1962">
          <cell r="B1962" t="str">
            <v>15-210-04-07</v>
          </cell>
          <cell r="C1962" t="str">
            <v>HAKEN, VOLKMANN, SCHARF, 4-Z., 21,5 CM</v>
          </cell>
          <cell r="D1962" t="str">
            <v>RETRACTOR, VOLKMANN, SH., 4-PR., 21.5 CM</v>
          </cell>
        </row>
        <row r="1963">
          <cell r="B1963" t="str">
            <v>15-210-06-07</v>
          </cell>
          <cell r="C1963" t="str">
            <v>HAKEN, VOLKMANN, SCHARF, 6-Z., 21,5 CM</v>
          </cell>
          <cell r="D1963" t="str">
            <v>RETRACTOR, VOLKMANN, SH., 6-PR., 21.5 CM</v>
          </cell>
        </row>
        <row r="1964">
          <cell r="B1964" t="str">
            <v>15-211-01-07</v>
          </cell>
          <cell r="C1964" t="str">
            <v>HAKEN, VOLKMANN, STUMPF,  1-Z., 21,5 CM</v>
          </cell>
          <cell r="D1964" t="str">
            <v>RETRACTOR, VOLKMANN, BL., 1-PR., 21.5 CM</v>
          </cell>
        </row>
        <row r="1965">
          <cell r="B1965" t="str">
            <v>15-211-02-07</v>
          </cell>
          <cell r="C1965" t="str">
            <v>HAKEN, VOLKMANN, STUMPF,  2-Z., 21,5 CM</v>
          </cell>
          <cell r="D1965" t="str">
            <v>RETRACTOR, VOLKMANN, BL., 2-PR., 21.5 CM</v>
          </cell>
        </row>
        <row r="1966">
          <cell r="B1966" t="str">
            <v>15-211-03-07</v>
          </cell>
          <cell r="C1966" t="str">
            <v>HAKEN, VOLKMANN, STUMPF,  3-Z., 21,5 CM</v>
          </cell>
          <cell r="D1966" t="str">
            <v>RETRACTOR, VOLKMANN, BL., 3-PR., 21.5 CM</v>
          </cell>
        </row>
        <row r="1967">
          <cell r="B1967" t="str">
            <v>15-211-04-07</v>
          </cell>
          <cell r="C1967" t="str">
            <v>HAKEN, VOLKMANN, STUMPF,  4-Z., 21,5 CM</v>
          </cell>
          <cell r="D1967" t="str">
            <v>RETRACTOR, VOLKMANN, BL., 4-PR., 21.5 CM</v>
          </cell>
        </row>
        <row r="1968">
          <cell r="B1968" t="str">
            <v>15-211-06-07</v>
          </cell>
          <cell r="C1968" t="str">
            <v>HAKEN, VOLKMANN, STUMPF,  6-Z., 21,5 CM</v>
          </cell>
          <cell r="D1968" t="str">
            <v>RETRACTOR, VOLKMANN, BL., 6-PR., 21.5 CM</v>
          </cell>
        </row>
        <row r="1969">
          <cell r="B1969" t="str">
            <v>15-220-01-07</v>
          </cell>
          <cell r="C1969" t="str">
            <v>HAKEN, VOLKMANN, SCHARF, 1-Z., 22,5 CM</v>
          </cell>
          <cell r="D1969" t="str">
            <v>RETRACTOR, VOLKMANN, SH., 1-PR., 22.5 CM</v>
          </cell>
        </row>
        <row r="1970">
          <cell r="B1970" t="str">
            <v>15-220-02-07</v>
          </cell>
          <cell r="C1970" t="str">
            <v>HAKEN, VOLKMANN, SCHARF, 2-Z., 22,5 CM</v>
          </cell>
          <cell r="D1970" t="str">
            <v>RETRACTOR, VOLKMANN, SH., 2-PR., 22.5 CM</v>
          </cell>
        </row>
        <row r="1971">
          <cell r="B1971" t="str">
            <v>15-220-03-07</v>
          </cell>
          <cell r="C1971" t="str">
            <v>HAKEN, VOLKMANN, SCHARF, 3-Z., 22,5 CM</v>
          </cell>
          <cell r="D1971" t="str">
            <v>RETRACTOR, VOLKMANN, SH., 3-PR., 22.5 CM</v>
          </cell>
        </row>
        <row r="1972">
          <cell r="B1972" t="str">
            <v>15-220-04-07</v>
          </cell>
          <cell r="C1972" t="str">
            <v>HAKEN, VOLKMANN, SCHARF, 4-Z., 22,5 CM</v>
          </cell>
          <cell r="D1972" t="str">
            <v>RETRACTOR, VOLKMANN, SH., 4-PR., 22.5 CM</v>
          </cell>
        </row>
        <row r="1973">
          <cell r="B1973" t="str">
            <v>15-220-06-07</v>
          </cell>
          <cell r="C1973" t="str">
            <v>HAKEN, VOLKMANN, SCHARF, 6-Z., 22,5 CM</v>
          </cell>
          <cell r="D1973" t="str">
            <v>RETRACTOR, VOLKMANN, SH., 6-PR., 22.5 CM</v>
          </cell>
        </row>
        <row r="1974">
          <cell r="B1974" t="str">
            <v>15-221-01-07</v>
          </cell>
          <cell r="C1974" t="str">
            <v>HAKEN, VOLKMANN, STUMPF,  1-Z., 22,5 CM</v>
          </cell>
          <cell r="D1974" t="str">
            <v>RETRACTOR, VOLKMANN, BL., 1-PR., 22.5 CM</v>
          </cell>
        </row>
        <row r="1975">
          <cell r="B1975" t="str">
            <v>15-221-02-07</v>
          </cell>
          <cell r="C1975" t="str">
            <v>HAKEN, VOLKMANN, STUMPF,  2-Z., 22,5 CM</v>
          </cell>
          <cell r="D1975" t="str">
            <v>RETRACTOR, VOLKMANN, BL., 2-PR., 22.5 CM</v>
          </cell>
        </row>
        <row r="1976">
          <cell r="B1976" t="str">
            <v>15-221-03-07</v>
          </cell>
          <cell r="C1976" t="str">
            <v>HAKEN, VOLKMANN, STUMPF,  3-Z., 22,5 CM</v>
          </cell>
          <cell r="D1976" t="str">
            <v>RETRACTOR, VOLKMANN, BL., 3-PR., 22.5 CM</v>
          </cell>
        </row>
        <row r="1977">
          <cell r="B1977" t="str">
            <v>15-221-04-07</v>
          </cell>
          <cell r="C1977" t="str">
            <v>HAKEN, VOLKMANN, STUMPF,  4-Z., 22,5 CM</v>
          </cell>
          <cell r="D1977" t="str">
            <v>RETRACTOR, VOLKMANN, BL., 4-PR., 22.5 CM</v>
          </cell>
        </row>
        <row r="1978">
          <cell r="B1978" t="str">
            <v>15-221-06-07</v>
          </cell>
          <cell r="C1978" t="str">
            <v>HAKEN, VOLKMANN, STUMPF,  6-Z., 22,5 CM</v>
          </cell>
          <cell r="D1978" t="str">
            <v>RETRACTOR, VOLKMANN, BL., 6-PR., 22.5 CM</v>
          </cell>
        </row>
        <row r="1979">
          <cell r="B1979" t="str">
            <v>15-222-01-07</v>
          </cell>
          <cell r="C1979" t="str">
            <v>HAKEN, VOLKMANN, HALBSCH.,  1-Z., 22,5 CM</v>
          </cell>
          <cell r="D1979" t="str">
            <v>RETR., VOLKMANN, SEMISH.,  1-PR, 22.5 CM</v>
          </cell>
        </row>
        <row r="1980">
          <cell r="B1980" t="str">
            <v>15-222-02-07</v>
          </cell>
          <cell r="C1980" t="str">
            <v>HAKEN, VOLKMANN, HALBSCH.,  2-Z., 22,5 CM</v>
          </cell>
          <cell r="D1980" t="str">
            <v>RETR., VOLKMANN, SEMISH.,  2-PR., 22.5 CM</v>
          </cell>
        </row>
        <row r="1981">
          <cell r="B1981" t="str">
            <v>15-222-03-07</v>
          </cell>
          <cell r="C1981" t="str">
            <v>HAKEN, VOLKMANN, HALBSCH.,  3-Z., 22,5 CM</v>
          </cell>
          <cell r="D1981" t="str">
            <v>RETR., VOLKMANN, SEMISH.,  3-PR., 22.5 CM</v>
          </cell>
        </row>
        <row r="1982">
          <cell r="B1982" t="str">
            <v>15-222-04-07</v>
          </cell>
          <cell r="C1982" t="str">
            <v>HAKEN, VOLKMANN, HALBSCH.,  4-Z., 22,5 CM</v>
          </cell>
          <cell r="D1982" t="str">
            <v>RETR., VOLKMANN, SEMISH.,  4-PR., 22.5 CM</v>
          </cell>
        </row>
        <row r="1983">
          <cell r="B1983" t="str">
            <v>15-222-06-07</v>
          </cell>
          <cell r="C1983" t="str">
            <v>HAKEN, VOLKMANN, HALBSCH.,  6-Z., 22,5 CM</v>
          </cell>
          <cell r="D1983" t="str">
            <v>RETR., VOLKMANN, SEMISH.,  6-PR., 22.5 CM</v>
          </cell>
        </row>
        <row r="1984">
          <cell r="B1984" t="str">
            <v>15-230-01-07</v>
          </cell>
          <cell r="C1984" t="str">
            <v>HAKEN, VOLKMANN, SCHARF, 1-Z., 21,5 CM</v>
          </cell>
          <cell r="D1984" t="str">
            <v>RETRACTOR, VOLKMANN, SH., 1-PR., 21.5 CM</v>
          </cell>
        </row>
        <row r="1985">
          <cell r="B1985" t="str">
            <v>15-231-01-07</v>
          </cell>
          <cell r="C1985" t="str">
            <v>HAKEN, VOLKMANN, STUMPF,  1-Z., 21,5 CM</v>
          </cell>
          <cell r="D1985" t="str">
            <v>RETRACTOR, VOLKMANN, BL., 1-PR., 21.5 CM</v>
          </cell>
        </row>
        <row r="1986">
          <cell r="B1986" t="str">
            <v>15-232-01-07</v>
          </cell>
          <cell r="C1986" t="str">
            <v>WUNDHAKEN, 1-ZINKIG,  SCHARF, 21,5 CM</v>
          </cell>
          <cell r="D1986" t="str">
            <v>RETRACTOR, 1-PRONG,  SHARP, 21.5 CM</v>
          </cell>
        </row>
        <row r="1987">
          <cell r="B1987" t="str">
            <v>15-240-01-07</v>
          </cell>
          <cell r="C1987" t="str">
            <v>WUNDHAKEN, KOCHER,  SCHARF, 1-Z., 22,5 CM</v>
          </cell>
          <cell r="D1987" t="str">
            <v>RETRACTOR, KOCHER,  SHARP, 1-PR., 22.5 CM</v>
          </cell>
        </row>
        <row r="1988">
          <cell r="B1988" t="str">
            <v>15-240-02-07</v>
          </cell>
          <cell r="C1988" t="str">
            <v>WUNDHAKEN, KOCHER,  SCHARF, 2-Z., 22,5 CM</v>
          </cell>
          <cell r="D1988" t="str">
            <v>RETRACTOR, KOCHER,  SHARP, 2-PR., 22.5 CM</v>
          </cell>
        </row>
        <row r="1989">
          <cell r="B1989" t="str">
            <v>15-240-03-07</v>
          </cell>
          <cell r="C1989" t="str">
            <v>WUNDHAKEN, KOCHER,  SCHARF, 3-Z., 22,5 CM</v>
          </cell>
          <cell r="D1989" t="str">
            <v>RETRACTOR, KOCHER,  SHARP, 3-PR., 22.5 CM</v>
          </cell>
        </row>
        <row r="1990">
          <cell r="B1990" t="str">
            <v>15-240-04-07</v>
          </cell>
          <cell r="C1990" t="str">
            <v>WUNDHAKEN, KOCHER,  SCHARF, 4-Z., 22,5 CM</v>
          </cell>
          <cell r="D1990" t="str">
            <v>RETRACTOR, KOCHER,  SHARP, 4-PR., 22.5 CM</v>
          </cell>
        </row>
        <row r="1991">
          <cell r="B1991" t="str">
            <v>15-240-06-07</v>
          </cell>
          <cell r="C1991" t="str">
            <v>WUNDHAKEN, KOCHER,  SCHARF, 6-Z., 22,5 CM</v>
          </cell>
          <cell r="D1991" t="str">
            <v>RETRACTOR, KOCHER,  SHARP, 6-PR., 22.5 CM</v>
          </cell>
        </row>
        <row r="1992">
          <cell r="B1992" t="str">
            <v>15-241-01-07</v>
          </cell>
          <cell r="C1992" t="str">
            <v>WUNDHAKEN, KOCHER,  STUMPF,  1-Z., 22,5 CM</v>
          </cell>
          <cell r="D1992" t="str">
            <v>RETRACTOR, KOCHER,  BLUNT, 1-PR., 22.5 CM</v>
          </cell>
        </row>
        <row r="1993">
          <cell r="B1993" t="str">
            <v>15-241-02-07</v>
          </cell>
          <cell r="C1993" t="str">
            <v>WUNDHAKEN, KOCHER,  STUMPF,  2-Z., 22,5 CM</v>
          </cell>
          <cell r="D1993" t="str">
            <v>RETRACTOR, KOCHER,  BLUNT, 2-PR., 22.5 CM</v>
          </cell>
        </row>
        <row r="1994">
          <cell r="B1994" t="str">
            <v>15-241-03-07</v>
          </cell>
          <cell r="C1994" t="str">
            <v>WUNDHAKEN, KOCHER,  STUMPF,  3-Z., 22,5 CM</v>
          </cell>
          <cell r="D1994" t="str">
            <v>RETRACTOR, KOCHER,  BLUNT, 3-PR., 22.5 CM</v>
          </cell>
        </row>
        <row r="1995">
          <cell r="B1995" t="str">
            <v>15-241-04-07</v>
          </cell>
          <cell r="C1995" t="str">
            <v>WUNDHAKEN, KOCHER,  STUMPF,  4-Z., 22,5 CM</v>
          </cell>
          <cell r="D1995" t="str">
            <v>RETRACTOR, KOCHER,  BLUNT, 4-PR., 22.5 CM</v>
          </cell>
        </row>
        <row r="1996">
          <cell r="B1996" t="str">
            <v>15-241-06-07</v>
          </cell>
          <cell r="C1996" t="str">
            <v>WUNDHAKEN, KOCHER,  STUMPF,  6-Z., 22,5 CM</v>
          </cell>
          <cell r="D1996" t="str">
            <v>RETRACTOR, KOCHER,  BLUNT, 6-PR., 22.5 CM</v>
          </cell>
        </row>
        <row r="1997">
          <cell r="B1997" t="str">
            <v>15-242-01-07</v>
          </cell>
          <cell r="C1997" t="str">
            <v>WUNDHAKEN, KOCHER,  HALBSCH.,  1-Z.,22,5CM</v>
          </cell>
          <cell r="D1997" t="str">
            <v>RETRACTOR, KOCHER,  SEMISH.,  1-PR., 22 CM</v>
          </cell>
        </row>
        <row r="1998">
          <cell r="B1998" t="str">
            <v>15-242-02-07</v>
          </cell>
          <cell r="C1998" t="str">
            <v>WUNDHAKEN, KOCHER,  HALBSCH.,  2-Z.,22,5CM</v>
          </cell>
          <cell r="D1998" t="str">
            <v>RETRACTOR, KOCHER,  SEMISH.,  2-PR., 22 CM</v>
          </cell>
        </row>
        <row r="1999">
          <cell r="B1999" t="str">
            <v>15-242-03-07</v>
          </cell>
          <cell r="C1999" t="str">
            <v>WUNDHAKEN, KOCHER,  HALBSCH.,  3-Z.,22,5CM</v>
          </cell>
          <cell r="D1999" t="str">
            <v>RETRACTOR, KOCHER,  SEMISH.,  3-PR., 22 CM</v>
          </cell>
        </row>
        <row r="2000">
          <cell r="B2000" t="str">
            <v>15-242-04-07</v>
          </cell>
          <cell r="C2000" t="str">
            <v>WUNDHAKEN, KOCHER,  HALBSCH.,  4-Z.,22,5CM</v>
          </cell>
          <cell r="D2000" t="str">
            <v>RETRACTOR, KOCHER,  SEMISH.,  4-PR., 22 CM</v>
          </cell>
        </row>
        <row r="2001">
          <cell r="B2001" t="str">
            <v>15-242-06-07</v>
          </cell>
          <cell r="C2001" t="str">
            <v>WUNDHAKEN, KOCHER,  HALBSCH.,  6-Z.,22,5CM</v>
          </cell>
          <cell r="D2001" t="str">
            <v>RETRACTOR, KOCHER,  SEMISH.,  6-PR., 22 CM</v>
          </cell>
        </row>
        <row r="2002">
          <cell r="B2002" t="str">
            <v>15-251-03-07</v>
          </cell>
          <cell r="C2002" t="str">
            <v>HAKEN, OLLIER, STUMPF,  37X30 MM, 24,5 CM</v>
          </cell>
          <cell r="D2002" t="str">
            <v>RETRACT.,  OLLIER, BL., 37X30 MM, 24.5 CM</v>
          </cell>
        </row>
        <row r="2003">
          <cell r="B2003" t="str">
            <v>15-253-04-07</v>
          </cell>
          <cell r="C2003" t="str">
            <v>HAKEN, OLLIER, STUMPF,  39X60 MM, 23 CM</v>
          </cell>
          <cell r="D2003" t="str">
            <v>RETRACTOR, OLLIER, BL., 39X60 MM, 23 CM</v>
          </cell>
        </row>
        <row r="2004">
          <cell r="B2004" t="str">
            <v>15-261-02-07</v>
          </cell>
          <cell r="C2004" t="str">
            <v>HAKEN, WASSMUND, 33X20 MM, 20,5 CM</v>
          </cell>
          <cell r="D2004" t="str">
            <v>RETRACTOR, WASSMUND, 33X20 MM, 20.5 CM</v>
          </cell>
        </row>
        <row r="2005">
          <cell r="B2005" t="str">
            <v>15-266-08-07</v>
          </cell>
          <cell r="C2005" t="str">
            <v>HAKEN, KÖRTE, SCHARF, 8-ZINK., 24,5 CM</v>
          </cell>
          <cell r="D2005" t="str">
            <v>RETRACTOR, KOERTE, SHARP, 8-PR., 24.5 CM</v>
          </cell>
        </row>
        <row r="2006">
          <cell r="B2006" t="str">
            <v>15-267-08-07</v>
          </cell>
          <cell r="C2006" t="str">
            <v>HAKEN, KÖRTE, STUMPF,  8-ZINK., 24,5 CM</v>
          </cell>
          <cell r="D2006" t="str">
            <v>RETRACTOR, KOERTE, BLUNT, 8-PR., 24.5 CM</v>
          </cell>
        </row>
        <row r="2007">
          <cell r="B2007" t="str">
            <v>15-281-04-07</v>
          </cell>
          <cell r="C2007" t="str">
            <v>HAKEN, ISRAEL, STUMPF,  40X40 MM, 24,5 CM</v>
          </cell>
          <cell r="D2007" t="str">
            <v>RETRACT.,  ISRAEL, BL., 40X40 MM, 24.5 CM</v>
          </cell>
        </row>
        <row r="2008">
          <cell r="B2008" t="str">
            <v>15-283-05-07</v>
          </cell>
          <cell r="C2008" t="str">
            <v>HAKEN, ISRAEL, STUMPF,  45X50 MM, 24,5 CM</v>
          </cell>
          <cell r="D2008" t="str">
            <v>RETRACT.,  ISRAEL, BL., 45X50 MM, 24.5 CM</v>
          </cell>
        </row>
        <row r="2009">
          <cell r="B2009" t="str">
            <v>15-287-06-07</v>
          </cell>
          <cell r="C2009" t="str">
            <v>HAKEN, ISRAEL, STUMPF,  50X60 MM, 24,5 CM</v>
          </cell>
          <cell r="D2009" t="str">
            <v>RETRACT.,  ISRAEL, BL., 50X60 MM, 24.5 CM</v>
          </cell>
        </row>
        <row r="2010">
          <cell r="B2010" t="str">
            <v>15-289-07-07</v>
          </cell>
          <cell r="C2010" t="str">
            <v>HAKEN, ISRAEL, STUMPF,  70X70 MM, 24,5 CM</v>
          </cell>
          <cell r="D2010" t="str">
            <v>RETRACT.,  ISRAEL, BL., 70X70 MM, 24.5 CM</v>
          </cell>
        </row>
        <row r="2011">
          <cell r="B2011" t="str">
            <v>15-291-01-07</v>
          </cell>
          <cell r="C2011" t="str">
            <v>HAKEN, LANGENBECK, 30X11 MM, 21 CM</v>
          </cell>
          <cell r="D2011" t="str">
            <v>RETRACTOR, LANGENBECK, 30X11 MM, 21 CM</v>
          </cell>
        </row>
        <row r="2012">
          <cell r="B2012" t="str">
            <v>15-291-02-07</v>
          </cell>
          <cell r="C2012" t="str">
            <v>HAKEN, LANGENBECK, 30X13 MM, 21 CM</v>
          </cell>
          <cell r="D2012" t="str">
            <v>RETRACTOR, LANGENBECK, 30X13 MM, 21 CM</v>
          </cell>
        </row>
        <row r="2013">
          <cell r="B2013" t="str">
            <v>15-291-03-07</v>
          </cell>
          <cell r="C2013" t="str">
            <v>HAKEN, LANGENBECK, 30X15 MM, 21 CM</v>
          </cell>
          <cell r="D2013" t="str">
            <v>RETRACTOR, LANGENBECK, 30X15 MM, 21 CM</v>
          </cell>
        </row>
        <row r="2014">
          <cell r="B2014" t="str">
            <v>15-291-04-07</v>
          </cell>
          <cell r="C2014" t="str">
            <v>HAKEN, LANGENBECK, 40X11 MM, 21 CM</v>
          </cell>
          <cell r="D2014" t="str">
            <v>RETRACTOR, LANGENBECK, 40X11 MM, 21 CM</v>
          </cell>
        </row>
        <row r="2015">
          <cell r="B2015" t="str">
            <v>15-291-05-07</v>
          </cell>
          <cell r="C2015" t="str">
            <v>HAKEN, LANGENBECK, 50X11 MM, 21 CM</v>
          </cell>
          <cell r="D2015" t="str">
            <v>RETRACTOR, LANGENBECK, 50X11 MM, 21 CM</v>
          </cell>
        </row>
        <row r="2016">
          <cell r="B2016" t="str">
            <v>15-293-01-07</v>
          </cell>
          <cell r="C2016" t="str">
            <v>HAKEN, LANGENBECK, 30X11 MM, 21,5 CM</v>
          </cell>
          <cell r="D2016" t="str">
            <v>RETRACTOR, LANGENBECK, 30X11 MM, 21,5 CM</v>
          </cell>
        </row>
        <row r="2017">
          <cell r="B2017" t="str">
            <v>15-293-02-07</v>
          </cell>
          <cell r="C2017" t="str">
            <v>HAKEN, LANGENBECK, 30X13 MM, 21,5 CM</v>
          </cell>
          <cell r="D2017" t="str">
            <v>RETRACTOR, LANGENBECK, 30X13 MM, 21,5 CM</v>
          </cell>
        </row>
        <row r="2018">
          <cell r="B2018" t="str">
            <v>15-293-03-07</v>
          </cell>
          <cell r="C2018" t="str">
            <v>HAKEN, LANGENBECK, 30X15 MM, 21,5 CM</v>
          </cell>
          <cell r="D2018" t="str">
            <v>RETRACTOR, LANGENBECK, 30X15 MM, 21,5 CM</v>
          </cell>
        </row>
        <row r="2019">
          <cell r="B2019" t="str">
            <v>15-293-04-07</v>
          </cell>
          <cell r="C2019" t="str">
            <v>HAKEN, LANGENBECK, 40X11 MM, 21,5 CM</v>
          </cell>
          <cell r="D2019" t="str">
            <v>RETRACTOR, LANGENBECK, 40X11 MM, 21,5 CM</v>
          </cell>
        </row>
        <row r="2020">
          <cell r="B2020" t="str">
            <v>15-293-05-07</v>
          </cell>
          <cell r="C2020" t="str">
            <v>HAKEN, LANGENBECK, 50X11 MM, 21,5 CM</v>
          </cell>
          <cell r="D2020" t="str">
            <v>RETRACTOR, LANGENBECK, 50X11 MM, 21,5 CM</v>
          </cell>
        </row>
        <row r="2021">
          <cell r="B2021" t="str">
            <v>15-295-21-07</v>
          </cell>
          <cell r="C2021" t="str">
            <v>HAKEN, LANGENBECK, 60X20 MM, 21 CM</v>
          </cell>
          <cell r="D2021" t="str">
            <v>RETRACTOR, LANGENBECK, 60X20 MM, 21 CM</v>
          </cell>
        </row>
        <row r="2022">
          <cell r="B2022" t="str">
            <v>15-297-21-07</v>
          </cell>
          <cell r="C2022" t="str">
            <v>HAKEN, LANGENBECK, 85X15 MM, 22,5 CM</v>
          </cell>
          <cell r="D2022" t="str">
            <v>RETRACTOR, LANGENBECK, 85X15 MM, 22.5 CM</v>
          </cell>
        </row>
        <row r="2023">
          <cell r="B2023" t="str">
            <v>15-299-01-07</v>
          </cell>
          <cell r="C2023" t="str">
            <v>Wundhaken, Langenbeck, 40x13 mm, 21,5 cm</v>
          </cell>
          <cell r="D2023" t="str">
            <v>Retract., Langenbeck, 40x13 mm, 21,5 cm</v>
          </cell>
        </row>
        <row r="2024">
          <cell r="B2024" t="str">
            <v>15-301-16-07</v>
          </cell>
          <cell r="C2024" t="str">
            <v>Wundhaken, Langenb.-Green, 6x16mm,  16cm</v>
          </cell>
          <cell r="D2024" t="str">
            <v>Retract., Langenb.-Green, 6x16 mm, 16 cm</v>
          </cell>
        </row>
        <row r="2025">
          <cell r="B2025" t="str">
            <v>15-301-25-07</v>
          </cell>
          <cell r="C2025" t="str">
            <v>Wundhaken, Langenb.-Green, 6x25mm,  16cm</v>
          </cell>
          <cell r="D2025" t="str">
            <v>Retract., Langenb.-Green, 6x25 mm, 16 cm</v>
          </cell>
        </row>
        <row r="2026">
          <cell r="B2026" t="str">
            <v>15-307-19-07</v>
          </cell>
          <cell r="C2026" t="str">
            <v>WUNDHAKEN, LAHEY, 29X6 MM, 20,5 CM</v>
          </cell>
          <cell r="D2026" t="str">
            <v>RETRACTOR, LAHEY, 29X6 MM, 20.5 CM</v>
          </cell>
        </row>
        <row r="2027">
          <cell r="B2027" t="str">
            <v>15-313-20-07</v>
          </cell>
          <cell r="C2027" t="str">
            <v>WUNDHAKEN, LITTLE, 13X14 MM, 20 CM</v>
          </cell>
          <cell r="D2027" t="str">
            <v>RETRACTOR, LITTLE, 13X14 MM, 20 CM</v>
          </cell>
        </row>
        <row r="2028">
          <cell r="B2028" t="str">
            <v>15-315-18-07</v>
          </cell>
          <cell r="C2028" t="str">
            <v>WUNDHAKEN, KOCHER,  41X18 MM, 23 CM</v>
          </cell>
          <cell r="D2028" t="str">
            <v>RETRACTOR, KOCHER,  41X18 MM, 23 CM</v>
          </cell>
        </row>
        <row r="2029">
          <cell r="B2029" t="str">
            <v>15-315-20-07</v>
          </cell>
          <cell r="C2029" t="str">
            <v>WUNDHAKEN, KOCHER,  61X20 MM, 23 CM</v>
          </cell>
          <cell r="D2029" t="str">
            <v>RETRACTOR, KOCHER,  61X20 MM, 23 CM</v>
          </cell>
        </row>
        <row r="2030">
          <cell r="B2030" t="str">
            <v>15-315-25-07</v>
          </cell>
          <cell r="C2030" t="str">
            <v>WUNDHAKEN, KOCHER,  61X25 MM, 23 CM</v>
          </cell>
          <cell r="D2030" t="str">
            <v>RETRACTOR, KOCHER,  61X25 MM, 23 CM</v>
          </cell>
        </row>
        <row r="2031">
          <cell r="B2031" t="str">
            <v>15-315-30-07</v>
          </cell>
          <cell r="C2031" t="str">
            <v>WUNDHAKEN, KOCHER,  75X30 MM, 23 CM</v>
          </cell>
          <cell r="D2031" t="str">
            <v>RETRACTOR, KOCHER,  75X30 MM, 23 CM</v>
          </cell>
        </row>
        <row r="2032">
          <cell r="B2032" t="str">
            <v>15-315-40-07</v>
          </cell>
          <cell r="C2032" t="str">
            <v>WUNDHAKEN, KOCHER,  75X40 MM, 23 CM</v>
          </cell>
          <cell r="D2032" t="str">
            <v>RETRACTOR, KOCHER,  75X40 MM, 23 CM</v>
          </cell>
        </row>
        <row r="2033">
          <cell r="B2033" t="str">
            <v>15-317-01-07</v>
          </cell>
          <cell r="C2033" t="str">
            <v>HAKEN, KOCHER-LANGENB., 25X6 MM, 21,5 CM</v>
          </cell>
          <cell r="D2033" t="str">
            <v>RETRACT.,  KOCHER-LANG., 25X6 MM, 21.5 CM</v>
          </cell>
        </row>
        <row r="2034">
          <cell r="B2034" t="str">
            <v>15-317-02-07</v>
          </cell>
          <cell r="C2034" t="str">
            <v>HAKEN, KOCHER-LANGENB., 35X8 MM, 21,5 CM</v>
          </cell>
          <cell r="D2034" t="str">
            <v>RETRACT.,  KOCHER-LANG., 35X8 MM, 21.5 CM</v>
          </cell>
        </row>
        <row r="2035">
          <cell r="B2035" t="str">
            <v>15-317-03-07</v>
          </cell>
          <cell r="C2035" t="str">
            <v>HAKEN, KOCHER-LANGENB., 35X11 MM, 21,5CM</v>
          </cell>
          <cell r="D2035" t="str">
            <v>RETRACT.,  KOCHER-LANG., 35X11 MM, 21.5CM</v>
          </cell>
        </row>
        <row r="2036">
          <cell r="B2036" t="str">
            <v>15-317-04-07</v>
          </cell>
          <cell r="C2036" t="str">
            <v>HAKEN, KOCHER-LANGENB., 35X15 MM, 21,5CM</v>
          </cell>
          <cell r="D2036" t="str">
            <v>RETRACT.,  KOCHER-LANG., 35X15 MM, 21.5CM</v>
          </cell>
        </row>
        <row r="2037">
          <cell r="B2037" t="str">
            <v>15-317-05-07</v>
          </cell>
          <cell r="C2037" t="str">
            <v>HAKEN, KOCHER-LANGENB., 40X11 MM, 21,5CM</v>
          </cell>
          <cell r="D2037" t="str">
            <v>RETRACT.,  KOCHER-LANG., 40X11 MM, 21.5CM</v>
          </cell>
        </row>
        <row r="2038">
          <cell r="B2038" t="str">
            <v>15-317-06-07</v>
          </cell>
          <cell r="C2038" t="str">
            <v>HAKEN, KOCHER-LANGENB., 55X11 MM, 21,5CM</v>
          </cell>
          <cell r="D2038" t="str">
            <v>RETRACT.,  KOCHER-LANG., 55X11 MM, 21.5CM</v>
          </cell>
        </row>
        <row r="2039">
          <cell r="B2039" t="str">
            <v>15-317-07-07</v>
          </cell>
          <cell r="C2039" t="str">
            <v>HAKEN, KOCHER-LANGENB., 70X14 MM, 21,5CM</v>
          </cell>
          <cell r="D2039" t="str">
            <v>RETRACT.,  KOCHER-LANG., 70X14 MM, 21.5CM</v>
          </cell>
        </row>
        <row r="2040">
          <cell r="B2040" t="str">
            <v>15-317-08-07</v>
          </cell>
          <cell r="C2040" t="str">
            <v>Haken, Kocher-Langenbeck, 80x12mm,21,5cm</v>
          </cell>
          <cell r="D2040" t="str">
            <v>RETRACT.,  KOCHER-LANG., 80X12 MM, 21.5CM</v>
          </cell>
        </row>
        <row r="2041">
          <cell r="B2041" t="str">
            <v>15-317-09-07</v>
          </cell>
          <cell r="C2041" t="str">
            <v>HAKEN, KOCHER-LANGENB., 80X16 MM, 21,5CM</v>
          </cell>
          <cell r="D2041" t="str">
            <v>RETRACT.,  KOCHER-LANG., 80X16 MM, 21.5CM</v>
          </cell>
        </row>
        <row r="2042">
          <cell r="B2042" t="str">
            <v>15-318-01-07</v>
          </cell>
          <cell r="C2042" t="str">
            <v>Endo-Condyle Unit,Ramushaken,Dorn,li</v>
          </cell>
          <cell r="D2042" t="str">
            <v>Endo-Condyle Unit,ramus  retr.,spike,le</v>
          </cell>
        </row>
        <row r="2043">
          <cell r="B2043" t="str">
            <v>15-318-02-07</v>
          </cell>
          <cell r="C2043" t="str">
            <v>Endo-Condyle Unit,Ramushaken,Dorn,re</v>
          </cell>
          <cell r="D2043" t="str">
            <v>Endo-Condyle Unit,ramus  retr.,spike,ri</v>
          </cell>
        </row>
        <row r="2044">
          <cell r="B2044" t="str">
            <v>15-319-01-07</v>
          </cell>
          <cell r="C2044" t="str">
            <v>HAKEN, KOCHER-LANGENB., 25X10 MM, 21,5CM</v>
          </cell>
          <cell r="D2044" t="str">
            <v>RETRACT.,  KOCHER-LANG., 25X10 MM, 21.5CM</v>
          </cell>
        </row>
        <row r="2045">
          <cell r="B2045" t="str">
            <v>15-319-02-07</v>
          </cell>
          <cell r="C2045" t="str">
            <v>HAKEN, KOCHER-LANGENB., 40X13 MM, 21,5CM</v>
          </cell>
          <cell r="D2045" t="str">
            <v>RETRACT.,  KOCHER-LANG., 40X13 MM, 21.5CM</v>
          </cell>
        </row>
        <row r="2046">
          <cell r="B2046" t="str">
            <v>15-319-03-07</v>
          </cell>
          <cell r="C2046" t="str">
            <v>HAKEN, KOCHER-LANGENB., 60X13 MM, 21,5CM</v>
          </cell>
          <cell r="D2046" t="str">
            <v>RETRACT.,  KOCHER-LANG., 60X13 MM, 21.5CM</v>
          </cell>
        </row>
        <row r="2047">
          <cell r="B2047" t="str">
            <v>15-319-04-07</v>
          </cell>
          <cell r="C2047" t="str">
            <v>HAKEN, KOCHER-LANGENB., 40X18 MM, 21,5CM</v>
          </cell>
          <cell r="D2047" t="str">
            <v>RETRACT.,  KOCHER-LANG., 40X18 MM, 21.5CM</v>
          </cell>
        </row>
        <row r="2048">
          <cell r="B2048" t="str">
            <v>15-319-05-07</v>
          </cell>
          <cell r="C2048" t="str">
            <v>HAKEN, KOCHER-LANGENB., 60X18 MM, 21,5CM</v>
          </cell>
          <cell r="D2048" t="str">
            <v>RETRACT.,  KOCHER-LANG., 60X18 MM, 21.5CM</v>
          </cell>
        </row>
        <row r="2049">
          <cell r="B2049" t="str">
            <v>15-319-06-07</v>
          </cell>
          <cell r="C2049" t="str">
            <v>HAKEN, KOCHER-LANGENB., 85X18 MM, 21,5CM</v>
          </cell>
          <cell r="D2049" t="str">
            <v>RETRACT.,  KOCHER-LANG., 85X18 MM, 21.5CM</v>
          </cell>
        </row>
        <row r="2050">
          <cell r="B2050" t="str">
            <v>15-319-07-07</v>
          </cell>
          <cell r="C2050" t="str">
            <v>HAKEN, KOCHER-LANGENB., 60X25 MM, 21,5CM</v>
          </cell>
          <cell r="D2050" t="str">
            <v>RETRACT.,  KOCHER-LANG., 60X25 MM, 21.5CM</v>
          </cell>
        </row>
        <row r="2051">
          <cell r="B2051" t="str">
            <v>15-319-08-07</v>
          </cell>
          <cell r="C2051" t="str">
            <v>HAKEN, KOCHER-LANGENB., 85X25 MM, 21,5CM</v>
          </cell>
          <cell r="D2051" t="str">
            <v>RETRACT.,  KOCHER-LANG., 85X25 MM, 21.5CM</v>
          </cell>
        </row>
        <row r="2052">
          <cell r="B2052" t="str">
            <v>15-321-00-07</v>
          </cell>
          <cell r="C2052" t="str">
            <v>HAKEN, ZENKER, GEW., 10X3 MM, 18 CM</v>
          </cell>
          <cell r="D2052" t="str">
            <v>RETRACTOR, ZENKER, ANG., 10X3 MM, 18 CM</v>
          </cell>
        </row>
        <row r="2053">
          <cell r="B2053" t="str">
            <v>15-321-01-07</v>
          </cell>
          <cell r="C2053" t="str">
            <v>HAKEN, ZENKER, GEW., 35X9 MM, 25 CM</v>
          </cell>
          <cell r="D2053" t="str">
            <v>RETRACTOR, ZENKER, ANG., 35X9 MM, 25 CM</v>
          </cell>
        </row>
        <row r="2054">
          <cell r="B2054" t="str">
            <v>15-321-02-07</v>
          </cell>
          <cell r="C2054" t="str">
            <v>HAKEN, ZENKER, GEW., 60X12 MM, 26,5 CM</v>
          </cell>
          <cell r="D2054" t="str">
            <v>RETRACT.  ZENKER, ANG, 60X12 MM, 26.5 CM</v>
          </cell>
        </row>
        <row r="2055">
          <cell r="B2055" t="str">
            <v>15-321-03-07</v>
          </cell>
          <cell r="C2055" t="str">
            <v>HAKEN, ZENKER, GEW., 75X12 MM, 27,5 CM</v>
          </cell>
          <cell r="D2055" t="str">
            <v>RETRACTOR, ZENKER, ANG., 75X12MM,  27,5CM</v>
          </cell>
        </row>
        <row r="2056">
          <cell r="B2056" t="str">
            <v>15-325-01-07</v>
          </cell>
          <cell r="C2056" t="str">
            <v>SATTELHAKEN, KOCHER,  20X12 MM, 21,5 CM</v>
          </cell>
          <cell r="D2056" t="str">
            <v>RETRACTOR, KOCHER,  20X12 MM, 21.5 CM</v>
          </cell>
        </row>
        <row r="2057">
          <cell r="B2057" t="str">
            <v>15-325-02-07</v>
          </cell>
          <cell r="C2057" t="str">
            <v>SATTELHAKEN, KOCHER,  23X14 MM, 21,5 CM</v>
          </cell>
          <cell r="D2057" t="str">
            <v>RETRACTOR, KOCHER,  23X14 MM, 21.5 CM</v>
          </cell>
        </row>
        <row r="2058">
          <cell r="B2058" t="str">
            <v>15-351-01-07</v>
          </cell>
          <cell r="C2058" t="str">
            <v>Sattelhaken, Kocher, 40X10 MM, 23 CM</v>
          </cell>
          <cell r="D2058" t="str">
            <v>Retractor,  Kocher 40X10 MM, 23 CM</v>
          </cell>
        </row>
        <row r="2059">
          <cell r="B2059" t="str">
            <v>15-351-02-07</v>
          </cell>
          <cell r="C2059" t="str">
            <v>SATTELHAKEN, KOCHER,  40X15 MM, 23 CM</v>
          </cell>
          <cell r="D2059" t="str">
            <v>RETRACTOR, KOCHER,  40X15 MM, 23 CM</v>
          </cell>
        </row>
        <row r="2060">
          <cell r="B2060" t="str">
            <v>15-351-03-07</v>
          </cell>
          <cell r="C2060" t="str">
            <v>SATTELHAKEN, KOCHER,  40X20 MM, 23 CM</v>
          </cell>
          <cell r="D2060" t="str">
            <v>RETRACTOR, KOCHER,  40X20 MM, 23 CM</v>
          </cell>
        </row>
        <row r="2061">
          <cell r="B2061" t="str">
            <v>15-361-01-07</v>
          </cell>
          <cell r="C2061" t="str">
            <v>HAKEN, MIDDELDORPF, 15X17 MM, 22 CM</v>
          </cell>
          <cell r="D2061" t="str">
            <v>RETRACTOR, MIDDELDORPF, 15X17 MM, 22 CM</v>
          </cell>
        </row>
        <row r="2062">
          <cell r="B2062" t="str">
            <v>15-361-02-07</v>
          </cell>
          <cell r="C2062" t="str">
            <v>HAKEN, MIDDELDORPF, 22X22 MM, 23 CM</v>
          </cell>
          <cell r="D2062" t="str">
            <v>RETRACTOR, MIDDELDORPF, 22X22 MM, 23 CM</v>
          </cell>
        </row>
        <row r="2063">
          <cell r="B2063" t="str">
            <v>15-361-03-07</v>
          </cell>
          <cell r="C2063" t="str">
            <v>HAKEN, MIDDELDORPF, 26X31 MM, 24 CM</v>
          </cell>
          <cell r="D2063" t="str">
            <v>RETRACTOR, MIDDELDORPF, 26X31 MM, 24 CM</v>
          </cell>
        </row>
        <row r="2064">
          <cell r="B2064" t="str">
            <v>15-381-01-01</v>
          </cell>
          <cell r="C2064" t="str">
            <v>HAKEN, RICHARDSON-EAST., FIG. 1, 26 CM</v>
          </cell>
          <cell r="D2064" t="str">
            <v>RETRACT.,  RICHARDSON-E., NO. 1, 26 CM</v>
          </cell>
        </row>
        <row r="2065">
          <cell r="B2065" t="str">
            <v>15-381-02-01</v>
          </cell>
          <cell r="C2065" t="str">
            <v>HAKEN, RICHARDSON-EAST., FIG. 2, 27,5 CM</v>
          </cell>
          <cell r="D2065" t="str">
            <v>RETRACT.,  RICHARDSON-E., NO. 2, 27.5 CM</v>
          </cell>
        </row>
        <row r="2066">
          <cell r="B2066" t="str">
            <v>15-391-01-01</v>
          </cell>
          <cell r="C2066" t="str">
            <v>HAKEN, RICHARDSON, 25X21 MM, 23,5 CM</v>
          </cell>
          <cell r="D2066" t="str">
            <v>RETRACTOR, RICHARDSON, 25X21 MM, 23.5 CM</v>
          </cell>
        </row>
        <row r="2067">
          <cell r="B2067" t="str">
            <v>15-391-02-01</v>
          </cell>
          <cell r="C2067" t="str">
            <v>HAKEN, RICHARDSON, 30X29 MM, 24 CM</v>
          </cell>
          <cell r="D2067" t="str">
            <v>RETRACTOR, RICHARDSON, 30X29 MM, 24 CM</v>
          </cell>
        </row>
        <row r="2068">
          <cell r="B2068" t="str">
            <v>15-391-03-01</v>
          </cell>
          <cell r="C2068" t="str">
            <v>HAKEN, RICHARDSON, 38X40 MM, 24 CM</v>
          </cell>
          <cell r="D2068" t="str">
            <v>RETRACTOR, RICHARDSON, 38X40 MM, 24 CM</v>
          </cell>
        </row>
        <row r="2069">
          <cell r="B2069" t="str">
            <v>15-395-24-01</v>
          </cell>
          <cell r="C2069" t="str">
            <v>HAKEN, RICHARDSON, 48X22 MM, 24 CM</v>
          </cell>
          <cell r="D2069" t="str">
            <v>RETRACTOR, RICHARDSON, 48X22 MM, 24 CM</v>
          </cell>
        </row>
        <row r="2070">
          <cell r="B2070" t="str">
            <v>15-397-26-01</v>
          </cell>
          <cell r="C2070" t="str">
            <v>WUNDHAKEN, KELLY, 65X50 MM, 26 CM</v>
          </cell>
          <cell r="D2070" t="str">
            <v>RETRACTOR, KELLY, 65X50 MM, 26 CM</v>
          </cell>
        </row>
        <row r="2071">
          <cell r="B2071" t="str">
            <v>15-401-01-07</v>
          </cell>
          <cell r="C2071" t="str">
            <v>HAKEN, DOYEN-STILLE, 87X28 MM, 25 CM</v>
          </cell>
          <cell r="D2071" t="str">
            <v>RETRACTOR, DOYEN-STILLE, 87X28 MM, 25 CM</v>
          </cell>
        </row>
        <row r="2072">
          <cell r="B2072" t="str">
            <v>15-401-02-07</v>
          </cell>
          <cell r="C2072" t="str">
            <v>HAKEN, DOYEN-STILLE, 97X31 MM, 26 CM</v>
          </cell>
          <cell r="D2072" t="str">
            <v>RETRACTOR, DOYEN-STILLE, 97X31 MM, 26 CM</v>
          </cell>
        </row>
        <row r="2073">
          <cell r="B2073" t="str">
            <v>15-401-03-07</v>
          </cell>
          <cell r="C2073" t="str">
            <v>HAKEN, DOYEN-STILLE, 117X52 MM, 26 CM</v>
          </cell>
          <cell r="D2073" t="str">
            <v>RETRACT.,  DOYEN-STILLE, 117X52 MM, 26 CM</v>
          </cell>
        </row>
        <row r="2074">
          <cell r="B2074" t="str">
            <v>15-405-01-07</v>
          </cell>
          <cell r="C2074" t="str">
            <v>WUNDHAKEN, HÖSEL, 63X21 MM, 26 CM</v>
          </cell>
          <cell r="D2074" t="str">
            <v>RETRACTOR, HOESEL, 63X21 MM, 26 CM</v>
          </cell>
        </row>
        <row r="2075">
          <cell r="B2075" t="str">
            <v>15-405-02-07</v>
          </cell>
          <cell r="C2075" t="str">
            <v>WUNDHAKEN, HÖSEL, 80X30 MM, 26 CM</v>
          </cell>
          <cell r="D2075" t="str">
            <v>RETRACTOR, HOESEL, 80X30 MM, 26 CM</v>
          </cell>
        </row>
        <row r="2076">
          <cell r="B2076" t="str">
            <v>15-405-03-07</v>
          </cell>
          <cell r="C2076" t="str">
            <v>WUNDHAKEN, HÖSEL, 100X30 MM, 26 CM</v>
          </cell>
          <cell r="D2076" t="str">
            <v>RETRACTOR, HOESEL, 100X30 MM, 26 CM</v>
          </cell>
        </row>
        <row r="2077">
          <cell r="B2077" t="str">
            <v>15-405-04-07</v>
          </cell>
          <cell r="C2077" t="str">
            <v>WUNDHAKEN, HÖSEL, 120X30 MM, 26 CM</v>
          </cell>
          <cell r="D2077" t="str">
            <v>RETRACTOR, HOESEL, 120X30 MM, 26 CM</v>
          </cell>
        </row>
        <row r="2078">
          <cell r="B2078" t="str">
            <v>15-405-05-07</v>
          </cell>
          <cell r="C2078" t="str">
            <v>WUNDHAKEN, HÖSEL, 140X30 MM, 26 CM</v>
          </cell>
          <cell r="D2078" t="str">
            <v>RETRACTOR, HOESEL, 140X30 MM, 26 CM</v>
          </cell>
        </row>
        <row r="2079">
          <cell r="B2079" t="str">
            <v>15-405-06-07</v>
          </cell>
          <cell r="C2079" t="str">
            <v>Retractor,  Hösel, 140x40 MM, 26 cm</v>
          </cell>
          <cell r="D2079" t="str">
            <v>Retractor,  Hoesel, 140X40 MM, 26 CM</v>
          </cell>
        </row>
        <row r="2080">
          <cell r="B2080" t="str">
            <v>15-441-01-07</v>
          </cell>
          <cell r="C2080" t="str">
            <v>WUNDHAKEN, MIDDELDORPF, 43X45 MM, 27 CM</v>
          </cell>
          <cell r="D2080" t="str">
            <v>RETRACTOR, MIDDELDORPF, 43X45 MM, 27 CM</v>
          </cell>
        </row>
        <row r="2081">
          <cell r="B2081" t="str">
            <v>15-441-02-07</v>
          </cell>
          <cell r="C2081" t="str">
            <v>WUNDHAKEN, MIDDELDORPF, 52X50 MM, 27 CM</v>
          </cell>
          <cell r="D2081" t="str">
            <v>RETRACTOR, MIDDELDORPF, 52X50 MM, 27 CM</v>
          </cell>
        </row>
        <row r="2082">
          <cell r="B2082" t="str">
            <v>15-441-03-07</v>
          </cell>
          <cell r="C2082" t="str">
            <v>WUNDHAKEN, MIDDELDORPF, 52X70 MM, 28 CM</v>
          </cell>
          <cell r="D2082" t="str">
            <v>RETRACTOR, MIDDELDORPF, 52X70 MM, 28 CM</v>
          </cell>
        </row>
        <row r="2083">
          <cell r="B2083" t="str">
            <v>15-452-00-07</v>
          </cell>
          <cell r="C2083" t="str">
            <v>WUNDHAKEN, FRITSCH,  35X31 MM, 23,5 CM</v>
          </cell>
          <cell r="D2083" t="str">
            <v>RETRACTOR, FRITSCH,  35X31 MM, 23,5 CM</v>
          </cell>
        </row>
        <row r="2084">
          <cell r="B2084" t="str">
            <v>15-452-01-07</v>
          </cell>
          <cell r="C2084" t="str">
            <v>WUNDHAKEN, FRITSCH,  33X40 MM, 24 CM</v>
          </cell>
          <cell r="D2084" t="str">
            <v>RETRACTOR, FRITSCH,  33X40 MM, 24 CM</v>
          </cell>
        </row>
        <row r="2085">
          <cell r="B2085" t="str">
            <v>15-452-02-07</v>
          </cell>
          <cell r="C2085" t="str">
            <v>WUNDHAKEN, FRITSCH,  39X50 MM, 25 CM</v>
          </cell>
          <cell r="D2085" t="str">
            <v>RETRACTOR, FRITSCH,  39X50 MM, 25 CM</v>
          </cell>
        </row>
        <row r="2086">
          <cell r="B2086" t="str">
            <v>15-452-03-07</v>
          </cell>
          <cell r="C2086" t="str">
            <v>WUNDHAKEN, FRITSCH,  45X63 MM, 25 CM</v>
          </cell>
          <cell r="D2086" t="str">
            <v>RETRACTOR, FRITSCH,  45X63 MM, 25 CM</v>
          </cell>
        </row>
        <row r="2087">
          <cell r="B2087" t="str">
            <v>15-452-04-07</v>
          </cell>
          <cell r="C2087" t="str">
            <v>WUNDHAKEN, FRITSCH,  45X75 MM, 25,5 CM</v>
          </cell>
          <cell r="D2087" t="str">
            <v>RETRACTOR, FRITSCH,  45X75 MM, 25.5 CM</v>
          </cell>
        </row>
        <row r="2088">
          <cell r="B2088" t="str">
            <v>15-452-05-07</v>
          </cell>
          <cell r="C2088" t="str">
            <v>WUNDHAKEN, FRITSCH,  53X85 MM, 25,5 CM</v>
          </cell>
          <cell r="D2088" t="str">
            <v>RETRACTOR, FRITSCH,  53X85 MM, 25,5 CM</v>
          </cell>
        </row>
        <row r="2089">
          <cell r="B2089" t="str">
            <v>15-461-25-01</v>
          </cell>
          <cell r="C2089" t="str">
            <v>Haken, Sattel, Doyen, 45x88 mm, 24 cm</v>
          </cell>
          <cell r="D2089" t="str">
            <v>Retractor,  Doyen, 45x88 mm, 24 cm</v>
          </cell>
        </row>
        <row r="2090">
          <cell r="B2090" t="str">
            <v>15-469-22-07</v>
          </cell>
          <cell r="C2090" t="str">
            <v>WUNDHAKEN, KOCHER,  70X25 MM, 23,5 CM</v>
          </cell>
          <cell r="D2090" t="str">
            <v>RETRACTOR, KOCHER,  70X25 MM, 23.5 CM</v>
          </cell>
        </row>
        <row r="2091">
          <cell r="B2091" t="str">
            <v>15-471-01-07</v>
          </cell>
          <cell r="C2091" t="str">
            <v>WUNDHAKEN, KOCHER,  78X45 MM, 25 CM</v>
          </cell>
          <cell r="D2091" t="str">
            <v>RETRACTOR, KOCHER,  78X45 MM, 25 CM</v>
          </cell>
        </row>
        <row r="2092">
          <cell r="B2092" t="str">
            <v>15-471-02-07</v>
          </cell>
          <cell r="C2092" t="str">
            <v>WUNDHAKEN, KOCHER,  78X55 MM, 25 CM</v>
          </cell>
          <cell r="D2092" t="str">
            <v>RETRACTOR, KOCHER,  78X55 MM, 25 CM</v>
          </cell>
        </row>
        <row r="2093">
          <cell r="B2093" t="str">
            <v>15-471-03-07</v>
          </cell>
          <cell r="C2093" t="str">
            <v>WUNDHAKEN, KOCHER,  78X65 MM, 25 CM</v>
          </cell>
          <cell r="D2093" t="str">
            <v>RETRACTOR, KOCHER,  78X65 MM, 25 CM</v>
          </cell>
        </row>
        <row r="2094">
          <cell r="B2094" t="str">
            <v>15-501-25-07</v>
          </cell>
          <cell r="C2094" t="str">
            <v>WUNDHAKEN, MARTIN,  110X27 MM, 26,5 CM</v>
          </cell>
          <cell r="D2094" t="str">
            <v>RETRACTOR, MARTIN,  110X27 MM, 26.5 CM</v>
          </cell>
        </row>
        <row r="2095">
          <cell r="B2095" t="str">
            <v>15-505-28-07</v>
          </cell>
          <cell r="C2095" t="str">
            <v>WUNDHAKEN, SIMON, 115X22 MM, 28 CM</v>
          </cell>
          <cell r="D2095" t="str">
            <v>RETRACTOR, SIMON, 115X22 MM, 28 CM</v>
          </cell>
        </row>
        <row r="2096">
          <cell r="B2096" t="str">
            <v>15-507-28-07</v>
          </cell>
          <cell r="C2096" t="str">
            <v>WUNDHAKEN, SIMON, 115X28 MM, 28 CM</v>
          </cell>
          <cell r="D2096" t="str">
            <v>RETRACTOR, SIMON, 115X28 MM, 28 CM</v>
          </cell>
        </row>
        <row r="2097">
          <cell r="B2097" t="str">
            <v>15-537-01-07</v>
          </cell>
          <cell r="C2097" t="str">
            <v>WUNDHAKEN, CORYLLOS,  80X22 MM, 24 CM</v>
          </cell>
          <cell r="D2097" t="str">
            <v>RETRACTOR, CORYLLOS,  80X22 MM, 24 CM</v>
          </cell>
        </row>
        <row r="2098">
          <cell r="B2098" t="str">
            <v>15-537-02-07</v>
          </cell>
          <cell r="C2098" t="str">
            <v>WUNDHAKEN, CORYLLOS,  108X43 MM, 24 CM</v>
          </cell>
          <cell r="D2098" t="str">
            <v>RETRACTOR, CORYLLOS,  108X43 MM, 24 CM</v>
          </cell>
        </row>
        <row r="2099">
          <cell r="B2099" t="str">
            <v>15-537-03-07</v>
          </cell>
          <cell r="C2099" t="str">
            <v>WUNDHAKEN, CORYLLOS,  119X65 MM, 24 CM</v>
          </cell>
          <cell r="D2099" t="str">
            <v>RETRACTOR, CORYLLOS,  119X65 MM, 24 CM</v>
          </cell>
        </row>
        <row r="2100">
          <cell r="B2100" t="str">
            <v>15-545-01-07</v>
          </cell>
          <cell r="C2100" t="str">
            <v>SCAPULAHAKEN, 80X54 MM, 19 CM</v>
          </cell>
          <cell r="D2100" t="str">
            <v>SCAPULA  RETRACTOR, 80X54 MM, 19 CM</v>
          </cell>
        </row>
        <row r="2101">
          <cell r="B2101" t="str">
            <v>15-545-02-07</v>
          </cell>
          <cell r="C2101" t="str">
            <v>SCAPULAHAKEN, 75X93 MM, 18,5 CM</v>
          </cell>
          <cell r="D2101" t="str">
            <v>SCAPULA  RETRACTOR, 75X93 MM, 18.5 CM</v>
          </cell>
        </row>
        <row r="2102">
          <cell r="B2102" t="str">
            <v>15-558-08-07</v>
          </cell>
          <cell r="C2102" t="str">
            <v>HAKEN, BRUNNER,  GER., 80X20 MM, 25,5 CM</v>
          </cell>
          <cell r="D2102" t="str">
            <v>RETR., BRUNNER,  STR., 80X20 MM, 25.5 CM</v>
          </cell>
        </row>
        <row r="2103">
          <cell r="B2103" t="str">
            <v>15-558-10-07</v>
          </cell>
          <cell r="C2103" t="str">
            <v>HAKEN, BRUNNER,  GER., 100X25 MM, 25,5 CM</v>
          </cell>
          <cell r="D2103" t="str">
            <v>RETR., BRUNNER,  STR., 100X25 MM, 25.5 CM</v>
          </cell>
        </row>
        <row r="2104">
          <cell r="B2104" t="str">
            <v>15-558-12-07</v>
          </cell>
          <cell r="C2104" t="str">
            <v>HAKEN, BRUNNER,  GER., 120X25 MM, 25,5 CM</v>
          </cell>
          <cell r="D2104" t="str">
            <v>RETR., BRUNNER,  STR., 120X25 MM, 25.5 CM</v>
          </cell>
        </row>
        <row r="2105">
          <cell r="B2105" t="str">
            <v>15-558-13-07</v>
          </cell>
          <cell r="C2105" t="str">
            <v>HAKEN, BRUNNER,  GER., 130X30 MM, 25,5 CM</v>
          </cell>
          <cell r="D2105" t="str">
            <v>RETR., BRUNNER,  STR., 130X30 MM, 25.5 CM</v>
          </cell>
        </row>
        <row r="2106">
          <cell r="B2106" t="str">
            <v>15-558-14-07</v>
          </cell>
          <cell r="C2106" t="str">
            <v>HAKEN, BRUNNER,  GER., 140X30 MM, 25,5 CM</v>
          </cell>
          <cell r="D2106" t="str">
            <v>RETR., BRUNNER,  STR., 140X30 MM, 25.5 CM</v>
          </cell>
        </row>
        <row r="2107">
          <cell r="B2107" t="str">
            <v>15-558-16-07</v>
          </cell>
          <cell r="C2107" t="str">
            <v>HAKEN, BRUNNER,  GER., 160X30 MM, 25,5 CM</v>
          </cell>
          <cell r="D2107" t="str">
            <v>RETR., BRUNNER,  STR., 160X30 MM, 25.5 CM</v>
          </cell>
        </row>
        <row r="2108">
          <cell r="B2108" t="str">
            <v>15-558-18-07</v>
          </cell>
          <cell r="C2108" t="str">
            <v>HAKEN, BRUNNER,  GER., 180X30 MM, 25,5 CM</v>
          </cell>
          <cell r="D2108" t="str">
            <v>RETR., BRUNNER,  STR., 180X30 MM, 25.5 CM</v>
          </cell>
        </row>
        <row r="2109">
          <cell r="B2109" t="str">
            <v>15-559-08-07</v>
          </cell>
          <cell r="C2109" t="str">
            <v>HAKEN, BRUNNER,  GEB., 80X20 MM, 25,5 CM</v>
          </cell>
          <cell r="D2109" t="str">
            <v>RETR., BRUNNER,  CVD., 80X20 MM, 25.5 CM</v>
          </cell>
        </row>
        <row r="2110">
          <cell r="B2110" t="str">
            <v>15-559-10-07</v>
          </cell>
          <cell r="C2110" t="str">
            <v>HAKEN, BRUNNER,  GEB., 100X20 MM, 25,5 CM</v>
          </cell>
          <cell r="D2110" t="str">
            <v>RETR., BRUNNER,  CVD., 100X20 MM, 25.5 CM</v>
          </cell>
        </row>
        <row r="2111">
          <cell r="B2111" t="str">
            <v>15-559-12-07</v>
          </cell>
          <cell r="C2111" t="str">
            <v>HAKEN, BRUNNER,  GEB., 120X25 MM, 25,5 CM</v>
          </cell>
          <cell r="D2111" t="str">
            <v>RETR., BRUNNER,  CVD., 120X25 MM, 25.5 CM</v>
          </cell>
        </row>
        <row r="2112">
          <cell r="B2112" t="str">
            <v>15-559-14-07</v>
          </cell>
          <cell r="C2112" t="str">
            <v>HAKEN, BRUNNER,  GEB., 140X25 MM, 25,5 CM</v>
          </cell>
          <cell r="D2112" t="str">
            <v>RETR., BRUNNER,  CVD., 140X25 MM, 25.5 CM</v>
          </cell>
        </row>
        <row r="2113">
          <cell r="B2113" t="str">
            <v>15-559-16-07</v>
          </cell>
          <cell r="C2113" t="str">
            <v>HAKEN, BRUNNER,  GEB., 160X30 MM, 25,5 CM</v>
          </cell>
          <cell r="D2113" t="str">
            <v>RETR., BRUNNER,  CVD., 160X30 MM, 25.5 CM</v>
          </cell>
        </row>
        <row r="2114">
          <cell r="B2114" t="str">
            <v>15-559-18-07</v>
          </cell>
          <cell r="C2114" t="str">
            <v>HAKEN, BRUNNER,  GEB., 180X30 MM, 25,5 CM</v>
          </cell>
          <cell r="D2114" t="str">
            <v>RETR., BRUNNER,  CVD., 180X30 MM, 25.5 CM</v>
          </cell>
        </row>
        <row r="2115">
          <cell r="B2115" t="str">
            <v>15-561-01-07</v>
          </cell>
          <cell r="C2115" t="str">
            <v>HAKEN, SAUERBRUCH, 45X15 MM, 22,5 CM</v>
          </cell>
          <cell r="D2115" t="str">
            <v>RETRACTOR, SAUERBRUCH, 45X15 MM, 22.5 CM</v>
          </cell>
        </row>
        <row r="2116">
          <cell r="B2116" t="str">
            <v>15-561-02-07</v>
          </cell>
          <cell r="C2116" t="str">
            <v>HAKEN, SAUERBRUCH, 60X23 MM, 22,5 CM</v>
          </cell>
          <cell r="D2116" t="str">
            <v>RETRACTOR, SAUERBRUCH, 60X23 MM, 22.5 CM</v>
          </cell>
        </row>
        <row r="2117">
          <cell r="B2117" t="str">
            <v>15-561-03-07</v>
          </cell>
          <cell r="C2117" t="str">
            <v>HAKEN, SAUERBRUCH, 72X20 MM, 22,5 CM</v>
          </cell>
          <cell r="D2117" t="str">
            <v>RETRACTOR, SAUERBRUCH, 72X20 MM, 22.5 CM</v>
          </cell>
        </row>
        <row r="2118">
          <cell r="B2118" t="str">
            <v>15-563-01-07</v>
          </cell>
          <cell r="C2118" t="str">
            <v>Haken, Ross, Flex., Fig. 1, 26,5 cm</v>
          </cell>
          <cell r="D2118" t="str">
            <v>Retr., Ross, Flex., No. 1, 26.5 cm</v>
          </cell>
        </row>
        <row r="2119">
          <cell r="B2119" t="str">
            <v>15-563-02-07</v>
          </cell>
          <cell r="C2119" t="str">
            <v>Haken, Ross, Flex., Fig. 2, 27 cm</v>
          </cell>
          <cell r="D2119" t="str">
            <v>Retr., Ross, Flex., No. 2, 27 cm</v>
          </cell>
        </row>
        <row r="2120">
          <cell r="B2120" t="str">
            <v>15-563-03-07</v>
          </cell>
          <cell r="C2120" t="str">
            <v>Haken, Ross, Flex., Fig. 3, 27 cm</v>
          </cell>
          <cell r="D2120" t="str">
            <v>Retr., Ross, Flex., No. 3, 27 cm</v>
          </cell>
        </row>
        <row r="2121">
          <cell r="B2121" t="str">
            <v>15-563-04-07</v>
          </cell>
          <cell r="C2121" t="str">
            <v>Haken, Ross, Flex., Fig. 4, 27,5 cm</v>
          </cell>
          <cell r="D2121" t="str">
            <v>Retr., Ross, Flex., No. 4, 27.5 cm</v>
          </cell>
        </row>
        <row r="2122">
          <cell r="B2122" t="str">
            <v>15-563-05-07</v>
          </cell>
          <cell r="C2122" t="str">
            <v>Haken, Ross, Flex., Fig. 5, 27,5 cm</v>
          </cell>
          <cell r="D2122" t="str">
            <v>Retr., Ross, Flex., No. 5, 27.5 cm</v>
          </cell>
        </row>
        <row r="2123">
          <cell r="B2123" t="str">
            <v>15-563-06-07</v>
          </cell>
          <cell r="C2123" t="str">
            <v>Haken, Ross, Flex., Fig. 6, 27,5 cm</v>
          </cell>
          <cell r="D2123" t="str">
            <v>Retr., Ross, Flex., No. 6, 27.5 cm</v>
          </cell>
        </row>
        <row r="2124">
          <cell r="B2124" t="str">
            <v>15-564-01-07</v>
          </cell>
          <cell r="C2124" t="str">
            <v>Klap.-Hak.,  Borowski,  17x21 mm, 27 cm</v>
          </cell>
          <cell r="D2124" t="str">
            <v>Valve, retr., Borowski,  17x21 mm, 27 cm</v>
          </cell>
        </row>
        <row r="2125">
          <cell r="B2125" t="str">
            <v>15-564-02-07</v>
          </cell>
          <cell r="C2125" t="str">
            <v>Klap.-Hak.,  Borowski,  16x23 mm, 27 cm</v>
          </cell>
          <cell r="D2125" t="str">
            <v>Valve, retr., Borowski,  16x23 mm, 27 cm</v>
          </cell>
        </row>
        <row r="2126">
          <cell r="B2126" t="str">
            <v>15-564-03-07</v>
          </cell>
          <cell r="C2126" t="str">
            <v>Klap.-Hak.,  Borowski,  20x25 mm, 27 cm</v>
          </cell>
          <cell r="D2126" t="str">
            <v>Valve, retr., Borowski,  20x25 mm, 27 cm</v>
          </cell>
        </row>
        <row r="2127">
          <cell r="B2127" t="str">
            <v>15-564-04-07</v>
          </cell>
          <cell r="C2127" t="str">
            <v>Klap.-Hak.,  Borowski,  24x27 mm, 27 cm</v>
          </cell>
          <cell r="D2127" t="str">
            <v>Valve, retr., Borowski,  24x27 mm, 27 cm</v>
          </cell>
        </row>
        <row r="2128">
          <cell r="B2128" t="str">
            <v>15-564-05-07</v>
          </cell>
          <cell r="C2128" t="str">
            <v>Klap.-Hak.,  Borowski,  28x20 mm, 27 cm</v>
          </cell>
          <cell r="D2128" t="str">
            <v>Valve, retr., Borowski,  28x20 mm, 27 cm</v>
          </cell>
        </row>
        <row r="2129">
          <cell r="B2129" t="str">
            <v>15-564-06-07</v>
          </cell>
          <cell r="C2129" t="str">
            <v>Klap.-Hak.,  Borowski,  28x29 mm, 27 cm</v>
          </cell>
          <cell r="D2129" t="str">
            <v>Valve, retr., Borowski,  28x29 mm, 27 cm</v>
          </cell>
        </row>
        <row r="2130">
          <cell r="B2130" t="str">
            <v>15-581-01-07</v>
          </cell>
          <cell r="C2130" t="str">
            <v>RETRAKTOR, HARRINGT., 137X44 MM, 32,5 CM</v>
          </cell>
          <cell r="D2130" t="str">
            <v>RETRACTOR, HARRINGT., 137X44 MM, 32.5 CM</v>
          </cell>
        </row>
        <row r="2131">
          <cell r="B2131" t="str">
            <v>15-581-02-07</v>
          </cell>
          <cell r="C2131" t="str">
            <v>RETRAKTOR, HARRINGTON, 137X65 MM, 33 CM</v>
          </cell>
          <cell r="D2131" t="str">
            <v>RETRACTOR, HARRINGTON, 137X65 MM, 33 CM</v>
          </cell>
        </row>
        <row r="2132">
          <cell r="B2132" t="str">
            <v>15-591-00-07</v>
          </cell>
          <cell r="C2132" t="str">
            <v>Haken, Deaver, 16 mm, 18 cm</v>
          </cell>
          <cell r="D2132" t="str">
            <v>Retractor,  Deaver, 16 mm, 18 cm</v>
          </cell>
        </row>
        <row r="2133">
          <cell r="B2133" t="str">
            <v>15-591-01-07</v>
          </cell>
          <cell r="C2133" t="str">
            <v>HAKEN, DEAVER, 19 MM BREIT, 18 CM</v>
          </cell>
          <cell r="D2133" t="str">
            <v>RETRACTOR, DEAVER, 19 MM WIDE, 18 CM</v>
          </cell>
        </row>
        <row r="2134">
          <cell r="B2134" t="str">
            <v>15-591-02-07</v>
          </cell>
          <cell r="C2134" t="str">
            <v>HAKEN, DEAVER, 22 MM BREIT, 21,5 CM</v>
          </cell>
          <cell r="D2134" t="str">
            <v>RETRACTOR, DEAVER, 22 MM WIDE, 21.5 CM</v>
          </cell>
        </row>
        <row r="2135">
          <cell r="B2135" t="str">
            <v>15-591-03-07</v>
          </cell>
          <cell r="C2135" t="str">
            <v>HAKEN, DEAVER, 25 MM BREIT, 26 CM</v>
          </cell>
          <cell r="D2135" t="str">
            <v>RETRACTOR, DEAVER, 25 MM WIDE, 26 CM</v>
          </cell>
        </row>
        <row r="2136">
          <cell r="B2136" t="str">
            <v>15-591-04-07</v>
          </cell>
          <cell r="C2136" t="str">
            <v>HAKEN, DEAVER, 25 MM BREIT, 30,5 CM</v>
          </cell>
          <cell r="D2136" t="str">
            <v>RETRACTOR, DEAVER, 25 MM WIDE, 30.5 CM</v>
          </cell>
        </row>
        <row r="2137">
          <cell r="B2137" t="str">
            <v>15-591-05-07</v>
          </cell>
          <cell r="C2137" t="str">
            <v>HAKEN, DEAVER, 25 MM BREIT, 33,5 CM</v>
          </cell>
          <cell r="D2137" t="str">
            <v>RETRACTOR, DEAVER, 25 MM WIDE, 33.5 CM</v>
          </cell>
        </row>
        <row r="2138">
          <cell r="B2138" t="str">
            <v>15-591-06-07</v>
          </cell>
          <cell r="C2138" t="str">
            <v>HAKEN, DEAVER, 25 MM BREIT, 34,5 CM</v>
          </cell>
          <cell r="D2138" t="str">
            <v>RETRACTOR, DEAVER, 25 MM WIDE, 34.5 CM</v>
          </cell>
        </row>
        <row r="2139">
          <cell r="B2139" t="str">
            <v>15-591-07-07</v>
          </cell>
          <cell r="C2139" t="str">
            <v>HAKEN, DEAVER, 38 MM BREIT, 32 CM</v>
          </cell>
          <cell r="D2139" t="str">
            <v>RETRACTOR, DEAVER, 38 MM WIDE, 32 CM</v>
          </cell>
        </row>
        <row r="2140">
          <cell r="B2140" t="str">
            <v>15-591-08-07</v>
          </cell>
          <cell r="C2140" t="str">
            <v>HAKEN, DEAVER, 50 MM BREIT, 31,5 CM</v>
          </cell>
          <cell r="D2140" t="str">
            <v>RETRACTOR, DEAVER, 50 MM WIDE, 31.5 CM</v>
          </cell>
        </row>
        <row r="2141">
          <cell r="B2141" t="str">
            <v>15-591-09-07</v>
          </cell>
          <cell r="C2141" t="str">
            <v>HAKEN, DEAVER, 75 MM BREIT, 31,5 CM</v>
          </cell>
          <cell r="D2141" t="str">
            <v>RETRACTOR, DEAVER, 75 MM WIDE, 31.5 CM</v>
          </cell>
        </row>
        <row r="2142">
          <cell r="B2142" t="str">
            <v>15-592-04-07</v>
          </cell>
          <cell r="C2142" t="str">
            <v>HAKEN, DEAVER-GRIP, 25 MM, 31,5 CM</v>
          </cell>
          <cell r="D2142" t="str">
            <v>RETRACTOR, DEAVER-GRIP, 25 MM, 31.5 CM</v>
          </cell>
        </row>
        <row r="2143">
          <cell r="B2143" t="str">
            <v>15-592-07-07</v>
          </cell>
          <cell r="C2143" t="str">
            <v>HAKEN, DEAVER-GRIP, 38 MM, 31,5 CM</v>
          </cell>
          <cell r="D2143" t="str">
            <v>RETRACTOR, DEAVER-GRIP, 38 MM, 31.5 CM</v>
          </cell>
        </row>
        <row r="2144">
          <cell r="B2144" t="str">
            <v>15-592-08-07</v>
          </cell>
          <cell r="C2144" t="str">
            <v>HAKEN, DEAVER-GRIP, 50 MM, 31,5 CM</v>
          </cell>
          <cell r="D2144" t="str">
            <v>RETRACTOR, DEAVER-GRIP, 50 MM, 31.5 CM</v>
          </cell>
        </row>
        <row r="2145">
          <cell r="B2145" t="str">
            <v>15-592-10-07</v>
          </cell>
          <cell r="C2145" t="str">
            <v>HAKEN, DEAVER-GRIP, 100 MM, 32,5 CM</v>
          </cell>
          <cell r="D2145" t="str">
            <v>RETRACT.,  DEAVER-GRIP, 100 MM, 32.5 CM</v>
          </cell>
        </row>
        <row r="2146">
          <cell r="B2146" t="str">
            <v>15-593-01-01</v>
          </cell>
          <cell r="C2146" t="str">
            <v>ATRIUMHAKEN, RE., 48X48 MM, 25 CM</v>
          </cell>
          <cell r="D2146" t="str">
            <v>ATRIUM RETRACTOR, R., 48X48 MM, 25 CM</v>
          </cell>
        </row>
        <row r="2147">
          <cell r="B2147" t="str">
            <v>15-593-02-01</v>
          </cell>
          <cell r="C2147" t="str">
            <v>ATRIUMHAKEN, GERIEFT,  48X48 MM, 25 CM</v>
          </cell>
          <cell r="D2147" t="str">
            <v>ATRIUM RETRACTOR, SERR., 48X48 MM, 25 CM</v>
          </cell>
        </row>
        <row r="2148">
          <cell r="B2148" t="str">
            <v>15-593-03-01</v>
          </cell>
          <cell r="C2148" t="str">
            <v>ATRIUMHAKEN, LI., 30X48 MM, 27,5 CM</v>
          </cell>
          <cell r="D2148" t="str">
            <v>ATRIUMRETRACTOR, L., 30X48 MM, 27.5 CM</v>
          </cell>
        </row>
        <row r="2149">
          <cell r="B2149" t="str">
            <v>15-603-01-07</v>
          </cell>
          <cell r="C2149" t="str">
            <v>LEBERHAKEN, MIKULICZ,  90X35 MM, 25 CM</v>
          </cell>
          <cell r="D2149" t="str">
            <v>RETRACTOR, MIKULICZ,  90X35 MM, 25 CM</v>
          </cell>
        </row>
        <row r="2150">
          <cell r="B2150" t="str">
            <v>15-603-02-07</v>
          </cell>
          <cell r="C2150" t="str">
            <v>LEBERHAKEN, MIKULICZ,  125X50 MM, 25 CM</v>
          </cell>
          <cell r="D2150" t="str">
            <v>RETRACTOR, MIKULICZ,  125X50 MM, 25 CM</v>
          </cell>
        </row>
        <row r="2151">
          <cell r="B2151" t="str">
            <v>15-603-03-07</v>
          </cell>
          <cell r="C2151" t="str">
            <v>LEBERHAKEN, MIKULICZ,  160X50 MM, 25 CM</v>
          </cell>
          <cell r="D2151" t="str">
            <v>RETRACTOR, MIKULICZ,  160X50 MM, 25 CM</v>
          </cell>
        </row>
        <row r="2152">
          <cell r="B2152" t="str">
            <v>15-607-26-07</v>
          </cell>
          <cell r="C2152" t="str">
            <v>LEBERHAKEN, MIKULICZ,  85X55 MM, 26 CM</v>
          </cell>
          <cell r="D2152" t="str">
            <v>RETRACTOR, MIKULICZ,  85X55 MM, 26 CM</v>
          </cell>
        </row>
        <row r="2153">
          <cell r="B2153" t="str">
            <v>15-611-01-07</v>
          </cell>
          <cell r="C2153" t="str">
            <v>WUNDHAKEN, KELLY, 205X38 MM, 27,5 CM</v>
          </cell>
          <cell r="D2153" t="str">
            <v>RETRACTOR, KELLY, 205X38 MM, 27.5 CM</v>
          </cell>
        </row>
        <row r="2154">
          <cell r="B2154" t="str">
            <v>15-611-02-07</v>
          </cell>
          <cell r="C2154" t="str">
            <v>WUNDHAKEN, KELLY, 210X57 MM, 28 CM</v>
          </cell>
          <cell r="D2154" t="str">
            <v>RETRACTOR, KELLY, 210X57 MM, 28 CM</v>
          </cell>
        </row>
        <row r="2155">
          <cell r="B2155" t="str">
            <v>15-615-01-01</v>
          </cell>
          <cell r="C2155" t="str">
            <v>BECKENHAKEN, 130X60 MM, 26 CM</v>
          </cell>
          <cell r="D2155" t="str">
            <v>PELVIS RETRACTOR, 130X60 MM, 26 CM</v>
          </cell>
        </row>
        <row r="2156">
          <cell r="B2156" t="str">
            <v>15-615-02-01</v>
          </cell>
          <cell r="C2156" t="str">
            <v>BECKENHAKEN, 180X60 MM, 23,5 CM</v>
          </cell>
          <cell r="D2156" t="str">
            <v>PELVIS RETRACTOR, 180X60 MM, 23.5 CM</v>
          </cell>
        </row>
        <row r="2157">
          <cell r="B2157" t="str">
            <v>15-615-03-01</v>
          </cell>
          <cell r="C2157" t="str">
            <v>BECKENHAKEN, 180X60 MM, 28 CM</v>
          </cell>
          <cell r="D2157" t="str">
            <v>PELVIS RETRACTOR, 180X60 MM, 28 CM</v>
          </cell>
        </row>
        <row r="2158">
          <cell r="B2158" t="str">
            <v>15-621-28-07</v>
          </cell>
          <cell r="C2158" t="str">
            <v>SPATEL, KÜMMEL,  100X45 MM, 31 CM</v>
          </cell>
          <cell r="D2158" t="str">
            <v>RETRACTOR, KUEMMEL,  100X45 MM, 31 CM</v>
          </cell>
        </row>
        <row r="2159">
          <cell r="B2159" t="str">
            <v>15-623-20-07</v>
          </cell>
          <cell r="C2159" t="str">
            <v>SPATEL, KADER, 20 MM BREIT, 28 CM</v>
          </cell>
          <cell r="D2159" t="str">
            <v>RETRACTOR, KADER, 20 MM WIDE, 28 CM</v>
          </cell>
        </row>
        <row r="2160">
          <cell r="B2160" t="str">
            <v>15-623-30-07</v>
          </cell>
          <cell r="C2160" t="str">
            <v>SPATEL, KADER, 30 MM BREIT, 28 CM</v>
          </cell>
          <cell r="D2160" t="str">
            <v>RETRACTOR, KADER, 30 MM WIDE, 28 CM</v>
          </cell>
        </row>
        <row r="2161">
          <cell r="B2161" t="str">
            <v>15-623-40-07</v>
          </cell>
          <cell r="C2161" t="str">
            <v>SPATEL, KADER, 40 MM BREIT, 28 CM</v>
          </cell>
          <cell r="D2161" t="str">
            <v>RETRACTOR, KADER, 40 MM WIDE, 28 CM</v>
          </cell>
        </row>
        <row r="2162">
          <cell r="B2162" t="str">
            <v>15-652-01-01</v>
          </cell>
          <cell r="C2162" t="str">
            <v>WUNDHAKEN COLLIN-HARTM., 35X29 MM, 15 CM</v>
          </cell>
          <cell r="D2162" t="str">
            <v>RETRACTOR, COLLIN-HART., 35X29 MM, 15 CM</v>
          </cell>
        </row>
        <row r="2163">
          <cell r="B2163" t="str">
            <v>15-655-00-01</v>
          </cell>
          <cell r="C2163" t="str">
            <v>DOPPELHAKEN, ROUX, SATZ, FIG. 1-3, 17 CM</v>
          </cell>
          <cell r="D2163" t="str">
            <v>RETRACTOR, ROUX, SET, NO. 1-3, 17 CM</v>
          </cell>
        </row>
        <row r="2164">
          <cell r="B2164" t="str">
            <v>15-655-01-01</v>
          </cell>
          <cell r="C2164" t="str">
            <v>DOPPELHAKEN, ROUX, FIG. 1, 14,5 CM</v>
          </cell>
          <cell r="D2164" t="str">
            <v>RETRACTOR, DOUBLE,  ROUX, NO. 1, 14,5 CM</v>
          </cell>
        </row>
        <row r="2165">
          <cell r="B2165" t="str">
            <v>15-655-02-01</v>
          </cell>
          <cell r="C2165" t="str">
            <v>DOPPELHAKEN, ROUX, FIG. 2, 16 CM</v>
          </cell>
          <cell r="D2165" t="str">
            <v>RETRACTOR, DOUBLE,  ROUX, NO. 2, 16 CM</v>
          </cell>
        </row>
        <row r="2166">
          <cell r="B2166" t="str">
            <v>15-655-03-01</v>
          </cell>
          <cell r="C2166" t="str">
            <v>DOPPELHAKEN, ROUX, FIG. 3, 17 CM</v>
          </cell>
          <cell r="D2166" t="str">
            <v>RETRACTOR, DOUBLE,  ROUX, NO. 3, 17 CM</v>
          </cell>
        </row>
        <row r="2167">
          <cell r="B2167" t="str">
            <v>15-663-00-07</v>
          </cell>
          <cell r="C2167" t="str">
            <v>DOPPELHAKEN, FARABEUF, SATZ, 12 CM</v>
          </cell>
          <cell r="D2167" t="str">
            <v>RETRACTOR, DOUBLE,  FARABEUF, SET, 12 CM</v>
          </cell>
        </row>
        <row r="2168">
          <cell r="B2168" t="str">
            <v>15-665-00-07</v>
          </cell>
          <cell r="C2168" t="str">
            <v>DOPPELHAKEN, FARABEUF, SATZ, 15,5 CM</v>
          </cell>
          <cell r="D2168" t="str">
            <v>RETRACTOR, DBL., FARABEUF, SET, 15.5 CM</v>
          </cell>
        </row>
        <row r="2169">
          <cell r="B2169" t="str">
            <v>15-667-06-01</v>
          </cell>
          <cell r="C2169" t="str">
            <v>DOPPELHAKEN, MINI-ROUX, 6X7 MM, 14,5 CM</v>
          </cell>
          <cell r="D2169" t="str">
            <v>RETRACTOR, MINI-ROUX, 6X7 MM, 14.5 CM</v>
          </cell>
        </row>
        <row r="2170">
          <cell r="B2170" t="str">
            <v>15-669-13-01</v>
          </cell>
          <cell r="C2170" t="str">
            <v>DOPPELHAKEN, BABY-ROUX, 12,5 CM</v>
          </cell>
          <cell r="D2170" t="str">
            <v>RETRACTOR, DOUBLE,  BABY-ROUX, 12.5 CM</v>
          </cell>
        </row>
        <row r="2171">
          <cell r="B2171" t="str">
            <v>15-673-01-07</v>
          </cell>
          <cell r="C2171" t="str">
            <v>DOPPELHAKEN, PARKER, KL., SATZ, 14 CM</v>
          </cell>
          <cell r="D2171" t="str">
            <v>RETRACTOR, PARKER, SMALL, SET, 14 CM</v>
          </cell>
        </row>
        <row r="2172">
          <cell r="B2172" t="str">
            <v>15-673-02-07</v>
          </cell>
          <cell r="C2172" t="str">
            <v>DOPPELHAKEN, PARKER, GR., SATZ, 18,5 CM</v>
          </cell>
          <cell r="D2172" t="str">
            <v>RETRACTOR, PARKER, LG., SET, 18.5 CM</v>
          </cell>
        </row>
        <row r="2173">
          <cell r="B2173" t="str">
            <v>15-675-00-07</v>
          </cell>
          <cell r="C2173" t="str">
            <v>DOPPELHAKEN, PARKER-MOTT, SATZ, 16 CM</v>
          </cell>
          <cell r="D2173" t="str">
            <v>RETRACTOR, PARKER-MOTT, SET, 16 CM</v>
          </cell>
        </row>
        <row r="2174">
          <cell r="B2174" t="str">
            <v>15-683-00-07</v>
          </cell>
          <cell r="C2174" t="str">
            <v>DOPPELHAKEN, MATHIEU,  SATZ, 20 CM</v>
          </cell>
          <cell r="D2174" t="str">
            <v>RETRACTOR, MATHIEU,  SET, 20 CM</v>
          </cell>
        </row>
        <row r="2175">
          <cell r="B2175" t="str">
            <v>15-687-00-07</v>
          </cell>
          <cell r="C2175" t="str">
            <v>DOPPELHAKEN, PARKER-LANG., SZ., 21,5 CM</v>
          </cell>
          <cell r="D2175" t="str">
            <v>RETRACTOR, PARKER-LANG., SET, 21.5 CM</v>
          </cell>
        </row>
        <row r="2176">
          <cell r="B2176" t="str">
            <v>15-695-00-01</v>
          </cell>
          <cell r="C2176" t="str">
            <v>Haken, doppel, Goelet, 19 cm</v>
          </cell>
          <cell r="D2176" t="str">
            <v>Retractor,  double, Goelet, 19 cm</v>
          </cell>
        </row>
        <row r="2177">
          <cell r="B2177" t="str">
            <v>15-700-05-07</v>
          </cell>
          <cell r="C2177" t="str">
            <v>WUNDSPREIZER, SCHARF, 2X3 Z., 5 CM</v>
          </cell>
          <cell r="D2177" t="str">
            <v>WOUNDSPREADER, SHARP, 2X3 T., 5 CM</v>
          </cell>
        </row>
        <row r="2178">
          <cell r="B2178" t="str">
            <v>15-701-05-07</v>
          </cell>
          <cell r="C2178" t="str">
            <v>WUNDSPREIZER, STUMPF,  2X3 Z., 5 CM</v>
          </cell>
          <cell r="D2178" t="str">
            <v>WOUNDSPREADER, BLUNT, 2X3 T., 5 CM</v>
          </cell>
        </row>
        <row r="2179">
          <cell r="B2179" t="str">
            <v>15-702-07-07</v>
          </cell>
          <cell r="C2179" t="str">
            <v>WUNDSPREIZER, SCHARF, 3X4 Z., 7 CM</v>
          </cell>
          <cell r="D2179" t="str">
            <v>WOUNDSPREADER, SHARP, 3X4 T., 7 CM</v>
          </cell>
        </row>
        <row r="2180">
          <cell r="B2180" t="str">
            <v>15-703-07-07</v>
          </cell>
          <cell r="C2180" t="str">
            <v>WUNDSPREIZER, STUMPF,  3X4 Z., 7 CM</v>
          </cell>
          <cell r="D2180" t="str">
            <v>WOUNDSPREADER, BLUNT, 3X4 T., 7 CM</v>
          </cell>
        </row>
        <row r="2181">
          <cell r="B2181" t="str">
            <v>15-704-07-07</v>
          </cell>
          <cell r="C2181" t="str">
            <v>WUNDSPREIZER, SCHARF, 3X4 Z., 7,5 CM</v>
          </cell>
          <cell r="D2181" t="str">
            <v>WOUNDSPREADER, SHARP, 3X4 T., 7.5 CM</v>
          </cell>
        </row>
        <row r="2182">
          <cell r="B2182" t="str">
            <v>15-705-07-07</v>
          </cell>
          <cell r="C2182" t="str">
            <v>WUNDSPREIZER, STUMPF,  3X4 Z., 7,5 CM</v>
          </cell>
          <cell r="D2182" t="str">
            <v>WOUNDSPREADER, BLUNT, 3X4 T., 7.5 CM</v>
          </cell>
        </row>
        <row r="2183">
          <cell r="B2183" t="str">
            <v>15-709-00-07</v>
          </cell>
          <cell r="C2183" t="str">
            <v>Federspreizer, 1x1 Z., schf., 8,5 cm</v>
          </cell>
          <cell r="D2183" t="str">
            <v>Spring spreader,  1x1 t., sh., 8,5 cm</v>
          </cell>
        </row>
        <row r="2184">
          <cell r="B2184" t="str">
            <v>15-709-01-07</v>
          </cell>
          <cell r="C2184" t="str">
            <v>Federspreizer, 1x1 Z., schf., 11,5 cm</v>
          </cell>
          <cell r="D2184" t="str">
            <v>Spring spreader,  1x1 t., sh.., 11,5 cm</v>
          </cell>
        </row>
        <row r="2185">
          <cell r="B2185" t="str">
            <v>15-709-02-07</v>
          </cell>
          <cell r="C2185" t="str">
            <v>Federspreizer, 3x3 Z., stpf., 8,5 cm</v>
          </cell>
          <cell r="D2185" t="str">
            <v>Spring spreader,  3x3 t., bl., 8,5 cm</v>
          </cell>
        </row>
        <row r="2186">
          <cell r="B2186" t="str">
            <v>15-709-03-07</v>
          </cell>
          <cell r="C2186" t="str">
            <v>Federspreizer, 4x4 Z., stpf., 11,5 cm</v>
          </cell>
          <cell r="D2186" t="str">
            <v>Spring spreader,  4x4 t., bl., 11,5 cm</v>
          </cell>
        </row>
        <row r="2187">
          <cell r="B2187" t="str">
            <v>15-709-04-07</v>
          </cell>
          <cell r="C2187" t="str">
            <v>Federspreizer, 1x1 Z., m. Sp., 8,5 cm</v>
          </cell>
          <cell r="D2187" t="str">
            <v>Spring spreader,  1x1 t., w. r., 8,5 cm</v>
          </cell>
        </row>
        <row r="2188">
          <cell r="B2188" t="str">
            <v>15-714-07-07</v>
          </cell>
          <cell r="C2188" t="str">
            <v>WUNDSPREIZER, ALM, SCHARF, 4X4 Z., 7 CM</v>
          </cell>
          <cell r="D2188" t="str">
            <v>WOUNDSPREADER, ALM, SHARP, 4X4 T., 7 CM</v>
          </cell>
        </row>
        <row r="2189">
          <cell r="B2189" t="str">
            <v>15-714-10-07</v>
          </cell>
          <cell r="C2189" t="str">
            <v>WUNDSPREIZER, ALM, SCHARF, 4X4 Z., 10 CM</v>
          </cell>
          <cell r="D2189" t="str">
            <v>WOUNDSPREADER, ALM, SHARP, 4X4 T., 10 CM</v>
          </cell>
        </row>
        <row r="2190">
          <cell r="B2190" t="str">
            <v>15-715-07-07</v>
          </cell>
          <cell r="C2190" t="str">
            <v>WUNDSPREIZER, ALM, STUMPF,  4X4 Z., 7 CM</v>
          </cell>
          <cell r="D2190" t="str">
            <v>WOUNDSPREADER, ALM, BLUNT, 4X4 T., 7 CM</v>
          </cell>
        </row>
        <row r="2191">
          <cell r="B2191" t="str">
            <v>15-715-10-07</v>
          </cell>
          <cell r="C2191" t="str">
            <v>WUNDSPREIZER, ALM, STUMPF,  4X4 Z., 10 CM</v>
          </cell>
          <cell r="D2191" t="str">
            <v>WOUNDSPREADER, ALM, BLUNT, 4X4 T., 10 CM</v>
          </cell>
        </row>
        <row r="2192">
          <cell r="B2192" t="str">
            <v>15-716-01-07</v>
          </cell>
          <cell r="C2192" t="str">
            <v>Endo-Condyle Unit,Wundspreizer,gezahnt</v>
          </cell>
          <cell r="D2192" t="str">
            <v>Endo-Condyle Unit,woundspreader,serr</v>
          </cell>
        </row>
        <row r="2193">
          <cell r="B2193" t="str">
            <v>15-716-03-07</v>
          </cell>
          <cell r="C2193" t="str">
            <v>Endo-Condyle Unit,Wundspreizer,fein</v>
          </cell>
          <cell r="D2193" t="str">
            <v>Endo-Condyle Unit,woundspreader,fine</v>
          </cell>
        </row>
        <row r="2194">
          <cell r="B2194" t="str">
            <v>15-717-10-07</v>
          </cell>
          <cell r="C2194" t="str">
            <v>WUNDSPREIZER, STUMPF,  4X4 Z., 10 CM</v>
          </cell>
          <cell r="D2194" t="str">
            <v>WOUNDSPREADER, BLUNT, 4X4 T., 10 CM</v>
          </cell>
        </row>
        <row r="2195">
          <cell r="B2195" t="str">
            <v>15-723-10-07</v>
          </cell>
          <cell r="C2195" t="str">
            <v>SPREIZER,  JANSEN, STPF., 3X3 Z., 10 CM</v>
          </cell>
          <cell r="D2195" t="str">
            <v>SPREADER,  JANSEN, BLUNT, 3X3 T., 10 CM</v>
          </cell>
        </row>
        <row r="2196">
          <cell r="B2196" t="str">
            <v>15-723-20-07</v>
          </cell>
          <cell r="C2196" t="str">
            <v>Spreizer,  Jansen, scharf, 3x3 Z., 10 cm</v>
          </cell>
          <cell r="D2196" t="str">
            <v>Spreader,  Jansen, sharp, 3x3 T., 10 cm</v>
          </cell>
        </row>
        <row r="2197">
          <cell r="B2197" t="str">
            <v>15-725-14-07</v>
          </cell>
          <cell r="C2197" t="str">
            <v>WUNDSPREIZER, SCHARF, 3X4 Z., 13,5 CM</v>
          </cell>
          <cell r="D2197" t="str">
            <v>WOUNDSPREADER, SHARP, 3X4 T., 13.5 CM</v>
          </cell>
        </row>
        <row r="2198">
          <cell r="B2198" t="str">
            <v>15-727-14-07</v>
          </cell>
          <cell r="C2198" t="str">
            <v>WUNDSPREIZER, STUMPF,  3X4 Z., 13,5 CM</v>
          </cell>
          <cell r="D2198" t="str">
            <v>WOUNDSPREADER, BLUNT, 3X4 T., 13.5 CM</v>
          </cell>
        </row>
        <row r="2199">
          <cell r="B2199" t="str">
            <v>15-732-20-07</v>
          </cell>
          <cell r="C2199" t="str">
            <v>SPREIZER,  ADSON-ANDERSON, 4X4 Z., 19 CM</v>
          </cell>
          <cell r="D2199" t="str">
            <v>SPREADER,  ADSON-ANDERSON, 4X4 T., 19 CM</v>
          </cell>
        </row>
        <row r="2200">
          <cell r="B2200" t="str">
            <v>15-733-21-07</v>
          </cell>
          <cell r="C2200" t="str">
            <v>TRAVERS  WUNDSPREIZER, STUMPF,  21,5 CM</v>
          </cell>
          <cell r="D2200" t="str">
            <v>WOUNDSPREADER, TRAVERS,  BLUNT, 21.5 CM</v>
          </cell>
        </row>
        <row r="2201">
          <cell r="B2201" t="str">
            <v>15-733-22-07</v>
          </cell>
          <cell r="C2201" t="str">
            <v>WUNDSPR. NORFOLK/NORWICH, STPF., 21,5 CM</v>
          </cell>
          <cell r="D2201" t="str">
            <v>SPREADER,  NORFOLK/NORWICH, BLUNT, 21,5CM</v>
          </cell>
        </row>
        <row r="2202">
          <cell r="B2202" t="str">
            <v>15-734-20-07</v>
          </cell>
          <cell r="C2202" t="str">
            <v>WUNDSPREIZER, SCHARF, 3X4 Z., 20 CM</v>
          </cell>
          <cell r="D2202" t="str">
            <v>WOUNDSPREADER, SHARP, 3X4 T., 20 CM</v>
          </cell>
        </row>
        <row r="2203">
          <cell r="B2203" t="str">
            <v>15-734-24-07</v>
          </cell>
          <cell r="C2203" t="str">
            <v>Wundspreizer, scharf, 3x4 Z., 24 cm</v>
          </cell>
          <cell r="D2203" t="str">
            <v>Wound spreader,  sharp, 3x4 T., 24 cm</v>
          </cell>
        </row>
        <row r="2204">
          <cell r="B2204" t="str">
            <v>15-734-26-07</v>
          </cell>
          <cell r="C2204" t="str">
            <v>Wundspreizer, scharf, 5x6 Z., 25,5 cm</v>
          </cell>
          <cell r="D2204" t="str">
            <v>Woundspreader, sharp, 5x6 T., 25.5 cm</v>
          </cell>
        </row>
        <row r="2205">
          <cell r="B2205" t="str">
            <v>15-735-20-07</v>
          </cell>
          <cell r="C2205" t="str">
            <v>WUNDSPREIZER, STUMPF,  3X4 Z., 20 CM</v>
          </cell>
          <cell r="D2205" t="str">
            <v>WOUNDSPREADER, BLUNT, 3X4 T., 20 CM</v>
          </cell>
        </row>
        <row r="2206">
          <cell r="B2206" t="str">
            <v>15-735-24-07</v>
          </cell>
          <cell r="C2206" t="str">
            <v>Wundspreizer, stumpf, 3x4 Z., 24 cm</v>
          </cell>
          <cell r="D2206" t="str">
            <v>Woundspreader, blunt, 3x4 T., 24 cm</v>
          </cell>
        </row>
        <row r="2207">
          <cell r="B2207" t="str">
            <v>15-735-26-07</v>
          </cell>
          <cell r="C2207" t="str">
            <v>Wundspreizer, stumpf, 5x6 Z., 25,5 cm</v>
          </cell>
          <cell r="D2207" t="str">
            <v>Woundspreader, blunt, 5x6 T., 25.5 cm</v>
          </cell>
        </row>
        <row r="2208">
          <cell r="B2208" t="str">
            <v>15-736-26-07</v>
          </cell>
          <cell r="C2208" t="str">
            <v>SPREIZER,  ADSON, SCHARF, 3X4 Z., 26 CM</v>
          </cell>
          <cell r="D2208" t="str">
            <v>SPREADER,  ADSON, SHARP, 3X4 T., 26 CM</v>
          </cell>
        </row>
        <row r="2209">
          <cell r="B2209" t="str">
            <v>15-737-26-07</v>
          </cell>
          <cell r="C2209" t="str">
            <v>SPREIZER,  ADSON, STUMPF,  3X4 Z., 26 CM</v>
          </cell>
          <cell r="D2209" t="str">
            <v>SPREADER,  ADSON, BLUNT, 3X4 T., 26 CM</v>
          </cell>
        </row>
        <row r="2210">
          <cell r="B2210" t="str">
            <v>15-738-25-07</v>
          </cell>
          <cell r="C2210" t="str">
            <v>SPREIZER,  ADSON, SCHARF, 5X6 Z., 25,5 CM</v>
          </cell>
          <cell r="D2210" t="str">
            <v>SPREADER,  ADSON, SHARP, 5X6 T., 25,5 CM</v>
          </cell>
        </row>
        <row r="2211">
          <cell r="B2211" t="str">
            <v>15-738-26-07</v>
          </cell>
          <cell r="C2211" t="str">
            <v>SPREIZER,  ADSON, SCHARF, 6X6 Z., 29 CM</v>
          </cell>
          <cell r="D2211" t="str">
            <v>SPREADER,  ADSON, SHARP, 6X6 T., 29 CM</v>
          </cell>
        </row>
        <row r="2212">
          <cell r="B2212" t="str">
            <v>15-739-25-07</v>
          </cell>
          <cell r="C2212" t="str">
            <v>SPREIZER,  ADSON, STUMPF,  5X6 Z., 25,5 CM</v>
          </cell>
          <cell r="D2212" t="str">
            <v>SPREADER,  ADSON, BLUNT 5X6 T., 25,5 CM</v>
          </cell>
        </row>
        <row r="2213">
          <cell r="B2213" t="str">
            <v>15-739-26-07</v>
          </cell>
          <cell r="C2213" t="str">
            <v>SPREIZER,  ADSON, STUMPF,  6X6 Z., 29 CM</v>
          </cell>
          <cell r="D2213" t="str">
            <v>SPREADER,  ADSON, BLUNT, 6X6 T., 29 CM</v>
          </cell>
        </row>
        <row r="2214">
          <cell r="B2214" t="str">
            <v>15-740-13-07</v>
          </cell>
          <cell r="C2214" t="str">
            <v>WUNDSPREIZER, SCH., 3X4 Z., 20 MM,13,5CM</v>
          </cell>
          <cell r="D2214" t="str">
            <v>SPREADER,  SHARP, 3X4 T., 20 MM, 13,5 CM</v>
          </cell>
        </row>
        <row r="2215">
          <cell r="B2215" t="str">
            <v>15-741-13-07</v>
          </cell>
          <cell r="C2215" t="str">
            <v>WUNDSPREIZER, ST., 3X4 Z., 20 MM, 13,5CM</v>
          </cell>
          <cell r="D2215" t="str">
            <v>SPREADER,  BLUNT, 3X4 T., 20 MM, 13,5 CM</v>
          </cell>
        </row>
        <row r="2216">
          <cell r="B2216" t="str">
            <v>15-748-10-07</v>
          </cell>
          <cell r="C2216" t="str">
            <v>WUNDSPREIZER, SCHARF, 2X3 Z., 11 CM</v>
          </cell>
          <cell r="D2216" t="str">
            <v>WOUNDSPREADER, SHARP, 2X3 T., 11 CM</v>
          </cell>
        </row>
        <row r="2217">
          <cell r="B2217" t="str">
            <v>15-749-10-07</v>
          </cell>
          <cell r="C2217" t="str">
            <v>WUNDSPREIZER, STUMPF,  2X3 Z., 11 CM</v>
          </cell>
          <cell r="D2217" t="str">
            <v>WOUNDSPREADER, BLUNT, 2X3 T., 11 CM</v>
          </cell>
        </row>
        <row r="2218">
          <cell r="B2218" t="str">
            <v>15-750-13-07</v>
          </cell>
          <cell r="C2218" t="str">
            <v>WUNDSPREIZER, SCHARF, 3X4 Z., 13,5 CM</v>
          </cell>
          <cell r="D2218" t="str">
            <v>WOUNDSPREADER, SHARP, 3X4 T., 13.5 CM</v>
          </cell>
        </row>
        <row r="2219">
          <cell r="B2219" t="str">
            <v>15-750-16-07</v>
          </cell>
          <cell r="C2219" t="str">
            <v>WUNDSPREIZER, SCHARF, 3X4 Z., 16 CM</v>
          </cell>
          <cell r="D2219" t="str">
            <v>WOUNDSPREADER, SHARP, 3X4 T., 16 CM</v>
          </cell>
        </row>
        <row r="2220">
          <cell r="B2220" t="str">
            <v>15-751-13-07</v>
          </cell>
          <cell r="C2220" t="str">
            <v>WUNDSPREIZER, STUMPF,  3X4 Z., 13,5 CM</v>
          </cell>
          <cell r="D2220" t="str">
            <v>WOUNDSPREADER, BLUNT, 3X4 T., 13.5 CM</v>
          </cell>
        </row>
        <row r="2221">
          <cell r="B2221" t="str">
            <v>15-751-16-07</v>
          </cell>
          <cell r="C2221" t="str">
            <v>WUNDSPREIZER, STUMPF,  3X4 Z., 16 CM</v>
          </cell>
          <cell r="D2221" t="str">
            <v>WOUNDSPREADER, BLUNT, 3X4 T., 16 CM</v>
          </cell>
        </row>
        <row r="2222">
          <cell r="B2222" t="str">
            <v>15-752-13-07</v>
          </cell>
          <cell r="C2222" t="str">
            <v>SPREIZER,  WULLST.,  SCHF., 3X3 Z., 13 CM</v>
          </cell>
          <cell r="D2222" t="str">
            <v>SPREADER,  WULLST.,  SHARP, 3X3 T., 13 CM</v>
          </cell>
        </row>
        <row r="2223">
          <cell r="B2223" t="str">
            <v>15-753-13-07</v>
          </cell>
          <cell r="C2223" t="str">
            <v>SPREIZER,  WULLST.,  STPF., 3X3 Z., 13 CM</v>
          </cell>
          <cell r="D2223" t="str">
            <v>SPREADER,  WULLST.,  BLUNT, 3X3 T., 13 CM</v>
          </cell>
        </row>
        <row r="2224">
          <cell r="B2224" t="str">
            <v>15-754-15-07</v>
          </cell>
          <cell r="C2224" t="str">
            <v>SPREIZER,  MOLLISON, SCHF., 4X4 Z.,15,5CM</v>
          </cell>
          <cell r="D2224" t="str">
            <v>SPREADER,  MOLLISON, SHARP, 4X4T., 15,5CM</v>
          </cell>
        </row>
        <row r="2225">
          <cell r="B2225" t="str">
            <v>15-755-13-07</v>
          </cell>
          <cell r="C2225" t="str">
            <v>SPREIZER,  PLESTER,  STPF., 2X2 Z., 13 CM</v>
          </cell>
          <cell r="D2225" t="str">
            <v>SPREADER,  PLESTER,  BLUNT, 2X2 T., 13 CM</v>
          </cell>
        </row>
        <row r="2226">
          <cell r="B2226" t="str">
            <v>15-756-13-07</v>
          </cell>
          <cell r="C2226" t="str">
            <v>SPREIZER,  PLESTER,  SCHF., 2X2 Z., 13 CM</v>
          </cell>
          <cell r="D2226" t="str">
            <v>SPREADER,  PLESTER,  SHARP, 2X2 T., 13 CM</v>
          </cell>
        </row>
        <row r="2227">
          <cell r="B2227" t="str">
            <v>15-757-11-07</v>
          </cell>
          <cell r="C2227" t="str">
            <v>SPREIZER,  PLESTER,  STPF., LI., 10,5 CM</v>
          </cell>
          <cell r="D2227" t="str">
            <v>SPREADER,  PLESTER,  BLUNT, L., 10.5 CM</v>
          </cell>
        </row>
        <row r="2228">
          <cell r="B2228" t="str">
            <v>15-759-11-07</v>
          </cell>
          <cell r="C2228" t="str">
            <v>SPREIZER,  PLESTER,  STPF., RE., 10,5 CM</v>
          </cell>
          <cell r="D2228" t="str">
            <v>SPREADER,  PLESTER,  BLUNT, R., 10.5 CM</v>
          </cell>
        </row>
        <row r="2229">
          <cell r="B2229" t="str">
            <v>15-761-05-07</v>
          </cell>
          <cell r="C2229" t="str">
            <v>Wundspreizer, Williams,  rechts, 1x5 cm</v>
          </cell>
          <cell r="D2229" t="str">
            <v>Spreader,  Williams,  right, 1x5 cm</v>
          </cell>
        </row>
        <row r="2230">
          <cell r="B2230" t="str">
            <v>15-761-06-07</v>
          </cell>
          <cell r="C2230" t="str">
            <v>Wundspreizer, Williams,  rechts, 1x6 cm</v>
          </cell>
          <cell r="D2230" t="str">
            <v>Spreader,  Williams,  right, 1x6 cm</v>
          </cell>
        </row>
        <row r="2231">
          <cell r="B2231" t="str">
            <v>15-761-07-07</v>
          </cell>
          <cell r="C2231" t="str">
            <v>Wundspreizer, Williams,  rechts, 1x7 cm</v>
          </cell>
          <cell r="D2231" t="str">
            <v>Spreader,  Williams,  right, 1x7 cm</v>
          </cell>
        </row>
        <row r="2232">
          <cell r="B2232" t="str">
            <v>15-762-05-07</v>
          </cell>
          <cell r="C2232" t="str">
            <v>Wundspreizer, Williams,  links, 1x5 cm</v>
          </cell>
          <cell r="D2232" t="str">
            <v>Spreader,  Williams,  left, 1x5 cm</v>
          </cell>
        </row>
        <row r="2233">
          <cell r="B2233" t="str">
            <v>15-762-06-07</v>
          </cell>
          <cell r="C2233" t="str">
            <v>Wundspreizer, Williams,  links, 1x6 cm</v>
          </cell>
          <cell r="D2233" t="str">
            <v>Spreader,  Williams,  left, 1x6 cm</v>
          </cell>
        </row>
        <row r="2234">
          <cell r="B2234" t="str">
            <v>15-762-07-07</v>
          </cell>
          <cell r="C2234" t="str">
            <v>Wundspreizer, Williams,  links, 1x7 cm</v>
          </cell>
          <cell r="D2234" t="str">
            <v>Spreader,  Williams,  left, 1x7 cm</v>
          </cell>
        </row>
        <row r="2235">
          <cell r="B2235" t="str">
            <v>15-765-13-07</v>
          </cell>
          <cell r="C2235" t="str">
            <v>WUNDSPREIZER, STUMPF,  3X3 Z., 13,5 CM</v>
          </cell>
          <cell r="D2235" t="str">
            <v>WOUNDSPREADER, BLUNT, 3X3 T., 13.5 CM</v>
          </cell>
        </row>
        <row r="2236">
          <cell r="B2236" t="str">
            <v>15-767-13-07</v>
          </cell>
          <cell r="C2236" t="str">
            <v>WUNDSPREIZER, VOLLES BLATT, 13,5 CM</v>
          </cell>
          <cell r="D2236" t="str">
            <v>WOUNDSPREADER, FULL BLADE, 13.5 CM</v>
          </cell>
        </row>
        <row r="2237">
          <cell r="B2237" t="str">
            <v>15-768-00-07</v>
          </cell>
          <cell r="C2237" t="str">
            <v>SPREIZER,  HENLEY, STPF., 3X4 Z., 16,5 CM</v>
          </cell>
          <cell r="D2237" t="str">
            <v>SPREADER,  HENLEY, BLUNT, 3X4 T., 16.5 CM</v>
          </cell>
        </row>
        <row r="2238">
          <cell r="B2238" t="str">
            <v>15-768-19-07</v>
          </cell>
          <cell r="C2238" t="str">
            <v>MITTELVALVE Z. 15-768-00,  19X17 MM</v>
          </cell>
          <cell r="D2238" t="str">
            <v>CENTER BLADE F. 15-768-00,  19X17 MM</v>
          </cell>
        </row>
        <row r="2239">
          <cell r="B2239" t="str">
            <v>15-768-25-07</v>
          </cell>
          <cell r="C2239" t="str">
            <v>MITTELVALVE Z. 15-768-00,  25X17 MM</v>
          </cell>
          <cell r="D2239" t="str">
            <v>CENTER BLADE F. 15-768-00,  25X17 MM</v>
          </cell>
        </row>
        <row r="2240">
          <cell r="B2240" t="str">
            <v>15-768-32-07</v>
          </cell>
          <cell r="C2240" t="str">
            <v>MITTELVALVE Z. 15-768-00,  32X17 MM</v>
          </cell>
          <cell r="D2240" t="str">
            <v>CENTER BLADE F. 15-768-00,  32X17 MM</v>
          </cell>
        </row>
        <row r="2241">
          <cell r="B2241" t="str">
            <v>15-769-00-07</v>
          </cell>
          <cell r="C2241" t="str">
            <v>SPREIZER,  HENLEY, SCHF., 3X4 Z., 16,5 CM</v>
          </cell>
          <cell r="D2241" t="str">
            <v>SPREADER,  HENLEY, SHARP, 3X4 T., 16.5 CM</v>
          </cell>
        </row>
        <row r="2242">
          <cell r="B2242" t="str">
            <v>15-770-13-07</v>
          </cell>
          <cell r="C2242" t="str">
            <v>SPREIZER,  ADSON, SCHF., 3X4 Z., 14,0 CM</v>
          </cell>
          <cell r="D2242" t="str">
            <v>SPREADER,  ADSON, SHARP, 3X4 T., 14.0 CM</v>
          </cell>
        </row>
        <row r="2243">
          <cell r="B2243" t="str">
            <v>15-770-16-07</v>
          </cell>
          <cell r="C2243" t="str">
            <v>Spreizer,  Adson, scharf, 3x4 Z., 16,5 cm</v>
          </cell>
          <cell r="D2243" t="str">
            <v>Spreader,  Adson, sharp, 3x4 t., 16,5 cm</v>
          </cell>
        </row>
        <row r="2244">
          <cell r="B2244" t="str">
            <v>15-770-20-07</v>
          </cell>
          <cell r="C2244" t="str">
            <v>SPREIZER,  ADSON, SCHF., 3X4 Z., 21 CM</v>
          </cell>
          <cell r="D2244" t="str">
            <v>SPREADER,  ADSON, SHARP, 3X4 T., 21 CM</v>
          </cell>
        </row>
        <row r="2245">
          <cell r="B2245" t="str">
            <v>15-770-26-07</v>
          </cell>
          <cell r="C2245" t="str">
            <v>SPREIZER,  ADSON, SCHF., 3X4 Z., 24,5 CM</v>
          </cell>
          <cell r="D2245" t="str">
            <v>SPREADER,  ADSON, SHARP, 3X4 T., 24.5 CM</v>
          </cell>
        </row>
        <row r="2246">
          <cell r="B2246" t="str">
            <v>15-771-13-07</v>
          </cell>
          <cell r="C2246" t="str">
            <v>SPREIZER,  ADSON, STPF., 3X4 Z., 14,0 CM</v>
          </cell>
          <cell r="D2246" t="str">
            <v>SPREADER,  ADSON, BLUNT, 3X4 T., 14.0 CM</v>
          </cell>
        </row>
        <row r="2247">
          <cell r="B2247" t="str">
            <v>15-771-16-07</v>
          </cell>
          <cell r="C2247" t="str">
            <v>SPREIZER,  ADSON, STPF., 3X4 Z.,16,5 CM</v>
          </cell>
          <cell r="D2247" t="str">
            <v>SPREADER,  ADSON, BLUNT, 3X4 Z.16.5 CM</v>
          </cell>
        </row>
        <row r="2248">
          <cell r="B2248" t="str">
            <v>15-771-20-07</v>
          </cell>
          <cell r="C2248" t="str">
            <v>SPREIZER,  ADSON, STPF., 3X4 Z., 21 CM</v>
          </cell>
          <cell r="D2248" t="str">
            <v>SPREADER,  ADSON, BLUNT, 3X4 T., 21 CM</v>
          </cell>
        </row>
        <row r="2249">
          <cell r="B2249" t="str">
            <v>15-771-26-07</v>
          </cell>
          <cell r="C2249" t="str">
            <v>SPREIZER,  ADSON, STPF., 3X4 Z., 24,5 CM</v>
          </cell>
          <cell r="D2249" t="str">
            <v>SPREADER,  ADSON, BLUNT, 3X4 T., 24.5 CM</v>
          </cell>
        </row>
        <row r="2250">
          <cell r="B2250" t="str">
            <v>15-773-13-07</v>
          </cell>
          <cell r="C2250" t="str">
            <v>Spreizer,  Adson, stpf., 3x4 Z., 13 cm</v>
          </cell>
          <cell r="D2250" t="str">
            <v>Spreader,  Adson, blunt, 3x4 t., 13cm</v>
          </cell>
        </row>
        <row r="2251">
          <cell r="B2251" t="str">
            <v>15-774-00-07</v>
          </cell>
          <cell r="C2251" t="str">
            <v>SPERRER,  CLOWARD,  KOMPL., 25 CM</v>
          </cell>
          <cell r="D2251" t="str">
            <v>SPREADER,  CLOWARD,  COMPLETE, 25 CM</v>
          </cell>
        </row>
        <row r="2252">
          <cell r="B2252" t="str">
            <v>15-774-25-07</v>
          </cell>
          <cell r="C2252" t="str">
            <v>SPERRER,  CLOWARD,  ALLEIN, Z. 15-774-00</v>
          </cell>
          <cell r="D2252" t="str">
            <v>SPREADER,  CLOWARD,  ONLY, F. 15-774-00</v>
          </cell>
        </row>
        <row r="2253">
          <cell r="B2253" t="str">
            <v>15-774-40-07</v>
          </cell>
          <cell r="C2253" t="str">
            <v>VALVE Z. SPERRER,  CLOWARD,  GEZ., 40 MM</v>
          </cell>
          <cell r="D2253" t="str">
            <v>BLADE F. CLOWARD,  FENESTRATED, 40 MM</v>
          </cell>
        </row>
        <row r="2254">
          <cell r="B2254" t="str">
            <v>15-774-45-07</v>
          </cell>
          <cell r="C2254" t="str">
            <v>VALVE Z. SPERRER,  CLOWARD,  GEZ., 45 MM</v>
          </cell>
          <cell r="D2254" t="str">
            <v>BLADE F. CLOWARD,  FENESTRATED, 45 MM</v>
          </cell>
        </row>
        <row r="2255">
          <cell r="B2255" t="str">
            <v>15-774-50-07</v>
          </cell>
          <cell r="C2255" t="str">
            <v>VALVE Z. SPERRER,  CLOWARD,  GEZ., 50 MM</v>
          </cell>
          <cell r="D2255" t="str">
            <v>BLADE F. CLOWARD,  FENESTRATED, 50 MM</v>
          </cell>
        </row>
        <row r="2256">
          <cell r="B2256" t="str">
            <v>15-774-55-07</v>
          </cell>
          <cell r="C2256" t="str">
            <v>VALVE Z. SPERRER,  CLOWARD,  GEZ., 55 MM</v>
          </cell>
          <cell r="D2256" t="str">
            <v>BLADE F. CLOWARD,  FENESTRATED, 55 MM</v>
          </cell>
        </row>
        <row r="2257">
          <cell r="B2257" t="str">
            <v>15-774-60-07</v>
          </cell>
          <cell r="C2257" t="str">
            <v>VALVE Z. SPERRER,  CLOWARD,  GEZ., 60 MM</v>
          </cell>
          <cell r="D2257" t="str">
            <v>BLADE F. CLOWARD,  FENESTRATED, 60 MM</v>
          </cell>
        </row>
        <row r="2258">
          <cell r="B2258" t="str">
            <v>15-775-00-07</v>
          </cell>
          <cell r="C2258" t="str">
            <v>SPERRER,  CLOWARD,  KOMPL., 15 CM</v>
          </cell>
          <cell r="D2258" t="str">
            <v>SPREADER,  CLOWARD,  COMPLETE, 15 CM</v>
          </cell>
        </row>
        <row r="2259">
          <cell r="B2259" t="str">
            <v>15-775-15-07</v>
          </cell>
          <cell r="C2259" t="str">
            <v>SPERRER,  CLOWARD,  ALLEIN, Z. 15-775-00</v>
          </cell>
          <cell r="D2259" t="str">
            <v>SPREADER,  CLOWARD,  ONLY, F. 15-775-00</v>
          </cell>
        </row>
        <row r="2260">
          <cell r="B2260" t="str">
            <v>15-775-40-07</v>
          </cell>
          <cell r="C2260" t="str">
            <v>VALVE Z. SPERRER,  CLOWARD,  GLATT, 40 MM</v>
          </cell>
          <cell r="D2260" t="str">
            <v>BLADE F. SPREAD.,  CLOWARD,  SMOOTH,  40 MM</v>
          </cell>
        </row>
        <row r="2261">
          <cell r="B2261" t="str">
            <v>15-775-45-07</v>
          </cell>
          <cell r="C2261" t="str">
            <v>VALVE Z. SPERRER,  CLOWARD,  GLATT, 45 MM</v>
          </cell>
          <cell r="D2261" t="str">
            <v>BLADE F. SPREAD.,  CLOWARD,  SMOOTH,  45 MM</v>
          </cell>
        </row>
        <row r="2262">
          <cell r="B2262" t="str">
            <v>15-775-50-07</v>
          </cell>
          <cell r="C2262" t="str">
            <v>VALVE Z. SPERRER,  CLOWARD,  GLATT, 50 MM</v>
          </cell>
          <cell r="D2262" t="str">
            <v>BLADE F. SPREAD.,  CLOWARD,  SMOOTH,  50 MM</v>
          </cell>
        </row>
        <row r="2263">
          <cell r="B2263" t="str">
            <v>15-775-55-07</v>
          </cell>
          <cell r="C2263" t="str">
            <v>VALVE Z. SPERRER,  CLOWARD,  GLATT, 55 MM</v>
          </cell>
          <cell r="D2263" t="str">
            <v>BLADE F. SPREAD.,  CLOWARD,  SMOOTH,  55 MM</v>
          </cell>
        </row>
        <row r="2264">
          <cell r="B2264" t="str">
            <v>15-775-60-07</v>
          </cell>
          <cell r="C2264" t="str">
            <v>VALVE Z. SPERRER,  CLOWARD,  GLATT, 60 MM</v>
          </cell>
          <cell r="D2264" t="str">
            <v>BLADE F. SPREAD.,  CLOWARD,  SMOOTH,  60 MM</v>
          </cell>
        </row>
        <row r="2265">
          <cell r="B2265" t="str">
            <v>15-776-31-07</v>
          </cell>
          <cell r="C2265" t="str">
            <v>SPREIZER,  BECKMANN, SCHF., 4X4 Z., 32 CM</v>
          </cell>
          <cell r="D2265" t="str">
            <v>SPREADER,  BECKMANN, SHARP, 4X4 T., 32 CM</v>
          </cell>
        </row>
        <row r="2266">
          <cell r="B2266" t="str">
            <v>15-777-32-07</v>
          </cell>
          <cell r="C2266" t="str">
            <v>Spreizer,  Adson, stpf., 4X5 Z., 33 cm</v>
          </cell>
          <cell r="D2266" t="str">
            <v>Spreader,  Adson, bl., 4X5 T., 33 cm</v>
          </cell>
        </row>
        <row r="2267">
          <cell r="B2267" t="str">
            <v>15-778-00-07</v>
          </cell>
          <cell r="C2267" t="str">
            <v>WUNDSPREIZER, STUMPF,  4X4 Z., 31 CM</v>
          </cell>
          <cell r="D2267" t="str">
            <v>WOUNDSPREADER, BLUNT, 4X4 T., 31 CM</v>
          </cell>
        </row>
        <row r="2268">
          <cell r="B2268" t="str">
            <v>15-778-01-07</v>
          </cell>
          <cell r="C2268" t="str">
            <v>WUNDSPREIZER, SCHARF, 4X4 Z., 31 CM</v>
          </cell>
          <cell r="D2268" t="str">
            <v>WOUNDSPREADER, SHARP, 4X4 T., 31 CM</v>
          </cell>
        </row>
        <row r="2269">
          <cell r="B2269" t="str">
            <v>15-778-02-07</v>
          </cell>
          <cell r="C2269" t="str">
            <v>WUNDSPREIZER, STUMPF,  4X4 Z., 30,5 CM</v>
          </cell>
          <cell r="D2269" t="str">
            <v>WOUNDSPREADER, BLUNT, 4X4 T., 30.5 CM</v>
          </cell>
        </row>
        <row r="2270">
          <cell r="B2270" t="str">
            <v>15-778-03-07</v>
          </cell>
          <cell r="C2270" t="str">
            <v>WUNDSPREIZER, SCHARF, 4X4 Z., 30,5 CM</v>
          </cell>
          <cell r="D2270" t="str">
            <v>WOUNDSPREADER, SHARP, 4X4 T., 30.5 CM</v>
          </cell>
        </row>
        <row r="2271">
          <cell r="B2271" t="str">
            <v>15-778-32-07</v>
          </cell>
          <cell r="C2271" t="str">
            <v>SPREIZER,  BECKMANN-EATON, 7X7 Z., 32 CM</v>
          </cell>
          <cell r="D2271" t="str">
            <v>SPREADER,  BECKMANN-EATON, 7X7 T., 32 CM</v>
          </cell>
        </row>
        <row r="2272">
          <cell r="B2272" t="str">
            <v>15-790-01-07</v>
          </cell>
          <cell r="C2272" t="str">
            <v>WUNDSPREIZER, 6X6 Z., SCHF., RE., 28,5CM</v>
          </cell>
          <cell r="D2272" t="str">
            <v>WOUNDSPREADER, 6X6 T., SHARP, R., 28.5CM</v>
          </cell>
        </row>
        <row r="2273">
          <cell r="B2273" t="str">
            <v>15-790-02-07</v>
          </cell>
          <cell r="C2273" t="str">
            <v>WUNDSPREIZER, 6X6 Z., SCHF., LI., 28,5CM</v>
          </cell>
          <cell r="D2273" t="str">
            <v>WOUNDSPREADER, 6X6 T., SHARP, L., 28.5CM</v>
          </cell>
        </row>
        <row r="2274">
          <cell r="B2274" t="str">
            <v>15-792-00-01</v>
          </cell>
          <cell r="C2274" t="str">
            <v>SPERRER,  LOW-PROFILE, 6 CM</v>
          </cell>
          <cell r="D2274" t="str">
            <v>SPREADER,  LOW-PROFILE, 6 CM</v>
          </cell>
        </row>
        <row r="2275">
          <cell r="B2275" t="str">
            <v>15-792-01-01</v>
          </cell>
          <cell r="C2275" t="str">
            <v>VALVE Z. SPERRER,  10X18 MM</v>
          </cell>
          <cell r="D2275" t="str">
            <v>BLADE F. SPREADER,  10X18 MM</v>
          </cell>
        </row>
        <row r="2276">
          <cell r="B2276" t="str">
            <v>15-792-02-01</v>
          </cell>
          <cell r="C2276" t="str">
            <v>VALVE Z. SPERRER,  10X12 MM</v>
          </cell>
          <cell r="D2276" t="str">
            <v>BLADE F. SPREADER,  10X12 MM</v>
          </cell>
        </row>
        <row r="2277">
          <cell r="B2277" t="str">
            <v>15-793-00-01</v>
          </cell>
          <cell r="C2277" t="str">
            <v>SPERRER,  LOW-PROFILE, 3X3 Z., 9,0 CM</v>
          </cell>
          <cell r="D2277" t="str">
            <v>SPREADER,  LOW-PROFILE, 3X3 T., 9.0 CM</v>
          </cell>
        </row>
        <row r="2278">
          <cell r="B2278" t="str">
            <v>15-794-00-01</v>
          </cell>
          <cell r="C2278" t="str">
            <v>SPERRER,  LOW-PROFILE, VOLLBL., 7,5 CM</v>
          </cell>
          <cell r="D2278" t="str">
            <v>SPREADER,  LOW-PROFILE, FULL BL., 7.5 CM</v>
          </cell>
        </row>
        <row r="2279">
          <cell r="B2279" t="str">
            <v>15-798-01-01</v>
          </cell>
          <cell r="C2279" t="str">
            <v>FINGER-WUNDSPREIZER, 5 CM</v>
          </cell>
          <cell r="D2279" t="str">
            <v>FINGER-WOUNDSPREADER, 5 CM</v>
          </cell>
        </row>
        <row r="2280">
          <cell r="B2280" t="str">
            <v>15-801-00-07</v>
          </cell>
          <cell r="C2280" t="str">
            <v>WUNDSPREIZER, JOLL, SCHARF, 15,5 CM</v>
          </cell>
          <cell r="D2280" t="str">
            <v>WOUNDSPREADER, JOLL, SHARP, 15.5 CM</v>
          </cell>
        </row>
        <row r="2281">
          <cell r="B2281" t="str">
            <v>15-802-13-07</v>
          </cell>
          <cell r="C2281" t="str">
            <v>WUNDSPREIZER, GELPI, 1X1 Z., 13 CM</v>
          </cell>
          <cell r="D2281" t="str">
            <v>WOUNDSPREADER, GELPI, 1X1 T., 13 CM</v>
          </cell>
        </row>
        <row r="2282">
          <cell r="B2282" t="str">
            <v>15-802-18-07</v>
          </cell>
          <cell r="C2282" t="str">
            <v>WUNDSPREIZER, GELPI, 1X1 Z., 18 CM</v>
          </cell>
          <cell r="D2282" t="str">
            <v>WOUNDSPREADER, GELPI, 1X1 T., 18 CM</v>
          </cell>
        </row>
        <row r="2283">
          <cell r="B2283" t="str">
            <v>15-804-18-07</v>
          </cell>
          <cell r="C2283" t="str">
            <v>WUNDSPREIZER, GELPI, 1X1 Z., 18,5 CM</v>
          </cell>
          <cell r="D2283" t="str">
            <v>WOUNDSPREADER, GELPI, 1X1 T., 18.5 CM</v>
          </cell>
        </row>
        <row r="2284">
          <cell r="B2284" t="str">
            <v>15-811-10-07</v>
          </cell>
          <cell r="C2284" t="str">
            <v>Distraktor,  Caspar, rechts, 11 cm</v>
          </cell>
          <cell r="D2284" t="str">
            <v>Distractor,  Caspar, right, 11 cm</v>
          </cell>
        </row>
        <row r="2285">
          <cell r="B2285" t="str">
            <v>15-811-11-07</v>
          </cell>
          <cell r="C2285" t="str">
            <v>Distraktor,  Caspar, rechts, 13 cm</v>
          </cell>
          <cell r="D2285" t="str">
            <v>Distractor,  Caspar, right, 13 cm</v>
          </cell>
        </row>
        <row r="2286">
          <cell r="B2286" t="str">
            <v>15-811-20-07</v>
          </cell>
          <cell r="C2286" t="str">
            <v>Distraktor,  Caspar, links, 11 cm</v>
          </cell>
          <cell r="D2286" t="str">
            <v>Distractor,  Caspar, left, 11 cm</v>
          </cell>
        </row>
        <row r="2287">
          <cell r="B2287" t="str">
            <v>15-811-21-07</v>
          </cell>
          <cell r="C2287" t="str">
            <v>Distraktor,  Caspar, links, 13 cm</v>
          </cell>
          <cell r="D2287" t="str">
            <v>Distractor,  Caspar, left, 13 cm</v>
          </cell>
        </row>
        <row r="2288">
          <cell r="B2288" t="str">
            <v>15-811-30-07</v>
          </cell>
          <cell r="C2288" t="str">
            <v>Bohrbuchse f. Distr., Caspar, links</v>
          </cell>
          <cell r="D2288" t="str">
            <v>Drill guide f. Distractor,  Caspar, left</v>
          </cell>
        </row>
        <row r="2289">
          <cell r="B2289" t="str">
            <v>15-811-31-07</v>
          </cell>
          <cell r="C2289" t="str">
            <v>Bohrbuchse f. Distr, Caspar, rechts</v>
          </cell>
          <cell r="D2289" t="str">
            <v>Drill guide f. Distractor,  Caspar, right</v>
          </cell>
        </row>
        <row r="2290">
          <cell r="B2290" t="str">
            <v>15-811-40-07</v>
          </cell>
          <cell r="C2290" t="str">
            <v>Schraubendreher f. Distraktor,  Caspar</v>
          </cell>
          <cell r="D2290" t="str">
            <v>Screwdriver f. Distractor,  Caspar</v>
          </cell>
        </row>
        <row r="2291">
          <cell r="B2291" t="str">
            <v>15-811-50-07</v>
          </cell>
          <cell r="C2291" t="str">
            <v>Schraube  f. Distraktion, Caspar, 12 mm</v>
          </cell>
          <cell r="D2291" t="str">
            <v>Screw f. Distraction, Caspar, 12 mm</v>
          </cell>
        </row>
        <row r="2292">
          <cell r="B2292" t="str">
            <v>15-811-51-07</v>
          </cell>
          <cell r="C2292" t="str">
            <v>Schraube  f. Distraktion, Caspar, 14 mm</v>
          </cell>
          <cell r="D2292" t="str">
            <v>Screw f. Distraction, Caspar, 14 mm</v>
          </cell>
        </row>
        <row r="2293">
          <cell r="B2293" t="str">
            <v>15-811-52-07</v>
          </cell>
          <cell r="C2293" t="str">
            <v>Schraube  f. Distraktion, Caspar, 16 mm</v>
          </cell>
          <cell r="D2293" t="str">
            <v>Screw f. Distraction, Caspar, 16 mm</v>
          </cell>
        </row>
        <row r="2294">
          <cell r="B2294" t="str">
            <v>15-811-53-07</v>
          </cell>
          <cell r="C2294" t="str">
            <v>Schraube  f. Distraktion, Caspar, 18 mm</v>
          </cell>
          <cell r="D2294" t="str">
            <v>Screw f. Distraction, Caspar, 18 mm</v>
          </cell>
        </row>
        <row r="2295">
          <cell r="B2295" t="str">
            <v>15-811-60-07</v>
          </cell>
          <cell r="C2295" t="str">
            <v>Bohrer, Caspar, Ø 8 mm, 14 mm</v>
          </cell>
          <cell r="D2295" t="str">
            <v>Drill, Caspar, Ø 8 mm, 14 mm</v>
          </cell>
        </row>
        <row r="2296">
          <cell r="B2296" t="str">
            <v>15-811-61-07</v>
          </cell>
          <cell r="C2296" t="str">
            <v>Bohrer, Caspar, Ø 8 mm, 8 mm</v>
          </cell>
          <cell r="D2296" t="str">
            <v>Drill, Caspar, Ø 8 mm, 8 mm</v>
          </cell>
        </row>
        <row r="2297">
          <cell r="B2297" t="str">
            <v>15-812-01-07</v>
          </cell>
          <cell r="C2297" t="str">
            <v>Wirbelkörperspreizer,  12,7 cm</v>
          </cell>
          <cell r="D2297" t="str">
            <v>Vertebral  spreader,   12.7 cm</v>
          </cell>
        </row>
        <row r="2298">
          <cell r="B2298" t="str">
            <v>15-812-21-07</v>
          </cell>
          <cell r="C2298" t="str">
            <v>Wirbelkörperspreizer, lumbal, 3Z., 13 cm</v>
          </cell>
          <cell r="D2298" t="str">
            <v>Vertebral  spreader,  lumbar, 3T., 13 cm</v>
          </cell>
        </row>
        <row r="2299">
          <cell r="B2299" t="str">
            <v>15-813-40-07</v>
          </cell>
          <cell r="C2299" t="str">
            <v>Diskektomie-Spekulum lumb.,Caspar,4cm</v>
          </cell>
          <cell r="D2299" t="str">
            <v>Discectomy-Speculum lumb., Caspar,4cm</v>
          </cell>
        </row>
        <row r="2300">
          <cell r="B2300" t="str">
            <v>15-813-45-07</v>
          </cell>
          <cell r="C2300" t="str">
            <v>Diskektomie-Spekulum lumb.,Caspar,4,5cm</v>
          </cell>
          <cell r="D2300" t="str">
            <v>Discectomy-Speculum lumb., Caspar,4.5cm</v>
          </cell>
        </row>
        <row r="2301">
          <cell r="B2301" t="str">
            <v>15-813-50-07</v>
          </cell>
          <cell r="C2301" t="str">
            <v>Diskektomie-Spekulum lumb.,Caspar,5cm</v>
          </cell>
          <cell r="D2301" t="str">
            <v>Discectomy-Speculum lumb., Caspar,5cm</v>
          </cell>
        </row>
        <row r="2302">
          <cell r="B2302" t="str">
            <v>15-813-55-07</v>
          </cell>
          <cell r="C2302" t="str">
            <v>Diskektomie-Spekulum lumb.,Caspar,5,5cm</v>
          </cell>
          <cell r="D2302" t="str">
            <v>Discectomy-Speculum lumb., Caspar,5.5cm</v>
          </cell>
        </row>
        <row r="2303">
          <cell r="B2303" t="str">
            <v>15-813-60-07</v>
          </cell>
          <cell r="C2303" t="str">
            <v>Diskektomie-Spekulum lumb.,Caspar,6cm</v>
          </cell>
          <cell r="D2303" t="str">
            <v>Discectomy-Speculum lumb., Caspar,6cm</v>
          </cell>
        </row>
        <row r="2304">
          <cell r="B2304" t="str">
            <v>15-813-65-07</v>
          </cell>
          <cell r="C2304" t="str">
            <v>Diskektomie-Spekulum lumb.,Caspar,6,5cm</v>
          </cell>
          <cell r="D2304" t="str">
            <v>Discectomy-Speculum lumb., Caspar,6.5cm</v>
          </cell>
        </row>
        <row r="2305">
          <cell r="B2305" t="str">
            <v>15-813-70-07</v>
          </cell>
          <cell r="C2305" t="str">
            <v>Diskektomie-Spekulum lumb.,Caspar,7,5cm</v>
          </cell>
          <cell r="D2305" t="str">
            <v>Discectomy-Speculum lumb., Caspar,7.5cm</v>
          </cell>
        </row>
        <row r="2306">
          <cell r="B2306" t="str">
            <v>15-813-80-07</v>
          </cell>
          <cell r="C2306" t="str">
            <v>Diskektomie-Spekulum lumb.,Caspar,8,0cm</v>
          </cell>
          <cell r="D2306" t="str">
            <v>Discectomy-Speculum lumb., Caspar,8.0cm</v>
          </cell>
        </row>
        <row r="2307">
          <cell r="B2307" t="str">
            <v>15-813-85-07</v>
          </cell>
          <cell r="C2307" t="str">
            <v>Diskektomie-Spekulum lumb.,Caspar,8,5cm</v>
          </cell>
          <cell r="D2307" t="str">
            <v>Discectomy-Speculum lumb., Caspar,8.5cm</v>
          </cell>
        </row>
        <row r="2308">
          <cell r="B2308" t="str">
            <v>15-814-10-07</v>
          </cell>
          <cell r="C2308" t="str">
            <v>Diskektomie-Gegensperrer, lumbal, Caspar</v>
          </cell>
          <cell r="D2308" t="str">
            <v>Discectomy-counter retract.,lumb.,Caspar</v>
          </cell>
        </row>
        <row r="2309">
          <cell r="B2309" t="str">
            <v>15-814-20-07</v>
          </cell>
          <cell r="C2309" t="str">
            <v>Valve, medial f. 15-814-10-07, 4 cm</v>
          </cell>
          <cell r="D2309" t="str">
            <v>Blade, medial f. 15-814-10-07, 4 cm</v>
          </cell>
        </row>
        <row r="2310">
          <cell r="B2310" t="str">
            <v>15-814-21-07</v>
          </cell>
          <cell r="C2310" t="str">
            <v>Valve, medial f. 15-814-10-07, 4,5 cm</v>
          </cell>
          <cell r="D2310" t="str">
            <v>Blade, medial f. 15-814-10-07, 4.5 cm</v>
          </cell>
        </row>
        <row r="2311">
          <cell r="B2311" t="str">
            <v>15-814-22-07</v>
          </cell>
          <cell r="C2311" t="str">
            <v>Valve, medial f. 15-814-10-07, 5 cm</v>
          </cell>
          <cell r="D2311" t="str">
            <v>Blade, medial f. 15-814-10-07, 5 cm</v>
          </cell>
        </row>
        <row r="2312">
          <cell r="B2312" t="str">
            <v>15-814-23-07</v>
          </cell>
          <cell r="C2312" t="str">
            <v>Valve, medial f. 15-814-10-07, 5,5 cm</v>
          </cell>
          <cell r="D2312" t="str">
            <v>Blade, medial f. 15-814-10-07, 5.5 cm</v>
          </cell>
        </row>
        <row r="2313">
          <cell r="B2313" t="str">
            <v>15-814-24-07</v>
          </cell>
          <cell r="C2313" t="str">
            <v>Valve, medial f. 15-814-10-07, 6 cm</v>
          </cell>
          <cell r="D2313" t="str">
            <v>Blade, medial f. 15-814-10-07, 6 cm</v>
          </cell>
        </row>
        <row r="2314">
          <cell r="B2314" t="str">
            <v>15-814-25-07</v>
          </cell>
          <cell r="C2314" t="str">
            <v>Valve, medial f. 15-814-10-07, 6,5 cm</v>
          </cell>
          <cell r="D2314" t="str">
            <v>Blade, medial f. 15-814-10-07, 6.5 cm</v>
          </cell>
        </row>
        <row r="2315">
          <cell r="B2315" t="str">
            <v>15-814-26-07</v>
          </cell>
          <cell r="C2315" t="str">
            <v>Valve, medial f. 15-814-10-07, 7 cm</v>
          </cell>
          <cell r="D2315" t="str">
            <v>Blade, medial f. 15-814-10-07, 7 cm</v>
          </cell>
        </row>
        <row r="2316">
          <cell r="B2316" t="str">
            <v>15-814-27-07</v>
          </cell>
          <cell r="C2316" t="str">
            <v>Valve, medial f. 15-814-10-07, 7,5 cm</v>
          </cell>
          <cell r="D2316" t="str">
            <v>Blade, medial f. 15-814-10-07, 7.5 cm</v>
          </cell>
        </row>
        <row r="2317">
          <cell r="B2317" t="str">
            <v>15-814-40-07</v>
          </cell>
          <cell r="C2317" t="str">
            <v>Valve, lateral f. 15-814-10-07, 3,5 cm</v>
          </cell>
          <cell r="D2317" t="str">
            <v>Blade, lateral f. 15-814-10-07, 3.5 cm</v>
          </cell>
        </row>
        <row r="2318">
          <cell r="B2318" t="str">
            <v>15-814-41-07</v>
          </cell>
          <cell r="C2318" t="str">
            <v>Valve, lateral f. 15-814-10-07, 4 cm</v>
          </cell>
          <cell r="D2318" t="str">
            <v>Blade, lateral f. 15-814-10-07, 4 cm</v>
          </cell>
        </row>
        <row r="2319">
          <cell r="B2319" t="str">
            <v>15-814-42-07</v>
          </cell>
          <cell r="C2319" t="str">
            <v>Valve, lateral f. 15-814-10-07, 4,5 cm</v>
          </cell>
          <cell r="D2319" t="str">
            <v>Blade, lateral f. 15-814-10-07, 4.5 cm</v>
          </cell>
        </row>
        <row r="2320">
          <cell r="B2320" t="str">
            <v>15-814-43-07</v>
          </cell>
          <cell r="C2320" t="str">
            <v>Valve, lateral f. 15-814-10-07, 5 cm</v>
          </cell>
          <cell r="D2320" t="str">
            <v>Blade, lateral f. 15-814-10-07, 5 cm</v>
          </cell>
        </row>
        <row r="2321">
          <cell r="B2321" t="str">
            <v>15-814-44-07</v>
          </cell>
          <cell r="C2321" t="str">
            <v>Valve, lateral f. 15-814-10-07, 5,5 cm</v>
          </cell>
          <cell r="D2321" t="str">
            <v>Blade, lateral f. 15-814-10-07, 5.5 cm</v>
          </cell>
        </row>
        <row r="2322">
          <cell r="B2322" t="str">
            <v>15-814-45-07</v>
          </cell>
          <cell r="C2322" t="str">
            <v>Valve, lateral f. 15-814-10-07, 6 cm</v>
          </cell>
          <cell r="D2322" t="str">
            <v>Blade, lateral f. 15-814-10-07, 6 cm</v>
          </cell>
        </row>
        <row r="2323">
          <cell r="B2323" t="str">
            <v>15-814-46-07</v>
          </cell>
          <cell r="C2323" t="str">
            <v>Valve, lateral f. 15-814-10-07, 6,5 cm</v>
          </cell>
          <cell r="D2323" t="str">
            <v>Blade, lateral f. 15-814-10-07, 6.5 cm</v>
          </cell>
        </row>
        <row r="2324">
          <cell r="B2324" t="str">
            <v>15-814-47-07</v>
          </cell>
          <cell r="C2324" t="str">
            <v>Valve, lateral f. 15-814-10-07, 7,5 cm</v>
          </cell>
          <cell r="D2324" t="str">
            <v>Blade, lateral f. 15-814-10-07, 7.5 cm</v>
          </cell>
        </row>
        <row r="2325">
          <cell r="B2325" t="str">
            <v>15-814-48-07</v>
          </cell>
          <cell r="C2325" t="str">
            <v>Valve, lateral f. 15-814-10-07, 8 cm</v>
          </cell>
          <cell r="D2325" t="str">
            <v>Blade, lateral f. 15-814-10-07, 8 cm</v>
          </cell>
        </row>
        <row r="2326">
          <cell r="B2326" t="str">
            <v>15-814-49-07</v>
          </cell>
          <cell r="C2326" t="str">
            <v>Valve, lateral f. 15-814-10-07, 8,5 cm</v>
          </cell>
          <cell r="D2326" t="str">
            <v>Blade, lateral f. 15-814-10-07, 8.5 cm</v>
          </cell>
        </row>
        <row r="2327">
          <cell r="B2327" t="str">
            <v>15-814-99-07</v>
          </cell>
          <cell r="C2327" t="str">
            <v>Pinzette z. Austausch  v. Valven</v>
          </cell>
          <cell r="D2327" t="str">
            <v>Forceps f. change of blades</v>
          </cell>
        </row>
        <row r="2328">
          <cell r="B2328" t="str">
            <v>15-820-00-07</v>
          </cell>
          <cell r="C2328" t="str">
            <v>BAUCHDECKENHALTER, COLLIN-BABY, 20 CM</v>
          </cell>
          <cell r="D2328" t="str">
            <v>ABDOMINAL RETRACTOR, COLLIN-BABY, 20 CM</v>
          </cell>
        </row>
        <row r="2329">
          <cell r="B2329" t="str">
            <v>15-822-22-07</v>
          </cell>
          <cell r="C2329" t="str">
            <v>BAUCHDECKENHALTER, COLLIN, 20 CM</v>
          </cell>
          <cell r="D2329" t="str">
            <v>ABDOMINAL RETRACTOR, COLLIN, 20 CM</v>
          </cell>
        </row>
        <row r="2330">
          <cell r="B2330" t="str">
            <v>15-823-00-07</v>
          </cell>
          <cell r="C2330" t="str">
            <v>BAUCHDECKENHALTER, COLLIN, 20 CM</v>
          </cell>
          <cell r="D2330" t="str">
            <v>ABDOMINAL RETRACTOR, COLLIN, 20 CM</v>
          </cell>
        </row>
        <row r="2331">
          <cell r="B2331" t="str">
            <v>15-823-90-98</v>
          </cell>
          <cell r="C2331" t="str">
            <v>MITTELVALVE, 38X55 MM, ZU 15-823-00</v>
          </cell>
          <cell r="D2331" t="str">
            <v>BLADE, ONLY, 38X55 MM, F. 15-823-00</v>
          </cell>
        </row>
        <row r="2332">
          <cell r="B2332" t="str">
            <v>15-824-00-07</v>
          </cell>
          <cell r="C2332" t="str">
            <v>BAUCHDECKENHALTER, COLLIN, 20 CM</v>
          </cell>
          <cell r="D2332" t="str">
            <v>ABDOMINAL RETRACTOR, COLLIN, 20 CM</v>
          </cell>
        </row>
        <row r="2333">
          <cell r="B2333" t="str">
            <v>15-824-90-98</v>
          </cell>
          <cell r="C2333" t="str">
            <v>MITTELVALVE, 50X75 MM, ZU 15-824-00</v>
          </cell>
          <cell r="D2333" t="str">
            <v>CENTER BLADE, 50X75 MM, F. 15-824-00</v>
          </cell>
        </row>
        <row r="2334">
          <cell r="B2334" t="str">
            <v>15-826-00-07</v>
          </cell>
          <cell r="C2334" t="str">
            <v>BAUCHDECKENHALTER, COLLIN, 31 CM</v>
          </cell>
          <cell r="D2334" t="str">
            <v>ABDOMINAL RETRACTOR, COLLIN, 31 CM</v>
          </cell>
        </row>
        <row r="2335">
          <cell r="B2335" t="str">
            <v>15-826-90-98</v>
          </cell>
          <cell r="C2335" t="str">
            <v>MITTELVALVE, 60X75 MM, ZU 15-826-00</v>
          </cell>
          <cell r="D2335" t="str">
            <v>CENTER BLADE, 60X75 MM, F. 15-826-00</v>
          </cell>
        </row>
        <row r="2336">
          <cell r="B2336" t="str">
            <v>15-828-00-07</v>
          </cell>
          <cell r="C2336" t="str">
            <v>BAUCHDECKENHALTER, RICARD, KPL., 28 CM</v>
          </cell>
          <cell r="D2336" t="str">
            <v>ABDOMINAL RETRACTOR, RICARD, CPL., 28 CM</v>
          </cell>
        </row>
        <row r="2337">
          <cell r="B2337" t="str">
            <v>15-828-01-07</v>
          </cell>
          <cell r="C2337" t="str">
            <v>RAHMEN  ALLEIN ZU SPERRER,  RICARD, 19 CM</v>
          </cell>
          <cell r="D2337" t="str">
            <v>FRAME, ONLY, F. RETRACTOR, RICARD, 19 CM</v>
          </cell>
        </row>
        <row r="2338">
          <cell r="B2338" t="str">
            <v>15-830-00-07</v>
          </cell>
          <cell r="C2338" t="str">
            <v>BAUCHDECKENHALTER, RICARD, KPL., GROSS</v>
          </cell>
          <cell r="D2338" t="str">
            <v>ABDOMIN.  RETRACTOR, RICARD, LARGE BLADES</v>
          </cell>
        </row>
        <row r="2339">
          <cell r="B2339" t="str">
            <v>15-830-02-07</v>
          </cell>
          <cell r="C2339" t="str">
            <v>MITTELVALVE, 55X70 MM</v>
          </cell>
          <cell r="D2339" t="str">
            <v>CENTER BLADE, 55X70 MM</v>
          </cell>
        </row>
        <row r="2340">
          <cell r="B2340" t="str">
            <v>15-830-04-07</v>
          </cell>
          <cell r="C2340" t="str">
            <v>MITTELVALVE, 80X90 MM</v>
          </cell>
          <cell r="D2340" t="str">
            <v>CENTER BLADE, 80X90 MM</v>
          </cell>
        </row>
        <row r="2341">
          <cell r="B2341" t="str">
            <v>15-839-18-07</v>
          </cell>
          <cell r="C2341" t="str">
            <v>STECK-WECHSELVALVE, 18X40 MM, 1 STÜCK</v>
          </cell>
          <cell r="D2341" t="str">
            <v>EXCHANGEABLE BLADE, 18X40 MM, 1 PC.</v>
          </cell>
        </row>
        <row r="2342">
          <cell r="B2342" t="str">
            <v>15-839-27-07</v>
          </cell>
          <cell r="C2342" t="str">
            <v>STECK-WECHSELVALVE, 27X40 MM, 1 STÜCK</v>
          </cell>
          <cell r="D2342" t="str">
            <v>EXCHANGEABLE BLADE, 27X40 MM, 1 PC.</v>
          </cell>
        </row>
        <row r="2343">
          <cell r="B2343" t="str">
            <v>15-839-38-07</v>
          </cell>
          <cell r="C2343" t="str">
            <v>STECK-WECHSELVALVE, 38X60 MM, 1 STÜCK</v>
          </cell>
          <cell r="D2343" t="str">
            <v>EXCHANGEABLE BLADE, 38X60 MM, 1 PC.</v>
          </cell>
        </row>
        <row r="2344">
          <cell r="B2344" t="str">
            <v>15-839-45-07</v>
          </cell>
          <cell r="C2344" t="str">
            <v>STECK-WECHSELVALVE, 45X80 MM, 1 STÜCK</v>
          </cell>
          <cell r="D2344" t="str">
            <v>EXCHANGEABLE BLADE, 45X80 MM, 1 PC.</v>
          </cell>
        </row>
        <row r="2345">
          <cell r="B2345" t="str">
            <v>15-839-50-07</v>
          </cell>
          <cell r="C2345" t="str">
            <v>STECK-WECHSELVALVE, 50X70 MM, 1 STCK.</v>
          </cell>
          <cell r="D2345" t="str">
            <v>EXCHANGEABLE BLADE, 50X70 MM, 1 PC.</v>
          </cell>
        </row>
        <row r="2346">
          <cell r="B2346" t="str">
            <v>15-839-52-07</v>
          </cell>
          <cell r="C2346" t="str">
            <v>STECK-WECHSELVALVE, 52X110 MM, 1 STÜCK</v>
          </cell>
          <cell r="D2346" t="str">
            <v>EXCHANGEABLE BLADE, 52X110 MM, 1 PC.</v>
          </cell>
        </row>
        <row r="2347">
          <cell r="B2347" t="str">
            <v>15-839-60-07</v>
          </cell>
          <cell r="C2347" t="str">
            <v>STECK-WECHSELVALVE, 60X80 MM, 1 STÜCK</v>
          </cell>
          <cell r="D2347" t="str">
            <v>EXCHANGEABLE BLADE, 60X80 MM, 1 PC.</v>
          </cell>
        </row>
        <row r="2348">
          <cell r="B2348" t="str">
            <v>15-839-70-07</v>
          </cell>
          <cell r="C2348" t="str">
            <v>STECK-WECHSELVALVE, 70X55 MM, 1 STÜCK</v>
          </cell>
          <cell r="D2348" t="str">
            <v>EXCHANGEABLE BLADE, 70X55 MM, 1 PC.</v>
          </cell>
        </row>
        <row r="2349">
          <cell r="B2349" t="str">
            <v>15-839-90-07</v>
          </cell>
          <cell r="C2349" t="str">
            <v>STECK-WECHSELVALVE, 50X58 MM, 1 STÜCK</v>
          </cell>
          <cell r="D2349" t="str">
            <v>EXCHANGEABLE BLADE, 50X58 MM, 1 PC.</v>
          </cell>
        </row>
        <row r="2350">
          <cell r="B2350" t="str">
            <v>15-839-92-07</v>
          </cell>
          <cell r="C2350" t="str">
            <v>STECK-WECHSELVALVE, 60X80 MM, 1 STÜCK</v>
          </cell>
          <cell r="D2350" t="str">
            <v>EXCHANGEABLE BLADE, 60X80 MM, 1 PC.</v>
          </cell>
        </row>
        <row r="2351">
          <cell r="B2351" t="str">
            <v>15-839-94-07</v>
          </cell>
          <cell r="C2351" t="str">
            <v>STECK-WECHSELVALVE, 72X85 MM, 1 STÜCK</v>
          </cell>
          <cell r="D2351" t="str">
            <v>EXCHANGEABLE BLADE, 72X85 MM, 1 PC.</v>
          </cell>
        </row>
        <row r="2352">
          <cell r="B2352" t="str">
            <v>15-840-00-07</v>
          </cell>
          <cell r="C2352" t="str">
            <v>BAUCHDECKENHALTER, GOSSET, 12,5 CM</v>
          </cell>
          <cell r="D2352" t="str">
            <v>ABDOMINAL RETRACTOR, GOSSET, 12.5 CM</v>
          </cell>
        </row>
        <row r="2353">
          <cell r="B2353" t="str">
            <v>15-844-00-07</v>
          </cell>
          <cell r="C2353" t="str">
            <v>BAUCHDECKENHALTER, GOSSET, 16,5 CM</v>
          </cell>
          <cell r="D2353" t="str">
            <v>ABDOMINAL RETRACTOR, GOSSET, 16.5 CM</v>
          </cell>
        </row>
        <row r="2354">
          <cell r="B2354" t="str">
            <v>15-846-00-07</v>
          </cell>
          <cell r="C2354" t="str">
            <v>BAUCHDECKENHALTER, GOSSET, 18,5 CM</v>
          </cell>
          <cell r="D2354" t="str">
            <v>ABDOMINAL RETRACTOR, GOSSET, 18.5 CM</v>
          </cell>
        </row>
        <row r="2355">
          <cell r="B2355" t="str">
            <v>15-850-00-07</v>
          </cell>
          <cell r="C2355" t="str">
            <v>BAUCHDECKENHALTER, BALFOUR-BABY, 12,5 CM</v>
          </cell>
          <cell r="D2355" t="str">
            <v>ABD. RETRACTOR, BALFOUR-BABY, 12.5 CM</v>
          </cell>
        </row>
        <row r="2356">
          <cell r="B2356" t="str">
            <v>15-852-00-07</v>
          </cell>
          <cell r="C2356" t="str">
            <v>BAUCHDECKENHALTER, BALFOUR,  DRAHTVALVEN</v>
          </cell>
          <cell r="D2356" t="str">
            <v>ABDOMIN.  RETRACTOR, BALFOUR,  WIRE BLADES</v>
          </cell>
        </row>
        <row r="2357">
          <cell r="B2357" t="str">
            <v>15-854-00-07</v>
          </cell>
          <cell r="C2357" t="str">
            <v>BAUCHDECKENHALTER, BALFOUR,  VOLLES BLATT</v>
          </cell>
          <cell r="D2357" t="str">
            <v>ABDOMIN.  RETRACTOR, BALFOUR,  FULL BLADES</v>
          </cell>
        </row>
        <row r="2358">
          <cell r="B2358" t="str">
            <v>15-856-00-07</v>
          </cell>
          <cell r="C2358" t="str">
            <v>BAUCHDECKENHALTER, BALFOUR,  DRAHTVALVEN</v>
          </cell>
          <cell r="D2358" t="str">
            <v>ABDOMIN.  RETRACTOR, BALFOUR,  WIRE BLADES</v>
          </cell>
        </row>
        <row r="2359">
          <cell r="B2359" t="str">
            <v>15-858-00-07</v>
          </cell>
          <cell r="C2359" t="str">
            <v>BAUCHDECKENHALTER, BALFOUR,  DRAHTVALVEN</v>
          </cell>
          <cell r="D2359" t="str">
            <v>ABDOMIN.  RETRACTOR, BALFOUR,  WIRE BLADES</v>
          </cell>
        </row>
        <row r="2360">
          <cell r="B2360" t="str">
            <v>15-859-06-07</v>
          </cell>
          <cell r="C2360" t="str">
            <v>MITTELVALVE, BALFOUR,  40X68 MM</v>
          </cell>
          <cell r="D2360" t="str">
            <v>CENTER BLADE, BALFOUR,  40X68 MM</v>
          </cell>
        </row>
        <row r="2361">
          <cell r="B2361" t="str">
            <v>15-860-00-07</v>
          </cell>
          <cell r="C2361" t="str">
            <v>BAUCHDECKENHALTER, BALFOUR,  US-MODELL</v>
          </cell>
          <cell r="D2361" t="str">
            <v>ABDOMIN.  RETRACTOR, BALFOUR,  US-TYPE</v>
          </cell>
        </row>
        <row r="2362">
          <cell r="B2362" t="str">
            <v>15-868-00-01</v>
          </cell>
          <cell r="C2362" t="str">
            <v>BAUCHDECKENHALTER, O'SULLIVAN-O'CONNOR</v>
          </cell>
          <cell r="D2362" t="str">
            <v>ABD. RETRACTOR, O'SULLIVAN-O'CONNOR</v>
          </cell>
        </row>
        <row r="2363">
          <cell r="B2363" t="str">
            <v>15-868-90-98</v>
          </cell>
          <cell r="C2363" t="str">
            <v>Mittelvalve, 80X45 mm, zu 15-868-00</v>
          </cell>
          <cell r="D2363" t="str">
            <v>Central blade, 80X45 mm, for 15-868-00</v>
          </cell>
        </row>
        <row r="2364">
          <cell r="B2364" t="str">
            <v>15-868-91-98</v>
          </cell>
          <cell r="C2364" t="str">
            <v>Mittelvalve, 110X70 mm, zu 15-868-00</v>
          </cell>
          <cell r="D2364" t="str">
            <v>Central blade, 110X70 mm, for 15-868-00</v>
          </cell>
        </row>
        <row r="2365">
          <cell r="B2365" t="str">
            <v>15-882-00-07</v>
          </cell>
          <cell r="C2365" t="str">
            <v>BAUCHDECKENRAHMEN, KIRSCHNER, OVAL, KPL.</v>
          </cell>
          <cell r="D2365" t="str">
            <v>ABD. RETRACTOR, KIRSCHNER, OVAL. CPL.</v>
          </cell>
        </row>
        <row r="2366">
          <cell r="B2366" t="str">
            <v>15-882-30-07</v>
          </cell>
          <cell r="C2366" t="str">
            <v>RAHMEN,  KIRSCHNER, OVAL, 300X240  MM</v>
          </cell>
          <cell r="D2366" t="str">
            <v>FRAME, KIRSCHNER, OVAL, 300X240  MM</v>
          </cell>
        </row>
        <row r="2367">
          <cell r="B2367" t="str">
            <v>15-884-00-07</v>
          </cell>
          <cell r="C2367" t="str">
            <v>BAUCHDECKENRAHMEN, KIRSCHNER, ECKIG, KPL</v>
          </cell>
          <cell r="D2367" t="str">
            <v>ABD. RETRACTOR, KIRSCHNER,CURVANG., CPL.</v>
          </cell>
        </row>
        <row r="2368">
          <cell r="B2368" t="str">
            <v>15-884-24-07</v>
          </cell>
          <cell r="C2368" t="str">
            <v>RAHMEN,  KIRSCHNER, ECKIG, 240X240  MM</v>
          </cell>
          <cell r="D2368" t="str">
            <v>FRAME, KIRSCHNER, CURVANG., 240X240  MM</v>
          </cell>
        </row>
        <row r="2369">
          <cell r="B2369" t="str">
            <v>15-889-40-07</v>
          </cell>
          <cell r="C2369" t="str">
            <v>RAHMENHAKEN, KIRSCHNER, 40X55 MM</v>
          </cell>
          <cell r="D2369" t="str">
            <v>HOOK ON BLADE, KIRSCHNER, 40X55 MM</v>
          </cell>
        </row>
        <row r="2370">
          <cell r="B2370" t="str">
            <v>15-889-50-07</v>
          </cell>
          <cell r="C2370" t="str">
            <v>RAHMENHAKEN, KIRSCHNER, 50X65 MM</v>
          </cell>
          <cell r="D2370" t="str">
            <v>HOOK ON BLADE, KIRSCHNER,50X65 MM</v>
          </cell>
        </row>
        <row r="2371">
          <cell r="B2371" t="str">
            <v>15-889-60-07</v>
          </cell>
          <cell r="C2371" t="str">
            <v>RAHMENHAKEN, KIRSCHNER, 60X85 MM</v>
          </cell>
          <cell r="D2371" t="str">
            <v>HOOK ON BLADE, KIRSCHNER, 60X85 MM</v>
          </cell>
        </row>
        <row r="2372">
          <cell r="B2372" t="str">
            <v>15-889-78-07</v>
          </cell>
          <cell r="C2372" t="str">
            <v>RAHMENHAKEN, KIRSCHNER, 78X65 MM</v>
          </cell>
          <cell r="D2372" t="str">
            <v>HOOK ON BLADE, KIRSCHNER, 78X65 MM</v>
          </cell>
        </row>
        <row r="2373">
          <cell r="B2373" t="str">
            <v>15-889-80-07</v>
          </cell>
          <cell r="C2373" t="str">
            <v>RAHMENHAKEN, KIRSCHNER, 85X90 MM</v>
          </cell>
          <cell r="D2373" t="str">
            <v>HOOK ON BLADE, KIRSCHNER, 85X90 MM</v>
          </cell>
        </row>
        <row r="2374">
          <cell r="B2374" t="str">
            <v>15-889-98-07</v>
          </cell>
          <cell r="C2374" t="str">
            <v>RAHMENHAKEN, KIRSCHNER, 98X50 MM</v>
          </cell>
          <cell r="D2374" t="str">
            <v>HOOK ON BLADE, KIRSCHNER, 98X50 MM</v>
          </cell>
        </row>
        <row r="2375">
          <cell r="B2375" t="str">
            <v>15-889-99-07</v>
          </cell>
          <cell r="C2375" t="str">
            <v>RAHMENHAKEN, KIRSCHNER, 105X38 MM</v>
          </cell>
          <cell r="D2375" t="str">
            <v>HOOK ON BLADE, KIRSCHNER, 105X38 MM</v>
          </cell>
        </row>
        <row r="2376">
          <cell r="B2376" t="str">
            <v>15-901-01-07</v>
          </cell>
          <cell r="C2376" t="str">
            <v>Retraktor,  zervikal, Caspar, SL</v>
          </cell>
          <cell r="D2376" t="str">
            <v>Retractor,  cerv., Caspar, SL</v>
          </cell>
        </row>
        <row r="2377">
          <cell r="B2377" t="str">
            <v>15-901-02-07</v>
          </cell>
          <cell r="C2377" t="str">
            <v>Gegensperrer, Caspar, geb., SL</v>
          </cell>
          <cell r="D2377" t="str">
            <v>Counter retract., Caspar, cvd., SL</v>
          </cell>
        </row>
        <row r="2378">
          <cell r="B2378" t="str">
            <v>15-901-03-07</v>
          </cell>
          <cell r="C2378" t="str">
            <v>Gegensperrer, Caspar, längs, SL</v>
          </cell>
          <cell r="D2378" t="str">
            <v>Counter retract., Caspar, longit., SL</v>
          </cell>
        </row>
        <row r="2379">
          <cell r="B2379" t="str">
            <v>15-901-11-09</v>
          </cell>
          <cell r="C2379" t="str">
            <v>Valve, medial-lateral, 4 Z., 19x25 mm</v>
          </cell>
          <cell r="D2379" t="str">
            <v>Blade, medial-lateral, 4 T., 19x25 mm</v>
          </cell>
        </row>
        <row r="2380">
          <cell r="B2380" t="str">
            <v>15-901-12-09</v>
          </cell>
          <cell r="C2380" t="str">
            <v>Valve, medial-lateral, 4 Z., 19x30 mm</v>
          </cell>
          <cell r="D2380" t="str">
            <v>Blade, medial-lateral, 4 T., 19x30 mm</v>
          </cell>
        </row>
        <row r="2381">
          <cell r="B2381" t="str">
            <v>15-901-13-09</v>
          </cell>
          <cell r="C2381" t="str">
            <v>Valve, medial-lateral, 4 Z., 19x35 mm</v>
          </cell>
          <cell r="D2381" t="str">
            <v>Blade, medial-lateral, 4 T., 19x35 mm</v>
          </cell>
        </row>
        <row r="2382">
          <cell r="B2382" t="str">
            <v>15-901-14-09</v>
          </cell>
          <cell r="C2382" t="str">
            <v>Valve, medial-lateral, 4 Z., 19x40 mm</v>
          </cell>
          <cell r="D2382" t="str">
            <v>Blade, medial-lateral, 4 T., 19x40 mm</v>
          </cell>
        </row>
        <row r="2383">
          <cell r="B2383" t="str">
            <v>15-901-15-09</v>
          </cell>
          <cell r="C2383" t="str">
            <v>Valve, medial-lateral, 4 Z., 19x45 mm</v>
          </cell>
          <cell r="D2383" t="str">
            <v>Blade, medial-lateral, 4 T., 19x45 mm</v>
          </cell>
        </row>
        <row r="2384">
          <cell r="B2384" t="str">
            <v>15-901-16-09</v>
          </cell>
          <cell r="C2384" t="str">
            <v>Valve, medial-lateral, 4 Z., 19x50 mm</v>
          </cell>
          <cell r="D2384" t="str">
            <v>Blade, medial-lateral, 4 T., 19x50 mm</v>
          </cell>
        </row>
        <row r="2385">
          <cell r="B2385" t="str">
            <v>15-901-17-09</v>
          </cell>
          <cell r="C2385" t="str">
            <v>Valve, medial-lateral, 4 Z., 19x55 mm</v>
          </cell>
          <cell r="D2385" t="str">
            <v>Blade, medial-lateral, 4 T., 19x55 mm</v>
          </cell>
        </row>
        <row r="2386">
          <cell r="B2386" t="str">
            <v>15-901-18-09</v>
          </cell>
          <cell r="C2386" t="str">
            <v>Valve, medial-lateral, 4 Z., 19x60 mm</v>
          </cell>
          <cell r="D2386" t="str">
            <v>Blade, medial-lateral, 4 T., 19x60 mm</v>
          </cell>
        </row>
        <row r="2387">
          <cell r="B2387" t="str">
            <v>15-901-21-09</v>
          </cell>
          <cell r="C2387" t="str">
            <v>Valve, lateral, 8 Z., 24x30 mm</v>
          </cell>
          <cell r="D2387" t="str">
            <v>Blade, lateral, 8 T., 24x30 mm</v>
          </cell>
        </row>
        <row r="2388">
          <cell r="B2388" t="str">
            <v>15-901-22-09</v>
          </cell>
          <cell r="C2388" t="str">
            <v>Valve, lateral, 8 Z., 24x35 mm</v>
          </cell>
          <cell r="D2388" t="str">
            <v>Blade, lateral, 8 T., 24x35 mm</v>
          </cell>
        </row>
        <row r="2389">
          <cell r="B2389" t="str">
            <v>15-901-23-09</v>
          </cell>
          <cell r="C2389" t="str">
            <v>Valve, lateral, 8 Z., 24x40 mm</v>
          </cell>
          <cell r="D2389" t="str">
            <v>Blade, lateral, 8 T., 24x40 mm</v>
          </cell>
        </row>
        <row r="2390">
          <cell r="B2390" t="str">
            <v>15-901-24-09</v>
          </cell>
          <cell r="C2390" t="str">
            <v>Valve, lateral, 8 Z., 24x45 mm</v>
          </cell>
          <cell r="D2390" t="str">
            <v>Blade, lateral, 8 T., 24x45 mm</v>
          </cell>
        </row>
        <row r="2391">
          <cell r="B2391" t="str">
            <v>15-901-25-09</v>
          </cell>
          <cell r="C2391" t="str">
            <v>Valve, lateral, 8 Z., 24x50 mm</v>
          </cell>
          <cell r="D2391" t="str">
            <v>Blade, lateral, 8 T., 24x50 mm</v>
          </cell>
        </row>
        <row r="2392">
          <cell r="B2392" t="str">
            <v>15-901-26-09</v>
          </cell>
          <cell r="C2392" t="str">
            <v>Valve, lateral, 8 Z., 24x55 mm</v>
          </cell>
          <cell r="D2392" t="str">
            <v>Blade, lateral, 8 T., 24x55 mm</v>
          </cell>
        </row>
        <row r="2393">
          <cell r="B2393" t="str">
            <v>15-901-27-09</v>
          </cell>
          <cell r="C2393" t="str">
            <v>Valve, lateral, 8 Z., 24x60 mm</v>
          </cell>
          <cell r="D2393" t="str">
            <v>Blade, lateral, 8 T., 24x60 mm</v>
          </cell>
        </row>
        <row r="2394">
          <cell r="B2394" t="str">
            <v>15-901-28-09</v>
          </cell>
          <cell r="C2394" t="str">
            <v>Valve, lateral, 8 Z., 24x65 mm</v>
          </cell>
          <cell r="D2394" t="str">
            <v>Blade, lateral, 8 T., 24x65 mm</v>
          </cell>
        </row>
        <row r="2395">
          <cell r="B2395" t="str">
            <v>15-901-29-09</v>
          </cell>
          <cell r="C2395" t="str">
            <v>Valve, lateral, 8 Z., 24x70 mm</v>
          </cell>
          <cell r="D2395" t="str">
            <v>Blade, lateral, 8 T., 24x70 mm</v>
          </cell>
        </row>
        <row r="2396">
          <cell r="B2396" t="str">
            <v>15-901-31-09</v>
          </cell>
          <cell r="C2396" t="str">
            <v>Valve, medial, 5 Z., 24x30 mm</v>
          </cell>
          <cell r="D2396" t="str">
            <v>Blade, medial, 5 T., 24x30 mm</v>
          </cell>
        </row>
        <row r="2397">
          <cell r="B2397" t="str">
            <v>15-901-32-09</v>
          </cell>
          <cell r="C2397" t="str">
            <v>Valve, medial, 5 Z., 24x35 mm</v>
          </cell>
          <cell r="D2397" t="str">
            <v>Blade, medial, 5 T., 24x35 mm</v>
          </cell>
        </row>
        <row r="2398">
          <cell r="B2398" t="str">
            <v>15-901-33-09</v>
          </cell>
          <cell r="C2398" t="str">
            <v>Valve, medial, 5 Z., 24x40 mm</v>
          </cell>
          <cell r="D2398" t="str">
            <v>Blade, medial, 5 T., 24x40 mm</v>
          </cell>
        </row>
        <row r="2399">
          <cell r="B2399" t="str">
            <v>15-901-34-09</v>
          </cell>
          <cell r="C2399" t="str">
            <v>Valve, medial, 5 Z., 24x45 mm</v>
          </cell>
          <cell r="D2399" t="str">
            <v>Blade, medial, 5 T., 24x45 mm</v>
          </cell>
        </row>
        <row r="2400">
          <cell r="B2400" t="str">
            <v>15-901-35-09</v>
          </cell>
          <cell r="C2400" t="str">
            <v>Valve, medial, 5 Z., 24x50 mm</v>
          </cell>
          <cell r="D2400" t="str">
            <v>Blade, medial, 5 T., 24x50 mm</v>
          </cell>
        </row>
        <row r="2401">
          <cell r="B2401" t="str">
            <v>15-901-36-09</v>
          </cell>
          <cell r="C2401" t="str">
            <v>Valve, medial, 5 Z., 24x55 mm</v>
          </cell>
          <cell r="D2401" t="str">
            <v>Blade, medial, 5 T., 24x55 mm</v>
          </cell>
        </row>
        <row r="2402">
          <cell r="B2402" t="str">
            <v>15-901-37-09</v>
          </cell>
          <cell r="C2402" t="str">
            <v>Valve, medial, 5 Z., 24x60 mm</v>
          </cell>
          <cell r="D2402" t="str">
            <v>Blade, medial, 5 T., 24x60 mm</v>
          </cell>
        </row>
        <row r="2403">
          <cell r="B2403" t="str">
            <v>15-901-38-09</v>
          </cell>
          <cell r="C2403" t="str">
            <v>Valve, medial, 5 Z., 24x65 mm</v>
          </cell>
          <cell r="D2403" t="str">
            <v>Blade, medial, 5 T., 24x65 mm</v>
          </cell>
        </row>
        <row r="2404">
          <cell r="B2404" t="str">
            <v>15-901-39-09</v>
          </cell>
          <cell r="C2404" t="str">
            <v>Valve, medial, 5 Z., 24x70 mm</v>
          </cell>
          <cell r="D2404" t="str">
            <v>Blade, medial, 5 T., 24x70 mm</v>
          </cell>
        </row>
        <row r="2405">
          <cell r="B2405" t="str">
            <v>15-901-41-09</v>
          </cell>
          <cell r="C2405" t="str">
            <v>Valve, lang., stumpf, 19x25 mm</v>
          </cell>
          <cell r="D2405" t="str">
            <v>Blade, long., blunt, 19x25 mm</v>
          </cell>
        </row>
        <row r="2406">
          <cell r="B2406" t="str">
            <v>15-901-42-09</v>
          </cell>
          <cell r="C2406" t="str">
            <v>Valve, lang., stumpf, 19x30 mm</v>
          </cell>
          <cell r="D2406" t="str">
            <v>Blade, long., blunt, 19x30 mm</v>
          </cell>
        </row>
        <row r="2407">
          <cell r="B2407" t="str">
            <v>15-901-43-09</v>
          </cell>
          <cell r="C2407" t="str">
            <v>Valve, lang., stumpf, 19x35 mm</v>
          </cell>
          <cell r="D2407" t="str">
            <v>Blade, long., blunt, 19x35 mm</v>
          </cell>
        </row>
        <row r="2408">
          <cell r="B2408" t="str">
            <v>15-901-44-09</v>
          </cell>
          <cell r="C2408" t="str">
            <v>Valve, lang., stumpf, 19x40 mm</v>
          </cell>
          <cell r="D2408" t="str">
            <v>Blade, long., blunt, 19x40 mm</v>
          </cell>
        </row>
        <row r="2409">
          <cell r="B2409" t="str">
            <v>15-901-45-09</v>
          </cell>
          <cell r="C2409" t="str">
            <v>Valve, lang., stumpf, 19x45 mm</v>
          </cell>
          <cell r="D2409" t="str">
            <v>Blade, long., blunt, 19x45 mm</v>
          </cell>
        </row>
        <row r="2410">
          <cell r="B2410" t="str">
            <v>15-901-46-09</v>
          </cell>
          <cell r="C2410" t="str">
            <v>Valve, lang., stumpf, 19x50 mm</v>
          </cell>
          <cell r="D2410" t="str">
            <v>Blade, long., blunt, 19x50 mm</v>
          </cell>
        </row>
        <row r="2411">
          <cell r="B2411" t="str">
            <v>15-901-47-09</v>
          </cell>
          <cell r="C2411" t="str">
            <v>Valve, lang., stumpf, 19x55 mm</v>
          </cell>
          <cell r="D2411" t="str">
            <v>Blade, long., blunt, 19x55 mm</v>
          </cell>
        </row>
        <row r="2412">
          <cell r="B2412" t="str">
            <v>15-901-48-09</v>
          </cell>
          <cell r="C2412" t="str">
            <v>Valve, lang., stumpf, 19x60 mm</v>
          </cell>
          <cell r="D2412" t="str">
            <v>Blade, long., blunt, 19x60 mm</v>
          </cell>
        </row>
        <row r="2413">
          <cell r="B2413" t="str">
            <v>15-901-51-09</v>
          </cell>
          <cell r="C2413" t="str">
            <v>Valve, lang., stumpf, 24x35 mm</v>
          </cell>
          <cell r="D2413" t="str">
            <v>Blade, long., blunt, 24x35 mm</v>
          </cell>
        </row>
        <row r="2414">
          <cell r="B2414" t="str">
            <v>15-901-52-09</v>
          </cell>
          <cell r="C2414" t="str">
            <v>Valve, lang., stumpf, 24x40 mm</v>
          </cell>
          <cell r="D2414" t="str">
            <v>Blade, long., blunt, 24x40 mm</v>
          </cell>
        </row>
        <row r="2415">
          <cell r="B2415" t="str">
            <v>15-901-53-09</v>
          </cell>
          <cell r="C2415" t="str">
            <v>Valve, lang., stumpf, 24x45 mm</v>
          </cell>
          <cell r="D2415" t="str">
            <v>Blade, long., blunt, 24x45 mm</v>
          </cell>
        </row>
        <row r="2416">
          <cell r="B2416" t="str">
            <v>15-901-54-09</v>
          </cell>
          <cell r="C2416" t="str">
            <v>Valve, lang, stumpf, 24x50 mm</v>
          </cell>
          <cell r="D2416" t="str">
            <v>Blade, long., blunt, 24x50 mm</v>
          </cell>
        </row>
        <row r="2417">
          <cell r="B2417" t="str">
            <v>15-901-55-09</v>
          </cell>
          <cell r="C2417" t="str">
            <v>Valve, lang., stumpf, 24x55 mm</v>
          </cell>
          <cell r="D2417" t="str">
            <v>Blade, long., blunt, 24x55 mm</v>
          </cell>
        </row>
        <row r="2418">
          <cell r="B2418" t="str">
            <v>15-901-56-09</v>
          </cell>
          <cell r="C2418" t="str">
            <v>Valve, lang., stumpf, 24x60 mm</v>
          </cell>
          <cell r="D2418" t="str">
            <v>Blade, long., blunt, 24x60 mm</v>
          </cell>
        </row>
        <row r="2419">
          <cell r="B2419" t="str">
            <v>15-901-57-09</v>
          </cell>
          <cell r="C2419" t="str">
            <v>Valve, lang., stumpf, 24x65 mm</v>
          </cell>
          <cell r="D2419" t="str">
            <v>Blade, long., blunt, 24x65 mm</v>
          </cell>
        </row>
        <row r="2420">
          <cell r="B2420" t="str">
            <v>15-901-58-09</v>
          </cell>
          <cell r="C2420" t="str">
            <v>Valve, lang., stumpf, 24x70 mm</v>
          </cell>
          <cell r="D2420" t="str">
            <v>Blade, long., blunt, 24x70 mm</v>
          </cell>
        </row>
        <row r="2421">
          <cell r="B2421" t="str">
            <v>15-901-59-09</v>
          </cell>
          <cell r="C2421" t="str">
            <v>Valve, lang., stumpf, 24x75 mm</v>
          </cell>
          <cell r="D2421" t="str">
            <v>Blade, long., blunt, 24x75 mm</v>
          </cell>
        </row>
        <row r="2422">
          <cell r="B2422" t="str">
            <v>15-902-01-07</v>
          </cell>
          <cell r="C2422" t="str">
            <v>Retraktor,  lumbal, Caspar, SL</v>
          </cell>
          <cell r="D2422" t="str">
            <v>Retractor,  lumbar, Caspar, SL</v>
          </cell>
        </row>
        <row r="2423">
          <cell r="B2423" t="str">
            <v>15-902-11-09</v>
          </cell>
          <cell r="C2423" t="str">
            <v>Valve, Caspar, lumbal, 20x35 mm</v>
          </cell>
          <cell r="D2423" t="str">
            <v>Blade, Caspar, lumbar, 20x35 mm</v>
          </cell>
        </row>
        <row r="2424">
          <cell r="B2424" t="str">
            <v>15-902-12-09</v>
          </cell>
          <cell r="C2424" t="str">
            <v>Valve, Caspar, lumbal, 20x40 mm</v>
          </cell>
          <cell r="D2424" t="str">
            <v>Blade, Caspar, lumbar, 20x40 mm</v>
          </cell>
        </row>
        <row r="2425">
          <cell r="B2425" t="str">
            <v>15-902-13-09</v>
          </cell>
          <cell r="C2425" t="str">
            <v>Valve, Caspar, lumbal, 20x45 mm</v>
          </cell>
          <cell r="D2425" t="str">
            <v>Blade, Caspar, lumbar, 20x45 mm</v>
          </cell>
        </row>
        <row r="2426">
          <cell r="B2426" t="str">
            <v>15-902-14-09</v>
          </cell>
          <cell r="C2426" t="str">
            <v>Valve, Caspar, lumbal, 20x55 mm</v>
          </cell>
          <cell r="D2426" t="str">
            <v>Blade, Caspar, lumbar, 20x55 mm</v>
          </cell>
        </row>
        <row r="2427">
          <cell r="B2427" t="str">
            <v>15-902-15-09</v>
          </cell>
          <cell r="C2427" t="str">
            <v>Valve, Caspar, lumbal, 20x65 mm</v>
          </cell>
          <cell r="D2427" t="str">
            <v>Blade, Caspar, lumbar, 20x65 mm</v>
          </cell>
        </row>
        <row r="2428">
          <cell r="B2428" t="str">
            <v>15-902-21-09</v>
          </cell>
          <cell r="C2428" t="str">
            <v>Haken, Hemi-Laminektomie, Caspar, klein</v>
          </cell>
          <cell r="D2428" t="str">
            <v>Hook, Hemi-Laminektomie, Caspar, small</v>
          </cell>
        </row>
        <row r="2429">
          <cell r="B2429" t="str">
            <v>15-902-31-09</v>
          </cell>
          <cell r="C2429" t="str">
            <v>Valve, Caspar, lumbal, 40x35 mm</v>
          </cell>
          <cell r="D2429" t="str">
            <v>Blade, Caspar, lumbar, 40x35 mm</v>
          </cell>
        </row>
        <row r="2430">
          <cell r="B2430" t="str">
            <v>15-902-32-09</v>
          </cell>
          <cell r="C2430" t="str">
            <v>Valve, Caspar, lumbal, 40x40 mm</v>
          </cell>
          <cell r="D2430" t="str">
            <v>Blade, Caspar, lumbar, 40x40 mm</v>
          </cell>
        </row>
        <row r="2431">
          <cell r="B2431" t="str">
            <v>15-902-33-09</v>
          </cell>
          <cell r="C2431" t="str">
            <v>Valve, Caspar, lumbal, 40x45 mm</v>
          </cell>
          <cell r="D2431" t="str">
            <v>Blade, Caspar, lumbar, 40x45 mm</v>
          </cell>
        </row>
        <row r="2432">
          <cell r="B2432" t="str">
            <v>15-902-34-09</v>
          </cell>
          <cell r="C2432" t="str">
            <v>Valve, Caspar, lumbal, 40x55 mm</v>
          </cell>
          <cell r="D2432" t="str">
            <v>Blade, Caspar, lumbar, 40x55 mm</v>
          </cell>
        </row>
        <row r="2433">
          <cell r="B2433" t="str">
            <v>15-902-35-09</v>
          </cell>
          <cell r="C2433" t="str">
            <v>Valve, Caspar, lumbal, 40x65 mm</v>
          </cell>
          <cell r="D2433" t="str">
            <v>Blade, Caspar, lumbar, 40x65 mm</v>
          </cell>
        </row>
        <row r="2434">
          <cell r="B2434" t="str">
            <v>15-902-36-09</v>
          </cell>
          <cell r="C2434" t="str">
            <v>Valve, Caspar, lumbal, 40x75 mm</v>
          </cell>
          <cell r="D2434" t="str">
            <v>Blade, Caspar, lumbar, 40x75 mm</v>
          </cell>
        </row>
        <row r="2435">
          <cell r="B2435" t="str">
            <v>15-902-41-09</v>
          </cell>
          <cell r="C2435" t="str">
            <v>Haken, Hemi-Laminektomie, Caspar, groß</v>
          </cell>
          <cell r="D2435" t="str">
            <v>Hook, Hemi-Laminektomie, Caspar, large</v>
          </cell>
        </row>
        <row r="2436">
          <cell r="B2436" t="str">
            <v>15-902-51-09</v>
          </cell>
          <cell r="C2436" t="str">
            <v>Valve, Caspar, lumbal, 60x35 mm</v>
          </cell>
          <cell r="D2436" t="str">
            <v>Blade, Caspar, lumbar, 60x35 mm</v>
          </cell>
        </row>
        <row r="2437">
          <cell r="B2437" t="str">
            <v>15-902-52-09</v>
          </cell>
          <cell r="C2437" t="str">
            <v>Valve, Caspar, lumbal, 60x40 mm</v>
          </cell>
          <cell r="D2437" t="str">
            <v>Blade, Caspar, lumbar, 60x40 mm</v>
          </cell>
        </row>
        <row r="2438">
          <cell r="B2438" t="str">
            <v>15-902-53-09</v>
          </cell>
          <cell r="C2438" t="str">
            <v>Valve, Caspar, lumbal, 60x45 mm</v>
          </cell>
          <cell r="D2438" t="str">
            <v>Blade, Caspar, lumbar, 60x45 mm</v>
          </cell>
        </row>
        <row r="2439">
          <cell r="B2439" t="str">
            <v>15-902-54-09</v>
          </cell>
          <cell r="C2439" t="str">
            <v>Valve, Caspar, lumbal, 60x55 mm</v>
          </cell>
          <cell r="D2439" t="str">
            <v>Blade, Caspar, lumbar, 60x55 mm</v>
          </cell>
        </row>
        <row r="2440">
          <cell r="B2440" t="str">
            <v>15-902-55-09</v>
          </cell>
          <cell r="C2440" t="str">
            <v>Valve, Caspar, lumbal, 60x65 mm</v>
          </cell>
          <cell r="D2440" t="str">
            <v>Blade, Caspar, lumbar, 60x65 mm</v>
          </cell>
        </row>
        <row r="2441">
          <cell r="B2441" t="str">
            <v>15-902-56-09</v>
          </cell>
          <cell r="C2441" t="str">
            <v>Valve, Caspar, lumbal, 60x75 mm</v>
          </cell>
          <cell r="D2441" t="str">
            <v>Blade, Caspar, lumbar, 60x75 mm</v>
          </cell>
        </row>
        <row r="2442">
          <cell r="B2442" t="str">
            <v>15-902-57-09</v>
          </cell>
          <cell r="C2442" t="str">
            <v>Valve, Caspar, lumbal, 60x85 mm</v>
          </cell>
          <cell r="D2442" t="str">
            <v>Blade, Caspar, lumbar, 60x85 mm</v>
          </cell>
        </row>
        <row r="2443">
          <cell r="B2443" t="str">
            <v>15-903-01-07</v>
          </cell>
          <cell r="C2443" t="str">
            <v>Handgriff  z. Wechsel d. Valven</v>
          </cell>
          <cell r="D2443" t="str">
            <v>Handle f. change of blades</v>
          </cell>
        </row>
        <row r="2444">
          <cell r="B2444" t="str">
            <v>15-903-02-07</v>
          </cell>
          <cell r="C2444" t="str">
            <v>Handgriff  z. Wechsel d. Valv., m. Sperre</v>
          </cell>
          <cell r="D2444" t="str">
            <v>Handle f. change of blades, w. lock</v>
          </cell>
        </row>
        <row r="2445">
          <cell r="B2445" t="str">
            <v>15-903-03-04</v>
          </cell>
          <cell r="C2445" t="str">
            <v>Messstab  f. Retraktorsystem Caspar</v>
          </cell>
          <cell r="D2445" t="str">
            <v>Measurement handle f. caspar retractor</v>
          </cell>
        </row>
        <row r="2446">
          <cell r="B2446" t="str">
            <v>15-906-00-07</v>
          </cell>
          <cell r="C2446" t="str">
            <v>LAMINEKTOMIESPREIZER-RAHMEN, SCOVILLE</v>
          </cell>
          <cell r="D2446" t="str">
            <v>LAMINECTOMY RETRACTOR-FRAME, SCOVILLE</v>
          </cell>
        </row>
        <row r="2447">
          <cell r="B2447" t="str">
            <v>15-906-01-07</v>
          </cell>
          <cell r="C2447" t="str">
            <v>HAKENVALVE, SCOVILLE,  STPF., 50 MM</v>
          </cell>
          <cell r="D2447" t="str">
            <v>HOOK-BLADE, SCOVILLE,  BLUNT, 50 MM</v>
          </cell>
        </row>
        <row r="2448">
          <cell r="B2448" t="str">
            <v>15-906-02-07</v>
          </cell>
          <cell r="C2448" t="str">
            <v>HAKENVALVE, SCOVILLE,  STPF., 70 MM</v>
          </cell>
          <cell r="D2448" t="str">
            <v>HOOK-BLADE, SCOVILLE,  BLUNT, 70 MM</v>
          </cell>
        </row>
        <row r="2449">
          <cell r="B2449" t="str">
            <v>15-906-06-07</v>
          </cell>
          <cell r="C2449" t="str">
            <v>HAKENVALVE, SCOVILLE,  SPITZ, 50 MM</v>
          </cell>
          <cell r="D2449" t="str">
            <v>HOOK-BLADE, SCOVILLE,  SHARP, 50 MM</v>
          </cell>
        </row>
        <row r="2450">
          <cell r="B2450" t="str">
            <v>15-906-07-07</v>
          </cell>
          <cell r="C2450" t="str">
            <v>HAKENVALVE, SCOVILLE,  SPITZ, 70 MM</v>
          </cell>
          <cell r="D2450" t="str">
            <v>HOOK-BLADE, SCOVILLE,  SHARP, 70 MM</v>
          </cell>
        </row>
        <row r="2451">
          <cell r="B2451" t="str">
            <v>15-906-11-07</v>
          </cell>
          <cell r="C2451" t="str">
            <v>BLATTVALVE, SCOVILLE,  GEZ., 60X25 MM</v>
          </cell>
          <cell r="D2451" t="str">
            <v>BLADE, SCOVILLE,  SERR., 60X25 MM</v>
          </cell>
        </row>
        <row r="2452">
          <cell r="B2452" t="str">
            <v>15-906-12-07</v>
          </cell>
          <cell r="C2452" t="str">
            <v>BLATTVALVE, SCOVILLE,  GEZ., 61X50 MM</v>
          </cell>
          <cell r="D2452" t="str">
            <v>BLADE, SCOVILLE,  SERR., 61X50 MM</v>
          </cell>
        </row>
        <row r="2453">
          <cell r="B2453" t="str">
            <v>15-906-13-07</v>
          </cell>
          <cell r="C2453" t="str">
            <v>BLATTVALVE, SCOVILLE,  GEZ., 86X25 MM</v>
          </cell>
          <cell r="D2453" t="str">
            <v>BLADE, SCOVILLE,  SERR., 86X25 MM</v>
          </cell>
        </row>
        <row r="2454">
          <cell r="B2454" t="str">
            <v>15-906-41-07</v>
          </cell>
          <cell r="C2454" t="str">
            <v>HAKENVALVE, TAYLOR, 4-ZINK., 48X50 MM</v>
          </cell>
          <cell r="D2454" t="str">
            <v>HOOK-BLADE, TAYLOR, 4-PR., 48X50 MM</v>
          </cell>
        </row>
        <row r="2455">
          <cell r="B2455" t="str">
            <v>15-906-42-07</v>
          </cell>
          <cell r="C2455" t="str">
            <v>HAKENVALVE, TAYLOR, 4-ZINK., 64X50 MM</v>
          </cell>
          <cell r="D2455" t="str">
            <v>HOOK-BLADE, TAYLOR, 4-PR., 64X50 MM</v>
          </cell>
        </row>
        <row r="2456">
          <cell r="B2456" t="str">
            <v>15-906-43-07</v>
          </cell>
          <cell r="C2456" t="str">
            <v>HAKENVALVE, TAYLOR, 4-ZINK., 64X64 MM</v>
          </cell>
          <cell r="D2456" t="str">
            <v>HOOK-BLADE, TAYLOR, 4-PR., 64X64 MM</v>
          </cell>
        </row>
        <row r="2457">
          <cell r="B2457" t="str">
            <v>15-906-44-07</v>
          </cell>
          <cell r="C2457" t="str">
            <v>HAKENVALVE, TAYLOR, 4-ZINK., 80X57 MM</v>
          </cell>
          <cell r="D2457" t="str">
            <v>HOOK-BLADE, TAYLOR, 4-PR., 80X57 MM</v>
          </cell>
        </row>
        <row r="2458">
          <cell r="B2458" t="str">
            <v>15-906-46-07</v>
          </cell>
          <cell r="C2458" t="str">
            <v>HAKENVALVE, SCOVILLE,  4-ZINK., 44X38 MM</v>
          </cell>
          <cell r="D2458" t="str">
            <v>HOOK-BLADE, SCOVILLE,  4-PR., 44X38 MM</v>
          </cell>
        </row>
        <row r="2459">
          <cell r="B2459" t="str">
            <v>15-906-47-07</v>
          </cell>
          <cell r="C2459" t="str">
            <v>HAKENVALVE, SCOVILLE,  4-ZINK., 67X44 MM</v>
          </cell>
          <cell r="D2459" t="str">
            <v>HOOK-BLADE, SCOVILLE,  4-PR., 67X44 MM</v>
          </cell>
        </row>
        <row r="2460">
          <cell r="B2460" t="str">
            <v>15-906-50-07</v>
          </cell>
          <cell r="C2460" t="str">
            <v>LAMINEKT.-SPREIZER-RAHMEN, SCOVILLE-HAV.</v>
          </cell>
          <cell r="D2460" t="str">
            <v>LAMINECT.  RETRACTOR-FRAME, SCOVILLE-HAV.</v>
          </cell>
        </row>
        <row r="2461">
          <cell r="B2461" t="str">
            <v>15-910-01-07</v>
          </cell>
          <cell r="C2461" t="str">
            <v>MARTIN-ARM-SYSTEM '99</v>
          </cell>
          <cell r="D2461" t="str">
            <v>MARTIN-ARM-SYSTEM '99</v>
          </cell>
        </row>
        <row r="2462">
          <cell r="B2462" t="str">
            <v>15-910-50-07</v>
          </cell>
          <cell r="C2462" t="str">
            <v>UNIVERSAL-KLOBEN ZU 15-910-01/15-917-00</v>
          </cell>
          <cell r="D2462" t="str">
            <v>UNIVERSAL-FIXATION F. MARTIN-ARM '99</v>
          </cell>
        </row>
        <row r="2463">
          <cell r="B2463" t="str">
            <v>15-910-52-07</v>
          </cell>
          <cell r="C2463" t="str">
            <v>UNIVERSAL-KLOBEN, UNISOLIERT</v>
          </cell>
          <cell r="D2463" t="str">
            <v>ARM ADAPTER  TO OP-TABLE  BARE</v>
          </cell>
        </row>
        <row r="2464">
          <cell r="B2464" t="str">
            <v>15-910-59-07</v>
          </cell>
          <cell r="C2464" t="str">
            <v>HANDARTHR. GRUNDSTAB</v>
          </cell>
          <cell r="D2464" t="str">
            <v>BASIC ROD F. HAND ARTHROSCOPY SET</v>
          </cell>
        </row>
        <row r="2465">
          <cell r="B2465" t="str">
            <v>15-910-59-21</v>
          </cell>
          <cell r="C2465" t="str">
            <v>HANDARTHR. GRUNDSTAB, AUFNAHME D 16</v>
          </cell>
          <cell r="D2465" t="str">
            <v>HANDARTHR. HORIZONTAL POLE, D 16</v>
          </cell>
        </row>
        <row r="2466">
          <cell r="B2466" t="str">
            <v>15-910-59-22</v>
          </cell>
          <cell r="C2466" t="str">
            <v>HANDARTHR. GRUNDSTAB, AUFNAHME D 17,5</v>
          </cell>
          <cell r="D2466" t="str">
            <v>HANDARTHR. HORIZONTAL POLE, D 17,5</v>
          </cell>
        </row>
        <row r="2467">
          <cell r="B2467" t="str">
            <v>15-910-59-23</v>
          </cell>
          <cell r="C2467" t="str">
            <v>HANDARTHR. GRUNDSTAB, 2TEILIG</v>
          </cell>
          <cell r="D2467" t="str">
            <v>BASIC ROD 2-PARTS F.HAND ARTHROSCOPY</v>
          </cell>
        </row>
        <row r="2468">
          <cell r="B2468" t="str">
            <v>15-910-59-24</v>
          </cell>
          <cell r="C2468" t="str">
            <v>HANDARTHR. GRUNDSTAB KURZ</v>
          </cell>
          <cell r="D2468" t="str">
            <v>BASIC ROD SHORT F. HAND ARTHROSCOPY SET</v>
          </cell>
        </row>
        <row r="2469">
          <cell r="B2469" t="str">
            <v>15-910-60-07</v>
          </cell>
          <cell r="C2469" t="str">
            <v>STABVERLÄNGERUNG F. MARTIN-ARM</v>
          </cell>
          <cell r="D2469" t="str">
            <v>EXTENSION POLE F. MARTIN-ARM</v>
          </cell>
        </row>
        <row r="2470">
          <cell r="B2470" t="str">
            <v>15-910-60-22</v>
          </cell>
          <cell r="C2470" t="str">
            <v>STABVERLAENGER. MARTIN-ARM+150MM LAENGER</v>
          </cell>
          <cell r="D2470" t="str">
            <v>EXTENSION POLE MARTIN-ARM+150MM LONGER</v>
          </cell>
        </row>
        <row r="2471">
          <cell r="B2471" t="str">
            <v>15-910-61-07</v>
          </cell>
          <cell r="C2471" t="str">
            <v>HANDARTHR. VERTIKALSTAB</v>
          </cell>
          <cell r="D2471" t="str">
            <v>VERTICAL  ROD F. HAND ARTHROSCOPY SET</v>
          </cell>
        </row>
        <row r="2472">
          <cell r="B2472" t="str">
            <v>15-910-62-07</v>
          </cell>
          <cell r="C2472" t="str">
            <v>HANDARTHR. AUFN. FINGEREXTENSIONSHÜLSE</v>
          </cell>
          <cell r="D2472" t="str">
            <v>HOLDER F. FINGER EXTENSION SLEEVE</v>
          </cell>
        </row>
        <row r="2473">
          <cell r="B2473" t="str">
            <v>15-910-63-07</v>
          </cell>
          <cell r="C2473" t="str">
            <v>HANDARTHR. HANDFESSEL</v>
          </cell>
          <cell r="D2473" t="str">
            <v>HAND FIXATION  F. HAND ARTHROSCOPY SET</v>
          </cell>
        </row>
        <row r="2474">
          <cell r="B2474" t="str">
            <v>15-910-64-07</v>
          </cell>
          <cell r="C2474" t="str">
            <v>HANDARTHR. VERTIKALSTAB M. KUGELGELENK</v>
          </cell>
          <cell r="D2474" t="str">
            <v>VERTICAL  POLE, W. BALL JOINT</v>
          </cell>
        </row>
        <row r="2475">
          <cell r="B2475" t="str">
            <v>15-917-01-07</v>
          </cell>
          <cell r="C2475" t="str">
            <v>SEITLICHER HALTEARM ZU ROCHARD-SYSTEM</v>
          </cell>
          <cell r="D2475" t="str">
            <v>LATERAL HOLDING  ARM</v>
          </cell>
        </row>
        <row r="2476">
          <cell r="B2476" t="str">
            <v>15-917-02-07</v>
          </cell>
          <cell r="C2476" t="str">
            <v>QUERSTAB, SECHSKANT ZU ROCHARD-SYSTEM</v>
          </cell>
          <cell r="D2476" t="str">
            <v>CROSS ROD, HEXAGONAL</v>
          </cell>
        </row>
        <row r="2477">
          <cell r="B2477" t="str">
            <v>15-917-03-07</v>
          </cell>
          <cell r="C2477" t="str">
            <v>VERSCHIEBBARER KLOBEN F. QUERSTAB</v>
          </cell>
          <cell r="D2477" t="str">
            <v>SLIDEABLE  FIXATION  F. CROSS ROD</v>
          </cell>
        </row>
        <row r="2478">
          <cell r="B2478" t="str">
            <v>15-917-04-07</v>
          </cell>
          <cell r="C2478" t="str">
            <v>HALTERUNG F. ROCHARD-HAKEN, 18,5 CM</v>
          </cell>
          <cell r="D2478" t="str">
            <v>FIXATION  F. ROCHARD-RETRACTORS, 18.5 CM</v>
          </cell>
        </row>
        <row r="2479">
          <cell r="B2479" t="str">
            <v>15-917-10-07</v>
          </cell>
          <cell r="C2479" t="str">
            <v>WUNDHAKEN, ROCHARD,  50X105 MM</v>
          </cell>
          <cell r="D2479" t="str">
            <v>RETRACTOR, ROCHARD,  50X105 MM</v>
          </cell>
        </row>
        <row r="2480">
          <cell r="B2480" t="str">
            <v>15-917-12-07</v>
          </cell>
          <cell r="C2480" t="str">
            <v>WUNDHAKEN, ROCHARD,  50X120 MM</v>
          </cell>
          <cell r="D2480" t="str">
            <v>RETRACTOR, ROCHARD,  50X120 MM</v>
          </cell>
        </row>
        <row r="2481">
          <cell r="B2481" t="str">
            <v>15-917-15-07</v>
          </cell>
          <cell r="C2481" t="str">
            <v>WUNDHAKEN, ROCHARD,  50X160 MM</v>
          </cell>
          <cell r="D2481" t="str">
            <v>RETRACTOR, ROCHARD,  50X160 MM</v>
          </cell>
        </row>
        <row r="2482">
          <cell r="B2482" t="str">
            <v>15-920-10-07</v>
          </cell>
          <cell r="C2482" t="str">
            <v>marTract  Halterung,  OP-Tisch</v>
          </cell>
          <cell r="D2482" t="str">
            <v>marTract  bracket, operating  table</v>
          </cell>
        </row>
        <row r="2483">
          <cell r="B2483" t="str">
            <v>15-920-11-07</v>
          </cell>
          <cell r="C2483" t="str">
            <v>marTract  Halterung  OP-Tisch,  Oberbauch</v>
          </cell>
          <cell r="D2483" t="str">
            <v>marTract  bracket, op.table,  epigastrium</v>
          </cell>
        </row>
        <row r="2484">
          <cell r="B2484" t="str">
            <v>15-920-12-07</v>
          </cell>
          <cell r="C2484" t="str">
            <v>marTract,  Halterung,  OP-Tisch,  MIDCAB</v>
          </cell>
          <cell r="D2484" t="str">
            <v>marTract,  bracket, oper. table, MIDCAB</v>
          </cell>
        </row>
        <row r="2485">
          <cell r="B2485" t="str">
            <v>15-920-20-07</v>
          </cell>
          <cell r="C2485" t="str">
            <v>marTract  Haltearm  Klein-System</v>
          </cell>
          <cell r="D2485" t="str">
            <v>marTract  holding arm, compact system</v>
          </cell>
        </row>
        <row r="2486">
          <cell r="B2486" t="str">
            <v>15-920-21-07</v>
          </cell>
          <cell r="C2486" t="str">
            <v>marTract  Haltearm  f. Nierenzusatz</v>
          </cell>
          <cell r="D2486" t="str">
            <v>marTract  holding arm for kidney add-on</v>
          </cell>
        </row>
        <row r="2487">
          <cell r="B2487" t="str">
            <v>15-920-22-07</v>
          </cell>
          <cell r="C2487" t="str">
            <v>marTract  Haltearm  Standard-System</v>
          </cell>
          <cell r="D2487" t="str">
            <v>marTract  holding arm, standard  system</v>
          </cell>
        </row>
        <row r="2488">
          <cell r="B2488" t="str">
            <v>15-920-23-07</v>
          </cell>
          <cell r="C2488" t="str">
            <v>marTract  Haltearm  Adipositas-System</v>
          </cell>
          <cell r="D2488" t="str">
            <v>marTract  holding arm, obesity system</v>
          </cell>
        </row>
        <row r="2489">
          <cell r="B2489" t="str">
            <v>15-920-24-07</v>
          </cell>
          <cell r="C2489" t="str">
            <v>marTract  Haltearm  f. Leberzusatz</v>
          </cell>
          <cell r="D2489" t="str">
            <v>marTract  holding arm for liver add-on</v>
          </cell>
        </row>
        <row r="2490">
          <cell r="B2490" t="str">
            <v>15-920-25-07</v>
          </cell>
          <cell r="C2490" t="str">
            <v>marTract,  Haltearm,  mit Winkel, MIDCAB</v>
          </cell>
          <cell r="D2490" t="str">
            <v>marTract,  hold. arm, w. angle, MIDCAB</v>
          </cell>
        </row>
        <row r="2491">
          <cell r="B2491" t="str">
            <v>15-920-30-07</v>
          </cell>
          <cell r="C2491" t="str">
            <v>marTract  Querstange f. 15-920-34-07</v>
          </cell>
          <cell r="D2491" t="str">
            <v>marTract  transverse  rod f. 15-920-34-07</v>
          </cell>
        </row>
        <row r="2492">
          <cell r="B2492" t="str">
            <v>15-920-31-07</v>
          </cell>
          <cell r="C2492" t="str">
            <v>marTract  Verlängerung f. Rektumzusatz</v>
          </cell>
          <cell r="D2492" t="str">
            <v>marTract  extension  for rectum add-on</v>
          </cell>
        </row>
        <row r="2493">
          <cell r="B2493" t="str">
            <v>15-920-32-07</v>
          </cell>
          <cell r="C2493" t="str">
            <v>marTract  Verbinder  f. Adipositas-System</v>
          </cell>
          <cell r="D2493" t="str">
            <v>marTract  connector  for obesity system</v>
          </cell>
        </row>
        <row r="2494">
          <cell r="B2494" t="str">
            <v>15-920-33-07</v>
          </cell>
          <cell r="C2494" t="str">
            <v>marTract  Distanzhalter für Radialkolben</v>
          </cell>
          <cell r="D2494" t="str">
            <v>marTract  spacer for radial piston</v>
          </cell>
        </row>
        <row r="2495">
          <cell r="B2495" t="str">
            <v>15-920-34-07</v>
          </cell>
          <cell r="C2495" t="str">
            <v>marTract  Kugelaufnahme für Haltearme</v>
          </cell>
          <cell r="D2495" t="str">
            <v>marTract  ball mount for holding arms</v>
          </cell>
        </row>
        <row r="2496">
          <cell r="B2496" t="str">
            <v>15-920-35-07</v>
          </cell>
          <cell r="C2496" t="str">
            <v>marTract  Fixierklammer für Wundhaken</v>
          </cell>
          <cell r="D2496" t="str">
            <v>marTract  fixing clip for retractor</v>
          </cell>
        </row>
        <row r="2497">
          <cell r="B2497" t="str">
            <v>15-920-40-07</v>
          </cell>
          <cell r="C2497" t="str">
            <v>marTract  Blatthalter, starr</v>
          </cell>
          <cell r="D2497" t="str">
            <v>marTract  blade holder, fixed</v>
          </cell>
        </row>
        <row r="2498">
          <cell r="B2498" t="str">
            <v>15-920-40-98</v>
          </cell>
          <cell r="C2498" t="str">
            <v>marTract  Kopfschraube f. 15-920-40-07</v>
          </cell>
          <cell r="D2498" t="str">
            <v>marTract  cap screw for 15-920-40-07</v>
          </cell>
        </row>
        <row r="2499">
          <cell r="B2499" t="str">
            <v>15-920-41-98</v>
          </cell>
          <cell r="C2499" t="str">
            <v>marTract  Druckscheibe f. 15-920-40-07</v>
          </cell>
          <cell r="D2499" t="str">
            <v>marTract  pressure disk for 15-920-40-07</v>
          </cell>
        </row>
        <row r="2500">
          <cell r="B2500" t="str">
            <v>15-920-42-07</v>
          </cell>
          <cell r="C2500" t="str">
            <v>marTract  Blatthalter, beweglich</v>
          </cell>
          <cell r="D2500" t="str">
            <v>marTract  blade holder, movable</v>
          </cell>
        </row>
        <row r="2501">
          <cell r="B2501" t="str">
            <v>15-920-43-07</v>
          </cell>
          <cell r="C2501" t="str">
            <v>marTract  Blatthalter  f. Oberbauchzusatz</v>
          </cell>
          <cell r="D2501" t="str">
            <v>marTract  blade holder f. epigas. add-on</v>
          </cell>
        </row>
        <row r="2502">
          <cell r="B2502" t="str">
            <v>15-920-44-07</v>
          </cell>
          <cell r="C2502" t="str">
            <v>marTract  Blatthalter, m. Raste, 20 cm</v>
          </cell>
          <cell r="D2502" t="str">
            <v>marTract  blade holder, with stop, 20 cm</v>
          </cell>
        </row>
        <row r="2503">
          <cell r="B2503" t="str">
            <v>15-920-45-07</v>
          </cell>
          <cell r="C2503" t="str">
            <v>marTract  Blatthalter, m. Raste, 40 cm</v>
          </cell>
          <cell r="D2503" t="str">
            <v>marTract  blade holder, with stop, 40 cm</v>
          </cell>
        </row>
        <row r="2504">
          <cell r="B2504" t="str">
            <v>15-920-46-07</v>
          </cell>
          <cell r="C2504" t="str">
            <v>marTract,  Halterung,  Optik, Flex</v>
          </cell>
          <cell r="D2504" t="str">
            <v>marTract,  bracket, optics, flex</v>
          </cell>
        </row>
        <row r="2505">
          <cell r="B2505" t="str">
            <v>15-920-47-07</v>
          </cell>
          <cell r="C2505" t="str">
            <v>marTract,  Adapter, Gewebestabilisator</v>
          </cell>
          <cell r="D2505" t="str">
            <v>marTract,  adapter, tissue stabilizer</v>
          </cell>
        </row>
        <row r="2506">
          <cell r="B2506" t="str">
            <v>15-920-50-07</v>
          </cell>
          <cell r="C2506" t="str">
            <v>marTract  Haltebügel  f. Oberbauch</v>
          </cell>
          <cell r="D2506" t="str">
            <v>marTract  retainer for epigastrium</v>
          </cell>
        </row>
        <row r="2507">
          <cell r="B2507" t="str">
            <v>15-920-51-07</v>
          </cell>
          <cell r="C2507" t="str">
            <v>marTract  Zugvorrichtung f. Oberbauch</v>
          </cell>
          <cell r="D2507" t="str">
            <v>marTract  pulling device for epigastrium</v>
          </cell>
        </row>
        <row r="2508">
          <cell r="B2508" t="str">
            <v>15-920-52-07</v>
          </cell>
          <cell r="C2508" t="str">
            <v>marTract,  Zugvorrichtung, MIDCAB</v>
          </cell>
          <cell r="D2508" t="str">
            <v>marTract,  pulling device, MIDCAB</v>
          </cell>
        </row>
        <row r="2509">
          <cell r="B2509" t="str">
            <v>15-920-53-07</v>
          </cell>
          <cell r="C2509" t="str">
            <v>marTract,  Halterung,  Optik, Adapter,10mm</v>
          </cell>
          <cell r="D2509" t="str">
            <v>marTract,  bracket, optics, adapter, 10mm</v>
          </cell>
        </row>
        <row r="2510">
          <cell r="B2510" t="str">
            <v>15-920-54-07</v>
          </cell>
          <cell r="C2510" t="str">
            <v>marTract,  Halterung,  Optik, Adapter, 5mm</v>
          </cell>
          <cell r="D2510" t="str">
            <v>marTract,  bracket, optics, adapter, 5 mm</v>
          </cell>
        </row>
        <row r="2511">
          <cell r="B2511" t="str">
            <v>15-920-55-07</v>
          </cell>
          <cell r="C2511" t="str">
            <v>marTract,  Halterung,  Optik, Adapter, 4mm</v>
          </cell>
          <cell r="D2511" t="str">
            <v>marTract,  bracket, optics, adapter, 4 mm</v>
          </cell>
        </row>
        <row r="2512">
          <cell r="B2512" t="str">
            <v>15-920-56-07</v>
          </cell>
          <cell r="C2512" t="str">
            <v>marTract,  Halterung,  Optik, Adapter, 3mm</v>
          </cell>
          <cell r="D2512" t="str">
            <v>marTract,  bracket, optics, adapter, 3 mm</v>
          </cell>
        </row>
        <row r="2513">
          <cell r="B2513" t="str">
            <v>15-920-60-04</v>
          </cell>
          <cell r="C2513" t="str">
            <v>marTract  Universallichtleitkabel</v>
          </cell>
          <cell r="D2513" t="str">
            <v>marTract  universal  fiber optic cable</v>
          </cell>
        </row>
        <row r="2514">
          <cell r="B2514" t="str">
            <v>15-920-90-07</v>
          </cell>
          <cell r="C2514" t="str">
            <v>marTract,  Haltearm  f. lap. Leberhaken</v>
          </cell>
          <cell r="D2514" t="str">
            <v>marTract,  Fixation f. lap. Liver hooklet</v>
          </cell>
        </row>
        <row r="2515">
          <cell r="B2515" t="str">
            <v>15-921-01-07</v>
          </cell>
          <cell r="C2515" t="str">
            <v>marTract  Darmblatt,  breit, 150x100mm</v>
          </cell>
          <cell r="D2515" t="str">
            <v>marTract  intestine  blade,wide,150x100mm</v>
          </cell>
        </row>
        <row r="2516">
          <cell r="B2516" t="str">
            <v>15-921-02-07</v>
          </cell>
          <cell r="C2516" t="str">
            <v>marTract  Darmblatt,  breit, 200x100mm</v>
          </cell>
          <cell r="D2516" t="str">
            <v>marTract  intestine  blade,wide,200x100mm</v>
          </cell>
        </row>
        <row r="2517">
          <cell r="B2517" t="str">
            <v>15-921-03-07</v>
          </cell>
          <cell r="C2517" t="str">
            <v>marTract  Darmblatt,  breit, 250x100mm</v>
          </cell>
          <cell r="D2517" t="str">
            <v>marTract  intestine  blade,wide,250x100mm</v>
          </cell>
        </row>
        <row r="2518">
          <cell r="B2518" t="str">
            <v>15-921-10-07</v>
          </cell>
          <cell r="C2518" t="str">
            <v>marTract  Blatt, bieg., 160x50mm</v>
          </cell>
          <cell r="D2518" t="str">
            <v>marTract  blade, flex., 160x50mm</v>
          </cell>
        </row>
        <row r="2519">
          <cell r="B2519" t="str">
            <v>15-921-12-07</v>
          </cell>
          <cell r="C2519" t="str">
            <v>marTract  Blatt, bieg., Spatel, 300x50mm</v>
          </cell>
          <cell r="D2519" t="str">
            <v>marTract  blade, flex., spatula,300x50mm</v>
          </cell>
        </row>
        <row r="2520">
          <cell r="B2520" t="str">
            <v>15-921-13-07</v>
          </cell>
          <cell r="C2520" t="str">
            <v>marTract  Blatt, bieg., 160x75mm</v>
          </cell>
          <cell r="D2520" t="str">
            <v>marTract  blade, flex., 160x75mm</v>
          </cell>
        </row>
        <row r="2521">
          <cell r="B2521" t="str">
            <v>15-921-20-07</v>
          </cell>
          <cell r="C2521" t="str">
            <v>marTract  Uro, Haken, bieg., 50x20mm</v>
          </cell>
          <cell r="D2521" t="str">
            <v>marTract  uro, retractor,  flex., 50x20mm</v>
          </cell>
        </row>
        <row r="2522">
          <cell r="B2522" t="str">
            <v>15-921-21-07</v>
          </cell>
          <cell r="C2522" t="str">
            <v>marTract  Uro, Haken, bieg., 60x20mm</v>
          </cell>
          <cell r="D2522" t="str">
            <v>marTract  uro, retractor,  flex., 60x20mm</v>
          </cell>
        </row>
        <row r="2523">
          <cell r="B2523" t="str">
            <v>15-921-22-07</v>
          </cell>
          <cell r="C2523" t="str">
            <v>marTract  Uro, Blatt, bieg., 100x25mm</v>
          </cell>
          <cell r="D2523" t="str">
            <v>marTract  uro, blade, flex., 100x25mm</v>
          </cell>
        </row>
        <row r="2524">
          <cell r="B2524" t="str">
            <v>15-921-30-07</v>
          </cell>
          <cell r="C2524" t="str">
            <v>marTract  Kirschner,  Haken, 50x65mm</v>
          </cell>
          <cell r="D2524" t="str">
            <v>marTract  Kirschner,  retractor,  50x65mm</v>
          </cell>
        </row>
        <row r="2525">
          <cell r="B2525" t="str">
            <v>15-921-31-07</v>
          </cell>
          <cell r="C2525" t="str">
            <v>marTract  Kirschner,  Haken, 60x85mm</v>
          </cell>
          <cell r="D2525" t="str">
            <v>marTract  Kirschner,  retractor,  60x85mm</v>
          </cell>
        </row>
        <row r="2526">
          <cell r="B2526" t="str">
            <v>15-921-32-07</v>
          </cell>
          <cell r="C2526" t="str">
            <v>marTract  Kirschner,  Haken, 78x65mm</v>
          </cell>
          <cell r="D2526" t="str">
            <v>marTract  Kirschner,  retractor,  78x65mm</v>
          </cell>
        </row>
        <row r="2527">
          <cell r="B2527" t="str">
            <v>15-921-33-07</v>
          </cell>
          <cell r="C2527" t="str">
            <v>marTract  Kirschner,  Haken, 80x90mm</v>
          </cell>
          <cell r="D2527" t="str">
            <v>marTract  Kirschner,  retractor,  80x90mm</v>
          </cell>
        </row>
        <row r="2528">
          <cell r="B2528" t="str">
            <v>15-921-40-07</v>
          </cell>
          <cell r="C2528" t="str">
            <v>marTract  Langenbeck, Haken, 35x11mm</v>
          </cell>
          <cell r="D2528" t="str">
            <v>marTract  Langenbeck, retractor,  35x11mm</v>
          </cell>
        </row>
        <row r="2529">
          <cell r="B2529" t="str">
            <v>15-921-41-07</v>
          </cell>
          <cell r="C2529" t="str">
            <v>marTract  Langenbeck, Haken, 50x11mm</v>
          </cell>
          <cell r="D2529" t="str">
            <v>marTract  Langenbeck, retractor,  50x11mm</v>
          </cell>
        </row>
        <row r="2530">
          <cell r="B2530" t="str">
            <v>15-921-42-07</v>
          </cell>
          <cell r="C2530" t="str">
            <v>marTract  Langenbeck, Haken, 60x20mm</v>
          </cell>
          <cell r="D2530" t="str">
            <v>marTract  Langenbeck, retractor,  60x20mm</v>
          </cell>
        </row>
        <row r="2531">
          <cell r="B2531" t="str">
            <v>15-921-43-07</v>
          </cell>
          <cell r="C2531" t="str">
            <v>marTract  Langenbeck, Haken, 80x20mm</v>
          </cell>
          <cell r="D2531" t="str">
            <v>marTract  Langenbeck, retractor,  80x20mm</v>
          </cell>
        </row>
        <row r="2532">
          <cell r="B2532" t="str">
            <v>15-921-44-07</v>
          </cell>
          <cell r="C2532" t="str">
            <v>marTract  Langenbeck, Haken, 100x20mm</v>
          </cell>
          <cell r="D2532" t="str">
            <v>marTract  Langenbeck, retractor,100x20mm</v>
          </cell>
        </row>
        <row r="2533">
          <cell r="B2533" t="str">
            <v>15-921-50-07</v>
          </cell>
          <cell r="C2533" t="str">
            <v>marTract  Langenbeck, Blatt, 90x40mm</v>
          </cell>
          <cell r="D2533" t="str">
            <v>marTract  Langenbeck, blade, 90x40mm</v>
          </cell>
        </row>
        <row r="2534">
          <cell r="B2534" t="str">
            <v>15-921-51-07</v>
          </cell>
          <cell r="C2534" t="str">
            <v>marTract  Langenbeck, Blatt, 150x50mm</v>
          </cell>
          <cell r="D2534" t="str">
            <v>marTract  Langenbeck, blade, 150x50mm</v>
          </cell>
        </row>
        <row r="2535">
          <cell r="B2535" t="str">
            <v>15-921-52-07</v>
          </cell>
          <cell r="C2535" t="str">
            <v>marTract  Langenbeck, Blatt, 200x50mm</v>
          </cell>
          <cell r="D2535" t="str">
            <v>marTract  Langenbeck, blade, 200x50mm</v>
          </cell>
        </row>
        <row r="2536">
          <cell r="B2536" t="str">
            <v>15-921-60-07</v>
          </cell>
          <cell r="C2536" t="str">
            <v>marTract  Axilla, Blatt, 175x25mm</v>
          </cell>
          <cell r="D2536" t="str">
            <v>marTract  axilla, blade, 175x25mm</v>
          </cell>
        </row>
        <row r="2537">
          <cell r="B2537" t="str">
            <v>15-921-70-07</v>
          </cell>
          <cell r="C2537" t="str">
            <v>marTract  Deaver, Blatt, 150x50mm</v>
          </cell>
          <cell r="D2537" t="str">
            <v>marTract  Deaver, blade, 150x50mm</v>
          </cell>
        </row>
        <row r="2538">
          <cell r="B2538" t="str">
            <v>15-921-71-07</v>
          </cell>
          <cell r="C2538" t="str">
            <v>marTract  Deaver, Blatt, 200x70mm</v>
          </cell>
          <cell r="D2538" t="str">
            <v>marTract  Deaver, blade, 200x70mm</v>
          </cell>
        </row>
        <row r="2539">
          <cell r="B2539" t="str">
            <v>15-921-72-07</v>
          </cell>
          <cell r="C2539" t="str">
            <v>marTract  Deaver, Blatt, 220x100mm</v>
          </cell>
          <cell r="D2539" t="str">
            <v>marTract  Deaver, blade, 220x100mm</v>
          </cell>
        </row>
        <row r="2540">
          <cell r="B2540" t="str">
            <v>15-921-80-07</v>
          </cell>
          <cell r="C2540" t="str">
            <v>marTract  Deaver, Haken, 200x70mm</v>
          </cell>
          <cell r="D2540" t="str">
            <v>marTract  Deaver, retractor,  200x70mm</v>
          </cell>
        </row>
        <row r="2541">
          <cell r="B2541" t="str">
            <v>15-921-90-07</v>
          </cell>
          <cell r="C2541" t="str">
            <v>marTract  Alan-Parks, Haken, 75x24mm</v>
          </cell>
          <cell r="D2541" t="str">
            <v>marTract  Alan-Parks, retractor,  75x24mm</v>
          </cell>
        </row>
        <row r="2542">
          <cell r="B2542" t="str">
            <v>15-921-91-07</v>
          </cell>
          <cell r="C2542" t="str">
            <v>marTract  Alan-Parks, Haken, 95x24mm</v>
          </cell>
          <cell r="D2542" t="str">
            <v>marTract  Alan-Parks, retractor,  95x24mm</v>
          </cell>
        </row>
        <row r="2543">
          <cell r="B2543" t="str">
            <v>15-922-01-07</v>
          </cell>
          <cell r="C2543" t="str">
            <v>marTract  Blase, Blatt, bieg., 150x80mm</v>
          </cell>
          <cell r="D2543" t="str">
            <v>marTract  bladder, blade, flex.,150x80mm</v>
          </cell>
        </row>
        <row r="2544">
          <cell r="B2544" t="str">
            <v>15-922-10-07</v>
          </cell>
          <cell r="C2544" t="str">
            <v>marTract  Harringt.,  Blatt, 175x40mm</v>
          </cell>
          <cell r="D2544" t="str">
            <v>marTract  Harringt.,  blade, 175x40mm</v>
          </cell>
        </row>
        <row r="2545">
          <cell r="B2545" t="str">
            <v>15-922-11-07</v>
          </cell>
          <cell r="C2545" t="str">
            <v>marTract  Harringt.,  Blatt, 175x65mm</v>
          </cell>
          <cell r="D2545" t="str">
            <v>marTract  Harringt.,  blade, 175x65mm</v>
          </cell>
        </row>
        <row r="2546">
          <cell r="B2546" t="str">
            <v>15-922-15-07</v>
          </cell>
          <cell r="C2546" t="str">
            <v>marTract  Harringt.,  Haken,bieg.,50x25mm</v>
          </cell>
          <cell r="D2546" t="str">
            <v>marTract  Harringt.,retrac.,flex.,50x25mm</v>
          </cell>
        </row>
        <row r="2547">
          <cell r="B2547" t="str">
            <v>15-922-20-07</v>
          </cell>
          <cell r="C2547" t="str">
            <v>marTract  Haken, geschlitzt,  125x50mm</v>
          </cell>
          <cell r="D2547" t="str">
            <v>marTract  retractor,  slotted, 125x50mm</v>
          </cell>
        </row>
        <row r="2548">
          <cell r="B2548" t="str">
            <v>15-922-30-07</v>
          </cell>
          <cell r="C2548" t="str">
            <v>marTract  Breisky, Blatt, 90x25mm</v>
          </cell>
          <cell r="D2548" t="str">
            <v>marTract  Breisky, blade, 90x25mm</v>
          </cell>
        </row>
        <row r="2549">
          <cell r="B2549" t="str">
            <v>15-922-31-07</v>
          </cell>
          <cell r="C2549" t="str">
            <v>marTract  Breisky, Blatt, 110x25mm</v>
          </cell>
          <cell r="D2549" t="str">
            <v>marTract  Breisky, blade, 110x25mm</v>
          </cell>
        </row>
        <row r="2550">
          <cell r="B2550" t="str">
            <v>15-922-32-07</v>
          </cell>
          <cell r="C2550" t="str">
            <v>marTract  Breisky, Blatt, 150x25mm</v>
          </cell>
          <cell r="D2550" t="str">
            <v>marTract  Breisky, blade, 150x25mm</v>
          </cell>
        </row>
        <row r="2551">
          <cell r="B2551" t="str">
            <v>15-922-33-07</v>
          </cell>
          <cell r="C2551" t="str">
            <v>marTract  Breisky, Blatt, 200x25mm</v>
          </cell>
          <cell r="D2551" t="str">
            <v>marTract  Breisky, blade, 200x25mm</v>
          </cell>
        </row>
        <row r="2552">
          <cell r="B2552" t="str">
            <v>15-922-34-07</v>
          </cell>
          <cell r="C2552" t="str">
            <v>marTract  Breisky, Blatt, 250x25mm</v>
          </cell>
          <cell r="D2552" t="str">
            <v>marTract  Breisky, blade, 250x25mm</v>
          </cell>
        </row>
        <row r="2553">
          <cell r="B2553" t="str">
            <v>15-922-35-07</v>
          </cell>
          <cell r="C2553" t="str">
            <v>marTract  Breisky, Blatt, 90x35mm</v>
          </cell>
          <cell r="D2553" t="str">
            <v>marTract  Breisky, blade, 90x35mm</v>
          </cell>
        </row>
        <row r="2554">
          <cell r="B2554" t="str">
            <v>15-922-36-07</v>
          </cell>
          <cell r="C2554" t="str">
            <v>marTract  Breisky, Blatt, 110x35mm</v>
          </cell>
          <cell r="D2554" t="str">
            <v>marTract  Breisky, blade, 110x35mm</v>
          </cell>
        </row>
        <row r="2555">
          <cell r="B2555" t="str">
            <v>15-922-40-07</v>
          </cell>
          <cell r="C2555" t="str">
            <v>marTract  Fächer, Blatt, bieg., 140x90mm</v>
          </cell>
          <cell r="D2555" t="str">
            <v>marTract  fan, blade, flex., 140x90mm</v>
          </cell>
        </row>
        <row r="2556">
          <cell r="B2556" t="str">
            <v>15-922-41-07</v>
          </cell>
          <cell r="C2556" t="str">
            <v>marTract  Fächer, Blatt, bieg., 165x90mm</v>
          </cell>
          <cell r="D2556" t="str">
            <v>marTract  fan, blade, flex., 165x90mm</v>
          </cell>
        </row>
        <row r="2557">
          <cell r="B2557" t="str">
            <v>15-922-50-07</v>
          </cell>
          <cell r="C2557" t="str">
            <v>marTract  Richardson, Haken, 25x21mm</v>
          </cell>
          <cell r="D2557" t="str">
            <v>marTract  Richardson, retractor,  25x21mm</v>
          </cell>
        </row>
        <row r="2558">
          <cell r="B2558" t="str">
            <v>15-922-51-07</v>
          </cell>
          <cell r="C2558" t="str">
            <v>marTract  Richardson, Haken, 30x29mm</v>
          </cell>
          <cell r="D2558" t="str">
            <v>marTract  Richardson, retractor,  30x29mm</v>
          </cell>
        </row>
        <row r="2559">
          <cell r="B2559" t="str">
            <v>15-922-60-07</v>
          </cell>
          <cell r="C2559" t="str">
            <v>marTract  Pelvis,St.Marks,Blatt,174x60mm</v>
          </cell>
          <cell r="D2559" t="str">
            <v>marTract  pelvis,St.Marks,blade,174x60mm</v>
          </cell>
        </row>
        <row r="2560">
          <cell r="B2560" t="str">
            <v>15-922-61-07</v>
          </cell>
          <cell r="C2560" t="str">
            <v>marTract  Pelvis,St.Marks,Blatt,270x60mm</v>
          </cell>
          <cell r="D2560" t="str">
            <v>marTract  pelvis,St.Marks,blade,270x60mm</v>
          </cell>
        </row>
        <row r="2561">
          <cell r="B2561" t="str">
            <v>15-922-70-07</v>
          </cell>
          <cell r="C2561" t="str">
            <v>marTract  Volkmann,  Haken, schf.,22x20mm</v>
          </cell>
          <cell r="D2561" t="str">
            <v>marTract  Volkmann,retract.,sharp,22x20mm</v>
          </cell>
        </row>
        <row r="2562">
          <cell r="B2562" t="str">
            <v>15-922-71-07</v>
          </cell>
          <cell r="C2562" t="str">
            <v>marTract  Volkmann,  Haken, stpf.,22x20mm</v>
          </cell>
          <cell r="D2562" t="str">
            <v>marTract  Volkmann,retrac.,blunt,22x20mm</v>
          </cell>
        </row>
        <row r="2563">
          <cell r="B2563" t="str">
            <v>15-922-80-07</v>
          </cell>
          <cell r="C2563" t="str">
            <v>marTract  Roux, Haken, 22x18mm</v>
          </cell>
          <cell r="D2563" t="str">
            <v>marTract  Roux, retractor,  22x18mm</v>
          </cell>
        </row>
        <row r="2564">
          <cell r="B2564" t="str">
            <v>15-922-81-07</v>
          </cell>
          <cell r="C2564" t="str">
            <v>marTract  Roux, Haken, 28x23mm</v>
          </cell>
          <cell r="D2564" t="str">
            <v>marTract  Roux, retractor,  28x23mm</v>
          </cell>
        </row>
        <row r="2565">
          <cell r="B2565" t="str">
            <v>15-922-82-07</v>
          </cell>
          <cell r="C2565" t="str">
            <v>marTract  Roux, Haken, 43x23mm</v>
          </cell>
          <cell r="D2565" t="str">
            <v>marTract  Roux, retractor,  43x23mm</v>
          </cell>
        </row>
        <row r="2566">
          <cell r="B2566" t="str">
            <v>15-922-90-07</v>
          </cell>
          <cell r="C2566" t="str">
            <v>marTract  Oberbauch, Haken, 60x85mm</v>
          </cell>
          <cell r="D2566" t="str">
            <v>marTract  epigastrium, retractor,60x85mm</v>
          </cell>
        </row>
        <row r="2567">
          <cell r="B2567" t="str">
            <v>15-922-91-07</v>
          </cell>
          <cell r="C2567" t="str">
            <v>marTract  Oberbauch, Haken, 65x78mm</v>
          </cell>
          <cell r="D2567" t="str">
            <v>marTract  epigastrium, retractor,65x78mm</v>
          </cell>
        </row>
        <row r="2568">
          <cell r="B2568" t="str">
            <v>15-922-95-07</v>
          </cell>
          <cell r="C2568" t="str">
            <v>marTract,  lap. Leberhaken, Größe M</v>
          </cell>
          <cell r="D2568" t="str">
            <v>marTract,  lap. Liver hooklet, Size M</v>
          </cell>
        </row>
        <row r="2569">
          <cell r="B2569" t="str">
            <v>15-922-96-07</v>
          </cell>
          <cell r="C2569" t="str">
            <v>marTract,  lap. Leberhaken, Größe L</v>
          </cell>
          <cell r="D2569" t="str">
            <v>marTract,  lap. Liver hooklet, Size L</v>
          </cell>
        </row>
        <row r="2570">
          <cell r="B2570" t="str">
            <v>15-923-21-07</v>
          </cell>
          <cell r="C2570" t="str">
            <v>marTract,  Haken, MIDCAB,  2-Z., 40x30 mm</v>
          </cell>
          <cell r="D2570" t="str">
            <v>marTract,  retractor,MIDCAB, 2-p.,40x30mm</v>
          </cell>
        </row>
        <row r="2571">
          <cell r="B2571" t="str">
            <v>15-923-22-07</v>
          </cell>
          <cell r="C2571" t="str">
            <v>marTract,  Haken, MIDCAB,  2-Z., 50x30 mm</v>
          </cell>
          <cell r="D2571" t="str">
            <v>marTract,  retractor,MIDCAB, 2-p.,50x30mm</v>
          </cell>
        </row>
        <row r="2572">
          <cell r="B2572" t="str">
            <v>15-923-23-07</v>
          </cell>
          <cell r="C2572" t="str">
            <v>marTract,  Haken, MIDCAB,  2-Z., 60x30 mm</v>
          </cell>
          <cell r="D2572" t="str">
            <v>marTract,  retractor,MIDCAB, 2-p.,60x30mm</v>
          </cell>
        </row>
        <row r="2573">
          <cell r="B2573" t="str">
            <v>15-923-24-07</v>
          </cell>
          <cell r="C2573" t="str">
            <v>marTract,  Wundhaken, MIDCAB,  42x36 mm</v>
          </cell>
          <cell r="D2573" t="str">
            <v>marTract,  wound retr., MIDCAB,  42x36 mm</v>
          </cell>
        </row>
        <row r="2574">
          <cell r="B2574" t="str">
            <v>15-923-25-07</v>
          </cell>
          <cell r="C2574" t="str">
            <v>marTract,  Wundhaken, MIDCAB,  65x38 mm</v>
          </cell>
          <cell r="D2574" t="str">
            <v>marTract,  wound retr., MIDCAB,  65x38 mm</v>
          </cell>
        </row>
        <row r="2575">
          <cell r="B2575" t="str">
            <v>15-923-26-07</v>
          </cell>
          <cell r="C2575" t="str">
            <v>marTract,  Wundhaken, MIDCAB,  65x50 mm</v>
          </cell>
          <cell r="D2575" t="str">
            <v>marTract,  wound retr., MIDCAB,  65x50 mm</v>
          </cell>
        </row>
        <row r="2576">
          <cell r="B2576" t="str">
            <v>15-923-27-07</v>
          </cell>
          <cell r="C2576" t="str">
            <v>marTract,  Wundhaken, MIDCAB,  70x50 mm</v>
          </cell>
          <cell r="D2576" t="str">
            <v>marTract,  wound retr., MIDCAB,  70x50 mm</v>
          </cell>
        </row>
        <row r="2577">
          <cell r="B2577" t="str">
            <v>15-923-28-07</v>
          </cell>
          <cell r="C2577" t="str">
            <v>marTract,  Wundhaken, MIDCAB,  92x51 mm</v>
          </cell>
          <cell r="D2577" t="str">
            <v>marTract,  wound retr., MIDCAB,  92x51 mm</v>
          </cell>
        </row>
        <row r="2578">
          <cell r="B2578" t="str">
            <v>15-923-29-07</v>
          </cell>
          <cell r="C2578" t="str">
            <v>marTract,  Wundhaken, MIDCAB,  103x51 mm</v>
          </cell>
          <cell r="D2578" t="str">
            <v>marTract,  wound retr., MIDCAB,  103x51 mm</v>
          </cell>
        </row>
        <row r="2579">
          <cell r="B2579" t="str">
            <v>15-923-30-07</v>
          </cell>
          <cell r="C2579" t="str">
            <v>marTract,  Wundhaken, MIDCAB,  42x57 mm</v>
          </cell>
          <cell r="D2579" t="str">
            <v>marTract,  wound retr., MIDCAB,  42x57 mm</v>
          </cell>
        </row>
        <row r="2580">
          <cell r="B2580" t="str">
            <v>15-923-31-07</v>
          </cell>
          <cell r="C2580" t="str">
            <v>marTract,  Wundhaken, MIDCAB,  65x57 mm</v>
          </cell>
          <cell r="D2580" t="str">
            <v>marTract,  wound retr., MIDCAB,  65x57 mm</v>
          </cell>
        </row>
        <row r="2581">
          <cell r="B2581" t="str">
            <v>15-953-28-07</v>
          </cell>
          <cell r="C2581" t="str">
            <v>BAUCHSPATEL, REVERDIN,  BAYONETTF.</v>
          </cell>
          <cell r="D2581" t="str">
            <v>REVERDIN  BAUCHSPATEL BAYON.</v>
          </cell>
        </row>
        <row r="2582">
          <cell r="B2582" t="str">
            <v>15-963-01-01</v>
          </cell>
          <cell r="C2582" t="str">
            <v>BAUCHSPATEL, BIEGSAM,  30 MM, 33 CM</v>
          </cell>
          <cell r="D2582" t="str">
            <v>ABDOM. SPATULA,  MALLEABLE, 30 MM, 33 CM</v>
          </cell>
        </row>
        <row r="2583">
          <cell r="B2583" t="str">
            <v>15-963-02-01</v>
          </cell>
          <cell r="C2583" t="str">
            <v>BAUCHSPATEL, BIEGSAM,  40 MM, 33 CM</v>
          </cell>
          <cell r="D2583" t="str">
            <v>ABDOM. SPATULA,  MALLEABLE, 40 MM, 33 CM</v>
          </cell>
        </row>
        <row r="2584">
          <cell r="B2584" t="str">
            <v>15-963-03-01</v>
          </cell>
          <cell r="C2584" t="str">
            <v>BAUCHSPATEL, BIEGSAM,  50 MM, 33 CM</v>
          </cell>
          <cell r="D2584" t="str">
            <v>ABDOM. SPATULA,  MALLEABLE, 50 MM, 33 CM</v>
          </cell>
        </row>
        <row r="2585">
          <cell r="B2585" t="str">
            <v>15-971-00-01</v>
          </cell>
          <cell r="C2585" t="str">
            <v>SPATEL, HABERER,  16/25 MM, 20 CM</v>
          </cell>
          <cell r="D2585" t="str">
            <v>ABDOM. SPATULA,  HABERER,  16/25 MM, 20 CM</v>
          </cell>
        </row>
        <row r="2586">
          <cell r="B2586" t="str">
            <v>15-971-01-01</v>
          </cell>
          <cell r="C2586" t="str">
            <v>SPATEL, HABERER,  25/30 MM, 28 CM</v>
          </cell>
          <cell r="D2586" t="str">
            <v>ABDOM. SPATULA,  HABERER,  25/30 MM, 28 CM</v>
          </cell>
        </row>
        <row r="2587">
          <cell r="B2587" t="str">
            <v>15-971-02-01</v>
          </cell>
          <cell r="C2587" t="str">
            <v>SPATEL, HABERER,  37/45 MM, 30 CM</v>
          </cell>
          <cell r="D2587" t="str">
            <v>ABDOM. SPATULA,  HABERER,  37/45 MM, 30 CM</v>
          </cell>
        </row>
        <row r="2588">
          <cell r="B2588" t="str">
            <v>15-975-06-01</v>
          </cell>
          <cell r="C2588" t="str">
            <v>SPATEL, MARTIN,  BIEGSAM,  6,5 MM, 20 CM</v>
          </cell>
          <cell r="D2588" t="str">
            <v>SPATULA,  MARTIN,  MALLEAB.,  6.5 MM, 20 CM</v>
          </cell>
        </row>
        <row r="2589">
          <cell r="B2589" t="str">
            <v>15-975-09-01</v>
          </cell>
          <cell r="C2589" t="str">
            <v>SPATEL, MARTIN,  BIEGSAM,  9,5 MM, 20 CM</v>
          </cell>
          <cell r="D2589" t="str">
            <v>SPATULA,  MARTIN,  MALLEAB.,  9.5 MM, 20 CM</v>
          </cell>
        </row>
        <row r="2590">
          <cell r="B2590" t="str">
            <v>15-975-13-01</v>
          </cell>
          <cell r="C2590" t="str">
            <v>SPATEL, MARTIN,  BIEGSAM,  13 MM, 20 CM</v>
          </cell>
          <cell r="D2590" t="str">
            <v>SPATULA,  MARTIN,  MALLEAB.,  13 MM, 20 CM</v>
          </cell>
        </row>
        <row r="2591">
          <cell r="B2591" t="str">
            <v>15-975-16-01</v>
          </cell>
          <cell r="C2591" t="str">
            <v>SPATEL, MARTIN,  BIEGSAM,  16 MM, 20 CM</v>
          </cell>
          <cell r="D2591" t="str">
            <v>SPATULA,  MARTIN,  MALLEAB.,  16 MM, 20 CM</v>
          </cell>
        </row>
        <row r="2592">
          <cell r="B2592" t="str">
            <v>15-975-19-01</v>
          </cell>
          <cell r="C2592" t="str">
            <v>SPATEL, MARTIN,  BIEGSAM,  19 MM, 20 CM</v>
          </cell>
          <cell r="D2592" t="str">
            <v>SPATULA,  MARTIN,  MALLEAB.,  19 MM, 20 CM</v>
          </cell>
        </row>
        <row r="2593">
          <cell r="B2593" t="str">
            <v>15-975-25-01</v>
          </cell>
          <cell r="C2593" t="str">
            <v>SPATEL, MARTIN,  BIEGSAM,  25 MM, 20 CM</v>
          </cell>
          <cell r="D2593" t="str">
            <v>SPATULA,  MARTIN,  MALLEAB.,  25 MM, 20 CM</v>
          </cell>
        </row>
        <row r="2594">
          <cell r="B2594" t="str">
            <v>16-100-11-01</v>
          </cell>
          <cell r="C2594" t="str">
            <v>DOPPELKNOPFSONDE, Ø 2,0 MM, 11,5 CM</v>
          </cell>
          <cell r="D2594" t="str">
            <v>PROBE, BUTTON END, Ø 2.0/2.0 MM, 11,5 CM</v>
          </cell>
        </row>
        <row r="2595">
          <cell r="B2595" t="str">
            <v>16-100-13-01</v>
          </cell>
          <cell r="C2595" t="str">
            <v>DOPPELKNOPFSONDE, Ø 2,0 MM, 13 CM</v>
          </cell>
          <cell r="D2595" t="str">
            <v>PROBE, BUTTON END, Ø 2.0/2.0 MM, 13 CM</v>
          </cell>
        </row>
        <row r="2596">
          <cell r="B2596" t="str">
            <v>16-100-14-01</v>
          </cell>
          <cell r="C2596" t="str">
            <v>DOPPELKNOPFSONDE, Ø 2,0 MM, 14,5 CM</v>
          </cell>
          <cell r="D2596" t="str">
            <v>PROBE, BUTTON END, Ø 2.0/2.0 MM, 14.5 CM</v>
          </cell>
        </row>
        <row r="2597">
          <cell r="B2597" t="str">
            <v>16-100-16-01</v>
          </cell>
          <cell r="C2597" t="str">
            <v>DOPPELKNOPFSONDE, Ø 2,0 MM, 16 CM</v>
          </cell>
          <cell r="D2597" t="str">
            <v>PROBE, BUTTON END, Ø 2.0/2.0 MM, 16 CM</v>
          </cell>
        </row>
        <row r="2598">
          <cell r="B2598" t="str">
            <v>16-100-18-01</v>
          </cell>
          <cell r="C2598" t="str">
            <v>DOPPELKNOPFSONDE, Ø 2,0 MM, 18 CM</v>
          </cell>
          <cell r="D2598" t="str">
            <v>PROBE, BUTTON END, Ø 2.0/2.0 MM, 18 CM</v>
          </cell>
        </row>
        <row r="2599">
          <cell r="B2599" t="str">
            <v>16-100-20-01</v>
          </cell>
          <cell r="C2599" t="str">
            <v>DOPPELKNOPFSONDE, Ø 2,0 MM, 20 CM</v>
          </cell>
          <cell r="D2599" t="str">
            <v>PROBE, BUTTON END, Ø 2.0/2.0 MM, 20 CM</v>
          </cell>
        </row>
        <row r="2600">
          <cell r="B2600" t="str">
            <v>16-100-25-01</v>
          </cell>
          <cell r="C2600" t="str">
            <v>DOPPELKNOPFSONDE, Ø 2,0 MM, 25 CM</v>
          </cell>
          <cell r="D2600" t="str">
            <v>PROBE, BUTTON END, Ø 2.0/2.0 MM, 25 CM</v>
          </cell>
        </row>
        <row r="2601">
          <cell r="B2601" t="str">
            <v>16-100-30-01</v>
          </cell>
          <cell r="C2601" t="str">
            <v>DOPPELKNOPFSONDE, Ø 2,0 MM, 30 CM</v>
          </cell>
          <cell r="D2601" t="str">
            <v>PROBE, BUTTON END, Ø 2.0/2.0 MM, 30 CM</v>
          </cell>
        </row>
        <row r="2602">
          <cell r="B2602" t="str">
            <v>16-102-11-01</v>
          </cell>
          <cell r="C2602" t="str">
            <v>DOPPELKNOPFSONDE, Ø 1,0 MM, 11,5 CM</v>
          </cell>
          <cell r="D2602" t="str">
            <v>PROBE, BUTTON END, Ø 1.0/1.0 MM, 11.5 CM</v>
          </cell>
        </row>
        <row r="2603">
          <cell r="B2603" t="str">
            <v>16-102-13-01</v>
          </cell>
          <cell r="C2603" t="str">
            <v>DOPPELKNOPFSONDE, Ø 1,0 MM, 13 CM</v>
          </cell>
          <cell r="D2603" t="str">
            <v>PROBE, BUTTON END, Ø 1.0/1.0 MM, 13 CM</v>
          </cell>
        </row>
        <row r="2604">
          <cell r="B2604" t="str">
            <v>16-102-14-01</v>
          </cell>
          <cell r="C2604" t="str">
            <v>DOPPELKNOPFSONDE, Ø 1,0 MM, 14,5 CM</v>
          </cell>
          <cell r="D2604" t="str">
            <v>PROBE, BUTTON END, Ø 1.0/1.0 MM, 14.5 CM</v>
          </cell>
        </row>
        <row r="2605">
          <cell r="B2605" t="str">
            <v>16-102-16-01</v>
          </cell>
          <cell r="C2605" t="str">
            <v>DOPPELKNOPFSONDE, Ø 1,0 MM, 16 CM</v>
          </cell>
          <cell r="D2605" t="str">
            <v>PROBE, BUTTON END, Ø 1.0/1.0 MM, 16 CM</v>
          </cell>
        </row>
        <row r="2606">
          <cell r="B2606" t="str">
            <v>16-102-18-01</v>
          </cell>
          <cell r="C2606" t="str">
            <v>DOPPELKNOPFSONDE, Ø 1,0 MM, 18 CM</v>
          </cell>
          <cell r="D2606" t="str">
            <v>PROBE, BUTTON END, Ø 1.0/1.0 MM, 18 CM</v>
          </cell>
        </row>
        <row r="2607">
          <cell r="B2607" t="str">
            <v>16-102-20-01</v>
          </cell>
          <cell r="C2607" t="str">
            <v>DOPPELKNOPFSONDE, Ø 1,0 MM, 20 CM</v>
          </cell>
          <cell r="D2607" t="str">
            <v>PROBE, BUTTON END, Ø 1.0/1.0 MM, 20 CM</v>
          </cell>
        </row>
        <row r="2608">
          <cell r="B2608" t="str">
            <v>16-103-13-01</v>
          </cell>
          <cell r="C2608" t="str">
            <v>DOPPELKNOPFSONDE, Ø 1,5 MM, 13 CM</v>
          </cell>
          <cell r="D2608" t="str">
            <v>PROBE, BUTTON END, Ø 1.5/1.5 MM, 13 CM</v>
          </cell>
        </row>
        <row r="2609">
          <cell r="B2609" t="str">
            <v>16-103-14-01</v>
          </cell>
          <cell r="C2609" t="str">
            <v>DOPPELKNOPFSONDE, Ø 1,5 MM, 14,5 CM</v>
          </cell>
          <cell r="D2609" t="str">
            <v>PROBE, BUTTON END, Ø 1.5/1.5 MM, 14.5 CM</v>
          </cell>
        </row>
        <row r="2610">
          <cell r="B2610" t="str">
            <v>16-103-16-01</v>
          </cell>
          <cell r="C2610" t="str">
            <v>DOPPELKNOPFSONDE, Ø 1,5 MM, 16 CM</v>
          </cell>
          <cell r="D2610" t="str">
            <v>PROBE, BUTTON END, Ø 1.5/1.5 MM, 16 CM</v>
          </cell>
        </row>
        <row r="2611">
          <cell r="B2611" t="str">
            <v>16-103-18-01</v>
          </cell>
          <cell r="C2611" t="str">
            <v>DOPPELKNOPFSONDE, Ø 1,5 MM, 18 CM</v>
          </cell>
          <cell r="D2611" t="str">
            <v>PROBE, BUTTON END, Ø 1.5/1.5 MM, 18 CM</v>
          </cell>
        </row>
        <row r="2612">
          <cell r="B2612" t="str">
            <v>16-103-20-01</v>
          </cell>
          <cell r="C2612" t="str">
            <v>DOPPELKNOPFSONDE, Ø 1,5 MM, 20 CM</v>
          </cell>
          <cell r="D2612" t="str">
            <v>PROBE, BUTTON END, Ø 1.5/1.5 MM, 20 CM</v>
          </cell>
        </row>
        <row r="2613">
          <cell r="B2613" t="str">
            <v>16-103-25-01</v>
          </cell>
          <cell r="C2613" t="str">
            <v>DOPPELKNOPFSONDE, Ø 1,5 MM, 25 CM</v>
          </cell>
          <cell r="D2613" t="str">
            <v>PROBE, BUTTON END, Ø 1.5/1.5 MM, 25 CM</v>
          </cell>
        </row>
        <row r="2614">
          <cell r="B2614" t="str">
            <v>16-108-13-01</v>
          </cell>
          <cell r="C2614" t="str">
            <v>KNOPFSONDE M. ÖHR, Ø 2,0 MM, 13 CM</v>
          </cell>
          <cell r="D2614" t="str">
            <v>PROBE WITH EYE, Ø 2.0 MM, 13 CM</v>
          </cell>
        </row>
        <row r="2615">
          <cell r="B2615" t="str">
            <v>16-108-14-01</v>
          </cell>
          <cell r="C2615" t="str">
            <v>KNOPFSONDE M. ÖHR, Ø 2,0 MM, 14,5 CM</v>
          </cell>
          <cell r="D2615" t="str">
            <v>PROBE WITH EYE, Ø 2.0 MM, 14.5 CM</v>
          </cell>
        </row>
        <row r="2616">
          <cell r="B2616" t="str">
            <v>16-108-16-01</v>
          </cell>
          <cell r="C2616" t="str">
            <v>KNOPFSONDE M. ÖHR, Ø 2,0 MM, 16 CM</v>
          </cell>
          <cell r="D2616" t="str">
            <v>PROBE WITH EYE, Ø 2.0 MM, 16 CM</v>
          </cell>
        </row>
        <row r="2617">
          <cell r="B2617" t="str">
            <v>16-130-10-07</v>
          </cell>
          <cell r="C2617" t="str">
            <v>Sonde, Ohr, Stacke, Ø 1,0 mm, 10 cm</v>
          </cell>
          <cell r="D2617" t="str">
            <v>Probe, ear, Stacke, Ø 1.0 mm, 10 cm</v>
          </cell>
        </row>
        <row r="2618">
          <cell r="B2618" t="str">
            <v>16-150-13-07</v>
          </cell>
          <cell r="C2618" t="str">
            <v>MYRTENBLATTSONDE, Ø 2,0 MM, 13 CM</v>
          </cell>
          <cell r="D2618" t="str">
            <v>MYRTLE LEAF PROBE, Ø 2.0 MM, 13 CM</v>
          </cell>
        </row>
        <row r="2619">
          <cell r="B2619" t="str">
            <v>16-150-14-07</v>
          </cell>
          <cell r="C2619" t="str">
            <v>MYRTENBLATTSONDE, Ø 2,0 MM, 14,5 CM</v>
          </cell>
          <cell r="D2619" t="str">
            <v>MYRTLE LEAF PROBE, Ø 2.0 MM, 14.5 CM</v>
          </cell>
        </row>
        <row r="2620">
          <cell r="B2620" t="str">
            <v>16-150-16-07</v>
          </cell>
          <cell r="C2620" t="str">
            <v>MYRTENBLATTSONDE, Ø 2,0 MM, 16 CM</v>
          </cell>
          <cell r="D2620" t="str">
            <v>MYRTLE LEAF PROBE, Ø 2.0 MM, 16 CM</v>
          </cell>
        </row>
        <row r="2621">
          <cell r="B2621" t="str">
            <v>16-150-18-07</v>
          </cell>
          <cell r="C2621" t="str">
            <v>MYRTENBLATTSONDE, Ø 2,0 MM, 18 CM</v>
          </cell>
          <cell r="D2621" t="str">
            <v>MYRTLE LEAF PROBE, Ø 2.0 MM, 18 CM</v>
          </cell>
        </row>
        <row r="2622">
          <cell r="B2622" t="str">
            <v>16-150-20-07</v>
          </cell>
          <cell r="C2622" t="str">
            <v>MYRTENBLATTSONDE, Ø 2,0 MM, 20 CM</v>
          </cell>
          <cell r="D2622" t="str">
            <v>MYRTLE LEAF PROBE, Ø 2.0 MM, 20 CM</v>
          </cell>
        </row>
        <row r="2623">
          <cell r="B2623" t="str">
            <v>16-160-13-01</v>
          </cell>
          <cell r="C2623" t="str">
            <v>HOHLSONDE, GER., 13 CM</v>
          </cell>
          <cell r="D2623" t="str">
            <v>GROOVED  DIRECTOR,  STR., 13 CM</v>
          </cell>
        </row>
        <row r="2624">
          <cell r="B2624" t="str">
            <v>16-160-14-01</v>
          </cell>
          <cell r="C2624" t="str">
            <v>HOHLSONDE, GER., 14,5 CM</v>
          </cell>
          <cell r="D2624" t="str">
            <v>GROOVED  DIRECTOR,  STR., 14.5 CM</v>
          </cell>
        </row>
        <row r="2625">
          <cell r="B2625" t="str">
            <v>16-160-16-01</v>
          </cell>
          <cell r="C2625" t="str">
            <v>HOHLSONDE, GER., 16 CM</v>
          </cell>
          <cell r="D2625" t="str">
            <v>GROOVED  DIRECTOR,  STR., 16 CM</v>
          </cell>
        </row>
        <row r="2626">
          <cell r="B2626" t="str">
            <v>16-170-13-01</v>
          </cell>
          <cell r="C2626" t="str">
            <v>HOHLSONDE M. KNOPFENDE, 13 CM</v>
          </cell>
          <cell r="D2626" t="str">
            <v>GROOVED  DIRECTOR,  BUTTON ENDED, 13 CM</v>
          </cell>
        </row>
        <row r="2627">
          <cell r="B2627" t="str">
            <v>16-170-14-01</v>
          </cell>
          <cell r="C2627" t="str">
            <v>HOHLSONDE M. KNOPFENDE, 14,5 CM</v>
          </cell>
          <cell r="D2627" t="str">
            <v>GROOVED  DIRECTOR,  BUTTON ENDED, 14.5 CM</v>
          </cell>
        </row>
        <row r="2628">
          <cell r="B2628" t="str">
            <v>16-170-16-01</v>
          </cell>
          <cell r="C2628" t="str">
            <v>HOHLSONDE M. KNOPFENDE, 16 CM</v>
          </cell>
          <cell r="D2628" t="str">
            <v>GROOVED  DIRECTOR,  BUTTON ENDED, 16 CM</v>
          </cell>
        </row>
        <row r="2629">
          <cell r="B2629" t="str">
            <v>16-175-14-01</v>
          </cell>
          <cell r="C2629" t="str">
            <v>HOHLSONDE, DOYEN, GEB., 14,5 CM</v>
          </cell>
          <cell r="D2629" t="str">
            <v>GROOVED  DIRECTOR,  DOYEN, CVD., 14.5 CM</v>
          </cell>
        </row>
        <row r="2630">
          <cell r="B2630" t="str">
            <v>16-185-16-01</v>
          </cell>
          <cell r="C2630" t="str">
            <v>HOHLSONDE, NELATON,  GEB., 16 CM</v>
          </cell>
          <cell r="D2630" t="str">
            <v>GROOVED  DIRECTOR,  NELATON,  CVD., 16 CM</v>
          </cell>
        </row>
        <row r="2631">
          <cell r="B2631" t="str">
            <v>16-249-01-07</v>
          </cell>
          <cell r="C2631" t="str">
            <v>PHLEBODISSEKTOR, VARADY,  18 CM</v>
          </cell>
          <cell r="D2631" t="str">
            <v>PHLEBODISSECTOR, VARADY,  18 CM</v>
          </cell>
        </row>
        <row r="2632">
          <cell r="B2632" t="str">
            <v>16-249-02-07</v>
          </cell>
          <cell r="C2632" t="str">
            <v>PHLEBEXTRAKTOR, VARADY,  18 CM</v>
          </cell>
          <cell r="D2632" t="str">
            <v>PHLEBEXTRACTOR, VARADY,  18 CM</v>
          </cell>
        </row>
        <row r="2633">
          <cell r="B2633" t="str">
            <v>16-249-03-07</v>
          </cell>
          <cell r="C2633" t="str">
            <v>PHLEBEXTRAKTOR, VARADY,  18 CM</v>
          </cell>
          <cell r="D2633" t="str">
            <v>PHLEBEXTRACTOR, VARADY,  18 CM</v>
          </cell>
        </row>
        <row r="2634">
          <cell r="B2634" t="str">
            <v>16-249-04-07</v>
          </cell>
          <cell r="C2634" t="str">
            <v>MIKRODISSEKTOR, VARADY,  17 CM</v>
          </cell>
          <cell r="D2634" t="str">
            <v>MICRODISSECTOR, VARADY,  17 CM</v>
          </cell>
        </row>
        <row r="2635">
          <cell r="B2635" t="str">
            <v>16-249-05-07</v>
          </cell>
          <cell r="C2635" t="str">
            <v>VARADY-MIKRO-PHLEBEXTRAKTOR, 17 CM</v>
          </cell>
          <cell r="D2635" t="str">
            <v>VARADY-MICRO-PHLEBEXTRACTOR, 17 CM</v>
          </cell>
        </row>
        <row r="2636">
          <cell r="B2636" t="str">
            <v>16-249-06-07</v>
          </cell>
          <cell r="C2636" t="str">
            <v>MINI-PHLEBEXTRAKTOR, VARADY,  17 CM</v>
          </cell>
          <cell r="D2636" t="str">
            <v>MINI-PHLEBEXTRACTOR, VARADY,  17 CM</v>
          </cell>
        </row>
        <row r="2637">
          <cell r="B2637" t="str">
            <v>16-250-00-01</v>
          </cell>
          <cell r="C2637" t="str">
            <v>VARIZENBESTECK, NABATOFF, KOMPLETT</v>
          </cell>
          <cell r="D2637" t="str">
            <v>VARICOSE  VEIN SET, NABATOFF, COMPLETE</v>
          </cell>
        </row>
        <row r="2638">
          <cell r="B2638" t="str">
            <v>16-250-03-07</v>
          </cell>
          <cell r="C2638" t="str">
            <v>OLIVE, ALLEIN, Z. 16-250-00,  Ø 3 MM</v>
          </cell>
          <cell r="D2638" t="str">
            <v>TIP, ONLY, F. 16-250-00,  Ø 3 MM</v>
          </cell>
        </row>
        <row r="2639">
          <cell r="B2639" t="str">
            <v>16-250-06-07</v>
          </cell>
          <cell r="C2639" t="str">
            <v>OLIVE, ALLEIN, Z. 16-250-00,  Ø 6 MM</v>
          </cell>
          <cell r="D2639" t="str">
            <v>TIP, ONLY, F. 16-250-00,  Ø 6 MM</v>
          </cell>
        </row>
        <row r="2640">
          <cell r="B2640" t="str">
            <v>16-250-09-07</v>
          </cell>
          <cell r="C2640" t="str">
            <v>OLIVE, ALLEIN, Z. 16-250-00,  Ø 9 MM</v>
          </cell>
          <cell r="D2640" t="str">
            <v>TIP, ONLY, F. 16-250-00,  Ø 9 MM</v>
          </cell>
        </row>
        <row r="2641">
          <cell r="B2641" t="str">
            <v>16-250-12-07</v>
          </cell>
          <cell r="C2641" t="str">
            <v>OLIVE, ALLEIN, Z. 16-250-00,  Ø 12 MM</v>
          </cell>
          <cell r="D2641" t="str">
            <v>TIP, ONLY, F. 16-250-00,  Ø 12 MM</v>
          </cell>
        </row>
        <row r="2642">
          <cell r="B2642" t="str">
            <v>16-250-15-07</v>
          </cell>
          <cell r="C2642" t="str">
            <v>OLIVE, ALLEIN, Z. 16-250-00,  Ø 15 MM</v>
          </cell>
          <cell r="D2642" t="str">
            <v>TIP, ONLY, F. 16-250-00,  Ø 15 MM</v>
          </cell>
        </row>
        <row r="2643">
          <cell r="B2643" t="str">
            <v>16-250-80-07</v>
          </cell>
          <cell r="C2643" t="str">
            <v>T-GRIFF, ALLEIN, Z. 16-250-00</v>
          </cell>
          <cell r="D2643" t="str">
            <v>T-HANDLE,  F. 16-250-01</v>
          </cell>
        </row>
        <row r="2644">
          <cell r="B2644" t="str">
            <v>16-250-90-07</v>
          </cell>
          <cell r="C2644" t="str">
            <v>Zugseil, biegsam,  z. 16-250-00-01, 90 cm</v>
          </cell>
          <cell r="D2644" t="str">
            <v>Tract. cable, flex., f. 16-250-00,  90 cm</v>
          </cell>
        </row>
        <row r="2645">
          <cell r="B2645" t="str">
            <v>16-251-02-01</v>
          </cell>
          <cell r="C2645" t="str">
            <v>RINGSTRIPPER, RUND, Ø 2,0 MM, 50 CM</v>
          </cell>
          <cell r="D2645" t="str">
            <v>RING STRIPPER,  ROUND, Ø 2.0 MM, 50 CM</v>
          </cell>
        </row>
        <row r="2646">
          <cell r="B2646" t="str">
            <v>16-251-03-01</v>
          </cell>
          <cell r="C2646" t="str">
            <v>RINGSTRIPPER, RUND, Ø 3,0 MM, 50 CM</v>
          </cell>
          <cell r="D2646" t="str">
            <v>RING STRIPPER,  ROUND, Ø 3.0 MM, 50 CM</v>
          </cell>
        </row>
        <row r="2647">
          <cell r="B2647" t="str">
            <v>16-251-04-01</v>
          </cell>
          <cell r="C2647" t="str">
            <v>RINGSTRIPPER, RUND, Ø 4,0 MM, 50 CM</v>
          </cell>
          <cell r="D2647" t="str">
            <v>RING STRIPPER,  ROUND, Ø 4.0 MM, 50 CM</v>
          </cell>
        </row>
        <row r="2648">
          <cell r="B2648" t="str">
            <v>16-251-06-01</v>
          </cell>
          <cell r="C2648" t="str">
            <v>RINGSTRIPPER, RUND, Ø 6,0 MM, 50 CM</v>
          </cell>
          <cell r="D2648" t="str">
            <v>RING STRIPPER,  ROUND, Ø 6.0 MM, 50 CM</v>
          </cell>
        </row>
        <row r="2649">
          <cell r="B2649" t="str">
            <v>16-251-07-01</v>
          </cell>
          <cell r="C2649" t="str">
            <v>RINGSTRIPPER, RUND, Ø 7,0 MM, 50 CM</v>
          </cell>
          <cell r="D2649" t="str">
            <v>RING STRIPPER,  ROUND, Ø 7.0 MM, 50 CM</v>
          </cell>
        </row>
        <row r="2650">
          <cell r="B2650" t="str">
            <v>16-251-08-01</v>
          </cell>
          <cell r="C2650" t="str">
            <v>RINGSTRIPPER, RUND, Ø 8 MM, 50 CM</v>
          </cell>
          <cell r="D2650" t="str">
            <v>RING STRIPPER,  ROUND, Ø 8 MM, 50 CM</v>
          </cell>
        </row>
        <row r="2651">
          <cell r="B2651" t="str">
            <v>16-251-10-01</v>
          </cell>
          <cell r="C2651" t="str">
            <v>RINGSTRIPPER, RUND, Ø 10,0 MM, 50 CM</v>
          </cell>
          <cell r="D2651" t="str">
            <v>RING STRIPPER,  ROUND, Ø 10.0 MM, 50 CM</v>
          </cell>
        </row>
        <row r="2652">
          <cell r="B2652" t="str">
            <v>16-251-12-01</v>
          </cell>
          <cell r="C2652" t="str">
            <v>RINGSTRIPPER, RUND, Ø 12,0 MM, 50 CM</v>
          </cell>
          <cell r="D2652" t="str">
            <v>RING STRIPPER,  ROUND, Ø 12.0 MM, 50 CM</v>
          </cell>
        </row>
        <row r="2653">
          <cell r="B2653" t="str">
            <v>16-251-14-01</v>
          </cell>
          <cell r="C2653" t="str">
            <v>RINGSTRIPPER, RUND, Ø 14,0 MM, 50 CM</v>
          </cell>
          <cell r="D2653" t="str">
            <v>RING STRIPPER,  ROUND, Ø 14.0 MM, 50 CM</v>
          </cell>
        </row>
        <row r="2654">
          <cell r="B2654" t="str">
            <v>16-251-30-01</v>
          </cell>
          <cell r="C2654" t="str">
            <v>HANDGRIFF F. RINGSTRIPPER, RUND, 11,5 CM</v>
          </cell>
          <cell r="D2654" t="str">
            <v>HANDLE F. STRIPPERS,  ROUND, 11.5 CM</v>
          </cell>
        </row>
        <row r="2655">
          <cell r="B2655" t="str">
            <v>16-420-12-01</v>
          </cell>
          <cell r="C2655" t="str">
            <v>WATTETRÄGER, FARRELL,  Ø 0,9 MM, 12 CM</v>
          </cell>
          <cell r="D2655" t="str">
            <v>COTTON APPLIC., FARELL, Ø 0.9 MM, 12 CM</v>
          </cell>
        </row>
        <row r="2656">
          <cell r="B2656" t="str">
            <v>16-420-14-01</v>
          </cell>
          <cell r="C2656" t="str">
            <v>WATTETRÄGER, FARRELL,  Ø 0,9 MM, 14 CM</v>
          </cell>
          <cell r="D2656" t="str">
            <v>COTTON APPLIC., FARELL, Ø 0.9 MM, 14 CM</v>
          </cell>
        </row>
        <row r="2657">
          <cell r="B2657" t="str">
            <v>16-420-16-01</v>
          </cell>
          <cell r="C2657" t="str">
            <v>WATTETRÄGER, FARRELL,  Ø 0,9 MM, 16 CM</v>
          </cell>
          <cell r="D2657" t="str">
            <v>COTTON APPLIC., FARELL, Ø 0.9 MM, 16 CM</v>
          </cell>
        </row>
        <row r="2658">
          <cell r="B2658" t="str">
            <v>17-185-21-01</v>
          </cell>
          <cell r="C2658" t="str">
            <v>MI BI-TAP, Hammer,  22 cm</v>
          </cell>
          <cell r="D2658" t="str">
            <v>MI BI-TAP, Hammer,  22 cm</v>
          </cell>
        </row>
        <row r="2659">
          <cell r="B2659" t="str">
            <v>17-400-01-04</v>
          </cell>
          <cell r="C2659" t="str">
            <v>MARTIN-VIGORIMETER, KOMPL.</v>
          </cell>
          <cell r="D2659" t="str">
            <v>MARTIN-VIGORIMETER, COMPLETE</v>
          </cell>
        </row>
        <row r="2660">
          <cell r="B2660" t="str">
            <v>17-400-01-22</v>
          </cell>
          <cell r="C2660" t="str">
            <v>VIGORIMETER, MIT KALIBRIERUNG/DAKKS-ZERT</v>
          </cell>
          <cell r="D2660" t="str">
            <v>VIGORIMETER, WITH CALIBRATION/DAKKS-CERT</v>
          </cell>
        </row>
        <row r="2661">
          <cell r="B2661" t="str">
            <v>17-500-30-04</v>
          </cell>
          <cell r="C2661" t="str">
            <v>MedLED Gesichtsschutz, für Stirnleuchte</v>
          </cell>
          <cell r="D2661" t="str">
            <v>MedLED Face Shield, for Headlight</v>
          </cell>
        </row>
        <row r="2662">
          <cell r="B2662" t="str">
            <v>17-500-40-04</v>
          </cell>
          <cell r="C2662" t="str">
            <v>MedLED Chrome MC3, Hardtop,  kpl.</v>
          </cell>
          <cell r="D2662" t="str">
            <v>MedLED Chrome MC3, Hardtop,  cpl.</v>
          </cell>
        </row>
        <row r="2663">
          <cell r="B2663" t="str">
            <v>17-500-41-04</v>
          </cell>
          <cell r="C2663" t="str">
            <v>Leuchtkörper MC3</v>
          </cell>
          <cell r="D2663" t="str">
            <v>Bezel MC3</v>
          </cell>
        </row>
        <row r="2664">
          <cell r="B2664" t="str">
            <v>17-500-42-04</v>
          </cell>
          <cell r="C2664" t="str">
            <v>MedLED Chrome MC3, Softtop, kpl.</v>
          </cell>
          <cell r="D2664" t="str">
            <v>MedLED Chrome MC3, Softtop, cpl.</v>
          </cell>
        </row>
        <row r="2665">
          <cell r="B2665" t="str">
            <v>17-500-50-04</v>
          </cell>
          <cell r="C2665" t="str">
            <v>MedLED Chrome MC6, Hardtop,  kpl.</v>
          </cell>
          <cell r="D2665" t="str">
            <v>MedLED Chrome MC6, Hardtop,  cpl.</v>
          </cell>
        </row>
        <row r="2666">
          <cell r="B2666" t="str">
            <v>17-500-51-04</v>
          </cell>
          <cell r="C2666" t="str">
            <v>Leuchtkörper MC6</v>
          </cell>
          <cell r="D2666" t="str">
            <v>Bezel MC6</v>
          </cell>
        </row>
        <row r="2667">
          <cell r="B2667" t="str">
            <v>17-500-52-04</v>
          </cell>
          <cell r="C2667" t="str">
            <v>MedLED Chrome MC6, Softtop, kpl.</v>
          </cell>
          <cell r="D2667" t="str">
            <v>MedLED Chrome MC6, Softtop, cpl.</v>
          </cell>
        </row>
        <row r="2668">
          <cell r="B2668" t="str">
            <v>17-500-60-04</v>
          </cell>
          <cell r="C2668" t="str">
            <v>MedLED Chrome MC7 PRO, Hardtop,  kpl.</v>
          </cell>
          <cell r="D2668" t="str">
            <v>MedLED Chrome MC7 PRO, Hardtop,  cpl.</v>
          </cell>
        </row>
        <row r="2669">
          <cell r="B2669" t="str">
            <v>17-500-61-04</v>
          </cell>
          <cell r="C2669" t="str">
            <v>Leuchtkörper MC7 PRO</v>
          </cell>
          <cell r="D2669" t="str">
            <v>Bezel MC7 PRO</v>
          </cell>
        </row>
        <row r="2670">
          <cell r="B2670" t="str">
            <v>17-500-62-04</v>
          </cell>
          <cell r="C2670" t="str">
            <v>MedLED Chrome MC7 PRO, Softtop, kpl.</v>
          </cell>
          <cell r="D2670" t="str">
            <v>MedLED Chrome MC7 PRO, Softtop, cpl.</v>
          </cell>
        </row>
        <row r="2671">
          <cell r="B2671" t="str">
            <v>17-500-70-04</v>
          </cell>
          <cell r="C2671" t="str">
            <v>MedLED Chrome MC3/6/7  PRO, Hardtop,  kpl.</v>
          </cell>
          <cell r="D2671" t="str">
            <v>MedLED Chrome MC3/6/7  PRO, Hardtop,  cpl.</v>
          </cell>
        </row>
        <row r="2672">
          <cell r="B2672" t="str">
            <v>17-500-72-04</v>
          </cell>
          <cell r="C2672" t="str">
            <v>MedLED Chrome MC3/6/7  PRO, Softtop, kpl.</v>
          </cell>
          <cell r="D2672" t="str">
            <v>MedLED Chrome MC3/6/7  PRO, Softtop, cpl.</v>
          </cell>
        </row>
        <row r="2673">
          <cell r="B2673" t="str">
            <v>17-500-98-04</v>
          </cell>
          <cell r="C2673" t="str">
            <v>MedLed Chrome, "Demo-Kit"</v>
          </cell>
          <cell r="D2673" t="str">
            <v>MedLed Chrome, "Demo-Kit"</v>
          </cell>
        </row>
        <row r="2674">
          <cell r="B2674" t="str">
            <v>17-501-00-04</v>
          </cell>
          <cell r="C2674" t="str">
            <v>MedLED Gesichtsschutz</v>
          </cell>
          <cell r="D2674" t="str">
            <v>MedLED Face Shield</v>
          </cell>
        </row>
        <row r="2675">
          <cell r="B2675" t="str">
            <v>17-510-30-04</v>
          </cell>
          <cell r="C2675" t="str">
            <v>MedLED Spectra, Standard  Kit, G3</v>
          </cell>
          <cell r="D2675" t="str">
            <v>MedLED Spectra, Standard  Kit, G3</v>
          </cell>
        </row>
        <row r="2676">
          <cell r="B2676" t="str">
            <v>17-510-31-04</v>
          </cell>
          <cell r="C2676" t="str">
            <v>MedLED Spectra, Krankenhaus Kit, G3</v>
          </cell>
          <cell r="D2676" t="str">
            <v>MedLED Spectra, Hospital Kit, G3</v>
          </cell>
        </row>
        <row r="2677">
          <cell r="B2677" t="str">
            <v>17-510-32-04</v>
          </cell>
          <cell r="C2677" t="str">
            <v>MedLED Spectra, Leuchtkörper allein, G3</v>
          </cell>
          <cell r="D2677" t="str">
            <v>MedLED Spectra, Bezel only, G3</v>
          </cell>
        </row>
        <row r="2678">
          <cell r="B2678" t="str">
            <v>17-510-60-04</v>
          </cell>
          <cell r="C2678" t="str">
            <v>MedLED Spectra, Standard  Kit, G6</v>
          </cell>
          <cell r="D2678" t="str">
            <v>MedLED Spectra, Standard  Kit, G6</v>
          </cell>
        </row>
        <row r="2679">
          <cell r="B2679" t="str">
            <v>17-510-61-04</v>
          </cell>
          <cell r="C2679" t="str">
            <v>MedLED Spectra, Krankenhaus Kit, G6</v>
          </cell>
          <cell r="D2679" t="str">
            <v>MedLED Spectra, Hospital Kit, G6</v>
          </cell>
        </row>
        <row r="2680">
          <cell r="B2680" t="str">
            <v>17-510-62-04</v>
          </cell>
          <cell r="C2680" t="str">
            <v>MedLED Spectra, Leuchtkörper allein, G6</v>
          </cell>
          <cell r="D2680" t="str">
            <v>MedLED Spectra, Bezel only, G6</v>
          </cell>
        </row>
        <row r="2681">
          <cell r="B2681" t="str">
            <v>17-510-80-04</v>
          </cell>
          <cell r="C2681" t="str">
            <v>MedLED Spectra, Standard  Kit, G8</v>
          </cell>
          <cell r="D2681" t="str">
            <v>MedLED Spectra, Standard  Kit, G8</v>
          </cell>
        </row>
        <row r="2682">
          <cell r="B2682" t="str">
            <v>17-510-81-04</v>
          </cell>
          <cell r="C2682" t="str">
            <v>MedLED Spectra, Krankenhaus Kit, G8</v>
          </cell>
          <cell r="D2682" t="str">
            <v>MedLED Spectra, Hospital Kit, G8</v>
          </cell>
        </row>
        <row r="2683">
          <cell r="B2683" t="str">
            <v>17-510-82-04</v>
          </cell>
          <cell r="C2683" t="str">
            <v>MedLED Spectra, Leuchtkörper allein, G8</v>
          </cell>
          <cell r="D2683" t="str">
            <v>MedLED Spectra, Bezel only, G8</v>
          </cell>
        </row>
        <row r="2684">
          <cell r="B2684" t="str">
            <v>18-100-00-04</v>
          </cell>
          <cell r="C2684" t="str">
            <v>Handgriff,  SV, m. Schiebeventil</v>
          </cell>
          <cell r="D2684" t="str">
            <v>Handle, FC, w. slide valve</v>
          </cell>
        </row>
        <row r="2685">
          <cell r="B2685" t="str">
            <v>18-100-01-04</v>
          </cell>
          <cell r="C2685" t="str">
            <v>Handgriff,  SV, m. Finger Stop</v>
          </cell>
          <cell r="D2685" t="str">
            <v>Handle, FC, w. finger stop</v>
          </cell>
        </row>
        <row r="2686">
          <cell r="B2686" t="str">
            <v>18-100-02-04</v>
          </cell>
          <cell r="C2686" t="str">
            <v>Handgriff,  SV, o. Finger Stop</v>
          </cell>
          <cell r="D2686" t="str">
            <v>Handle, FC, w/o. finger stop</v>
          </cell>
        </row>
        <row r="2687">
          <cell r="B2687" t="str">
            <v>18-100-03-04</v>
          </cell>
          <cell r="C2687" t="str">
            <v>Handgriff,  LL, m. Schiebeventil</v>
          </cell>
          <cell r="D2687" t="str">
            <v>Handle, LL, w. slide valve</v>
          </cell>
        </row>
        <row r="2688">
          <cell r="B2688" t="str">
            <v>18-100-04-04</v>
          </cell>
          <cell r="C2688" t="str">
            <v>Handgriff,  LL, m. Finger Stop</v>
          </cell>
          <cell r="D2688" t="str">
            <v>Handle, LL, w. finger stop</v>
          </cell>
        </row>
        <row r="2689">
          <cell r="B2689" t="str">
            <v>18-100-05-04</v>
          </cell>
          <cell r="C2689" t="str">
            <v>Handgriff,  LL, o. Finger Stop</v>
          </cell>
          <cell r="D2689" t="str">
            <v>Handle, LL, w/o. finger stop</v>
          </cell>
        </row>
        <row r="2690">
          <cell r="B2690" t="str">
            <v>18-100-10-07</v>
          </cell>
          <cell r="C2690" t="str">
            <v>Kanüle, Lipo, Triport, LL, Ø1,7mm,  5cm</v>
          </cell>
          <cell r="D2690" t="str">
            <v>Cannula,  Lipo, Triport, LL, Ø1,7mm,  5cm</v>
          </cell>
        </row>
        <row r="2691">
          <cell r="B2691" t="str">
            <v>18-100-11-07</v>
          </cell>
          <cell r="C2691" t="str">
            <v>Kanüle, Lipo, Triport, SV, Ø1,7mm,  5cm</v>
          </cell>
          <cell r="D2691" t="str">
            <v>Cannula,  Lipo, Triport, FC, Ø1,7mm,  5cm</v>
          </cell>
        </row>
        <row r="2692">
          <cell r="B2692" t="str">
            <v>18-100-12-07</v>
          </cell>
          <cell r="C2692" t="str">
            <v>Kanüle, Lipo, Triport, LL, Ø1,7mm,  15cm</v>
          </cell>
          <cell r="D2692" t="str">
            <v>Cannula,  Lipo, Triport, LL, Ø1,7mm,  15cm</v>
          </cell>
        </row>
        <row r="2693">
          <cell r="B2693" t="str">
            <v>18-100-13-07</v>
          </cell>
          <cell r="C2693" t="str">
            <v>Kanüle, Lipo, Triport, SV, Ø1,7mm,  15cm</v>
          </cell>
          <cell r="D2693" t="str">
            <v>Cannula,  Lipo, Triport, FC, Ø1,7mm,  15cm</v>
          </cell>
        </row>
        <row r="2694">
          <cell r="B2694" t="str">
            <v>18-100-14-07</v>
          </cell>
          <cell r="C2694" t="str">
            <v>Kanüle, Lipo, Triport, LL, Ø2,0mm,  5cm</v>
          </cell>
          <cell r="D2694" t="str">
            <v>Cannula,  Lipo, Triport, LL, Ø2,0mm,  5cm</v>
          </cell>
        </row>
        <row r="2695">
          <cell r="B2695" t="str">
            <v>18-100-15-07</v>
          </cell>
          <cell r="C2695" t="str">
            <v>Kanüle, Lipo, Triport, SV, Ø2,0mm,  5cm</v>
          </cell>
          <cell r="D2695" t="str">
            <v>Cannula,  Lipo, Triport, FC, Ø2,0mm,  5cm</v>
          </cell>
        </row>
        <row r="2696">
          <cell r="B2696" t="str">
            <v>18-100-16-07</v>
          </cell>
          <cell r="C2696" t="str">
            <v>Kanüle, Lipo, Triport, LL, Ø2,0mm,  15cm</v>
          </cell>
          <cell r="D2696" t="str">
            <v>Cannula,  Lipo, Triport, LL, Ø2,0mm,  15cm</v>
          </cell>
        </row>
        <row r="2697">
          <cell r="B2697" t="str">
            <v>18-100-17-07</v>
          </cell>
          <cell r="C2697" t="str">
            <v>Kanüle, Lipo, Triport, SV, Ø2,0mm,  15cm</v>
          </cell>
          <cell r="D2697" t="str">
            <v>Cannula,  Lipo, Triport, FC, Ø2,0mm,  15cm</v>
          </cell>
        </row>
        <row r="2698">
          <cell r="B2698" t="str">
            <v>18-100-18-07</v>
          </cell>
          <cell r="C2698" t="str">
            <v>Kanüle, Lipo, Triport, LL, Ø3,0mm,  5cm</v>
          </cell>
          <cell r="D2698" t="str">
            <v>Cannula,  Lipo, Triport, LL, Ø3,0mm,  5cm</v>
          </cell>
        </row>
        <row r="2699">
          <cell r="B2699" t="str">
            <v>18-100-19-07</v>
          </cell>
          <cell r="C2699" t="str">
            <v>Kanüle, Lipo, Triport, SV, Ø3,0mm,  5cm</v>
          </cell>
          <cell r="D2699" t="str">
            <v>Cannula,  Lipo, Triport, FC, Ø3,0mm,  5cm</v>
          </cell>
        </row>
        <row r="2700">
          <cell r="B2700" t="str">
            <v>18-100-20-07</v>
          </cell>
          <cell r="C2700" t="str">
            <v>Kanüle, Lipo, Triport, LL, Ø3,0mm,  15cm</v>
          </cell>
          <cell r="D2700" t="str">
            <v>Cannula,  Lipo, Triport, LL, Ø3,0mm,  15cm</v>
          </cell>
        </row>
        <row r="2701">
          <cell r="B2701" t="str">
            <v>18-100-21-07</v>
          </cell>
          <cell r="C2701" t="str">
            <v>Kanüle, Lipo, Triport, SV, Ø3,0mm,  15cm</v>
          </cell>
          <cell r="D2701" t="str">
            <v>Cannula,  Lipo, Triport, FC, Ø3,0mm,  15cm</v>
          </cell>
        </row>
        <row r="2702">
          <cell r="B2702" t="str">
            <v>18-100-22-07</v>
          </cell>
          <cell r="C2702" t="str">
            <v>Kanüle, Lipo, Triport, LL, Ø3,0mm,  20cm</v>
          </cell>
          <cell r="D2702" t="str">
            <v>Cannula,  Lipo, Triport, LL, Ø3,0mm,  20cm</v>
          </cell>
        </row>
        <row r="2703">
          <cell r="B2703" t="str">
            <v>18-100-23-07</v>
          </cell>
          <cell r="C2703" t="str">
            <v>Kanüle, Lipo, Triport, SV, Ø3,0mm,  20cm</v>
          </cell>
          <cell r="D2703" t="str">
            <v>Cannula,  Lipo, Triport, FC, Ø3,0mm,  20cm</v>
          </cell>
        </row>
        <row r="2704">
          <cell r="B2704" t="str">
            <v>18-100-24-07</v>
          </cell>
          <cell r="C2704" t="str">
            <v>Kanüle, Lipo, Triport, LL, Ø3,0mm,  30cm</v>
          </cell>
          <cell r="D2704" t="str">
            <v>Cannula,  Lipo, Triport, LL, Ø3,0mm,  30cm</v>
          </cell>
        </row>
        <row r="2705">
          <cell r="B2705" t="str">
            <v>18-100-25-07</v>
          </cell>
          <cell r="C2705" t="str">
            <v>Kanüle, Lipo, Triport, SV, Ø3,0mm,  30cm</v>
          </cell>
          <cell r="D2705" t="str">
            <v>Cannula,  Lipo, Triport, FC, Ø3,0mm,  30cm</v>
          </cell>
        </row>
        <row r="2706">
          <cell r="B2706" t="str">
            <v>18-100-30-07</v>
          </cell>
          <cell r="C2706" t="str">
            <v>Kanüle, Lipo, Monoport,  LL, Ø1,7mm,  5cm</v>
          </cell>
          <cell r="D2706" t="str">
            <v>Can., Lipo, Monoport,  LL, Ø1,7mm,  5cm</v>
          </cell>
        </row>
        <row r="2707">
          <cell r="B2707" t="str">
            <v>18-100-31-07</v>
          </cell>
          <cell r="C2707" t="str">
            <v>Kanüle, Lipo, Monoport,  SV, Ø1,7mm,  5cm</v>
          </cell>
          <cell r="D2707" t="str">
            <v>Can., Lipo, Monoport,  FC, Ø1,7mm,  5cm</v>
          </cell>
        </row>
        <row r="2708">
          <cell r="B2708" t="str">
            <v>18-100-32-07</v>
          </cell>
          <cell r="C2708" t="str">
            <v>Kanüle, Lipo, Monoport,  LL, Ø1,7mm,  15cm</v>
          </cell>
          <cell r="D2708" t="str">
            <v>Can., Lipo, Monoport,  LL, Ø1,7mm,  15cm</v>
          </cell>
        </row>
        <row r="2709">
          <cell r="B2709" t="str">
            <v>18-100-33-07</v>
          </cell>
          <cell r="C2709" t="str">
            <v>Kanüle, Lipo, Monoport,  SV, Ø1,7mm,  15cm</v>
          </cell>
          <cell r="D2709" t="str">
            <v>Can., Lipo, Monoport,  FC, Ø1,7mm,  15cm</v>
          </cell>
        </row>
        <row r="2710">
          <cell r="B2710" t="str">
            <v>18-100-34-07</v>
          </cell>
          <cell r="C2710" t="str">
            <v>Kanüle, Lipo, Monoport,  LL, Ø2,0mm,  5cm</v>
          </cell>
          <cell r="D2710" t="str">
            <v>Can., Lipo, Monoport,  LL, Ø2,0mm,  5cm</v>
          </cell>
        </row>
        <row r="2711">
          <cell r="B2711" t="str">
            <v>18-100-35-07</v>
          </cell>
          <cell r="C2711" t="str">
            <v>Kanüle, Lipo, Monoport,  SV, Ø2,0mm,  5cm</v>
          </cell>
          <cell r="D2711" t="str">
            <v>Can., Lipo, Monoport,  FC, Ø2,0mm,  5cm</v>
          </cell>
        </row>
        <row r="2712">
          <cell r="B2712" t="str">
            <v>18-100-36-07</v>
          </cell>
          <cell r="C2712" t="str">
            <v>Kanüle, Lipo, Monoport,  LL, Ø2,0mm,  15cm</v>
          </cell>
          <cell r="D2712" t="str">
            <v>Can., Lipo, Monoport,  LL, Ø2,0mm,  15cm</v>
          </cell>
        </row>
        <row r="2713">
          <cell r="B2713" t="str">
            <v>18-100-37-07</v>
          </cell>
          <cell r="C2713" t="str">
            <v>Kanüle, Lipo, Monoport,  SV, Ø2,0mm,  15cm</v>
          </cell>
          <cell r="D2713" t="str">
            <v>Can., Lipo, Monoport,  FC, Ø2,0mm,  15cm</v>
          </cell>
        </row>
        <row r="2714">
          <cell r="B2714" t="str">
            <v>18-100-38-07</v>
          </cell>
          <cell r="C2714" t="str">
            <v>Kanüle, Lipo, Monoport,  LL, Ø3,0mm,  5cm</v>
          </cell>
          <cell r="D2714" t="str">
            <v>Can., Lipo, Monoport,  LL, Ø3,0mm,  5cm</v>
          </cell>
        </row>
        <row r="2715">
          <cell r="B2715" t="str">
            <v>18-100-39-07</v>
          </cell>
          <cell r="C2715" t="str">
            <v>Kanüle, Lipo, Monoport,  SV, Ø3,0mm,  5cm</v>
          </cell>
          <cell r="D2715" t="str">
            <v>Can., Lipo, Monoport,  FC, Ø3,0mm,  5cm</v>
          </cell>
        </row>
        <row r="2716">
          <cell r="B2716" t="str">
            <v>18-100-40-07</v>
          </cell>
          <cell r="C2716" t="str">
            <v>Kanüle, Lipo, Monoport,  LL, Ø3,0mm,  15cm</v>
          </cell>
          <cell r="D2716" t="str">
            <v>Can., Lipo, Monoport,  LL, Ø3,0mm,  15cm</v>
          </cell>
        </row>
        <row r="2717">
          <cell r="B2717" t="str">
            <v>18-100-41-07</v>
          </cell>
          <cell r="C2717" t="str">
            <v>Kanüle, Lipo, Monoport,  SV, Ø3,0mm,  15cm</v>
          </cell>
          <cell r="D2717" t="str">
            <v>Can., Lipo, Monoport,  FC, Ø3,0mm,  15cm</v>
          </cell>
        </row>
        <row r="2718">
          <cell r="B2718" t="str">
            <v>18-100-42-07</v>
          </cell>
          <cell r="C2718" t="str">
            <v>Kanüle, Lipo, Monoport,  LL, Ø3,0mm,  20cm</v>
          </cell>
          <cell r="D2718" t="str">
            <v>Can., Lipo, Monoport,  LL, Ø3,0mm,  20cm</v>
          </cell>
        </row>
        <row r="2719">
          <cell r="B2719" t="str">
            <v>18-100-43-07</v>
          </cell>
          <cell r="C2719" t="str">
            <v>Kanüle, Lipo, Monoport,  SV, Ø3,0mm,  20cm</v>
          </cell>
          <cell r="D2719" t="str">
            <v>Can., Lipo, Monoport,  FC, Ø3,0mm,  20cm</v>
          </cell>
        </row>
        <row r="2720">
          <cell r="B2720" t="str">
            <v>18-100-44-07</v>
          </cell>
          <cell r="C2720" t="str">
            <v>Kanüle, Lipo, Monoport,  LL, Ø3,0mm,  30cm</v>
          </cell>
          <cell r="D2720" t="str">
            <v>Can., Lipo, Monoport,  LL, Ø3,0mm,  30cm</v>
          </cell>
        </row>
        <row r="2721">
          <cell r="B2721" t="str">
            <v>18-100-45-07</v>
          </cell>
          <cell r="C2721" t="str">
            <v>Kanüle, Lipo, Monoport,  SV, Ø3,0mm,  30cm</v>
          </cell>
          <cell r="D2721" t="str">
            <v>Can., Lipo, Monoport,  FC, Ø3,0mm,  30cm</v>
          </cell>
        </row>
        <row r="2722">
          <cell r="B2722" t="str">
            <v>18-100-50-07</v>
          </cell>
          <cell r="C2722" t="str">
            <v>Kanüle, Lipo, Mercedes,  SV, Ø3,0mm,  15cm</v>
          </cell>
          <cell r="D2722" t="str">
            <v>Can., Lipo, Mercedes,  FC, Ø3,0mm,  15cm</v>
          </cell>
        </row>
        <row r="2723">
          <cell r="B2723" t="str">
            <v>18-100-51-07</v>
          </cell>
          <cell r="C2723" t="str">
            <v>Kanüle, Lipo, Mercedes,  SV, Ø3,0mm,  20cm</v>
          </cell>
          <cell r="D2723" t="str">
            <v>Can., Lipo, Mercedes,  FC, Ø3,0mm,  20cm</v>
          </cell>
        </row>
        <row r="2724">
          <cell r="B2724" t="str">
            <v>18-100-52-07</v>
          </cell>
          <cell r="C2724" t="str">
            <v>Kanüle, Lipo, Mercedes,  SV, Ø3,0mm,  25cm</v>
          </cell>
          <cell r="D2724" t="str">
            <v>Can., Lipo, Mercedes,  FC, Ø3,0mm,  25cm</v>
          </cell>
        </row>
        <row r="2725">
          <cell r="B2725" t="str">
            <v>18-100-53-07</v>
          </cell>
          <cell r="C2725" t="str">
            <v>Kanüle, Lipo, Mercedes,  SV, Ø4,0mm,  15cm</v>
          </cell>
          <cell r="D2725" t="str">
            <v>Can., Lipo, Mercedes,  FC, Ø4,0mm,  15cm</v>
          </cell>
        </row>
        <row r="2726">
          <cell r="B2726" t="str">
            <v>18-100-54-07</v>
          </cell>
          <cell r="C2726" t="str">
            <v>Kanüle, Lipo, Mercedes,  SV, Ø4,0mm,  20cm</v>
          </cell>
          <cell r="D2726" t="str">
            <v>Can., Lipo, Mercedes,  FC, Ø4,0mm,  20cm</v>
          </cell>
        </row>
        <row r="2727">
          <cell r="B2727" t="str">
            <v>18-100-55-07</v>
          </cell>
          <cell r="C2727" t="str">
            <v>Kanüle, Lipo, Mercedes,  SV, Ø4,0mm,  25cm</v>
          </cell>
          <cell r="D2727" t="str">
            <v>Can., Lipo, Mercedes,  FC, Ø4,0mm,  25cm</v>
          </cell>
        </row>
        <row r="2728">
          <cell r="B2728" t="str">
            <v>18-100-60-07</v>
          </cell>
          <cell r="C2728" t="str">
            <v>Kanüle, Lipo, Spirale, SV, Ø3,0mm,  20cm</v>
          </cell>
          <cell r="D2728" t="str">
            <v>Cannula,  Lipo, Spirale, FC, Ø3,0mm,  20cm</v>
          </cell>
        </row>
        <row r="2729">
          <cell r="B2729" t="str">
            <v>18-100-61-07</v>
          </cell>
          <cell r="C2729" t="str">
            <v>Kanüle, Lipo, Spirale, SV, Ø3,0mm,  30cm</v>
          </cell>
          <cell r="D2729" t="str">
            <v>Cannula,  Lipo, Spirale, FC, Ø3,0mm,  30cm</v>
          </cell>
        </row>
        <row r="2730">
          <cell r="B2730" t="str">
            <v>18-100-62-07</v>
          </cell>
          <cell r="C2730" t="str">
            <v>Kanüle, Lipo, Spirale, SV, Ø4,0mm,  20cm</v>
          </cell>
          <cell r="D2730" t="str">
            <v>Cannula,  Lipo, Spirale, FC, Ø4,0mm,  20cm</v>
          </cell>
        </row>
        <row r="2731">
          <cell r="B2731" t="str">
            <v>18-100-63-07</v>
          </cell>
          <cell r="C2731" t="str">
            <v>Kanüle, Lipo, Spirale, SV, Ø4,0mm,  30cm</v>
          </cell>
          <cell r="D2731" t="str">
            <v>Cannula,  Lipo, Spirale, FC, Ø4,0mm,  30cm</v>
          </cell>
        </row>
        <row r="2732">
          <cell r="B2732" t="str">
            <v>18-100-64-07</v>
          </cell>
          <cell r="C2732" t="str">
            <v>Kanüle, Lipo, Spirale, SV, Ø4,0mm,  40cm</v>
          </cell>
          <cell r="D2732" t="str">
            <v>Cannula,  Lipo, Spirale, FC, Ø4,0mm,  40cm</v>
          </cell>
        </row>
        <row r="2733">
          <cell r="B2733" t="str">
            <v>18-100-65-07</v>
          </cell>
          <cell r="C2733" t="str">
            <v>Kanüle, Lipo, Spirale, SV, Ø5,0mm,  30cm</v>
          </cell>
          <cell r="D2733" t="str">
            <v>Cannula,  Lipo, Spirale, FC, Ø5,0mm,  30cm</v>
          </cell>
        </row>
        <row r="2734">
          <cell r="B2734" t="str">
            <v>18-100-66-07</v>
          </cell>
          <cell r="C2734" t="str">
            <v>Kanüle, Lipo, Spirale, SV, Ø5,0mm,  40cm</v>
          </cell>
          <cell r="D2734" t="str">
            <v>Cannula,  Lipo, Spirale, FC, Ø5,0mm,  40cm</v>
          </cell>
        </row>
        <row r="2735">
          <cell r="B2735" t="str">
            <v>18-100-67-07</v>
          </cell>
          <cell r="C2735" t="str">
            <v>Kanüle, Lipo, Spirale, SV, Ø6,0mm,  30cm</v>
          </cell>
          <cell r="D2735" t="str">
            <v>Cannula,  Lipo, Spirale, FC, Ø6,0mm,  30cm</v>
          </cell>
        </row>
        <row r="2736">
          <cell r="B2736" t="str">
            <v>18-100-68-07</v>
          </cell>
          <cell r="C2736" t="str">
            <v>Kanüle, Lipo, Spirale, SV, Ø6,0mm,  40cm</v>
          </cell>
          <cell r="D2736" t="str">
            <v>Cannula,  Lipo, Spirale, FC, Ø6,0mm,  40cm</v>
          </cell>
        </row>
        <row r="2737">
          <cell r="B2737" t="str">
            <v>18-100-70-07</v>
          </cell>
          <cell r="C2737" t="str">
            <v>Kanüle, Lipo, Shark, SV, Ø2,0mm,  5cm</v>
          </cell>
          <cell r="D2737" t="str">
            <v>Cannula,  Lipo, Shark, FC, Ø2,0mm,  5cm</v>
          </cell>
        </row>
        <row r="2738">
          <cell r="B2738" t="str">
            <v>18-100-71-07</v>
          </cell>
          <cell r="C2738" t="str">
            <v>Kanüle, Lipo, Shark, SV, Ø2,0mm,  15cm</v>
          </cell>
          <cell r="D2738" t="str">
            <v>Cannula,  Lipo, Shark, FC, Ø2,0mm,  15cm</v>
          </cell>
        </row>
        <row r="2739">
          <cell r="B2739" t="str">
            <v>18-100-72-07</v>
          </cell>
          <cell r="C2739" t="str">
            <v>Kanüle, Lipo, Shark, SV, Ø3,0mm,  5cm</v>
          </cell>
          <cell r="D2739" t="str">
            <v>Cannula,  Lipo, Shark, FC, Ø3,0mm,  5cm</v>
          </cell>
        </row>
        <row r="2740">
          <cell r="B2740" t="str">
            <v>18-100-73-07</v>
          </cell>
          <cell r="C2740" t="str">
            <v>Kanüle, Lipo, Shark, SV, Ø3,0mm,  15cm</v>
          </cell>
          <cell r="D2740" t="str">
            <v>Cannula,  Lipo, Shark, FC, Ø3,0mm,  15cm</v>
          </cell>
        </row>
        <row r="2741">
          <cell r="B2741" t="str">
            <v>18-100-74-07</v>
          </cell>
          <cell r="C2741" t="str">
            <v>Kanüle, Lipo, Shark, SV, Ø3,0mm,  25cm</v>
          </cell>
          <cell r="D2741" t="str">
            <v>Cannula,  Lipo, Shark, FC, Ø3,0mm,  25cm</v>
          </cell>
        </row>
        <row r="2742">
          <cell r="B2742" t="str">
            <v>18-100-75-07</v>
          </cell>
          <cell r="C2742" t="str">
            <v>Kanüle, Lipo, Shark, SV, Ø3,0mm,  30cm</v>
          </cell>
          <cell r="D2742" t="str">
            <v>Cannula,  Lipo, Shark, FC, Ø3,0mm,  30cm</v>
          </cell>
        </row>
        <row r="2743">
          <cell r="B2743" t="str">
            <v>18-100-76-07</v>
          </cell>
          <cell r="C2743" t="str">
            <v>Kanüle, Lipo, Shark, SV, Ø4,0mm,  5cm</v>
          </cell>
          <cell r="D2743" t="str">
            <v>Cannula,  Lipo, Shark, FC, Ø4,0mm,  5cm</v>
          </cell>
        </row>
        <row r="2744">
          <cell r="B2744" t="str">
            <v>18-100-77-07</v>
          </cell>
          <cell r="C2744" t="str">
            <v>Kanüle, Lipo, Shark, SV, Ø4,0mm,  15cm</v>
          </cell>
          <cell r="D2744" t="str">
            <v>Cannula,  Lipo, Shark, FC, Ø4,0mm,  15cm</v>
          </cell>
        </row>
        <row r="2745">
          <cell r="B2745" t="str">
            <v>18-100-78-07</v>
          </cell>
          <cell r="C2745" t="str">
            <v>Kanüle, Lipo, Shark, SV, Ø4,0mm,  25cm</v>
          </cell>
          <cell r="D2745" t="str">
            <v>Cannula,  Lipo, Shark, FC, Ø4,0mm,  25cm</v>
          </cell>
        </row>
        <row r="2746">
          <cell r="B2746" t="str">
            <v>18-100-79-07</v>
          </cell>
          <cell r="C2746" t="str">
            <v>Kanüle, Lipo, Shark, SV, Ø4,0mm,  30cm</v>
          </cell>
          <cell r="D2746" t="str">
            <v>Cannula,  Lipo, Shark, FC, Ø4,0mm,  30cm</v>
          </cell>
        </row>
        <row r="2747">
          <cell r="B2747" t="str">
            <v>18-100-80-07</v>
          </cell>
          <cell r="C2747" t="str">
            <v>Kanüle, Lipo, Shark, SV, Ø5,0mm,  30cm</v>
          </cell>
          <cell r="D2747" t="str">
            <v>Cannula,  Lipo, Shark, FC, Ø5,0mm,  30cm</v>
          </cell>
        </row>
        <row r="2748">
          <cell r="B2748" t="str">
            <v>18-100-81-07</v>
          </cell>
          <cell r="C2748" t="str">
            <v>Kanüle, Lipo, Shark, SV, Ø6,0mm,  30cm</v>
          </cell>
          <cell r="D2748" t="str">
            <v>Cannula,  Lipo, Shark, FC, Ø6,0mm,  30cm</v>
          </cell>
        </row>
        <row r="2749">
          <cell r="B2749" t="str">
            <v>18-100-90-07</v>
          </cell>
          <cell r="C2749" t="str">
            <v>Kan., Inf., 22 L, LL, Ø3,0mm,  20cm</v>
          </cell>
          <cell r="D2749" t="str">
            <v>Can., Inf., 22 L, LL, Ø3,0mm,  20cm</v>
          </cell>
        </row>
        <row r="2750">
          <cell r="B2750" t="str">
            <v>18-100-91-07</v>
          </cell>
          <cell r="C2750" t="str">
            <v>Kan., Inf., 22 L, LL, Ø4,0mm,  20cm</v>
          </cell>
          <cell r="D2750" t="str">
            <v>Can., Inf., 22 L, LL, Ø4,0mm,  20cm</v>
          </cell>
        </row>
        <row r="2751">
          <cell r="B2751" t="str">
            <v>18-100-92-07</v>
          </cell>
          <cell r="C2751" t="str">
            <v>Kan., Inf., 22 L, LL, geb, Ø3,0mm,  20cm</v>
          </cell>
          <cell r="D2751" t="str">
            <v>Can., Inf., 22 L, LL, geb, Ø3,0mm,  20cm</v>
          </cell>
        </row>
        <row r="2752">
          <cell r="B2752" t="str">
            <v>18-100-93-07</v>
          </cell>
          <cell r="C2752" t="str">
            <v>Kan., Inf., 22 L, LL, geb, Ø4,0mm,  20cm</v>
          </cell>
          <cell r="D2752" t="str">
            <v>Can., Inf., 22 L, LL, geb, Ø4,0mm,  20cm</v>
          </cell>
        </row>
        <row r="2753">
          <cell r="B2753" t="str">
            <v>18-100-94-07</v>
          </cell>
          <cell r="C2753" t="str">
            <v>Kan., Inf., 22 L, LL, baj, Ø3,0mm,  20cm</v>
          </cell>
          <cell r="D2753" t="str">
            <v>Can., Inf., 22 L, LL, baj, Ø3,0mm,  20cm</v>
          </cell>
        </row>
        <row r="2754">
          <cell r="B2754" t="str">
            <v>18-100-95-07</v>
          </cell>
          <cell r="C2754" t="str">
            <v>Kan., Inf., 22 L, LL, baj, Ø4,0mm,  20cm</v>
          </cell>
          <cell r="D2754" t="str">
            <v>Can., Inf., 22 L, LL, baj, Ø4,0mm,  20cm</v>
          </cell>
        </row>
        <row r="2755">
          <cell r="B2755" t="str">
            <v>18-110-10-07</v>
          </cell>
          <cell r="C2755" t="str">
            <v>Kanüle, Lipo, Monoport,  FG, Ø3,0mm,  15cm</v>
          </cell>
          <cell r="D2755" t="str">
            <v>Can., Lipo, Monoport,  FH, Ø3,0mm,  15cm</v>
          </cell>
        </row>
        <row r="2756">
          <cell r="B2756" t="str">
            <v>18-110-11-07</v>
          </cell>
          <cell r="C2756" t="str">
            <v>Kanüle, Lipo, Monoport,  FG, Ø3,0mm,  25cm</v>
          </cell>
          <cell r="D2756" t="str">
            <v>Can., Lipo, Monoport,  FH, Ø3,0mm,  25cm</v>
          </cell>
        </row>
        <row r="2757">
          <cell r="B2757" t="str">
            <v>18-110-12-07</v>
          </cell>
          <cell r="C2757" t="str">
            <v>Kanüle, Lipo, Monoport,  FG, Ø4,0mm,  15cm</v>
          </cell>
          <cell r="D2757" t="str">
            <v>Can., Lipo, Monoport,  FH, Ø4,0mm,  15cm</v>
          </cell>
        </row>
        <row r="2758">
          <cell r="B2758" t="str">
            <v>18-110-13-07</v>
          </cell>
          <cell r="C2758" t="str">
            <v>Kanüle, Lipo, Monoport,  FG, Ø4,0mm,  25cm</v>
          </cell>
          <cell r="D2758" t="str">
            <v>Can., Lipo, Monoport,  FH, Ø4,0mm,  25cm</v>
          </cell>
        </row>
        <row r="2759">
          <cell r="B2759" t="str">
            <v>18-110-14-07</v>
          </cell>
          <cell r="C2759" t="str">
            <v>Kanüle, Lipo, Monoport,  FG, Ø6,0mm,  15cm</v>
          </cell>
          <cell r="D2759" t="str">
            <v>Can., Lipo, Monoport,  FH, Ø6,0mm,  15cm</v>
          </cell>
        </row>
        <row r="2760">
          <cell r="B2760" t="str">
            <v>18-110-15-07</v>
          </cell>
          <cell r="C2760" t="str">
            <v>Kanüle, Lipo, Monoport,  FG, Ø6,0mm,  25cm</v>
          </cell>
          <cell r="D2760" t="str">
            <v>Can., Lipo, Monoport,  FH, Ø6,0mm,  25cm</v>
          </cell>
        </row>
        <row r="2761">
          <cell r="B2761" t="str">
            <v>18-110-16-07</v>
          </cell>
          <cell r="C2761" t="str">
            <v>Kanüle, Lipo, Monoport,  FG, Ø9,0mm,  30cm</v>
          </cell>
          <cell r="D2761" t="str">
            <v>Can., Lipo, Monoport,  FH, Ø9,0mm,  30cm</v>
          </cell>
        </row>
        <row r="2762">
          <cell r="B2762" t="str">
            <v>18-110-17-07</v>
          </cell>
          <cell r="C2762" t="str">
            <v>Kan., Lipo, Monop, FG, geb, Ø3,0mm,  15cm</v>
          </cell>
          <cell r="D2762" t="str">
            <v>Can., Lipo, Monop, FH, geb, Ø3,0mm,  15cm</v>
          </cell>
        </row>
        <row r="2763">
          <cell r="B2763" t="str">
            <v>18-110-18-07</v>
          </cell>
          <cell r="C2763" t="str">
            <v>Kan., Lipo, Monop, FG, geb, Ø3,0mm,  25cm</v>
          </cell>
          <cell r="D2763" t="str">
            <v>Can., Lipo, Monop, FH, geb, Ø3,0mm,  25cm</v>
          </cell>
        </row>
        <row r="2764">
          <cell r="B2764" t="str">
            <v>18-110-19-07</v>
          </cell>
          <cell r="C2764" t="str">
            <v>Kan., Lipo, Monop, FG, geb, Ø6,0mm,  15cm</v>
          </cell>
          <cell r="D2764" t="str">
            <v>Can., Lipo, Monop, FH, geb, Ø6,0mm,  15cm</v>
          </cell>
        </row>
        <row r="2765">
          <cell r="B2765" t="str">
            <v>18-110-20-07</v>
          </cell>
          <cell r="C2765" t="str">
            <v>Kan., Lipo, Monop, FG, geb, Ø6,0mm,  25cm</v>
          </cell>
          <cell r="D2765" t="str">
            <v>Can., Lipo, Monop, FH, geb, Ø6,0mm,  25cm</v>
          </cell>
        </row>
        <row r="2766">
          <cell r="B2766" t="str">
            <v>18-110-30-07</v>
          </cell>
          <cell r="C2766" t="str">
            <v>Kanüle, Lipo, Triport, FG, Ø4,0mm,  15cm</v>
          </cell>
          <cell r="D2766" t="str">
            <v>Cannula,  Lipo, Triport, FH, Ø4,0mm,  15cm</v>
          </cell>
        </row>
        <row r="2767">
          <cell r="B2767" t="str">
            <v>18-110-31-07</v>
          </cell>
          <cell r="C2767" t="str">
            <v>Kanüle, Lipo, Triport, FG, Ø4,0mm,  25cm</v>
          </cell>
          <cell r="D2767" t="str">
            <v>Cannula,  Lipo, Triport, FH, Ø4,0mm,  25cm</v>
          </cell>
        </row>
        <row r="2768">
          <cell r="B2768" t="str">
            <v>18-110-32-07</v>
          </cell>
          <cell r="C2768" t="str">
            <v>Kanüle, Lipo, Triport, FG, Ø6,0mm,  25cm</v>
          </cell>
          <cell r="D2768" t="str">
            <v>Cannula,  Lipo, Triport, FH, Ø6,0mm,  25cm</v>
          </cell>
        </row>
        <row r="2769">
          <cell r="B2769" t="str">
            <v>18-110-33-07</v>
          </cell>
          <cell r="C2769" t="str">
            <v>Kanüle, Lipo, Triport, FG, Ø6,0mm,  30cm</v>
          </cell>
          <cell r="D2769" t="str">
            <v>Cannula,  Lipo, Triport, FH, Ø6,0mm,  30cm</v>
          </cell>
        </row>
        <row r="2770">
          <cell r="B2770" t="str">
            <v>18-510-33-07</v>
          </cell>
          <cell r="C2770" t="str">
            <v>Sauger, pediatr., 45°, Ø 3,3 mm, 18 cm</v>
          </cell>
          <cell r="D2770" t="str">
            <v>Suction tube, ped., 45°, Ø 3,3 mm, 18 cm</v>
          </cell>
        </row>
        <row r="2771">
          <cell r="B2771" t="str">
            <v>18-510-50-07</v>
          </cell>
          <cell r="C2771" t="str">
            <v>Sauger, pediatr., 45°, Ø 5,0 mm, 18 cm</v>
          </cell>
          <cell r="D2771" t="str">
            <v>Suction tube, ped., 45°, Ø 5,0 mm, 18 cm</v>
          </cell>
        </row>
        <row r="2772">
          <cell r="B2772" t="str">
            <v>18-511-33-07</v>
          </cell>
          <cell r="C2772" t="str">
            <v>Sauger, pediatr., 90°, Ø 3,3 mm, 16 cm</v>
          </cell>
          <cell r="D2772" t="str">
            <v>Suction tube, ped., 90°, Ø 3,3 mm, 16 cm</v>
          </cell>
        </row>
        <row r="2773">
          <cell r="B2773" t="str">
            <v>18-511-50-07</v>
          </cell>
          <cell r="C2773" t="str">
            <v>Sauger, pediatr., 90°, Ø 5,0 mm, 16 cm</v>
          </cell>
          <cell r="D2773" t="str">
            <v>Suction tube, ped., 90°, Ø 5,0 mm, 16 cm</v>
          </cell>
        </row>
        <row r="2774">
          <cell r="B2774" t="str">
            <v>18-512-33-07</v>
          </cell>
          <cell r="C2774" t="str">
            <v>Sauger, pediatr., 45°, Ø 3,3 mm, 21 cm</v>
          </cell>
          <cell r="D2774" t="str">
            <v>Suction tube, ped., 45°, Ø 3,3 mm, 21 cm</v>
          </cell>
        </row>
        <row r="2775">
          <cell r="B2775" t="str">
            <v>18-512-50-07</v>
          </cell>
          <cell r="C2775" t="str">
            <v>Sauger, pediatr., 45°, Ø 5,0 mm, 21 cm</v>
          </cell>
          <cell r="D2775" t="str">
            <v>Suction tube, ped., 45°, Ø 5,0 mm, 21 cm</v>
          </cell>
        </row>
        <row r="2776">
          <cell r="B2776" t="str">
            <v>18-513-33-07</v>
          </cell>
          <cell r="C2776" t="str">
            <v>Sauger, pediatr., 60°, Ø 3,3 mm, 18 cm</v>
          </cell>
          <cell r="D2776" t="str">
            <v>Suction tube, ped., 60°, Ø 3,3 mm, 18 cm</v>
          </cell>
        </row>
        <row r="2777">
          <cell r="B2777" t="str">
            <v>18-513-50-07</v>
          </cell>
          <cell r="C2777" t="str">
            <v>Sauger, pediatr., 60°, Ø 5,0 mm, 18 cm</v>
          </cell>
          <cell r="D2777" t="str">
            <v>Suction tube, ped., 60°, Ø 5,0 mm, 18 cm</v>
          </cell>
        </row>
        <row r="2778">
          <cell r="B2778" t="str">
            <v>18-514-33-07</v>
          </cell>
          <cell r="C2778" t="str">
            <v>Sauger, pediatr., 90°, Ø 3,3 mm, 15 cm</v>
          </cell>
          <cell r="D2778" t="str">
            <v>Suction tube, ped., 90°, Ø 3,3 mm, 15 cm</v>
          </cell>
        </row>
        <row r="2779">
          <cell r="B2779" t="str">
            <v>18-514-50-07</v>
          </cell>
          <cell r="C2779" t="str">
            <v>Sauger, pediatr., 90°, Ø 5,0 mm, 15 cm</v>
          </cell>
          <cell r="D2779" t="str">
            <v>Suction tube, ped., 90°, Ø 5,0 mm, 15 cm</v>
          </cell>
        </row>
        <row r="2780">
          <cell r="B2780" t="str">
            <v>18-515-60-07</v>
          </cell>
          <cell r="C2780" t="str">
            <v>Sauger, marCore,  Ø 6 mm, 39 cm</v>
          </cell>
          <cell r="D2780" t="str">
            <v>Suct.tube,  marCore,  Ø 6mm, 39cm</v>
          </cell>
        </row>
        <row r="2781">
          <cell r="B2781" t="str">
            <v>18-516-60-07</v>
          </cell>
          <cell r="C2781" t="str">
            <v>Sauger, marCore,  Ø 6 mm, m.Unterb.,  39cm</v>
          </cell>
          <cell r="D2781" t="str">
            <v>Suct.tube,  marCore,  Ø 6mm, w.cutoff,39cm</v>
          </cell>
        </row>
        <row r="2782">
          <cell r="B2782" t="str">
            <v>18-517-01-07</v>
          </cell>
          <cell r="C2782" t="str">
            <v>Ventrikularauslass, marCore,  4,5 cm</v>
          </cell>
          <cell r="D2782" t="str">
            <v>Ventrikular vent, marCore,  4,5 cm</v>
          </cell>
        </row>
        <row r="2783">
          <cell r="B2783" t="str">
            <v>18-521-21-01</v>
          </cell>
          <cell r="C2783" t="str">
            <v>Sauger, Adson, geb., ø 4 mm, 20 cm</v>
          </cell>
          <cell r="D2783" t="str">
            <v>Suction tube, Adson, cvd., ø 4 mm, 20 cm</v>
          </cell>
        </row>
        <row r="2784">
          <cell r="B2784" t="str">
            <v>18-521-31-01</v>
          </cell>
          <cell r="C2784" t="str">
            <v>Sauger, Adson, geb., ø 3 mm, 20 cm</v>
          </cell>
          <cell r="D2784" t="str">
            <v>Suction tube, Adson, cvd., ø 3 mm, 20 cm</v>
          </cell>
        </row>
        <row r="2785">
          <cell r="B2785" t="str">
            <v>18-521-51-01</v>
          </cell>
          <cell r="C2785" t="str">
            <v>Sauger, Adson, geb., ø 5 mm, 20 cm</v>
          </cell>
          <cell r="D2785" t="str">
            <v>Suction tube, Adson, cvd., ø 5 mm, 20 cm</v>
          </cell>
        </row>
        <row r="2786">
          <cell r="B2786" t="str">
            <v>18-522-10-01</v>
          </cell>
          <cell r="C2786" t="str">
            <v>Sauger, Frazier, ger., ø 3,3 mm, 24 cm</v>
          </cell>
          <cell r="D2786" t="str">
            <v>Suction tube, str., ø 3.3 mm, 24 cm</v>
          </cell>
        </row>
        <row r="2787">
          <cell r="B2787" t="str">
            <v>18-523-06-01</v>
          </cell>
          <cell r="C2787" t="str">
            <v>Sauger, Frazier, ø 2,0 mm, 19,5 cm</v>
          </cell>
          <cell r="D2787" t="str">
            <v>Suction tube, Frazier, ø 2.0 mm, 19.5 cm</v>
          </cell>
        </row>
        <row r="2788">
          <cell r="B2788" t="str">
            <v>18-523-07-01</v>
          </cell>
          <cell r="C2788" t="str">
            <v>Sauger, Frazier, ø 2,3 mm, 19,5 cm</v>
          </cell>
          <cell r="D2788" t="str">
            <v>Suction tube, Frazier, ø 2.3 mm, 19.5 cm</v>
          </cell>
        </row>
        <row r="2789">
          <cell r="B2789" t="str">
            <v>18-523-08-01</v>
          </cell>
          <cell r="C2789" t="str">
            <v>Sauger, Frazier, ø 2,7 mm, 19,5 cm</v>
          </cell>
          <cell r="D2789" t="str">
            <v>Suction tube, Frazier, ø 2.7 mm, 19.5 cm</v>
          </cell>
        </row>
        <row r="2790">
          <cell r="B2790" t="str">
            <v>18-523-09-01</v>
          </cell>
          <cell r="C2790" t="str">
            <v>Sauger, Frazier, ø 3,0 mm, 19,5 cm</v>
          </cell>
          <cell r="D2790" t="str">
            <v>Suction tube, Frazier, ø 3.0 mm, 19.5 cm</v>
          </cell>
        </row>
        <row r="2791">
          <cell r="B2791" t="str">
            <v>18-523-10-01</v>
          </cell>
          <cell r="C2791" t="str">
            <v>Sauger, Frazier, ø 3,3 mm, 19,5 cm</v>
          </cell>
          <cell r="D2791" t="str">
            <v>Suction tube, Frazier, ø 3.3 mm, 19.5 cm</v>
          </cell>
        </row>
        <row r="2792">
          <cell r="B2792" t="str">
            <v>18-523-11-01</v>
          </cell>
          <cell r="C2792" t="str">
            <v>Sauger, Frazier, ø 3,6 mm, 19,5 cm</v>
          </cell>
          <cell r="D2792" t="str">
            <v>Suction tube, Frazier, ø 3.6 mm, 19.5 cm</v>
          </cell>
        </row>
        <row r="2793">
          <cell r="B2793" t="str">
            <v>18-523-12-01</v>
          </cell>
          <cell r="C2793" t="str">
            <v>Sauger, Frazier, ø 4,0 mm, 19,5 cm</v>
          </cell>
          <cell r="D2793" t="str">
            <v>Suction tube, Frazier, ø 4.0 mm, 19.5 cm</v>
          </cell>
        </row>
        <row r="2794">
          <cell r="B2794" t="str">
            <v>18-523-13-01</v>
          </cell>
          <cell r="C2794" t="str">
            <v>Sauger, Frazier, ø 5,0 mm, 19,5 cm</v>
          </cell>
          <cell r="D2794" t="str">
            <v>Suction tube, Frazier, ø 5.0 mm, 19.5 cm</v>
          </cell>
        </row>
        <row r="2795">
          <cell r="B2795" t="str">
            <v>18-524-15-01</v>
          </cell>
          <cell r="C2795" t="str">
            <v>Sauger, Fergusson,  ø 1,5 mm, 11 cm</v>
          </cell>
          <cell r="D2795" t="str">
            <v>Suction tube, Fergusson,  ø 1.5mm,11cm</v>
          </cell>
        </row>
        <row r="2796">
          <cell r="B2796" t="str">
            <v>18-524-20-01</v>
          </cell>
          <cell r="C2796" t="str">
            <v>Sauger, Fergusson,  ø 2,0 mm, 11 cm</v>
          </cell>
          <cell r="D2796" t="str">
            <v>Suction tube, Fergusson,  ø 2.0mm,11cm</v>
          </cell>
        </row>
        <row r="2797">
          <cell r="B2797" t="str">
            <v>18-524-25-01</v>
          </cell>
          <cell r="C2797" t="str">
            <v>Sauger, Fergusson,  ø 2,5 mm, 11 cm</v>
          </cell>
          <cell r="D2797" t="str">
            <v>Suction tube, Fergusson,  ø 2.5mm,11cm</v>
          </cell>
        </row>
        <row r="2798">
          <cell r="B2798" t="str">
            <v>18-524-30-01</v>
          </cell>
          <cell r="C2798" t="str">
            <v>Sauger, Fergusson,  ø 3,0 mm, 11 cm</v>
          </cell>
          <cell r="D2798" t="str">
            <v>Suction tube, Fergusson,  ø 3.0mm,11cm</v>
          </cell>
        </row>
        <row r="2799">
          <cell r="B2799" t="str">
            <v>18-524-40-01</v>
          </cell>
          <cell r="C2799" t="str">
            <v>Sauger, Fergusson,  ø 4,0 mm, 11 cm</v>
          </cell>
          <cell r="D2799" t="str">
            <v>Suction tube, Fergusson,  ø 4.0mm,11cm</v>
          </cell>
        </row>
        <row r="2800">
          <cell r="B2800" t="str">
            <v>18-524-50-01</v>
          </cell>
          <cell r="C2800" t="str">
            <v>Sauger, Fergusson,  ø 5,0 mm, 11 cm</v>
          </cell>
          <cell r="D2800" t="str">
            <v>Suction tube, Fergusson,  ø 5.0mm,11cm</v>
          </cell>
        </row>
        <row r="2801">
          <cell r="B2801" t="str">
            <v>18-524-60-01</v>
          </cell>
          <cell r="C2801" t="str">
            <v>Sauger, Fergusson,  ø 1,5 mm, 13 cm</v>
          </cell>
          <cell r="D2801" t="str">
            <v>Suct. tube, Fergusson,  ø 1,5 mm, 13 cm</v>
          </cell>
        </row>
        <row r="2802">
          <cell r="B2802" t="str">
            <v>18-524-61-01</v>
          </cell>
          <cell r="C2802" t="str">
            <v>Sauger, Fergusson,  ø 2,0 mm, 13 cm</v>
          </cell>
          <cell r="D2802" t="str">
            <v>Suct. tube, Fergusson,  ø 2,0 mm, 13 cm</v>
          </cell>
        </row>
        <row r="2803">
          <cell r="B2803" t="str">
            <v>18-524-62-01</v>
          </cell>
          <cell r="C2803" t="str">
            <v>Sauger, Fergusson,  ø 2,5 mm, 13 cm</v>
          </cell>
          <cell r="D2803" t="str">
            <v>Suct. tube, Fergusson,  ø 2,5 mm, 13 cm</v>
          </cell>
        </row>
        <row r="2804">
          <cell r="B2804" t="str">
            <v>18-524-63-01</v>
          </cell>
          <cell r="C2804" t="str">
            <v>Sauger, Fergusson,  ø 3,0 mm, 13 cm</v>
          </cell>
          <cell r="D2804" t="str">
            <v>Suct. tube, Fergusson,  ø 3,0 mm, 13 cm</v>
          </cell>
        </row>
        <row r="2805">
          <cell r="B2805" t="str">
            <v>18-524-64-01</v>
          </cell>
          <cell r="C2805" t="str">
            <v>Sauger, Fergusson,  ø 4,0 mm, 13 cm</v>
          </cell>
          <cell r="D2805" t="str">
            <v>Suct. tube, Fergusson,  ø 4,0 mm, 13 cm</v>
          </cell>
        </row>
        <row r="2806">
          <cell r="B2806" t="str">
            <v>18-524-65-01</v>
          </cell>
          <cell r="C2806" t="str">
            <v>Sauger, Fergusson,  ø 5,0 mm, 13 cm</v>
          </cell>
          <cell r="D2806" t="str">
            <v>Suct. tube, Fergusson,  ø 5,0 mm, 13 cm</v>
          </cell>
        </row>
        <row r="2807">
          <cell r="B2807" t="str">
            <v>18-524-70-01</v>
          </cell>
          <cell r="C2807" t="str">
            <v>Sauger, Fergusson,  ø 1,5 mm, 16 cm</v>
          </cell>
          <cell r="D2807" t="str">
            <v>Suct. tube, Fergusson,  ø 1,5 mm, 16 cm</v>
          </cell>
        </row>
        <row r="2808">
          <cell r="B2808" t="str">
            <v>18-524-71-01</v>
          </cell>
          <cell r="C2808" t="str">
            <v>Sauger, Fergusson,  ø 2,0 mm, 16 cm</v>
          </cell>
          <cell r="D2808" t="str">
            <v>Suct. tube, Fergusson,  ø 2,0 mm, 16 cm</v>
          </cell>
        </row>
        <row r="2809">
          <cell r="B2809" t="str">
            <v>18-524-72-01</v>
          </cell>
          <cell r="C2809" t="str">
            <v>Sauger, Fergusson,  ø 2,5 mm, 16 cm</v>
          </cell>
          <cell r="D2809" t="str">
            <v>Suct. tube, Fergusson,  ø 2,5 mm, 16 cm</v>
          </cell>
        </row>
        <row r="2810">
          <cell r="B2810" t="str">
            <v>18-524-73-01</v>
          </cell>
          <cell r="C2810" t="str">
            <v>Sauger, Fergusson,  ø 3,0 mm, 16 cm</v>
          </cell>
          <cell r="D2810" t="str">
            <v>Suct. tube, Fergusson,  ø 3,0 mm, 16 cm</v>
          </cell>
        </row>
        <row r="2811">
          <cell r="B2811" t="str">
            <v>18-524-74-01</v>
          </cell>
          <cell r="C2811" t="str">
            <v>Sauger, Fergusson,  ø 4,0 mm, 16 cm</v>
          </cell>
          <cell r="D2811" t="str">
            <v>Suct. tube, Fergusson,  ø 4,0 mm, 16 cm</v>
          </cell>
        </row>
        <row r="2812">
          <cell r="B2812" t="str">
            <v>18-524-75-01</v>
          </cell>
          <cell r="C2812" t="str">
            <v>Sauger, Fergusson,  ø 5,0 mm, 16 cm</v>
          </cell>
          <cell r="D2812" t="str">
            <v>Suct. tube, Fergusson,  ø 5,0 mm, 16 cm</v>
          </cell>
        </row>
        <row r="2813">
          <cell r="B2813" t="str">
            <v>18-524-80-01</v>
          </cell>
          <cell r="C2813" t="str">
            <v>Sauger, Fergusson,  ø 1,5 mm, 20 cm</v>
          </cell>
          <cell r="D2813" t="str">
            <v>Suct. tube, Fergusson,  ø 1,5 mm, 20 cm</v>
          </cell>
        </row>
        <row r="2814">
          <cell r="B2814" t="str">
            <v>18-524-81-01</v>
          </cell>
          <cell r="C2814" t="str">
            <v>Sauger, Fergusson,  ø 2,0 mm, 20 cm</v>
          </cell>
          <cell r="D2814" t="str">
            <v>Suct. tube, Fergusson,  ø 2,0 mm, 20 cm</v>
          </cell>
        </row>
        <row r="2815">
          <cell r="B2815" t="str">
            <v>18-524-82-01</v>
          </cell>
          <cell r="C2815" t="str">
            <v>Sauger, Fergusson,  ø 2,5 mm, 20 cm</v>
          </cell>
          <cell r="D2815" t="str">
            <v>Suct. tube, Fergusson,  ø 2,5 mm, 20 cm</v>
          </cell>
        </row>
        <row r="2816">
          <cell r="B2816" t="str">
            <v>18-524-83-01</v>
          </cell>
          <cell r="C2816" t="str">
            <v>Sauger, Fergusson,  ø 3,0 mm, 20 cm</v>
          </cell>
          <cell r="D2816" t="str">
            <v>Suct. tube, Fergusson,  ø 3,0 mm, 20 cm</v>
          </cell>
        </row>
        <row r="2817">
          <cell r="B2817" t="str">
            <v>18-524-84-01</v>
          </cell>
          <cell r="C2817" t="str">
            <v>Sauger, Fergusson,  ø 4,0 mm, 20 cm</v>
          </cell>
          <cell r="D2817" t="str">
            <v>Suct. tube, Fergusson,  ø 4,0 mm, 20 cm</v>
          </cell>
        </row>
        <row r="2818">
          <cell r="B2818" t="str">
            <v>18-524-85-01</v>
          </cell>
          <cell r="C2818" t="str">
            <v>Sauger, Fergusson,  ø 5,0 mm, 20 cm</v>
          </cell>
          <cell r="D2818" t="str">
            <v>Suct. tube, Fergusson,  ø 5,0 mm, 20 cm</v>
          </cell>
        </row>
        <row r="2819">
          <cell r="B2819" t="str">
            <v>18-525-06-01</v>
          </cell>
          <cell r="C2819" t="str">
            <v>Sauger, Poppen, gew., ø 2,0 mm, 18 cm</v>
          </cell>
          <cell r="D2819" t="str">
            <v>Suct. tube, Poppen, ang., ø 2.0 mm, 18cm</v>
          </cell>
        </row>
        <row r="2820">
          <cell r="B2820" t="str">
            <v>18-525-08-01</v>
          </cell>
          <cell r="C2820" t="str">
            <v>Sauger, Poppen, gew., ø 2,6 mm, 18 cm</v>
          </cell>
          <cell r="D2820" t="str">
            <v>Suct. tube, Poppen, ang., ø 2.6 mm, 18cm</v>
          </cell>
        </row>
        <row r="2821">
          <cell r="B2821" t="str">
            <v>18-525-10-01</v>
          </cell>
          <cell r="C2821" t="str">
            <v>Sauger, Poppen, gew., ø 3,3 mm, 18 cm</v>
          </cell>
          <cell r="D2821" t="str">
            <v>Suct. tube, Poppen, ang., ø 3.3 mm, 18cm</v>
          </cell>
        </row>
        <row r="2822">
          <cell r="B2822" t="str">
            <v>18-525-12-01</v>
          </cell>
          <cell r="C2822" t="str">
            <v>Sauger, Poppen, gew., ø 4,0 mm, 18 cm</v>
          </cell>
          <cell r="D2822" t="str">
            <v>Suct. tube, Poppen, ang., ø 4.0 mm, 18cm</v>
          </cell>
        </row>
        <row r="2823">
          <cell r="B2823" t="str">
            <v>18-526-00-01</v>
          </cell>
          <cell r="C2823" t="str">
            <v>Sauger, Zöllner, allein</v>
          </cell>
          <cell r="D2823" t="str">
            <v>Suction tube, Zoellner,  solo</v>
          </cell>
        </row>
        <row r="2824">
          <cell r="B2824" t="str">
            <v>18-526-05-01</v>
          </cell>
          <cell r="C2824" t="str">
            <v>SAUGSPITZE, F. 18-526-00,  Ø 0,5 MM</v>
          </cell>
          <cell r="D2824" t="str">
            <v>SUCTION  TIP, F. 18-526-00,  Ø 0.5 MM</v>
          </cell>
        </row>
        <row r="2825">
          <cell r="B2825" t="str">
            <v>18-526-07-01</v>
          </cell>
          <cell r="C2825" t="str">
            <v>SAUGSPITZE, F. 18-526-00,  Ø 0,7 MM</v>
          </cell>
          <cell r="D2825" t="str">
            <v>SUCTION  TIP, F. 18-526-00,  Ø 0.7 MM</v>
          </cell>
        </row>
        <row r="2826">
          <cell r="B2826" t="str">
            <v>18-526-09-01</v>
          </cell>
          <cell r="C2826" t="str">
            <v>SAUGSPITZE, F. 18-526-00,  Ø 0,9 MM</v>
          </cell>
          <cell r="D2826" t="str">
            <v>SUCTION  TIP, F. 18-526-00,  Ø 0.9 MM</v>
          </cell>
        </row>
        <row r="2827">
          <cell r="B2827" t="str">
            <v>18-526-12-01</v>
          </cell>
          <cell r="C2827" t="str">
            <v>SAUGSPITZE, F. 18-526-00,  Ø 1,2 MM</v>
          </cell>
          <cell r="D2827" t="str">
            <v>SUCTION  TIP, F. 18-526-00,  Ø 1.2 MM</v>
          </cell>
        </row>
        <row r="2828">
          <cell r="B2828" t="str">
            <v>18-526-17-01</v>
          </cell>
          <cell r="C2828" t="str">
            <v>Saugspitze, für 18-526-00,  Ø 1,7 mm</v>
          </cell>
          <cell r="D2828" t="str">
            <v>Suction tip, for 18-526-00,  Ø 1.7 mm</v>
          </cell>
        </row>
        <row r="2829">
          <cell r="B2829" t="str">
            <v>18-527-00-01</v>
          </cell>
          <cell r="C2829" t="str">
            <v>SAUGER,  WULLSTEIN, M. 3 KANÜLEN</v>
          </cell>
          <cell r="D2829" t="str">
            <v>SUCTION  TUBE, WULLSTEIN, W. 3 CANNULAS</v>
          </cell>
        </row>
        <row r="2830">
          <cell r="B2830" t="str">
            <v>18-527-01-01</v>
          </cell>
          <cell r="C2830" t="str">
            <v>Saugerhandgriff n. Wullstein</v>
          </cell>
          <cell r="D2830" t="str">
            <v>Suction handle acc. to Wullstein</v>
          </cell>
        </row>
        <row r="2831">
          <cell r="B2831" t="str">
            <v>18-527-04-01</v>
          </cell>
          <cell r="C2831" t="str">
            <v>Mikro-Saugspitze, Wullstein,  ø 0,4 mm</v>
          </cell>
          <cell r="D2831" t="str">
            <v>Micro-Suction tip, Wullstein,  ø 0.4 mm</v>
          </cell>
        </row>
        <row r="2832">
          <cell r="B2832" t="str">
            <v>18-527-06-01</v>
          </cell>
          <cell r="C2832" t="str">
            <v>Mikro-Saugspitze, Wullstein,  ø 0,6 mm</v>
          </cell>
          <cell r="D2832" t="str">
            <v>Micro-Suction tip, Wullstein,  ø 0.6 mm</v>
          </cell>
        </row>
        <row r="2833">
          <cell r="B2833" t="str">
            <v>18-527-08-01</v>
          </cell>
          <cell r="C2833" t="str">
            <v>Mikro-Saugspitze, Wullstein,  ø 0,8 mm</v>
          </cell>
          <cell r="D2833" t="str">
            <v>Micro-Suction tip, Wullstein,  ø 0.8 mm</v>
          </cell>
        </row>
        <row r="2834">
          <cell r="B2834" t="str">
            <v>18-528-10-01</v>
          </cell>
          <cell r="C2834" t="str">
            <v>Sauger, Baron-Schuknecht, ø 1,0, 75 mm</v>
          </cell>
          <cell r="D2834" t="str">
            <v>Suct. tube, Baron-Schuknecht, ø1.0, 75mm</v>
          </cell>
        </row>
        <row r="2835">
          <cell r="B2835" t="str">
            <v>18-528-15-01</v>
          </cell>
          <cell r="C2835" t="str">
            <v>Sauger, Baron-Schuknecht, ø 1,5, 75 mm</v>
          </cell>
          <cell r="D2835" t="str">
            <v>Suct. tube, Baron-Schuknecht, ø1.5, 75mm</v>
          </cell>
        </row>
        <row r="2836">
          <cell r="B2836" t="str">
            <v>18-528-20-01</v>
          </cell>
          <cell r="C2836" t="str">
            <v>Sauger, Baron-Schuknecht, ø 2,0, 75 mm</v>
          </cell>
          <cell r="D2836" t="str">
            <v>Suct. tube, Baron-Schuknecht, ø2.0, 75mm</v>
          </cell>
        </row>
        <row r="2837">
          <cell r="B2837" t="str">
            <v>18-529-30-07</v>
          </cell>
          <cell r="C2837" t="str">
            <v>SAUGROHR, LUER, Ø 3,0 MM, AL: 110 MM</v>
          </cell>
          <cell r="D2837" t="str">
            <v>SUCTION  TUBE, LUER, Ø 3.0 MM, WL: 110 MM</v>
          </cell>
        </row>
        <row r="2838">
          <cell r="B2838" t="str">
            <v>18-529-35-07</v>
          </cell>
          <cell r="C2838" t="str">
            <v>SAUGROHR, LUER, Ø 3,5 MM, AL: 110 MM</v>
          </cell>
          <cell r="D2838" t="str">
            <v>SUCTION  TUBE, LUER, Ø 3.5 MM, WL: 110 MM</v>
          </cell>
        </row>
        <row r="2839">
          <cell r="B2839" t="str">
            <v>18-529-45-07</v>
          </cell>
          <cell r="C2839" t="str">
            <v>SAUGROHR, LUER, Ø 4,5 MM, AL: 130 MM</v>
          </cell>
          <cell r="D2839" t="str">
            <v>SUCTION  TUBE, LUER, Ø 4.5 MM, WL: 130 MM</v>
          </cell>
        </row>
        <row r="2840">
          <cell r="B2840" t="str">
            <v>18-531-01-07</v>
          </cell>
          <cell r="C2840" t="str">
            <v>Saughandgriff m. Unterbrecher</v>
          </cell>
          <cell r="D2840" t="str">
            <v>Suction handle with cutoff</v>
          </cell>
        </row>
        <row r="2841">
          <cell r="B2841" t="str">
            <v>18-533-01-07</v>
          </cell>
          <cell r="C2841" t="str">
            <v>Sauger f. Hypophyse, Landolt, 3,2 mm</v>
          </cell>
          <cell r="D2841" t="str">
            <v>Suction tube f.pituitary,  Landolt,3.2mm</v>
          </cell>
        </row>
        <row r="2842">
          <cell r="B2842" t="str">
            <v>18-540-15-01</v>
          </cell>
          <cell r="C2842" t="str">
            <v>SAUGROHR, YASARGIL,  Ø 1,5 MM, AL: 150 MM</v>
          </cell>
          <cell r="D2842" t="str">
            <v>SUCT. TUBE, YASARG.,  Ø 1.5 MM, WL:150 MM</v>
          </cell>
        </row>
        <row r="2843">
          <cell r="B2843" t="str">
            <v>18-540-20-01</v>
          </cell>
          <cell r="C2843" t="str">
            <v>SAUGROHR, YASARGIL,  Ø 2,0 MM, AL: 150 MM</v>
          </cell>
          <cell r="D2843" t="str">
            <v>SUCT. TUBE, YASARG.,  Ø 2.0 MM, WL:150 MM</v>
          </cell>
        </row>
        <row r="2844">
          <cell r="B2844" t="str">
            <v>18-540-25-01</v>
          </cell>
          <cell r="C2844" t="str">
            <v>SAUGROHR, YASARGIL,  Ø 2,5 MM, AL: 150 MM</v>
          </cell>
          <cell r="D2844" t="str">
            <v>SUCT. TUBE, YASARG.,  Ø 2.5 MM, WL:150 MM</v>
          </cell>
        </row>
        <row r="2845">
          <cell r="B2845" t="str">
            <v>18-540-35-01</v>
          </cell>
          <cell r="C2845" t="str">
            <v>SAUGROHR, YASARGIL,  Ø 3,5 MM, AL: 150 MM</v>
          </cell>
          <cell r="D2845" t="str">
            <v>SUCT. TUBE, YASARG.,  Ø 3.5 MM, WL:150 MM</v>
          </cell>
        </row>
        <row r="2846">
          <cell r="B2846" t="str">
            <v>18-541-30-01</v>
          </cell>
          <cell r="C2846" t="str">
            <v>Sauger, Magill, 3,0 mm, 24,5 cm</v>
          </cell>
          <cell r="D2846" t="str">
            <v>Suction tube, Magill, 3,0mm, 24,5 cm</v>
          </cell>
        </row>
        <row r="2847">
          <cell r="B2847" t="str">
            <v>18-541-35-01</v>
          </cell>
          <cell r="C2847" t="str">
            <v>Sauger, Magill, 3,5 mm, 24,5 cm</v>
          </cell>
          <cell r="D2847" t="str">
            <v>Suction tube, Magill, 3,5mm, 24,5 cm</v>
          </cell>
        </row>
        <row r="2848">
          <cell r="B2848" t="str">
            <v>18-541-40-01</v>
          </cell>
          <cell r="C2848" t="str">
            <v>Sauger, Magill, 4,0 mm, 24,5 cm</v>
          </cell>
          <cell r="D2848" t="str">
            <v>Suction tube, Magill, 4,0mm, 24,5 cm</v>
          </cell>
        </row>
        <row r="2849">
          <cell r="B2849" t="str">
            <v>18-541-99-01</v>
          </cell>
          <cell r="C2849" t="str">
            <v>Reinigungsdraht, Magill</v>
          </cell>
          <cell r="D2849" t="str">
            <v>Cleaning wire, Magill</v>
          </cell>
        </row>
        <row r="2850">
          <cell r="B2850" t="str">
            <v>18-542-21-01</v>
          </cell>
          <cell r="C2850" t="str">
            <v>Sauger, Baby-Yankauer, ø 8,0 mm, 21 cm</v>
          </cell>
          <cell r="D2850" t="str">
            <v>Suct. tube, Baby-Yankauer, ø8,0mm,21cm</v>
          </cell>
        </row>
        <row r="2851">
          <cell r="B2851" t="str">
            <v>18-542-99-98</v>
          </cell>
          <cell r="C2851" t="str">
            <v>Saugkopf,  allein, zu 18-542-21-01</v>
          </cell>
          <cell r="D2851" t="str">
            <v>Suction head, only, for 18-542-21-01</v>
          </cell>
        </row>
        <row r="2852">
          <cell r="B2852" t="str">
            <v>18-543-27-01</v>
          </cell>
          <cell r="C2852" t="str">
            <v>Sauger, Yankauer,  komplett,  ø9,4mm,  31cm</v>
          </cell>
          <cell r="D2852" t="str">
            <v>Suct. tube, Yankauer,  compl.,ø9,4mm,31cm</v>
          </cell>
        </row>
        <row r="2853">
          <cell r="B2853" t="str">
            <v>18-544-16-07</v>
          </cell>
          <cell r="C2853" t="str">
            <v>Sauger, DeBakey-Adson, Ø 4 mm, 16 cm</v>
          </cell>
          <cell r="D2853" t="str">
            <v>Suc. tube, DeBakey-Adson, Ø 4 mm, 16 cm</v>
          </cell>
        </row>
        <row r="2854">
          <cell r="B2854" t="str">
            <v>18-544-20-07</v>
          </cell>
          <cell r="C2854" t="str">
            <v>Sauger, DeBakey-Adson, Ø 4 mm, 20 cm</v>
          </cell>
          <cell r="D2854" t="str">
            <v>Suc. tube, DeBakey-Adson, Ø 4 mm, 20 cm</v>
          </cell>
        </row>
        <row r="2855">
          <cell r="B2855" t="str">
            <v>18-544-28-07</v>
          </cell>
          <cell r="C2855" t="str">
            <v>Sauger, DeBakey,  Ø 9 mm, 28 cm</v>
          </cell>
          <cell r="D2855" t="str">
            <v>Suction tube, DeBakey,  Ø 9 mm, 28 cm</v>
          </cell>
        </row>
        <row r="2856">
          <cell r="B2856" t="str">
            <v>18-545-00-01</v>
          </cell>
          <cell r="C2856" t="str">
            <v>SAUGER,  YANKAUER, SET M. 4 ROHREN,  31 CM</v>
          </cell>
          <cell r="D2856" t="str">
            <v>SUCTION  TUBE, SET W. 4 TUBES, 31 CM</v>
          </cell>
        </row>
        <row r="2857">
          <cell r="B2857" t="str">
            <v>18-545-01-01</v>
          </cell>
          <cell r="C2857" t="str">
            <v>HANDGRIFF, ALLEIN, ZU 18-545-00,  15 CM</v>
          </cell>
          <cell r="D2857" t="str">
            <v>HANDLE ONLY, F. 18-545-00,  15 CM</v>
          </cell>
        </row>
        <row r="2858">
          <cell r="B2858" t="str">
            <v>18-545-02-01</v>
          </cell>
          <cell r="C2858" t="str">
            <v>SCHLAUCHOLIVE, ALLEIN, ZU 18-545-00</v>
          </cell>
          <cell r="D2858" t="str">
            <v>TUBE CONNECTOR, ONLY, F. 18-545-00</v>
          </cell>
        </row>
        <row r="2859">
          <cell r="B2859" t="str">
            <v>18-545-10-01</v>
          </cell>
          <cell r="C2859" t="str">
            <v>Saugrohr,  z. 18-545-00,  #0, ø2,5mm,  10cm</v>
          </cell>
          <cell r="D2859" t="str">
            <v>Suct. tube, f. 18-545-00,  #0,ø2,5mm,10cm</v>
          </cell>
        </row>
        <row r="2860">
          <cell r="B2860" t="str">
            <v>18-545-11-01</v>
          </cell>
          <cell r="C2860" t="str">
            <v>Saugrohr,  z. 18-545-00,  #1, ø3,4mm,  10cm</v>
          </cell>
          <cell r="D2860" t="str">
            <v>Suct. tube, f. 18-545-00,  #1,ø3,4mm,10cm</v>
          </cell>
        </row>
        <row r="2861">
          <cell r="B2861" t="str">
            <v>18-545-12-01</v>
          </cell>
          <cell r="C2861" t="str">
            <v>Saugrohr,  z. 18-545-00,  #2, ø4,3mm,  10cm</v>
          </cell>
          <cell r="D2861" t="str">
            <v>Suct. tube, f. 18-545-00,  #2,ø4,3mm,10cm</v>
          </cell>
        </row>
        <row r="2862">
          <cell r="B2862" t="str">
            <v>18-545-13-01</v>
          </cell>
          <cell r="C2862" t="str">
            <v>Saugrohr,  z. 18-545-00,  #3,ø6,0mm,13,5cm</v>
          </cell>
          <cell r="D2862" t="str">
            <v>Suct. tube, f.18-545-00,#3,ø6,0mm,13,5cm</v>
          </cell>
        </row>
        <row r="2863">
          <cell r="B2863" t="str">
            <v>18-545-15-01</v>
          </cell>
          <cell r="C2863" t="str">
            <v>SAUGKOPF, ALLEIN, Z. 18-545-00</v>
          </cell>
          <cell r="D2863" t="str">
            <v>SUCTION  TIP, ONLY, F. 18-545-00</v>
          </cell>
        </row>
        <row r="2864">
          <cell r="B2864" t="str">
            <v>18-548-19-01</v>
          </cell>
          <cell r="C2864" t="str">
            <v>Sauger, Baby-Poole, gerade, ø6,0mm,  19cm</v>
          </cell>
          <cell r="D2864" t="str">
            <v>Suct. tube, Baby-Poole, str.,ø6,0mm,19cm</v>
          </cell>
        </row>
        <row r="2865">
          <cell r="B2865" t="str">
            <v>18-549-19-01</v>
          </cell>
          <cell r="C2865" t="str">
            <v>Sauger, Baby-Poole, gebogen,  ø6,0mm,19cm</v>
          </cell>
          <cell r="D2865" t="str">
            <v>Suct. tube, Baby-Poole, cvd.,ø6,0mm,19cm</v>
          </cell>
        </row>
        <row r="2866">
          <cell r="B2866" t="str">
            <v>18-550-22-01</v>
          </cell>
          <cell r="C2866" t="str">
            <v>Sauger, Poole, ger., ø 10 mm, 24 cm</v>
          </cell>
          <cell r="D2866" t="str">
            <v>Suct. tube, Poole, str., ø 10 mm, 24 cm</v>
          </cell>
        </row>
        <row r="2867">
          <cell r="B2867" t="str">
            <v>18-551-22-01</v>
          </cell>
          <cell r="C2867" t="str">
            <v>Sauger, Poole, gew., ø 8 mm, 25 cm</v>
          </cell>
          <cell r="D2867" t="str">
            <v>Suction tube, Poole, ang., ø 8 mm, 25 cm</v>
          </cell>
        </row>
        <row r="2868">
          <cell r="B2868" t="str">
            <v>18-553-09-07</v>
          </cell>
          <cell r="C2868" t="str">
            <v>Sauger, House, ø 0,9x0,7 mm, 9 cm</v>
          </cell>
          <cell r="D2868" t="str">
            <v>Suction tube, House, ø 0.9x0.7 mm, 9 cm</v>
          </cell>
        </row>
        <row r="2869">
          <cell r="B2869" t="str">
            <v>18-554-09-07</v>
          </cell>
          <cell r="C2869" t="str">
            <v>Sauger, House, ø 1,2x0,9 mm, 9 cm</v>
          </cell>
          <cell r="D2869" t="str">
            <v>Suction tube, House, ø 1.2x0.9 mm, 9 cm</v>
          </cell>
        </row>
        <row r="2870">
          <cell r="B2870" t="str">
            <v>18-555-09-07</v>
          </cell>
          <cell r="C2870" t="str">
            <v>Sauger, House, ø 1,5x1,2 mm, 9 cm</v>
          </cell>
          <cell r="D2870" t="str">
            <v>Suction tube, House, ø 1.5x1.2 mm, 9 cm</v>
          </cell>
        </row>
        <row r="2871">
          <cell r="B2871" t="str">
            <v>18-556-06-07</v>
          </cell>
          <cell r="C2871" t="str">
            <v>Saugadapter, House, 4,5 cm</v>
          </cell>
          <cell r="D2871" t="str">
            <v>Suction adapter, House, 4.5 cm</v>
          </cell>
        </row>
        <row r="2872">
          <cell r="B2872" t="str">
            <v>18-557-03-01</v>
          </cell>
          <cell r="C2872" t="str">
            <v>Sauger, Fukushima, tropfenf.,  3FR,16,5cm</v>
          </cell>
          <cell r="D2872" t="str">
            <v>Suction tube,Fukushima,trdr.,3FR,16,5cm</v>
          </cell>
        </row>
        <row r="2873">
          <cell r="B2873" t="str">
            <v>18-557-04-01</v>
          </cell>
          <cell r="C2873" t="str">
            <v>Sauger, Fukushima, tropfenf.,  4FR,16,5cm</v>
          </cell>
          <cell r="D2873" t="str">
            <v>Suction tube,Fukushima,trdr.,4FR,16,5cm</v>
          </cell>
        </row>
        <row r="2874">
          <cell r="B2874" t="str">
            <v>18-557-05-01</v>
          </cell>
          <cell r="C2874" t="str">
            <v>Sauger, Fukushima, tropfenf.,  5FR,16,5cm</v>
          </cell>
          <cell r="D2874" t="str">
            <v>Suction tube,Fukushima,trdr.,5FR,16,5cm</v>
          </cell>
        </row>
        <row r="2875">
          <cell r="B2875" t="str">
            <v>18-557-06-01</v>
          </cell>
          <cell r="C2875" t="str">
            <v>Sauger, Fukushima, tropfenf.,  6FR,16,5cm</v>
          </cell>
          <cell r="D2875" t="str">
            <v>Suction tube,Fukushima,trdr.,6FR,16,5cm</v>
          </cell>
        </row>
        <row r="2876">
          <cell r="B2876" t="str">
            <v>18-557-07-01</v>
          </cell>
          <cell r="C2876" t="str">
            <v>Sauger, Fukushima, tropfenf.,  7FR,16,5cm</v>
          </cell>
          <cell r="D2876" t="str">
            <v>Suction tube,Fukushima,trdr.,7FR,16,5cm</v>
          </cell>
        </row>
        <row r="2877">
          <cell r="B2877" t="str">
            <v>18-557-08-01</v>
          </cell>
          <cell r="C2877" t="str">
            <v>Sauger, Fukushima, tropfenf.,  8FR,16,5cm</v>
          </cell>
          <cell r="D2877" t="str">
            <v>Suction tube,Fukushima,trdr.,8FR,16,5cm</v>
          </cell>
        </row>
        <row r="2878">
          <cell r="B2878" t="str">
            <v>18-557-09-01</v>
          </cell>
          <cell r="C2878" t="str">
            <v>Sauger, Fukushima, tropfenf.,  9FR,16,5cm</v>
          </cell>
          <cell r="D2878" t="str">
            <v>Suction tube,Fukushima,trdr.,9FR,16,5cm</v>
          </cell>
        </row>
        <row r="2879">
          <cell r="B2879" t="str">
            <v>18-557-10-01</v>
          </cell>
          <cell r="C2879" t="str">
            <v>Sauger, Fukushima, tropfenf.,10FR,16,5cm</v>
          </cell>
          <cell r="D2879" t="str">
            <v>Suction tube,Fukushima,trdr.,10FR,16,5cm</v>
          </cell>
        </row>
        <row r="2880">
          <cell r="B2880" t="str">
            <v>18-557-12-01</v>
          </cell>
          <cell r="C2880" t="str">
            <v>Sauger, Fukushima, tropfenf.,12FR,16,5cm</v>
          </cell>
          <cell r="D2880" t="str">
            <v>Suction tube,Fukushima,trdr.,12FR,16,5cm</v>
          </cell>
        </row>
        <row r="2881">
          <cell r="B2881" t="str">
            <v>18-558-03-01</v>
          </cell>
          <cell r="C2881" t="str">
            <v>Sauger, Fukushima, tropfenf.,  3FR,18cm</v>
          </cell>
          <cell r="D2881" t="str">
            <v>Suction tube,Fukushima,trdr.,3FR,18cm</v>
          </cell>
        </row>
        <row r="2882">
          <cell r="B2882" t="str">
            <v>18-558-04-01</v>
          </cell>
          <cell r="C2882" t="str">
            <v>Sauger, Fukushima, tropfenf.,  4FR,18cm</v>
          </cell>
          <cell r="D2882" t="str">
            <v>Suction tube,Fukushima,trdr.,4FR,18cm</v>
          </cell>
        </row>
        <row r="2883">
          <cell r="B2883" t="str">
            <v>18-558-05-01</v>
          </cell>
          <cell r="C2883" t="str">
            <v>Sauger, Fukushima, tropfenf.,  5FR,18cm</v>
          </cell>
          <cell r="D2883" t="str">
            <v>Suction tube,Fukushima,trdr.,5FR,18cm</v>
          </cell>
        </row>
        <row r="2884">
          <cell r="B2884" t="str">
            <v>18-558-06-01</v>
          </cell>
          <cell r="C2884" t="str">
            <v>Sauger, Fukushima, tropfenf.,  6FR,18cm</v>
          </cell>
          <cell r="D2884" t="str">
            <v>Suction tube,Fukushima,trdr.,6FR,18cm</v>
          </cell>
        </row>
        <row r="2885">
          <cell r="B2885" t="str">
            <v>18-558-07-01</v>
          </cell>
          <cell r="C2885" t="str">
            <v>Sauger, Fukushima, tropfenf.,  7FR,18cm</v>
          </cell>
          <cell r="D2885" t="str">
            <v>Suction tube,Fukushima,trdr.,7FR,18cm</v>
          </cell>
        </row>
        <row r="2886">
          <cell r="B2886" t="str">
            <v>18-558-08-01</v>
          </cell>
          <cell r="C2886" t="str">
            <v>Sauger, Fukushima, tropfenf.,  8FR,18cm</v>
          </cell>
          <cell r="D2886" t="str">
            <v>Suction tube,Fukushima,trdr.,8FR,18cm</v>
          </cell>
        </row>
        <row r="2887">
          <cell r="B2887" t="str">
            <v>18-558-09-01</v>
          </cell>
          <cell r="C2887" t="str">
            <v>Sauger, Fukushima, tropfenf.,  9FR,18cm</v>
          </cell>
          <cell r="D2887" t="str">
            <v>Suction tube,Fukushima,trdr.,9FR,18cm</v>
          </cell>
        </row>
        <row r="2888">
          <cell r="B2888" t="str">
            <v>18-558-10-01</v>
          </cell>
          <cell r="C2888" t="str">
            <v>Sauger, Fukushima, tropfenf.,  10FR,18cm</v>
          </cell>
          <cell r="D2888" t="str">
            <v>Suction tube,Fukushima,trdr.,10FR,18cm</v>
          </cell>
        </row>
        <row r="2889">
          <cell r="B2889" t="str">
            <v>18-558-12-01</v>
          </cell>
          <cell r="C2889" t="str">
            <v>Sauger, Fukushima, tropfenf.,  12FR,18cm</v>
          </cell>
          <cell r="D2889" t="str">
            <v>Suction tube,Fukushima,trdr.,12FR,18cm</v>
          </cell>
        </row>
        <row r="2890">
          <cell r="B2890" t="str">
            <v>18-559-03-01</v>
          </cell>
          <cell r="C2890" t="str">
            <v>Sauger, Fukushima, tropfenf.,  3FR,20,5cm</v>
          </cell>
          <cell r="D2890" t="str">
            <v>Suction tube,Fukushima,trdr.,3FR,20,5cm</v>
          </cell>
        </row>
        <row r="2891">
          <cell r="B2891" t="str">
            <v>18-559-04-01</v>
          </cell>
          <cell r="C2891" t="str">
            <v>Sauger, Fukushima, tropfenf.,  4FR,20,5cm</v>
          </cell>
          <cell r="D2891" t="str">
            <v>Suction tube,Fukushima,trdr.,4FR,20,5cm</v>
          </cell>
        </row>
        <row r="2892">
          <cell r="B2892" t="str">
            <v>18-559-05-01</v>
          </cell>
          <cell r="C2892" t="str">
            <v>Sauger, Fukushima, tropfenf.,  5FR,20,5cm</v>
          </cell>
          <cell r="D2892" t="str">
            <v>Suction tube,Fukushima,trdr.,5FR,20,5cm</v>
          </cell>
        </row>
        <row r="2893">
          <cell r="B2893" t="str">
            <v>18-559-06-01</v>
          </cell>
          <cell r="C2893" t="str">
            <v>Sauger, Fukushima, tropfenf.,  6FR,20,5cm</v>
          </cell>
          <cell r="D2893" t="str">
            <v>Suction tube,Fukushima,trdr.,6FR,20,5cm</v>
          </cell>
        </row>
        <row r="2894">
          <cell r="B2894" t="str">
            <v>18-559-07-01</v>
          </cell>
          <cell r="C2894" t="str">
            <v>Sauger, Fukushima, tropfenf.,  7FR,20,5cm</v>
          </cell>
          <cell r="D2894" t="str">
            <v>Suction tube,Fukushima,trdr.,7FR,20,5cm</v>
          </cell>
        </row>
        <row r="2895">
          <cell r="B2895" t="str">
            <v>18-559-08-01</v>
          </cell>
          <cell r="C2895" t="str">
            <v>Sauger, Fukushima, tropfenf.,  8FR,20,5cm</v>
          </cell>
          <cell r="D2895" t="str">
            <v>Suction tube,Fukushima,trdr.,8FR,20,5cm</v>
          </cell>
        </row>
        <row r="2896">
          <cell r="B2896" t="str">
            <v>18-559-09-01</v>
          </cell>
          <cell r="C2896" t="str">
            <v>Sauger, Fukushima, tropfenf.,  9FR,20,5cm</v>
          </cell>
          <cell r="D2896" t="str">
            <v>Suction tube,Fukushima,trdr.,9FR,20,5cm</v>
          </cell>
        </row>
        <row r="2897">
          <cell r="B2897" t="str">
            <v>18-559-10-01</v>
          </cell>
          <cell r="C2897" t="str">
            <v>Sauger, Fukushima, tropfenf.,10FR,20,5cm</v>
          </cell>
          <cell r="D2897" t="str">
            <v>Suction tube,Fukushima,trdr.,10FR,20,5cm</v>
          </cell>
        </row>
        <row r="2898">
          <cell r="B2898" t="str">
            <v>18-559-12-01</v>
          </cell>
          <cell r="C2898" t="str">
            <v>Sauger, Fukushima, tropfenf.,12FR,20,5cm</v>
          </cell>
          <cell r="D2898" t="str">
            <v>Suction tube,Fukushima,trdr.,12FR,20,5cm</v>
          </cell>
        </row>
        <row r="2899">
          <cell r="B2899" t="str">
            <v>18-560-03-01</v>
          </cell>
          <cell r="C2899" t="str">
            <v>Sauger, Fukushima, tropfenf.,  3FR,23cm</v>
          </cell>
          <cell r="D2899" t="str">
            <v>Suction tube,Fukushima,trdr.,3FR,23cm</v>
          </cell>
        </row>
        <row r="2900">
          <cell r="B2900" t="str">
            <v>18-560-04-01</v>
          </cell>
          <cell r="C2900" t="str">
            <v>Sauger, Fukushima, tropfenf.,  4FR,23cm</v>
          </cell>
          <cell r="D2900" t="str">
            <v>Suction tube,Fukushima,trdr.,4FR,23cm</v>
          </cell>
        </row>
        <row r="2901">
          <cell r="B2901" t="str">
            <v>18-560-05-01</v>
          </cell>
          <cell r="C2901" t="str">
            <v>Sauger, Fukushima, tropfenf.,  5FR,23cm</v>
          </cell>
          <cell r="D2901" t="str">
            <v>Suction tube,Fukushima,trdr.,5FR,23cm</v>
          </cell>
        </row>
        <row r="2902">
          <cell r="B2902" t="str">
            <v>18-560-06-01</v>
          </cell>
          <cell r="C2902" t="str">
            <v>Sauger, Fukushima, tropfenf.,  6FR,23cm</v>
          </cell>
          <cell r="D2902" t="str">
            <v>Suction tube,Fukushima,trdr.,6FR,23cm</v>
          </cell>
        </row>
        <row r="2903">
          <cell r="B2903" t="str">
            <v>18-560-07-01</v>
          </cell>
          <cell r="C2903" t="str">
            <v>Sauger, Fukushima, tropfenf.,  7FR,23cm</v>
          </cell>
          <cell r="D2903" t="str">
            <v>Suction tube,Fukushima,trdr.,7FR,23cm</v>
          </cell>
        </row>
        <row r="2904">
          <cell r="B2904" t="str">
            <v>18-560-08-01</v>
          </cell>
          <cell r="C2904" t="str">
            <v>Sauger, Fukushima, tropfenf.,  8FR,23cm</v>
          </cell>
          <cell r="D2904" t="str">
            <v>Suction tube,Fukushima,trdr.,8FR,23cm</v>
          </cell>
        </row>
        <row r="2905">
          <cell r="B2905" t="str">
            <v>18-560-09-01</v>
          </cell>
          <cell r="C2905" t="str">
            <v>Sauger, Fukushima, tropfenf.,  9FR,23cm</v>
          </cell>
          <cell r="D2905" t="str">
            <v>Suction tube,Fukushima,trdr.,9FR,23cm</v>
          </cell>
        </row>
        <row r="2906">
          <cell r="B2906" t="str">
            <v>18-560-10-01</v>
          </cell>
          <cell r="C2906" t="str">
            <v>Sauger, Fukushima, tropfenf.,  10FR,23cm</v>
          </cell>
          <cell r="D2906" t="str">
            <v>Suction tube,Fukushima,trdr.,10FR,23cm</v>
          </cell>
        </row>
        <row r="2907">
          <cell r="B2907" t="str">
            <v>18-560-12-01</v>
          </cell>
          <cell r="C2907" t="str">
            <v>Sauger, Fukushima, tropfenf.,  12FR,23cm</v>
          </cell>
          <cell r="D2907" t="str">
            <v>Suction tube,Fukushima,trdr.,12FR,23cm</v>
          </cell>
        </row>
        <row r="2908">
          <cell r="B2908" t="str">
            <v>18-561-35-01</v>
          </cell>
          <cell r="C2908" t="str">
            <v>SAUGER,  COOLEY, GEB., Ø 8 MM, 36 CM</v>
          </cell>
          <cell r="D2908" t="str">
            <v>SUCT. TUBE, COOLEY, CVD., Ø 8 MM, 36 CM</v>
          </cell>
        </row>
        <row r="2909">
          <cell r="B2909" t="str">
            <v>18-563-31-01</v>
          </cell>
          <cell r="C2909" t="str">
            <v>SAUGER,  COOLEY, GEB., Ø 10 MM, 31 CM</v>
          </cell>
          <cell r="D2909" t="str">
            <v>SUCT. TUBE, COOLEY, CVD., Ø 10 MM, 31 CM</v>
          </cell>
        </row>
        <row r="2910">
          <cell r="B2910" t="str">
            <v>18-565-30-01</v>
          </cell>
          <cell r="C2910" t="str">
            <v>SAUGER,  COOLEY, GEB., Ø 7 MM, 31 CM</v>
          </cell>
          <cell r="D2910" t="str">
            <v>SUCT. TUBE, COOLEY, CVD., Ø 7 MM, 31 CM</v>
          </cell>
        </row>
        <row r="2911">
          <cell r="B2911" t="str">
            <v>18-567-33-01</v>
          </cell>
          <cell r="C2911" t="str">
            <v>SAUGER,  COOLEY, GEB., Ø 8 MM, 36 CM</v>
          </cell>
          <cell r="D2911" t="str">
            <v>SUCT. TUBE, COOLEY, CVD., Ø 8 MM, 36 CM</v>
          </cell>
        </row>
        <row r="2912">
          <cell r="B2912" t="str">
            <v>18-568-28-07</v>
          </cell>
          <cell r="C2912" t="str">
            <v>HLM-Sauger, Ø 6 mm, 28 cm</v>
          </cell>
          <cell r="D2912" t="str">
            <v>HLM-suction tube, Ø 6 mm, 28 cm</v>
          </cell>
        </row>
        <row r="2913">
          <cell r="B2913" t="str">
            <v>18-568-30-07</v>
          </cell>
          <cell r="C2913" t="str">
            <v>Klappensauger, Ø 6 mm, 30 cm</v>
          </cell>
          <cell r="D2913" t="str">
            <v>Valvular suction tube, Ø 6 mm, 30 cm</v>
          </cell>
        </row>
        <row r="2914">
          <cell r="B2914" t="str">
            <v>18-569-21-01</v>
          </cell>
          <cell r="C2914" t="str">
            <v>SAUGROHR, NUBOER,  RUND, Ø 6 MM, 21 CM</v>
          </cell>
          <cell r="D2914" t="str">
            <v>SUCTION  TUBE, NUBOER,  RD., Ø 6 MM, 21 CM</v>
          </cell>
        </row>
        <row r="2915">
          <cell r="B2915" t="str">
            <v>18-571-21-01</v>
          </cell>
          <cell r="C2915" t="str">
            <v>SAUGROHR, NUBOER,  OVAL, Ø 6 MM, 21 CM</v>
          </cell>
          <cell r="D2915" t="str">
            <v>SUCTION  TUBE, NUBOER,  OV., Ø 6 MM, 21 CM</v>
          </cell>
        </row>
        <row r="2916">
          <cell r="B2916" t="str">
            <v>18-572-05-07</v>
          </cell>
          <cell r="C2916" t="str">
            <v>Sauger, Jamieson,  Ø 0,5 mm, 27 cm</v>
          </cell>
          <cell r="D2916" t="str">
            <v>Suction tube, Jamieson,  Ø 0,5 mm, 27 cm</v>
          </cell>
        </row>
        <row r="2917">
          <cell r="B2917" t="str">
            <v>18-572-10-07</v>
          </cell>
          <cell r="C2917" t="str">
            <v>Sauger, Jamieson,  Ø 1,0 mm, 27 cm</v>
          </cell>
          <cell r="D2917" t="str">
            <v>Suction tube, Jamieson,  Ø 1,0 mm, 27 cm</v>
          </cell>
        </row>
        <row r="2918">
          <cell r="B2918" t="str">
            <v>18-572-15-07</v>
          </cell>
          <cell r="C2918" t="str">
            <v>Sauger, Jamieson,  Ø 1,5 mm, 27 cm</v>
          </cell>
          <cell r="D2918" t="str">
            <v>Suction tube, Jamieson,  Ø 1,5 mm, 27 cm</v>
          </cell>
        </row>
        <row r="2919">
          <cell r="B2919" t="str">
            <v>18-573-05-07</v>
          </cell>
          <cell r="C2919" t="str">
            <v>Sauger, Jamieson,  30°, Ø 0,5 mm, 27 cm</v>
          </cell>
          <cell r="D2919" t="str">
            <v>Suction tube,Jamieson,30°,Ø 0,5mm,27cm</v>
          </cell>
        </row>
        <row r="2920">
          <cell r="B2920" t="str">
            <v>18-573-10-07</v>
          </cell>
          <cell r="C2920" t="str">
            <v>Sauger, Jamieson,  30°, Ø 1,0 mm, 27 cm</v>
          </cell>
          <cell r="D2920" t="str">
            <v>Suction tube,Jamieson,30°,Ø 1,0mm,27cm</v>
          </cell>
        </row>
        <row r="2921">
          <cell r="B2921" t="str">
            <v>18-575-05-01</v>
          </cell>
          <cell r="C2921" t="str">
            <v>Saugspitze, Coupland,  ø 1,5 mm, 9 cm</v>
          </cell>
          <cell r="D2921" t="str">
            <v>Suction tip, Coupland,  ø 1.5 mm, 9 cm</v>
          </cell>
        </row>
        <row r="2922">
          <cell r="B2922" t="str">
            <v>18-575-06-01</v>
          </cell>
          <cell r="C2922" t="str">
            <v>Saugspitze, Coupland,  ø 2,0 mm, 9 cm</v>
          </cell>
          <cell r="D2922" t="str">
            <v>Suction tip, Coupland,  ø 2.0 mm, 9 cm</v>
          </cell>
        </row>
        <row r="2923">
          <cell r="B2923" t="str">
            <v>18-575-07-01</v>
          </cell>
          <cell r="C2923" t="str">
            <v>Saugspitze, Coupland,  ø 2,5 mm, 9 cm</v>
          </cell>
          <cell r="D2923" t="str">
            <v>Suction tip, Coupland,  ø 2.5 mm, 9 cm</v>
          </cell>
        </row>
        <row r="2924">
          <cell r="B2924" t="str">
            <v>18-575-08-01</v>
          </cell>
          <cell r="C2924" t="str">
            <v>Saugspitze, Coupland,  ø 3,5 mm, 9 cm</v>
          </cell>
          <cell r="D2924" t="str">
            <v>Suction tip, Coupland,  ø 3.5 mm, 9 cm</v>
          </cell>
        </row>
        <row r="2925">
          <cell r="B2925" t="str">
            <v>18-575-24-01</v>
          </cell>
          <cell r="C2925" t="str">
            <v>SAUGERHANDGRIFF, COUPLAND, 17 CM</v>
          </cell>
          <cell r="D2925" t="str">
            <v>SUCTION  HANDLE,  COUPLAND, 17 CM</v>
          </cell>
        </row>
        <row r="2926">
          <cell r="B2926" t="str">
            <v>18-577-01-01</v>
          </cell>
          <cell r="C2926" t="str">
            <v>Sauger, Byrd, ø 3,0 mm, 21,5 cm</v>
          </cell>
          <cell r="D2926" t="str">
            <v>Suction tube, Byrd, ø 3.0 mm, 21.5 cm</v>
          </cell>
        </row>
        <row r="2927">
          <cell r="B2927" t="str">
            <v>18-577-02-01</v>
          </cell>
          <cell r="C2927" t="str">
            <v>Sauger, Byrd, ø 3,5 mm, 21,5 cm</v>
          </cell>
          <cell r="D2927" t="str">
            <v>Suction tube, Byrd, ø 3.5 mm, 21.5 cm</v>
          </cell>
        </row>
        <row r="2928">
          <cell r="B2928" t="str">
            <v>18-577-03-01</v>
          </cell>
          <cell r="C2928" t="str">
            <v>Sauger, Byrd, ø 4,3 mm, 21,5 cm</v>
          </cell>
          <cell r="D2928" t="str">
            <v>Suction tube, Byrd, ø 4.3 mm, 21.5 cm</v>
          </cell>
        </row>
        <row r="2929">
          <cell r="B2929" t="str">
            <v>18-580-08-07</v>
          </cell>
          <cell r="C2929" t="str">
            <v>REDONSPIESS, GEW., MESSERF.,  8 CH</v>
          </cell>
          <cell r="D2929" t="str">
            <v>GUIDE NEEDLE, ANG., KNIFE SHAPE, 8 CH</v>
          </cell>
        </row>
        <row r="2930">
          <cell r="B2930" t="str">
            <v>18-580-10-07</v>
          </cell>
          <cell r="C2930" t="str">
            <v>REDONSPIESS, GEW., MESSERF.,  10 CH</v>
          </cell>
          <cell r="D2930" t="str">
            <v>GUIDE NEEDLE, ANG., KNIFE SHAPE, 10 CH</v>
          </cell>
        </row>
        <row r="2931">
          <cell r="B2931" t="str">
            <v>18-580-12-07</v>
          </cell>
          <cell r="C2931" t="str">
            <v>REDONSPIESS, GEW., MESSERF.,  12 CH</v>
          </cell>
          <cell r="D2931" t="str">
            <v>GUIDE NEEDLE, ANG., KNIFE SHAPE, 12 CH</v>
          </cell>
        </row>
        <row r="2932">
          <cell r="B2932" t="str">
            <v>18-580-14-07</v>
          </cell>
          <cell r="C2932" t="str">
            <v>REDONSPIESS, GEW., MESSERF.,  14 CH</v>
          </cell>
          <cell r="D2932" t="str">
            <v>GUIDE NEEDLE, ANG., KNIFE SHAPE, 14 CH</v>
          </cell>
        </row>
        <row r="2933">
          <cell r="B2933" t="str">
            <v>18-580-16-07</v>
          </cell>
          <cell r="C2933" t="str">
            <v>REDONSPIESS, GEW., MESSERF.,  16 CH</v>
          </cell>
          <cell r="D2933" t="str">
            <v>GUIDE NEEDLE, ANG., KNIFE SHAPE, 16 CH</v>
          </cell>
        </row>
        <row r="2934">
          <cell r="B2934" t="str">
            <v>18-581-08-07</v>
          </cell>
          <cell r="C2934" t="str">
            <v>REDONSPIESS, GEB., MESSERF.,  8 CH</v>
          </cell>
          <cell r="D2934" t="str">
            <v>GUIDE NEEDLE, CVD., KNIFE SHAPE, 8 CH</v>
          </cell>
        </row>
        <row r="2935">
          <cell r="B2935" t="str">
            <v>18-581-10-07</v>
          </cell>
          <cell r="C2935" t="str">
            <v>REDONSPIESS, GEB., MESSERF.,  10 CH</v>
          </cell>
          <cell r="D2935" t="str">
            <v>GUIDE NEEDLE, CVD., KNIFE SHAPE, 10 CH</v>
          </cell>
        </row>
        <row r="2936">
          <cell r="B2936" t="str">
            <v>18-581-12-07</v>
          </cell>
          <cell r="C2936" t="str">
            <v>REDONSPIESS, GEB., MESSERF.,  12 CH</v>
          </cell>
          <cell r="D2936" t="str">
            <v>GUIDE NEEDLE, CVD., KNIFE SHAPE, 12 CH</v>
          </cell>
        </row>
        <row r="2937">
          <cell r="B2937" t="str">
            <v>18-581-14-07</v>
          </cell>
          <cell r="C2937" t="str">
            <v>REDONSPIESS, GEB., MESSERF.,  14 CH</v>
          </cell>
          <cell r="D2937" t="str">
            <v>GUIDE NEEDLE, CVD., KNIFE SHAPE, 14 CH</v>
          </cell>
        </row>
        <row r="2938">
          <cell r="B2938" t="str">
            <v>18-581-16-07</v>
          </cell>
          <cell r="C2938" t="str">
            <v>REDONSPIESS, GEB., MESSERF.,  16 CH</v>
          </cell>
          <cell r="D2938" t="str">
            <v>GUIDE NEEDLE, CVD., KNIFE SHAPE, 16 CH</v>
          </cell>
        </row>
        <row r="2939">
          <cell r="B2939" t="str">
            <v>18-583-08-07</v>
          </cell>
          <cell r="C2939" t="str">
            <v>REDONSPIESS, GEW., LANZETTF., 8 CH</v>
          </cell>
          <cell r="D2939" t="str">
            <v>GUIDE NEEDLE, ANG., LANCET SHAPE, 8 CH</v>
          </cell>
        </row>
        <row r="2940">
          <cell r="B2940" t="str">
            <v>18-583-10-07</v>
          </cell>
          <cell r="C2940" t="str">
            <v>REDONSPIESS, GEW., LANZETTF., 10 CH</v>
          </cell>
          <cell r="D2940" t="str">
            <v>GUIDE NEEDLE, ANG., LANCET SHAPE, 10 CH</v>
          </cell>
        </row>
        <row r="2941">
          <cell r="B2941" t="str">
            <v>18-583-12-07</v>
          </cell>
          <cell r="C2941" t="str">
            <v>REDONSPIESS, GEW., LANZETTF., 12 CH</v>
          </cell>
          <cell r="D2941" t="str">
            <v>GUIDE NEEDLE, ANG., LANCET SHAPE, 12 CH</v>
          </cell>
        </row>
        <row r="2942">
          <cell r="B2942" t="str">
            <v>18-583-14-07</v>
          </cell>
          <cell r="C2942" t="str">
            <v>REDONSPIESS, GEW., LANZETTF., 14 CH</v>
          </cell>
          <cell r="D2942" t="str">
            <v>GUIDE NEEDLE, ANG., LANCET SHAPE, 14 CH</v>
          </cell>
        </row>
        <row r="2943">
          <cell r="B2943" t="str">
            <v>18-583-16-07</v>
          </cell>
          <cell r="C2943" t="str">
            <v>REDONSPIESS, GEW., LANZETTF., 16 CH</v>
          </cell>
          <cell r="D2943" t="str">
            <v>GUIDE NEEDLE, ANG., LANCET SHAPE, 16 CH</v>
          </cell>
        </row>
        <row r="2944">
          <cell r="B2944" t="str">
            <v>18-584-08-07</v>
          </cell>
          <cell r="C2944" t="str">
            <v>REDONSPIESS, GEW., DREIKANT,  8 CH</v>
          </cell>
          <cell r="D2944" t="str">
            <v>GUIDE NEEDLE, ANG., TRIANGULAR, 8 CH</v>
          </cell>
        </row>
        <row r="2945">
          <cell r="B2945" t="str">
            <v>18-584-10-07</v>
          </cell>
          <cell r="C2945" t="str">
            <v>REDONSPIESS, GEW., DREIKANT,  10 CH</v>
          </cell>
          <cell r="D2945" t="str">
            <v>GUIDE NEEDLE, ANG., TRIANGULAR, 10 CH</v>
          </cell>
        </row>
        <row r="2946">
          <cell r="B2946" t="str">
            <v>18-584-12-07</v>
          </cell>
          <cell r="C2946" t="str">
            <v>REDONSPIESS, GEW., DREIKANT,  12 CH</v>
          </cell>
          <cell r="D2946" t="str">
            <v>GUIDE NEEDLE, ANG., TRIANGULAR, 12 CH</v>
          </cell>
        </row>
        <row r="2947">
          <cell r="B2947" t="str">
            <v>18-584-14-07</v>
          </cell>
          <cell r="C2947" t="str">
            <v>REDONSPIESS, GEW., DREIKANT,  14 CH</v>
          </cell>
          <cell r="D2947" t="str">
            <v>GUIDE NEEDLE, ANG., TRIANGULAR, 14 CH</v>
          </cell>
        </row>
        <row r="2948">
          <cell r="B2948" t="str">
            <v>18-584-16-07</v>
          </cell>
          <cell r="C2948" t="str">
            <v>REDONSPIESS, GEW., DREIKANT,  16 CH</v>
          </cell>
          <cell r="D2948" t="str">
            <v>GUIDE NEEDLE, ANG., TRIANGULAR, 16 CH</v>
          </cell>
        </row>
        <row r="2949">
          <cell r="B2949" t="str">
            <v>18-606-00-01</v>
          </cell>
          <cell r="C2949" t="str">
            <v>Pudendusanästhesie-Kanüle</v>
          </cell>
          <cell r="D2949" t="str">
            <v>Pudendus  anaesthesia cannula</v>
          </cell>
        </row>
        <row r="2950">
          <cell r="B2950" t="str">
            <v>18-606-01-01</v>
          </cell>
          <cell r="C2950" t="str">
            <v>Nadel z. 18-606-00,  ø 1,0 mm, 17,5 cm</v>
          </cell>
          <cell r="D2950" t="str">
            <v>Needle f. 18-606-00,  ø 1.0 mm, 17.5 cm</v>
          </cell>
        </row>
        <row r="2951">
          <cell r="B2951" t="str">
            <v>18-610-12-07</v>
          </cell>
          <cell r="C2951" t="str">
            <v>Kanüle, Vene, m. Knopfende, ø 1,2mm,80mm</v>
          </cell>
          <cell r="D2951" t="str">
            <v>Cannula,  vein, button-ended, ø1.2mm,80mm</v>
          </cell>
        </row>
        <row r="2952">
          <cell r="B2952" t="str">
            <v>18-610-15-07</v>
          </cell>
          <cell r="C2952" t="str">
            <v>Kanüle, Vene, m. Knopfende, ø 1,5mm,80mm</v>
          </cell>
          <cell r="D2952" t="str">
            <v>Cannula,  vein, button-ended, ø1.5mm,80mm</v>
          </cell>
        </row>
        <row r="2953">
          <cell r="B2953" t="str">
            <v>18-611-20-07</v>
          </cell>
          <cell r="C2953" t="str">
            <v>Kanüle, Heparin, Ø 2 mm, 45 mm</v>
          </cell>
          <cell r="D2953" t="str">
            <v>Cannula,  Heparin, Ø 2 mm, 45 mm</v>
          </cell>
        </row>
        <row r="2954">
          <cell r="B2954" t="str">
            <v>18-611-30-07</v>
          </cell>
          <cell r="C2954" t="str">
            <v>Kanüle, Heparin, Ø 3 mm, 45 mm</v>
          </cell>
          <cell r="D2954" t="str">
            <v>Cannula,  Heparin, Ø 3 mm, 45 mm</v>
          </cell>
        </row>
        <row r="2955">
          <cell r="B2955" t="str">
            <v>18-611-37-07</v>
          </cell>
          <cell r="C2955" t="str">
            <v>Kanüle, Heparin, Ø 3,7 mm, 55 mm</v>
          </cell>
          <cell r="D2955" t="str">
            <v>Cannula,  Heparin, Ø 3,7 mm, 55 mm</v>
          </cell>
        </row>
        <row r="2956">
          <cell r="B2956" t="str">
            <v>18-611-50-07</v>
          </cell>
          <cell r="C2956" t="str">
            <v>Kanüle, Heparin, Ø 5 mm, 60 mm</v>
          </cell>
          <cell r="D2956" t="str">
            <v>Cannula,  Heparin, Ø 5 mm, 60 mm</v>
          </cell>
        </row>
        <row r="2957">
          <cell r="B2957" t="str">
            <v>18-636-20-07</v>
          </cell>
          <cell r="C2957" t="str">
            <v>Kanüle, Punktion,  Frazier, ø 2,0 mm, 7cm</v>
          </cell>
          <cell r="D2957" t="str">
            <v>Cannula,  puncture,  Frazier, ø 2,0mm, 7cm</v>
          </cell>
        </row>
        <row r="2958">
          <cell r="B2958" t="str">
            <v>18-636-25-07</v>
          </cell>
          <cell r="C2958" t="str">
            <v>Kanüle, Punktion,  Frazier, ø 2,5 mm,10cm</v>
          </cell>
          <cell r="D2958" t="str">
            <v>Cannula,  puncture,  Frazier, ø 2,5mm,10cm</v>
          </cell>
        </row>
        <row r="2959">
          <cell r="B2959" t="str">
            <v>18-636-30-07</v>
          </cell>
          <cell r="C2959" t="str">
            <v>Kanüle, Frazier, grad., ger., ø2mm, 10cm</v>
          </cell>
          <cell r="D2959" t="str">
            <v>Cannula,  Frazier, grad., str., ø2mm,10cm</v>
          </cell>
        </row>
        <row r="2960">
          <cell r="B2960" t="str">
            <v>18-638-20-07</v>
          </cell>
          <cell r="C2960" t="str">
            <v>Kanüle, Dandy, ø 2,0 mm, 9,5 cm</v>
          </cell>
          <cell r="D2960" t="str">
            <v>Cannula,  Dandy, ø 2,0 mm, 9,5 cm</v>
          </cell>
        </row>
        <row r="2961">
          <cell r="B2961" t="str">
            <v>18-639-23-07</v>
          </cell>
          <cell r="C2961" t="str">
            <v>Kanüle, Cushing-Cairns, ø 2,3 mm, 9,5 cm</v>
          </cell>
          <cell r="D2961" t="str">
            <v>Cannula,  Cushing-Cairns, ø 2,3 mm, 9,5cm</v>
          </cell>
        </row>
        <row r="2962">
          <cell r="B2962" t="str">
            <v>18-645-15-07</v>
          </cell>
          <cell r="C2962" t="str">
            <v>Sauger, Plester, ø 1,5 mm, 19,5 cm</v>
          </cell>
          <cell r="D2962" t="str">
            <v>Suction tube, Plester, ø 1.5 mm, 19.5 cm</v>
          </cell>
        </row>
        <row r="2963">
          <cell r="B2963" t="str">
            <v>18-645-20-07</v>
          </cell>
          <cell r="C2963" t="str">
            <v>Sauger, Plester, ø 2,0 mm, 19,5 cm</v>
          </cell>
          <cell r="D2963" t="str">
            <v>Suction tube, Plester, ø 2.0 mm, 19.5 cm</v>
          </cell>
        </row>
        <row r="2964">
          <cell r="B2964" t="str">
            <v>18-645-25-07</v>
          </cell>
          <cell r="C2964" t="str">
            <v>Sauger, Plester, ø 2,5 mm, 19,5 cm</v>
          </cell>
          <cell r="D2964" t="str">
            <v>Suction tube, Plester, ø 2.5 mm, 19.5 cm</v>
          </cell>
        </row>
        <row r="2965">
          <cell r="B2965" t="str">
            <v>18-645-30-07</v>
          </cell>
          <cell r="C2965" t="str">
            <v>Sauger, Plester, ø 3,0 mm, 19,5 cm</v>
          </cell>
          <cell r="D2965" t="str">
            <v>Suction tube, Plester, ø 3.0 mm, 19.5 cm</v>
          </cell>
        </row>
        <row r="2966">
          <cell r="B2966" t="str">
            <v>18-646-16-01</v>
          </cell>
          <cell r="C2966" t="str">
            <v>Saugkanüle, Verhoeven, 16 SWG</v>
          </cell>
          <cell r="D2966" t="str">
            <v>Suction cannula, Verhoeven, 16 SWG</v>
          </cell>
        </row>
        <row r="2967">
          <cell r="B2967" t="str">
            <v>18-646-18-01</v>
          </cell>
          <cell r="C2967" t="str">
            <v>Saugkanüle, Verhoeven, 18 SWG</v>
          </cell>
          <cell r="D2967" t="str">
            <v>Suction cannula, Verhoeven, 18 SWG</v>
          </cell>
        </row>
        <row r="2968">
          <cell r="B2968" t="str">
            <v>18-646-20-01</v>
          </cell>
          <cell r="C2968" t="str">
            <v>Saugkanüle, Verhoeven, 20 SWG</v>
          </cell>
          <cell r="D2968" t="str">
            <v>Suction cannula, Verhoeven, 20 SWG</v>
          </cell>
        </row>
        <row r="2969">
          <cell r="B2969" t="str">
            <v>18-646-22-01</v>
          </cell>
          <cell r="C2969" t="str">
            <v>Saugkanüle, Verhoeven, 22 SWG</v>
          </cell>
          <cell r="D2969" t="str">
            <v>Suction cannula, Verhoeven, 22 SWG</v>
          </cell>
        </row>
        <row r="2970">
          <cell r="B2970" t="str">
            <v>18-646-24-01</v>
          </cell>
          <cell r="C2970" t="str">
            <v>Saugkanüle, Verhoeven, 24 SWG</v>
          </cell>
          <cell r="D2970" t="str">
            <v>Suction cannula, Verhoeven, 24 SWG</v>
          </cell>
        </row>
        <row r="2971">
          <cell r="B2971" t="str">
            <v>18-647-20-07</v>
          </cell>
          <cell r="C2971" t="str">
            <v>Saugkanüle, ø 2,0 mm, 16 cm</v>
          </cell>
          <cell r="D2971" t="str">
            <v>Suction cannula, ø 2.0 mm, 16 cm</v>
          </cell>
        </row>
        <row r="2972">
          <cell r="B2972" t="str">
            <v>18-648-17-07</v>
          </cell>
          <cell r="C2972" t="str">
            <v>Kanüle, Jefferson,  ø 1,7 mm, 10 cm</v>
          </cell>
          <cell r="D2972" t="str">
            <v>Cannula,  Jefferson,  ø 1,7mm, 10 cm</v>
          </cell>
        </row>
        <row r="2973">
          <cell r="B2973" t="str">
            <v>18-649-05-01</v>
          </cell>
          <cell r="C2973" t="str">
            <v>Saugkanüle, Rosen, gew., Luerlock,ø0,5mm</v>
          </cell>
          <cell r="D2973" t="str">
            <v>Suct. cannula,Rosen,ang.,Luerlock,ø0,5mm</v>
          </cell>
        </row>
        <row r="2974">
          <cell r="B2974" t="str">
            <v>18-649-07-01</v>
          </cell>
          <cell r="C2974" t="str">
            <v>Saugkanüle, Rosen, gew., Luerlock,ø0,7mm</v>
          </cell>
          <cell r="D2974" t="str">
            <v>Suct. cannula,Rosen,ang.,Luerlock,ø0,7mm</v>
          </cell>
        </row>
        <row r="2975">
          <cell r="B2975" t="str">
            <v>18-649-08-01</v>
          </cell>
          <cell r="C2975" t="str">
            <v>Saugkanüle, Rosen, gew., Luerlock,ø0,8mm</v>
          </cell>
          <cell r="D2975" t="str">
            <v>Suct. cannula,Rosen,ang.,Luerlock,ø0,8mm</v>
          </cell>
        </row>
        <row r="2976">
          <cell r="B2976" t="str">
            <v>18-649-09-01</v>
          </cell>
          <cell r="C2976" t="str">
            <v>Saugkanüle, Rosen, gew., Luerlock,ø0,9mm</v>
          </cell>
          <cell r="D2976" t="str">
            <v>Suct. cannula,Rosen,ang.,Luerlock,ø0,9mm</v>
          </cell>
        </row>
        <row r="2977">
          <cell r="B2977" t="str">
            <v>18-649-10-01</v>
          </cell>
          <cell r="C2977" t="str">
            <v>Saugkanüle, Rosen, gew., Luerlock,ø1,0mm</v>
          </cell>
          <cell r="D2977" t="str">
            <v>Suct. cannula,Rosen,ang.,Luerlock,ø1,0mm</v>
          </cell>
        </row>
        <row r="2978">
          <cell r="B2978" t="str">
            <v>18-649-12-01</v>
          </cell>
          <cell r="C2978" t="str">
            <v>Saugkanüle, Rosen, gew., Luerlock,ø1,2mm</v>
          </cell>
          <cell r="D2978" t="str">
            <v>Suct. cannula,Rosen,ang.,Luerlock,ø1,2mm</v>
          </cell>
        </row>
        <row r="2979">
          <cell r="B2979" t="str">
            <v>18-649-14-01</v>
          </cell>
          <cell r="C2979" t="str">
            <v>Saugkanüle, Rosen, gew., Luerlock,ø1,4mm</v>
          </cell>
          <cell r="D2979" t="str">
            <v>Suct. cannula,Rosen,ang.,Luerlock,ø1,4mm</v>
          </cell>
        </row>
        <row r="2980">
          <cell r="B2980" t="str">
            <v>18-649-15-01</v>
          </cell>
          <cell r="C2980" t="str">
            <v>Saugkanüle, Rosen, gew., Luerlock,ø1,5mm</v>
          </cell>
          <cell r="D2980" t="str">
            <v>Suct. cannula,Rosen,ang.,Luerlock,ø1,5mm</v>
          </cell>
        </row>
        <row r="2981">
          <cell r="B2981" t="str">
            <v>18-649-18-01</v>
          </cell>
          <cell r="C2981" t="str">
            <v>Saugkanüle, Rosen, gew., Luerlock,ø1,8mm</v>
          </cell>
          <cell r="D2981" t="str">
            <v>Suct. cannula,Rosen,ang.,Luerlock,ø1,8mm</v>
          </cell>
        </row>
        <row r="2982">
          <cell r="B2982" t="str">
            <v>18-649-20-01</v>
          </cell>
          <cell r="C2982" t="str">
            <v>Saugkanüle, Rosen, gew., Luerlock,ø2,0mm</v>
          </cell>
          <cell r="D2982" t="str">
            <v>Suct. cannula,Rosen,ang.,Luerlock,ø2,0mm</v>
          </cell>
        </row>
        <row r="2983">
          <cell r="B2983" t="str">
            <v>18-649-25-01</v>
          </cell>
          <cell r="C2983" t="str">
            <v>Saugkanüle, Rosen, gew., Luerlock,ø2,5mm</v>
          </cell>
          <cell r="D2983" t="str">
            <v>Suct. cannula,Rosen,ang.,Luerlock,ø2,5mm</v>
          </cell>
        </row>
        <row r="2984">
          <cell r="B2984" t="str">
            <v>18-649-30-01</v>
          </cell>
          <cell r="C2984" t="str">
            <v>Saugkanüle, Rosen, gew., Luerlock,ø3,0mm</v>
          </cell>
          <cell r="D2984" t="str">
            <v>Suct. cannula,Rosen,ang.,Luerlock,ø3,0mm</v>
          </cell>
        </row>
        <row r="2985">
          <cell r="B2985" t="str">
            <v>18-691-15-07</v>
          </cell>
          <cell r="C2985" t="str">
            <v>GEFÄSS-SPÜLKANÜLE, VOLLMAR,  1,5 MM, 6 CM</v>
          </cell>
          <cell r="D2985" t="str">
            <v>VESSEL IRRIGATION CANNULA,  1.5 MM, 6 CM</v>
          </cell>
        </row>
        <row r="2986">
          <cell r="B2986" t="str">
            <v>18-691-20-07</v>
          </cell>
          <cell r="C2986" t="str">
            <v>GEFÄSS-SPÜLKANÜLE, VOLLMAR,  2,0 MM, 6 CM</v>
          </cell>
          <cell r="D2986" t="str">
            <v>VESSEL IRRIGATION CANNULA,  2.0 MM, 6 CM</v>
          </cell>
        </row>
        <row r="2987">
          <cell r="B2987" t="str">
            <v>18-691-25-07</v>
          </cell>
          <cell r="C2987" t="str">
            <v>GEFÄSS-SPÜLKANÜLE, VOLLMAR,  2,5 MM, 6 CM</v>
          </cell>
          <cell r="D2987" t="str">
            <v>VESSEL IRRIGATION CANNULA,  2.5 MM, 6 CM</v>
          </cell>
        </row>
        <row r="2988">
          <cell r="B2988" t="str">
            <v>18-691-30-07</v>
          </cell>
          <cell r="C2988" t="str">
            <v>GEFÄSS-SPÜLKANÜLE, VOLLMAR,  3,0 MM, 6 CM</v>
          </cell>
          <cell r="D2988" t="str">
            <v>VESSEL IRRIGATION CANNULA,  3.0 MM, 6 CM</v>
          </cell>
        </row>
        <row r="2989">
          <cell r="B2989" t="str">
            <v>18-691-40-07</v>
          </cell>
          <cell r="C2989" t="str">
            <v>GEFÄSS-SPÜLKANÜLE, VOLLMAR,  4,0 MM, 6 CM</v>
          </cell>
          <cell r="D2989" t="str">
            <v>VESSEL IRRIGATION CANNULA,  4.0 MM, 6 CM</v>
          </cell>
        </row>
        <row r="2990">
          <cell r="B2990" t="str">
            <v>18-695-03-07</v>
          </cell>
          <cell r="C2990" t="str">
            <v>Kanüle, Schmid, biegsam,  ø 3 mm, 15 cm</v>
          </cell>
          <cell r="D2990" t="str">
            <v>Cannula,  Schmid, malleable,  ø 3 mm, 15cm</v>
          </cell>
        </row>
        <row r="2991">
          <cell r="B2991" t="str">
            <v>18-695-04-07</v>
          </cell>
          <cell r="C2991" t="str">
            <v>Kanüle, Schmid, biegsam,  ø 4 mm, 15 cm</v>
          </cell>
          <cell r="D2991" t="str">
            <v>Cannula,  Schmid, malleable,  ø 4 mm, 15cm</v>
          </cell>
        </row>
        <row r="2992">
          <cell r="B2992" t="str">
            <v>18-695-05-07</v>
          </cell>
          <cell r="C2992" t="str">
            <v>Kanüle, Schmid, biegsam,  ø 5 mm, 15 cm</v>
          </cell>
          <cell r="D2992" t="str">
            <v>Cannula,  Schmid, malleable,  ø 5 mm, 15cm</v>
          </cell>
        </row>
        <row r="2993">
          <cell r="B2993" t="str">
            <v>18-695-06-07</v>
          </cell>
          <cell r="C2993" t="str">
            <v>Kanüle, Schmid, biegsam,  ø 6 mm, 15 cm</v>
          </cell>
          <cell r="D2993" t="str">
            <v>Cannula,  Schmid, malleable,  ø 6 mm, 15cm</v>
          </cell>
        </row>
        <row r="2994">
          <cell r="B2994" t="str">
            <v>18-696-06-01</v>
          </cell>
          <cell r="C2994" t="str">
            <v>Kanüle, Heparin, Mock, ø2,9x0,8mm, 6,5cm</v>
          </cell>
          <cell r="D2994" t="str">
            <v>Cannula,  heparin, Mock, ø2,9x0,8mm,6,5cm</v>
          </cell>
        </row>
        <row r="2995">
          <cell r="B2995" t="str">
            <v>18-800-00-02</v>
          </cell>
          <cell r="C2995" t="str">
            <v>ZWISCHENSTÜCK, L/L WEIBL., REC. MÄNNL.</v>
          </cell>
          <cell r="D2995" t="str">
            <v>CONNECTOR, L/L FEMALE, RECORD MALE</v>
          </cell>
        </row>
        <row r="2996">
          <cell r="B2996" t="str">
            <v>18-802-00-02</v>
          </cell>
          <cell r="C2996" t="str">
            <v>ZWISCHENSTÜCK, REC. WEIBL., LUER MÄNNL.</v>
          </cell>
          <cell r="D2996" t="str">
            <v>CONNECTOR, RECORD FEMALE, LUER MALE</v>
          </cell>
        </row>
        <row r="2997">
          <cell r="B2997" t="str">
            <v>18-804-00-02</v>
          </cell>
          <cell r="C2997" t="str">
            <v>SCHLAUCHVERBINDER, L/L, MÄNNL.</v>
          </cell>
          <cell r="D2997" t="str">
            <v>TUBE CONNECTOR, L/L, MALE</v>
          </cell>
        </row>
        <row r="2998">
          <cell r="B2998" t="str">
            <v>18-806-00-02</v>
          </cell>
          <cell r="C2998" t="str">
            <v>SCHLAUCHVERBINDER, L/L, WEIBL.</v>
          </cell>
          <cell r="D2998" t="str">
            <v>TUBE CONNECTOR, L/L, FEMALE</v>
          </cell>
        </row>
        <row r="2999">
          <cell r="B2999" t="str">
            <v>18-825-01-02</v>
          </cell>
          <cell r="C2999" t="str">
            <v>KATHETERANSATZ, KONISCH,  2,5X4,0 MM</v>
          </cell>
          <cell r="D2999" t="str">
            <v>CATHETER  FITTING, CONIC, 2.5X4.0 MM</v>
          </cell>
        </row>
        <row r="3000">
          <cell r="B3000" t="str">
            <v>18-825-02-02</v>
          </cell>
          <cell r="C3000" t="str">
            <v>KATHETERANSATZ, KONISCH,  2,5X6,5 MM</v>
          </cell>
          <cell r="D3000" t="str">
            <v>CATHETER  FITTING, CONIC, 2.5X6.5 MM</v>
          </cell>
        </row>
        <row r="3001">
          <cell r="B3001" t="str">
            <v>18-825-03-02</v>
          </cell>
          <cell r="C3001" t="str">
            <v>KATHETERANSATZ, KONISCH,  3,0X9,0 MM</v>
          </cell>
          <cell r="D3001" t="str">
            <v>CATHETER  FITTING, CONIC, 3,0X9.0 MM</v>
          </cell>
        </row>
        <row r="3002">
          <cell r="B3002" t="str">
            <v>18-840-00-02</v>
          </cell>
          <cell r="C3002" t="str">
            <v>DURCHFLUSSHAHN, L/L, WEIBL./MÄNNL.</v>
          </cell>
          <cell r="D3002" t="str">
            <v>STOPCOCK, L/L, FEMALE/MALE</v>
          </cell>
        </row>
        <row r="3003">
          <cell r="B3003" t="str">
            <v>18-845-00-02</v>
          </cell>
          <cell r="C3003" t="str">
            <v>DREIWEGEHAHN, L/L, MÄNNL.,  2X WEIBL.</v>
          </cell>
          <cell r="D3003" t="str">
            <v>STOPCOCK, L/L,1X MALE, 2X FEMALE</v>
          </cell>
        </row>
        <row r="3004">
          <cell r="B3004" t="str">
            <v>19-301-15-07</v>
          </cell>
          <cell r="C3004" t="str">
            <v>KATHETEREINFÜHRZANGE, MAGILL, 15,5 CM</v>
          </cell>
          <cell r="D3004" t="str">
            <v>CATHETER  INTRO. FORCEPS,  MAGILL, 15.5 CM</v>
          </cell>
        </row>
        <row r="3005">
          <cell r="B3005" t="str">
            <v>19-301-20-07</v>
          </cell>
          <cell r="C3005" t="str">
            <v>KATHETEREINFÜHRZANGE, MAGILL, 17,5 CM</v>
          </cell>
          <cell r="D3005" t="str">
            <v>CATHETER  INTRO. FORCEPS,  MAGILL, 17.5 CM</v>
          </cell>
        </row>
        <row r="3006">
          <cell r="B3006" t="str">
            <v>19-303-25-07</v>
          </cell>
          <cell r="C3006" t="str">
            <v>KATHETEREINFÜHRZANGE, MAGILL, 20 CM</v>
          </cell>
          <cell r="D3006" t="str">
            <v>CATHETER  INTRO. FORCEPS,  MAGILL, 20 CM</v>
          </cell>
        </row>
        <row r="3007">
          <cell r="B3007" t="str">
            <v>19-305-46-07</v>
          </cell>
          <cell r="C3007" t="str">
            <v>Einführungsinst., Katheter,  Dittel, 46cm</v>
          </cell>
          <cell r="D3007" t="str">
            <v>Guide, catheter,  Dittel, 46 cm</v>
          </cell>
        </row>
        <row r="3008">
          <cell r="B3008" t="str">
            <v>20-002-15-07</v>
          </cell>
          <cell r="C3008" t="str">
            <v>MIKRONADELHALTER, GER., M. SP., 15 CM</v>
          </cell>
          <cell r="D3008" t="str">
            <v>MICRO NEEDLEHOLDER, STR., W. LOCK, 15 CM</v>
          </cell>
        </row>
        <row r="3009">
          <cell r="B3009" t="str">
            <v>20-002-18-07</v>
          </cell>
          <cell r="C3009" t="str">
            <v>MIKRONADELHALTER, GER., M. SP., 18 CM</v>
          </cell>
          <cell r="D3009" t="str">
            <v>MICRO NEEDLEHOLDER, STR., W. LOCK, 18 CM</v>
          </cell>
        </row>
        <row r="3010">
          <cell r="B3010" t="str">
            <v>20-003-15-07</v>
          </cell>
          <cell r="C3010" t="str">
            <v>MIKRONADELHALTER, GEB., M. SP., 15 CM</v>
          </cell>
          <cell r="D3010" t="str">
            <v>MICRO NEEDLEHOLDER, CVD., W. LOCK, 15 CM</v>
          </cell>
        </row>
        <row r="3011">
          <cell r="B3011" t="str">
            <v>20-003-18-07</v>
          </cell>
          <cell r="C3011" t="str">
            <v>MIKRONADELHALTER, GEB., M. SP., 18 CM</v>
          </cell>
          <cell r="D3011" t="str">
            <v>MICRO NEEDLEHOLDER, CVD., W. LOCK, 18 CM</v>
          </cell>
        </row>
        <row r="3012">
          <cell r="B3012" t="str">
            <v>20-004-15-07</v>
          </cell>
          <cell r="C3012" t="str">
            <v>MIKRONADELHALTER, GER., O. SP., 15 CM</v>
          </cell>
          <cell r="D3012" t="str">
            <v>MICRO NEEDLEHOLD., STR., W/O LOCK, 15 CM</v>
          </cell>
        </row>
        <row r="3013">
          <cell r="B3013" t="str">
            <v>20-004-18-07</v>
          </cell>
          <cell r="C3013" t="str">
            <v>MIKRONADELHALTER, GER., O. SP., 18 CM</v>
          </cell>
          <cell r="D3013" t="str">
            <v>MICRO NEEDLEHOLD., STR., W/O LOCK, 18 CM</v>
          </cell>
        </row>
        <row r="3014">
          <cell r="B3014" t="str">
            <v>20-005-15-07</v>
          </cell>
          <cell r="C3014" t="str">
            <v>MIKRONADELHALTER, GEB., O. SP., 15 CM</v>
          </cell>
          <cell r="D3014" t="str">
            <v>MICRO NEEDLEHOLD., CVD., W/O LOCK, 15 CM</v>
          </cell>
        </row>
        <row r="3015">
          <cell r="B3015" t="str">
            <v>20-005-18-07</v>
          </cell>
          <cell r="C3015" t="str">
            <v>MIKRONADELHALTER, GEB., O. SP., 18 CM</v>
          </cell>
          <cell r="D3015" t="str">
            <v>MICRO NEEDLEHOLD., CVD., W/O LOCK, 18 CM</v>
          </cell>
        </row>
        <row r="3016">
          <cell r="B3016" t="str">
            <v>20-010-15-07</v>
          </cell>
          <cell r="C3016" t="str">
            <v>MIKRONADELHALTER, GER., M. SP., 15 CM</v>
          </cell>
          <cell r="D3016" t="str">
            <v>MICRO NEEDLEHOLDER, STR., W. LOCK, 15 CM</v>
          </cell>
        </row>
        <row r="3017">
          <cell r="B3017" t="str">
            <v>20-010-18-07</v>
          </cell>
          <cell r="C3017" t="str">
            <v>MIKRONADELHALTER, GER., M. SP., 18 CM</v>
          </cell>
          <cell r="D3017" t="str">
            <v>MICRO NEEDLEHOLDER, STR., W. LOCK, 18 CM</v>
          </cell>
        </row>
        <row r="3018">
          <cell r="B3018" t="str">
            <v>20-010-21-07</v>
          </cell>
          <cell r="C3018" t="str">
            <v>MIKRONADELHALTER, GER., M. SP., 21 CM</v>
          </cell>
          <cell r="D3018" t="str">
            <v>MICRO NEEDLEHOLDER, STR., W. LOCK, 21 CM</v>
          </cell>
        </row>
        <row r="3019">
          <cell r="B3019" t="str">
            <v>20-010-23-07</v>
          </cell>
          <cell r="C3019" t="str">
            <v>MIKRONADELHALTER, GER., M. SP., 23 CM</v>
          </cell>
          <cell r="D3019" t="str">
            <v>MICRO NEEDLEHOLDER, STR., W. LOCK, 23 CM</v>
          </cell>
        </row>
        <row r="3020">
          <cell r="B3020" t="str">
            <v>20-011-15-07</v>
          </cell>
          <cell r="C3020" t="str">
            <v>MIKRONADELHALTER, GEB., M. SP., 15 CM</v>
          </cell>
          <cell r="D3020" t="str">
            <v>MICRO NEEDLEHOLDER, CVD., W. LOCK, 15 CM</v>
          </cell>
        </row>
        <row r="3021">
          <cell r="B3021" t="str">
            <v>20-011-18-07</v>
          </cell>
          <cell r="C3021" t="str">
            <v>MIKRONADELHALTER, GEB., M. SP., 18 CM</v>
          </cell>
          <cell r="D3021" t="str">
            <v>MICRO NEEDLEHOLDER, CVD., W. LOCK, 18 CM</v>
          </cell>
        </row>
        <row r="3022">
          <cell r="B3022" t="str">
            <v>20-011-21-07</v>
          </cell>
          <cell r="C3022" t="str">
            <v>MIKRONADELHALTER, GEB., M. SP., 21 CM</v>
          </cell>
          <cell r="D3022" t="str">
            <v>MICRO NEEDLEHOLDER, CVD., W. LOCK, 21 CM</v>
          </cell>
        </row>
        <row r="3023">
          <cell r="B3023" t="str">
            <v>20-011-23-07</v>
          </cell>
          <cell r="C3023" t="str">
            <v>MIKRONADELHALTER, GEB., M. SP., 23 CM</v>
          </cell>
          <cell r="D3023" t="str">
            <v>MICRO NEEDLEHOLDER, CVD., W. LOCK, 23 CM</v>
          </cell>
        </row>
        <row r="3024">
          <cell r="B3024" t="str">
            <v>20-012-15-07</v>
          </cell>
          <cell r="C3024" t="str">
            <v>MIKRONADELHALTER, GER., O. SP., 15 CM</v>
          </cell>
          <cell r="D3024" t="str">
            <v>MICRO NEEDLEHHOLDER, STR., W/O LOCK, 15</v>
          </cell>
        </row>
        <row r="3025">
          <cell r="B3025" t="str">
            <v>20-012-18-07</v>
          </cell>
          <cell r="C3025" t="str">
            <v>MIKRONADELHALTER, GER., O. SP., 18 CM</v>
          </cell>
          <cell r="D3025" t="str">
            <v>MICRO NEEDLEHHOLDER, STR., W/O LOCK, 18</v>
          </cell>
        </row>
        <row r="3026">
          <cell r="B3026" t="str">
            <v>20-012-21-07</v>
          </cell>
          <cell r="C3026" t="str">
            <v>MIKRONADELHALTER, GER., O. SP., 21 CM</v>
          </cell>
          <cell r="D3026" t="str">
            <v>MICRO NEEDLEHHOLDER, STR., W/O LOCK, 21</v>
          </cell>
        </row>
        <row r="3027">
          <cell r="B3027" t="str">
            <v>20-012-23-07</v>
          </cell>
          <cell r="C3027" t="str">
            <v>MIKRONADELHALTER, GER., O. SP., 23 CM</v>
          </cell>
          <cell r="D3027" t="str">
            <v>MICRO NEEDLEHHOLDER, STR., W/O LOCK, 23</v>
          </cell>
        </row>
        <row r="3028">
          <cell r="B3028" t="str">
            <v>20-013-15-07</v>
          </cell>
          <cell r="C3028" t="str">
            <v>MIKRONADELHALTER, GEB., O. SP., 15 CM</v>
          </cell>
          <cell r="D3028" t="str">
            <v>MICRO NEEDLEHHOLDER, CVD., W/O LOCK, 15</v>
          </cell>
        </row>
        <row r="3029">
          <cell r="B3029" t="str">
            <v>20-013-18-07</v>
          </cell>
          <cell r="C3029" t="str">
            <v>MIKRONADELHALTER, GEB., O. SP., 18 CM</v>
          </cell>
          <cell r="D3029" t="str">
            <v>MICRO NEEDLEHHOLDER, CVD., W/O LOCK, 18</v>
          </cell>
        </row>
        <row r="3030">
          <cell r="B3030" t="str">
            <v>20-013-21-07</v>
          </cell>
          <cell r="C3030" t="str">
            <v>MIKRONADELHALTER, GEB., O. SP., 21 CM</v>
          </cell>
          <cell r="D3030" t="str">
            <v>MICRO NEEDLEHHOLDER, CVD., W/O LOCK, 21</v>
          </cell>
        </row>
        <row r="3031">
          <cell r="B3031" t="str">
            <v>20-013-23-07</v>
          </cell>
          <cell r="C3031" t="str">
            <v>MIKRONADELHALTER, GEB., O. SP., 23 CM</v>
          </cell>
          <cell r="D3031" t="str">
            <v>MICRO NEEDLEHHOLDER, CVD., W/O LOCK, 23</v>
          </cell>
        </row>
        <row r="3032">
          <cell r="B3032" t="str">
            <v>20-016-15-09</v>
          </cell>
          <cell r="C3032" t="str">
            <v>TI-MIKRONADELHALTER, GER., M. SP., 15 CM</v>
          </cell>
          <cell r="D3032" t="str">
            <v>TI-MICRO  NEEDLEH.,  STR., W. LOCK, 15 CM</v>
          </cell>
        </row>
        <row r="3033">
          <cell r="B3033" t="str">
            <v>20-016-18-09</v>
          </cell>
          <cell r="C3033" t="str">
            <v>TI-MIKRONADELHALTER, GER., M. SP., 18 CM</v>
          </cell>
          <cell r="D3033" t="str">
            <v>TI-MICRO  NEEDLEH.,  STR., W. LOCK, 18 CM</v>
          </cell>
        </row>
        <row r="3034">
          <cell r="B3034" t="str">
            <v>20-017-15-09</v>
          </cell>
          <cell r="C3034" t="str">
            <v>TI-MIKRONADELHALTER, GEB., M. SP., 15 CM</v>
          </cell>
          <cell r="D3034" t="str">
            <v>TI-MICRO  NEEDLEH.,  CVD., W. LOCK, 15 CM</v>
          </cell>
        </row>
        <row r="3035">
          <cell r="B3035" t="str">
            <v>20-017-18-09</v>
          </cell>
          <cell r="C3035" t="str">
            <v>TI-MIKRONADELHALTER, GEB., M. SP., 18 CM</v>
          </cell>
          <cell r="D3035" t="str">
            <v>TI-MICRO  NEEDLEH.,  CVD., W. LOCK, 18 CM</v>
          </cell>
        </row>
        <row r="3036">
          <cell r="B3036" t="str">
            <v>20-018-15-09</v>
          </cell>
          <cell r="C3036" t="str">
            <v>TI-MIKRONADELHALTER, GER., O. SP., 15 CM</v>
          </cell>
          <cell r="D3036" t="str">
            <v>TI-MICRO  NEEDLEH.,  STR., W/O LOCK, 15 CM</v>
          </cell>
        </row>
        <row r="3037">
          <cell r="B3037" t="str">
            <v>20-018-18-09</v>
          </cell>
          <cell r="C3037" t="str">
            <v>TI-MIKRONADELHALTER, GER., O. SP., 18 CM</v>
          </cell>
          <cell r="D3037" t="str">
            <v>TI-MICRO  NEEDLEH.,  STR., W/O LOCK, 18 CM</v>
          </cell>
        </row>
        <row r="3038">
          <cell r="B3038" t="str">
            <v>20-019-15-09</v>
          </cell>
          <cell r="C3038" t="str">
            <v>TI-MIKRONADELHALTER, GEB., O. SP., 15 CM</v>
          </cell>
          <cell r="D3038" t="str">
            <v>TI-MICRO  NEEDLEH.,  CVD., W/O LOCK, 15 CM</v>
          </cell>
        </row>
        <row r="3039">
          <cell r="B3039" t="str">
            <v>20-019-18-09</v>
          </cell>
          <cell r="C3039" t="str">
            <v>TI-MIKRONADELHALTER, GEB., O. SP., 18 CM</v>
          </cell>
          <cell r="D3039" t="str">
            <v>TI-MICRO  NEEDLEH.,  CVD., W/O LOCK, 18 CM</v>
          </cell>
        </row>
        <row r="3040">
          <cell r="B3040" t="str">
            <v>20-020-15-09</v>
          </cell>
          <cell r="C3040" t="str">
            <v>TI-MIKRONADELHALTER, GER., M. SP., 15 CM</v>
          </cell>
          <cell r="D3040" t="str">
            <v>TI-MICRO  NEEDLEH.,  STR., W. LOCK, 15 CM</v>
          </cell>
        </row>
        <row r="3041">
          <cell r="B3041" t="str">
            <v>20-020-18-09</v>
          </cell>
          <cell r="C3041" t="str">
            <v>TI-MIKRONADELHALTER, GER., M. SP., 18 CM</v>
          </cell>
          <cell r="D3041" t="str">
            <v>TI-MICRO  NEEDLEH.,  STR., W. LOCK, 18 CM</v>
          </cell>
        </row>
        <row r="3042">
          <cell r="B3042" t="str">
            <v>20-020-21-09</v>
          </cell>
          <cell r="C3042" t="str">
            <v>TI-MIKRONADELHALTER, GER., M. SP., 21 CM</v>
          </cell>
          <cell r="D3042" t="str">
            <v>TI-MICRO  NEEDLEH.,  STR., W. LOCK, 21 CM</v>
          </cell>
        </row>
        <row r="3043">
          <cell r="B3043" t="str">
            <v>20-020-23-09</v>
          </cell>
          <cell r="C3043" t="str">
            <v>Ti-Mikronadelh., ger., m.Sp., 0,8mm,23cm</v>
          </cell>
          <cell r="D3043" t="str">
            <v>Ti.-Micro.-ndh.,str.,w. lock, 0,8mm,23cm</v>
          </cell>
        </row>
        <row r="3044">
          <cell r="B3044" t="str">
            <v>20-021-15-09</v>
          </cell>
          <cell r="C3044" t="str">
            <v>TI-MIKRONADELHALTER, GEB., M. SP., 15 CM</v>
          </cell>
          <cell r="D3044" t="str">
            <v>TI-MICRO  NEEDLEH.,  CVD., W. LOCK, 15 CM</v>
          </cell>
        </row>
        <row r="3045">
          <cell r="B3045" t="str">
            <v>20-021-18-09</v>
          </cell>
          <cell r="C3045" t="str">
            <v>TI-MIKRONADELHALTER, GEB., M. SP., 18 CM</v>
          </cell>
          <cell r="D3045" t="str">
            <v>TI-MICRO  NEEDLEH.,  CVD., W. LOCK, 18 CM</v>
          </cell>
        </row>
        <row r="3046">
          <cell r="B3046" t="str">
            <v>20-021-21-09</v>
          </cell>
          <cell r="C3046" t="str">
            <v>TI-MIKRONADELHALTER, GEB., M. SP., 21 CM</v>
          </cell>
          <cell r="D3046" t="str">
            <v>TI-MICRO  NEEDLEH.,  CVD., W. LOCK, 21 CM</v>
          </cell>
        </row>
        <row r="3047">
          <cell r="B3047" t="str">
            <v>20-021-23-09</v>
          </cell>
          <cell r="C3047" t="str">
            <v>Ti-Mikronadelh., geb., m.Sp., 0,8mm,23cm</v>
          </cell>
          <cell r="D3047" t="str">
            <v>Ti.-Micro.-ndh., cvd.,w.lock,0,8mm,23cm</v>
          </cell>
        </row>
        <row r="3048">
          <cell r="B3048" t="str">
            <v>20-022-15-09</v>
          </cell>
          <cell r="C3048" t="str">
            <v>TI-MIKRONADELHALTER, GER., O. SP., 15 CM</v>
          </cell>
          <cell r="D3048" t="str">
            <v>TI-MICRO  NEEDLEH.,  STR., W/O LOCK, 15 CM</v>
          </cell>
        </row>
        <row r="3049">
          <cell r="B3049" t="str">
            <v>20-022-18-09</v>
          </cell>
          <cell r="C3049" t="str">
            <v>TI-MIKRONADELHALTER, GER., O. SP., 18 CM</v>
          </cell>
          <cell r="D3049" t="str">
            <v>TI-MICRO  NEEDLEH.,  STR., W/O LOCK, 18 CM</v>
          </cell>
        </row>
        <row r="3050">
          <cell r="B3050" t="str">
            <v>20-022-21-09</v>
          </cell>
          <cell r="C3050" t="str">
            <v>TI-MIKRONADELHALTER, GER., O. SP., 21 CM</v>
          </cell>
          <cell r="D3050" t="str">
            <v>TI-MICRO  NEEDLEH.,  STR., W/O LOCK, 21 CM</v>
          </cell>
        </row>
        <row r="3051">
          <cell r="B3051" t="str">
            <v>20-022-23-09</v>
          </cell>
          <cell r="C3051" t="str">
            <v>Ti-Mikronadelh., ger., o.Sp., 0,8mm,23cm</v>
          </cell>
          <cell r="D3051" t="str">
            <v>Ti.-Micro.-ndh.,str.,w/o lock,0,8mm,23cm</v>
          </cell>
        </row>
        <row r="3052">
          <cell r="B3052" t="str">
            <v>20-023-15-09</v>
          </cell>
          <cell r="C3052" t="str">
            <v>TI-MIKRONADELHALTER, GEB., O. SP., 15 CM</v>
          </cell>
          <cell r="D3052" t="str">
            <v>TI-MICRO  NEEDLEH.,  CVD., W/O LOCK, 15 CM</v>
          </cell>
        </row>
        <row r="3053">
          <cell r="B3053" t="str">
            <v>20-023-18-09</v>
          </cell>
          <cell r="C3053" t="str">
            <v>TI-MIKRONADELHALTER, GEB., O. SP., 18 CM</v>
          </cell>
          <cell r="D3053" t="str">
            <v>TI-MICRO  NEEDLEH.,  CVD., W/O LOCK, 18 CM</v>
          </cell>
        </row>
        <row r="3054">
          <cell r="B3054" t="str">
            <v>20-023-21-09</v>
          </cell>
          <cell r="C3054" t="str">
            <v>TI-MIKRONADELHALTER, GEB., O. SP., 21 CM</v>
          </cell>
          <cell r="D3054" t="str">
            <v>TI-MICRO  NEEDLEH.,  CVD., W/O LOCK, 21 CM</v>
          </cell>
        </row>
        <row r="3055">
          <cell r="B3055" t="str">
            <v>20-023-23-09</v>
          </cell>
          <cell r="C3055" t="str">
            <v>Ti-Mikronadelh., geb., o.Sp., 0,8mm,23cm</v>
          </cell>
          <cell r="D3055" t="str">
            <v>Ti.-Micro.-ndh.,cvd.,w/o lock,0,8mm,23cm</v>
          </cell>
        </row>
        <row r="3056">
          <cell r="B3056" t="str">
            <v>20-030-15-07</v>
          </cell>
          <cell r="C3056" t="str">
            <v>Mikronadelh., ger., m.Sp., 1,2 mm, 15 cm</v>
          </cell>
          <cell r="D3056" t="str">
            <v>Micro needleh.,  str.,w.lock,  1,2mm, 15cm</v>
          </cell>
        </row>
        <row r="3057">
          <cell r="B3057" t="str">
            <v>20-030-15-09</v>
          </cell>
          <cell r="C3057" t="str">
            <v>Ti-Mikronadelh., ger., m.Sp., 1,2mm,15cm</v>
          </cell>
          <cell r="D3057" t="str">
            <v>Ti.-Microneedleh.,str.,w.lock,1,2mm,15cm</v>
          </cell>
        </row>
        <row r="3058">
          <cell r="B3058" t="str">
            <v>20-030-18-07</v>
          </cell>
          <cell r="C3058" t="str">
            <v>Mikronadelh., ger., m.Sp., 1,2 mm, 18 cm</v>
          </cell>
          <cell r="D3058" t="str">
            <v>Micro needleh.,  str.,w.lock,  1,2mm, 18cm</v>
          </cell>
        </row>
        <row r="3059">
          <cell r="B3059" t="str">
            <v>20-030-18-09</v>
          </cell>
          <cell r="C3059" t="str">
            <v>Ti-Mikronadelh., ger., m.Sp., 1,2mm,18cm</v>
          </cell>
          <cell r="D3059" t="str">
            <v>Ti.-Microneedleh.,str.,w.lock,1,2mm,18cm</v>
          </cell>
        </row>
        <row r="3060">
          <cell r="B3060" t="str">
            <v>20-030-21-07</v>
          </cell>
          <cell r="C3060" t="str">
            <v>Mikronadelh., ger., m.Sp., 1,2 mm, 21 cm</v>
          </cell>
          <cell r="D3060" t="str">
            <v>Micro needleh.,  str.,w.lock,  1,2mm, 21cm</v>
          </cell>
        </row>
        <row r="3061">
          <cell r="B3061" t="str">
            <v>20-030-21-09</v>
          </cell>
          <cell r="C3061" t="str">
            <v>Ti-Mikronadelh., ger., m.Sp., 1,2mm,21cm</v>
          </cell>
          <cell r="D3061" t="str">
            <v>Ti.-Microneedleh.,str.,w.lock,1,2mm,21cm</v>
          </cell>
        </row>
        <row r="3062">
          <cell r="B3062" t="str">
            <v>20-030-23-07</v>
          </cell>
          <cell r="C3062" t="str">
            <v>Mikronadelh., ger., m.Sp., 1,2 mm, 23 cm</v>
          </cell>
          <cell r="D3062" t="str">
            <v>Micro needleh.,  str.,w.lock,  1,2mm, 23cm</v>
          </cell>
        </row>
        <row r="3063">
          <cell r="B3063" t="str">
            <v>20-030-23-09</v>
          </cell>
          <cell r="C3063" t="str">
            <v>Ti-Mikronadelh., ger., m.Sp., 1,2mm,23cm</v>
          </cell>
          <cell r="D3063" t="str">
            <v>Ti.-Microneedleh.,str.,w.lock,1,2mm,23cm</v>
          </cell>
        </row>
        <row r="3064">
          <cell r="B3064" t="str">
            <v>20-031-15-07</v>
          </cell>
          <cell r="C3064" t="str">
            <v>Mikronadelh., geb., m.Sp., 1,2 mm, 15 cm</v>
          </cell>
          <cell r="D3064" t="str">
            <v>Micro needleh.,  cvd.,w.lock, 1,2mm, 15cm</v>
          </cell>
        </row>
        <row r="3065">
          <cell r="B3065" t="str">
            <v>20-031-15-09</v>
          </cell>
          <cell r="C3065" t="str">
            <v>Ti-Mikronadelh., geb., m.Sp., 1,2mm,15cm</v>
          </cell>
          <cell r="D3065" t="str">
            <v>Ti.-Microneedleh.,cvd.,w.lock,1,2mm,15cm</v>
          </cell>
        </row>
        <row r="3066">
          <cell r="B3066" t="str">
            <v>20-031-18-07</v>
          </cell>
          <cell r="C3066" t="str">
            <v>Mikronadelh., geb., m.Sp., 1,2 mm, 18 cm</v>
          </cell>
          <cell r="D3066" t="str">
            <v>Micro needleh.,  cvd.,w.lock, 1,2mm, 18cm</v>
          </cell>
        </row>
        <row r="3067">
          <cell r="B3067" t="str">
            <v>20-031-18-09</v>
          </cell>
          <cell r="C3067" t="str">
            <v>Ti-Mikronadelh., geb., m.Sp., 1,2mm,18cm</v>
          </cell>
          <cell r="D3067" t="str">
            <v>Ti.-Microneedleh.,cvd.,w.lock,1,2mm,18cm</v>
          </cell>
        </row>
        <row r="3068">
          <cell r="B3068" t="str">
            <v>20-031-21-07</v>
          </cell>
          <cell r="C3068" t="str">
            <v>Mikronadelh., geb., m.Sp., 1,2 mm, 21 cm</v>
          </cell>
          <cell r="D3068" t="str">
            <v>Micro needleh.,  cvd.,w.lock, 1,2mm, 21cm</v>
          </cell>
        </row>
        <row r="3069">
          <cell r="B3069" t="str">
            <v>20-031-21-09</v>
          </cell>
          <cell r="C3069" t="str">
            <v>Ti-Mikronadelh., geb., m.Sp., 1,2mm,21cm</v>
          </cell>
          <cell r="D3069" t="str">
            <v>Ti.-Microneedleh.,cvd.,w.lock,1,2mm,21cm</v>
          </cell>
        </row>
        <row r="3070">
          <cell r="B3070" t="str">
            <v>20-031-23-07</v>
          </cell>
          <cell r="C3070" t="str">
            <v>Mikronadelh., geb., m.Sp., 1,2 mm, 23 cm</v>
          </cell>
          <cell r="D3070" t="str">
            <v>Micro needleh.,  cvd.,w.lock, 1,2mm, 23cm</v>
          </cell>
        </row>
        <row r="3071">
          <cell r="B3071" t="str">
            <v>20-031-23-09</v>
          </cell>
          <cell r="C3071" t="str">
            <v>Ti-Mikronadelh., geb., m.Sp., 1,2mm,23cm</v>
          </cell>
          <cell r="D3071" t="str">
            <v>Ti.-Microneedleh.,cvd.,w.lock,1,2mm,23cm</v>
          </cell>
        </row>
        <row r="3072">
          <cell r="B3072" t="str">
            <v>20-032-15-07</v>
          </cell>
          <cell r="C3072" t="str">
            <v>Mikronadelh., ger., o.Sp., 1,2 mm, 15 cm</v>
          </cell>
          <cell r="D3072" t="str">
            <v>Micro needleh.,str.,w/o lock, 1,2mm,15cm</v>
          </cell>
        </row>
        <row r="3073">
          <cell r="B3073" t="str">
            <v>20-032-15-09</v>
          </cell>
          <cell r="C3073" t="str">
            <v>Ti-Mikronadelh., ger., o.Sp., 1,2mm,15cm</v>
          </cell>
          <cell r="D3073" t="str">
            <v>Ti.-Micro.-ndh.,str.,w/o lock,1,2mm,15cm</v>
          </cell>
        </row>
        <row r="3074">
          <cell r="B3074" t="str">
            <v>20-032-18-07</v>
          </cell>
          <cell r="C3074" t="str">
            <v>Mikronadelh., ger., o.Sp., 1,2 mm, 18 cm</v>
          </cell>
          <cell r="D3074" t="str">
            <v>Micro needleh.,str.,w/o lock, 1,2mm,18cm</v>
          </cell>
        </row>
        <row r="3075">
          <cell r="B3075" t="str">
            <v>20-032-18-09</v>
          </cell>
          <cell r="C3075" t="str">
            <v>Ti-Mikronadelh., ger., o.Sp., 1,2mm,18cm</v>
          </cell>
          <cell r="D3075" t="str">
            <v>Ti.-Micro.-ndh.,str.,w/o lock,1,2mm,18cm</v>
          </cell>
        </row>
        <row r="3076">
          <cell r="B3076" t="str">
            <v>20-032-21-07</v>
          </cell>
          <cell r="C3076" t="str">
            <v>Mikronadelh., ger., o.Sp., 1,2 mm, 21 cm</v>
          </cell>
          <cell r="D3076" t="str">
            <v>Micro needleh.,str.,w/o lock, 1,2mm,21cm</v>
          </cell>
        </row>
        <row r="3077">
          <cell r="B3077" t="str">
            <v>20-032-21-09</v>
          </cell>
          <cell r="C3077" t="str">
            <v>Ti-Mikronadelh., ger., o.Sp., 1,2mm,21cm</v>
          </cell>
          <cell r="D3077" t="str">
            <v>Ti.-Micro.-ndh.,str.,w/o lock,1,2mm,21cm</v>
          </cell>
        </row>
        <row r="3078">
          <cell r="B3078" t="str">
            <v>20-032-23-07</v>
          </cell>
          <cell r="C3078" t="str">
            <v>Mikronadelh., ger., o.Sp., 1,2 mm, 23 cm</v>
          </cell>
          <cell r="D3078" t="str">
            <v>Micro needleh.,str.,w/o lock, 1,2mm,23cm</v>
          </cell>
        </row>
        <row r="3079">
          <cell r="B3079" t="str">
            <v>20-032-23-09</v>
          </cell>
          <cell r="C3079" t="str">
            <v>Ti-Mikronadelh., ger., o.Sp., 1,2mm,23cm</v>
          </cell>
          <cell r="D3079" t="str">
            <v>Ti.-Micro.-ndh.,str.,w/o lock,1,2mm,23cm</v>
          </cell>
        </row>
        <row r="3080">
          <cell r="B3080" t="str">
            <v>20-033-15-07</v>
          </cell>
          <cell r="C3080" t="str">
            <v>Mikronadelh., geb., o.Sp., 1,2 mm, 15 cm</v>
          </cell>
          <cell r="D3080" t="str">
            <v>Micro needleh.,  cvd.,w/o lock,1,2mm,15cm</v>
          </cell>
        </row>
        <row r="3081">
          <cell r="B3081" t="str">
            <v>20-033-15-09</v>
          </cell>
          <cell r="C3081" t="str">
            <v>Ti-Mikronadelh., geb., o.Sp., 1,2mm,15cm</v>
          </cell>
          <cell r="D3081" t="str">
            <v>Ti.-Micro.-ndh.,cvd.,w/o lock,1,2mm,15cm</v>
          </cell>
        </row>
        <row r="3082">
          <cell r="B3082" t="str">
            <v>20-033-18-07</v>
          </cell>
          <cell r="C3082" t="str">
            <v>Mikronadelh., geb., o.Sp., 1,2 mm, 18 cm</v>
          </cell>
          <cell r="D3082" t="str">
            <v>Micro needleh.,  cvd.,w/o lock,1,2mm,18cm</v>
          </cell>
        </row>
        <row r="3083">
          <cell r="B3083" t="str">
            <v>20-033-18-09</v>
          </cell>
          <cell r="C3083" t="str">
            <v>Ti-Mikronadelh., geb., o.Sp., 1,2mm,18cm</v>
          </cell>
          <cell r="D3083" t="str">
            <v>Ti.-Micro.-ndh.,cvd.,w/o lock,1,2mm,18cm</v>
          </cell>
        </row>
        <row r="3084">
          <cell r="B3084" t="str">
            <v>20-033-21-07</v>
          </cell>
          <cell r="C3084" t="str">
            <v>Mikronadelh., geb., o.Sp., 1,2 mm, 21 cm</v>
          </cell>
          <cell r="D3084" t="str">
            <v>Micro needleh.,  cvd.,w/o lock,1,2mm,21cm</v>
          </cell>
        </row>
        <row r="3085">
          <cell r="B3085" t="str">
            <v>20-033-21-09</v>
          </cell>
          <cell r="C3085" t="str">
            <v>Ti-Mikronadelh., geb., o.Sp., 1,2mm,21cm</v>
          </cell>
          <cell r="D3085" t="str">
            <v>Ti.-Micro.-ndh.,cvd.,w/o lock,1,2mm,21cm</v>
          </cell>
        </row>
        <row r="3086">
          <cell r="B3086" t="str">
            <v>20-033-23-07</v>
          </cell>
          <cell r="C3086" t="str">
            <v>Mikronadelh., geb., o.Sp., 1,2 mm, 23 cm</v>
          </cell>
          <cell r="D3086" t="str">
            <v>Micro needleh.,  cvd.,w/o lock,1,2mm,23cm</v>
          </cell>
        </row>
        <row r="3087">
          <cell r="B3087" t="str">
            <v>20-033-23-09</v>
          </cell>
          <cell r="C3087" t="str">
            <v>Ti-Mikronadelh., geb., o.Sp., 1,2mm,23cm</v>
          </cell>
          <cell r="D3087" t="str">
            <v>Ti.-Micro.-ndh.,cvd.,w/o lock,1,2mm,23cm</v>
          </cell>
        </row>
        <row r="3088">
          <cell r="B3088" t="str">
            <v>20-048-18-07</v>
          </cell>
          <cell r="C3088" t="str">
            <v>Mikro-Nadelhalter, ger., m. Sp., 18 cm</v>
          </cell>
          <cell r="D3088" t="str">
            <v>Micro-Needle Holder, str, w.ratchet,18cm</v>
          </cell>
        </row>
        <row r="3089">
          <cell r="B3089" t="str">
            <v>20-049-18-07</v>
          </cell>
          <cell r="C3089" t="str">
            <v>Mikro-Nadelhalter, geb., m. Sp., 18 cm</v>
          </cell>
          <cell r="D3089" t="str">
            <v>Micro-Needle Holder, cvd, w.ratchet,18cm</v>
          </cell>
        </row>
        <row r="3090">
          <cell r="B3090" t="str">
            <v>20-050-18-07</v>
          </cell>
          <cell r="C3090" t="str">
            <v>MIKRONADELHALTER, GERADE,  O. SP., 18 CM</v>
          </cell>
          <cell r="D3090" t="str">
            <v>MICRO NEEDLEHOLD 18CM WTHT/R</v>
          </cell>
        </row>
        <row r="3091">
          <cell r="B3091" t="str">
            <v>20-051-18-07</v>
          </cell>
          <cell r="C3091" t="str">
            <v>MIKRONADELHALTER, GEBOGEN,  O. SP., 18 CM</v>
          </cell>
          <cell r="D3091" t="str">
            <v>MICRO NEEDLEHOLD 18CM WTHT/R</v>
          </cell>
        </row>
        <row r="3092">
          <cell r="B3092" t="str">
            <v>20-123-01-04</v>
          </cell>
          <cell r="C3092" t="str">
            <v>CHIR. NADEL, G, 1/2 KREIS, FIG. 1</v>
          </cell>
          <cell r="D3092" t="str">
            <v>SURGICAL  NEEDLE, G, 1/2 CIRCLE, NO. 1</v>
          </cell>
        </row>
        <row r="3093">
          <cell r="B3093" t="str">
            <v>20-123-02-04</v>
          </cell>
          <cell r="C3093" t="str">
            <v>CHIR. NADEL, G, 1/2 KREIS, FIG. 2</v>
          </cell>
          <cell r="D3093" t="str">
            <v>SURGICAL  NEEDLE, G, 1/2 CIRCLE, NO. 2</v>
          </cell>
        </row>
        <row r="3094">
          <cell r="B3094" t="str">
            <v>20-123-03-04</v>
          </cell>
          <cell r="C3094" t="str">
            <v>CHIR. NADEL, G, 1/2 KREIS, FIG. 3</v>
          </cell>
          <cell r="D3094" t="str">
            <v>SURGICAL  NEEDLE, G, 1/2 CIRCLE, NO. 3</v>
          </cell>
        </row>
        <row r="3095">
          <cell r="B3095" t="str">
            <v>20-123-04-04</v>
          </cell>
          <cell r="C3095" t="str">
            <v>CHIR. NADEL, G, 1/2 KREIS, FIG. 4</v>
          </cell>
          <cell r="D3095" t="str">
            <v>SURGICAL  NEEDLE, G, 1/2 CIRCLE, NO. 4</v>
          </cell>
        </row>
        <row r="3096">
          <cell r="B3096" t="str">
            <v>20-123-05-04</v>
          </cell>
          <cell r="C3096" t="str">
            <v>CHIR. NADEL, G, 1/2 KREIS, FIG. 5</v>
          </cell>
          <cell r="D3096" t="str">
            <v>SURGICAL  NEEDLE, G, 1/2 CIRCLE, NO. 5</v>
          </cell>
        </row>
        <row r="3097">
          <cell r="B3097" t="str">
            <v>20-123-06-04</v>
          </cell>
          <cell r="C3097" t="str">
            <v>CHIR. NADEL, G, 1/2 KREIS, FIG. 6</v>
          </cell>
          <cell r="D3097" t="str">
            <v>SURGICAL  NEEDLE, G, 1/2 CIRCLE, NO. 6</v>
          </cell>
        </row>
        <row r="3098">
          <cell r="B3098" t="str">
            <v>20-123-07-04</v>
          </cell>
          <cell r="C3098" t="str">
            <v>CHIR. NADEL, G, 1/2 KREIS, FIG. 7</v>
          </cell>
          <cell r="D3098" t="str">
            <v>SURGICAL  NEEDLE, G, 1/2 CIRCLE, NO. 7</v>
          </cell>
        </row>
        <row r="3099">
          <cell r="B3099" t="str">
            <v>20-123-08-04</v>
          </cell>
          <cell r="C3099" t="str">
            <v>CHIR. NADEL, G, 1/2 KREIS, FIG. 8</v>
          </cell>
          <cell r="D3099" t="str">
            <v>SURGICAL  NEEDLE, G, 1/2 CIRCLE, NO. 8</v>
          </cell>
        </row>
        <row r="3100">
          <cell r="B3100" t="str">
            <v>20-123-09-04</v>
          </cell>
          <cell r="C3100" t="str">
            <v>CHIR. NADEL, G, 1/2 KREIS, FIG. 9</v>
          </cell>
          <cell r="D3100" t="str">
            <v>SURGICAL  NEEDLE, G, 1/2 CIRCLE, NO. 9</v>
          </cell>
        </row>
        <row r="3101">
          <cell r="B3101" t="str">
            <v>20-123-10-04</v>
          </cell>
          <cell r="C3101" t="str">
            <v>CHIR. NADEL, G, 1/2 KREIS, FIG. 10</v>
          </cell>
          <cell r="D3101" t="str">
            <v>SURGICAL  NEEDLE, G, 1/2 CIRCLE, NO. 10</v>
          </cell>
        </row>
        <row r="3102">
          <cell r="B3102" t="str">
            <v>20-123-11-04</v>
          </cell>
          <cell r="C3102" t="str">
            <v>CHIR. NADEL, G, 1/2 KREIS, FIG. 11</v>
          </cell>
          <cell r="D3102" t="str">
            <v>SURGICAL  NEEDLE, G, 1/2 CIRCLE, NO. 11</v>
          </cell>
        </row>
        <row r="3103">
          <cell r="B3103" t="str">
            <v>20-123-12-04</v>
          </cell>
          <cell r="C3103" t="str">
            <v>CHIR. NADEL, G, 1/2 KREIS, FIG. 12</v>
          </cell>
          <cell r="D3103" t="str">
            <v>SURGICAL  NEEDLE, G, 1/2 CIRCLE, NO. 12</v>
          </cell>
        </row>
        <row r="3104">
          <cell r="B3104" t="str">
            <v>20-123-13-04</v>
          </cell>
          <cell r="C3104" t="str">
            <v>CHIR. NADEL, G, 1/2 KREIS, FIG. 13</v>
          </cell>
          <cell r="D3104" t="str">
            <v>SURGICAL  NEEDLE, G, 1/2 CIRCLE, NO. 13</v>
          </cell>
        </row>
        <row r="3105">
          <cell r="B3105" t="str">
            <v>20-123-14-04</v>
          </cell>
          <cell r="C3105" t="str">
            <v>CHIR. NADEL, G, 1/2 KREIS, FIG. 14</v>
          </cell>
          <cell r="D3105" t="str">
            <v>SURGICAL  NEEDLE, G, 1/2 CIRCLE, NO. 14</v>
          </cell>
        </row>
        <row r="3106">
          <cell r="B3106" t="str">
            <v>20-123-15-04</v>
          </cell>
          <cell r="C3106" t="str">
            <v>CHIR. NADEL, G, 1/2 KREIS, FIG. 15</v>
          </cell>
          <cell r="D3106" t="str">
            <v>SURGICAL  NEEDLE, G, 1/2 CIRCLE, NO. 15</v>
          </cell>
        </row>
        <row r="3107">
          <cell r="B3107" t="str">
            <v>20-123-16-04</v>
          </cell>
          <cell r="C3107" t="str">
            <v>CHIR. NADEL, G, 1/2 KREIS, FIG. 16</v>
          </cell>
          <cell r="D3107" t="str">
            <v>SURGICAL  NEEDLE, G, 1/2 CIRCLE, NO. 16</v>
          </cell>
        </row>
        <row r="3108">
          <cell r="B3108" t="str">
            <v>20-127-01-04</v>
          </cell>
          <cell r="C3108" t="str">
            <v>CHIR. NADEL, GR, 1/2 KREIS, FIG. 1</v>
          </cell>
          <cell r="D3108" t="str">
            <v>SURGICAL  NEEDLE, GR, 1/2 CIRCLE, NO. 1</v>
          </cell>
        </row>
        <row r="3109">
          <cell r="B3109" t="str">
            <v>20-127-02-04</v>
          </cell>
          <cell r="C3109" t="str">
            <v>CHIR. NADEL, GR, 1/2 KREIS, FIG. 2</v>
          </cell>
          <cell r="D3109" t="str">
            <v>SURGICAL  NEEDLE, GR, 1/2 CIRCLE, NO. 2</v>
          </cell>
        </row>
        <row r="3110">
          <cell r="B3110" t="str">
            <v>20-127-03-04</v>
          </cell>
          <cell r="C3110" t="str">
            <v>CHIR. NADEL, GR, 1/2 KREIS, FIG. 3</v>
          </cell>
          <cell r="D3110" t="str">
            <v>SURGICAL  NEEDLE, GR, 1/2 CIRCLE, NO. 3</v>
          </cell>
        </row>
        <row r="3111">
          <cell r="B3111" t="str">
            <v>20-127-04-04</v>
          </cell>
          <cell r="C3111" t="str">
            <v>CHIR. NADEL, GR, 1/2 KREIS, FIG. 4</v>
          </cell>
          <cell r="D3111" t="str">
            <v>SURGICAL  NEEDLE, GR, 1/2 CIRCLE, NO. 4</v>
          </cell>
        </row>
        <row r="3112">
          <cell r="B3112" t="str">
            <v>20-127-05-04</v>
          </cell>
          <cell r="C3112" t="str">
            <v>CHIR. NADEL, GR, 1/2 KREIS, FIG. 5</v>
          </cell>
          <cell r="D3112" t="str">
            <v>SURGICAL  NEEDLE, GR, 1/2 CIRCLE, NO. 5</v>
          </cell>
        </row>
        <row r="3113">
          <cell r="B3113" t="str">
            <v>20-127-06-04</v>
          </cell>
          <cell r="C3113" t="str">
            <v>CHIR. NADEL, GR, 1/2 KREIS, FIG. 6</v>
          </cell>
          <cell r="D3113" t="str">
            <v>SURGICAL  NEEDLE, GR, 1/2 CIRCLE, NO. 6</v>
          </cell>
        </row>
        <row r="3114">
          <cell r="B3114" t="str">
            <v>20-127-07-04</v>
          </cell>
          <cell r="C3114" t="str">
            <v>CHIR. NADEL, GR, 1/2 KREIS, FIG. 7</v>
          </cell>
          <cell r="D3114" t="str">
            <v>SURGICAL  NEEDLE, GR, 1/2 CIRCLE, NO. 7</v>
          </cell>
        </row>
        <row r="3115">
          <cell r="B3115" t="str">
            <v>20-127-08-04</v>
          </cell>
          <cell r="C3115" t="str">
            <v>CHIR. NADEL, GR, 1/2 KREIS, FIG. 8</v>
          </cell>
          <cell r="D3115" t="str">
            <v>SURGICAL  NEEDLE, GR, 1/2 CIRCLE, NO. 8</v>
          </cell>
        </row>
        <row r="3116">
          <cell r="B3116" t="str">
            <v>20-127-09-04</v>
          </cell>
          <cell r="C3116" t="str">
            <v>CHIR. NADEL, GR, 1/2 KREIS, FIG. 9</v>
          </cell>
          <cell r="D3116" t="str">
            <v>SURGICAL  NEEDLE, GR, 1/2 CIRCLE, NO. 9</v>
          </cell>
        </row>
        <row r="3117">
          <cell r="B3117" t="str">
            <v>20-127-10-04</v>
          </cell>
          <cell r="C3117" t="str">
            <v>CHIR. NADEL, GR, 1/2 KREIS, FIG. 10</v>
          </cell>
          <cell r="D3117" t="str">
            <v>SURGICAL  NEEDLE, GR, 1/2 CIRCLE, NO. 10</v>
          </cell>
        </row>
        <row r="3118">
          <cell r="B3118" t="str">
            <v>20-127-11-04</v>
          </cell>
          <cell r="C3118" t="str">
            <v>CHIR. NADEL, GR, 1/2 KREIS, FIG. 11</v>
          </cell>
          <cell r="D3118" t="str">
            <v>SURGICAL  NEEDLE, GR, 1/2 CIRCLE, NO. 11</v>
          </cell>
        </row>
        <row r="3119">
          <cell r="B3119" t="str">
            <v>20-127-12-04</v>
          </cell>
          <cell r="C3119" t="str">
            <v>CHIR. NADEL, GR, 1/2 KREIS, FIG. 12</v>
          </cell>
          <cell r="D3119" t="str">
            <v>SURGICAL  NEEDLE, GR, 1/2 CIRCLE, NO. 12</v>
          </cell>
        </row>
        <row r="3120">
          <cell r="B3120" t="str">
            <v>20-127-13-04</v>
          </cell>
          <cell r="C3120" t="str">
            <v>CHIR. NADEL, GR, 1/2 KREIS, FIG. 13</v>
          </cell>
          <cell r="D3120" t="str">
            <v>SURGICAL  NEEDLE, GR, 1/2 CIRCLE, NO. 13</v>
          </cell>
        </row>
        <row r="3121">
          <cell r="B3121" t="str">
            <v>20-127-14-04</v>
          </cell>
          <cell r="C3121" t="str">
            <v>CHIR. NADEL, GR, 1/2 KREIS, FIG. 14</v>
          </cell>
          <cell r="D3121" t="str">
            <v>SURGICAL  NEEDLE, GR, 1/2 CIRCLE, NO. 14</v>
          </cell>
        </row>
        <row r="3122">
          <cell r="B3122" t="str">
            <v>20-127-15-04</v>
          </cell>
          <cell r="C3122" t="str">
            <v>CHIR. NADEL, GR, 1/2 KREIS, FIG. 15</v>
          </cell>
          <cell r="D3122" t="str">
            <v>SURGICAL  NEEDLE, GR, 1/2 CIRCLE, NO. 15</v>
          </cell>
        </row>
        <row r="3123">
          <cell r="B3123" t="str">
            <v>20-127-16-04</v>
          </cell>
          <cell r="C3123" t="str">
            <v>CHIR. NADEL, GR, 1/2 KREIS, FIG. 16</v>
          </cell>
          <cell r="D3123" t="str">
            <v>SURGICAL  NEEDLE, GR, 1/2 CIRCLE, NO. 16</v>
          </cell>
        </row>
        <row r="3124">
          <cell r="B3124" t="str">
            <v>20-133-01-04</v>
          </cell>
          <cell r="C3124" t="str">
            <v>CHIR. NADEL, GA, 1/2 KREIS, FIG. 1</v>
          </cell>
          <cell r="D3124" t="str">
            <v>SURGICAL  NEEDLE, GA, 1/2 CIRCLE, NO. 1</v>
          </cell>
        </row>
        <row r="3125">
          <cell r="B3125" t="str">
            <v>20-133-02-04</v>
          </cell>
          <cell r="C3125" t="str">
            <v>CHIR. NADEL, GA, 1/2 KREIS, FIG. 2</v>
          </cell>
          <cell r="D3125" t="str">
            <v>SURGICAL  NEEDLE, GA, 1/2 CIRCLE, NO. 2</v>
          </cell>
        </row>
        <row r="3126">
          <cell r="B3126" t="str">
            <v>20-133-03-04</v>
          </cell>
          <cell r="C3126" t="str">
            <v>CHIR. NADEL, GA, 1/2 KREIS, FIG. 3</v>
          </cell>
          <cell r="D3126" t="str">
            <v>SURGICAL  NEEDLE, GA, 1/2 CIRCLE, NO. 3</v>
          </cell>
        </row>
        <row r="3127">
          <cell r="B3127" t="str">
            <v>20-133-04-04</v>
          </cell>
          <cell r="C3127" t="str">
            <v>CHIR. NADEL, GA, 1/2 KREIS, FIG. 4</v>
          </cell>
          <cell r="D3127" t="str">
            <v>SURGICAL  NEEDLE, GA, 1/2 CIRCLE, NO. 4</v>
          </cell>
        </row>
        <row r="3128">
          <cell r="B3128" t="str">
            <v>20-133-05-04</v>
          </cell>
          <cell r="C3128" t="str">
            <v>CHIR. NADEL, GA, 1/2 KREIS, FIG. 5</v>
          </cell>
          <cell r="D3128" t="str">
            <v>SURGICAL  NEEDLE, GA, 1/2 CIRCLE, NO. 5</v>
          </cell>
        </row>
        <row r="3129">
          <cell r="B3129" t="str">
            <v>20-133-06-04</v>
          </cell>
          <cell r="C3129" t="str">
            <v>CHIR. NADEL, GA, 1/2 KREIS, FIG. 6</v>
          </cell>
          <cell r="D3129" t="str">
            <v>SURGICAL  NEEDLE, GA, 1/2 CIRCLE, NO. 6</v>
          </cell>
        </row>
        <row r="3130">
          <cell r="B3130" t="str">
            <v>20-133-07-04</v>
          </cell>
          <cell r="C3130" t="str">
            <v>CHIR. NADEL, GA, 1/2 KREIS, FIG. 7</v>
          </cell>
          <cell r="D3130" t="str">
            <v>SURGICAL  NEEDLE, GA, 1/2 CIRCLE, NO. 7</v>
          </cell>
        </row>
        <row r="3131">
          <cell r="B3131" t="str">
            <v>20-133-08-04</v>
          </cell>
          <cell r="C3131" t="str">
            <v>CHIR. NADEL, GA, 1/2 KREIS, FIG. 8</v>
          </cell>
          <cell r="D3131" t="str">
            <v>SURGICAL  NEEDLE, GA, 1/2 CIRCLE, NO. 8</v>
          </cell>
        </row>
        <row r="3132">
          <cell r="B3132" t="str">
            <v>20-133-09-04</v>
          </cell>
          <cell r="C3132" t="str">
            <v>CHIR. NADEL, GA, 1/2 KREIS, FIG. 9</v>
          </cell>
          <cell r="D3132" t="str">
            <v>SURGICAL  NEEDLE, GA, 1/2 CIRCLE, NO. 9</v>
          </cell>
        </row>
        <row r="3133">
          <cell r="B3133" t="str">
            <v>20-154-10-04</v>
          </cell>
          <cell r="C3133" t="str">
            <v>CHIR. NADEL, E, 1/2 KREIS, FIG. 0</v>
          </cell>
          <cell r="D3133" t="str">
            <v>SURGICAL  NEEDLE, E, 1/2 CIRCLE, NO. 0</v>
          </cell>
        </row>
        <row r="3134">
          <cell r="B3134" t="str">
            <v>20-154-20-04</v>
          </cell>
          <cell r="C3134" t="str">
            <v>CHIR. NADEL, E, 1/2 KREIS, FIG. 00</v>
          </cell>
          <cell r="D3134" t="str">
            <v>SURGICAL  NEEDLE, E, 1/2 CIRCLE, NO. 00</v>
          </cell>
        </row>
        <row r="3135">
          <cell r="B3135" t="str">
            <v>20-154-30-04</v>
          </cell>
          <cell r="C3135" t="str">
            <v>CHIR. NADEL, E, 1/2 KREIS, FIG. 000</v>
          </cell>
          <cell r="D3135" t="str">
            <v>SURGICAL  NEEDLE, E, 1/2 CIRCLE, NO. 000</v>
          </cell>
        </row>
        <row r="3136">
          <cell r="B3136" t="str">
            <v>20-155-01-04</v>
          </cell>
          <cell r="C3136" t="str">
            <v>CHIR. NADEL, E, 1/2 KREIS, FIG. 1</v>
          </cell>
          <cell r="D3136" t="str">
            <v>SURGICAL  NEEDLE, E, 1/2 CIRCLE, NO. 1</v>
          </cell>
        </row>
        <row r="3137">
          <cell r="B3137" t="str">
            <v>20-155-02-04</v>
          </cell>
          <cell r="C3137" t="str">
            <v>CHIR. NADEL, E, 1/2 KREIS, FIG. 2</v>
          </cell>
          <cell r="D3137" t="str">
            <v>SURGICAL  NEEDLE, E, 1/2 CIRCLE, NO. 2</v>
          </cell>
        </row>
        <row r="3138">
          <cell r="B3138" t="str">
            <v>20-155-03-04</v>
          </cell>
          <cell r="C3138" t="str">
            <v>CHIR. NADEL, E, 1/2 KREIS, FIG. 3</v>
          </cell>
          <cell r="D3138" t="str">
            <v>SURGICAL  NEEDLE, E, 1/2 CIRCLE, NO. 3</v>
          </cell>
        </row>
        <row r="3139">
          <cell r="B3139" t="str">
            <v>20-155-04-04</v>
          </cell>
          <cell r="C3139" t="str">
            <v>CHIR. NADEL, E, 1/2 KREIS, FIG. 4</v>
          </cell>
          <cell r="D3139" t="str">
            <v>SURGICAL  NEEDLE, E, 1/2 CIRCLE, NO. 4</v>
          </cell>
        </row>
        <row r="3140">
          <cell r="B3140" t="str">
            <v>20-155-05-04</v>
          </cell>
          <cell r="C3140" t="str">
            <v>CHIR. NADEL, E, 1/2 KREIS, FIG. 5</v>
          </cell>
          <cell r="D3140" t="str">
            <v>SURGICAL  NEEDLE, E, 1/2 CIRCLE, NO. 5</v>
          </cell>
        </row>
        <row r="3141">
          <cell r="B3141" t="str">
            <v>20-175-10-04</v>
          </cell>
          <cell r="C3141" t="str">
            <v>CHIR. NADEL, PB, 1/2 KREIS, FIG. 0</v>
          </cell>
          <cell r="D3141" t="str">
            <v>SURGICAL  NEEDLE, PB, 1/2 CIRCLE, NO. 0</v>
          </cell>
        </row>
        <row r="3142">
          <cell r="B3142" t="str">
            <v>20-175-20-04</v>
          </cell>
          <cell r="C3142" t="str">
            <v>CHIR. NADEL, PB, 1/2 KREIS, FIG. 00</v>
          </cell>
          <cell r="D3142" t="str">
            <v>SURGICAL  NEEDLE, PB, 1/2 CIRCLE, NO. 00</v>
          </cell>
        </row>
        <row r="3143">
          <cell r="B3143" t="str">
            <v>20-176-01-04</v>
          </cell>
          <cell r="C3143" t="str">
            <v>CHIR. NADEL, PB, 1/2 KREIS, FIG. 1</v>
          </cell>
          <cell r="D3143" t="str">
            <v>SURGICAL  NEEDLE, PB, 1/2 CIRCLE, NO. 1</v>
          </cell>
        </row>
        <row r="3144">
          <cell r="B3144" t="str">
            <v>20-176-02-04</v>
          </cell>
          <cell r="C3144" t="str">
            <v>CHIR. NADEL, PB, 1/2 KREIS, FIG. 2</v>
          </cell>
          <cell r="D3144" t="str">
            <v>SURGICAL  NEEDLE, PB, 1/2 CIRCLE, NO. 2</v>
          </cell>
        </row>
        <row r="3145">
          <cell r="B3145" t="str">
            <v>20-176-03-04</v>
          </cell>
          <cell r="C3145" t="str">
            <v>CHIR. NADEL, PB, 1/2 KREIS, FIG. 3</v>
          </cell>
          <cell r="D3145" t="str">
            <v>SURGICAL  NEEDLE, PB, 1/2 CIRCLE, NO. 3</v>
          </cell>
        </row>
        <row r="3146">
          <cell r="B3146" t="str">
            <v>20-176-04-04</v>
          </cell>
          <cell r="C3146" t="str">
            <v>CHIR. NADEL, PB, 1/2 KREIS, FIG. 4</v>
          </cell>
          <cell r="D3146" t="str">
            <v>SURGICAL  NEEDLE, PB, 1/2 CIRCLE, NO. 4</v>
          </cell>
        </row>
        <row r="3147">
          <cell r="B3147" t="str">
            <v>20-176-05-04</v>
          </cell>
          <cell r="C3147" t="str">
            <v>CHIR. NADEL, PB, 1/2 KREIS, FIG. 5</v>
          </cell>
          <cell r="D3147" t="str">
            <v>SURGICAL  NEEDLE, PB, 1/2 CIRCLE, NO. 5</v>
          </cell>
        </row>
        <row r="3148">
          <cell r="B3148" t="str">
            <v>20-298-10-07</v>
          </cell>
          <cell r="C3148" t="str">
            <v>MIKRONADELHALTER, GER., M. SP., 10,5 CM</v>
          </cell>
          <cell r="D3148" t="str">
            <v>MICRO NEEDLEH.,  STR., W. LOCK, 10.5 CM</v>
          </cell>
        </row>
        <row r="3149">
          <cell r="B3149" t="str">
            <v>20-298-11-07</v>
          </cell>
          <cell r="C3149" t="str">
            <v>MIKRONADELHALTER, GER., M. SP., 11,5 CM</v>
          </cell>
          <cell r="D3149" t="str">
            <v>MICRO NEEDLEH.,  STR., W. LOCK, 11.5 CM</v>
          </cell>
        </row>
        <row r="3150">
          <cell r="B3150" t="str">
            <v>20-299-10-07</v>
          </cell>
          <cell r="C3150" t="str">
            <v>MIKRONADELHALTER, GEB., M. SP., 10,5 CM</v>
          </cell>
          <cell r="D3150" t="str">
            <v>MICRO NEEDLEH.,  CVD., W. LOCK, 10.5 CM</v>
          </cell>
        </row>
        <row r="3151">
          <cell r="B3151" t="str">
            <v>20-299-11-07</v>
          </cell>
          <cell r="C3151" t="str">
            <v>MIKRONADELHALTER, GEB., M. SP., 11,5 CM</v>
          </cell>
          <cell r="D3151" t="str">
            <v>MICRO NEEDLEH.,  CVD., W. LOCK, 11.5 CM</v>
          </cell>
        </row>
        <row r="3152">
          <cell r="B3152" t="str">
            <v>20-300-11-07</v>
          </cell>
          <cell r="C3152" t="str">
            <v>MIKRONADELHALTER, GEB., O. SP., 11,5 CM</v>
          </cell>
          <cell r="D3152" t="str">
            <v>MICRO NEEDLEH.,  CVD., W/O LOCK, 11.5 CM</v>
          </cell>
        </row>
        <row r="3153">
          <cell r="B3153" t="str">
            <v>20-300-13-07</v>
          </cell>
          <cell r="C3153" t="str">
            <v>Mikronadelhalter, geb., o. Sp., 13,5 cm</v>
          </cell>
          <cell r="D3153" t="str">
            <v>Micro needleh.,  cvd., w/o. lock, 13,5 cm</v>
          </cell>
        </row>
        <row r="3154">
          <cell r="B3154" t="str">
            <v>20-300-14-07</v>
          </cell>
          <cell r="C3154" t="str">
            <v>MIKRONADELHALTER, GEB., M. SP., 13,5 CM</v>
          </cell>
          <cell r="D3154" t="str">
            <v>MICRO NEEDLEH.,  CVD., W. LOCK, 13.5 CM</v>
          </cell>
        </row>
        <row r="3155">
          <cell r="B3155" t="str">
            <v>20-301-13-07</v>
          </cell>
          <cell r="C3155" t="str">
            <v>MIKRONADELHALTER, GEB., O. SP., 13,5 CM</v>
          </cell>
          <cell r="D3155" t="str">
            <v>MICRO NEEDLEH.,  CVD., W/O LOCK, 13.5 CM</v>
          </cell>
        </row>
        <row r="3156">
          <cell r="B3156" t="str">
            <v>20-302-01-07</v>
          </cell>
          <cell r="C3156" t="str">
            <v>MIKRONADELHALTER, GER., O. SP., 13 CM</v>
          </cell>
          <cell r="D3156" t="str">
            <v>MICRO NEEDLEH.,  STR., W/O LOCK, 13 CM</v>
          </cell>
        </row>
        <row r="3157">
          <cell r="B3157" t="str">
            <v>20-303-01-07</v>
          </cell>
          <cell r="C3157" t="str">
            <v>NADELHALTER, 'FINO', GEB., O. SP., 13 CM</v>
          </cell>
          <cell r="D3157" t="str">
            <v>CASTROV-FINO NH WTHT LOCK CU, 13 CM</v>
          </cell>
        </row>
        <row r="3158">
          <cell r="B3158" t="str">
            <v>20-303-09-07</v>
          </cell>
          <cell r="C3158" t="str">
            <v>MIKRONADELHALTER, GEB, O. SP., 9 CM</v>
          </cell>
          <cell r="D3158" t="str">
            <v>CASTROVIEJO NH W/O LOCK CVD., 9 CM</v>
          </cell>
        </row>
        <row r="3159">
          <cell r="B3159" t="str">
            <v>20-304-01-07</v>
          </cell>
          <cell r="C3159" t="str">
            <v>NADELHALTER, FEIN, GER., M. SP., 13 CM</v>
          </cell>
          <cell r="D3159" t="str">
            <v>NEEDLEHOLDER DELIC., STR., W. LOCK, 13CM</v>
          </cell>
        </row>
        <row r="3160">
          <cell r="B3160" t="str">
            <v>20-304-09-07</v>
          </cell>
          <cell r="C3160" t="str">
            <v>MIKRONADELHALTER, GER., M. SP., 9 CM</v>
          </cell>
          <cell r="D3160" t="str">
            <v>CASTROVIEJO NH W LOCK STR, 9 CM</v>
          </cell>
        </row>
        <row r="3161">
          <cell r="B3161" t="str">
            <v>20-305-01-07</v>
          </cell>
          <cell r="C3161" t="str">
            <v>NADELHALTER, FEIN, GEB., M. SP., 13 CM</v>
          </cell>
          <cell r="D3161" t="str">
            <v>NEEDLEHOLDER DELIC., CVD., W. LOCK, 13CM</v>
          </cell>
        </row>
        <row r="3162">
          <cell r="B3162" t="str">
            <v>20-306-14-07</v>
          </cell>
          <cell r="C3162" t="str">
            <v>MIKRONADELHALTER, GER., M. SP., 14,5 CM</v>
          </cell>
          <cell r="D3162" t="str">
            <v>MICRO NEEDLEH.,  STR., W. LOCK, 14.5 CM</v>
          </cell>
        </row>
        <row r="3163">
          <cell r="B3163" t="str">
            <v>20-307-14-07</v>
          </cell>
          <cell r="C3163" t="str">
            <v>MIKRONADELHALTER, GEB., M. SP., 14,5 CM</v>
          </cell>
          <cell r="D3163" t="str">
            <v>MICRO NEEDLEH.,  CVD., W. LOCK, 14.5 CM</v>
          </cell>
        </row>
        <row r="3164">
          <cell r="B3164" t="str">
            <v>20-308-14-07</v>
          </cell>
          <cell r="C3164" t="str">
            <v>MIKRONADELHALTER, GER., O. SP., 14,5 CM</v>
          </cell>
          <cell r="D3164" t="str">
            <v>MICRO NEEDLEH.,  STR., W/O LOCK, 14.5 CM</v>
          </cell>
        </row>
        <row r="3165">
          <cell r="B3165" t="str">
            <v>20-309-14-07</v>
          </cell>
          <cell r="C3165" t="str">
            <v>MIKRONADELHALTER, GEB., O. SP., 14,5 CM</v>
          </cell>
          <cell r="D3165" t="str">
            <v>MICRO NEEDLEH.,  CVD., W/O LOCK, 14.5 CM</v>
          </cell>
        </row>
        <row r="3166">
          <cell r="B3166" t="str">
            <v>20-310-14-07</v>
          </cell>
          <cell r="C3166" t="str">
            <v>MIKRONADELHALTER, GER., M. SP., 14,5 CM</v>
          </cell>
          <cell r="D3166" t="str">
            <v>MICRO NEEDLEH.,  STR., W. LOCK, 14.5 CM</v>
          </cell>
        </row>
        <row r="3167">
          <cell r="B3167" t="str">
            <v>20-311-14-07</v>
          </cell>
          <cell r="C3167" t="str">
            <v>MIKRONADELHALTER, GEB., M. SP., 14,5 CM</v>
          </cell>
          <cell r="D3167" t="str">
            <v>MICRO NEEDLEH.,  CVD., W. LOCK, 14.5 CM</v>
          </cell>
        </row>
        <row r="3168">
          <cell r="B3168" t="str">
            <v>20-313-14-07</v>
          </cell>
          <cell r="C3168" t="str">
            <v>MIKRONADELHALTER, GEB., O. SP., 14,5 CM</v>
          </cell>
          <cell r="D3168" t="str">
            <v>MICRO NEEDLEH.,  CVD., W/O LOCK, 14.5 CM</v>
          </cell>
        </row>
        <row r="3169">
          <cell r="B3169" t="str">
            <v>20-326-12-07</v>
          </cell>
          <cell r="C3169" t="str">
            <v>NADELHALTER, DERF, M. RINNE, 12 CM</v>
          </cell>
          <cell r="D3169" t="str">
            <v>NEEDLEHOLDER, DERF, GROOVED,  12 CM</v>
          </cell>
        </row>
        <row r="3170">
          <cell r="B3170" t="str">
            <v>20-328-12-07</v>
          </cell>
          <cell r="C3170" t="str">
            <v>NADELHALTER, DERF, LÄNGSGER., 13 CM</v>
          </cell>
          <cell r="D3170" t="str">
            <v>NEEDLEHOLDER, DERF, LONGITUD., 13 CM</v>
          </cell>
        </row>
        <row r="3171">
          <cell r="B3171" t="str">
            <v>20-332-12-07</v>
          </cell>
          <cell r="C3171" t="str">
            <v>NADELHALTER, COLLIER,  M. RINNE, 12,5 CM</v>
          </cell>
          <cell r="D3171" t="str">
            <v>NEEDLEHOLDER, COLLIER,  GROOVED,  12.5 CM</v>
          </cell>
        </row>
        <row r="3172">
          <cell r="B3172" t="str">
            <v>20-334-13-07</v>
          </cell>
          <cell r="C3172" t="str">
            <v>NADELHALTER, WEBSTER,  GLATT, 13 CM</v>
          </cell>
          <cell r="D3172" t="str">
            <v>NEEDLEHOLDER, WEBSTER,  SMOOTH,  13 CM</v>
          </cell>
        </row>
        <row r="3173">
          <cell r="B3173" t="str">
            <v>20-336-13-07</v>
          </cell>
          <cell r="C3173" t="str">
            <v>NADELHALTER, HALSEY, GLATT, 13,5 CM</v>
          </cell>
          <cell r="D3173" t="str">
            <v>NEEDLEHOLDER, HALSEY, SMOOTH,  13.5 CM</v>
          </cell>
        </row>
        <row r="3174">
          <cell r="B3174" t="str">
            <v>20-338-13-07</v>
          </cell>
          <cell r="C3174" t="str">
            <v>NADELHALTER, NEIVERT,  GEKEHLT,  12,5 CM</v>
          </cell>
          <cell r="D3174" t="str">
            <v>NEEDLEHOLDER, NEIVERT,  GROOVED,  12.5 CM</v>
          </cell>
        </row>
        <row r="3175">
          <cell r="B3175" t="str">
            <v>20-340-14-07</v>
          </cell>
          <cell r="C3175" t="str">
            <v>NADELHALTER, HEGAR-BAUMGARTNER, 14,5 CM</v>
          </cell>
          <cell r="D3175" t="str">
            <v>NEEDLEHOLDER, HEGAR-BAUMGARTNER, 14.5 CM</v>
          </cell>
        </row>
        <row r="3176">
          <cell r="B3176" t="str">
            <v>20-344-13-07</v>
          </cell>
          <cell r="C3176" t="str">
            <v>NADELHALTER, BROWN, KRÄFTIG,  13 CM</v>
          </cell>
          <cell r="D3176" t="str">
            <v>NEEDLEHOLDER, BROWN, HEAVY, 13 CM</v>
          </cell>
        </row>
        <row r="3177">
          <cell r="B3177" t="str">
            <v>20-344-18-07</v>
          </cell>
          <cell r="C3177" t="str">
            <v>NADELHALTER, BROWN, KRÄFTIG,  18 CM</v>
          </cell>
          <cell r="D3177" t="str">
            <v>NEEDLEHOLDER, BROWN, HEAVY, 18 CM</v>
          </cell>
        </row>
        <row r="3178">
          <cell r="B3178" t="str">
            <v>20-348-15-07</v>
          </cell>
          <cell r="C3178" t="str">
            <v>NADELHALTER, CRILE-MURRAY, SCHLK., 15 CM</v>
          </cell>
          <cell r="D3178" t="str">
            <v>NEEDLEHOLDER, CRILE-MURRAY, SLIM, 15 CM</v>
          </cell>
        </row>
        <row r="3179">
          <cell r="B3179" t="str">
            <v>20-350-15-07</v>
          </cell>
          <cell r="C3179" t="str">
            <v>NADELHALTER, CRILE-WOOD, M. RINNE, 15 CM</v>
          </cell>
          <cell r="D3179" t="str">
            <v>NEEDLEHOLDER, CRILE-WOOD, GROOVED,  15 CM</v>
          </cell>
        </row>
        <row r="3180">
          <cell r="B3180" t="str">
            <v>20-360-18-07</v>
          </cell>
          <cell r="C3180" t="str">
            <v>NADELHALTER, ADSON, GEFENST.,  18,5 CM</v>
          </cell>
          <cell r="D3180" t="str">
            <v>NEEDLEHOLDER, ADSON, FENESTR.,  18.5 CM</v>
          </cell>
        </row>
        <row r="3181">
          <cell r="B3181" t="str">
            <v>20-364-18-07</v>
          </cell>
          <cell r="C3181" t="str">
            <v>NADELHALTER, METZENBAUM, GEF., 18,5 CM</v>
          </cell>
          <cell r="D3181" t="str">
            <v>NEEDLEHOLDER, METZENB.,  FENESTR.,  18.5 C</v>
          </cell>
        </row>
        <row r="3182">
          <cell r="B3182" t="str">
            <v>20-384-17-07</v>
          </cell>
          <cell r="C3182" t="str">
            <v>NADELHALTER, M.G.-HOSPITAL, 18 CM</v>
          </cell>
          <cell r="D3182" t="str">
            <v>NEEDLEHOLDER, M.G.-HOSPITAL, 18 CM</v>
          </cell>
        </row>
        <row r="3183">
          <cell r="B3183" t="str">
            <v>20-390-14-07</v>
          </cell>
          <cell r="C3183" t="str">
            <v>NADELHALTER, MAYO-HEGAR, 14,5 CM</v>
          </cell>
          <cell r="D3183" t="str">
            <v>NEEDLEHOLDER, MAYO-HEGAR, 14.5 CM</v>
          </cell>
        </row>
        <row r="3184">
          <cell r="B3184" t="str">
            <v>20-390-16-07</v>
          </cell>
          <cell r="C3184" t="str">
            <v>NADELHALTER, MAYO-HEGAR, 16 CM</v>
          </cell>
          <cell r="D3184" t="str">
            <v>NEEDLEHOLDER, MAYO-HEGAR, 16 CM</v>
          </cell>
        </row>
        <row r="3185">
          <cell r="B3185" t="str">
            <v>20-390-18-07</v>
          </cell>
          <cell r="C3185" t="str">
            <v>NADELHALTER, MAYO-HEGAR, 18,5 CM</v>
          </cell>
          <cell r="D3185" t="str">
            <v>NEEDLEHOLDER, MAYO-HEGAR, 18.5 CM</v>
          </cell>
        </row>
        <row r="3186">
          <cell r="B3186" t="str">
            <v>20-390-20-07</v>
          </cell>
          <cell r="C3186" t="str">
            <v>NADELHALTER, MAYO-HEGAR, 20,5 CM</v>
          </cell>
          <cell r="D3186" t="str">
            <v>NEEDLEHOLDER, MAYO-HEGAR, 20.5 CM</v>
          </cell>
        </row>
        <row r="3187">
          <cell r="B3187" t="str">
            <v>20-390-24-07</v>
          </cell>
          <cell r="C3187" t="str">
            <v>NADELHALTER, MAYO-HEGAR, 24 CM</v>
          </cell>
          <cell r="D3187" t="str">
            <v>NEEDLEHOLDER, MAYO-HEGAR, 24 CM</v>
          </cell>
        </row>
        <row r="3188">
          <cell r="B3188" t="str">
            <v>20-390-26-07</v>
          </cell>
          <cell r="C3188" t="str">
            <v>NADELHALTER, MAYO-HEGAR, 26,5 CM</v>
          </cell>
          <cell r="D3188" t="str">
            <v>NEEDLEHOLDER, MAYO-HEGAR, 26.5 CM</v>
          </cell>
        </row>
        <row r="3189">
          <cell r="B3189" t="str">
            <v>20-390-30-07</v>
          </cell>
          <cell r="C3189" t="str">
            <v>NADELHALTER, MAYO-HEGAR, 30,5 CM</v>
          </cell>
          <cell r="D3189" t="str">
            <v>NEEDLEHOLDER, MAYO-HEGAR, 30.5 CM</v>
          </cell>
        </row>
        <row r="3190">
          <cell r="B3190" t="str">
            <v>20-396-16-07</v>
          </cell>
          <cell r="C3190" t="str">
            <v>NADELHALTER, MAYO-HEGAR, SCHLANK,  16 CM</v>
          </cell>
          <cell r="D3190" t="str">
            <v>NEEDLEHOLDER, MAYO-HEGAR, SLIM, 16 CM</v>
          </cell>
        </row>
        <row r="3191">
          <cell r="B3191" t="str">
            <v>20-396-18-07</v>
          </cell>
          <cell r="C3191" t="str">
            <v>NADELHALTER, MAYO-HEGAR, SCHLK., 19 CM</v>
          </cell>
          <cell r="D3191" t="str">
            <v>NEEDLEHOLDER, MAYO-HEGAR, SLIM, 19 CM</v>
          </cell>
        </row>
        <row r="3192">
          <cell r="B3192" t="str">
            <v>20-396-20-07</v>
          </cell>
          <cell r="C3192" t="str">
            <v>NADELHALTER, MAYO-HEGAR, SCHLK., 20,5 CM</v>
          </cell>
          <cell r="D3192" t="str">
            <v>NEEDLEHOLDER, MAYO-HEGAR, SLIM, 20.5 CM</v>
          </cell>
        </row>
        <row r="3193">
          <cell r="B3193" t="str">
            <v>20-403-21-07</v>
          </cell>
          <cell r="C3193" t="str">
            <v>NADELHALTER, HEANY, GEB., 20,5 CM</v>
          </cell>
          <cell r="D3193" t="str">
            <v>NEEDLEHOLDER, HEANY, CVD., 20.5 CM</v>
          </cell>
        </row>
        <row r="3194">
          <cell r="B3194" t="str">
            <v>20-404-23-07</v>
          </cell>
          <cell r="C3194" t="str">
            <v>NADELHALTER, JAMISON,  SCHLANK,  23 CM</v>
          </cell>
          <cell r="D3194" t="str">
            <v>NEEDLEHOLDER, JAMISON,  SLIM, 23 CM</v>
          </cell>
        </row>
        <row r="3195">
          <cell r="B3195" t="str">
            <v>20-408-27-07</v>
          </cell>
          <cell r="C3195" t="str">
            <v>NADELHALTER, MASSON,  KRÄFTIG,  26,5 CM</v>
          </cell>
          <cell r="D3195" t="str">
            <v>NEEDLEHOLDER, MASSON,  HEAVY, 26.5 CM</v>
          </cell>
        </row>
        <row r="3196">
          <cell r="B3196" t="str">
            <v>20-415-27-07</v>
          </cell>
          <cell r="C3196" t="str">
            <v>NADELHALTER, FINOCHIETTO, GEW., 26,5 CM</v>
          </cell>
          <cell r="D3196" t="str">
            <v>NEEDLEHOLDER, FINOCHIETTO, ANG., 26.5 CM</v>
          </cell>
        </row>
        <row r="3197">
          <cell r="B3197" t="str">
            <v>20-420-27-07</v>
          </cell>
          <cell r="C3197" t="str">
            <v>NADELHALTER, WANGENSTEEN, 26,5 CM</v>
          </cell>
          <cell r="D3197" t="str">
            <v>NEEDLEHOLDER, WANGENSTEEN, 26.5 CM</v>
          </cell>
        </row>
        <row r="3198">
          <cell r="B3198" t="str">
            <v>20-437-27-07</v>
          </cell>
          <cell r="C3198" t="str">
            <v>NADELHALTER, JOHNSON,  GEB., 27 CM</v>
          </cell>
          <cell r="D3198" t="str">
            <v>NEEDLEHOLDER, JOHNSON,  CVD., 27 CM</v>
          </cell>
        </row>
        <row r="3199">
          <cell r="B3199" t="str">
            <v>20-451-23-07</v>
          </cell>
          <cell r="C3199" t="str">
            <v>NADELHALTER, STRATTE,  GEB., 23 CM</v>
          </cell>
          <cell r="D3199" t="str">
            <v>NEEDLEHOLDER, STRATTE,  CVD., 23 CM</v>
          </cell>
        </row>
        <row r="3200">
          <cell r="B3200" t="str">
            <v>20-466-14-07</v>
          </cell>
          <cell r="C3200" t="str">
            <v>NADELHALTER, OLSEN-HEGAR, GER., 14 CM</v>
          </cell>
          <cell r="D3200" t="str">
            <v>NEEDLEHOLDER, OLSEN-HEGAR, STR., 14 CM</v>
          </cell>
        </row>
        <row r="3201">
          <cell r="B3201" t="str">
            <v>20-469-16-07</v>
          </cell>
          <cell r="C3201" t="str">
            <v>NADELHALTER, GILLIES, 16 CM</v>
          </cell>
          <cell r="D3201" t="str">
            <v>NEEDLEHOLDER, GILLIES, 16 CM</v>
          </cell>
        </row>
        <row r="3202">
          <cell r="B3202" t="str">
            <v>20-500-15-07</v>
          </cell>
          <cell r="C3202" t="str">
            <v>NADELHALTER, CRILE, OFFEN, 15 CM</v>
          </cell>
          <cell r="D3202" t="str">
            <v>NEEDLEHOLDER, CRILE, 15 CM</v>
          </cell>
        </row>
        <row r="3203">
          <cell r="B3203" t="str">
            <v>20-516-14-07</v>
          </cell>
          <cell r="C3203" t="str">
            <v>NADELHALTER, MATHIEU,  14 CM</v>
          </cell>
          <cell r="D3203" t="str">
            <v>NEEDLEHOLDER, MATHIEU,  14 CM</v>
          </cell>
        </row>
        <row r="3204">
          <cell r="B3204" t="str">
            <v>20-516-17-07</v>
          </cell>
          <cell r="C3204" t="str">
            <v>NADELHALTER, MATHIEU,  17 CM</v>
          </cell>
          <cell r="D3204" t="str">
            <v>NEEDLEHOLDER, MATHIEU,  17 CM</v>
          </cell>
        </row>
        <row r="3205">
          <cell r="B3205" t="str">
            <v>20-516-20-07</v>
          </cell>
          <cell r="C3205" t="str">
            <v>NADELHALTER, MATHIEU,  20 CM</v>
          </cell>
          <cell r="D3205" t="str">
            <v>NEEDLEHOLDER, MATHIEU,  20 CM</v>
          </cell>
        </row>
        <row r="3206">
          <cell r="B3206" t="str">
            <v>20-526-14-07</v>
          </cell>
          <cell r="C3206" t="str">
            <v>NADELHALTER, MATHIEU,  SCHLANK,  14 CM</v>
          </cell>
          <cell r="D3206" t="str">
            <v>NEEDLEHOLDER, MATHIEU,  SLIM, 14 CM</v>
          </cell>
        </row>
        <row r="3207">
          <cell r="B3207" t="str">
            <v>20-526-17-07</v>
          </cell>
          <cell r="C3207" t="str">
            <v>NADELHALTER, MATHIEU,  SCHLANK,  17 CM</v>
          </cell>
          <cell r="D3207" t="str">
            <v>NEEDLEHOLDER, MATHIEU,  SLIM, 17 CM</v>
          </cell>
        </row>
        <row r="3208">
          <cell r="B3208" t="str">
            <v>20-600-11-07</v>
          </cell>
          <cell r="C3208" t="str">
            <v>TC-Nadelhalter, Par-Style,  11,5 cm</v>
          </cell>
          <cell r="D3208" t="str">
            <v>TC Needle Holder, Par Style, 11.5cm</v>
          </cell>
        </row>
        <row r="3209">
          <cell r="B3209" t="str">
            <v>20-602-18-07</v>
          </cell>
          <cell r="C3209" t="str">
            <v>TC-MIKRONADELHALTER, RUNDGRIFF, 18,5 CM</v>
          </cell>
          <cell r="D3209" t="str">
            <v>TC-MIC. NEEDLEHOLD., ROUND HDL., 18.5 CM</v>
          </cell>
        </row>
        <row r="3210">
          <cell r="B3210" t="str">
            <v>20-604-13-07</v>
          </cell>
          <cell r="C3210" t="str">
            <v>TC-NADELHALTER, WEBSTER,  13 CM</v>
          </cell>
          <cell r="D3210" t="str">
            <v>TC-NEEDLEHOLDER, WEBSTER,  13 CM</v>
          </cell>
        </row>
        <row r="3211">
          <cell r="B3211" t="str">
            <v>20-604-15-07</v>
          </cell>
          <cell r="C3211" t="str">
            <v>TC-NADELHALTER, CRILE-WOOD, 15 CM</v>
          </cell>
          <cell r="D3211" t="str">
            <v>TC-NEEDLEHOLDER, CRILE-WOOD, 15 CM</v>
          </cell>
        </row>
        <row r="3212">
          <cell r="B3212" t="str">
            <v>20-605-15-07</v>
          </cell>
          <cell r="C3212" t="str">
            <v>MIKRONADELHALTER, GEB., M. SP., 15 CM</v>
          </cell>
          <cell r="D3212" t="str">
            <v>MICRO NEEDLEHOLDER, CVD., W. LOCK, 15 CM</v>
          </cell>
        </row>
        <row r="3213">
          <cell r="B3213" t="str">
            <v>20-605-18-07</v>
          </cell>
          <cell r="C3213" t="str">
            <v>MIKRONADELHALTER, GEB., M. SP., 18 CM</v>
          </cell>
          <cell r="D3213" t="str">
            <v>MICRO NEEDLEHOLDER, CVD., W. LOCK, 18 CM</v>
          </cell>
        </row>
        <row r="3214">
          <cell r="B3214" t="str">
            <v>20-605-21-07</v>
          </cell>
          <cell r="C3214" t="str">
            <v>MIKRONADELHALTER, GEB., M. SP., 21 CM</v>
          </cell>
          <cell r="D3214" t="str">
            <v>MICRO NEEDLEHOLDER, CVD., W. LOCK, 21 CM</v>
          </cell>
        </row>
        <row r="3215">
          <cell r="B3215" t="str">
            <v>20-605-23-07</v>
          </cell>
          <cell r="C3215" t="str">
            <v>MIKRONADELHALTER, GEB., M. SP., 23 CM</v>
          </cell>
          <cell r="D3215" t="str">
            <v>MICRO NEEDLEHOLDER, CVD., W. LOCK, 23 CM</v>
          </cell>
        </row>
        <row r="3216">
          <cell r="B3216" t="str">
            <v>20-606-15-07</v>
          </cell>
          <cell r="C3216" t="str">
            <v>MIKRONADELHALTER, GER., M. SP., 15 CM</v>
          </cell>
          <cell r="D3216" t="str">
            <v>MICRO NEEDLEHOLDER, STR., W. LOCK, 15 CM</v>
          </cell>
        </row>
        <row r="3217">
          <cell r="B3217" t="str">
            <v>20-606-18-07</v>
          </cell>
          <cell r="C3217" t="str">
            <v>MIKRONADELHALTER, GER., M. SP., 18 CM</v>
          </cell>
          <cell r="D3217" t="str">
            <v>MICRO NEEDLEHOLDER, STR., W. LOCK, 18 CM</v>
          </cell>
        </row>
        <row r="3218">
          <cell r="B3218" t="str">
            <v>20-606-21-07</v>
          </cell>
          <cell r="C3218" t="str">
            <v>MIKRONADELHALTER, GER., M. SP., 21 CM</v>
          </cell>
          <cell r="D3218" t="str">
            <v>MICRO NEEDLEHOLDER, STR., W. LOCK, 21 CM</v>
          </cell>
        </row>
        <row r="3219">
          <cell r="B3219" t="str">
            <v>20-606-23-07</v>
          </cell>
          <cell r="C3219" t="str">
            <v>MIKRONADELHALTER, GER., M. SP., 23 CM</v>
          </cell>
          <cell r="D3219" t="str">
            <v>MICRO NEEDLEHOLDER, STR., W. LOCK, 23 CM</v>
          </cell>
        </row>
        <row r="3220">
          <cell r="B3220" t="str">
            <v>20-607-15-07</v>
          </cell>
          <cell r="C3220" t="str">
            <v>MIKRONADELHALTER, GEB., O. SP., 15 CM</v>
          </cell>
          <cell r="D3220" t="str">
            <v>MICRO NEEDLEHOLD., CVD., W/O LOCK, 15 CM</v>
          </cell>
        </row>
        <row r="3221">
          <cell r="B3221" t="str">
            <v>20-607-18-07</v>
          </cell>
          <cell r="C3221" t="str">
            <v>MIKRONADELHALTER, GEB., O. SP., 18 CM</v>
          </cell>
          <cell r="D3221" t="str">
            <v>MICRO NEEDLEHOLD., CVD., W/O LOCK, 18 CM</v>
          </cell>
        </row>
        <row r="3222">
          <cell r="B3222" t="str">
            <v>20-607-21-07</v>
          </cell>
          <cell r="C3222" t="str">
            <v>MIKRONADELHALTER, GEB., O. SP., 21 CM</v>
          </cell>
          <cell r="D3222" t="str">
            <v>MICRO NEEDLEHOLD., CVD., W/O LOCK, 21 CM</v>
          </cell>
        </row>
        <row r="3223">
          <cell r="B3223" t="str">
            <v>20-607-23-07</v>
          </cell>
          <cell r="C3223" t="str">
            <v>MIKRONADELHALTER, GEB., O. SP., 23 CM</v>
          </cell>
          <cell r="D3223" t="str">
            <v>MICRO NEEDLEHOLD., CVD., W/O LOCK, 23 CM</v>
          </cell>
        </row>
        <row r="3224">
          <cell r="B3224" t="str">
            <v>20-608-15-07</v>
          </cell>
          <cell r="C3224" t="str">
            <v>MIKRONADELHALTER, GER., O. SP., 15 CM</v>
          </cell>
          <cell r="D3224" t="str">
            <v>MICRO NEEDLEHOLD., STR., W/O LOCK, 15 CM</v>
          </cell>
        </row>
        <row r="3225">
          <cell r="B3225" t="str">
            <v>20-608-18-07</v>
          </cell>
          <cell r="C3225" t="str">
            <v>MIKRONADELHALTER, GER., O. SP., 18 CM</v>
          </cell>
          <cell r="D3225" t="str">
            <v>MICRO NEEDLEHOLD., STR., W/O LOCK, 18 CM</v>
          </cell>
        </row>
        <row r="3226">
          <cell r="B3226" t="str">
            <v>20-608-21-07</v>
          </cell>
          <cell r="C3226" t="str">
            <v>MIKRONADELHALTER, GER., O. SP., 21 CM</v>
          </cell>
          <cell r="D3226" t="str">
            <v>MICRO NEEDLEHOLD., STR., W/O LOCK, 21 CM</v>
          </cell>
        </row>
        <row r="3227">
          <cell r="B3227" t="str">
            <v>20-608-23-07</v>
          </cell>
          <cell r="C3227" t="str">
            <v>MIKRONADELHALTER, GER., O. SP., 23 CM</v>
          </cell>
          <cell r="D3227" t="str">
            <v>MICRO NEEDLEHOLD., STR., W/O LOCK, 23 CM</v>
          </cell>
        </row>
        <row r="3228">
          <cell r="B3228" t="str">
            <v>20-610-18-07</v>
          </cell>
          <cell r="C3228" t="str">
            <v>TC-NADELHALTER, JABOMA,  M. SP., 18 CM</v>
          </cell>
          <cell r="D3228" t="str">
            <v>TC-NEEDLEHOLDER, JABOMA,  W. LOCK, 18 CM</v>
          </cell>
        </row>
        <row r="3229">
          <cell r="B3229" t="str">
            <v>20-613-19-07</v>
          </cell>
          <cell r="C3229" t="str">
            <v>Mikronadelhalter, 10mm, heavy-duty, 19cm</v>
          </cell>
          <cell r="D3229" t="str">
            <v>Micro-needleh., 10 mm, heavy-duty, 19 cm</v>
          </cell>
        </row>
        <row r="3230">
          <cell r="B3230" t="str">
            <v>20-613-23-07</v>
          </cell>
          <cell r="C3230" t="str">
            <v>Mikronadelhalter, 10mm, heavy-duty, 23cm</v>
          </cell>
          <cell r="D3230" t="str">
            <v>Micro-needleh., 10 mm, heavy-duty, 23 cm</v>
          </cell>
        </row>
        <row r="3231">
          <cell r="B3231" t="str">
            <v>20-614-01-07</v>
          </cell>
          <cell r="C3231" t="str">
            <v>Mikronadelhalter, ger., o. Sp., 14,5 cm</v>
          </cell>
          <cell r="D3231" t="str">
            <v>Micro Needleh.,  str., w/o lock, 14,5 cm</v>
          </cell>
        </row>
        <row r="3232">
          <cell r="B3232" t="str">
            <v>20-614-02-07</v>
          </cell>
          <cell r="C3232" t="str">
            <v>MIKRONADELHALTER, GER., M. SP., 14,5 CM</v>
          </cell>
          <cell r="D3232" t="str">
            <v>Micro Needleh.,  str., w. lock, 14,5 cm</v>
          </cell>
        </row>
        <row r="3233">
          <cell r="B3233" t="str">
            <v>20-614-03-07</v>
          </cell>
          <cell r="C3233" t="str">
            <v>Mikronadelhalter, ger., o. Sp., 14,5 cm</v>
          </cell>
          <cell r="D3233" t="str">
            <v>Micro Needleh.,  str., w/o lock, 14,5 cm</v>
          </cell>
        </row>
        <row r="3234">
          <cell r="B3234" t="str">
            <v>20-614-04-07</v>
          </cell>
          <cell r="C3234" t="str">
            <v>Mikronadelhalter, ger., m. Sp., 14,5 cm</v>
          </cell>
          <cell r="D3234" t="str">
            <v>Micro Needleh.,  str., w. lock, 14,5 cm</v>
          </cell>
        </row>
        <row r="3235">
          <cell r="B3235" t="str">
            <v>20-615-01-07</v>
          </cell>
          <cell r="C3235" t="str">
            <v>MIKRONADELHALTER, GEB., M. SP., 14,5 CM</v>
          </cell>
          <cell r="D3235" t="str">
            <v>Micro Needleh.,  cvd., w/o lock, 14,5 cm</v>
          </cell>
        </row>
        <row r="3236">
          <cell r="B3236" t="str">
            <v>20-615-02-07</v>
          </cell>
          <cell r="C3236" t="str">
            <v>Mikronadelhalter, geb., o. Sp., 14,5 cm</v>
          </cell>
          <cell r="D3236" t="str">
            <v>Micro Needleh.,  cvd., w lock, 14,5 cm</v>
          </cell>
        </row>
        <row r="3237">
          <cell r="B3237" t="str">
            <v>20-615-03-07</v>
          </cell>
          <cell r="C3237" t="str">
            <v>Mikronadelhalter, geb., m. Sp., 14,5 cm</v>
          </cell>
          <cell r="D3237" t="str">
            <v>Micro Needleh.,  cvd., w. lock, 14,5 cm</v>
          </cell>
        </row>
        <row r="3238">
          <cell r="B3238" t="str">
            <v>20-615-04-07</v>
          </cell>
          <cell r="C3238" t="str">
            <v>Mikronadelhalter, geb., o. Sp., 14,5 cm</v>
          </cell>
          <cell r="D3238" t="str">
            <v>Micro Needleh.,  cvd., w/o lock, 14,5 cm</v>
          </cell>
        </row>
        <row r="3239">
          <cell r="B3239" t="str">
            <v>20-620-00-07</v>
          </cell>
          <cell r="C3239" t="str">
            <v>TC-MIKRONADELHALT., GER., M. SP.,14,5 CM</v>
          </cell>
          <cell r="D3239" t="str">
            <v>TC-MICRO  NEEDLEH.,  STR., W. LOCK,14.5CM</v>
          </cell>
        </row>
        <row r="3240">
          <cell r="B3240" t="str">
            <v>20-620-01-07</v>
          </cell>
          <cell r="C3240" t="str">
            <v>TC-MIKRONADELHALT., GEB., M. SP.,14,5 CM</v>
          </cell>
          <cell r="D3240" t="str">
            <v>TC-MICRO  NEEDLEH.,  CVD., W/O LOCK,14.5CM</v>
          </cell>
        </row>
        <row r="3241">
          <cell r="B3241" t="str">
            <v>20-620-14-07</v>
          </cell>
          <cell r="C3241" t="str">
            <v>TC-MIKRONADELHALTER, GLATT, 14,5 CM</v>
          </cell>
          <cell r="D3241" t="str">
            <v>TC-MICRO  NEEDLEHOLDER, SMOOTH,  14.5 CM</v>
          </cell>
        </row>
        <row r="3242">
          <cell r="B3242" t="str">
            <v>20-620-18-07</v>
          </cell>
          <cell r="C3242" t="str">
            <v>TC-MIKRONADELHALTER, GER., M. SP., 18 CM</v>
          </cell>
          <cell r="D3242" t="str">
            <v>TC-MICRO  NEEDELH.,  STR., W. LOCK, 18 CM</v>
          </cell>
        </row>
        <row r="3243">
          <cell r="B3243" t="str">
            <v>20-620-21-07</v>
          </cell>
          <cell r="C3243" t="str">
            <v>TC-MIKRONADELHALTER, GER., M. SP., 21 CM</v>
          </cell>
          <cell r="D3243" t="str">
            <v>TC-MICRO  NEEDLEHOLDER, STR., W. LOCK, 21 CM</v>
          </cell>
        </row>
        <row r="3244">
          <cell r="B3244" t="str">
            <v>20-621-14-07</v>
          </cell>
          <cell r="C3244" t="str">
            <v>TC-MIKRONADELHALT., GEB., GLATT, 14,5 CM</v>
          </cell>
          <cell r="D3244" t="str">
            <v>TC-MICRONEEDLEH., CVD., SMOOTH,  14.5 CM</v>
          </cell>
        </row>
        <row r="3245">
          <cell r="B3245" t="str">
            <v>20-621-18-07</v>
          </cell>
          <cell r="C3245" t="str">
            <v>TC-MIKRONADELHALTER, GEB., M. SP., 18 CM</v>
          </cell>
          <cell r="D3245" t="str">
            <v>TC-MICRO  NEEDLEHOLDER, CVD., W. LOCK, 18</v>
          </cell>
        </row>
        <row r="3246">
          <cell r="B3246" t="str">
            <v>20-621-21-07</v>
          </cell>
          <cell r="C3246" t="str">
            <v>TC-MIKRONADELHALTER, GEB., M. SP., 21 CM</v>
          </cell>
          <cell r="D3246" t="str">
            <v>TC-MICRO  NEEDLEHOLDER, CVD., W. LOCK, 21 CM</v>
          </cell>
        </row>
        <row r="3247">
          <cell r="B3247" t="str">
            <v>20-624-13-07</v>
          </cell>
          <cell r="C3247" t="str">
            <v>TC-NADELHALTER, CASTROV.,  GER., 12,5 CM</v>
          </cell>
          <cell r="D3247" t="str">
            <v>TC-NEEDLEHOLDER, CASTROV.,  STR., 12.5 CM</v>
          </cell>
        </row>
        <row r="3248">
          <cell r="B3248" t="str">
            <v>20-626-13-07</v>
          </cell>
          <cell r="C3248" t="str">
            <v>TC-NADELHALTER, BARRAQUER, M. SP., 14 CM</v>
          </cell>
          <cell r="D3248" t="str">
            <v>TC-NEEDLEHOLD., BARRAQ.,  W. LOCK, 14 CM</v>
          </cell>
        </row>
        <row r="3249">
          <cell r="B3249" t="str">
            <v>20-628-13-07</v>
          </cell>
          <cell r="C3249" t="str">
            <v>TC-NADELHALTER, BARRAQUER, O. SP., 14 CM</v>
          </cell>
          <cell r="D3249" t="str">
            <v>TC-NEEDLEHOLD., BARRAQ.,  W/O LOCK, 14 CM</v>
          </cell>
        </row>
        <row r="3250">
          <cell r="B3250" t="str">
            <v>20-630-13-07</v>
          </cell>
          <cell r="C3250" t="str">
            <v>TC-NADELHALTER, WEBSTER,  GLATT, 13 CM</v>
          </cell>
          <cell r="D3250" t="str">
            <v>TC-NEEDLEHOLDER, WEBSTER,  SMOOTH,  13 CM</v>
          </cell>
        </row>
        <row r="3251">
          <cell r="B3251" t="str">
            <v>20-631-13-07</v>
          </cell>
          <cell r="C3251" t="str">
            <v>TC-NADELHALTER, KILNER, BAJON., 14,5 CM</v>
          </cell>
          <cell r="D3251" t="str">
            <v>TC-NEEDLEHOLDER, KILNER, BAYON., 14.5 CM</v>
          </cell>
        </row>
        <row r="3252">
          <cell r="B3252" t="str">
            <v>20-632-12-07</v>
          </cell>
          <cell r="C3252" t="str">
            <v>TC-NADELHALTER, DERF, 12 CM</v>
          </cell>
          <cell r="D3252" t="str">
            <v>TC-NEEDLEHOLDER, DERF, 12 CM</v>
          </cell>
        </row>
        <row r="3253">
          <cell r="B3253" t="str">
            <v>20-634-13-07</v>
          </cell>
          <cell r="C3253" t="str">
            <v>TC-NADELHALTER, HEGAR-BAUMGARTNER, 13 CM</v>
          </cell>
          <cell r="D3253" t="str">
            <v>TC-NEEDLEHOLDER, HEGAR-BAUMGART., 13 CM</v>
          </cell>
        </row>
        <row r="3254">
          <cell r="B3254" t="str">
            <v>20-634-14-07</v>
          </cell>
          <cell r="C3254" t="str">
            <v>TC-NADELHALTER, HEGAR-BAUMGART., 14,5 CM</v>
          </cell>
          <cell r="D3254" t="str">
            <v>TC-NEEDLEHOLDER, HEGAR-BAUMGAR., 14.5 CM</v>
          </cell>
        </row>
        <row r="3255">
          <cell r="B3255" t="str">
            <v>20-636-13-07</v>
          </cell>
          <cell r="C3255" t="str">
            <v>TC-NADELHALTER, HALSEY, GLATT, 13 CM</v>
          </cell>
          <cell r="D3255" t="str">
            <v>TC-NEEDLEHOLDER, HALSEY, SMOOTH,  13 CM</v>
          </cell>
        </row>
        <row r="3256">
          <cell r="B3256" t="str">
            <v>20-637-12-07</v>
          </cell>
          <cell r="C3256" t="str">
            <v>TC-NADELHALTER, WEBSTER,  GLATT, 12 CM</v>
          </cell>
          <cell r="D3256" t="str">
            <v>TC-NEEDLEHOLD., WEBSTER,  SMOOTH,  12 CM</v>
          </cell>
        </row>
        <row r="3257">
          <cell r="B3257" t="str">
            <v>20-637-13-07</v>
          </cell>
          <cell r="C3257" t="str">
            <v>TC-NADELHALTER, HALSEY, 13 CM</v>
          </cell>
          <cell r="D3257" t="str">
            <v>TC-NEEDLEHOLDER, HALSEY, 13 CM</v>
          </cell>
        </row>
        <row r="3258">
          <cell r="B3258" t="str">
            <v>20-638-15-07</v>
          </cell>
          <cell r="C3258" t="str">
            <v>TC-NADELHALTER, CRILE-WOOD, 15 CM</v>
          </cell>
          <cell r="D3258" t="str">
            <v>TC-NEEDLEHOLDER, CRILE-WOOD, 15 CM</v>
          </cell>
        </row>
        <row r="3259">
          <cell r="B3259" t="str">
            <v>20-638-20-07</v>
          </cell>
          <cell r="C3259" t="str">
            <v>TC-NADELHALTER, CRILE-WOOD, 20,5 CM</v>
          </cell>
          <cell r="D3259" t="str">
            <v>TC-NEEDLEHOLDER, CRILE-WOOD, 20.5 CM</v>
          </cell>
        </row>
        <row r="3260">
          <cell r="B3260" t="str">
            <v>20-640-18-07</v>
          </cell>
          <cell r="C3260" t="str">
            <v>TC-NADELHALTER, SAROT, 18 CM</v>
          </cell>
          <cell r="D3260" t="str">
            <v>TC-NEEDLEHOLDER, SAROT, 18 CM</v>
          </cell>
        </row>
        <row r="3261">
          <cell r="B3261" t="str">
            <v>20-640-20-07</v>
          </cell>
          <cell r="C3261" t="str">
            <v>TC-NADELHALTER, SAROT, 20 CM</v>
          </cell>
          <cell r="D3261" t="str">
            <v>TC-NEEDLEHOLDER, SAROT, 20 CM</v>
          </cell>
        </row>
        <row r="3262">
          <cell r="B3262" t="str">
            <v>20-640-26-07</v>
          </cell>
          <cell r="C3262" t="str">
            <v>TC-NADELHALTER, SAROT, 26 CM</v>
          </cell>
          <cell r="D3262" t="str">
            <v>TC-NEEDLEHOLDER, SAROT, 26 CM</v>
          </cell>
        </row>
        <row r="3263">
          <cell r="B3263" t="str">
            <v>20-642-16-07</v>
          </cell>
          <cell r="C3263" t="str">
            <v>TC-NADELHALTER, MAYO-HEGAR, 16 CM</v>
          </cell>
          <cell r="D3263" t="str">
            <v>TC-NEEDLEHOLDER, MAYO-HEGAR, 16 CM</v>
          </cell>
        </row>
        <row r="3264">
          <cell r="B3264" t="str">
            <v>20-642-18-07</v>
          </cell>
          <cell r="C3264" t="str">
            <v>TC-NADELHALTER, MAYO-HEGAR, 18,5 CM</v>
          </cell>
          <cell r="D3264" t="str">
            <v>TC-NEEDLEHOLDER, MAYO-HEGAR, 18.5 CM</v>
          </cell>
        </row>
        <row r="3265">
          <cell r="B3265" t="str">
            <v>20-642-20-07</v>
          </cell>
          <cell r="C3265" t="str">
            <v>TC-NADELHALTER, MAYO-HEGAR, 20 CM</v>
          </cell>
          <cell r="D3265" t="str">
            <v>TC-NEEDLEHOLDER, MAYO-HEGAR, 20 CM</v>
          </cell>
        </row>
        <row r="3266">
          <cell r="B3266" t="str">
            <v>20-642-24-07</v>
          </cell>
          <cell r="C3266" t="str">
            <v>TC-NADELHALTER, MAYO-HEGAR, 24 CM</v>
          </cell>
          <cell r="D3266" t="str">
            <v>TC-NEEDLEHOLDER, MAYO-HEGAR, 24 CM</v>
          </cell>
        </row>
        <row r="3267">
          <cell r="B3267" t="str">
            <v>20-642-26-07</v>
          </cell>
          <cell r="C3267" t="str">
            <v>TC-NADELHALTER, MAYO-HEGAR, 26,5 CM</v>
          </cell>
          <cell r="D3267" t="str">
            <v>TC-NEEDLEHOLDER, MAYO-HEGAR, 26.5 CM</v>
          </cell>
        </row>
        <row r="3268">
          <cell r="B3268" t="str">
            <v>20-642-30-07</v>
          </cell>
          <cell r="C3268" t="str">
            <v>TC-NADELHALTER, MAYO-HEGAR, 30 CM</v>
          </cell>
          <cell r="D3268" t="str">
            <v>TC-NEEDLEHOLDER, MAYO-HEGAR, 30 CM</v>
          </cell>
        </row>
        <row r="3269">
          <cell r="B3269" t="str">
            <v>20-643-20-07</v>
          </cell>
          <cell r="C3269" t="str">
            <v>TC-NADELHALTER, HEANEY,  GEB., 20,5 CM</v>
          </cell>
          <cell r="D3269" t="str">
            <v>TC-NEEDLEHOLDER, HEANEY,  CVD., 20.5 CM</v>
          </cell>
        </row>
        <row r="3270">
          <cell r="B3270" t="str">
            <v>20-643-24-07</v>
          </cell>
          <cell r="C3270" t="str">
            <v>TC-NADELHALTER, HEANEY,  GEB., 24 CM</v>
          </cell>
          <cell r="D3270" t="str">
            <v>TC-NEEDLEHOLDER, HEANEY,  CVD., 24 CM</v>
          </cell>
        </row>
        <row r="3271">
          <cell r="B3271" t="str">
            <v>20-643-26-07</v>
          </cell>
          <cell r="C3271" t="str">
            <v>TC-NADELHALTER, HEANEY,  GEB., 26,5 CM</v>
          </cell>
          <cell r="D3271" t="str">
            <v>TC-NEEDLEHOLDER, HEANEY,  CVD., 26,5 CM</v>
          </cell>
        </row>
        <row r="3272">
          <cell r="B3272" t="str">
            <v>20-646-18-07</v>
          </cell>
          <cell r="C3272" t="str">
            <v>TC-NADELHALTER, DE BAKEY, 18 CM</v>
          </cell>
          <cell r="D3272" t="str">
            <v>TC-NEEDLEHOLDER, DE BAKEY, 18 CM</v>
          </cell>
        </row>
        <row r="3273">
          <cell r="B3273" t="str">
            <v>20-646-20-07</v>
          </cell>
          <cell r="C3273" t="str">
            <v>TC-NADELHALTER, DE BAKEY, 20,5 CM</v>
          </cell>
          <cell r="D3273" t="str">
            <v>TC-NEEDLEHOLDER, DE BAKEY, 20.5 CM</v>
          </cell>
        </row>
        <row r="3274">
          <cell r="B3274" t="str">
            <v>20-646-23-07</v>
          </cell>
          <cell r="C3274" t="str">
            <v>TC-NADELHALTER, DE BAKEY, 23 CM</v>
          </cell>
          <cell r="D3274" t="str">
            <v>TC-NEEDLEHOLDER, DE BAKEY, 23 CM</v>
          </cell>
        </row>
        <row r="3275">
          <cell r="B3275" t="str">
            <v>20-646-26-07</v>
          </cell>
          <cell r="C3275" t="str">
            <v>TC-NADELHALTER, DE BAKEY, 26,5 CM</v>
          </cell>
          <cell r="D3275" t="str">
            <v>TC-NEEDLEHOLDER, DE BAKEY, 26.5 CM</v>
          </cell>
        </row>
        <row r="3276">
          <cell r="B3276" t="str">
            <v>20-646-31-07</v>
          </cell>
          <cell r="C3276" t="str">
            <v>TC-NADELHALTER, DE BAKEY, 31 CM</v>
          </cell>
          <cell r="D3276" t="str">
            <v>TC-NEEDLEHOLDER, DE BAKEY, 31 CM</v>
          </cell>
        </row>
        <row r="3277">
          <cell r="B3277" t="str">
            <v>20-648-27-07</v>
          </cell>
          <cell r="C3277" t="str">
            <v>TC-NADELHALTER, MASSON,  26,5 CM</v>
          </cell>
          <cell r="D3277" t="str">
            <v>TC-NEEDLEHOLDER, MASSON,  26.5 CM</v>
          </cell>
        </row>
        <row r="3278">
          <cell r="B3278" t="str">
            <v>20-650-13-07</v>
          </cell>
          <cell r="C3278" t="str">
            <v>TC-NADELHALTER, RYDER-MARTIN, 12,5 CM</v>
          </cell>
          <cell r="D3278" t="str">
            <v>TC-NEEDLEHOLDER, RYDER-MARTIN, 12.5 CM</v>
          </cell>
        </row>
        <row r="3279">
          <cell r="B3279" t="str">
            <v>20-650-15-07</v>
          </cell>
          <cell r="C3279" t="str">
            <v>TC-NADELHALTER, RYDER-MARTIN, 15 CM</v>
          </cell>
          <cell r="D3279" t="str">
            <v>TC-NEEDLEHOLDER, RYDER-MARTIN, 15 CM</v>
          </cell>
        </row>
        <row r="3280">
          <cell r="B3280" t="str">
            <v>20-650-18-07</v>
          </cell>
          <cell r="C3280" t="str">
            <v>TC-NADELHALTER, RYDER-MARTIN, 18 CM</v>
          </cell>
          <cell r="D3280" t="str">
            <v>TC-NEEDLEHOLDER, RYDER-MARTIN, 18 CM</v>
          </cell>
        </row>
        <row r="3281">
          <cell r="B3281" t="str">
            <v>20-650-20-07</v>
          </cell>
          <cell r="C3281" t="str">
            <v>TC-NADELHALTER, RYDER-MARTIN, 20 CM</v>
          </cell>
          <cell r="D3281" t="str">
            <v>TC-NEEDLEHOLDER, RYDER-MARTIN, 20 CM</v>
          </cell>
        </row>
        <row r="3282">
          <cell r="B3282" t="str">
            <v>20-650-23-07</v>
          </cell>
          <cell r="C3282" t="str">
            <v>TC-NADELHALTER, RYDER-MARTIN, 23 CM</v>
          </cell>
          <cell r="D3282" t="str">
            <v>TC-NEEDLEHOLDER, RYDER-MARTIN, 23 CM</v>
          </cell>
        </row>
        <row r="3283">
          <cell r="B3283" t="str">
            <v>20-650-26-07</v>
          </cell>
          <cell r="C3283" t="str">
            <v>TC-NADELHALTER, RYDER-MARTIN, 26 CM</v>
          </cell>
          <cell r="D3283" t="str">
            <v>TC-NEEDLEHOLDER, RYDER-MARTIN, 26 CM</v>
          </cell>
        </row>
        <row r="3284">
          <cell r="B3284" t="str">
            <v>20-652-15-07</v>
          </cell>
          <cell r="C3284" t="str">
            <v>TC-NADELHALTER, SCHWED.  MODELL,  15 CM</v>
          </cell>
          <cell r="D3284" t="str">
            <v>TC-NEEDLEHOLDER, SWEDISH-TYPE, 15 CM</v>
          </cell>
        </row>
        <row r="3285">
          <cell r="B3285" t="str">
            <v>20-652-17-07</v>
          </cell>
          <cell r="C3285" t="str">
            <v>TC-NADELHALTER, SCHWED.  MODELL,  17 CM</v>
          </cell>
          <cell r="D3285" t="str">
            <v>TC-NEEDLEHOLDER, SWEDISH-TYPE, 17 CM</v>
          </cell>
        </row>
        <row r="3286">
          <cell r="B3286" t="str">
            <v>20-652-20-07</v>
          </cell>
          <cell r="C3286" t="str">
            <v>TC-NADELHALTER, SCHWED.  MODELL,  20,5 CM</v>
          </cell>
          <cell r="D3286" t="str">
            <v>TC-NEEDLEHOLDER, SWEDISH-TYPE, 20.5 CM</v>
          </cell>
        </row>
        <row r="3287">
          <cell r="B3287" t="str">
            <v>20-653-27-07</v>
          </cell>
          <cell r="C3287" t="str">
            <v>TC-NADELHALTER, FINOCHIETTO, 26,5 CM</v>
          </cell>
          <cell r="D3287" t="str">
            <v>TC-NEEDLEHOLDER, FINOCHIETTO, 26.5 CM</v>
          </cell>
        </row>
        <row r="3288">
          <cell r="B3288" t="str">
            <v>20-654-13-07</v>
          </cell>
          <cell r="C3288" t="str">
            <v>TC-NADELHALTER, RYDER-VASCULAR, 12 CM</v>
          </cell>
          <cell r="D3288" t="str">
            <v>TC-NEEDLEHOLDER, RYDER-VASCULAR, 12 CM</v>
          </cell>
        </row>
        <row r="3289">
          <cell r="B3289" t="str">
            <v>20-654-15-07</v>
          </cell>
          <cell r="C3289" t="str">
            <v>TC-NADELHALTER, RYDER-VASCULAR, 15,5 CM</v>
          </cell>
          <cell r="D3289" t="str">
            <v>TC-NEEDLEHOLDER, RYDER-VASCULAR, 15.5 CM</v>
          </cell>
        </row>
        <row r="3290">
          <cell r="B3290" t="str">
            <v>20-654-18-07</v>
          </cell>
          <cell r="C3290" t="str">
            <v>TC-NADELHALTER, RYDER-VASCULAR, 17,5 CM</v>
          </cell>
          <cell r="D3290" t="str">
            <v>TC-NEEDLEHOLDER, RYDER-VASCULAR, 17.5 CM</v>
          </cell>
        </row>
        <row r="3291">
          <cell r="B3291" t="str">
            <v>20-654-20-07</v>
          </cell>
          <cell r="C3291" t="str">
            <v>TC-NADELHALTER, RYDER-VASCULAR, 20 CM</v>
          </cell>
          <cell r="D3291" t="str">
            <v>TC-NEEDLEHOLDER, RYDER-VASCULAR, 20 CM</v>
          </cell>
        </row>
        <row r="3292">
          <cell r="B3292" t="str">
            <v>20-654-23-07</v>
          </cell>
          <cell r="C3292" t="str">
            <v>TC-NADELHALTER, RYDER-VASCULAR, 22,5 CM</v>
          </cell>
          <cell r="D3292" t="str">
            <v>TC-NEEDLEHOLDER, RYDER-VASCULAR, 22.5 CM</v>
          </cell>
        </row>
        <row r="3293">
          <cell r="B3293" t="str">
            <v>20-654-26-07</v>
          </cell>
          <cell r="C3293" t="str">
            <v>TC-NADELHALTER, RYDER-VASCULAR, 26 CM</v>
          </cell>
          <cell r="D3293" t="str">
            <v>TC-NEEDLEHOLDER, RYDER-VASCULAR, 26 CM</v>
          </cell>
        </row>
        <row r="3294">
          <cell r="B3294" t="str">
            <v>20-656-27-07</v>
          </cell>
          <cell r="C3294" t="str">
            <v>TC-NADELHALTER, WANGENSTEEN, 27 CM</v>
          </cell>
          <cell r="D3294" t="str">
            <v>TC-NEEDLEHOLDER, WANGENSTEEN, 27 CM</v>
          </cell>
        </row>
        <row r="3295">
          <cell r="B3295" t="str">
            <v>20-658-14-07</v>
          </cell>
          <cell r="C3295" t="str">
            <v>TC-NADELHALTER, HEGAR-VASCULAR, 14 CM</v>
          </cell>
          <cell r="D3295" t="str">
            <v>TC-NEEDLEHOLDER, HEGAR-VASCULAR, 14 CM</v>
          </cell>
        </row>
        <row r="3296">
          <cell r="B3296" t="str">
            <v>20-658-18-07</v>
          </cell>
          <cell r="C3296" t="str">
            <v>TC-NADELHALTER, HEGAR-VASCULAR, 18,5 CM</v>
          </cell>
          <cell r="D3296" t="str">
            <v>TC-NEEDLEHOLDER, HEGAR-VASCULAR, 18.5 CM</v>
          </cell>
        </row>
        <row r="3297">
          <cell r="B3297" t="str">
            <v>20-658-20-07</v>
          </cell>
          <cell r="C3297" t="str">
            <v>TC-NADELHALTER, HEGAR-VASCULAR, 20,5 CM</v>
          </cell>
          <cell r="D3297" t="str">
            <v>TC-NEEDLEHOLDER, HEGAR-VASCULAR, 20.5 CM</v>
          </cell>
        </row>
        <row r="3298">
          <cell r="B3298" t="str">
            <v>20-658-23-07</v>
          </cell>
          <cell r="C3298" t="str">
            <v>TC-NADELHALTER, HEGAR-VASCULAR, 23 CM</v>
          </cell>
          <cell r="D3298" t="str">
            <v>TC-NEEDLEHOLDER, HEGAR-VASCULAR, 23 CM</v>
          </cell>
        </row>
        <row r="3299">
          <cell r="B3299" t="str">
            <v>20-659-20-07</v>
          </cell>
          <cell r="C3299" t="str">
            <v>TC-NADELHALT., BOZEMANN, S-FORM, 20,5 CM</v>
          </cell>
          <cell r="D3299" t="str">
            <v>TC-NEEDLEHOLD., BOZEMANN, S-SHAPE,  20.5</v>
          </cell>
        </row>
        <row r="3300">
          <cell r="B3300" t="str">
            <v>20-659-24-07</v>
          </cell>
          <cell r="C3300" t="str">
            <v>TC-NADELHALTER, BOZEMANN, S-FORM, 24 CM</v>
          </cell>
          <cell r="D3300" t="str">
            <v>TC-NEEDLEHOLDER, BOZEMANN, S-SHAPE,  24CM</v>
          </cell>
        </row>
        <row r="3301">
          <cell r="B3301" t="str">
            <v>20-659-26-07</v>
          </cell>
          <cell r="C3301" t="str">
            <v>TC-NADELHALTER, BOZEM., S-FORM, 26 CM</v>
          </cell>
          <cell r="D3301" t="str">
            <v>TC-NEEDLEHOLDER, BOZEM., S-SHAPE,  26 CM</v>
          </cell>
        </row>
        <row r="3302">
          <cell r="B3302" t="str">
            <v>20-659-28-07</v>
          </cell>
          <cell r="C3302" t="str">
            <v>TC-NADELHALTER, BOZEMANN, S-FORM, 30 CM</v>
          </cell>
          <cell r="D3302" t="str">
            <v>TC-NEEDLEHOLDER, BOZEMANN, S-SHAPE,  30 C</v>
          </cell>
        </row>
        <row r="3303">
          <cell r="B3303" t="str">
            <v>20-662-20-07</v>
          </cell>
          <cell r="C3303" t="str">
            <v>TC-NADELHALTER, HEGAR, 20 CM</v>
          </cell>
          <cell r="D3303" t="str">
            <v>TC-NEEDLEHOLDER, HEGAR, 20 CM</v>
          </cell>
        </row>
        <row r="3304">
          <cell r="B3304" t="str">
            <v>20-662-24-07</v>
          </cell>
          <cell r="C3304" t="str">
            <v>TC-NADELHALTER, HEGAR, 24 CM</v>
          </cell>
          <cell r="D3304" t="str">
            <v>TC-NEEDLEHOLDER, HEGAR, 24 CM</v>
          </cell>
        </row>
        <row r="3305">
          <cell r="B3305" t="str">
            <v>20-665-22-07</v>
          </cell>
          <cell r="C3305" t="str">
            <v>TC-NADELHALTER, STRATTE,  SCHLANK,  23 CM</v>
          </cell>
          <cell r="D3305" t="str">
            <v>TC-NEEDLEHOLDER, STRATTE,  SLIM, 23 CM</v>
          </cell>
        </row>
        <row r="3306">
          <cell r="B3306" t="str">
            <v>20-665-23-07</v>
          </cell>
          <cell r="C3306" t="str">
            <v>TC-NADELHALTER, STRATTE,  GEB., 23 CM</v>
          </cell>
          <cell r="D3306" t="str">
            <v>TC-NEEDLEHOLDER, STRATTE,  CVD., 23 CM</v>
          </cell>
        </row>
        <row r="3307">
          <cell r="B3307" t="str">
            <v>20-666-00-07</v>
          </cell>
          <cell r="C3307" t="str">
            <v>TC-NADELHALTER, MICROVASCULAR, 14 CM</v>
          </cell>
          <cell r="D3307" t="str">
            <v>TC-NEEDLEHOLDER, MICROVASCULAR, 14 CM</v>
          </cell>
        </row>
        <row r="3308">
          <cell r="B3308" t="str">
            <v>20-666-02-07</v>
          </cell>
          <cell r="C3308" t="str">
            <v>TC-NADELHALTER, MICROVASCULAR, 17,5 CM</v>
          </cell>
          <cell r="D3308" t="str">
            <v>TC-NEEDLEHOLDER, MICROVASCULAR, 17.5 CM</v>
          </cell>
        </row>
        <row r="3309">
          <cell r="B3309" t="str">
            <v>20-666-03-07</v>
          </cell>
          <cell r="C3309" t="str">
            <v>TC-NADELHALTER, MICROVASCULAR, 20 CM</v>
          </cell>
          <cell r="D3309" t="str">
            <v>TC-NEEDLEHOLDER, MICROVASCULAR, 20 CM</v>
          </cell>
        </row>
        <row r="3310">
          <cell r="B3310" t="str">
            <v>20-666-04-07</v>
          </cell>
          <cell r="C3310" t="str">
            <v>TC-NADELHALTER, MICROVASCULAR, 23 CM</v>
          </cell>
          <cell r="D3310" t="str">
            <v>TC-NEEDLEHOLDER, MICROVASCULAR, 23 CM</v>
          </cell>
        </row>
        <row r="3311">
          <cell r="B3311" t="str">
            <v>20-666-05-07</v>
          </cell>
          <cell r="C3311" t="str">
            <v>TC-Nadelhalter, Mikrovascular, 26cm</v>
          </cell>
          <cell r="D3311" t="str">
            <v>TC-Needleholder, microvascular, 26cm</v>
          </cell>
        </row>
        <row r="3312">
          <cell r="B3312" t="str">
            <v>20-668-00-07</v>
          </cell>
          <cell r="C3312" t="str">
            <v>TC-NADELHALTER, MARTINI,  GLATT, 14 CM</v>
          </cell>
          <cell r="D3312" t="str">
            <v>TC-NEEDLEHOLDER, MARTINI,  SMOOTH,  14 CM</v>
          </cell>
        </row>
        <row r="3313">
          <cell r="B3313" t="str">
            <v>20-668-01-07</v>
          </cell>
          <cell r="C3313" t="str">
            <v>TC-NADELHALTER, MARTINI,  GLATT, 15 CM</v>
          </cell>
          <cell r="D3313" t="str">
            <v>TC-NEEDLEHOLDER, MARTINI,  SMOOTH,  15 CM</v>
          </cell>
        </row>
        <row r="3314">
          <cell r="B3314" t="str">
            <v>20-668-02-07</v>
          </cell>
          <cell r="C3314" t="str">
            <v>TC-NADELHALTER, MARTINI,  GLATT, 17,5 CM</v>
          </cell>
          <cell r="D3314" t="str">
            <v>TC-NEEDLEHOLD., MARTINI,  SMOOTH,  17.5 CM</v>
          </cell>
        </row>
        <row r="3315">
          <cell r="B3315" t="str">
            <v>20-668-03-07</v>
          </cell>
          <cell r="C3315" t="str">
            <v>TC-NADELHALTER, MARTINI,  GLATT, 20 CM</v>
          </cell>
          <cell r="D3315" t="str">
            <v>TC-NEEDLEHOLDER, MARTINI,  SMOOTH,  20 CM</v>
          </cell>
        </row>
        <row r="3316">
          <cell r="B3316" t="str">
            <v>20-670-00-07</v>
          </cell>
          <cell r="C3316" t="str">
            <v>TC-NADELHALTER, MARTINI,  14 CM</v>
          </cell>
          <cell r="D3316" t="str">
            <v>TC-NEEDLEHOLDER, MARTINI,  14 CM</v>
          </cell>
        </row>
        <row r="3317">
          <cell r="B3317" t="str">
            <v>20-670-01-07</v>
          </cell>
          <cell r="C3317" t="str">
            <v>TC-NADELHALTER, MARTINI,  15 CM</v>
          </cell>
          <cell r="D3317" t="str">
            <v>TC-NEEDLEHOLDER, MARTINI,  15 CM</v>
          </cell>
        </row>
        <row r="3318">
          <cell r="B3318" t="str">
            <v>20-670-02-07</v>
          </cell>
          <cell r="C3318" t="str">
            <v>TC-NADELHALTER, MARTINI,  17,5 CM</v>
          </cell>
          <cell r="D3318" t="str">
            <v>TC-NEEDLEHOLDER, MARTINI,  17.5 CM</v>
          </cell>
        </row>
        <row r="3319">
          <cell r="B3319" t="str">
            <v>20-670-03-07</v>
          </cell>
          <cell r="C3319" t="str">
            <v>TC-NADELHALTER, MARTINI,  20 CM</v>
          </cell>
          <cell r="D3319" t="str">
            <v>TC-NEEDLEHOLDER, MARTINI,  20 CM</v>
          </cell>
        </row>
        <row r="3320">
          <cell r="B3320" t="str">
            <v>20-672-14-07</v>
          </cell>
          <cell r="C3320" t="str">
            <v>TC-NADELHALTER, OLSEN-HEGAR, 14,5 CM</v>
          </cell>
          <cell r="D3320" t="str">
            <v>TC-NEEDLEHOLDER, OLSEN-HEGAR, 14.5 CM</v>
          </cell>
        </row>
        <row r="3321">
          <cell r="B3321" t="str">
            <v>20-672-17-07</v>
          </cell>
          <cell r="C3321" t="str">
            <v>TC-NADELHALTER, OLSEN-HEGAR, 17 CM</v>
          </cell>
          <cell r="D3321" t="str">
            <v>TC-NEEDLEHOLDER, OLSEN-HEGAR, 17 CM</v>
          </cell>
        </row>
        <row r="3322">
          <cell r="B3322" t="str">
            <v>20-672-18-07</v>
          </cell>
          <cell r="C3322" t="str">
            <v>TC-NADELHALTER, OLSEN-HEGAR, 19 CM</v>
          </cell>
          <cell r="D3322" t="str">
            <v>TC-NEEDLEHOLDER, OLSEN-HEGAR, 19 CM</v>
          </cell>
        </row>
        <row r="3323">
          <cell r="B3323" t="str">
            <v>20-673-12-07</v>
          </cell>
          <cell r="C3323" t="str">
            <v>TC-NADELHALTER, FOSTER-GILLIES, 11 CM</v>
          </cell>
          <cell r="D3323" t="str">
            <v>TC-NEEDLEHOLDER, FOSTER-GILLIES, 11 CM</v>
          </cell>
        </row>
        <row r="3324">
          <cell r="B3324" t="str">
            <v>20-673-15-07</v>
          </cell>
          <cell r="C3324" t="str">
            <v>TC-NADELHALTER, GILLIES-MINI, 15 CM</v>
          </cell>
          <cell r="D3324" t="str">
            <v>TC-NEEDLEHOLDER, GILLIES-MINI, 15 CM</v>
          </cell>
        </row>
        <row r="3325">
          <cell r="B3325" t="str">
            <v>20-673-16-07</v>
          </cell>
          <cell r="C3325" t="str">
            <v>TC-NADELHALTER, GILLIES, 16 CM</v>
          </cell>
          <cell r="D3325" t="str">
            <v>TC-NEEDLEHOLDER, GILLIES, 16 CM</v>
          </cell>
        </row>
        <row r="3326">
          <cell r="B3326" t="str">
            <v>20-674-14-07</v>
          </cell>
          <cell r="C3326" t="str">
            <v>TC-NADELHALTER, MATHIEU,  SCHLK., 14 CM</v>
          </cell>
          <cell r="D3326" t="str">
            <v>TC-NEEDLEHOLDER, MATHIEU,  SLIM, 14 CM</v>
          </cell>
        </row>
        <row r="3327">
          <cell r="B3327" t="str">
            <v>20-674-17-07</v>
          </cell>
          <cell r="C3327" t="str">
            <v>TC-NADELHALTER, MATHIEU,  SCHLK., 17 CM</v>
          </cell>
          <cell r="D3327" t="str">
            <v>TC-NEEDLEHOLDER, MATHIEU,  SLIM, 17 CM</v>
          </cell>
        </row>
        <row r="3328">
          <cell r="B3328" t="str">
            <v>20-674-20-07</v>
          </cell>
          <cell r="C3328" t="str">
            <v>TC-NADELHALTER, MATHIEU,  SCHLK., 20 CM</v>
          </cell>
          <cell r="D3328" t="str">
            <v>TC-NEEDLEHOLDER, MATHIEU,  SLIM, 20 CM</v>
          </cell>
        </row>
        <row r="3329">
          <cell r="B3329" t="str">
            <v>20-676-14-07</v>
          </cell>
          <cell r="C3329" t="str">
            <v>TC-NADELHALTER, MATHIEU,  14 CM</v>
          </cell>
          <cell r="D3329" t="str">
            <v>TC-NEEDLEHOLDER, MATHIEU,  14 CM</v>
          </cell>
        </row>
        <row r="3330">
          <cell r="B3330" t="str">
            <v>20-676-17-07</v>
          </cell>
          <cell r="C3330" t="str">
            <v>TC-NADELHALTER, MATHIEU,  17 CM</v>
          </cell>
          <cell r="D3330" t="str">
            <v>TC-NEEDLEHOLDER, MATHIEU,  17 CM</v>
          </cell>
        </row>
        <row r="3331">
          <cell r="B3331" t="str">
            <v>20-676-20-07</v>
          </cell>
          <cell r="C3331" t="str">
            <v>TC-NADELHALTER, MATHIEU,  20 CM</v>
          </cell>
          <cell r="D3331" t="str">
            <v>TC-NEEDLEHOLDER, MATHIEU,  20 CM</v>
          </cell>
        </row>
        <row r="3332">
          <cell r="B3332" t="str">
            <v>20-678-17-07</v>
          </cell>
          <cell r="C3332" t="str">
            <v>TC-NADELHALTER, MATHIEU,  INNENSP.,  17 CM</v>
          </cell>
          <cell r="D3332" t="str">
            <v>TC-NEEDLEHOLDER, MATHIEU,  17 CM</v>
          </cell>
        </row>
        <row r="3333">
          <cell r="B3333" t="str">
            <v>20-678-20-07</v>
          </cell>
          <cell r="C3333" t="str">
            <v>TC-NADELHALTER, MATHIEU,  INNENSP.,  20 CM</v>
          </cell>
          <cell r="D3333" t="str">
            <v>TC-NEEDLEHOLDER, MATHIEU,  20 CM</v>
          </cell>
        </row>
        <row r="3334">
          <cell r="B3334" t="str">
            <v>20-684-18-07</v>
          </cell>
          <cell r="C3334" t="str">
            <v>TC-NADELHALTER, TOENNIS,  OFFEN, 18 CM</v>
          </cell>
          <cell r="D3334" t="str">
            <v>TC-NEEDLEHOLDER, TOENNIS,  18 CM</v>
          </cell>
        </row>
        <row r="3335">
          <cell r="B3335" t="str">
            <v>20-685-18-07</v>
          </cell>
          <cell r="C3335" t="str">
            <v>TC-Nadelhalter, Kübler, 18 cm</v>
          </cell>
          <cell r="D3335" t="str">
            <v>TC-Needleholder, Kübler, 18 cm</v>
          </cell>
        </row>
        <row r="3336">
          <cell r="B3336" t="str">
            <v>20-692-18-07</v>
          </cell>
          <cell r="C3336" t="str">
            <v>TC-NADELHALTER, LANGENBECK, 18,5 CM</v>
          </cell>
          <cell r="D3336" t="str">
            <v>TC-NEEDLEHOLDER, LANGENBECK, 18.5 CM</v>
          </cell>
        </row>
        <row r="3337">
          <cell r="B3337" t="str">
            <v>20-692-20-07</v>
          </cell>
          <cell r="C3337" t="str">
            <v>TC-NADELHALTER, LANGENBECK, 20,5 CM</v>
          </cell>
          <cell r="D3337" t="str">
            <v>TC-NEEDLEHOLDER, LANGENBECK, 20.5 CM</v>
          </cell>
        </row>
        <row r="3338">
          <cell r="B3338" t="str">
            <v>20-692-23-07</v>
          </cell>
          <cell r="C3338" t="str">
            <v>TC-NADELHALTER, LANGENBECK, 23 CM</v>
          </cell>
          <cell r="D3338" t="str">
            <v>TC-NEEDLEHOLDER, LANGENBECK, 23 CM</v>
          </cell>
        </row>
        <row r="3339">
          <cell r="B3339" t="str">
            <v>20-813-32-07</v>
          </cell>
          <cell r="C3339" t="str">
            <v>UNTERBINDUNGSNADEL, SCHMIDEN-DICK, 30 CM</v>
          </cell>
          <cell r="D3339" t="str">
            <v>LIGATURE  NEEDLE, SCHMIDEN-DICK, 30 CM</v>
          </cell>
        </row>
        <row r="3340">
          <cell r="B3340" t="str">
            <v>20-815-21-07</v>
          </cell>
          <cell r="C3340" t="str">
            <v>UNTERBINDUNGSNADEL, SCHMIDEN, 24 CM</v>
          </cell>
          <cell r="D3340" t="str">
            <v>LIGATURE  NEEDLE, SCHMIDEN, 24 CM</v>
          </cell>
        </row>
        <row r="3341">
          <cell r="B3341" t="str">
            <v>20-825-20-07</v>
          </cell>
          <cell r="C3341" t="str">
            <v>Unterbindungsnadel, geb., biegs., 20 cm</v>
          </cell>
          <cell r="D3341" t="str">
            <v>Ligature needle, cvd., malleab.,  20 cm</v>
          </cell>
        </row>
        <row r="3342">
          <cell r="B3342" t="str">
            <v>20-832-19-07</v>
          </cell>
          <cell r="C3342" t="str">
            <v>UNTERBINDUNGSNADEL, COOPER,  20 CM</v>
          </cell>
          <cell r="D3342" t="str">
            <v>LIGATURE  NEEDLE, COOPER,  20 CM</v>
          </cell>
        </row>
        <row r="3343">
          <cell r="B3343" t="str">
            <v>20-835-13-07</v>
          </cell>
          <cell r="C3343" t="str">
            <v>UNTERBIND.-NADEL, KRONECKER, RE., 12 CM</v>
          </cell>
          <cell r="D3343" t="str">
            <v>LIGATURE  NEEDLE, KRONECKER, R., 12 CM</v>
          </cell>
        </row>
        <row r="3344">
          <cell r="B3344" t="str">
            <v>20-837-13-07</v>
          </cell>
          <cell r="C3344" t="str">
            <v>UNTERBIND.-NADEL, KRONECKER, LI., 12 CM</v>
          </cell>
          <cell r="D3344" t="str">
            <v>LIGATURE  NEEDLE, KRONECKER, L., 12 CM</v>
          </cell>
        </row>
        <row r="3345">
          <cell r="B3345" t="str">
            <v>20-839-24-07</v>
          </cell>
          <cell r="C3345" t="str">
            <v>UNTERBIND.-NADEL, DESCHAMPS, RE., 24 CM</v>
          </cell>
          <cell r="D3345" t="str">
            <v>LIGATURE  NEEDLE, DESCHAMPS, R., 24 CM</v>
          </cell>
        </row>
        <row r="3346">
          <cell r="B3346" t="str">
            <v>20-840-24-07</v>
          </cell>
          <cell r="C3346" t="str">
            <v>UNTERBIND.-NADEL, DESCHAMPS, LI., 24 CM</v>
          </cell>
          <cell r="D3346" t="str">
            <v>LIGATURE  NEEDLE, DESCHAMPS, L., 24 CM</v>
          </cell>
        </row>
        <row r="3347">
          <cell r="B3347" t="str">
            <v>20-841-20-07</v>
          </cell>
          <cell r="C3347" t="str">
            <v>UNTERB.-NADEL, DESCHAMPS, STUMPF,  20 CM</v>
          </cell>
          <cell r="D3347" t="str">
            <v>LIGATURE  NEEDLE, DESCHAMPS, BLUNT, 20 CM</v>
          </cell>
        </row>
        <row r="3348">
          <cell r="B3348" t="str">
            <v>20-842-20-07</v>
          </cell>
          <cell r="C3348" t="str">
            <v>UNTERB.-NADEL, DESCHAMPS, STUMPF,  20 CM</v>
          </cell>
          <cell r="D3348" t="str">
            <v>LIGATURE  NEEDLE, DESCHAMPS, BLUNT, 20 CM</v>
          </cell>
        </row>
        <row r="3349">
          <cell r="B3349" t="str">
            <v>20-843-20-07</v>
          </cell>
          <cell r="C3349" t="str">
            <v>UNTERB.-NADEL, DESCHAMPS, SCHARF, 20 CM</v>
          </cell>
          <cell r="D3349" t="str">
            <v>LIGATURE  NEEDLE, DESCHAMPS, SHARP, 20 CM</v>
          </cell>
        </row>
        <row r="3350">
          <cell r="B3350" t="str">
            <v>20-844-20-07</v>
          </cell>
          <cell r="C3350" t="str">
            <v>UNTERB.-NADEL, DESCHAMPS, SCHARF, 20 CM</v>
          </cell>
          <cell r="D3350" t="str">
            <v>LIGATURE  NEEDLE, DESCHAMPS, SHARP, 20 CM</v>
          </cell>
        </row>
        <row r="3351">
          <cell r="B3351" t="str">
            <v>20-845-21-07</v>
          </cell>
          <cell r="C3351" t="str">
            <v>UNTERB.-NADEL, DESCHAMPS, STUMPF,  20 CM</v>
          </cell>
          <cell r="D3351" t="str">
            <v>LIGATURE  NEEDLE, DESCHAMPS, BLUNT, 20 CM</v>
          </cell>
        </row>
        <row r="3352">
          <cell r="B3352" t="str">
            <v>20-846-21-07</v>
          </cell>
          <cell r="C3352" t="str">
            <v>UNTERB.-NADEL, DESCHAMPS, STUMPF,  20 CM</v>
          </cell>
          <cell r="D3352" t="str">
            <v>LIGATURE  NEEDLE, DESCHAMPS, BLUNT, 20 CM</v>
          </cell>
        </row>
        <row r="3353">
          <cell r="B3353" t="str">
            <v>20-847-21-07</v>
          </cell>
          <cell r="C3353" t="str">
            <v>UNTERB.-NADEL, DESCHAMPS, SCHARF, 20 CM</v>
          </cell>
          <cell r="D3353" t="str">
            <v>LIGATURE  NEEDLE, DESCHAMPS, SHARP, 20 CM</v>
          </cell>
        </row>
        <row r="3354">
          <cell r="B3354" t="str">
            <v>20-848-21-07</v>
          </cell>
          <cell r="C3354" t="str">
            <v>UNTERB.-NADEL, DESCHAMPS, SCHARF, 20 CM</v>
          </cell>
          <cell r="D3354" t="str">
            <v>LIGATURE  NEEDLE, DESCHAMPS, SHARP, 20 CM</v>
          </cell>
        </row>
        <row r="3355">
          <cell r="B3355" t="str">
            <v>20-849-27-07</v>
          </cell>
          <cell r="C3355" t="str">
            <v>UNTERB.-NADEL, DESCHAMPS, STUMPF,  27 CM</v>
          </cell>
          <cell r="D3355" t="str">
            <v>LIGATURE  NEEDLE, DESCHAMPS, BLUNT, 27 CM</v>
          </cell>
        </row>
        <row r="3356">
          <cell r="B3356" t="str">
            <v>20-850-27-07</v>
          </cell>
          <cell r="C3356" t="str">
            <v>UNTERB.-NADEL, DESCHAMPS, STUMPF,  27 CM</v>
          </cell>
          <cell r="D3356" t="str">
            <v>LIGATURE  NEEDLE, DESCHAMPS, BLUNT, 27 CM</v>
          </cell>
        </row>
        <row r="3357">
          <cell r="B3357" t="str">
            <v>20-851-27-07</v>
          </cell>
          <cell r="C3357" t="str">
            <v>UNTERB.-NADEL, DESCHAMPS, SCHARF, 27 CM</v>
          </cell>
          <cell r="D3357" t="str">
            <v>LIGATURE  NEEDLE, DESCHAMPS, SHARP, 27 CM</v>
          </cell>
        </row>
        <row r="3358">
          <cell r="B3358" t="str">
            <v>20-852-27-07</v>
          </cell>
          <cell r="C3358" t="str">
            <v>UNTERB.-NADEL, DESCHAMPS, SCHARF, 27 CM</v>
          </cell>
          <cell r="D3358" t="str">
            <v>LIGATURE  NEEDLE, DESCHAMPS, SHARP, 27 CM</v>
          </cell>
        </row>
        <row r="3359">
          <cell r="B3359" t="str">
            <v>20-853-28-07</v>
          </cell>
          <cell r="C3359" t="str">
            <v>UNTERB.-NADEL, DESCHAMPS, STUMPF,  28 CM</v>
          </cell>
          <cell r="D3359" t="str">
            <v>LIGATURE  NEEDLE, DESCHAMPS, BLUNT, 28 CM</v>
          </cell>
        </row>
        <row r="3360">
          <cell r="B3360" t="str">
            <v>20-854-28-07</v>
          </cell>
          <cell r="C3360" t="str">
            <v>UNTERB.-NADEL, DESCHAMPS, STUMPF,  28 CM</v>
          </cell>
          <cell r="D3360" t="str">
            <v>LIGATURE  NEEDLE, DESCHAMPS, BLUNT, 28 CM</v>
          </cell>
        </row>
        <row r="3361">
          <cell r="B3361" t="str">
            <v>20-855-20-07</v>
          </cell>
          <cell r="C3361" t="str">
            <v>UNTERB.-NADEL, DESCHAMPS, SCHARF, 21 CM</v>
          </cell>
          <cell r="D3361" t="str">
            <v>LIGATURE  NEEDLE, DESCHAMPS, SHARP, 21 CM</v>
          </cell>
        </row>
        <row r="3362">
          <cell r="B3362" t="str">
            <v>20-856-20-07</v>
          </cell>
          <cell r="C3362" t="str">
            <v>UNTERB.-NADEL, DESCHAMPS, SCHARF, 21 CM</v>
          </cell>
          <cell r="D3362" t="str">
            <v>LIGATURE  NEEDLE, DESCHAMPS, SHARP, 21 CM</v>
          </cell>
        </row>
        <row r="3363">
          <cell r="B3363" t="str">
            <v>20-857-20-07</v>
          </cell>
          <cell r="C3363" t="str">
            <v>UNTERB.-NADEL, DESCHAMPS, STUMPF,  21 CM</v>
          </cell>
          <cell r="D3363" t="str">
            <v>LIGATURE  NEEDLE, DESCHAMPS, BLUNT, 21 CM</v>
          </cell>
        </row>
        <row r="3364">
          <cell r="B3364" t="str">
            <v>20-858-20-07</v>
          </cell>
          <cell r="C3364" t="str">
            <v>UNTERB.-NADEL, DESCHAMPS, STUMPF,  21 CM</v>
          </cell>
          <cell r="D3364" t="str">
            <v>LIGATURE  NEEDLE, DESCHAMPS, BLUNT, 21 CM</v>
          </cell>
        </row>
        <row r="3365">
          <cell r="B3365" t="str">
            <v>20-859-20-07</v>
          </cell>
          <cell r="C3365" t="str">
            <v>UNTERB.-NADEL, DESCHAMPS, STUMPF,  21 CM</v>
          </cell>
          <cell r="D3365" t="str">
            <v>LIGATURE  NEEDLE, DESCHAMPS, BLUNT, 21 CM</v>
          </cell>
        </row>
        <row r="3366">
          <cell r="B3366" t="str">
            <v>20-860-20-07</v>
          </cell>
          <cell r="C3366" t="str">
            <v>UNTERB.-NADEL, DESCHAMPS, STUMPF,  21 CM</v>
          </cell>
          <cell r="D3366" t="str">
            <v>LIGATURE  NEEDLE, DESCHAMPS, BLUNT, 21 CM</v>
          </cell>
        </row>
        <row r="3367">
          <cell r="B3367" t="str">
            <v>20-861-30-07</v>
          </cell>
          <cell r="C3367" t="str">
            <v>UNTERB.-NADEL, BRUNNER,  FIG. 1, 30 CM</v>
          </cell>
          <cell r="D3367" t="str">
            <v>LIGATURE  NEEDLE, BRUNNER,  NO. 1, 30 CM</v>
          </cell>
        </row>
        <row r="3368">
          <cell r="B3368" t="str">
            <v>20-862-30-07</v>
          </cell>
          <cell r="C3368" t="str">
            <v>UNTERB.-NADEL, BRUNNER,  FIG. 2, 30 CM</v>
          </cell>
          <cell r="D3368" t="str">
            <v>LIGATURE  NEEDLE, BRUNNER,  NO. 2, 30 CM</v>
          </cell>
        </row>
        <row r="3369">
          <cell r="B3369" t="str">
            <v>20-863-30-07</v>
          </cell>
          <cell r="C3369" t="str">
            <v>HOHLSONDE, BRUNNER,  FIG. 1, 30 CM</v>
          </cell>
          <cell r="D3369" t="str">
            <v>GROOVED  DIRECTOR,  BRUNNER,  NO. 1, 30 CM</v>
          </cell>
        </row>
        <row r="3370">
          <cell r="B3370" t="str">
            <v>20-864-30-07</v>
          </cell>
          <cell r="C3370" t="str">
            <v>HOHLSONDE, BRUNNER,  FIG. 2, 30 CM</v>
          </cell>
          <cell r="D3370" t="str">
            <v>GROOVED  DIRECTOR,  BRUNNER,  NO. 2, 30 CM</v>
          </cell>
        </row>
        <row r="3371">
          <cell r="B3371" t="str">
            <v>20-867-25-07</v>
          </cell>
          <cell r="C3371" t="str">
            <v>BRUCHSONDE, MOD. MARTIN,  19,5 CM</v>
          </cell>
          <cell r="D3371" t="str">
            <v>HERNIA DIRECTOR,  MARTIN-TYPE, 19.5 CM</v>
          </cell>
        </row>
        <row r="3372">
          <cell r="B3372" t="str">
            <v>20-871-19-07</v>
          </cell>
          <cell r="C3372" t="str">
            <v>HOHLSONDE, SCHMIEDEN, 18 CM</v>
          </cell>
          <cell r="D3372" t="str">
            <v>GROOVED  DIRECTOR,  SCHMIEDEN, 18 CM</v>
          </cell>
        </row>
        <row r="3373">
          <cell r="B3373" t="str">
            <v>20-872-19-07</v>
          </cell>
          <cell r="C3373" t="str">
            <v>HOHLSONDE, SCHMIEDEN-PAYR, 18 CM</v>
          </cell>
          <cell r="D3373" t="str">
            <v>GROOVED  DIRECTOR,  SCHMIEDEN-PAYR, 18 CM</v>
          </cell>
        </row>
        <row r="3374">
          <cell r="B3374" t="str">
            <v>20-875-03-07</v>
          </cell>
          <cell r="C3374" t="str">
            <v>HOHLSONDE, KÖNIG, FIG. 1, 20 CM</v>
          </cell>
          <cell r="D3374" t="str">
            <v>GROOVED  DIRECTOR,  KOENIG, NO. 1, 20 CM</v>
          </cell>
        </row>
        <row r="3375">
          <cell r="B3375" t="str">
            <v>20-875-05-07</v>
          </cell>
          <cell r="C3375" t="str">
            <v>HOHLSONDE, KÖNIG, FIG. 2, 20 CM</v>
          </cell>
          <cell r="D3375" t="str">
            <v>GROOVED  DIRECTOR,  KOENIG, NO. 2, 20 CM</v>
          </cell>
        </row>
        <row r="3376">
          <cell r="B3376" t="str">
            <v>20-875-07-07</v>
          </cell>
          <cell r="C3376" t="str">
            <v>HOHLSONDE, KÖNIG, FIG. 3, 20 CM</v>
          </cell>
          <cell r="D3376" t="str">
            <v>GROOVED  DIRECTOR,  KOENIG, NO. 3, 20 CM</v>
          </cell>
        </row>
        <row r="3377">
          <cell r="B3377" t="str">
            <v>20-877-22-07</v>
          </cell>
          <cell r="C3377" t="str">
            <v>FÜHRUNGSHOHLSONDE, PAYR, GEB., 22 CM</v>
          </cell>
          <cell r="D3377" t="str">
            <v>GROOVED  DIRECTOR,  PAYR, CVD., 22 CM</v>
          </cell>
        </row>
        <row r="3378">
          <cell r="B3378" t="str">
            <v>20-878-22-07</v>
          </cell>
          <cell r="C3378" t="str">
            <v>FÜHRUNGSHOHLSONDE, PAYR, GER., 22 CM</v>
          </cell>
          <cell r="D3378" t="str">
            <v>GROOVED  DIRECTOR,  PAYR, STR., 22 CM</v>
          </cell>
        </row>
        <row r="3379">
          <cell r="B3379" t="str">
            <v>20-882-23-07</v>
          </cell>
          <cell r="C3379" t="str">
            <v>FADENFÄNGER, MODELL WIEN, 23,5 CM</v>
          </cell>
          <cell r="D3379" t="str">
            <v>LIGATURE  CATCHER,  VIENNA-TYPE, 23.5 CM</v>
          </cell>
        </row>
        <row r="3380">
          <cell r="B3380" t="str">
            <v>20-886-23-07</v>
          </cell>
          <cell r="C3380" t="str">
            <v>FADENGABEL, EINFACH,  23 CM</v>
          </cell>
          <cell r="D3380" t="str">
            <v>LIGATURE  FORK, 23 CM</v>
          </cell>
        </row>
        <row r="3381">
          <cell r="B3381" t="str">
            <v>20-894-14-07</v>
          </cell>
          <cell r="C3381" t="str">
            <v>Fadenpinzette, Ochsner,  14,5 cm</v>
          </cell>
          <cell r="D3381" t="str">
            <v>Suture forceps, Ochsner,  14.5 cm</v>
          </cell>
        </row>
        <row r="3382">
          <cell r="B3382" t="str">
            <v>20-910-18-07</v>
          </cell>
          <cell r="C3382" t="str">
            <v>WUNDRANDPINZETTE, CHILDE, M. SCHIENE</v>
          </cell>
          <cell r="D3382" t="str">
            <v>WOUND EDGE FORCEPS,  CHILDE, W. CLIP RACK</v>
          </cell>
        </row>
        <row r="3383">
          <cell r="B3383" t="str">
            <v>20-916-12-07</v>
          </cell>
          <cell r="C3383" t="str">
            <v>WUNDKLAMMERPINZETTE, MICHEL, 12 CM</v>
          </cell>
          <cell r="D3383" t="str">
            <v>CLIP APPLYING  FORCEPS,  MICHEL, 12 CM</v>
          </cell>
        </row>
        <row r="3384">
          <cell r="B3384" t="str">
            <v>20-922-12-07</v>
          </cell>
          <cell r="C3384" t="str">
            <v>WUNDKLAMMERPINZETTE, HEGENBARTH, 12 CM</v>
          </cell>
          <cell r="D3384" t="str">
            <v>CLIP APPLYING  FORCEPS,  HEGENBARTH, 12 CM</v>
          </cell>
        </row>
        <row r="3385">
          <cell r="B3385" t="str">
            <v>20-924-12-07</v>
          </cell>
          <cell r="C3385" t="str">
            <v>WUNDKLAMMERPINZETTE, WACHENFELDT, 12 CM</v>
          </cell>
          <cell r="D3385" t="str">
            <v>CLIP APPL. FORCEPS,  WACHENFELDT, 12 CM</v>
          </cell>
        </row>
        <row r="3386">
          <cell r="B3386" t="str">
            <v>20-928-12-07</v>
          </cell>
          <cell r="C3386" t="str">
            <v>WUNDKLAMMERZANGE, MICHEL, 12,5 CM</v>
          </cell>
          <cell r="D3386" t="str">
            <v>CLIP APPLYING  FORCEPS,  MICHEL, 12.5 CM</v>
          </cell>
        </row>
        <row r="3387">
          <cell r="B3387" t="str">
            <v>20-929-12-07</v>
          </cell>
          <cell r="C3387" t="str">
            <v>WUNDKLAMMERZANGE, MICHEL, LANG, 13 CM</v>
          </cell>
          <cell r="D3387" t="str">
            <v>CLIP APPL. FORCEPS,  MICHEL, LONG, 13 CM</v>
          </cell>
        </row>
        <row r="3388">
          <cell r="B3388" t="str">
            <v>20-935-14-07</v>
          </cell>
          <cell r="C3388" t="str">
            <v>WUNDKLAMMERZANGE, RICHTER,  13,5 CM</v>
          </cell>
          <cell r="D3388" t="str">
            <v>CLIP APPLYING  FORCEPS,  RICHTER,  13.5 CM</v>
          </cell>
        </row>
        <row r="3389">
          <cell r="B3389" t="str">
            <v>21-155-23-07</v>
          </cell>
          <cell r="C3389" t="str">
            <v>VERBANDSCHERE, LORENZ, GEB., 24 CM</v>
          </cell>
          <cell r="D3389" t="str">
            <v>BANDAGE  SCISSORS,  LORENZ, CVD., 24 CM</v>
          </cell>
        </row>
        <row r="3390">
          <cell r="B3390" t="str">
            <v>21-160-14-07</v>
          </cell>
          <cell r="C3390" t="str">
            <v>VERBANDSCHERE, KNOWLES,  GER., 14,5 CM</v>
          </cell>
          <cell r="D3390" t="str">
            <v>BANDAGE  SCISSORS,  KNOWLES,  STR., 14,5 CM</v>
          </cell>
        </row>
        <row r="3391">
          <cell r="B3391" t="str">
            <v>21-165-14-07</v>
          </cell>
          <cell r="C3391" t="str">
            <v>VERBANDSCHERE, LISTER, 14,5 CM</v>
          </cell>
          <cell r="D3391" t="str">
            <v>BANDAGE  SCISSORS,  LISTER, 14.5 CM</v>
          </cell>
        </row>
        <row r="3392">
          <cell r="B3392" t="str">
            <v>21-165-18-07</v>
          </cell>
          <cell r="C3392" t="str">
            <v>VERBANDSCHERE, LISTER, 18,5 CM</v>
          </cell>
          <cell r="D3392" t="str">
            <v>BANDAGE  SCISSORS,  LISTER, 18.5 CM</v>
          </cell>
        </row>
        <row r="3393">
          <cell r="B3393" t="str">
            <v>21-165-20-07</v>
          </cell>
          <cell r="C3393" t="str">
            <v>VERBANDSCHERE, LISTER, 20 CM</v>
          </cell>
          <cell r="D3393" t="str">
            <v>BANDAGE  SCISSORS,  LISTER, 20 CM</v>
          </cell>
        </row>
        <row r="3394">
          <cell r="B3394" t="str">
            <v>21-195-23-07</v>
          </cell>
          <cell r="C3394" t="str">
            <v>GIPSSCHERE, BERGMANN, GEWINKELT, 23 CM</v>
          </cell>
          <cell r="D3394" t="str">
            <v>PLASTER SHEARS, BERGMANN, ANGLED,  23 CM</v>
          </cell>
        </row>
        <row r="3395">
          <cell r="B3395" t="str">
            <v>21-205-20-07</v>
          </cell>
          <cell r="C3395" t="str">
            <v>GIPSSCHERE, ESMARCH,  GEWINKELT, 20 CM</v>
          </cell>
          <cell r="D3395" t="str">
            <v>PLASTER SHEARS, ESMARCH,  ANGLED,  20 CM</v>
          </cell>
        </row>
        <row r="3396">
          <cell r="B3396" t="str">
            <v>21-209-15-01</v>
          </cell>
          <cell r="C3396" t="str">
            <v>VERBANDSCHERE, UNIVERSAL, 15,5 CM</v>
          </cell>
          <cell r="D3396" t="str">
            <v>BANDAGE  SCISSORS,  UNIVERSAL, 15.5 CM</v>
          </cell>
        </row>
        <row r="3397">
          <cell r="B3397" t="str">
            <v>21-209-18-01</v>
          </cell>
          <cell r="C3397" t="str">
            <v>VERBANDSCHERE, UNIVERSAL, 19 CM</v>
          </cell>
          <cell r="D3397" t="str">
            <v>BANDAGE  SCISSORS,  UNIVERSAL, 19 CM</v>
          </cell>
        </row>
        <row r="3398">
          <cell r="B3398" t="str">
            <v>21-223-24-07</v>
          </cell>
          <cell r="C3398" t="str">
            <v>GIPSSCHERE, BRUNS, GEZ., 24 CM</v>
          </cell>
          <cell r="D3398" t="str">
            <v>PLASTER SHEARS, BRUNS, SERR., 24 CM</v>
          </cell>
        </row>
        <row r="3399">
          <cell r="B3399" t="str">
            <v>21-223-26-07</v>
          </cell>
          <cell r="C3399" t="str">
            <v>GIPSSCHERE, BRUNS, UNGEZAHNT, 24 CM</v>
          </cell>
          <cell r="D3399" t="str">
            <v>PLASTER SHEARS, BRUNS, SMOOTH,  24 CM</v>
          </cell>
        </row>
        <row r="3400">
          <cell r="B3400" t="str">
            <v>21-275-23-07</v>
          </cell>
          <cell r="C3400" t="str">
            <v>GIPSSCHERE, STILLE, MOD. MARTIN,  23 CM</v>
          </cell>
          <cell r="D3400" t="str">
            <v>PLASTER SHEARS, STILLE-MARTIN, 23 CM</v>
          </cell>
        </row>
        <row r="3401">
          <cell r="B3401" t="str">
            <v>21-275-26-07</v>
          </cell>
          <cell r="C3401" t="str">
            <v>GIPSSCHERE, STILLE, MOD. MARTIN,  27 CM</v>
          </cell>
          <cell r="D3401" t="str">
            <v>PLASTER SHEARS, STILLE-MARTIN, 27 CM</v>
          </cell>
        </row>
        <row r="3402">
          <cell r="B3402" t="str">
            <v>21-275-37-07</v>
          </cell>
          <cell r="C3402" t="str">
            <v>GIPSSCHERE, STILLE, MOD. MARTIN,  38 CM</v>
          </cell>
          <cell r="D3402" t="str">
            <v>PLASTER SHEARS, STILLE-MARTIN, 38 CM</v>
          </cell>
        </row>
        <row r="3403">
          <cell r="B3403" t="str">
            <v>21-291-18-07</v>
          </cell>
          <cell r="C3403" t="str">
            <v>TC-VERBANDSCHERE, LISTER, 18 CM</v>
          </cell>
          <cell r="D3403" t="str">
            <v>TC-BANDAGE SCISSORS,  LISTER, 18 CM</v>
          </cell>
        </row>
        <row r="3404">
          <cell r="B3404" t="str">
            <v>21-297-24-07</v>
          </cell>
          <cell r="C3404" t="str">
            <v>TC-GIPSSCHERE, BRUNS, 23,5 CM</v>
          </cell>
          <cell r="D3404" t="str">
            <v>TC-PLASTER SHEARS, BRUNS, 23.5 CM</v>
          </cell>
        </row>
        <row r="3405">
          <cell r="B3405" t="str">
            <v>21-420-18-07</v>
          </cell>
          <cell r="C3405" t="str">
            <v>GIPSMESSER, ESMARCH,  18 CM</v>
          </cell>
          <cell r="D3405" t="str">
            <v>PLASTER KNIFE, ESMARCH,  18 CM</v>
          </cell>
        </row>
        <row r="3406">
          <cell r="B3406" t="str">
            <v>21-520-28-07</v>
          </cell>
          <cell r="C3406" t="str">
            <v>GIPSSPREIZER, HENNIG, 28 CM</v>
          </cell>
          <cell r="D3406" t="str">
            <v>PLASTER SPREADER,  HENNIG, 28 CM</v>
          </cell>
        </row>
        <row r="3407">
          <cell r="B3407" t="str">
            <v>21-522-23-07</v>
          </cell>
          <cell r="C3407" t="str">
            <v>GIPSSPREIZER, QUATTRO,  23 CM</v>
          </cell>
          <cell r="D3407" t="str">
            <v>PLASTER SPREADER,  QUATTRO,  23 CM</v>
          </cell>
        </row>
        <row r="3408">
          <cell r="B3408" t="str">
            <v>21-541-18-07</v>
          </cell>
          <cell r="C3408" t="str">
            <v>GIPSABREISSZANGE, WOLFF, 17,5 CM</v>
          </cell>
          <cell r="D3408" t="str">
            <v>PLASTER BREAKING  FORCEPS,  WOLFF, 17.5 CM</v>
          </cell>
        </row>
        <row r="3409">
          <cell r="B3409" t="str">
            <v>21-545-24-07</v>
          </cell>
          <cell r="C3409" t="str">
            <v>GIPSABREISSZANGE, WOLFF, 26,5 CM</v>
          </cell>
          <cell r="D3409" t="str">
            <v>PLASTER BREAKING  FORCEPS,  WOLFF, 26.5 CM</v>
          </cell>
        </row>
        <row r="3410">
          <cell r="B3410" t="str">
            <v>21-553-50-07</v>
          </cell>
          <cell r="C3410" t="str">
            <v>SÄGEBLATT, Ø 50 MM, F. HARTVERBÄNDE</v>
          </cell>
          <cell r="D3410" t="str">
            <v>SAW BLADE, Ø 50 MM, F. HARD BANDAGE</v>
          </cell>
        </row>
        <row r="3411">
          <cell r="B3411" t="str">
            <v>21-553-51-07</v>
          </cell>
          <cell r="C3411" t="str">
            <v>Sägeblatt,  Ø 50 mm, PTFE</v>
          </cell>
          <cell r="D3411" t="str">
            <v>Saw blade, Ø 50 mm, PTFE</v>
          </cell>
        </row>
        <row r="3412">
          <cell r="B3412" t="str">
            <v>21-553-65-07</v>
          </cell>
          <cell r="C3412" t="str">
            <v>SÄGEBLATT, Ø 65 MM, F. HARTVERBÄNDE</v>
          </cell>
          <cell r="D3412" t="str">
            <v>SAW BLADE, Ø 65 MM, F. HARD BANDAGE</v>
          </cell>
        </row>
        <row r="3413">
          <cell r="B3413" t="str">
            <v>21-553-66-07</v>
          </cell>
          <cell r="C3413" t="str">
            <v>Sägeblatt,  Ø 65 mm, PTFE</v>
          </cell>
          <cell r="D3413" t="str">
            <v>Saw blade, Ø 65 mm, PTFE</v>
          </cell>
        </row>
        <row r="3414">
          <cell r="B3414" t="str">
            <v>22-130-14-07</v>
          </cell>
          <cell r="C3414" t="str">
            <v>Reibahle,  Vierkant,  13 cm</v>
          </cell>
          <cell r="D3414" t="str">
            <v>Reamer, square, 13 cm</v>
          </cell>
        </row>
        <row r="3415">
          <cell r="B3415" t="str">
            <v>22-140-00-07</v>
          </cell>
          <cell r="C3415" t="str">
            <v>HANDBOHRAPPARAT, STILLE-SHERMAN, KPL.</v>
          </cell>
          <cell r="D3415" t="str">
            <v>HAND DRILL, STILLE-SHERMAN, COMPLETE</v>
          </cell>
        </row>
        <row r="3416">
          <cell r="B3416" t="str">
            <v>22-144-00-07</v>
          </cell>
          <cell r="C3416" t="str">
            <v>HANDBOHRAPPARAT, STILLE, KPL., 20,5 CM</v>
          </cell>
          <cell r="D3416" t="str">
            <v>HAND DRILL, STILLE, COMPLETE, 20.5 CM</v>
          </cell>
        </row>
        <row r="3417">
          <cell r="B3417" t="str">
            <v>22-145-01-07</v>
          </cell>
          <cell r="C3417" t="str">
            <v>SPIRALBOHRER, FIG. 1, 2,5X81 MM</v>
          </cell>
          <cell r="D3417" t="str">
            <v>TWIST DRILL, NO. 1, 2.5X81 MM</v>
          </cell>
        </row>
        <row r="3418">
          <cell r="B3418" t="str">
            <v>22-145-03-07</v>
          </cell>
          <cell r="C3418" t="str">
            <v>SPIRALBOHRER, FIG. 3, 3,5X86 MM</v>
          </cell>
          <cell r="D3418" t="str">
            <v>TWIST DRILL, NO. 3, 3.5X86 MM</v>
          </cell>
        </row>
        <row r="3419">
          <cell r="B3419" t="str">
            <v>22-145-05-07</v>
          </cell>
          <cell r="C3419" t="str">
            <v>TREPHINE,  FIG. 5, Ø 10 MM</v>
          </cell>
          <cell r="D3419" t="str">
            <v>TREPHINE,  NO. 5, Ø 10 MM</v>
          </cell>
        </row>
        <row r="3420">
          <cell r="B3420" t="str">
            <v>22-145-07-07</v>
          </cell>
          <cell r="C3420" t="str">
            <v>KUGELFRÄSER, FIG. 7, Ø 8,0 MM</v>
          </cell>
          <cell r="D3420" t="str">
            <v>BURR, SPHERICAL, NO. 7, Ø 8.0 MM</v>
          </cell>
        </row>
        <row r="3421">
          <cell r="B3421" t="str">
            <v>22-145-08-07</v>
          </cell>
          <cell r="C3421" t="str">
            <v>KUGELFRÄSER, FIG. 8, Ø 12,0 MM</v>
          </cell>
          <cell r="D3421" t="str">
            <v>BURR, SPHERICAL, NO. 8, Ø 12.0 MM</v>
          </cell>
        </row>
        <row r="3422">
          <cell r="B3422" t="str">
            <v>22-145-09-07</v>
          </cell>
          <cell r="C3422" t="str">
            <v>KUGELFRÄSER, FIG. 9, Ø 16,0 MM</v>
          </cell>
          <cell r="D3422" t="str">
            <v>BURR, SPHERICAL, NO. 9, Ø 16.0 MM</v>
          </cell>
        </row>
        <row r="3423">
          <cell r="B3423" t="str">
            <v>22-145-10-07</v>
          </cell>
          <cell r="C3423" t="str">
            <v>SPIRALBOHRER, FIG. 10, 1,0X56 MM</v>
          </cell>
          <cell r="D3423" t="str">
            <v>TWIST DRILL, NO. 10, 1.0X56 MM</v>
          </cell>
        </row>
        <row r="3424">
          <cell r="B3424" t="str">
            <v>22-145-11-07</v>
          </cell>
          <cell r="C3424" t="str">
            <v>SPIRALBOHRER, FIG. 11, 1,5X61 MM</v>
          </cell>
          <cell r="D3424" t="str">
            <v>TWIST DRILL, NO. 11, 1.5X61 MM</v>
          </cell>
        </row>
        <row r="3425">
          <cell r="B3425" t="str">
            <v>22-145-12-07</v>
          </cell>
          <cell r="C3425" t="str">
            <v>SPIRALBOHRER, FIG. 12, 2,0X66 MM</v>
          </cell>
          <cell r="D3425" t="str">
            <v>TWIST DRILL, NO. 12, 2.0X66 MM</v>
          </cell>
        </row>
        <row r="3426">
          <cell r="B3426" t="str">
            <v>22-152-00-07</v>
          </cell>
          <cell r="C3426" t="str">
            <v>HANDBOHRAPPARAT, HUDSON,  KPL.</v>
          </cell>
          <cell r="D3426" t="str">
            <v>HAND DRILL, HUDSON,  COMPLETE</v>
          </cell>
        </row>
        <row r="3427">
          <cell r="B3427" t="str">
            <v>22-152-00-21</v>
          </cell>
          <cell r="C3427" t="str">
            <v>HUDSON  BOHRAPPARAT ALLEIN</v>
          </cell>
          <cell r="D3427" t="str">
            <v>HUDSON  HAND DRILL</v>
          </cell>
        </row>
        <row r="3428">
          <cell r="B3428" t="str">
            <v>22-152-01-07</v>
          </cell>
          <cell r="C3428" t="str">
            <v>KEGELFRÄSER, HUDSON,  FIG. 1</v>
          </cell>
          <cell r="D3428" t="str">
            <v>BURR, CONE SHAPE, HUDSON,  NO. 1</v>
          </cell>
        </row>
        <row r="3429">
          <cell r="B3429" t="str">
            <v>22-152-02-07</v>
          </cell>
          <cell r="C3429" t="str">
            <v>KEGELFRÄSER, HUDSON,  FIG. 2</v>
          </cell>
          <cell r="D3429" t="str">
            <v>BURR, CONE SHAPE, HUDSON,  NO. 2</v>
          </cell>
        </row>
        <row r="3430">
          <cell r="B3430" t="str">
            <v>22-152-03-07</v>
          </cell>
          <cell r="C3430" t="str">
            <v>KUGELFRÄSER, HUDSON,  FIG. 3</v>
          </cell>
          <cell r="D3430" t="str">
            <v>BURR, CONE SHAPE, HUDSON,  NO. 3</v>
          </cell>
        </row>
        <row r="3431">
          <cell r="B3431" t="str">
            <v>22-152-04-07</v>
          </cell>
          <cell r="C3431" t="str">
            <v>KUGELFRÄSER, HUDSON,  FIG. 4</v>
          </cell>
          <cell r="D3431" t="str">
            <v>BURR, CONE SHAPE, HUDSON,  NO. 4</v>
          </cell>
        </row>
        <row r="3432">
          <cell r="B3432" t="str">
            <v>22-152-05-07</v>
          </cell>
          <cell r="C3432" t="str">
            <v>FLACHFRÄSER, CUSHING,  14 MM BREIT</v>
          </cell>
          <cell r="D3432" t="str">
            <v>BURR, FLAT TYPE, CUSHING,  14 MM WIDE</v>
          </cell>
        </row>
        <row r="3433">
          <cell r="B3433" t="str">
            <v>22-152-06-07</v>
          </cell>
          <cell r="C3433" t="str">
            <v>SPIRALBOHRER, KURZ, Ø 2,0 MM</v>
          </cell>
          <cell r="D3433" t="str">
            <v>TWIST DRILL, SHORT, Ø 2.0 MM</v>
          </cell>
        </row>
        <row r="3434">
          <cell r="B3434" t="str">
            <v>22-152-07-07</v>
          </cell>
          <cell r="C3434" t="str">
            <v>BOHRER,  MCKENZIE,  Ø 13,0 MM</v>
          </cell>
          <cell r="D3434" t="str">
            <v>DRILL, MCKENZIE,  Ø 13.0 MM</v>
          </cell>
        </row>
        <row r="3435">
          <cell r="B3435" t="str">
            <v>22-152-08-07</v>
          </cell>
          <cell r="C3435" t="str">
            <v>BOHRER,  ERRICO, Ø 16 MM</v>
          </cell>
          <cell r="D3435" t="str">
            <v>DRILL, ERRICO, Ø 16 MM</v>
          </cell>
        </row>
        <row r="3436">
          <cell r="B3436" t="str">
            <v>22-156-00-07</v>
          </cell>
          <cell r="C3436" t="str">
            <v>HANDBOHRAPPARAT, MOORE, KOMPL., 27,5 CM</v>
          </cell>
          <cell r="D3436" t="str">
            <v>HAND DRILL, MOORE, COMPLETE, 27.5 CM</v>
          </cell>
        </row>
        <row r="3437">
          <cell r="B3437" t="str">
            <v>22-156-08-07</v>
          </cell>
          <cell r="C3437" t="str">
            <v>SPIRALBOHRER 7CM (2X), 9CM (1X) Ø 3,2 MM</v>
          </cell>
          <cell r="D3437" t="str">
            <v>TWIST DRILL, 7CM(2X) &amp; 9CM(1X) Ø 3.2 MM</v>
          </cell>
        </row>
        <row r="3438">
          <cell r="B3438" t="str">
            <v>22-158-00-07</v>
          </cell>
          <cell r="C3438" t="str">
            <v>HANDBOHRAPPARAT, MARTIN,  KOMPL.</v>
          </cell>
          <cell r="D3438" t="str">
            <v>HAND DRILL, MARTIN,  COMPLETE</v>
          </cell>
        </row>
        <row r="3439">
          <cell r="B3439" t="str">
            <v>22-368-34-04</v>
          </cell>
          <cell r="C3439" t="str">
            <v>SCHRAUBENDREHER, 3,5 MM, INBUS, 21 CM</v>
          </cell>
          <cell r="D3439" t="str">
            <v>SCREWDRIVER, 3.5 MM, HEXAGON., 21 CM</v>
          </cell>
        </row>
        <row r="3440">
          <cell r="B3440" t="str">
            <v>22-368-35-04</v>
          </cell>
          <cell r="C3440" t="str">
            <v>SCHRAUBENDREHER, 3,5 MM, INBUS, 25 CM</v>
          </cell>
          <cell r="D3440" t="str">
            <v>SCREWDRIVER, 3.5 MM, INBUS, 25 CM</v>
          </cell>
        </row>
        <row r="3441">
          <cell r="B3441" t="str">
            <v>22-372-17-04</v>
          </cell>
          <cell r="C3441" t="str">
            <v>SCHRAUBENDREHER, KLINGE 6 MM, 17 CM</v>
          </cell>
          <cell r="D3441" t="str">
            <v>SCREWDRIVER, BLADE 6 MM, 17 CM</v>
          </cell>
        </row>
        <row r="3442">
          <cell r="B3442" t="str">
            <v>22-374-25-04</v>
          </cell>
          <cell r="C3442" t="str">
            <v>SCHRAUBENDREHER, LANE, 6 MM, 25 CM</v>
          </cell>
          <cell r="D3442" t="str">
            <v>SCREWDRIVER, LANE, 6 MM, 25 CM</v>
          </cell>
        </row>
        <row r="3443">
          <cell r="B3443" t="str">
            <v>22-378-25-04</v>
          </cell>
          <cell r="C3443" t="str">
            <v>SCHRAUBENDREHER F. KREUZSCHLITZ, 25 CM</v>
          </cell>
          <cell r="D3443" t="str">
            <v>SCREWDRIVER, F. CROSS SLIT, 25 CM</v>
          </cell>
        </row>
        <row r="3444">
          <cell r="B3444" t="str">
            <v>22-380-25-04</v>
          </cell>
          <cell r="C3444" t="str">
            <v>PHILIPS-SCHRAUBENDREHER, 25 CM</v>
          </cell>
          <cell r="D3444" t="str">
            <v>SCREWDRIVER, PHILIPS, 25 CM</v>
          </cell>
        </row>
        <row r="3445">
          <cell r="B3445" t="str">
            <v>22-500-01-07</v>
          </cell>
          <cell r="C3445" t="str">
            <v>TC-DRAHTZWIRBELZANGE, 15,5 CM</v>
          </cell>
          <cell r="D3445" t="str">
            <v>TC-WIRE TWISTING  FORCEPS,  15.5 CM</v>
          </cell>
        </row>
        <row r="3446">
          <cell r="B3446" t="str">
            <v>22-500-02-07</v>
          </cell>
          <cell r="C3446" t="str">
            <v>TC-DRAHTZWIRBELZANGE, 18 CM</v>
          </cell>
          <cell r="D3446" t="str">
            <v>TC-WIRE TWISTING  FORCEPS,  18 CM</v>
          </cell>
        </row>
        <row r="3447">
          <cell r="B3447" t="str">
            <v>22-500-11-07</v>
          </cell>
          <cell r="C3447" t="str">
            <v>TC-DRAHTZWIRBELZANGE, 15,5 CM</v>
          </cell>
          <cell r="D3447" t="str">
            <v>TC-WIRE TWISTING  FORCEPS,  15.5 CM</v>
          </cell>
        </row>
        <row r="3448">
          <cell r="B3448" t="str">
            <v>22-500-12-07</v>
          </cell>
          <cell r="C3448" t="str">
            <v>TC-DRAHTZWIRBELZANGE, 18 CM</v>
          </cell>
          <cell r="D3448" t="str">
            <v>TC-WIRE TWISTING  FORCEPS,  18 CM</v>
          </cell>
        </row>
        <row r="3449">
          <cell r="B3449" t="str">
            <v>22-500-15-07</v>
          </cell>
          <cell r="C3449" t="str">
            <v>TC-DRAHTZWIRBELZANGE, FEIN, 15,5 CM</v>
          </cell>
          <cell r="D3449" t="str">
            <v>TC-WIRE TWISTING  FORCEPS,  FINE, 15.5 CM</v>
          </cell>
        </row>
        <row r="3450">
          <cell r="B3450" t="str">
            <v>22-500-20-07</v>
          </cell>
          <cell r="C3450" t="str">
            <v>TC-DRAHTZWIRBELZANGE, FEIN, 20 CM</v>
          </cell>
          <cell r="D3450" t="str">
            <v>TC-WIRE TWISTING  FORCEPS,  FINE, 20 CM</v>
          </cell>
        </row>
        <row r="3451">
          <cell r="B3451" t="str">
            <v>22-501-15-07</v>
          </cell>
          <cell r="C3451" t="str">
            <v>TC-DRAHTZWIRBELZANGE, GEB., 14,5 CM</v>
          </cell>
          <cell r="D3451" t="str">
            <v>TC-WIRE TWISTING  FORCEPS,  CVD., 14.5 CM</v>
          </cell>
        </row>
        <row r="3452">
          <cell r="B3452" t="str">
            <v>22-502-01-07</v>
          </cell>
          <cell r="C3452" t="str">
            <v>TC-DRAHTZWIRBELZANGE, CORWIN,  16 CM</v>
          </cell>
          <cell r="D3452" t="str">
            <v>TC-WIRE TWISTING  FORCEPS,  CORWIN,  16 CM</v>
          </cell>
        </row>
        <row r="3453">
          <cell r="B3453" t="str">
            <v>22-502-18-07</v>
          </cell>
          <cell r="C3453" t="str">
            <v>TC-DRAHTZANGE, MARTIN,  18,5 CM</v>
          </cell>
          <cell r="D3453" t="str">
            <v>TC-WIRE CUTTING  FORCEPS,  MARTIN,  18.5 CM</v>
          </cell>
        </row>
        <row r="3454">
          <cell r="B3454" t="str">
            <v>22-505-17-07</v>
          </cell>
          <cell r="C3454" t="str">
            <v>PARALLEL-FLACHZANGE, 18,5 CM</v>
          </cell>
          <cell r="D3454" t="str">
            <v>FLAT NOSE PLIERS, PARALLEL,  18.5 CM</v>
          </cell>
        </row>
        <row r="3455">
          <cell r="B3455" t="str">
            <v>22-506-18-07</v>
          </cell>
          <cell r="C3455" t="str">
            <v>TC-DRAHTZWIRBELZANGE, BREIT, 19 CM</v>
          </cell>
          <cell r="D3455" t="str">
            <v>TC-WIRE TWISTING  FORCEPS,  WIDE, 19 CM</v>
          </cell>
        </row>
        <row r="3456">
          <cell r="B3456" t="str">
            <v>22-507-18-07</v>
          </cell>
          <cell r="C3456" t="str">
            <v>TONNENZANGE, 20,5 CM</v>
          </cell>
          <cell r="D3456" t="str">
            <v>HOLDING  PLIERS, (VISE GRIP) 20.5 CM</v>
          </cell>
        </row>
        <row r="3457">
          <cell r="B3457" t="str">
            <v>22-510-15-07</v>
          </cell>
          <cell r="C3457" t="str">
            <v>DRAHTSCHNEIDE- UND BIEGEZANGE, 15 CM</v>
          </cell>
          <cell r="D3457" t="str">
            <v>WIRE CUTTING  &amp; BENDING  FORCEPS,  15 CM</v>
          </cell>
        </row>
        <row r="3458">
          <cell r="B3458" t="str">
            <v>22-510-18-07</v>
          </cell>
          <cell r="C3458" t="str">
            <v>FLACHZANGE, ÜBERSETZT, SCHLANK,  18 CM</v>
          </cell>
          <cell r="D3458" t="str">
            <v>FLAT NOSE PLIERS, TRANSM.,  SLIM, 18 CM</v>
          </cell>
        </row>
        <row r="3459">
          <cell r="B3459" t="str">
            <v>22-511-01-07</v>
          </cell>
          <cell r="C3459" t="str">
            <v>TC-FLACHZANGE, ÜBERSETZT, SCHLK., 18 CM</v>
          </cell>
          <cell r="D3459" t="str">
            <v>FLAT NOSE PLIERS, TRANSM.,  SLIM, 18 CM</v>
          </cell>
        </row>
        <row r="3460">
          <cell r="B3460" t="str">
            <v>22-511-02-07</v>
          </cell>
          <cell r="C3460" t="str">
            <v>TC-FLACHZANGE, ÜBERSETZT, MITTEL, 18 CM</v>
          </cell>
          <cell r="D3460" t="str">
            <v>FLAT NOSE PLIERS, TRANSM.,  MEDIUM,  18 CM</v>
          </cell>
        </row>
        <row r="3461">
          <cell r="B3461" t="str">
            <v>22-511-03-07</v>
          </cell>
          <cell r="C3461" t="str">
            <v>TC-FLACHZANGE, ÜBERSETZT, BREIT, 18 CM</v>
          </cell>
          <cell r="D3461" t="str">
            <v>FLAT NOSE PLIERS, TRANSM.,  WIDE, 18 CM</v>
          </cell>
        </row>
        <row r="3462">
          <cell r="B3462" t="str">
            <v>22-512-18-07</v>
          </cell>
          <cell r="C3462" t="str">
            <v>FLACHZANGE, ÜBERSETZT, MITTEL, 18 CM</v>
          </cell>
          <cell r="D3462" t="str">
            <v>FLAT NOSE PLIERS, TRANSM.,  MEDIUM,  18 CM</v>
          </cell>
        </row>
        <row r="3463">
          <cell r="B3463" t="str">
            <v>22-514-18-07</v>
          </cell>
          <cell r="C3463" t="str">
            <v>FLACHZANGE, ÜBERSETZT, BREIT, 18 CM</v>
          </cell>
          <cell r="D3463" t="str">
            <v>FLAT NOSE PLIERS, TRANSM.,  WIDE, 18 CM</v>
          </cell>
        </row>
        <row r="3464">
          <cell r="B3464" t="str">
            <v>22-516-14-07</v>
          </cell>
          <cell r="C3464" t="str">
            <v>FLACHZANGE, GERIEFTES  MAUL, 13,5 CM</v>
          </cell>
          <cell r="D3464" t="str">
            <v>FLAT NOSE PLIERS, SERR. JAW, 13.5 CM</v>
          </cell>
        </row>
        <row r="3465">
          <cell r="B3465" t="str">
            <v>22-516-18-07</v>
          </cell>
          <cell r="C3465" t="str">
            <v>RUND/FLACHZANGE, ÜBERSETZT, 19 CM</v>
          </cell>
          <cell r="D3465" t="str">
            <v>ROUND/FLAT NOSE PLIERS, TRANSM.,  19 CM</v>
          </cell>
        </row>
        <row r="3466">
          <cell r="B3466" t="str">
            <v>22-518-16-07</v>
          </cell>
          <cell r="C3466" t="str">
            <v>FLACHZANGE, HACKSTOCK, M. RILLE, 16 CM</v>
          </cell>
          <cell r="D3466" t="str">
            <v>FLAT NOSE PLIERS, HACKSTOCK, 16 CM</v>
          </cell>
        </row>
        <row r="3467">
          <cell r="B3467" t="str">
            <v>22-519-01-07</v>
          </cell>
          <cell r="C3467" t="str">
            <v>FLACHZANGE, GERIEFTES  MAUL, 17 CM</v>
          </cell>
          <cell r="D3467" t="str">
            <v>FLAT NOSE PLIERS, SERR. JAW, 17 CM</v>
          </cell>
        </row>
        <row r="3468">
          <cell r="B3468" t="str">
            <v>22-519-02-07</v>
          </cell>
          <cell r="C3468" t="str">
            <v>FLACHZANGE, KREUZRILLE IM MAUL, 17 CM</v>
          </cell>
          <cell r="D3468" t="str">
            <v>FLAT NOSE PLIERS, W. CROSS GROOVE,  17 CM</v>
          </cell>
        </row>
        <row r="3469">
          <cell r="B3469" t="str">
            <v>22-519-03-07</v>
          </cell>
          <cell r="C3469" t="str">
            <v>SPITZ-/FLACHZANGE, GERIEFT,  19,5 CM</v>
          </cell>
          <cell r="D3469" t="str">
            <v>FLAT NOSE PLIERS, POINTED,  19.5 CM</v>
          </cell>
        </row>
        <row r="3470">
          <cell r="B3470" t="str">
            <v>22-522-16-07</v>
          </cell>
          <cell r="C3470" t="str">
            <v>KOPFSCHNEIDER, MARTIN-DIAMANT, 16 CM</v>
          </cell>
          <cell r="D3470" t="str">
            <v>CUTTING  PLIERS, MARTIN-DIAMANT, 16 CM</v>
          </cell>
        </row>
        <row r="3471">
          <cell r="B3471" t="str">
            <v>22-523-13-07</v>
          </cell>
          <cell r="C3471" t="str">
            <v>TC-SEITENSCHNEIDER, 13 CM</v>
          </cell>
          <cell r="D3471" t="str">
            <v>TC-SIDE NIPPER, 13 CM</v>
          </cell>
        </row>
        <row r="3472">
          <cell r="B3472" t="str">
            <v>22-523-16-07</v>
          </cell>
          <cell r="C3472" t="str">
            <v>TC-SEITENSCHNEIDER, ÜBERSETZT, 17,5 CM</v>
          </cell>
          <cell r="D3472" t="str">
            <v>TC-SIDE NIPPER, W. TRANSM.,  17.5 CM</v>
          </cell>
        </row>
        <row r="3473">
          <cell r="B3473" t="str">
            <v>22-523-22-07</v>
          </cell>
          <cell r="C3473" t="str">
            <v>TC-SEITENSCHNEIDER, ÜBERSETZT, 23 CM</v>
          </cell>
          <cell r="D3473" t="str">
            <v>TC-SIDE NIPPER, W. TRANSM.,  23 CM</v>
          </cell>
        </row>
        <row r="3474">
          <cell r="B3474" t="str">
            <v>22-523-24-07</v>
          </cell>
          <cell r="C3474" t="str">
            <v>TC-SEITENSCHNEIDER, BIRNENSCHLUSS, 23 CM</v>
          </cell>
          <cell r="D3474" t="str">
            <v>TC-SIDE NIPPER, PEAR-LOCK, 23CM</v>
          </cell>
        </row>
        <row r="3475">
          <cell r="B3475" t="str">
            <v>22-523-25-07</v>
          </cell>
          <cell r="C3475" t="str">
            <v>EASYCUT  DRAHTSCHNEIDEZANGE, 21,5 CM</v>
          </cell>
          <cell r="D3475" t="str">
            <v>WIRE CUTTING  FORCEPS,  EASYCUT,  21.5 CM</v>
          </cell>
        </row>
        <row r="3476">
          <cell r="B3476" t="str">
            <v>22-524-15-07</v>
          </cell>
          <cell r="C3476" t="str">
            <v>TC-KNEIFZANGE, ÜBERSETZT, 15 CM</v>
          </cell>
          <cell r="D3476" t="str">
            <v>TC-CUTTING PLIERS, W. TRANSM.,  15 CM</v>
          </cell>
        </row>
        <row r="3477">
          <cell r="B3477" t="str">
            <v>22-526-18-07</v>
          </cell>
          <cell r="C3477" t="str">
            <v>TC-KOPF-  UND SEITENSCHNEIDER, 17,5 CM</v>
          </cell>
          <cell r="D3477" t="str">
            <v>TC-FRONT  &amp; SIDE NIPPER, 17.5 CM</v>
          </cell>
        </row>
        <row r="3478">
          <cell r="B3478" t="str">
            <v>22-528-00-07</v>
          </cell>
          <cell r="C3478" t="str">
            <v>PLATTENSCHNEIDEINSTRUMENT, 55 CM</v>
          </cell>
          <cell r="D3478" t="str">
            <v>CUTTER F. BONE PLATES, 55 CM</v>
          </cell>
        </row>
        <row r="3479">
          <cell r="B3479" t="str">
            <v>22-528-01-07</v>
          </cell>
          <cell r="C3479" t="str">
            <v>TC-SEITENSCHNEIDER F. PLATTEN,  38 CM</v>
          </cell>
          <cell r="D3479" t="str">
            <v>TC-SIDE NIPPER, F. BONE PLATES, 38 CM</v>
          </cell>
        </row>
        <row r="3480">
          <cell r="B3480" t="str">
            <v>22-528-04-07</v>
          </cell>
          <cell r="C3480" t="str">
            <v>I.M.F. STAHLDRAHT 0,4X150 MM</v>
          </cell>
          <cell r="D3480" t="str">
            <v>I.M.F. STEEL WIRE, 0.4X150 MM</v>
          </cell>
        </row>
        <row r="3481">
          <cell r="B3481" t="str">
            <v>22-535-01-07</v>
          </cell>
          <cell r="C3481" t="str">
            <v>DRAHTUMFÜHRUNGSNADEL, DEMEL, FIG. 1</v>
          </cell>
          <cell r="D3481" t="str">
            <v>WIRE GUIDE NEEDLE, DEMEL, NO. 1</v>
          </cell>
        </row>
        <row r="3482">
          <cell r="B3482" t="str">
            <v>22-535-02-07</v>
          </cell>
          <cell r="C3482" t="str">
            <v>DRAHTUMFÜHRUNGSNADEL, DEMEL, FIG. 2</v>
          </cell>
          <cell r="D3482" t="str">
            <v>WIRE GUIDE NEEDLE, DEMEL, NO. 2</v>
          </cell>
        </row>
        <row r="3483">
          <cell r="B3483" t="str">
            <v>22-535-03-07</v>
          </cell>
          <cell r="C3483" t="str">
            <v>DRAHTUMFÜHRUNGSNADEL, DEMEL, FIG. 3</v>
          </cell>
          <cell r="D3483" t="str">
            <v>WIRE GUIDE NEEDLE, DEMEL, NO. 3</v>
          </cell>
        </row>
        <row r="3484">
          <cell r="B3484" t="str">
            <v>22-542-21-07</v>
          </cell>
          <cell r="C3484" t="str">
            <v>DRAHTSPANNINSTRUMENT, LOUTE, 21 CM</v>
          </cell>
          <cell r="D3484" t="str">
            <v>WIRE TIGHTENER, LOUTE, 21 CM</v>
          </cell>
        </row>
        <row r="3485">
          <cell r="B3485" t="str">
            <v>22-562-14-05</v>
          </cell>
          <cell r="C3485" t="str">
            <v>STEINMANN-NAGEL, 4X140 MM</v>
          </cell>
          <cell r="D3485" t="str">
            <v>STEINMANN-PIN, 4X140 MM</v>
          </cell>
        </row>
        <row r="3486">
          <cell r="B3486" t="str">
            <v>22-562-16-05</v>
          </cell>
          <cell r="C3486" t="str">
            <v>STEINMANN-NAGEL, 4X160 MM</v>
          </cell>
          <cell r="D3486" t="str">
            <v>STEINMANN-PIN, 4X160 MM</v>
          </cell>
        </row>
        <row r="3487">
          <cell r="B3487" t="str">
            <v>22-562-18-05</v>
          </cell>
          <cell r="C3487" t="str">
            <v>STEINMANN-NAGEL, 4X180 MM</v>
          </cell>
          <cell r="D3487" t="str">
            <v>STEINMANN-PIN, 4X180 MM</v>
          </cell>
        </row>
        <row r="3488">
          <cell r="B3488" t="str">
            <v>22-562-20-05</v>
          </cell>
          <cell r="C3488" t="str">
            <v>STEINMANN-NAGEL, 4X200 MM</v>
          </cell>
          <cell r="D3488" t="str">
            <v>STEINMANN-PIN, 4X200 MM</v>
          </cell>
        </row>
        <row r="3489">
          <cell r="B3489" t="str">
            <v>22-565-15-07</v>
          </cell>
          <cell r="C3489" t="str">
            <v>EXTENSIONSBÜGEL, BÖHLER, 210X150  MM</v>
          </cell>
          <cell r="D3489" t="str">
            <v>WIRE TRACTION  BOW, BOEHLER,  210X150  MM</v>
          </cell>
        </row>
        <row r="3490">
          <cell r="B3490" t="str">
            <v>22-565-16-07</v>
          </cell>
          <cell r="C3490" t="str">
            <v>EXTENSIONSBÜGEL, BÖHLER, 160X90 MM</v>
          </cell>
          <cell r="D3490" t="str">
            <v>WIRE TRACTION  BOW, BOEHLER,  160X90 MM</v>
          </cell>
        </row>
        <row r="3491">
          <cell r="B3491" t="str">
            <v>22-565-21-07</v>
          </cell>
          <cell r="C3491" t="str">
            <v>EXTENSIONSBÜGEL, BÖHLER, 210X110  MM</v>
          </cell>
          <cell r="D3491" t="str">
            <v>WIRE TRACTION  BOW, BOEHLER,  210X110  MM</v>
          </cell>
        </row>
        <row r="3492">
          <cell r="B3492" t="str">
            <v>22-581-01-07</v>
          </cell>
          <cell r="C3492" t="str">
            <v>EXTENSIONSBÜGEL, KIRSCHNER, 95X70 MM</v>
          </cell>
          <cell r="D3492" t="str">
            <v>WIRE TRACTION  BOW, KIRSCHNER, 95X70 MM</v>
          </cell>
        </row>
        <row r="3493">
          <cell r="B3493" t="str">
            <v>22-581-02-07</v>
          </cell>
          <cell r="C3493" t="str">
            <v>EXTENSIONSBÜGEL, KIRSCHNER, 95X110 MM</v>
          </cell>
          <cell r="D3493" t="str">
            <v>WIRE TRACTION  BOW, KIRSCHNER, 95X110 MM</v>
          </cell>
        </row>
        <row r="3494">
          <cell r="B3494" t="str">
            <v>22-581-03-07</v>
          </cell>
          <cell r="C3494" t="str">
            <v>EXTENSIONSBÜGEL, KIRSCHNER, 120X120  MM</v>
          </cell>
          <cell r="D3494" t="str">
            <v>WIRE TRACTION  BOW, KIRSCHNER, 120X120  MM</v>
          </cell>
        </row>
        <row r="3495">
          <cell r="B3495" t="str">
            <v>22-581-04-07</v>
          </cell>
          <cell r="C3495" t="str">
            <v>EXTENSIONSBÜGEL, KIRSCHNER, 155X155  MM</v>
          </cell>
          <cell r="D3495" t="str">
            <v>WIRE TRACTION  BOW, KIRSCHNER, 155X155  MM</v>
          </cell>
        </row>
        <row r="3496">
          <cell r="B3496" t="str">
            <v>22-581-05-07</v>
          </cell>
          <cell r="C3496" t="str">
            <v>EXTENSIONSBÜGEL, KIRSCHNER, 200X155  MM</v>
          </cell>
          <cell r="D3496" t="str">
            <v>WIRE TRACTION  BOW, KIRSCHNER, 200X155  MM</v>
          </cell>
        </row>
        <row r="3497">
          <cell r="B3497" t="str">
            <v>22-585-01-07</v>
          </cell>
          <cell r="C3497" t="str">
            <v>EXTENS.-BÜGEL, KIRSCHNER, US-MOD.,  KL.</v>
          </cell>
          <cell r="D3497" t="str">
            <v>WIRE TRACT. BOW, KIRSCHNER, US-TYPE,  SM.</v>
          </cell>
        </row>
        <row r="3498">
          <cell r="B3498" t="str">
            <v>22-585-02-07</v>
          </cell>
          <cell r="C3498" t="str">
            <v>EXTENS.-BÜGEL, KIRSCHNER, US-MOD.,  GR.</v>
          </cell>
          <cell r="D3498" t="str">
            <v>WIRE TRACT. BOW, KIRSCHNER, US-TYPE,  LG.</v>
          </cell>
        </row>
        <row r="3499">
          <cell r="B3499" t="str">
            <v>22-586-18-07</v>
          </cell>
          <cell r="C3499" t="str">
            <v>SPANNSCHLÜSSEL M. KLEMMBACKE, 18,5 CM</v>
          </cell>
          <cell r="D3499" t="str">
            <v>WIRE TIGHTENER, W. CLAMPING  JAW, 18.5 CM</v>
          </cell>
        </row>
        <row r="3500">
          <cell r="B3500" t="str">
            <v>22-587-19-07</v>
          </cell>
          <cell r="C3500" t="str">
            <v>MUTTERNSCHLÜSSEL, 14/17 MM, 20 CM</v>
          </cell>
          <cell r="D3500" t="str">
            <v>WRENCH,  DOUBLE-ENDED, 14/17 MM, 20 CM</v>
          </cell>
        </row>
        <row r="3501">
          <cell r="B3501" t="str">
            <v>22-589-18-07</v>
          </cell>
          <cell r="C3501" t="str">
            <v>EXTENSIONSBÜGEL, 180X100  MM</v>
          </cell>
          <cell r="D3501" t="str">
            <v>WIRE TRACTION  BOW, 180X100  MM</v>
          </cell>
        </row>
        <row r="3502">
          <cell r="B3502" t="str">
            <v>22-589-27-07</v>
          </cell>
          <cell r="C3502" t="str">
            <v>EXTENSIONSBÜGEL, 270X160  MM</v>
          </cell>
          <cell r="D3502" t="str">
            <v>WIRE TRACTION  BOW, 270X160  MM</v>
          </cell>
        </row>
        <row r="3503">
          <cell r="B3503" t="str">
            <v>22-596-11-07</v>
          </cell>
          <cell r="C3503" t="str">
            <v>FINGEREXTENSIONSHÜLSE, DRAHT, KLEIN</v>
          </cell>
          <cell r="D3503" t="str">
            <v>FINGER EXTENSION SLEEVE, WIRE, SMALL</v>
          </cell>
        </row>
        <row r="3504">
          <cell r="B3504" t="str">
            <v>22-596-12-07</v>
          </cell>
          <cell r="C3504" t="str">
            <v>FINGEREXTENSIONSHÜLSE, DRAHT, MITTEL</v>
          </cell>
          <cell r="D3504" t="str">
            <v>FINGER EXTENSION SLEEVE, WIRE, MEDIUM</v>
          </cell>
        </row>
        <row r="3505">
          <cell r="B3505" t="str">
            <v>22-596-13-07</v>
          </cell>
          <cell r="C3505" t="str">
            <v>FINGEREXTENSIONSHÜLSE, DRAHT, GROSS</v>
          </cell>
          <cell r="D3505" t="str">
            <v>FINGER EXTENSION SLEEVE, WIRE, LARGE</v>
          </cell>
        </row>
        <row r="3506">
          <cell r="B3506" t="str">
            <v>22-596-14-07</v>
          </cell>
          <cell r="C3506" t="str">
            <v>FINGEREXTENSIONSHÜLSE, DRAHT, XL</v>
          </cell>
          <cell r="D3506" t="str">
            <v>FINGER EXTENSION SLEEVE, WIRE, XL</v>
          </cell>
        </row>
        <row r="3507">
          <cell r="B3507" t="str">
            <v>22-601-02-07</v>
          </cell>
          <cell r="C3507" t="str">
            <v>FIXIERSCHEIBEN F. BOHRDRÄHTE, PAAR</v>
          </cell>
          <cell r="D3507" t="str">
            <v>FIXATION  DISCS, F. K-WIRES,  PAIR</v>
          </cell>
        </row>
        <row r="3508">
          <cell r="B3508" t="str">
            <v>22-603-06-07</v>
          </cell>
          <cell r="C3508" t="str">
            <v>ZUGHAKEN F. EXTENSIONSHÜLSEN, GROSS</v>
          </cell>
          <cell r="D3508" t="str">
            <v>TRACTION  HOOK, F. EXTENS. SLEEVES,  LARGE</v>
          </cell>
        </row>
        <row r="3509">
          <cell r="B3509" t="str">
            <v>22-606-00-07</v>
          </cell>
          <cell r="C3509" t="str">
            <v>HANDBOHRAPPARAT, BUNNEL</v>
          </cell>
          <cell r="D3509" t="str">
            <v>HAND DRILL, BUNNEL</v>
          </cell>
        </row>
        <row r="3510">
          <cell r="B3510" t="str">
            <v>22-611-01-02</v>
          </cell>
          <cell r="C3510" t="str">
            <v>BOHRAPPARAT, RALK, M. JACOBSFUTTER</v>
          </cell>
          <cell r="D3510" t="str">
            <v>HAND DRILL, RALK, W. JACOBS-CHUCK</v>
          </cell>
        </row>
        <row r="3511">
          <cell r="B3511" t="str">
            <v>22-618-00-07</v>
          </cell>
          <cell r="C3511" t="str">
            <v>EASIDRIVER, 14 CM</v>
          </cell>
          <cell r="D3511" t="str">
            <v>EASIDRIVER, 14 CM</v>
          </cell>
        </row>
        <row r="3512">
          <cell r="B3512" t="str">
            <v>22-627-10-05</v>
          </cell>
          <cell r="C3512" t="str">
            <v>KIRSCHNERDRAHT, 1,0X120 MM, ENDE RUND</v>
          </cell>
          <cell r="D3512" t="str">
            <v>K-WIRE, 1.0X120 MM, ROUND END</v>
          </cell>
        </row>
        <row r="3513">
          <cell r="B3513" t="str">
            <v>22-627-10-99</v>
          </cell>
          <cell r="C3513" t="str">
            <v>Kirschnerdraht, 1,0x120 mm, Ende rund</v>
          </cell>
          <cell r="D3513" t="str">
            <v>K-Wire, 1.0x120 mm, round end</v>
          </cell>
        </row>
        <row r="3514">
          <cell r="B3514" t="str">
            <v>22-627-12-05</v>
          </cell>
          <cell r="C3514" t="str">
            <v>KIRSCHNERDRAHT, 1,2X120 MM, ENDE RUND</v>
          </cell>
          <cell r="D3514" t="str">
            <v>K-WIRE, 1.2X120 MM, ROUND END</v>
          </cell>
        </row>
        <row r="3515">
          <cell r="B3515" t="str">
            <v>22-630-15-50</v>
          </cell>
          <cell r="C3515" t="str">
            <v>KIRSCHNERDRAHT, 0,6X150 MM, ENDE RUND</v>
          </cell>
          <cell r="D3515" t="str">
            <v>K-WIRE, 0.6X150 MM, ROUND END</v>
          </cell>
        </row>
        <row r="3516">
          <cell r="B3516" t="str">
            <v>22-631-10-05</v>
          </cell>
          <cell r="C3516" t="str">
            <v>KIRSCHNERDRAHT, 1,0X160 MM, ENDE RUND</v>
          </cell>
          <cell r="D3516" t="str">
            <v>K-WIRE, 1.0X160 MM, ROUND END</v>
          </cell>
        </row>
        <row r="3517">
          <cell r="B3517" t="str">
            <v>22-631-12-05</v>
          </cell>
          <cell r="C3517" t="str">
            <v>KIRSCHNERDRAHT, 1,2X160 MM, ENDE RUND</v>
          </cell>
          <cell r="D3517" t="str">
            <v>K-WIRE, 1.2X160 MM, ROUND END</v>
          </cell>
        </row>
        <row r="3518">
          <cell r="B3518" t="str">
            <v>22-631-14-05</v>
          </cell>
          <cell r="C3518" t="str">
            <v>KIRSCHNERDRAHT, 1,4X160 MM, ENDE RUND</v>
          </cell>
          <cell r="D3518" t="str">
            <v>K-WIRE, 1.4X160 MM, ROUND END</v>
          </cell>
        </row>
        <row r="3519">
          <cell r="B3519" t="str">
            <v>22-631-15-05</v>
          </cell>
          <cell r="C3519" t="str">
            <v>KIRSCHNERDRAHT, 1,5X160 MM, ENDE RUND</v>
          </cell>
          <cell r="D3519" t="str">
            <v>K-WIRE, 1.5X160 MM, ROUND END</v>
          </cell>
        </row>
        <row r="3520">
          <cell r="B3520" t="str">
            <v>22-631-16-05</v>
          </cell>
          <cell r="C3520" t="str">
            <v>KIRSCHNERDRAHT, 1,6X160 MM, ENDE RUND</v>
          </cell>
          <cell r="D3520" t="str">
            <v>K-WIRE, 1.6X160 MM, ROUND END</v>
          </cell>
        </row>
        <row r="3521">
          <cell r="B3521" t="str">
            <v>22-631-18-05</v>
          </cell>
          <cell r="C3521" t="str">
            <v>KIRSCHNERDRAHT, 1,8X160 MM, ENDE RUND</v>
          </cell>
          <cell r="D3521" t="str">
            <v>K-WIRE, 1.8X160 MM, ROUND END</v>
          </cell>
        </row>
        <row r="3522">
          <cell r="B3522" t="str">
            <v>22-631-20-05</v>
          </cell>
          <cell r="C3522" t="str">
            <v>KIRSCHNERDRAHT, 2,0X160 MM, ENDE RUND</v>
          </cell>
          <cell r="D3522" t="str">
            <v>K-WIRE, 2.0X160 MM, ROUND END</v>
          </cell>
        </row>
        <row r="3523">
          <cell r="B3523" t="str">
            <v>22-631-22-05</v>
          </cell>
          <cell r="C3523" t="str">
            <v>KIRSCHNERDRAHT, 2,2X160 MM, ENDE RUND</v>
          </cell>
          <cell r="D3523" t="str">
            <v>K-WIRE, 2.2X160 MM, ROUND END</v>
          </cell>
        </row>
        <row r="3524">
          <cell r="B3524" t="str">
            <v>22-631-25-05</v>
          </cell>
          <cell r="C3524" t="str">
            <v>KIRSCHNERDRAHT, 2,5X160 MM, ENDE RUND</v>
          </cell>
          <cell r="D3524" t="str">
            <v>K-WIRE, 2.5X160 MM, ROUND END</v>
          </cell>
        </row>
        <row r="3525">
          <cell r="B3525" t="str">
            <v>22-633-10-05</v>
          </cell>
          <cell r="C3525" t="str">
            <v>KIRSCHNERDRAHT, 1,0X310 MM, ENDE RUND</v>
          </cell>
          <cell r="D3525" t="str">
            <v>K-WIRE, 1.0X310 MM, ROUND END</v>
          </cell>
        </row>
        <row r="3526">
          <cell r="B3526" t="str">
            <v>22-633-12-05</v>
          </cell>
          <cell r="C3526" t="str">
            <v>KIRSCHNERDRAHT, 1,2X310 MM, ENDE RUND</v>
          </cell>
          <cell r="D3526" t="str">
            <v>K-WIRE, 1.2X310 MM, ROUND END</v>
          </cell>
        </row>
        <row r="3527">
          <cell r="B3527" t="str">
            <v>22-633-14-05</v>
          </cell>
          <cell r="C3527" t="str">
            <v>KIRSCHNERDRAHT, 1,4X310 MM, ENDE RUND</v>
          </cell>
          <cell r="D3527" t="str">
            <v>K-WIRE, 1.4X310 MM, ROUND END</v>
          </cell>
        </row>
        <row r="3528">
          <cell r="B3528" t="str">
            <v>22-633-15-05</v>
          </cell>
          <cell r="C3528" t="str">
            <v>KIRSCHNERDRAHT, 1,5X310 MM, ENDE RUND</v>
          </cell>
          <cell r="D3528" t="str">
            <v>K-WIRE, 1.5X310 MM, ROUND END</v>
          </cell>
        </row>
        <row r="3529">
          <cell r="B3529" t="str">
            <v>22-633-16-05</v>
          </cell>
          <cell r="C3529" t="str">
            <v>KIRSCHNERDRAHT, 1,6X310 MM, ENDE RUND</v>
          </cell>
          <cell r="D3529" t="str">
            <v>K-WIRE, 1.6X310 MM, ROUND END</v>
          </cell>
        </row>
        <row r="3530">
          <cell r="B3530" t="str">
            <v>22-633-18-05</v>
          </cell>
          <cell r="C3530" t="str">
            <v>KIRSCHNERDRAHT, 1,8X310 MM, ENDE RUND</v>
          </cell>
          <cell r="D3530" t="str">
            <v>K-WIRE, 1.8X310 MM, ROUND END</v>
          </cell>
        </row>
        <row r="3531">
          <cell r="B3531" t="str">
            <v>22-633-20-05</v>
          </cell>
          <cell r="C3531" t="str">
            <v>KIRSCHNERDRAHT, 2,0X310 MM, ENDE RUND</v>
          </cell>
          <cell r="D3531" t="str">
            <v>K-WIRE, 2.0X310 MM, ROUND END</v>
          </cell>
        </row>
        <row r="3532">
          <cell r="B3532" t="str">
            <v>22-633-22-05</v>
          </cell>
          <cell r="C3532" t="str">
            <v>KIRSCHNERDRAHT, 2,2X310 MM, ENDE RUND</v>
          </cell>
          <cell r="D3532" t="str">
            <v>K-WIRE, 2.2X310 MM, ROUND END</v>
          </cell>
        </row>
        <row r="3533">
          <cell r="B3533" t="str">
            <v>22-633-25-05</v>
          </cell>
          <cell r="C3533" t="str">
            <v>KIRSCHNERDRAHT, 2,5X310 MM, ENDE RUND</v>
          </cell>
          <cell r="D3533" t="str">
            <v>K-WIRE, 2.5X310 MM, ROUND END</v>
          </cell>
        </row>
        <row r="3534">
          <cell r="B3534" t="str">
            <v>22-636-09-05</v>
          </cell>
          <cell r="C3534" t="str">
            <v>KIRSCHNERDRAHT DOPPELSPITZE, 0,9 X 60 MM</v>
          </cell>
          <cell r="D3534" t="str">
            <v>K-WIRE, DOUBLE POINTED,  0,9 X 60 MM</v>
          </cell>
        </row>
        <row r="3535">
          <cell r="B3535" t="str">
            <v>22-637-09-05</v>
          </cell>
          <cell r="C3535" t="str">
            <v>KIRSCHNERDRAHT DOPPELSPITZE 0,9 X 120 MM</v>
          </cell>
          <cell r="D3535" t="str">
            <v>K-WIRE, DOUBLE POINTED,  0,9 X 120 MM</v>
          </cell>
        </row>
        <row r="3536">
          <cell r="B3536" t="str">
            <v>22-638-09-05</v>
          </cell>
          <cell r="C3536" t="str">
            <v>KIRSCHNERDRAHT DOPPELSPITZE 0,9 X 140 MM</v>
          </cell>
          <cell r="D3536" t="str">
            <v>K-WIRE, DOUBLE POINTED,  0,9 X 140 MM</v>
          </cell>
        </row>
        <row r="3537">
          <cell r="B3537" t="str">
            <v>22-639-09-05</v>
          </cell>
          <cell r="C3537" t="str">
            <v>KIRSCHNERDRAHT DOPPELSPITZE 0,9 X 160 MM</v>
          </cell>
          <cell r="D3537" t="str">
            <v>K-WIRE, DOUBLE POINTED,  0,9 X 160 MM</v>
          </cell>
        </row>
        <row r="3538">
          <cell r="B3538" t="str">
            <v>22-639-10-05</v>
          </cell>
          <cell r="C3538" t="str">
            <v>KIRSCHNERDRAHT, DOPPELSPITZE, 1,0X160 MM</v>
          </cell>
          <cell r="D3538" t="str">
            <v>K-WIRE, DOUBLE POINTED,  1.0X160 MM</v>
          </cell>
        </row>
        <row r="3539">
          <cell r="B3539" t="str">
            <v>22-639-12-05</v>
          </cell>
          <cell r="C3539" t="str">
            <v>KIRSCHNERDRAHT, DOPPELSPITZE, 1,2X160 MM</v>
          </cell>
          <cell r="D3539" t="str">
            <v>K-WIRE, DOUBLE POINTED,  1.2X160 MM</v>
          </cell>
        </row>
        <row r="3540">
          <cell r="B3540" t="str">
            <v>22-639-14-05</v>
          </cell>
          <cell r="C3540" t="str">
            <v>KIRSCHNERDRAHT, DOPPELSPITZE, 1,4X160 MM</v>
          </cell>
          <cell r="D3540" t="str">
            <v>K-WIRE, DOUBLE POINTED,  1.4X160 MM</v>
          </cell>
        </row>
        <row r="3541">
          <cell r="B3541" t="str">
            <v>22-639-15-05</v>
          </cell>
          <cell r="C3541" t="str">
            <v>KIRSCHNERDRAHT, DOPPELSPITZE, 1,5X160 MM</v>
          </cell>
          <cell r="D3541" t="str">
            <v>K-WIRE, DOUBLE POINTED,  1.5X160 MM</v>
          </cell>
        </row>
        <row r="3542">
          <cell r="B3542" t="str">
            <v>22-639-16-05</v>
          </cell>
          <cell r="C3542" t="str">
            <v>KIRSCHNERDRAHT, DOPPELSPITZE, 1,6X160 MM</v>
          </cell>
          <cell r="D3542" t="str">
            <v>K-WIRE, DOUBLE POINTED,  1.6X160 MM</v>
          </cell>
        </row>
        <row r="3543">
          <cell r="B3543" t="str">
            <v>22-639-18-05</v>
          </cell>
          <cell r="C3543" t="str">
            <v>KIRSCHNERDRAHT, DOPPELSPITZE, 1,8X160 MM</v>
          </cell>
          <cell r="D3543" t="str">
            <v>K-WIRE, DOUBLE POINTED,  1.8X160 MM</v>
          </cell>
        </row>
        <row r="3544">
          <cell r="B3544" t="str">
            <v>22-639-20-05</v>
          </cell>
          <cell r="C3544" t="str">
            <v>KIRSCHNERDRAHT, DOPPELSPITZE, 2,0X160 MM</v>
          </cell>
          <cell r="D3544" t="str">
            <v>K-WIRE, DOUBLE POINTED,  2.0X160 MM</v>
          </cell>
        </row>
        <row r="3545">
          <cell r="B3545" t="str">
            <v>22-639-25-05</v>
          </cell>
          <cell r="C3545" t="str">
            <v>KIRSCHNERDRAHT, DOPPELSPITZE, 2,5X160 MM</v>
          </cell>
          <cell r="D3545" t="str">
            <v>K-WIRE, DOUBLE POINTED,  2.5X160 MM</v>
          </cell>
        </row>
        <row r="3546">
          <cell r="B3546" t="str">
            <v>22-640-40-05</v>
          </cell>
          <cell r="C3546" t="str">
            <v>KIRSCHNERDRAHT, DOPPELSPITZE, 1,0X310 MM</v>
          </cell>
          <cell r="D3546" t="str">
            <v>K-WIRE, DOUBLE POINTED,  1.0X310 MM</v>
          </cell>
        </row>
        <row r="3547">
          <cell r="B3547" t="str">
            <v>22-640-42-05</v>
          </cell>
          <cell r="C3547" t="str">
            <v>KIRSCHNERDRAHT, DOPPELSPITZE, 1,2X310 MM</v>
          </cell>
          <cell r="D3547" t="str">
            <v>K-WIRE, DOUBLE POINTED,  1.2X310 MM</v>
          </cell>
        </row>
        <row r="3548">
          <cell r="B3548" t="str">
            <v>22-640-44-05</v>
          </cell>
          <cell r="C3548" t="str">
            <v>KIRSCHNERDRAHT, DOPPELSPITZE, 1,4X310 MM</v>
          </cell>
          <cell r="D3548" t="str">
            <v>K-WIRE, DOUBLE POINTED,  1.4X310 MM</v>
          </cell>
        </row>
        <row r="3549">
          <cell r="B3549" t="str">
            <v>22-640-45-05</v>
          </cell>
          <cell r="C3549" t="str">
            <v>KIRSCHNERDRAHT, DOPPELSPITZE, 1,5X310 MM</v>
          </cell>
          <cell r="D3549" t="str">
            <v>K-WIRE, DOUBLE POINTED,  1.5X310 MM</v>
          </cell>
        </row>
        <row r="3550">
          <cell r="B3550" t="str">
            <v>22-640-46-05</v>
          </cell>
          <cell r="C3550" t="str">
            <v>KIRSCHNERDRAHT, DOPPELSPITZE, 1,6X310 MM</v>
          </cell>
          <cell r="D3550" t="str">
            <v>K-WIRE, DOUBLE POINTED,  1.6X310 MM</v>
          </cell>
        </row>
        <row r="3551">
          <cell r="B3551" t="str">
            <v>22-640-48-05</v>
          </cell>
          <cell r="C3551" t="str">
            <v>KIRSCHNERDRAHT, DOPPELSPITZE, 1,8X310 MM</v>
          </cell>
          <cell r="D3551" t="str">
            <v>K-WIRE, DOUBLE POINTED,  1.8X310 MM</v>
          </cell>
        </row>
        <row r="3552">
          <cell r="B3552" t="str">
            <v>22-640-50-05</v>
          </cell>
          <cell r="C3552" t="str">
            <v>KIRSCHNERDRAHT, DOPPELSPITZE, 2,0X310 MM</v>
          </cell>
          <cell r="D3552" t="str">
            <v>K-WIRE, DOUBLE POINTED,  2.0X310 MM</v>
          </cell>
        </row>
        <row r="3553">
          <cell r="B3553" t="str">
            <v>22-640-55-05</v>
          </cell>
          <cell r="C3553" t="str">
            <v>KIRSCHNERDRAHT, DOPPELSPITZE, 2,5X310 MM</v>
          </cell>
          <cell r="D3553" t="str">
            <v>K-WIRE, DOUBLE POINTED,  2.5X310 MM</v>
          </cell>
        </row>
        <row r="3554">
          <cell r="B3554" t="str">
            <v>23-060-20-07</v>
          </cell>
          <cell r="C3554" t="str">
            <v>FLACHMEISSEL, BUCKLEY,  2 MM, 16 CM</v>
          </cell>
          <cell r="D3554" t="str">
            <v>BUCKLEY-CHISEL, 2 MM, 16 CM</v>
          </cell>
        </row>
        <row r="3555">
          <cell r="B3555" t="str">
            <v>23-060-30-07</v>
          </cell>
          <cell r="C3555" t="str">
            <v>FLACHMEISSEL, BUCKLEY,  3 MM, 16 CM</v>
          </cell>
          <cell r="D3555" t="str">
            <v>BUCKLEY-CHISEL, 3 MM, 16 CM</v>
          </cell>
        </row>
        <row r="3556">
          <cell r="B3556" t="str">
            <v>23-060-40-07</v>
          </cell>
          <cell r="C3556" t="str">
            <v>FLACHMEISSEL, BUCKLEY,  4 MM, 16 CM</v>
          </cell>
          <cell r="D3556" t="str">
            <v>BUCKLEY-CHISEL, 4 MM, 16 CM</v>
          </cell>
        </row>
        <row r="3557">
          <cell r="B3557" t="str">
            <v>23-061-20-07</v>
          </cell>
          <cell r="C3557" t="str">
            <v>HOHLMEISSEL, BUCKLEY,  2 MM, 16 CM</v>
          </cell>
          <cell r="D3557" t="str">
            <v>BUCKLEY-GOUGES, 2 MM, 16 CM</v>
          </cell>
        </row>
        <row r="3558">
          <cell r="B3558" t="str">
            <v>23-061-30-07</v>
          </cell>
          <cell r="C3558" t="str">
            <v>HOHLMEISSEL, BUCKLEY,  3 MM, 16 CM</v>
          </cell>
          <cell r="D3558" t="str">
            <v>BUCKLEY-GOUGES, 3 MM, 16 CM</v>
          </cell>
        </row>
        <row r="3559">
          <cell r="B3559" t="str">
            <v>23-061-40-07</v>
          </cell>
          <cell r="C3559" t="str">
            <v>HOHLMEISSEL, BUCKLEY,  4 MM, 16 CM</v>
          </cell>
          <cell r="D3559" t="str">
            <v>BUCKLEY-GOUGES, 4 MM, 16 CM</v>
          </cell>
        </row>
        <row r="3560">
          <cell r="B3560" t="str">
            <v>23-072-04-07</v>
          </cell>
          <cell r="C3560" t="str">
            <v>KNOCHENMEISSEL, 4 MM, 17 CM</v>
          </cell>
          <cell r="D3560" t="str">
            <v>BONE CHISEL, 4 MM, 17 CM</v>
          </cell>
        </row>
        <row r="3561">
          <cell r="B3561" t="str">
            <v>23-074-04-07</v>
          </cell>
          <cell r="C3561" t="str">
            <v>KNOCHENMEISSEL, 4 MM, 17 CM</v>
          </cell>
          <cell r="D3561" t="str">
            <v>BONE CHISEL, 4 MM, 17 CM</v>
          </cell>
        </row>
        <row r="3562">
          <cell r="B3562" t="str">
            <v>23-100-08-07</v>
          </cell>
          <cell r="C3562" t="str">
            <v>OSTEOTOM, 8 MM, 13,5 CM</v>
          </cell>
          <cell r="D3562" t="str">
            <v>OSTEOTOME, 8 MM, 13.5 CM</v>
          </cell>
        </row>
        <row r="3563">
          <cell r="B3563" t="str">
            <v>23-100-10-07</v>
          </cell>
          <cell r="C3563" t="str">
            <v>OSTEOTOM, 10 MM, 13,5 CM</v>
          </cell>
          <cell r="D3563" t="str">
            <v>OSTEOTOME, 10 MM, 13.5 CM</v>
          </cell>
        </row>
        <row r="3564">
          <cell r="B3564" t="str">
            <v>23-100-12-07</v>
          </cell>
          <cell r="C3564" t="str">
            <v>OSTEOTOM, 12 MM, 13,5 CM</v>
          </cell>
          <cell r="D3564" t="str">
            <v>OSTEOTOME, 12 MM, 13.5 CM</v>
          </cell>
        </row>
        <row r="3565">
          <cell r="B3565" t="str">
            <v>23-100-14-07</v>
          </cell>
          <cell r="C3565" t="str">
            <v>OSTEOTOM, 14 MM, 13,5 CM</v>
          </cell>
          <cell r="D3565" t="str">
            <v>OSTEOTOME, 14 MM, 13.5 CM</v>
          </cell>
        </row>
        <row r="3566">
          <cell r="B3566" t="str">
            <v>23-100-16-07</v>
          </cell>
          <cell r="C3566" t="str">
            <v>OSTEOTOM, 16 MM, 13,5 CM</v>
          </cell>
          <cell r="D3566" t="str">
            <v>OSTEOTOME, 16 MM, 13.5 CM</v>
          </cell>
        </row>
        <row r="3567">
          <cell r="B3567" t="str">
            <v>23-101-08-07</v>
          </cell>
          <cell r="C3567" t="str">
            <v>FLACHMEISSEL, 8 MM, 13,5 CM</v>
          </cell>
          <cell r="D3567" t="str">
            <v>CHISEL, 8 MM, 13.5 CM</v>
          </cell>
        </row>
        <row r="3568">
          <cell r="B3568" t="str">
            <v>23-101-10-07</v>
          </cell>
          <cell r="C3568" t="str">
            <v>FLACHMEISSEL, 10 MM, 13,5 CM</v>
          </cell>
          <cell r="D3568" t="str">
            <v>CHISEL, 10 MM, 13.5 CM</v>
          </cell>
        </row>
        <row r="3569">
          <cell r="B3569" t="str">
            <v>23-101-12-07</v>
          </cell>
          <cell r="C3569" t="str">
            <v>FLACHMEISSEL, 12 MM, 13,5 CM</v>
          </cell>
          <cell r="D3569" t="str">
            <v>CHISEL, 12 MM, 13.5 CM</v>
          </cell>
        </row>
        <row r="3570">
          <cell r="B3570" t="str">
            <v>23-101-14-07</v>
          </cell>
          <cell r="C3570" t="str">
            <v>FLACHMEISSEL, 14 MM, 13,5 CM</v>
          </cell>
          <cell r="D3570" t="str">
            <v>CHISEL, 14 MM, 13.5 CM</v>
          </cell>
        </row>
        <row r="3571">
          <cell r="B3571" t="str">
            <v>23-101-16-07</v>
          </cell>
          <cell r="C3571" t="str">
            <v>FLACHMEISSEL, 16 MM, 13,5 CM</v>
          </cell>
          <cell r="D3571" t="str">
            <v>CHISEL, 16 MM, 13.5 CM</v>
          </cell>
        </row>
        <row r="3572">
          <cell r="B3572" t="str">
            <v>23-102-08-07</v>
          </cell>
          <cell r="C3572" t="str">
            <v>HOHLMEISSEL, 8 MM, 13,5 CM</v>
          </cell>
          <cell r="D3572" t="str">
            <v>GOUGE, 8 MM, 13.5 CM</v>
          </cell>
        </row>
        <row r="3573">
          <cell r="B3573" t="str">
            <v>23-102-10-07</v>
          </cell>
          <cell r="C3573" t="str">
            <v>HOHLMEISSEL, 10 MM, 13,5 CM</v>
          </cell>
          <cell r="D3573" t="str">
            <v>GOUGE, 10 MM, 13.5 CM</v>
          </cell>
        </row>
        <row r="3574">
          <cell r="B3574" t="str">
            <v>23-102-12-07</v>
          </cell>
          <cell r="C3574" t="str">
            <v>HOHLMEISSEL, 12 MM, 13,5 CM</v>
          </cell>
          <cell r="D3574" t="str">
            <v>GOUGE, 12 MM, 13.5 CM</v>
          </cell>
        </row>
        <row r="3575">
          <cell r="B3575" t="str">
            <v>23-102-14-07</v>
          </cell>
          <cell r="C3575" t="str">
            <v>HOHLMEISSEL, 14 MM, 13,5 CM</v>
          </cell>
          <cell r="D3575" t="str">
            <v>GOUGE, 14 MM, 13.5 CM</v>
          </cell>
        </row>
        <row r="3576">
          <cell r="B3576" t="str">
            <v>23-102-16-07</v>
          </cell>
          <cell r="C3576" t="str">
            <v>HOHLMEISSEL, 16 MM, 13,5 CM</v>
          </cell>
          <cell r="D3576" t="str">
            <v>GOUGE, 16 MM, 13.5 CM</v>
          </cell>
        </row>
        <row r="3577">
          <cell r="B3577" t="str">
            <v>23-105-02-07</v>
          </cell>
          <cell r="C3577" t="str">
            <v>FLACHMEISSEL, PARTSCH,  2 MM, 13,5 CM</v>
          </cell>
          <cell r="D3577" t="str">
            <v>CHISEL, PARTSCH,  2 MM, 13.5 CM</v>
          </cell>
        </row>
        <row r="3578">
          <cell r="B3578" t="str">
            <v>23-105-03-07</v>
          </cell>
          <cell r="C3578" t="str">
            <v>FLACHMEISSEL, PARTSCH,  3 MM, 13,5 CM</v>
          </cell>
          <cell r="D3578" t="str">
            <v>CHISEL, PARTSCH,  3 MM, 13.5 CM</v>
          </cell>
        </row>
        <row r="3579">
          <cell r="B3579" t="str">
            <v>23-105-04-07</v>
          </cell>
          <cell r="C3579" t="str">
            <v>FLACHMEISSEL, PARTSCH,  4 MM, 13,5 CM</v>
          </cell>
          <cell r="D3579" t="str">
            <v>CHISEL, PARTSCH,  4 MM, 13.5 CM</v>
          </cell>
        </row>
        <row r="3580">
          <cell r="B3580" t="str">
            <v>23-105-05-07</v>
          </cell>
          <cell r="C3580" t="str">
            <v>FLACHMEISSEL, PARTSCH,  5 MM, 13,5 CM</v>
          </cell>
          <cell r="D3580" t="str">
            <v>CHISEL, PARTSCH,  5 MM, 13.5 CM</v>
          </cell>
        </row>
        <row r="3581">
          <cell r="B3581" t="str">
            <v>23-105-06-07</v>
          </cell>
          <cell r="C3581" t="str">
            <v>FLACHMEISSEL, PARTSCH,  6 MM, 13,5 CM</v>
          </cell>
          <cell r="D3581" t="str">
            <v>CHISEL, PARTSCH,  6 MM, 13.5 CM</v>
          </cell>
        </row>
        <row r="3582">
          <cell r="B3582" t="str">
            <v>23-106-02-07</v>
          </cell>
          <cell r="C3582" t="str">
            <v>FLACHMEISSEL, PARTSCH,  2 MM, 17 CM</v>
          </cell>
          <cell r="D3582" t="str">
            <v>CHISEL, PARTSCH,  2 MM, 17 CM</v>
          </cell>
        </row>
        <row r="3583">
          <cell r="B3583" t="str">
            <v>23-106-03-07</v>
          </cell>
          <cell r="C3583" t="str">
            <v>FLACHMEISSEL, PARTSCH,  3 MM, 17 CM</v>
          </cell>
          <cell r="D3583" t="str">
            <v>CHISEL, PARTSCH,  3 MM, 17 CM</v>
          </cell>
        </row>
        <row r="3584">
          <cell r="B3584" t="str">
            <v>23-106-04-07</v>
          </cell>
          <cell r="C3584" t="str">
            <v>FLACHMEISSEL, PARTSCH,  4 MM, 17 CM</v>
          </cell>
          <cell r="D3584" t="str">
            <v>CHISEL, PARTSCH,  4 MM, 17 CM</v>
          </cell>
        </row>
        <row r="3585">
          <cell r="B3585" t="str">
            <v>23-106-05-07</v>
          </cell>
          <cell r="C3585" t="str">
            <v>FLACHMEISSEL, PARTSCH,  5 MM, 17 CM</v>
          </cell>
          <cell r="D3585" t="str">
            <v>CHISEL, PARTSCH,  5 MM, 17 CM</v>
          </cell>
        </row>
        <row r="3586">
          <cell r="B3586" t="str">
            <v>23-106-06-07</v>
          </cell>
          <cell r="C3586" t="str">
            <v>FLACHMEISSEL, PARTSCH,  6 MM, 17 CM</v>
          </cell>
          <cell r="D3586" t="str">
            <v>CHISEL, PARTSCH,  6 MM, 17 CM</v>
          </cell>
        </row>
        <row r="3587">
          <cell r="B3587" t="str">
            <v>23-109-02-07</v>
          </cell>
          <cell r="C3587" t="str">
            <v>HOHLMEISSEL, PARTSCH,  2 MM, 13,5 CM</v>
          </cell>
          <cell r="D3587" t="str">
            <v>GOUGE, PARTSCH,  2 MM, 13.5 CM</v>
          </cell>
        </row>
        <row r="3588">
          <cell r="B3588" t="str">
            <v>23-109-03-07</v>
          </cell>
          <cell r="C3588" t="str">
            <v>HOHLMEISSEL, PARTSCH,  3 MM, 13,5 CM</v>
          </cell>
          <cell r="D3588" t="str">
            <v>GOUGE, PARTSCH,  3 MM, 13.5 CM</v>
          </cell>
        </row>
        <row r="3589">
          <cell r="B3589" t="str">
            <v>23-109-04-07</v>
          </cell>
          <cell r="C3589" t="str">
            <v>HOHLMEISSEL, PARTSCH,  4 MM, 13,5 CM</v>
          </cell>
          <cell r="D3589" t="str">
            <v>GOUGE, PARTSCH,  4 MM, 13.5 CM</v>
          </cell>
        </row>
        <row r="3590">
          <cell r="B3590" t="str">
            <v>23-109-05-07</v>
          </cell>
          <cell r="C3590" t="str">
            <v>HOHLMEISSEL, PARTSCH,  5 MM, 13,5 CM</v>
          </cell>
          <cell r="D3590" t="str">
            <v>GOUGE, PARTSCH,  5 MM, 13.5 CM</v>
          </cell>
        </row>
        <row r="3591">
          <cell r="B3591" t="str">
            <v>23-109-06-07</v>
          </cell>
          <cell r="C3591" t="str">
            <v>HOHLMEISSEL, PARTSCH,  6 MM, 13,5 CM</v>
          </cell>
          <cell r="D3591" t="str">
            <v>GOUGE, PARTSCH,  6 MM, 13.5 CM</v>
          </cell>
        </row>
        <row r="3592">
          <cell r="B3592" t="str">
            <v>23-110-02-07</v>
          </cell>
          <cell r="C3592" t="str">
            <v>HOHLMEISSEL, PARTSCH,  2 MM, 16,5 CM</v>
          </cell>
          <cell r="D3592" t="str">
            <v>GOUGE, PARTSCH,  2 MM, 16.5 CM</v>
          </cell>
        </row>
        <row r="3593">
          <cell r="B3593" t="str">
            <v>23-110-03-07</v>
          </cell>
          <cell r="C3593" t="str">
            <v>HOHLMEISSEL, PARTSCH,  3 MM, 16,5 CM</v>
          </cell>
          <cell r="D3593" t="str">
            <v>GOUGE, PARTSCH,  3 MM, 16.5 CM</v>
          </cell>
        </row>
        <row r="3594">
          <cell r="B3594" t="str">
            <v>23-110-04-07</v>
          </cell>
          <cell r="C3594" t="str">
            <v>HOHLMEISSEL, PARTSCH,  4 MM, 16,5 CM</v>
          </cell>
          <cell r="D3594" t="str">
            <v>GOUGE, PARTSCH,  4 MM, 16.5 CM</v>
          </cell>
        </row>
        <row r="3595">
          <cell r="B3595" t="str">
            <v>23-110-05-07</v>
          </cell>
          <cell r="C3595" t="str">
            <v>HOHLMEISSEL, PARTSCH,  5 MM, 16,5 CM</v>
          </cell>
          <cell r="D3595" t="str">
            <v>GOUGE, PARTSCH,  5 MM, 16.5 CM</v>
          </cell>
        </row>
        <row r="3596">
          <cell r="B3596" t="str">
            <v>23-110-06-07</v>
          </cell>
          <cell r="C3596" t="str">
            <v>HOHLMEISSEL, PARTSCH,  6 MM, 16,5 CM</v>
          </cell>
          <cell r="D3596" t="str">
            <v>GOUGE, PARTSCH,  6 MM, 16.5 CM</v>
          </cell>
        </row>
        <row r="3597">
          <cell r="B3597" t="str">
            <v>23-112-05-04</v>
          </cell>
          <cell r="C3597" t="str">
            <v>Hohlmeissel, Zielke, Si., 5,5 mm, 23 cm</v>
          </cell>
          <cell r="D3597" t="str">
            <v>Gouge, Zielke, si., 5,5 mm, 23 cm</v>
          </cell>
        </row>
        <row r="3598">
          <cell r="B3598" t="str">
            <v>23-112-09-04</v>
          </cell>
          <cell r="C3598" t="str">
            <v>Hohlmeissel, Zielke, Si., 9 mm, 23 cm</v>
          </cell>
          <cell r="D3598" t="str">
            <v>Gouge, Zielke, si., 9 mm, 23 cm</v>
          </cell>
        </row>
        <row r="3599">
          <cell r="B3599" t="str">
            <v>23-118-04-07</v>
          </cell>
          <cell r="C3599" t="str">
            <v>FLACHMEISSEL, ALEXANDER, 4 MM, 17,5 CM</v>
          </cell>
          <cell r="D3599" t="str">
            <v>CHISEL, ALEXANDER, 4 MM, 17.5 CM</v>
          </cell>
        </row>
        <row r="3600">
          <cell r="B3600" t="str">
            <v>23-118-06-07</v>
          </cell>
          <cell r="C3600" t="str">
            <v>FLACHMEISSEL, ALEXANDER, 6 MM, 17,5 CM</v>
          </cell>
          <cell r="D3600" t="str">
            <v>CHISEL, ALEXANDER, 6 MM, 17.5 CM</v>
          </cell>
        </row>
        <row r="3601">
          <cell r="B3601" t="str">
            <v>23-118-08-07</v>
          </cell>
          <cell r="C3601" t="str">
            <v>FLACHMEISSEL, ALEXANDER, 8 MM, 17,5 CM</v>
          </cell>
          <cell r="D3601" t="str">
            <v>CHISEL, ALEXANDER, 8 MM, 17.5 CM</v>
          </cell>
        </row>
        <row r="3602">
          <cell r="B3602" t="str">
            <v>23-118-10-07</v>
          </cell>
          <cell r="C3602" t="str">
            <v>FLACHMEISSEL, ALEXANDER, 10 MM, 17,5 CM</v>
          </cell>
          <cell r="D3602" t="str">
            <v>CHISEL, ALEXANDER, 10 MM, 17.5 CM</v>
          </cell>
        </row>
        <row r="3603">
          <cell r="B3603" t="str">
            <v>23-118-12-07</v>
          </cell>
          <cell r="C3603" t="str">
            <v>FLACHMEISSEL, ALEXANDER, 12 MM, 17,5 CM</v>
          </cell>
          <cell r="D3603" t="str">
            <v>CHISEL, ALEXANDER, 12 MM, 17.5 CM</v>
          </cell>
        </row>
        <row r="3604">
          <cell r="B3604" t="str">
            <v>23-118-14-07</v>
          </cell>
          <cell r="C3604" t="str">
            <v>FLACHMEISSEL, ALEXANDER, 14 MM, 17,5 CM</v>
          </cell>
          <cell r="D3604" t="str">
            <v>CHISEL, ALEXANDER, 14 MM, 17.5 CM</v>
          </cell>
        </row>
        <row r="3605">
          <cell r="B3605" t="str">
            <v>23-119-04-07</v>
          </cell>
          <cell r="C3605" t="str">
            <v>HOHLMEISSEL, ALEXANDER, 4 MM, 17,5 CM</v>
          </cell>
          <cell r="D3605" t="str">
            <v>GOUGE, ALEXANDER, 4 MM, 17.5 CM</v>
          </cell>
        </row>
        <row r="3606">
          <cell r="B3606" t="str">
            <v>23-119-06-07</v>
          </cell>
          <cell r="C3606" t="str">
            <v>HOHLMEISSEL, ALEXANDER, 6 MM, 17,5 CM</v>
          </cell>
          <cell r="D3606" t="str">
            <v>GOUGE, ALEXANDER, 6 MM, 17.5 CM</v>
          </cell>
        </row>
        <row r="3607">
          <cell r="B3607" t="str">
            <v>23-119-08-07</v>
          </cell>
          <cell r="C3607" t="str">
            <v>HOHLMEISSEL, ALEXANDER, 8 MM, 17,5 CM</v>
          </cell>
          <cell r="D3607" t="str">
            <v>GOUGE, ALEXANDER, 8 MM, 17.5 CM</v>
          </cell>
        </row>
        <row r="3608">
          <cell r="B3608" t="str">
            <v>23-119-10-07</v>
          </cell>
          <cell r="C3608" t="str">
            <v>HOHLMEISSEL, ALEXANDER, 10 MM, 17,5 CM</v>
          </cell>
          <cell r="D3608" t="str">
            <v>GOUGE, ALEXANDER, 10 MM, 17.5 CM</v>
          </cell>
        </row>
        <row r="3609">
          <cell r="B3609" t="str">
            <v>23-119-12-07</v>
          </cell>
          <cell r="C3609" t="str">
            <v>HOHLMEISSEL, ALEXANDER, 12 MM, 17,5 CM</v>
          </cell>
          <cell r="D3609" t="str">
            <v>GOUGE, ALEXANDER, 12 MM, 17.5 CM</v>
          </cell>
        </row>
        <row r="3610">
          <cell r="B3610" t="str">
            <v>23-119-14-07</v>
          </cell>
          <cell r="C3610" t="str">
            <v>HOHLMEISSEL, ALEXANDER, 14 MM, 17,5 CM</v>
          </cell>
          <cell r="D3610" t="str">
            <v>GOUGE, ALEXANDER, 14 MM, 17.5 CM</v>
          </cell>
        </row>
        <row r="3611">
          <cell r="B3611" t="str">
            <v>23-123-10-07</v>
          </cell>
          <cell r="C3611" t="str">
            <v>FLACHMEISSEL, STILLE, 10 MM, 20,5 CM</v>
          </cell>
          <cell r="D3611" t="str">
            <v>CHISEL, STILLE, 10 MM, 20.5 CM</v>
          </cell>
        </row>
        <row r="3612">
          <cell r="B3612" t="str">
            <v>23-123-12-07</v>
          </cell>
          <cell r="C3612" t="str">
            <v>Flachmeissel, Stille, 12 mm, 20,5 cm</v>
          </cell>
          <cell r="D3612" t="str">
            <v>Chisel, Stille, 12 mm, 20.5 cm</v>
          </cell>
        </row>
        <row r="3613">
          <cell r="B3613" t="str">
            <v>23-123-15-07</v>
          </cell>
          <cell r="C3613" t="str">
            <v>FLACHMEISSEL, STILLE, 15 MM, 20,5 CM</v>
          </cell>
          <cell r="D3613" t="str">
            <v>CHISEL, STILLE, 15 MM, 20.5 CM</v>
          </cell>
        </row>
        <row r="3614">
          <cell r="B3614" t="str">
            <v>23-123-20-07</v>
          </cell>
          <cell r="C3614" t="str">
            <v>FLACHMEISSEL, STILLE, 20 MM, 20,5 CM</v>
          </cell>
          <cell r="D3614" t="str">
            <v>CHISEL, STILLE, 20 MM, 20.5 CM</v>
          </cell>
        </row>
        <row r="3615">
          <cell r="B3615" t="str">
            <v>23-123-25-07</v>
          </cell>
          <cell r="C3615" t="str">
            <v>FLACHMEISSEL, STILLE, 25 MM, 20,5 CM</v>
          </cell>
          <cell r="D3615" t="str">
            <v>CHISEL, STILLE, 25 MM, 20.5 CM</v>
          </cell>
        </row>
        <row r="3616">
          <cell r="B3616" t="str">
            <v>23-124-08-07</v>
          </cell>
          <cell r="C3616" t="str">
            <v>Osteotom,  Stille, 8 mm, 20,5 cm</v>
          </cell>
          <cell r="D3616" t="str">
            <v>Osteotome, Stille, 8 mm, 20.5 cm</v>
          </cell>
        </row>
        <row r="3617">
          <cell r="B3617" t="str">
            <v>23-124-10-07</v>
          </cell>
          <cell r="C3617" t="str">
            <v>OSTEOTOM, STILLE, 10 MM, 20,5 CM</v>
          </cell>
          <cell r="D3617" t="str">
            <v>OSTEOTOME, STILLE, 10 MM, 20.5 CM</v>
          </cell>
        </row>
        <row r="3618">
          <cell r="B3618" t="str">
            <v>23-124-12-07</v>
          </cell>
          <cell r="C3618" t="str">
            <v>Osteotom,  Stille, 12 mm, 20,5 cm</v>
          </cell>
          <cell r="D3618" t="str">
            <v>Osteotome, Stille, 12 mm, 20.5 cm</v>
          </cell>
        </row>
        <row r="3619">
          <cell r="B3619" t="str">
            <v>23-124-15-07</v>
          </cell>
          <cell r="C3619" t="str">
            <v>OSTEOTOM, STILLE, 15 MM, 20,5 CM</v>
          </cell>
          <cell r="D3619" t="str">
            <v>OSTEOTOME, STILLE, 15 MM, 20.5 CM</v>
          </cell>
        </row>
        <row r="3620">
          <cell r="B3620" t="str">
            <v>23-124-20-07</v>
          </cell>
          <cell r="C3620" t="str">
            <v>OSTEOTOM, STILLE, 20 MM, 20,5 CM</v>
          </cell>
          <cell r="D3620" t="str">
            <v>OSTEOTOME, STILLE, 20 MM, 20.5 CM</v>
          </cell>
        </row>
        <row r="3621">
          <cell r="B3621" t="str">
            <v>23-124-25-07</v>
          </cell>
          <cell r="C3621" t="str">
            <v>OSTEOTOM, STILLE, 25 MM, 20,5 CM</v>
          </cell>
          <cell r="D3621" t="str">
            <v>OSTEOTOME, STILLE, 25 MM, 20.5 CM</v>
          </cell>
        </row>
        <row r="3622">
          <cell r="B3622" t="str">
            <v>23-125-10-07</v>
          </cell>
          <cell r="C3622" t="str">
            <v>Osteotom,  Stille, fein, 10 mm, 20,5 cm</v>
          </cell>
          <cell r="D3622" t="str">
            <v>Osteotome, Stille, fine, 10 mm, 20.5 cm</v>
          </cell>
        </row>
        <row r="3623">
          <cell r="B3623" t="str">
            <v>23-125-12-07</v>
          </cell>
          <cell r="C3623" t="str">
            <v>Osteotom,  Stille, fein, 12 mm, 20,5 cm</v>
          </cell>
          <cell r="D3623" t="str">
            <v>Osteotome, Stille, fine, 12 mm, 20.5 cm</v>
          </cell>
        </row>
        <row r="3624">
          <cell r="B3624" t="str">
            <v>23-125-15-07</v>
          </cell>
          <cell r="C3624" t="str">
            <v>Osteotom,  Stille, fein, 15 mm, 20,5 cm</v>
          </cell>
          <cell r="D3624" t="str">
            <v>Osteotome, Stille, fine, 15 mm, 20.5 cm</v>
          </cell>
        </row>
        <row r="3625">
          <cell r="B3625" t="str">
            <v>23-125-20-07</v>
          </cell>
          <cell r="C3625" t="str">
            <v>Osteotom,  Stille, fein, 20 mm, 20,5 cm</v>
          </cell>
          <cell r="D3625" t="str">
            <v>Osteotome, Stille, fine, 20 mm, 20.5 cm</v>
          </cell>
        </row>
        <row r="3626">
          <cell r="B3626" t="str">
            <v>23-125-25-07</v>
          </cell>
          <cell r="C3626" t="str">
            <v>Osteotom,  Stille, fein, 25 mm, 20,5 cm</v>
          </cell>
          <cell r="D3626" t="str">
            <v>Osteotome, Stille, fine, 25 mm, 20.5 cm</v>
          </cell>
        </row>
        <row r="3627">
          <cell r="B3627" t="str">
            <v>23-127-10-07</v>
          </cell>
          <cell r="C3627" t="str">
            <v>HOHLMEISSEL, STILLE, 10 MM, 20,5 CM</v>
          </cell>
          <cell r="D3627" t="str">
            <v>GOUGE, STILLE, 10 MM, 20.5 CM</v>
          </cell>
        </row>
        <row r="3628">
          <cell r="B3628" t="str">
            <v>23-127-12-07</v>
          </cell>
          <cell r="C3628" t="str">
            <v>Hohlmeissel, Stille, 12 mm, 20,5 cm</v>
          </cell>
          <cell r="D3628" t="str">
            <v>Gouge, Stille, 12 mm, 20.5 cm</v>
          </cell>
        </row>
        <row r="3629">
          <cell r="B3629" t="str">
            <v>23-127-15-07</v>
          </cell>
          <cell r="C3629" t="str">
            <v>HOHLMEISSEL, STILLE, 15 MM, 20,5 CM</v>
          </cell>
          <cell r="D3629" t="str">
            <v>GOUGE, STILLE, 15 MM, 20.5 CM</v>
          </cell>
        </row>
        <row r="3630">
          <cell r="B3630" t="str">
            <v>23-127-20-07</v>
          </cell>
          <cell r="C3630" t="str">
            <v>HOHLMEISSEL, STILLE, 20 MM, 20,5 CM</v>
          </cell>
          <cell r="D3630" t="str">
            <v>GOUGE, STILLE, 20 MM, 20.5 CM</v>
          </cell>
        </row>
        <row r="3631">
          <cell r="B3631" t="str">
            <v>23-127-25-07</v>
          </cell>
          <cell r="C3631" t="str">
            <v>HOHLMEISSEL, STILLE, 25 MM, 20,5 CM</v>
          </cell>
          <cell r="D3631" t="str">
            <v>GOUGE, STILLE, 25 MM, 20.5 CM</v>
          </cell>
        </row>
        <row r="3632">
          <cell r="B3632" t="str">
            <v>23-130-00-04</v>
          </cell>
          <cell r="C3632" t="str">
            <v>Meisselgriff f. Klingen, Si., 18,5 cm</v>
          </cell>
          <cell r="D3632" t="str">
            <v>Handle f. chisel blades, si., 18.5 cm</v>
          </cell>
        </row>
        <row r="3633">
          <cell r="B3633" t="str">
            <v>23-130-05-07</v>
          </cell>
          <cell r="C3633" t="str">
            <v>MEISSELKLINGE, GER., 5 MM, 8 CM</v>
          </cell>
          <cell r="D3633" t="str">
            <v>CHISEL BLADE, STR., 5 MM, 8 CM</v>
          </cell>
        </row>
        <row r="3634">
          <cell r="B3634" t="str">
            <v>23-130-10-07</v>
          </cell>
          <cell r="C3634" t="str">
            <v>MEISSELKLINGE, GER., 10 MM, 8 CM</v>
          </cell>
          <cell r="D3634" t="str">
            <v>CHISEL BLADE, STR., 10 MM, 8 CM</v>
          </cell>
        </row>
        <row r="3635">
          <cell r="B3635" t="str">
            <v>23-130-16-07</v>
          </cell>
          <cell r="C3635" t="str">
            <v>MEISSELKLINGE, GER., 16 MM, 8 CM</v>
          </cell>
          <cell r="D3635" t="str">
            <v>CHISEL BLADE, STR., 16 MM, 8 CM</v>
          </cell>
        </row>
        <row r="3636">
          <cell r="B3636" t="str">
            <v>23-130-25-07</v>
          </cell>
          <cell r="C3636" t="str">
            <v>MEISSELKLINGE, GER., 25 MM, 8 CM</v>
          </cell>
          <cell r="D3636" t="str">
            <v>CHISEL BLADE, STR., 25 MM, 8 CM</v>
          </cell>
        </row>
        <row r="3637">
          <cell r="B3637" t="str">
            <v>23-130-55-07</v>
          </cell>
          <cell r="C3637" t="str">
            <v>OSTEOTOMKLINGE, 5 MM, 8 CM</v>
          </cell>
          <cell r="D3637" t="str">
            <v>OSTEOTOME BLADE, 5 MM, 8 CM</v>
          </cell>
        </row>
        <row r="3638">
          <cell r="B3638" t="str">
            <v>23-130-60-07</v>
          </cell>
          <cell r="C3638" t="str">
            <v>OSTEOTOMKLINGE, 10 MM, 8 CM</v>
          </cell>
          <cell r="D3638" t="str">
            <v>OSTEOTOME BLADE, 10 MM, 8 CM</v>
          </cell>
        </row>
        <row r="3639">
          <cell r="B3639" t="str">
            <v>23-130-66-07</v>
          </cell>
          <cell r="C3639" t="str">
            <v>OSTEOTOMKLINGE, 16 MM, 8 CM</v>
          </cell>
          <cell r="D3639" t="str">
            <v>OSTEOTOME BLADE, 16 MM, 8 CM</v>
          </cell>
        </row>
        <row r="3640">
          <cell r="B3640" t="str">
            <v>23-130-85-07</v>
          </cell>
          <cell r="C3640" t="str">
            <v>OSTEOTOMKLINGE, 25 MM, 8 CM</v>
          </cell>
          <cell r="D3640" t="str">
            <v>OSTEOTOME BLADE, 25 MM, 8 CM</v>
          </cell>
        </row>
        <row r="3641">
          <cell r="B3641" t="str">
            <v>23-130-99-07</v>
          </cell>
          <cell r="C3641" t="str">
            <v>Spannschlüssel, Z. 23-130-00-04, 9 CM</v>
          </cell>
          <cell r="D3641" t="str">
            <v>Key F. 23-130-00-04, 9 CM</v>
          </cell>
        </row>
        <row r="3642">
          <cell r="B3642" t="str">
            <v>23-131-05-04</v>
          </cell>
          <cell r="C3642" t="str">
            <v>Spongiosameissel, ger., Si., 5mm, 24,5cm</v>
          </cell>
          <cell r="D3642" t="str">
            <v>Spongiosa  gouge, str., si., 5mm, 24.5cm</v>
          </cell>
        </row>
        <row r="3643">
          <cell r="B3643" t="str">
            <v>23-131-10-04</v>
          </cell>
          <cell r="C3643" t="str">
            <v>Spongiosameissel, ger., Si.,10mm,  24,5cm</v>
          </cell>
          <cell r="D3643" t="str">
            <v>Spongiosa  gouge, str., si., 10mm, 24.5cm</v>
          </cell>
        </row>
        <row r="3644">
          <cell r="B3644" t="str">
            <v>23-131-15-04</v>
          </cell>
          <cell r="C3644" t="str">
            <v>Spongiosameissel, ger., Si.,15mm,  24,5cm</v>
          </cell>
          <cell r="D3644" t="str">
            <v>Spongiosa  gouge, str., si., 15mm, 24.5cm</v>
          </cell>
        </row>
        <row r="3645">
          <cell r="B3645" t="str">
            <v>23-131-55-04</v>
          </cell>
          <cell r="C3645" t="str">
            <v>Spongiosameissel, geb., Si., 5mm, 24,5cm</v>
          </cell>
          <cell r="D3645" t="str">
            <v>Spongiosa  gouge, cvd., si., 5mm, 24.5cm</v>
          </cell>
        </row>
        <row r="3646">
          <cell r="B3646" t="str">
            <v>23-131-60-04</v>
          </cell>
          <cell r="C3646" t="str">
            <v>Spongiosameissel, geb., Si.,10mm,  24,5cm</v>
          </cell>
          <cell r="D3646" t="str">
            <v>Spongiosa  gouge, cvd., si., 10mm, 24.5cm</v>
          </cell>
        </row>
        <row r="3647">
          <cell r="B3647" t="str">
            <v>23-131-65-04</v>
          </cell>
          <cell r="C3647" t="str">
            <v>Spongiosameissel, geb., Si.,15mm,  24,5cm</v>
          </cell>
          <cell r="D3647" t="str">
            <v>Spongiosa  gouge, cvd., si., 15mm, 24.5cm</v>
          </cell>
        </row>
        <row r="3648">
          <cell r="B3648" t="str">
            <v>23-132-04-04</v>
          </cell>
          <cell r="C3648" t="str">
            <v>Osteotom,  Mini-Lexer, Si., 4 mm, 18 cm</v>
          </cell>
          <cell r="D3648" t="str">
            <v>Osteotome, Mini-Lexer, si., 4 mm, 18 cm</v>
          </cell>
        </row>
        <row r="3649">
          <cell r="B3649" t="str">
            <v>23-132-06-04</v>
          </cell>
          <cell r="C3649" t="str">
            <v>Osteotom,  Mini-Lexer, Si., 6 mm, 18 cm</v>
          </cell>
          <cell r="D3649" t="str">
            <v>Osteotome, Mini-Lexer, si., 6 mm, 18 cm</v>
          </cell>
        </row>
        <row r="3650">
          <cell r="B3650" t="str">
            <v>23-132-08-04</v>
          </cell>
          <cell r="C3650" t="str">
            <v>Osteotom,  Mini-Lexer, Si., 8 mm, 18 cm</v>
          </cell>
          <cell r="D3650" t="str">
            <v>Osteotome, Mini-Lexer, si., 8 mm, 18 cm</v>
          </cell>
        </row>
        <row r="3651">
          <cell r="B3651" t="str">
            <v>23-132-10-04</v>
          </cell>
          <cell r="C3651" t="str">
            <v>Osteotom,  Mini-Lexer, Si., 10 mm, 18 c m</v>
          </cell>
          <cell r="D3651" t="str">
            <v>Osteotome, Mini-Lexer, si., 10 mm, 18 cm</v>
          </cell>
        </row>
        <row r="3652">
          <cell r="B3652" t="str">
            <v>23-132-12-04</v>
          </cell>
          <cell r="C3652" t="str">
            <v>Osteotom,  Mini-Lexer, Si., 12 mm, 18 cm</v>
          </cell>
          <cell r="D3652" t="str">
            <v>Osteotome, Mini-Lexer, si., 12 mm, 18 cm</v>
          </cell>
        </row>
        <row r="3653">
          <cell r="B3653" t="str">
            <v>23-133-04-04</v>
          </cell>
          <cell r="C3653" t="str">
            <v>Hohlmeissel, Mini-Lexer, Si., 4mm, 18cm</v>
          </cell>
          <cell r="D3653" t="str">
            <v>Gouge, Mini-Lexer, si., 4 mm, 18 cm</v>
          </cell>
        </row>
        <row r="3654">
          <cell r="B3654" t="str">
            <v>23-133-06-04</v>
          </cell>
          <cell r="C3654" t="str">
            <v>Hohlmeissel, Mini-Lexer, Si., 6mm, 18cm</v>
          </cell>
          <cell r="D3654" t="str">
            <v>Gouge, Mini-Lexer, si., 6 mm, 18 cm</v>
          </cell>
        </row>
        <row r="3655">
          <cell r="B3655" t="str">
            <v>23-133-08-04</v>
          </cell>
          <cell r="C3655" t="str">
            <v>Hohlmeissel, Mini-Lexer, Si., 8mm, 18cm</v>
          </cell>
          <cell r="D3655" t="str">
            <v>Gouge, Mini-Lexer, si., 8 mm, 18 cm</v>
          </cell>
        </row>
        <row r="3656">
          <cell r="B3656" t="str">
            <v>23-133-10-04</v>
          </cell>
          <cell r="C3656" t="str">
            <v>Hohlmeissel, Mini-Lexer, Si., 10mm, 18cm</v>
          </cell>
          <cell r="D3656" t="str">
            <v>Gouge, Mini-Lexer, si., 10 mm, 18 cm</v>
          </cell>
        </row>
        <row r="3657">
          <cell r="B3657" t="str">
            <v>23-133-12-04</v>
          </cell>
          <cell r="C3657" t="str">
            <v>Hohlmeissel, Mini-Lexer, Si., 12mm, 18cm</v>
          </cell>
          <cell r="D3657" t="str">
            <v>Gouge, Mini-Lexer, si., 12 mm, 18 cm</v>
          </cell>
        </row>
        <row r="3658">
          <cell r="B3658" t="str">
            <v>23-134-05-04</v>
          </cell>
          <cell r="C3658" t="str">
            <v>Osteotom,  Lexer, Si., 5 mm, 22 cm</v>
          </cell>
          <cell r="D3658" t="str">
            <v>Osteotome, Lexer, si., 5 mm, 22 cm</v>
          </cell>
        </row>
        <row r="3659">
          <cell r="B3659" t="str">
            <v>23-134-07-04</v>
          </cell>
          <cell r="C3659" t="str">
            <v>Osteotom,  Lexer, Si., 7 mm, 22 cm</v>
          </cell>
          <cell r="D3659" t="str">
            <v>Osteotome, Lexer, si., 7 mm, 22 cm</v>
          </cell>
        </row>
        <row r="3660">
          <cell r="B3660" t="str">
            <v>23-134-10-04</v>
          </cell>
          <cell r="C3660" t="str">
            <v>Osteotom,  Lexer, Si., 10 mm, 22 cm</v>
          </cell>
          <cell r="D3660" t="str">
            <v>Osteotome, Lexer, si., 10 mm, 22 cm</v>
          </cell>
        </row>
        <row r="3661">
          <cell r="B3661" t="str">
            <v>23-134-15-04</v>
          </cell>
          <cell r="C3661" t="str">
            <v>Osteotom,  Lexer, Si., 15 mm, 22 cm</v>
          </cell>
          <cell r="D3661" t="str">
            <v>Osteotome, Lexer, si., 15 mm, 22 cm</v>
          </cell>
        </row>
        <row r="3662">
          <cell r="B3662" t="str">
            <v>23-134-20-04</v>
          </cell>
          <cell r="C3662" t="str">
            <v>Osteotom,  Lexer, Si., 20 mm, 22 cm</v>
          </cell>
          <cell r="D3662" t="str">
            <v>Osteotome, Lexer, si., 20 mm, 22 cm</v>
          </cell>
        </row>
        <row r="3663">
          <cell r="B3663" t="str">
            <v>23-134-25-04</v>
          </cell>
          <cell r="C3663" t="str">
            <v>Osteotom,  Lexer, Si., 25 mm, 22 cm</v>
          </cell>
          <cell r="D3663" t="str">
            <v>Osteotome, Lexer, si., 25 mm, 22 cm</v>
          </cell>
        </row>
        <row r="3664">
          <cell r="B3664" t="str">
            <v>23-134-30-04</v>
          </cell>
          <cell r="C3664" t="str">
            <v>Osteotom,  Lexer, Si., 30 mm, 22 cm</v>
          </cell>
          <cell r="D3664" t="str">
            <v>Osteotome, Lexer, si., 30 mm, 22 cm</v>
          </cell>
        </row>
        <row r="3665">
          <cell r="B3665" t="str">
            <v>23-135-05-04</v>
          </cell>
          <cell r="C3665" t="str">
            <v>Hohlmeissel, Lexer, Si., 5 mm, 22 cm</v>
          </cell>
          <cell r="D3665" t="str">
            <v>Gouge, Lexer, si., 5 mm, 22 cm</v>
          </cell>
        </row>
        <row r="3666">
          <cell r="B3666" t="str">
            <v>23-135-07-04</v>
          </cell>
          <cell r="C3666" t="str">
            <v>Hohlmeissel, Lexer, Si., 7 mm, 22 cm</v>
          </cell>
          <cell r="D3666" t="str">
            <v>Gouge, Lexer, si., 7 mm, 22 cm</v>
          </cell>
        </row>
        <row r="3667">
          <cell r="B3667" t="str">
            <v>23-135-10-04</v>
          </cell>
          <cell r="C3667" t="str">
            <v>Hohlmeissel, Lexer, Si., 10 mm, 22 cm</v>
          </cell>
          <cell r="D3667" t="str">
            <v>Gouge, Lexer, si., 10 mm, 22 cm</v>
          </cell>
        </row>
        <row r="3668">
          <cell r="B3668" t="str">
            <v>23-135-15-04</v>
          </cell>
          <cell r="C3668" t="str">
            <v>Hohlmeissel, Lexer, Si., 15 mm, 22 cm</v>
          </cell>
          <cell r="D3668" t="str">
            <v>Gouge, Lexer, si., 15 mm, 22 cm</v>
          </cell>
        </row>
        <row r="3669">
          <cell r="B3669" t="str">
            <v>23-135-20-04</v>
          </cell>
          <cell r="C3669" t="str">
            <v>Hohlmeissel, Lexer, Si., 20 mm, 22 cm</v>
          </cell>
          <cell r="D3669" t="str">
            <v>Gouge, Lexer, si., 20 mm, 22 cm</v>
          </cell>
        </row>
        <row r="3670">
          <cell r="B3670" t="str">
            <v>23-135-25-04</v>
          </cell>
          <cell r="C3670" t="str">
            <v>Hohlmeissel, Lexer, Si., 25 mm, 22 cm</v>
          </cell>
          <cell r="D3670" t="str">
            <v>Gouge, Lexer, si., 25 mm, 22 cm</v>
          </cell>
        </row>
        <row r="3671">
          <cell r="B3671" t="str">
            <v>23-135-30-04</v>
          </cell>
          <cell r="C3671" t="str">
            <v>Hohlmeissel, Lexer, Si., 30 mm, 22 cm</v>
          </cell>
          <cell r="D3671" t="str">
            <v>Gouge, Lexer, si., 30 mm, 22 cm</v>
          </cell>
        </row>
        <row r="3672">
          <cell r="B3672" t="str">
            <v>23-136-02-07</v>
          </cell>
          <cell r="C3672" t="str">
            <v>OSTEOTOM, MINI-LAMBOTTE, 2 MM, 12,5 CM</v>
          </cell>
          <cell r="D3672" t="str">
            <v>OSTEOTOME, MINI-LAMBOTTE, 2 MM, 12.5 CM</v>
          </cell>
        </row>
        <row r="3673">
          <cell r="B3673" t="str">
            <v>23-136-03-07</v>
          </cell>
          <cell r="C3673" t="str">
            <v>OSTEOTOM, MINI-LAMBOTTE, 3 MM, 12,5 CM</v>
          </cell>
          <cell r="D3673" t="str">
            <v>OSTEOTOME, MINI-LAMBOTTE, 3 MM, 12.5 CM</v>
          </cell>
        </row>
        <row r="3674">
          <cell r="B3674" t="str">
            <v>23-136-04-07</v>
          </cell>
          <cell r="C3674" t="str">
            <v>OSTEOTOM, MINI-LAMBOTTE, 4 MM, 12,5 CM</v>
          </cell>
          <cell r="D3674" t="str">
            <v>OSTEOTOME, MINI-LAMBOTTE, 4 MM, 12.5 CM</v>
          </cell>
        </row>
        <row r="3675">
          <cell r="B3675" t="str">
            <v>23-136-06-07</v>
          </cell>
          <cell r="C3675" t="str">
            <v>OSTEOTOM, MINI-LAMBOTTE, 6 MM, 12,5 CM</v>
          </cell>
          <cell r="D3675" t="str">
            <v>OSTEOTOME, MINI-LAMBOTTE, 6 MM, 12.5 CM</v>
          </cell>
        </row>
        <row r="3676">
          <cell r="B3676" t="str">
            <v>23-136-08-07</v>
          </cell>
          <cell r="C3676" t="str">
            <v>OSTEOTOM, MINI-LAMBOTTE, 8 MM, 12,5 CM</v>
          </cell>
          <cell r="D3676" t="str">
            <v>OSTEOTOME, MINI-LAMBOTTE, 8 MM, 12.5 CM</v>
          </cell>
        </row>
        <row r="3677">
          <cell r="B3677" t="str">
            <v>23-136-10-07</v>
          </cell>
          <cell r="C3677" t="str">
            <v>OSTEOTOM, MINI-LAMBOTTE, 10 MM, 12,5 CM</v>
          </cell>
          <cell r="D3677" t="str">
            <v>OSTEOTOME, MINI-LAMBOTTE, 10 MM, 12.5 CM</v>
          </cell>
        </row>
        <row r="3678">
          <cell r="B3678" t="str">
            <v>23-136-12-07</v>
          </cell>
          <cell r="C3678" t="str">
            <v>OSTEOTOM, MINI-LAMBOTTE, 12 MM, 12,5 CM</v>
          </cell>
          <cell r="D3678" t="str">
            <v>OSTEOTOME, MINI-LAMBOTTE, 12 MM, 12.5 CM</v>
          </cell>
        </row>
        <row r="3679">
          <cell r="B3679" t="str">
            <v>23-136-15-07</v>
          </cell>
          <cell r="C3679" t="str">
            <v>OSTEOTOM, MINI-LAMBOTTE, 15 MM, 12,5 CM</v>
          </cell>
          <cell r="D3679" t="str">
            <v>OSTEOTOME, MINI-LAMBOTTE, 15 MM, 12.5 CM</v>
          </cell>
        </row>
        <row r="3680">
          <cell r="B3680" t="str">
            <v>23-136-53-07</v>
          </cell>
          <cell r="C3680" t="str">
            <v>OSTEOTOM, MINI-LAMBOTTE, 3 MM, 17 CM</v>
          </cell>
          <cell r="D3680" t="str">
            <v>OSTEOTOME, MINI-LAMBOTTE, 3 MM, 17 CM</v>
          </cell>
        </row>
        <row r="3681">
          <cell r="B3681" t="str">
            <v>23-136-54-07</v>
          </cell>
          <cell r="C3681" t="str">
            <v>OSTEOTOM, MINI-LAMBOTTE, 4 MM, 17 CM</v>
          </cell>
          <cell r="D3681" t="str">
            <v>OSTEOTOME, MINI-LAMBOTTE, 4 MM, 17 CM</v>
          </cell>
        </row>
        <row r="3682">
          <cell r="B3682" t="str">
            <v>23-136-56-07</v>
          </cell>
          <cell r="C3682" t="str">
            <v>OSTEOTOM, MINI-LAMBOTTE, 6 MM, 17 CM</v>
          </cell>
          <cell r="D3682" t="str">
            <v>OSTEOTOME, MINI-LAMBOTTE, 6 MM, 17 CM</v>
          </cell>
        </row>
        <row r="3683">
          <cell r="B3683" t="str">
            <v>23-136-58-07</v>
          </cell>
          <cell r="C3683" t="str">
            <v>OSTEOTOM, MINI-LAMBOTTE, 8 MM, 17 CM</v>
          </cell>
          <cell r="D3683" t="str">
            <v>OSTEOTOME, MINI-LAMBOTTE, 8 MM, 17 CM</v>
          </cell>
        </row>
        <row r="3684">
          <cell r="B3684" t="str">
            <v>23-136-60-07</v>
          </cell>
          <cell r="C3684" t="str">
            <v>OSTEOTOM, MINI-LAMBOTTE, 10 MM, 17 CM</v>
          </cell>
          <cell r="D3684" t="str">
            <v>OSTEOTOME, MINI-LAMBOTTE, 10 MM, 17 CM</v>
          </cell>
        </row>
        <row r="3685">
          <cell r="B3685" t="str">
            <v>23-136-62-07</v>
          </cell>
          <cell r="C3685" t="str">
            <v>OSTEOTOM, MINI-LAMBOTTE, 12 MM, 17 CM</v>
          </cell>
          <cell r="D3685" t="str">
            <v>OSTEOTOME, MINI-LAMBOTTE, 12 MM, 17 CM</v>
          </cell>
        </row>
        <row r="3686">
          <cell r="B3686" t="str">
            <v>23-136-65-07</v>
          </cell>
          <cell r="C3686" t="str">
            <v>OSTEOTOM, MINI-LAMBOTTE, 15 MM, 17</v>
          </cell>
          <cell r="D3686" t="str">
            <v>OSTEOTOME, MINI-LAMBOTTE, 15 MM, 17 CM</v>
          </cell>
        </row>
        <row r="3687">
          <cell r="B3687" t="str">
            <v>23-138-04-07</v>
          </cell>
          <cell r="C3687" t="str">
            <v>Osteotom,  Lambotte,  4 mm, 24 cm</v>
          </cell>
          <cell r="D3687" t="str">
            <v>Osteotome, Lambotte,  4 mm, 24 cm</v>
          </cell>
        </row>
        <row r="3688">
          <cell r="B3688" t="str">
            <v>23-138-06-07</v>
          </cell>
          <cell r="C3688" t="str">
            <v>Osteotom,  Lambotte,  6 mm, 24 cm</v>
          </cell>
          <cell r="D3688" t="str">
            <v>Osteotome, Lambotte,  6 mm, 24 cm</v>
          </cell>
        </row>
        <row r="3689">
          <cell r="B3689" t="str">
            <v>23-138-08-07</v>
          </cell>
          <cell r="C3689" t="str">
            <v>Osteotom,  Lambotte,  8 mm, 24 cm</v>
          </cell>
          <cell r="D3689" t="str">
            <v>Osteotome, Lambotte,  8 mm, 24 cm</v>
          </cell>
        </row>
        <row r="3690">
          <cell r="B3690" t="str">
            <v>23-138-10-07</v>
          </cell>
          <cell r="C3690" t="str">
            <v>Osteotom,  Lambotte,  10 mm, 24 cm</v>
          </cell>
          <cell r="D3690" t="str">
            <v>Osteotome, Lambotte,  10 mm, 24 cm</v>
          </cell>
        </row>
        <row r="3691">
          <cell r="B3691" t="str">
            <v>23-138-13-07</v>
          </cell>
          <cell r="C3691" t="str">
            <v>Osteotom,  Lambotte,  13 mm, 24 cm</v>
          </cell>
          <cell r="D3691" t="str">
            <v>Osteotome, Lambotte,  13 mm, 24 cm</v>
          </cell>
        </row>
        <row r="3692">
          <cell r="B3692" t="str">
            <v>23-138-15-07</v>
          </cell>
          <cell r="C3692" t="str">
            <v>OSTEOTOM, LAMBOTTE, 15 MM, 24 CM</v>
          </cell>
          <cell r="D3692" t="str">
            <v>OSTEOTOME, LAMBOTTE, 15 MM, 24 CM</v>
          </cell>
        </row>
        <row r="3693">
          <cell r="B3693" t="str">
            <v>23-138-18-07</v>
          </cell>
          <cell r="C3693" t="str">
            <v>Osteotom,  Lambotte,  18 mm, 24 cm</v>
          </cell>
          <cell r="D3693" t="str">
            <v>Osteotome, Lambotte,  18 mm, 24 cm</v>
          </cell>
        </row>
        <row r="3694">
          <cell r="B3694" t="str">
            <v>23-138-20-07</v>
          </cell>
          <cell r="C3694" t="str">
            <v>OSTEOTOM, LAMBOTTE, 20 MM, 24 CM</v>
          </cell>
          <cell r="D3694" t="str">
            <v>OSTEOTOME, LAMBOTTE, 20 MM, 24 CM</v>
          </cell>
        </row>
        <row r="3695">
          <cell r="B3695" t="str">
            <v>23-138-25-07</v>
          </cell>
          <cell r="C3695" t="str">
            <v>OSTEOTOM, LAMBOTTE, 25 MM, 24 CM</v>
          </cell>
          <cell r="D3695" t="str">
            <v>OSTEOTOME, LAMBOTTE, 25 MM, 24 CM</v>
          </cell>
        </row>
        <row r="3696">
          <cell r="B3696" t="str">
            <v>23-138-30-07</v>
          </cell>
          <cell r="C3696" t="str">
            <v>OSTEOTOM, LAMBOTTE, 30 MM, 24 CM</v>
          </cell>
          <cell r="D3696" t="str">
            <v>OSTEOTOME, LAMBOTTE, 30 MM, 24 CM</v>
          </cell>
        </row>
        <row r="3697">
          <cell r="B3697" t="str">
            <v>23-138-38-07</v>
          </cell>
          <cell r="C3697" t="str">
            <v>OSTEOTOM, LAMBOTTE, 38 MM, 24 CM</v>
          </cell>
          <cell r="D3697" t="str">
            <v>OSTEOTOME, LAMBOTTE, 38 MM, 24 CM</v>
          </cell>
        </row>
        <row r="3698">
          <cell r="B3698" t="str">
            <v>23-138-44-07</v>
          </cell>
          <cell r="C3698" t="str">
            <v>OSTEOTOM, LAMBOTTE, 44 MM, 24 CM</v>
          </cell>
          <cell r="D3698" t="str">
            <v>OSTEOTOME, LAMBOTTE, 44 MM, 24 CM</v>
          </cell>
        </row>
        <row r="3699">
          <cell r="B3699" t="str">
            <v>23-138-50-07</v>
          </cell>
          <cell r="C3699" t="str">
            <v>OSTEOTOM, LAMBOTTE, 50 MM, 24 CM</v>
          </cell>
          <cell r="D3699" t="str">
            <v>OSTEOTOME, LAMBOTTE, 50 MM, 24 CM</v>
          </cell>
        </row>
        <row r="3700">
          <cell r="B3700" t="str">
            <v>23-139-04-07</v>
          </cell>
          <cell r="C3700" t="str">
            <v>Osteotom,  Lambotte,  geb., 4 mm, 24 cm</v>
          </cell>
          <cell r="D3700" t="str">
            <v>Osteotome, Lambotte,  cvd., 4 mm, 24 cm</v>
          </cell>
        </row>
        <row r="3701">
          <cell r="B3701" t="str">
            <v>23-139-06-07</v>
          </cell>
          <cell r="C3701" t="str">
            <v>Osteotom,  Lambotte,  geb., 6 mm, 24 cm</v>
          </cell>
          <cell r="D3701" t="str">
            <v>Osteotome, Lambotte,  cvd., 6 mm, 24 cm</v>
          </cell>
        </row>
        <row r="3702">
          <cell r="B3702" t="str">
            <v>23-139-08-07</v>
          </cell>
          <cell r="C3702" t="str">
            <v>Osteotom,  Lambotte,  geb., 8 mm, 24 cm</v>
          </cell>
          <cell r="D3702" t="str">
            <v>Osteotome, Lambotte,  cvd., 8 mm, 24 cm</v>
          </cell>
        </row>
        <row r="3703">
          <cell r="B3703" t="str">
            <v>23-139-10-07</v>
          </cell>
          <cell r="C3703" t="str">
            <v>Osteotom,  Lambotte,  geb., 10 mm, 24 cm</v>
          </cell>
          <cell r="D3703" t="str">
            <v>Osteotome, Lambotte,  cvd., 10 mm, 24 cm</v>
          </cell>
        </row>
        <row r="3704">
          <cell r="B3704" t="str">
            <v>23-139-13-07</v>
          </cell>
          <cell r="C3704" t="str">
            <v>Osteotom,  Lambotte,  geb., 13 mm, 24 cm</v>
          </cell>
          <cell r="D3704" t="str">
            <v>Osteotome, Lambotte,  cvd., 13 mm, 24 cm</v>
          </cell>
        </row>
        <row r="3705">
          <cell r="B3705" t="str">
            <v>23-139-15-07</v>
          </cell>
          <cell r="C3705" t="str">
            <v>OSTEOTOM, LAMBOTTE, GEB., 15 MM, 24 CM</v>
          </cell>
          <cell r="D3705" t="str">
            <v>OSTEOTOME, LAMBOTTE, CVD., 15 MM, 24 CM</v>
          </cell>
        </row>
        <row r="3706">
          <cell r="B3706" t="str">
            <v>23-139-18-07</v>
          </cell>
          <cell r="C3706" t="str">
            <v>Osteotom,  Lambotte,  geb., 18 mm, 24 cm</v>
          </cell>
          <cell r="D3706" t="str">
            <v>Osteotome, Lambotte,  cvd., 18 mm, 24 cm</v>
          </cell>
        </row>
        <row r="3707">
          <cell r="B3707" t="str">
            <v>23-139-20-07</v>
          </cell>
          <cell r="C3707" t="str">
            <v>OSTEOTOM, LAMBOTTE, GEB., 20 MM, 24 CM</v>
          </cell>
          <cell r="D3707" t="str">
            <v>OSTEOTOME, LAMBOTTE, CVD., 20 MM, 24 CM</v>
          </cell>
        </row>
        <row r="3708">
          <cell r="B3708" t="str">
            <v>23-139-25-07</v>
          </cell>
          <cell r="C3708" t="str">
            <v>OSTEOTOM, LAMBOTTE, GEB., 25 MM, 24 CM</v>
          </cell>
          <cell r="D3708" t="str">
            <v>OSTEOTOME, LAMBOTTE, CVD., 25 MM, 24 CM</v>
          </cell>
        </row>
        <row r="3709">
          <cell r="B3709" t="str">
            <v>23-139-30-07</v>
          </cell>
          <cell r="C3709" t="str">
            <v>OSTEOTOM, LAMBOTTE, GEB., 30 MM, 24 CM</v>
          </cell>
          <cell r="D3709" t="str">
            <v>OSTEOTOME, LAMBOTTE, CVD., 30 MM, 24 CM</v>
          </cell>
        </row>
        <row r="3710">
          <cell r="B3710" t="str">
            <v>23-139-38-07</v>
          </cell>
          <cell r="C3710" t="str">
            <v>OSTEOTOM, LAMBOTTE, GEB., 38 MM, 24 CM</v>
          </cell>
          <cell r="D3710" t="str">
            <v>OSTEOTOME, LAMBOTTE, CVD., 38 MM, 24 CM</v>
          </cell>
        </row>
        <row r="3711">
          <cell r="B3711" t="str">
            <v>23-139-44-07</v>
          </cell>
          <cell r="C3711" t="str">
            <v>OSTEOTOM, LAMBOTTE, GEB., 44 MM, 24 CM</v>
          </cell>
          <cell r="D3711" t="str">
            <v>OSTEOTOME, LAMBOTTE, CVD., 44 MM, 24 CM</v>
          </cell>
        </row>
        <row r="3712">
          <cell r="B3712" t="str">
            <v>23-139-50-07</v>
          </cell>
          <cell r="C3712" t="str">
            <v>OSTEOTOM, LAMBOTTE, GEB., 50 MM, 24 CM</v>
          </cell>
          <cell r="D3712" t="str">
            <v>OSTEOTOME, LAMBOTTE, CVD., 50 MM, 24 CM</v>
          </cell>
        </row>
        <row r="3713">
          <cell r="B3713" t="str">
            <v>23-154-06-07</v>
          </cell>
          <cell r="C3713" t="str">
            <v>OSTEOTOM, SMITH-PETERSEN, 6 MM, 20,5 CM</v>
          </cell>
          <cell r="D3713" t="str">
            <v>OSTEOTOME, SMITH-PET., 6 MM, 20.5 CM</v>
          </cell>
        </row>
        <row r="3714">
          <cell r="B3714" t="str">
            <v>23-154-09-07</v>
          </cell>
          <cell r="C3714" t="str">
            <v>OSTEOTOM, SMITH-PETERSEN, 9 MM, 20,5 CM</v>
          </cell>
          <cell r="D3714" t="str">
            <v>OSTEOTOME, SMITH-PET., 9 MM, 20.5 CM</v>
          </cell>
        </row>
        <row r="3715">
          <cell r="B3715" t="str">
            <v>23-154-13-07</v>
          </cell>
          <cell r="C3715" t="str">
            <v>OSTEOTOM, SMITH-PETERSEN, 13 MM, 20,5 CM</v>
          </cell>
          <cell r="D3715" t="str">
            <v>OSTEOTOME, SMITH-PET., 13 MM, 20.5 CM</v>
          </cell>
        </row>
        <row r="3716">
          <cell r="B3716" t="str">
            <v>23-154-16-07</v>
          </cell>
          <cell r="C3716" t="str">
            <v>OSTEOTOM, SMITH-PETERSEN, 16 MM, 20,5 CM</v>
          </cell>
          <cell r="D3716" t="str">
            <v>OSTEOTOME, SMITH-PET., 16 MM, 20.5 CM</v>
          </cell>
        </row>
        <row r="3717">
          <cell r="B3717" t="str">
            <v>23-154-19-07</v>
          </cell>
          <cell r="C3717" t="str">
            <v>OSTEOTOM, SMITH-PETERSEN, 19 MM, 20,5 CM</v>
          </cell>
          <cell r="D3717" t="str">
            <v>OSTEOTOME, SMITH-PET., 19 MM, 20.5 CM</v>
          </cell>
        </row>
        <row r="3718">
          <cell r="B3718" t="str">
            <v>23-154-25-07</v>
          </cell>
          <cell r="C3718" t="str">
            <v>OSTEOTOM, SMITH-PETERSEN, 25 MM, 20,5 CM</v>
          </cell>
          <cell r="D3718" t="str">
            <v>OSTEOTOME, SMITH-PET., 25 MM, 20.5 CM</v>
          </cell>
        </row>
        <row r="3719">
          <cell r="B3719" t="str">
            <v>23-155-06-07</v>
          </cell>
          <cell r="C3719" t="str">
            <v>OSTEOTOM, SMITH-P.,  GEB., 6 MM, 20,5 CM</v>
          </cell>
          <cell r="D3719" t="str">
            <v>OSTEOTOME, SMITH-P,  CVD., 6 MM, 20.5 CM</v>
          </cell>
        </row>
        <row r="3720">
          <cell r="B3720" t="str">
            <v>23-155-09-07</v>
          </cell>
          <cell r="C3720" t="str">
            <v>OSTEOTOM, SMITH-P.,  GEB., 9 MM, 20,5 CM</v>
          </cell>
          <cell r="D3720" t="str">
            <v>OSTEOTOME, SMITH-P,  CVD., 9 MM, 20.5 CM</v>
          </cell>
        </row>
        <row r="3721">
          <cell r="B3721" t="str">
            <v>23-155-13-07</v>
          </cell>
          <cell r="C3721" t="str">
            <v>OSTEOTOM, SMITH-P.,  GEB., 13 MM, 20,5 CM</v>
          </cell>
          <cell r="D3721" t="str">
            <v>OSTEOTOME, SMITH-P,  CVD., 13 MM, 20.5 CM</v>
          </cell>
        </row>
        <row r="3722">
          <cell r="B3722" t="str">
            <v>23-155-16-07</v>
          </cell>
          <cell r="C3722" t="str">
            <v>OSTEOTOM, SMITH-P.,  GEB., 16 MM, 20,5 CM</v>
          </cell>
          <cell r="D3722" t="str">
            <v>OSTEOTOME, SMITH-P,  CVD., 16 MM, 20.5 CM</v>
          </cell>
        </row>
        <row r="3723">
          <cell r="B3723" t="str">
            <v>23-155-19-07</v>
          </cell>
          <cell r="C3723" t="str">
            <v>OSTEOTOM, SMITH-P.,  GEB., 19 MM, 20,5 CM</v>
          </cell>
          <cell r="D3723" t="str">
            <v>OSTEOTOME, SMITH-P,  CVD., 19 MM, 20.5 CM</v>
          </cell>
        </row>
        <row r="3724">
          <cell r="B3724" t="str">
            <v>23-155-25-07</v>
          </cell>
          <cell r="C3724" t="str">
            <v>OSTEOTOM, SMITH-P.,  GEB., 25 MM, 20,5 CM</v>
          </cell>
          <cell r="D3724" t="str">
            <v>OSTEOTOME, SMITH-P,  CVD., 25 MM, 20.5 CM</v>
          </cell>
        </row>
        <row r="3725">
          <cell r="B3725" t="str">
            <v>23-160-01-04</v>
          </cell>
          <cell r="C3725" t="str">
            <v>Hohlmeiss., Cobb, ger., Si., 6 mm, 28 cm</v>
          </cell>
          <cell r="D3725" t="str">
            <v>Gouge, Cobb, str., si., 6 mm, 28 cm</v>
          </cell>
        </row>
        <row r="3726">
          <cell r="B3726" t="str">
            <v>23-160-02-04</v>
          </cell>
          <cell r="C3726" t="str">
            <v>Hohlmeiss., Cobb, lt.geb, Si., 6mm, 28cm</v>
          </cell>
          <cell r="D3726" t="str">
            <v>Gouge, Cobb, slight cvd., si., 6mm, 28cm</v>
          </cell>
        </row>
        <row r="3727">
          <cell r="B3727" t="str">
            <v>23-160-03-04</v>
          </cell>
          <cell r="C3727" t="str">
            <v>Hohlmeiss., Cobb, st.geb, Si., 6mm, 28cm</v>
          </cell>
          <cell r="D3727" t="str">
            <v>Gouge, Cobb, strong cvd., si., 6mm, 28cm</v>
          </cell>
        </row>
        <row r="3728">
          <cell r="B3728" t="str">
            <v>23-160-04-04</v>
          </cell>
          <cell r="C3728" t="str">
            <v>Hohlmeiss., Cobb, rü.geb, Si., 6mm, 28cm</v>
          </cell>
          <cell r="D3728" t="str">
            <v>Gouge, Cobb, backw.cvd., si., 6mm, 28cm</v>
          </cell>
        </row>
        <row r="3729">
          <cell r="B3729" t="str">
            <v>23-162-03-07</v>
          </cell>
          <cell r="C3729" t="str">
            <v>OSTEOTOM, HOKE, 3 MM, 17 CM</v>
          </cell>
          <cell r="D3729" t="str">
            <v>OSTEOTOME, HOKE, 3 MM, 17 CM</v>
          </cell>
        </row>
        <row r="3730">
          <cell r="B3730" t="str">
            <v>23-162-05-07</v>
          </cell>
          <cell r="C3730" t="str">
            <v>OSTEOTOM, HOKE, 5 MM, 17 CM</v>
          </cell>
          <cell r="D3730" t="str">
            <v>OSTEOTOME, HOKE, 5 MM, 17 CM</v>
          </cell>
        </row>
        <row r="3731">
          <cell r="B3731" t="str">
            <v>23-162-06-07</v>
          </cell>
          <cell r="C3731" t="str">
            <v>OSTEOTOM, HOKE, 6 MM, 17 CM</v>
          </cell>
          <cell r="D3731" t="str">
            <v>OSTEOTOME, HOKE, 6 MM, 17 CM</v>
          </cell>
        </row>
        <row r="3732">
          <cell r="B3732" t="str">
            <v>23-162-08-07</v>
          </cell>
          <cell r="C3732" t="str">
            <v>OSTEOTOM, HOKE, 8 MM, 17 CM</v>
          </cell>
          <cell r="D3732" t="str">
            <v>OSTEOTOME, HOKE, 8 MM, 17 CM</v>
          </cell>
        </row>
        <row r="3733">
          <cell r="B3733" t="str">
            <v>23-162-09-07</v>
          </cell>
          <cell r="C3733" t="str">
            <v>OSTEOTOM, HOKE, 9 MM, 17 CM</v>
          </cell>
          <cell r="D3733" t="str">
            <v>OSTEOTOME, HOKE, 9 MM, 17 CM</v>
          </cell>
        </row>
        <row r="3734">
          <cell r="B3734" t="str">
            <v>23-170-06-07</v>
          </cell>
          <cell r="C3734" t="str">
            <v>OSTEOTOM, HIBBS, 6 MM, 24,5 CM</v>
          </cell>
          <cell r="D3734" t="str">
            <v>OSTEOTOME, HIBBS, 6 MM, 24.5 CM</v>
          </cell>
        </row>
        <row r="3735">
          <cell r="B3735" t="str">
            <v>23-170-13-07</v>
          </cell>
          <cell r="C3735" t="str">
            <v>OSTEOTOM, HIBBS, 13 MM, 24,5 CM</v>
          </cell>
          <cell r="D3735" t="str">
            <v>OSTEOTOME, HIBBS, 13 MM, 24.5 CM</v>
          </cell>
        </row>
        <row r="3736">
          <cell r="B3736" t="str">
            <v>23-170-19-07</v>
          </cell>
          <cell r="C3736" t="str">
            <v>OSTEOTOM, HIBBS, 19 MM, 24,5 CM</v>
          </cell>
          <cell r="D3736" t="str">
            <v>OSTEOTOME, HIBBS, 19 MM, 24.5 CM</v>
          </cell>
        </row>
        <row r="3737">
          <cell r="B3737" t="str">
            <v>23-170-25-07</v>
          </cell>
          <cell r="C3737" t="str">
            <v>OSTEOTOM, HIBBS, 25 MM, 24,5 CM</v>
          </cell>
          <cell r="D3737" t="str">
            <v>OSTEOTOME, HIBBS, 25 MM, 24.5 CM</v>
          </cell>
        </row>
        <row r="3738">
          <cell r="B3738" t="str">
            <v>23-170-32-07</v>
          </cell>
          <cell r="C3738" t="str">
            <v>OSTEOTOM, HIBBS, 32 MM, 24,5 CM</v>
          </cell>
          <cell r="D3738" t="str">
            <v>OSTEOTOME, HIBBS, 32 MM, 24.5 CM</v>
          </cell>
        </row>
        <row r="3739">
          <cell r="B3739" t="str">
            <v>23-172-06-07</v>
          </cell>
          <cell r="C3739" t="str">
            <v>FLACHMEISSEL, HIBBS, GER., 6 MM, 24,5 CM</v>
          </cell>
          <cell r="D3739" t="str">
            <v>CHISEL, HIBBS, STR., 6 MM, 24.5 CM</v>
          </cell>
        </row>
        <row r="3740">
          <cell r="B3740" t="str">
            <v>23-172-13-07</v>
          </cell>
          <cell r="C3740" t="str">
            <v>FLACHMEISSEL, HIBBS, GER., 13 MM, 24,5CM</v>
          </cell>
          <cell r="D3740" t="str">
            <v>CHISEL, HIBBS, STR., 13 MM, 24.5CM</v>
          </cell>
        </row>
        <row r="3741">
          <cell r="B3741" t="str">
            <v>23-172-19-07</v>
          </cell>
          <cell r="C3741" t="str">
            <v>FLACHMEISSEL, HIBBS, GER., 19 MM, 24,5CM</v>
          </cell>
          <cell r="D3741" t="str">
            <v>CHISEL, HIBBS, STR., 19 MM, 24.5CM</v>
          </cell>
        </row>
        <row r="3742">
          <cell r="B3742" t="str">
            <v>23-172-25-07</v>
          </cell>
          <cell r="C3742" t="str">
            <v>FLACHMEISSEL, HIBBS, GER., 25 MM, 24,5CM</v>
          </cell>
          <cell r="D3742" t="str">
            <v>CHISEL, HIBBS, STR., 25 MM, 24.5CM</v>
          </cell>
        </row>
        <row r="3743">
          <cell r="B3743" t="str">
            <v>23-172-32-07</v>
          </cell>
          <cell r="C3743" t="str">
            <v>FLACHMEISSEL, HIBBS, GER., 32 MM, 24,5CM</v>
          </cell>
          <cell r="D3743" t="str">
            <v>CHISEL, HIBBS, STR., 32 MM, 24.5CM</v>
          </cell>
        </row>
        <row r="3744">
          <cell r="B3744" t="str">
            <v>23-173-06-07</v>
          </cell>
          <cell r="C3744" t="str">
            <v>OSTEOTOM, HIBBS, GEB., 6 MM, 24,5 CM</v>
          </cell>
          <cell r="D3744" t="str">
            <v>OSTEOTOME, HIBBS, CVD., 6 MM, 24.5 CM</v>
          </cell>
        </row>
        <row r="3745">
          <cell r="B3745" t="str">
            <v>23-173-13-07</v>
          </cell>
          <cell r="C3745" t="str">
            <v>OSTEOTOM, HIBBS, GEB., 13 MM, 24,5 CM</v>
          </cell>
          <cell r="D3745" t="str">
            <v>OSTEOTOME, HIBBS, CVD., 13 MM, 24.5 CM</v>
          </cell>
        </row>
        <row r="3746">
          <cell r="B3746" t="str">
            <v>23-173-19-07</v>
          </cell>
          <cell r="C3746" t="str">
            <v>OSTEOTOM, HIBBS, GEB., 19 MM, 24,5 CM</v>
          </cell>
          <cell r="D3746" t="str">
            <v>OSTEOTOME, HIBBS, CVD., 19 MM, 24.5 CM</v>
          </cell>
        </row>
        <row r="3747">
          <cell r="B3747" t="str">
            <v>23-173-25-07</v>
          </cell>
          <cell r="C3747" t="str">
            <v>OSTEOTOM, HIBBS, GEB., 25 MM, 24,5 CM</v>
          </cell>
          <cell r="D3747" t="str">
            <v>OSTEOTOME, HIBBS, CVD., 25 MM, 24.5 CM</v>
          </cell>
        </row>
        <row r="3748">
          <cell r="B3748" t="str">
            <v>23-173-32-07</v>
          </cell>
          <cell r="C3748" t="str">
            <v>OSTEOTOM, HIBBS, GEB., 32 MM, 24,5 CM</v>
          </cell>
          <cell r="D3748" t="str">
            <v>OSTEOTOME, HIBBS, CVD., 32 MM, 24.5 CM</v>
          </cell>
        </row>
        <row r="3749">
          <cell r="B3749" t="str">
            <v>23-176-06-07</v>
          </cell>
          <cell r="C3749" t="str">
            <v>HOHLMEISSEL, HIBBS, GER., 6 MM, 24,5 CM</v>
          </cell>
          <cell r="D3749" t="str">
            <v>GOUGE, HIBBS, STR., 6 MM, 24.5 CM</v>
          </cell>
        </row>
        <row r="3750">
          <cell r="B3750" t="str">
            <v>23-176-13-07</v>
          </cell>
          <cell r="C3750" t="str">
            <v>HOHLMEISSEL, HIBBS, GER., 13 MM, 24,5 CM</v>
          </cell>
          <cell r="D3750" t="str">
            <v>GOUGE, HIBBS, STR., 13 MM, 24.5 CM</v>
          </cell>
        </row>
        <row r="3751">
          <cell r="B3751" t="str">
            <v>23-176-19-07</v>
          </cell>
          <cell r="C3751" t="str">
            <v>HOHLMEISSEL, HIBBS, GER., 19 MM, 24,5 CM</v>
          </cell>
          <cell r="D3751" t="str">
            <v>GOUGE, HIBBS, STR., 19 MM, 24.5 CM</v>
          </cell>
        </row>
        <row r="3752">
          <cell r="B3752" t="str">
            <v>23-176-25-07</v>
          </cell>
          <cell r="C3752" t="str">
            <v>HOHLMEISSEL, HIBBS, GER., 25 MM, 24,5 CM</v>
          </cell>
          <cell r="D3752" t="str">
            <v>GOUGE, HIBBS, STR., 25 MM, 24.5 CM</v>
          </cell>
        </row>
        <row r="3753">
          <cell r="B3753" t="str">
            <v>23-176-32-07</v>
          </cell>
          <cell r="C3753" t="str">
            <v>HOHLMEISSEL, HIBBS, GER., 32 MM, 24,5 CM</v>
          </cell>
          <cell r="D3753" t="str">
            <v>GOUGE, HIBBS, STR., 32 MM, 24.5 CM</v>
          </cell>
        </row>
        <row r="3754">
          <cell r="B3754" t="str">
            <v>23-177-06-07</v>
          </cell>
          <cell r="C3754" t="str">
            <v>HOHLMEISSEL, HIBBS, GEB., 6 MM, 24,5 CM</v>
          </cell>
          <cell r="D3754" t="str">
            <v>GOUGE, HIBBS, CVD., 6 MM, 24.5 CM</v>
          </cell>
        </row>
        <row r="3755">
          <cell r="B3755" t="str">
            <v>23-177-13-07</v>
          </cell>
          <cell r="C3755" t="str">
            <v>HOHLMEISSEL, HIBBS, GEB., 13 MM, 24,5 CM</v>
          </cell>
          <cell r="D3755" t="str">
            <v>GOUGE, HIBBS, CVD., 13 MM, 24.5 CM</v>
          </cell>
        </row>
        <row r="3756">
          <cell r="B3756" t="str">
            <v>23-177-19-07</v>
          </cell>
          <cell r="C3756" t="str">
            <v>HOHLMEISSEL, HIBBS, GEB., 19 MM, 24,5 CM</v>
          </cell>
          <cell r="D3756" t="str">
            <v>GOUGE, HIBBS, CVD., 19 MM, 24.5 CM</v>
          </cell>
        </row>
        <row r="3757">
          <cell r="B3757" t="str">
            <v>23-177-25-07</v>
          </cell>
          <cell r="C3757" t="str">
            <v>HOHLMEISSEL, HIBBS, GEB., 25 MM, 24,5 CM</v>
          </cell>
          <cell r="D3757" t="str">
            <v>GOUGE, HIBBS, CVD., 25 MM, 24.5 CM</v>
          </cell>
        </row>
        <row r="3758">
          <cell r="B3758" t="str">
            <v>23-177-32-07</v>
          </cell>
          <cell r="C3758" t="str">
            <v>HOHLMEISSEL, HIBBS, GEB., 32 MM, 24,5 CM</v>
          </cell>
          <cell r="D3758" t="str">
            <v>GOUGE, HIBBS, CVD., 32 MM, 24.5 CM</v>
          </cell>
        </row>
        <row r="3759">
          <cell r="B3759" t="str">
            <v>23-181-30-07</v>
          </cell>
          <cell r="C3759" t="str">
            <v>KNOCHENRASPEL, PUTTI, RUND, 30 CM</v>
          </cell>
          <cell r="D3759" t="str">
            <v>BONE RASP, PUTTI, ROUND, 30 CM</v>
          </cell>
        </row>
        <row r="3760">
          <cell r="B3760" t="str">
            <v>23-188-00-07</v>
          </cell>
          <cell r="C3760" t="str">
            <v>KNOCHENBIOPSIE-INSTRUMENT CHAMPY-O.S.U.</v>
          </cell>
          <cell r="D3760" t="str">
            <v>BONE BIOPSY-INSTRUMENT, CHAMPY-O.S.U.</v>
          </cell>
        </row>
        <row r="3761">
          <cell r="B3761" t="str">
            <v>23-190-01-01</v>
          </cell>
          <cell r="C3761" t="str">
            <v>KNOCHENBIOPSIE-INSTRUM., CHAMPY,  8 MM</v>
          </cell>
          <cell r="D3761" t="str">
            <v>BONE BIOPSY-INSTRUMENT, CHAMPY,  8 MM</v>
          </cell>
        </row>
        <row r="3762">
          <cell r="B3762" t="str">
            <v>23-190-02-01</v>
          </cell>
          <cell r="C3762" t="str">
            <v>KNOCHENBIOPSIE-INSTRUM., CHAMPY,  5 MM</v>
          </cell>
          <cell r="D3762" t="str">
            <v>BONE BIOPSY-INSTRUMENT, CHAMPY,  5 MM</v>
          </cell>
        </row>
        <row r="3763">
          <cell r="B3763" t="str">
            <v>23-190-05-07</v>
          </cell>
          <cell r="C3763" t="str">
            <v>SPONGIOSA-ENTNAHMEFRÄSE, 16 MM, 22,5 CM</v>
          </cell>
          <cell r="D3763" t="str">
            <v>SPONGIOSA-GRAFT REMOVER,  16 MM, 22.5 CM</v>
          </cell>
        </row>
        <row r="3764">
          <cell r="B3764" t="str">
            <v>23-190-06-07</v>
          </cell>
          <cell r="C3764" t="str">
            <v>SPONGIOSA-ENTNAHMEFRÄSE, 21 MM/ 22.5 CM</v>
          </cell>
          <cell r="D3764" t="str">
            <v>SPONGIOSA-GRAFT REMOVER,  21 MM/ 22.5 CM</v>
          </cell>
        </row>
        <row r="3765">
          <cell r="B3765" t="str">
            <v>23-192-00-71</v>
          </cell>
          <cell r="C3765" t="str">
            <v>CARPAL STICK L80MM/ST/STERIL</v>
          </cell>
          <cell r="D3765" t="str">
            <v>CARPAL STICK L80MM/ST/STERILE</v>
          </cell>
        </row>
        <row r="3766">
          <cell r="B3766" t="str">
            <v>23-197-03-04</v>
          </cell>
          <cell r="C3766" t="str">
            <v>Stössel, Caspar, Si., Ø 3 mm, 22 cm</v>
          </cell>
          <cell r="D3766" t="str">
            <v>Tamper, Caspar, si., Ø 3 mm, 22 cm</v>
          </cell>
        </row>
        <row r="3767">
          <cell r="B3767" t="str">
            <v>23-197-05-04</v>
          </cell>
          <cell r="C3767" t="str">
            <v>Stössel, Caspar, Si., Ø 5 mm, 22 cm</v>
          </cell>
          <cell r="D3767" t="str">
            <v>Tamper, Caspar, si., Ø 5 mm, 22 cm</v>
          </cell>
        </row>
        <row r="3768">
          <cell r="B3768" t="str">
            <v>23-197-08-04</v>
          </cell>
          <cell r="C3768" t="str">
            <v>Stössel, Caspar, Si., Ø 8 mm, 22 cm</v>
          </cell>
          <cell r="D3768" t="str">
            <v>Tamper, Caspar, si., Ø 8 mm, 22 cm</v>
          </cell>
        </row>
        <row r="3769">
          <cell r="B3769" t="str">
            <v>23-198-02-07</v>
          </cell>
          <cell r="C3769" t="str">
            <v>METALLSTÖSSEL, Ø 2 MM, 15,5 CM</v>
          </cell>
          <cell r="D3769" t="str">
            <v>TAMPER,  METAL, Ø 2 MM, 15.5 CM</v>
          </cell>
        </row>
        <row r="3770">
          <cell r="B3770" t="str">
            <v>23-198-03-07</v>
          </cell>
          <cell r="C3770" t="str">
            <v>METALLSTÖSSEL, Ø 3 MM, 15,5 CM</v>
          </cell>
          <cell r="D3770" t="str">
            <v>TAMPER,  METAL, Ø 3 MM, 15.5 CM</v>
          </cell>
        </row>
        <row r="3771">
          <cell r="B3771" t="str">
            <v>23-198-04-07</v>
          </cell>
          <cell r="C3771" t="str">
            <v>METALLSTÖSSEL, Ø 4 MM, 15,5 CM</v>
          </cell>
          <cell r="D3771" t="str">
            <v>TAMPER,  METAL, Ø 4 MM, 15.5 CM</v>
          </cell>
        </row>
        <row r="3772">
          <cell r="B3772" t="str">
            <v>23-198-05-07</v>
          </cell>
          <cell r="C3772" t="str">
            <v>METALLSTÖSSEL, Ø 5 MM, 15,5 CM</v>
          </cell>
          <cell r="D3772" t="str">
            <v>TAMPER,  METAL, Ø 5 MM, 15.5 CM</v>
          </cell>
        </row>
        <row r="3773">
          <cell r="B3773" t="str">
            <v>23-198-06-07</v>
          </cell>
          <cell r="C3773" t="str">
            <v>METALLSTÖSSEL, Ø 6 MM, 15,5 CM</v>
          </cell>
          <cell r="D3773" t="str">
            <v>TAMPER,  METAL, Ø 6 MM, 15.5 CM</v>
          </cell>
        </row>
        <row r="3774">
          <cell r="B3774" t="str">
            <v>23-198-08-07</v>
          </cell>
          <cell r="C3774" t="str">
            <v>METALLSTÖSSEL, Ø 8 MM, 15,5 CM</v>
          </cell>
          <cell r="D3774" t="str">
            <v>TAMPER,  METAL, Ø 8 MM, 15.5 CM</v>
          </cell>
        </row>
        <row r="3775">
          <cell r="B3775" t="str">
            <v>23-198-10-07</v>
          </cell>
          <cell r="C3775" t="str">
            <v>METALLSTÖSSEL, Ø 10 MM, 15,5 CM</v>
          </cell>
          <cell r="D3775" t="str">
            <v>TAMPER,  METAL, Ø 10 MM, 15.5 CM</v>
          </cell>
        </row>
        <row r="3776">
          <cell r="B3776" t="str">
            <v>23-199-12-04</v>
          </cell>
          <cell r="C3776" t="str">
            <v>Stössel, Caspar, Si., Ø 12 mm, 20 cm</v>
          </cell>
          <cell r="D3776" t="str">
            <v>Tamper, Caspar, si., Ø 12 mm, 20 cm</v>
          </cell>
        </row>
        <row r="3777">
          <cell r="B3777" t="str">
            <v>23-199-14-04</v>
          </cell>
          <cell r="C3777" t="str">
            <v>Stössel, Caspar, Si., Ø 14 mm, 20 cm</v>
          </cell>
          <cell r="D3777" t="str">
            <v>Tamper, Caspar, si., Ø 14 mm, 20 cm</v>
          </cell>
        </row>
        <row r="3778">
          <cell r="B3778" t="str">
            <v>23-199-16-04</v>
          </cell>
          <cell r="C3778" t="str">
            <v>Stössel, Caspar, Si., Ø 16 mm, 20 cm</v>
          </cell>
          <cell r="D3778" t="str">
            <v>Tamper, Caspar, si., Ø 16 mm, 20 cm</v>
          </cell>
        </row>
        <row r="3779">
          <cell r="B3779" t="str">
            <v>23-200-01-07</v>
          </cell>
          <cell r="C3779" t="str">
            <v>HAMMER,  WILLIGER,  275 GR., 24 CM</v>
          </cell>
          <cell r="D3779" t="str">
            <v>MALLET, WILLIGER,  275 GR., 24 CM</v>
          </cell>
        </row>
        <row r="3780">
          <cell r="B3780" t="str">
            <v>23-200-02-07</v>
          </cell>
          <cell r="C3780" t="str">
            <v>HAMMER,  WILLIGER,  320 GR., 24 CM</v>
          </cell>
          <cell r="D3780" t="str">
            <v>MALLET, WILLIGER,  320 GR., 24 CM</v>
          </cell>
        </row>
        <row r="3781">
          <cell r="B3781" t="str">
            <v>23-200-03-07</v>
          </cell>
          <cell r="C3781" t="str">
            <v>HAMMER,  WILLIGER,  340 GR., 24 CM</v>
          </cell>
          <cell r="D3781" t="str">
            <v>MALLET, WILLIGER,  340 GR., 24 CM</v>
          </cell>
        </row>
        <row r="3782">
          <cell r="B3782" t="str">
            <v>23-204-01-07</v>
          </cell>
          <cell r="C3782" t="str">
            <v>HAMMER,  DOYEN, 120 GR., 20,5 CM</v>
          </cell>
          <cell r="D3782" t="str">
            <v>MALLET, DOYEN, 120 GR., 20.5 CM</v>
          </cell>
        </row>
        <row r="3783">
          <cell r="B3783" t="str">
            <v>23-204-02-07</v>
          </cell>
          <cell r="C3783" t="str">
            <v>HAMMER,  DOYEN, 170 GR., 21 CM</v>
          </cell>
          <cell r="D3783" t="str">
            <v>MALLET, DOYEN, 170 GR., 21 CM</v>
          </cell>
        </row>
        <row r="3784">
          <cell r="B3784" t="str">
            <v>23-204-03-07</v>
          </cell>
          <cell r="C3784" t="str">
            <v>HAMMER,  DOYEN, 260 GR., 21,5 CM</v>
          </cell>
          <cell r="D3784" t="str">
            <v>MALLET, DOYEN, 260 GR., 21.5 CM</v>
          </cell>
        </row>
        <row r="3785">
          <cell r="B3785" t="str">
            <v>23-208-20-07</v>
          </cell>
          <cell r="C3785" t="str">
            <v>HAMMER,  COLLIN, 220 GR., Ø 30 MM, 20 CM</v>
          </cell>
          <cell r="D3785" t="str">
            <v>MALLET, COLLIN, 220 GR., Ø 30 MM, 20 CM</v>
          </cell>
        </row>
        <row r="3786">
          <cell r="B3786" t="str">
            <v>23-214-01-07</v>
          </cell>
          <cell r="C3786" t="str">
            <v>HAMMER,  LUCAE, 230 GR., Ø 19 MM, 19,5 CM</v>
          </cell>
          <cell r="D3786" t="str">
            <v>MALLET, LUCAE, 230 GR., Ø 19 MM, 19.5 CM</v>
          </cell>
        </row>
        <row r="3787">
          <cell r="B3787" t="str">
            <v>23-214-02-07</v>
          </cell>
          <cell r="C3787" t="str">
            <v>HAMMER,  LUCAE, 260 GR., Ø 25 MM, 19,5 CM</v>
          </cell>
          <cell r="D3787" t="str">
            <v>MALLET, LUCAE, 260 GR., Ø 25 MM, 19.5 CM</v>
          </cell>
        </row>
        <row r="3788">
          <cell r="B3788" t="str">
            <v>23-215-19-07</v>
          </cell>
          <cell r="C3788" t="str">
            <v>HAMMER,  COTTLE, 300 GR., 19 CM</v>
          </cell>
          <cell r="D3788" t="str">
            <v>MALLET, COTTLE, 300 GR., 19 CM</v>
          </cell>
        </row>
        <row r="3789">
          <cell r="B3789" t="str">
            <v>23-216-01-07</v>
          </cell>
          <cell r="C3789" t="str">
            <v>HAMMER,  WILLIGER,  140 GR., 16,5 CM</v>
          </cell>
          <cell r="D3789" t="str">
            <v>MALLET, WILLIGER,  140 GR., 16.5 CM</v>
          </cell>
        </row>
        <row r="3790">
          <cell r="B3790" t="str">
            <v>23-218-22-04</v>
          </cell>
          <cell r="C3790" t="str">
            <v>Hammer,  650 gr., Si., 25 cm</v>
          </cell>
          <cell r="D3790" t="str">
            <v>Mallet, 650 g., Si., 25 cm</v>
          </cell>
        </row>
        <row r="3791">
          <cell r="B3791" t="str">
            <v>23-220-17-02</v>
          </cell>
          <cell r="C3791" t="str">
            <v>HAMMER,  MEAD, KUNSTST.-BACKEN, 330 GR.</v>
          </cell>
          <cell r="D3791" t="str">
            <v>MALLET, MEAD, PLASTIC INSERTS,  330 GR.</v>
          </cell>
        </row>
        <row r="3792">
          <cell r="B3792" t="str">
            <v>23-224-18-07</v>
          </cell>
          <cell r="C3792" t="str">
            <v>HAMMER,  PARTSCH,  175 GR., 19 CM</v>
          </cell>
          <cell r="D3792" t="str">
            <v>MALLET, PARTSCH,  175 GR., 19 CM</v>
          </cell>
        </row>
        <row r="3793">
          <cell r="B3793" t="str">
            <v>23-240-29-04</v>
          </cell>
          <cell r="C3793" t="str">
            <v>Hammer,  Rückschlagfr., 700 gr., Si.,25cm</v>
          </cell>
          <cell r="D3793" t="str">
            <v>Mallet, Recoilless,  700 g, Si., 25 cm</v>
          </cell>
        </row>
        <row r="3794">
          <cell r="B3794" t="str">
            <v>23-242-24-04</v>
          </cell>
          <cell r="C3794" t="str">
            <v>Hammer,  890 gr., Si., 26 cm</v>
          </cell>
          <cell r="D3794" t="str">
            <v>Mallet, 890 g, Si., 26 cm</v>
          </cell>
        </row>
        <row r="3795">
          <cell r="B3795" t="str">
            <v>23-244-24-04</v>
          </cell>
          <cell r="C3795" t="str">
            <v>Hammer,  chir., 710 gr., Si., 25 cm</v>
          </cell>
          <cell r="D3795" t="str">
            <v>Mallet, surgical, 710 g, Sil, 25 cm</v>
          </cell>
        </row>
        <row r="3796">
          <cell r="B3796" t="str">
            <v>23-253-22-04</v>
          </cell>
          <cell r="C3796" t="str">
            <v>Hammer,  Kunst./Stahl, 640gr., 25cm</v>
          </cell>
          <cell r="D3796" t="str">
            <v>Mallet, plastic/steel, 640 g, 25 cm</v>
          </cell>
        </row>
        <row r="3797">
          <cell r="B3797" t="str">
            <v>23-254-22-04</v>
          </cell>
          <cell r="C3797" t="str">
            <v>Hammer,  Kunststoffeinl., 510gr, Si, 25cm</v>
          </cell>
          <cell r="D3797" t="str">
            <v>Mallet, plastic insert, 510gr, Sil, 25cm</v>
          </cell>
        </row>
        <row r="3798">
          <cell r="B3798" t="str">
            <v>23-260-01-04</v>
          </cell>
          <cell r="C3798" t="str">
            <v>Hammer,  chir., 770 gr., Si., 25 cm</v>
          </cell>
          <cell r="D3798" t="str">
            <v>Mallet, sur., 770 g., Si., 25 cm</v>
          </cell>
        </row>
        <row r="3799">
          <cell r="B3799" t="str">
            <v>23-260-02-04</v>
          </cell>
          <cell r="C3799" t="str">
            <v>Hammer,  chir., 1010 gr., Si., 26 cm</v>
          </cell>
          <cell r="D3799" t="str">
            <v>Mallet, sur., 1010 g., Si., 26 cm</v>
          </cell>
        </row>
        <row r="3800">
          <cell r="B3800" t="str">
            <v>23-262-19-04</v>
          </cell>
          <cell r="C3800" t="str">
            <v>Hammer,  185 gr., Si., 19 cm</v>
          </cell>
          <cell r="D3800" t="str">
            <v>Mallet, 185 gr., si., 19 cm</v>
          </cell>
        </row>
        <row r="3801">
          <cell r="B3801" t="str">
            <v>23-264-19-04</v>
          </cell>
          <cell r="C3801" t="str">
            <v>Hammer  m.Aussp.,  Si., 19 cm</v>
          </cell>
          <cell r="D3801" t="str">
            <v>Mallet w. gap., si., 19 cm</v>
          </cell>
        </row>
        <row r="3802">
          <cell r="B3802" t="str">
            <v>23-280-01-04</v>
          </cell>
          <cell r="C3802" t="str">
            <v>Löffel, Volkmann,  Fig. 1, Si., 17 cm</v>
          </cell>
          <cell r="D3802" t="str">
            <v>Bone curette, Volkm., no.1, si., 17cm</v>
          </cell>
        </row>
        <row r="3803">
          <cell r="B3803" t="str">
            <v>23-280-02-04</v>
          </cell>
          <cell r="C3803" t="str">
            <v>Löffel, Volkmann,  Fig. 2, Si., 17 cm</v>
          </cell>
          <cell r="D3803" t="str">
            <v>Bone curette, Volkm., no.2, si., 17cm</v>
          </cell>
        </row>
        <row r="3804">
          <cell r="B3804" t="str">
            <v>23-280-03-04</v>
          </cell>
          <cell r="C3804" t="str">
            <v>Löffel, Volkmann,  Fig. 3, Si., 17 cm</v>
          </cell>
          <cell r="D3804" t="str">
            <v>Bone curette, Volkm., no.3, si., 17cm</v>
          </cell>
        </row>
        <row r="3805">
          <cell r="B3805" t="str">
            <v>23-280-04-04</v>
          </cell>
          <cell r="C3805" t="str">
            <v>Löffel, Volkmann,  Fig. 4, Si., 17 cm</v>
          </cell>
          <cell r="D3805" t="str">
            <v>Bone curette, Volkm., no.4, si., 17cm</v>
          </cell>
        </row>
        <row r="3806">
          <cell r="B3806" t="str">
            <v>23-280-05-04</v>
          </cell>
          <cell r="C3806" t="str">
            <v>Löffel, Volkmann,  Fig. 5, Si., 17 cm</v>
          </cell>
          <cell r="D3806" t="str">
            <v>Bone curette, Volkm., no.5, si., 17cm</v>
          </cell>
        </row>
        <row r="3807">
          <cell r="B3807" t="str">
            <v>23-280-06-04</v>
          </cell>
          <cell r="C3807" t="str">
            <v>Löffel, Volkmann,  Fig. 6, Si., 17 cm</v>
          </cell>
          <cell r="D3807" t="str">
            <v>Bone curette, Volkm., no.6, si., 17cm</v>
          </cell>
        </row>
        <row r="3808">
          <cell r="B3808" t="str">
            <v>23-280-10-04</v>
          </cell>
          <cell r="C3808" t="str">
            <v>Löffel, Volkmann,  Fig. 0, Si., 17 cm</v>
          </cell>
          <cell r="D3808" t="str">
            <v>Bone curette, Volkm., no.0, si., 17cm</v>
          </cell>
        </row>
        <row r="3809">
          <cell r="B3809" t="str">
            <v>23-280-20-04</v>
          </cell>
          <cell r="C3809" t="str">
            <v>Löffel, Volkmann,  Fig. 00, Si., 17 cm</v>
          </cell>
          <cell r="D3809" t="str">
            <v>Bone curette, Volkm., no.00, si., 17cm</v>
          </cell>
        </row>
        <row r="3810">
          <cell r="B3810" t="str">
            <v>23-280-30-04</v>
          </cell>
          <cell r="C3810" t="str">
            <v>Löffel, Volkmann,  Fig. 000, Si., 17 cm</v>
          </cell>
          <cell r="D3810" t="str">
            <v>Bone curette, Volkm., no.000, si., 17cm</v>
          </cell>
        </row>
        <row r="3811">
          <cell r="B3811" t="str">
            <v>23-280-40-04</v>
          </cell>
          <cell r="C3811" t="str">
            <v>Löffel, Volkmann,  Fig. 0000, Si., 17 cm</v>
          </cell>
          <cell r="D3811" t="str">
            <v>Bone curette, Volkm., no.0000,  si., 17cm</v>
          </cell>
        </row>
        <row r="3812">
          <cell r="B3812" t="str">
            <v>23-282-01-04</v>
          </cell>
          <cell r="C3812" t="str">
            <v>Löffel, Volkmann,  Fig. 1, Si., 27 cm</v>
          </cell>
          <cell r="D3812" t="str">
            <v>Bone curette, Volkmann,  no.1, si., 27cm</v>
          </cell>
        </row>
        <row r="3813">
          <cell r="B3813" t="str">
            <v>23-282-02-04</v>
          </cell>
          <cell r="C3813" t="str">
            <v>Löffel, Volkmann,  Fig. 2, Si., 27 cm</v>
          </cell>
          <cell r="D3813" t="str">
            <v>Bone curette, Volkmann,  no.2, si., 27cm</v>
          </cell>
        </row>
        <row r="3814">
          <cell r="B3814" t="str">
            <v>23-282-03-04</v>
          </cell>
          <cell r="C3814" t="str">
            <v>Löffel, Volkmann,  Fig. 3, Si., 27 cm</v>
          </cell>
          <cell r="D3814" t="str">
            <v>Bone curette, Volkmann,  no.3, si., 27cm</v>
          </cell>
        </row>
        <row r="3815">
          <cell r="B3815" t="str">
            <v>23-282-04-04</v>
          </cell>
          <cell r="C3815" t="str">
            <v>Löffel, Volkmann,  Fig. 4, Si., 27 cm</v>
          </cell>
          <cell r="D3815" t="str">
            <v>Bone curette, Volkmann,  no.4, si., 27cm</v>
          </cell>
        </row>
        <row r="3816">
          <cell r="B3816" t="str">
            <v>23-282-10-04</v>
          </cell>
          <cell r="C3816" t="str">
            <v>Löffel, Volkmann,  Fig. 0, Si., 27 cm</v>
          </cell>
          <cell r="D3816" t="str">
            <v>Bone curette, Volkmann,  no.0, si., 27cm</v>
          </cell>
        </row>
        <row r="3817">
          <cell r="B3817" t="str">
            <v>23-300-10-07</v>
          </cell>
          <cell r="C3817" t="str">
            <v>LÖFFEL, SCHEDE, OVAL, FIG. 0, 17 CM</v>
          </cell>
          <cell r="D3817" t="str">
            <v>BONE CURETTE,  SCHEDE, OVAL, NO. 0, 17 CM</v>
          </cell>
        </row>
        <row r="3818">
          <cell r="B3818" t="str">
            <v>23-300-20-07</v>
          </cell>
          <cell r="C3818" t="str">
            <v>LÖFFEL, SCHEDE, OVAL, FIG. 00, 17 CM</v>
          </cell>
          <cell r="D3818" t="str">
            <v>BONE CUR., SCHEDE, OVAL, NO. 00, 17 CM</v>
          </cell>
        </row>
        <row r="3819">
          <cell r="B3819" t="str">
            <v>23-300-30-07</v>
          </cell>
          <cell r="C3819" t="str">
            <v>LÖFFEL, SCHEDE, OVAL, FIG. 000, 17 CM</v>
          </cell>
          <cell r="D3819" t="str">
            <v>BONE CUR., SCHEDE, OVAL, NO. 000, 17 CM</v>
          </cell>
        </row>
        <row r="3820">
          <cell r="B3820" t="str">
            <v>23-301-01-07</v>
          </cell>
          <cell r="C3820" t="str">
            <v>LÖFFEL, SCHEDE, OVAL, FIG. 1, 17 CM</v>
          </cell>
          <cell r="D3820" t="str">
            <v>BONE CURETTE,  SCHEDE, OVAL, NO. 1, 17 CM</v>
          </cell>
        </row>
        <row r="3821">
          <cell r="B3821" t="str">
            <v>23-301-02-07</v>
          </cell>
          <cell r="C3821" t="str">
            <v>LÖFFEL, SCHEDE, OVAL, FIG. 2, 17 CM</v>
          </cell>
          <cell r="D3821" t="str">
            <v>BONE CURETTE,  SCHEDE, OVAL, NO. 2, 17 CM</v>
          </cell>
        </row>
        <row r="3822">
          <cell r="B3822" t="str">
            <v>23-301-03-07</v>
          </cell>
          <cell r="C3822" t="str">
            <v>LÖFFEL, SCHEDE, OVAL, FIG. 3, 17 CM</v>
          </cell>
          <cell r="D3822" t="str">
            <v>BONE CURETTE,  SCHEDE, OVAL, NO. 3, 17 CM</v>
          </cell>
        </row>
        <row r="3823">
          <cell r="B3823" t="str">
            <v>23-301-04-07</v>
          </cell>
          <cell r="C3823" t="str">
            <v>LÖFFEL, SCHEDE, OVAL, FIG. 4, 17 CM</v>
          </cell>
          <cell r="D3823" t="str">
            <v>BONE CURETTE,  SCHEDE, OVAL, NO. 4, 17 CM</v>
          </cell>
        </row>
        <row r="3824">
          <cell r="B3824" t="str">
            <v>23-304-10-07</v>
          </cell>
          <cell r="C3824" t="str">
            <v>LÖFFEL, VOLKMANN, OVAL, FIG. 0, 17 CM</v>
          </cell>
          <cell r="D3824" t="str">
            <v>BONE CURETTE,  VOLKM., OVAL, NO. 0, 17 CM</v>
          </cell>
        </row>
        <row r="3825">
          <cell r="B3825" t="str">
            <v>23-304-20-07</v>
          </cell>
          <cell r="C3825" t="str">
            <v>LÖFFEL, VOLKMANN, OVAL, FIG. 00, 17 CM</v>
          </cell>
          <cell r="D3825" t="str">
            <v>BONE CUR., VOLKM., OVAL NO. 00, 17 CM</v>
          </cell>
        </row>
        <row r="3826">
          <cell r="B3826" t="str">
            <v>23-304-30-07</v>
          </cell>
          <cell r="C3826" t="str">
            <v>LÖFFEL, VOLKMANN, OVAL, FIG. 000, 17 CM</v>
          </cell>
          <cell r="D3826" t="str">
            <v>BONE CUR., VOLKM., OVAL, NO. 000, 17 CM</v>
          </cell>
        </row>
        <row r="3827">
          <cell r="B3827" t="str">
            <v>23-304-40-07</v>
          </cell>
          <cell r="C3827" t="str">
            <v>LÖFFEL, VOLKMANN, OVAL, FIG. 0000, 17 CM</v>
          </cell>
          <cell r="D3827" t="str">
            <v>LOEFFEL,  VOLKMANN, OVAL, NO. 0000, 17 CM</v>
          </cell>
        </row>
        <row r="3828">
          <cell r="B3828" t="str">
            <v>23-305-01-07</v>
          </cell>
          <cell r="C3828" t="str">
            <v>LÖFFEL, VOLKMANN, OVAL, FIG. 1, 17 CM</v>
          </cell>
          <cell r="D3828" t="str">
            <v>BONE CURETTE,  VOLKM., OVAL, NO. 1, 17 CM</v>
          </cell>
        </row>
        <row r="3829">
          <cell r="B3829" t="str">
            <v>23-305-02-07</v>
          </cell>
          <cell r="C3829" t="str">
            <v>LÖFFEL, VOLKMANN, OVAL, FIG. 2, 17 CM</v>
          </cell>
          <cell r="D3829" t="str">
            <v>BONE CURETTE,  VOLKM., OVAL, NO. 2, 17 CM</v>
          </cell>
        </row>
        <row r="3830">
          <cell r="B3830" t="str">
            <v>23-305-03-07</v>
          </cell>
          <cell r="C3830" t="str">
            <v>LÖFFEL, VOLKMANN, OVAL, FIG. 3, 17 CM</v>
          </cell>
          <cell r="D3830" t="str">
            <v>BONE CURETTE,  VOLKM., OVAL, NO. 3, 17 CM</v>
          </cell>
        </row>
        <row r="3831">
          <cell r="B3831" t="str">
            <v>23-305-04-07</v>
          </cell>
          <cell r="C3831" t="str">
            <v>LÖFFEL, VOLKMANN, OVAL, FIG. 4, 17 CM</v>
          </cell>
          <cell r="D3831" t="str">
            <v>BONE CURETTE,  VOLKM., OVAL, NO. 4, 17 CM</v>
          </cell>
        </row>
        <row r="3832">
          <cell r="B3832" t="str">
            <v>23-305-05-07</v>
          </cell>
          <cell r="C3832" t="str">
            <v>LÖFFEL, VOLKMANN, OVAL, FIG. 5, 17 CM</v>
          </cell>
          <cell r="D3832" t="str">
            <v>BONE CURETTE,  VOLKM., OVAL, NO. 5, 17 CM</v>
          </cell>
        </row>
        <row r="3833">
          <cell r="B3833" t="str">
            <v>23-305-06-07</v>
          </cell>
          <cell r="C3833" t="str">
            <v>LÖFFEL, VOLKMANN, OVAL, FIG. 6, 17 CM</v>
          </cell>
          <cell r="D3833" t="str">
            <v>BONE CURETTE,  VOLKM., OVAL, NO. 6, 17 CM</v>
          </cell>
        </row>
        <row r="3834">
          <cell r="B3834" t="str">
            <v>23-306-10-07</v>
          </cell>
          <cell r="C3834" t="str">
            <v>Scharfer Löffel, Daubenspeck, Fig. 0</v>
          </cell>
          <cell r="D3834" t="str">
            <v>Bone curette, Daubenspeck, No. 0</v>
          </cell>
        </row>
        <row r="3835">
          <cell r="B3835" t="str">
            <v>23-306-20-07</v>
          </cell>
          <cell r="C3835" t="str">
            <v>Scharfer Löffel, Daubenspeck, Fig. 00</v>
          </cell>
          <cell r="D3835" t="str">
            <v>Bone Curette, Daubenspeck, No. 00</v>
          </cell>
        </row>
        <row r="3836">
          <cell r="B3836" t="str">
            <v>23-306-30-07</v>
          </cell>
          <cell r="C3836" t="str">
            <v>Scharfer Löffel, Daubenspeck, Fig. 000</v>
          </cell>
          <cell r="D3836" t="str">
            <v>Bone curette, Daubenspeck, No. 000</v>
          </cell>
        </row>
        <row r="3837">
          <cell r="B3837" t="str">
            <v>23-306-40-07</v>
          </cell>
          <cell r="C3837" t="str">
            <v>Scharfer Löffel, Daubenspeck, Fig. 0000</v>
          </cell>
          <cell r="D3837" t="str">
            <v>Bone curette, Daubenspeck, No. 0000</v>
          </cell>
        </row>
        <row r="3838">
          <cell r="B3838" t="str">
            <v>23-308-10-07</v>
          </cell>
          <cell r="C3838" t="str">
            <v>LÖFFEL, BRUNS, RUND, FIG. 0, 17 CM</v>
          </cell>
          <cell r="D3838" t="str">
            <v>BONE CURETTE,  BRUNS, ROUND, NO. 0, 17 CM</v>
          </cell>
        </row>
        <row r="3839">
          <cell r="B3839" t="str">
            <v>23-308-20-07</v>
          </cell>
          <cell r="C3839" t="str">
            <v>LÖFFEL, BRUNS, RUND, FIG. 00, 17 CM</v>
          </cell>
          <cell r="D3839" t="str">
            <v>BONE CUR., BRUNS, ROUND, NO. 00, 17 CM</v>
          </cell>
        </row>
        <row r="3840">
          <cell r="B3840" t="str">
            <v>23-308-30-07</v>
          </cell>
          <cell r="C3840" t="str">
            <v>LÖFFEL, BRUNS, RUND, FIG. 000, 17 CM</v>
          </cell>
          <cell r="D3840" t="str">
            <v>BONE CUR., BRUNS, ROUND, NO. 000, 17 CM</v>
          </cell>
        </row>
        <row r="3841">
          <cell r="B3841" t="str">
            <v>23-308-40-07</v>
          </cell>
          <cell r="C3841" t="str">
            <v>LÖFFEL, BRUNS, RUND, FIG. 0000, 17 CM</v>
          </cell>
          <cell r="D3841" t="str">
            <v>BONE CUR., BRUNS, ROUND, NO. 0000, 17 CM</v>
          </cell>
        </row>
        <row r="3842">
          <cell r="B3842" t="str">
            <v>23-309-01-07</v>
          </cell>
          <cell r="C3842" t="str">
            <v>LÖFFEL, BRUNS, RUND, FIG. 1, 17 CM</v>
          </cell>
          <cell r="D3842" t="str">
            <v>BONE CURETTE,  BRUNS, ROUND, NO. 1, 17 CM</v>
          </cell>
        </row>
        <row r="3843">
          <cell r="B3843" t="str">
            <v>23-309-02-07</v>
          </cell>
          <cell r="C3843" t="str">
            <v>LÖFFEL, BRUNS, RUND, FIG. 2, 17 CM</v>
          </cell>
          <cell r="D3843" t="str">
            <v>BONE CURETTE,  BRUNS, ROUND, NO. 2, 17 CM</v>
          </cell>
        </row>
        <row r="3844">
          <cell r="B3844" t="str">
            <v>23-309-03-07</v>
          </cell>
          <cell r="C3844" t="str">
            <v>LÖFFEL, BRUNS, RUND, FIG. 3, 17 CM</v>
          </cell>
          <cell r="D3844" t="str">
            <v>BONE CURETTE,  BRUNS, ROUND, NO. 3, 17 CM</v>
          </cell>
        </row>
        <row r="3845">
          <cell r="B3845" t="str">
            <v>23-309-04-07</v>
          </cell>
          <cell r="C3845" t="str">
            <v>LÖFFEL, BRUNS, RUND, FIG. 4, 17 CM</v>
          </cell>
          <cell r="D3845" t="str">
            <v>BONE CURETTE,  BRUNS, ROUND, NO. 4, 17 CM</v>
          </cell>
        </row>
        <row r="3846">
          <cell r="B3846" t="str">
            <v>23-309-05-07</v>
          </cell>
          <cell r="C3846" t="str">
            <v>LÖFFEL, BRUNS, RUND, FIG. 5, 17 CM</v>
          </cell>
          <cell r="D3846" t="str">
            <v>BONE CURETTE,  BRUNS, ROUND, NO. 5, 17 CM</v>
          </cell>
        </row>
        <row r="3847">
          <cell r="B3847" t="str">
            <v>23-309-06-07</v>
          </cell>
          <cell r="C3847" t="str">
            <v>LÖFFEL, BRUNS, RUND, FIG. 6, 17 CM</v>
          </cell>
          <cell r="D3847" t="str">
            <v>BONE CURETTE,  BRUNS, ROUND, NO. 6, 17 CM</v>
          </cell>
        </row>
        <row r="3848">
          <cell r="B3848" t="str">
            <v>23-312-10-07</v>
          </cell>
          <cell r="C3848" t="str">
            <v>LÖFFEL, SPRATT, OVAL, FIG. 0, 17 CM</v>
          </cell>
          <cell r="D3848" t="str">
            <v>BONE CURETTE,  SPRATT, OVAL, NO. 0, 17 CM</v>
          </cell>
        </row>
        <row r="3849">
          <cell r="B3849" t="str">
            <v>23-312-20-07</v>
          </cell>
          <cell r="C3849" t="str">
            <v>LÖFFEL, SPRATT, OVAL, FIG. 00, 17 CM</v>
          </cell>
          <cell r="D3849" t="str">
            <v>BONE CUR., SPRATT, OVAL, NO. 00, 17 CM</v>
          </cell>
        </row>
        <row r="3850">
          <cell r="B3850" t="str">
            <v>23-312-30-07</v>
          </cell>
          <cell r="C3850" t="str">
            <v>LÖFFEL, SPRATT, OVAL, FIG. 000, 17 CM</v>
          </cell>
          <cell r="D3850" t="str">
            <v>BONE CUR., SPRATT, OVAL, NO. 000, 17 CM</v>
          </cell>
        </row>
        <row r="3851">
          <cell r="B3851" t="str">
            <v>23-312-40-07</v>
          </cell>
          <cell r="C3851" t="str">
            <v>LÖFFEL, SPRATT, OVAL, FIG. 0000, 17 CM</v>
          </cell>
          <cell r="D3851" t="str">
            <v>BONE CUR., SPRATT, OVAL, NO. 0000, 17 CM</v>
          </cell>
        </row>
        <row r="3852">
          <cell r="B3852" t="str">
            <v>23-313-01-07</v>
          </cell>
          <cell r="C3852" t="str">
            <v>LÖFFEL, SPRATT, OVAL, FIG. 1, 17 CM</v>
          </cell>
          <cell r="D3852" t="str">
            <v>BONE CURETTE,  SPRATT, OVAL, NO. 1, 17 CM</v>
          </cell>
        </row>
        <row r="3853">
          <cell r="B3853" t="str">
            <v>23-313-02-07</v>
          </cell>
          <cell r="C3853" t="str">
            <v>LÖFFEL, SPRATT, OVAL, FIG. 2, 17 CM</v>
          </cell>
          <cell r="D3853" t="str">
            <v>BONE CURETTE,  SPRATT, OVAL, NO. 2, 17 CM</v>
          </cell>
        </row>
        <row r="3854">
          <cell r="B3854" t="str">
            <v>23-313-03-07</v>
          </cell>
          <cell r="C3854" t="str">
            <v>LÖFFEL, SPRATT, OVAL, FIG. 3, 17 CM</v>
          </cell>
          <cell r="D3854" t="str">
            <v>BONE CURETTE,  SPRATT, OVAL, NO. 3, 17 CM</v>
          </cell>
        </row>
        <row r="3855">
          <cell r="B3855" t="str">
            <v>23-313-04-07</v>
          </cell>
          <cell r="C3855" t="str">
            <v>LÖFFEL, SPRATT, OVAL, FIG. 4, 17 CM</v>
          </cell>
          <cell r="D3855" t="str">
            <v>BONE CURETTE,  SPRATT, OVAL, NO. 4, 17 CM</v>
          </cell>
        </row>
        <row r="3856">
          <cell r="B3856" t="str">
            <v>23-313-05-07</v>
          </cell>
          <cell r="C3856" t="str">
            <v>LÖFFEL, SPRATT, OVAL, FIG. 5, 17 CM</v>
          </cell>
          <cell r="D3856" t="str">
            <v>BONE CURETTE,  SPRATT, OVAL, NO. 5, 17 CM</v>
          </cell>
        </row>
        <row r="3857">
          <cell r="B3857" t="str">
            <v>23-334-10-07</v>
          </cell>
          <cell r="C3857" t="str">
            <v>LÖFFEL, BRUNS, OVAL, FIG. 0, 23 CM</v>
          </cell>
          <cell r="D3857" t="str">
            <v>BONE CURETTE,  BRUNS, OVAL, NO. 0, 23 CM</v>
          </cell>
        </row>
        <row r="3858">
          <cell r="B3858" t="str">
            <v>23-334-20-07</v>
          </cell>
          <cell r="C3858" t="str">
            <v>LÖFFEL, BRUNS, OVAL, FIG. 00, 23 CM</v>
          </cell>
          <cell r="D3858" t="str">
            <v>BONE CURETTE,  BRUNS, OVAL, NO. 00, 23 CM</v>
          </cell>
        </row>
        <row r="3859">
          <cell r="B3859" t="str">
            <v>23-334-30-07</v>
          </cell>
          <cell r="C3859" t="str">
            <v>LÖFFEL, BRUNS, OVAL, FIG. 000, 23 CM</v>
          </cell>
          <cell r="D3859" t="str">
            <v>BONE CUR., BRUNS, OVAL, NO. 000, 23 CM</v>
          </cell>
        </row>
        <row r="3860">
          <cell r="B3860" t="str">
            <v>23-335-01-07</v>
          </cell>
          <cell r="C3860" t="str">
            <v>LÖFFEL, BRUNS, OVAL, FIG. 1, 23 CM</v>
          </cell>
          <cell r="D3860" t="str">
            <v>BONE CURETTE,  BRUNS, OVAL, NO. 1, 23 CM</v>
          </cell>
        </row>
        <row r="3861">
          <cell r="B3861" t="str">
            <v>23-335-02-07</v>
          </cell>
          <cell r="C3861" t="str">
            <v>LÖFFEL, BRUNS, OVAL, FIG. 2, 23 CM</v>
          </cell>
          <cell r="D3861" t="str">
            <v>BONE CURETTE,  BRUNS, OVAL, NO. 2, 23 CM</v>
          </cell>
        </row>
        <row r="3862">
          <cell r="B3862" t="str">
            <v>23-335-03-07</v>
          </cell>
          <cell r="C3862" t="str">
            <v>LÖFFEL, BRUNS, OVAL, FIG. 3, 23 CM</v>
          </cell>
          <cell r="D3862" t="str">
            <v>BONE CURETTE,  BRUNS, OVAL, NO. 3, 23 CM</v>
          </cell>
        </row>
        <row r="3863">
          <cell r="B3863" t="str">
            <v>23-335-04-07</v>
          </cell>
          <cell r="C3863" t="str">
            <v>LÖFFEL, BRUNS, OVAL, FIG. 4, 23 CM</v>
          </cell>
          <cell r="D3863" t="str">
            <v>BONE CURETTE,  BRUNS, OVAL, NO. 4, 23 CM</v>
          </cell>
        </row>
        <row r="3864">
          <cell r="B3864" t="str">
            <v>23-335-05-07</v>
          </cell>
          <cell r="C3864" t="str">
            <v>LÖFFEL, BRUNS, OVAL, FIG. 5, 23 CM</v>
          </cell>
          <cell r="D3864" t="str">
            <v>BONE CURETTE,  BRUNS, OVAL, NO. 5, 23 CM</v>
          </cell>
        </row>
        <row r="3865">
          <cell r="B3865" t="str">
            <v>23-335-06-07</v>
          </cell>
          <cell r="C3865" t="str">
            <v>LÖFFEL, BRUNS, OVAL, FIG. 6, 23 CM</v>
          </cell>
          <cell r="D3865" t="str">
            <v>BONE CURETTE,  BRUNS, OVAL, NO. 6, 23 CM</v>
          </cell>
        </row>
        <row r="3866">
          <cell r="B3866" t="str">
            <v>23-336-25-07</v>
          </cell>
          <cell r="C3866" t="str">
            <v>LÖFFEL, SCOVILLE,  GER., 25 CM</v>
          </cell>
          <cell r="D3866" t="str">
            <v>BONE CURETTE,  SCOVILLE,  STR., 25 CM</v>
          </cell>
        </row>
        <row r="3867">
          <cell r="B3867" t="str">
            <v>23-337-25-07</v>
          </cell>
          <cell r="C3867" t="str">
            <v>LÖFFEL, SCOVILLE,  ABGEW. , 25 CM</v>
          </cell>
          <cell r="D3867" t="str">
            <v>BONE CURETTE,  SCOVILLE,  ANG. DOWN, 25 CM</v>
          </cell>
        </row>
        <row r="3868">
          <cell r="B3868" t="str">
            <v>23-339-25-07</v>
          </cell>
          <cell r="C3868" t="str">
            <v>LÖFFEL, SCOVILLE,  AUFGEW.  , 25 CM</v>
          </cell>
          <cell r="D3868" t="str">
            <v>BONE CURETTE,  SCOVILLE,  ANG. UP, 25 CM</v>
          </cell>
        </row>
        <row r="3869">
          <cell r="B3869" t="str">
            <v>23-340-01-07</v>
          </cell>
          <cell r="C3869" t="str">
            <v>LÖFFEL, SIMON, OVAL, FIG. 1, 22,5 CM</v>
          </cell>
          <cell r="D3869" t="str">
            <v>BONE CURETTE,  SIMON, OV., NO. 1, 22.5 CM</v>
          </cell>
        </row>
        <row r="3870">
          <cell r="B3870" t="str">
            <v>23-340-02-07</v>
          </cell>
          <cell r="C3870" t="str">
            <v>LÖFFEL, SIMON, OVAL, FIG. 2, 22,5 CM</v>
          </cell>
          <cell r="D3870" t="str">
            <v>BONE CURETTE,  SIMON, OV., NO. 2, 22.5 CM</v>
          </cell>
        </row>
        <row r="3871">
          <cell r="B3871" t="str">
            <v>23-340-03-07</v>
          </cell>
          <cell r="C3871" t="str">
            <v>LÖFFEL, SIMON, OVAL, FIG. 3, 22,5 CM</v>
          </cell>
          <cell r="D3871" t="str">
            <v>BONE CURETTE,  SIMON, OV., NO. 3, 22.5 CM</v>
          </cell>
        </row>
        <row r="3872">
          <cell r="B3872" t="str">
            <v>23-340-04-07</v>
          </cell>
          <cell r="C3872" t="str">
            <v>LÖFFEL, SIMON, OVAL, FIG. 4, 22,5 CM</v>
          </cell>
          <cell r="D3872" t="str">
            <v>BONE CURETTE,  SIMON, OV., NO. 4, 22.5 CM</v>
          </cell>
        </row>
        <row r="3873">
          <cell r="B3873" t="str">
            <v>23-340-05-07</v>
          </cell>
          <cell r="C3873" t="str">
            <v>LÖFFEL, SIMON, OVAL, FIG. 5, 22,5 CM</v>
          </cell>
          <cell r="D3873" t="str">
            <v>BONE CURETTE,  SIMON, OV., NO. 5, 22.5 CM</v>
          </cell>
        </row>
        <row r="3874">
          <cell r="B3874" t="str">
            <v>23-340-06-07</v>
          </cell>
          <cell r="C3874" t="str">
            <v>LÖFFEL, SIMON, OVAL, FIG. 6, 22,5 CM</v>
          </cell>
          <cell r="D3874" t="str">
            <v>BONE CURETTE,  SIMON, OV., NO. 6, 22.5 CM</v>
          </cell>
        </row>
        <row r="3875">
          <cell r="B3875" t="str">
            <v>23-342-01-07</v>
          </cell>
          <cell r="C3875" t="str">
            <v>Scharfer Löffel, abgew., Fig. 1, 25 cm</v>
          </cell>
          <cell r="D3875" t="str">
            <v>Bone curette, ang. down, No. 1, 25 cm</v>
          </cell>
        </row>
        <row r="3876">
          <cell r="B3876" t="str">
            <v>23-342-10-07</v>
          </cell>
          <cell r="C3876" t="str">
            <v>Scharfer Löffel, abgew., Fig. 0, 25 cm</v>
          </cell>
          <cell r="D3876" t="str">
            <v>Bone curette, ang. down, No. 0, 25 cm</v>
          </cell>
        </row>
        <row r="3877">
          <cell r="B3877" t="str">
            <v>23-342-20-07</v>
          </cell>
          <cell r="C3877" t="str">
            <v>Scharfer Löffel, abgew., Fig. 00, 25 cm</v>
          </cell>
          <cell r="D3877" t="str">
            <v>Bone curette, ang. down, No. 00, 25 cm</v>
          </cell>
        </row>
        <row r="3878">
          <cell r="B3878" t="str">
            <v>23-342-30-07</v>
          </cell>
          <cell r="C3878" t="str">
            <v>Scharfer Löffel, abgew., Fig. 000, 25 cm</v>
          </cell>
          <cell r="D3878" t="str">
            <v>Bone curette, ang. down, No. 000, 25 cm</v>
          </cell>
        </row>
        <row r="3879">
          <cell r="B3879" t="str">
            <v>23-344-01-07</v>
          </cell>
          <cell r="C3879" t="str">
            <v>LÖFFEL, U.S.-MODELL, FIG. 1, 16,5 CM</v>
          </cell>
          <cell r="D3879" t="str">
            <v>BONE CURETTE,  US-TYPE,  NO. 1, 16.5 CM</v>
          </cell>
        </row>
        <row r="3880">
          <cell r="B3880" t="str">
            <v>23-344-02-07</v>
          </cell>
          <cell r="C3880" t="str">
            <v>LÖFFEL, U.S.-MODELL, FIG. 2, 16,5 CM</v>
          </cell>
          <cell r="D3880" t="str">
            <v>BONE CURETTE,  US-TYPE,  NO. 2, 16.5 CM</v>
          </cell>
        </row>
        <row r="3881">
          <cell r="B3881" t="str">
            <v>23-344-03-07</v>
          </cell>
          <cell r="C3881" t="str">
            <v>LÖFFEL, U.S.-MODELL, FIG. 3, 16,5 CM</v>
          </cell>
          <cell r="D3881" t="str">
            <v>BONE CURETTE,  US-TYPE,  NO. 3, 16.5 CM</v>
          </cell>
        </row>
        <row r="3882">
          <cell r="B3882" t="str">
            <v>23-344-04-07</v>
          </cell>
          <cell r="C3882" t="str">
            <v>LÖFFEL, U.S.-MODELL, FIG. 4, 16,5 CM</v>
          </cell>
          <cell r="D3882" t="str">
            <v>BONE CURETTE,  US-TYPE,  NO. 4, 16.5 CM</v>
          </cell>
        </row>
        <row r="3883">
          <cell r="B3883" t="str">
            <v>23-344-05-07</v>
          </cell>
          <cell r="C3883" t="str">
            <v>LÖFFEL, U.S.-MODELL, FIG. 5, 16,5 CM</v>
          </cell>
          <cell r="D3883" t="str">
            <v>BONE CURETTE,  US-TYPE,  NO. 5, 16.5 CM</v>
          </cell>
        </row>
        <row r="3884">
          <cell r="B3884" t="str">
            <v>23-344-06-07</v>
          </cell>
          <cell r="C3884" t="str">
            <v>LÖFFEL, U.S.-MODELL, FIG. 6, 16,5 CM</v>
          </cell>
          <cell r="D3884" t="str">
            <v>BONE CURETTE,  US-TYPE,  NO. 6, 16.5 CM</v>
          </cell>
        </row>
        <row r="3885">
          <cell r="B3885" t="str">
            <v>23-350-01-07</v>
          </cell>
          <cell r="C3885" t="str">
            <v>LÖFFEL, HALLE, BIEGS., FIG. 1, 21 CM</v>
          </cell>
          <cell r="D3885" t="str">
            <v>BONE CURETTE,  HALLE, MALL., NO. 1, 21 CM</v>
          </cell>
        </row>
        <row r="3886">
          <cell r="B3886" t="str">
            <v>23-350-02-07</v>
          </cell>
          <cell r="C3886" t="str">
            <v>LÖFFEL, HALLE, BIEGS., FIG. 2, 21 CM</v>
          </cell>
          <cell r="D3886" t="str">
            <v>BONE CURETTE,  HALLE, MALL., NO. 2, 21 CM</v>
          </cell>
        </row>
        <row r="3887">
          <cell r="B3887" t="str">
            <v>23-350-03-07</v>
          </cell>
          <cell r="C3887" t="str">
            <v>LÖFFEL, HALLE, BIEGS., FIG. 3, 21 CM</v>
          </cell>
          <cell r="D3887" t="str">
            <v>BONE CURETTE,  HALLE, MALL., NO. 3, 21 CM</v>
          </cell>
        </row>
        <row r="3888">
          <cell r="B3888" t="str">
            <v>23-351-14-07</v>
          </cell>
          <cell r="C3888" t="str">
            <v>Scharfer Doppellöffel, Jacobson,  14 cm</v>
          </cell>
          <cell r="D3888" t="str">
            <v>Bone curette, double, Jacobson,  14 cm</v>
          </cell>
        </row>
        <row r="3889">
          <cell r="B3889" t="str">
            <v>23-352-13-07</v>
          </cell>
          <cell r="C3889" t="str">
            <v>DOPPELLÖFFEL, VOLKMANN, OVAL, 12,5 CM</v>
          </cell>
          <cell r="D3889" t="str">
            <v>BONE CURETTE,  VOLKMANN, OV./OV.,  12.5 CM</v>
          </cell>
        </row>
        <row r="3890">
          <cell r="B3890" t="str">
            <v>23-352-14-07</v>
          </cell>
          <cell r="C3890" t="str">
            <v>DOPPELLÖFFEL, VOLKMANN, OVAL, 14,5 CM</v>
          </cell>
          <cell r="D3890" t="str">
            <v>BONE CURETTE,  VOLKMANN, OV./OV.,  14.5 CM</v>
          </cell>
        </row>
        <row r="3891">
          <cell r="B3891" t="str">
            <v>23-352-17-07</v>
          </cell>
          <cell r="C3891" t="str">
            <v>DOPPELLÖFFEL, VOLKMANN, OVAL, 17 CM</v>
          </cell>
          <cell r="D3891" t="str">
            <v>BONE CURETTE,  VOLKMANN, OV./OV.,  17 CM</v>
          </cell>
        </row>
        <row r="3892">
          <cell r="B3892" t="str">
            <v>23-354-13-07</v>
          </cell>
          <cell r="C3892" t="str">
            <v>DOPPELLÖFFEL, VOLKMANN, OVAL/RD.,  13 CM</v>
          </cell>
          <cell r="D3892" t="str">
            <v>BONE CURETTE,  VOLKMANN, OVAL/RD.,  13 CM</v>
          </cell>
        </row>
        <row r="3893">
          <cell r="B3893" t="str">
            <v>23-354-16-07</v>
          </cell>
          <cell r="C3893" t="str">
            <v>DOPPELLÖFFEL, VOLKMANN, OVAL/RD.,  16 CM</v>
          </cell>
          <cell r="D3893" t="str">
            <v>BONE CURETTE,  VOLKMANN, OVAL/RD.,  16 CM</v>
          </cell>
        </row>
        <row r="3894">
          <cell r="B3894" t="str">
            <v>23-354-20-07</v>
          </cell>
          <cell r="C3894" t="str">
            <v>DOPPELLÖFFEL, VOLKMANN, OVAL/RD.,  20 CM</v>
          </cell>
          <cell r="D3894" t="str">
            <v>BONE CURETTE,  VOLKMANN, OVAL/RD.,  20 CM</v>
          </cell>
        </row>
        <row r="3895">
          <cell r="B3895" t="str">
            <v>23-356-21-07</v>
          </cell>
          <cell r="C3895" t="str">
            <v>SCHARFER  DOPPELLÖFFEL, OVAL/RUND, 21 CM</v>
          </cell>
          <cell r="D3895" t="str">
            <v>BONE CURETTE,  OVAL/ROUND, 21 CM</v>
          </cell>
        </row>
        <row r="3896">
          <cell r="B3896" t="str">
            <v>23-358-00-07</v>
          </cell>
          <cell r="C3896" t="str">
            <v>DOPPELLÖFFEL, FIG. 00/0, 14 CM</v>
          </cell>
          <cell r="D3896" t="str">
            <v>BONE CURETTE,  WILLIGER,  00/0, 14 CM</v>
          </cell>
        </row>
        <row r="3897">
          <cell r="B3897" t="str">
            <v>23-358-01-07</v>
          </cell>
          <cell r="C3897" t="str">
            <v>DOPPELLÖFFEL, FIG. 0/1, 14 CM</v>
          </cell>
          <cell r="D3897" t="str">
            <v>BONE CURETTE,  WILLIGER,  NO. 0/1, 14 CM</v>
          </cell>
        </row>
        <row r="3898">
          <cell r="B3898" t="str">
            <v>23-358-12-07</v>
          </cell>
          <cell r="C3898" t="str">
            <v>DOPPELLÖFFEL, FIG. 1/2, 14 CM</v>
          </cell>
          <cell r="D3898" t="str">
            <v>BONE CURETTE,  WILLIGER,  NO. 1/2, 14 CM</v>
          </cell>
        </row>
        <row r="3899">
          <cell r="B3899" t="str">
            <v>23-359-00-07</v>
          </cell>
          <cell r="C3899" t="str">
            <v>DOPPELLÖFFEL, OVAL, FIG. 00/00, 16,5 CM</v>
          </cell>
          <cell r="D3899" t="str">
            <v>BONE CURETTE,  OVAL, NO. 00/00, 16,5 CM</v>
          </cell>
        </row>
        <row r="3900">
          <cell r="B3900" t="str">
            <v>23-359-10-07</v>
          </cell>
          <cell r="C3900" t="str">
            <v>DOPPELLÖFFEL, OVAL, FIG. 0/0, 16,5 CM</v>
          </cell>
          <cell r="D3900" t="str">
            <v>BONE CURETTE,  OVAL, NO. 0/0, 16,5 CM</v>
          </cell>
        </row>
        <row r="3901">
          <cell r="B3901" t="str">
            <v>23-359-11-07</v>
          </cell>
          <cell r="C3901" t="str">
            <v>DOPPELLÖFFEL, OVAL, FIG. 1/1, 16,5 CM</v>
          </cell>
          <cell r="D3901" t="str">
            <v>BONE CURETTE,  OVAL, NO. 1/1, 16,5 CM</v>
          </cell>
        </row>
        <row r="3902">
          <cell r="B3902" t="str">
            <v>23-360-00-07</v>
          </cell>
          <cell r="C3902" t="str">
            <v>DOPPELLOEFFEL, HEMINGW.-MARTIN, FIG. 0/0</v>
          </cell>
          <cell r="D3902" t="str">
            <v>HEMMINGWAY BONE CURETTE,  FIG. 0/0</v>
          </cell>
        </row>
        <row r="3903">
          <cell r="B3903" t="str">
            <v>23-360-01-07</v>
          </cell>
          <cell r="C3903" t="str">
            <v>GRIFF FUER PERIOTOM-ANSAETZE</v>
          </cell>
          <cell r="D3903" t="str">
            <v>HANDLE FOR PERIOTOME TIPS</v>
          </cell>
        </row>
        <row r="3904">
          <cell r="B3904" t="str">
            <v>23-360-02-07</v>
          </cell>
          <cell r="C3904" t="str">
            <v>PERIOTOM-ANSATZ Z. 23-360-01,  FIG. 1</v>
          </cell>
          <cell r="D3904" t="str">
            <v>WORKING  TIP FOR HANDLE NO. 23-360-01</v>
          </cell>
        </row>
        <row r="3905">
          <cell r="B3905" t="str">
            <v>23-360-03-07</v>
          </cell>
          <cell r="C3905" t="str">
            <v>PERIOTOM-ANSATZ Z. 23-360-01,  FIG. 2</v>
          </cell>
          <cell r="D3905" t="str">
            <v>WORKING  TIP FOR HANDLE NO. 23-360-01</v>
          </cell>
        </row>
        <row r="3906">
          <cell r="B3906" t="str">
            <v>23-360-04-07</v>
          </cell>
          <cell r="C3906" t="str">
            <v>PERIOTOM-ANSATZ Z. 23-360-01,  FIG. 1A</v>
          </cell>
          <cell r="D3906" t="str">
            <v>WORKING  TIP FOR HANDLE NO. 23-360-01</v>
          </cell>
        </row>
        <row r="3907">
          <cell r="B3907" t="str">
            <v>23-360-05-07</v>
          </cell>
          <cell r="C3907" t="str">
            <v>PERIOTOM-ANSATZ Z. 23-360-01,  FIG. 2A</v>
          </cell>
          <cell r="D3907" t="str">
            <v>WORKING  TIP FOR HANDLE NO. 23-360-01</v>
          </cell>
        </row>
        <row r="3908">
          <cell r="B3908" t="str">
            <v>23-360-06-07</v>
          </cell>
          <cell r="C3908" t="str">
            <v>PERIOTOM-ANSATZ Z. 23-360-01,  FIG. 1B</v>
          </cell>
          <cell r="D3908" t="str">
            <v>WORKING  TIP FOR HANDLE NO. 23-360-01</v>
          </cell>
        </row>
        <row r="3909">
          <cell r="B3909" t="str">
            <v>23-360-07-07</v>
          </cell>
          <cell r="C3909" t="str">
            <v>PERIOTOM-ANSATZ Z. 23-360-01,  FIG. 2B</v>
          </cell>
          <cell r="D3909" t="str">
            <v>WORKING  TIP FOR HANDLE NO. 23-360-01</v>
          </cell>
        </row>
        <row r="3910">
          <cell r="B3910" t="str">
            <v>23-360-11-07</v>
          </cell>
          <cell r="C3910" t="str">
            <v>DOPPELLÖFFEL, HEMINGW.-MARTIN, FIG. 1/1</v>
          </cell>
          <cell r="D3910" t="str">
            <v>HEMMINGWAY BONE CURETTE,  FIG. 1/1</v>
          </cell>
        </row>
        <row r="3911">
          <cell r="B3911" t="str">
            <v>23-360-22-07</v>
          </cell>
          <cell r="C3911" t="str">
            <v>DOPPELLÖFFEL, HEMINGWAY, FIG. 2/2</v>
          </cell>
          <cell r="D3911" t="str">
            <v>HEMMINGWAY BONE CURETTE,  FIG. 2/2</v>
          </cell>
        </row>
        <row r="3912">
          <cell r="B3912" t="str">
            <v>23-360-33-07</v>
          </cell>
          <cell r="C3912" t="str">
            <v>DOPPELLÖFFEL, HEMINGWAY, FIG. 3/3</v>
          </cell>
          <cell r="D3912" t="str">
            <v>HEMMINGWAY BONE CURETTE,  FIG. 3/3</v>
          </cell>
        </row>
        <row r="3913">
          <cell r="B3913" t="str">
            <v>23-360-44-07</v>
          </cell>
          <cell r="C3913" t="str">
            <v>DOPPELLÖFFEL, HEMINGWAY, FIG. 4/4</v>
          </cell>
          <cell r="D3913" t="str">
            <v>HEMMINGWAY BONE CURETTE,  FIG. 4/4</v>
          </cell>
        </row>
        <row r="3914">
          <cell r="B3914" t="str">
            <v>23-362-00-07</v>
          </cell>
          <cell r="C3914" t="str">
            <v>DOPPELKÜRETTE N. LUCAS-MARTIN, FIG. 0/0</v>
          </cell>
          <cell r="D3914" t="str">
            <v>LUCAS-MARTIN BONE CURETTE,FIG 0/0</v>
          </cell>
        </row>
        <row r="3915">
          <cell r="B3915" t="str">
            <v>23-362-11-07</v>
          </cell>
          <cell r="C3915" t="str">
            <v>DOPPELKÜRETTE N. LUCAS-MARTIN, FIG. 1/1</v>
          </cell>
          <cell r="D3915" t="str">
            <v>LUCAS-MARTIN BONE CURETTE,  FIG. 1/1</v>
          </cell>
        </row>
        <row r="3916">
          <cell r="B3916" t="str">
            <v>23-362-22-07</v>
          </cell>
          <cell r="C3916" t="str">
            <v>DOPPELKÜRETTE N. LUCAS-MARTIN, FIG. 2/2</v>
          </cell>
          <cell r="D3916" t="str">
            <v>LUCAS-MARTIN BONE CURETTE,  FIG. 2/2</v>
          </cell>
        </row>
        <row r="3917">
          <cell r="B3917" t="str">
            <v>23-362-33-07</v>
          </cell>
          <cell r="C3917" t="str">
            <v>DOPPELKÜRETTE N. LUCAS-MARTIN, FIG. 3/3</v>
          </cell>
          <cell r="D3917" t="str">
            <v>LUCAS-MARTIN BONE CURETTE,  FIG. 3/3</v>
          </cell>
        </row>
        <row r="3918">
          <cell r="B3918" t="str">
            <v>23-364-00-07</v>
          </cell>
          <cell r="C3918" t="str">
            <v>DOPPELKÜRETTE N. MILLER-COLBURN, FIG. 0</v>
          </cell>
          <cell r="D3918" t="str">
            <v>MILLER-COLBURN BONE CURETTE,  FIG. 0</v>
          </cell>
        </row>
        <row r="3919">
          <cell r="B3919" t="str">
            <v>23-364-01-07</v>
          </cell>
          <cell r="C3919" t="str">
            <v>DOPPELKÜRETTE N. MILLER-COLBURN, FIG. 1</v>
          </cell>
          <cell r="D3919" t="str">
            <v>MILLER-COLBURN BONE CURETTE,  FIG. 1</v>
          </cell>
        </row>
        <row r="3920">
          <cell r="B3920" t="str">
            <v>23-364-02-07</v>
          </cell>
          <cell r="C3920" t="str">
            <v>DOPPELKÜRETTE N. MILLER-COLBURN, FIG. 2</v>
          </cell>
          <cell r="D3920" t="str">
            <v>MILLER-COLBURN BONE CURETTE,  FIG. 2</v>
          </cell>
        </row>
        <row r="3921">
          <cell r="B3921" t="str">
            <v>23-364-03-07</v>
          </cell>
          <cell r="C3921" t="str">
            <v>DOPPELKÜRETTE N. MILLER-COLBURN, FIG. 3</v>
          </cell>
          <cell r="D3921" t="str">
            <v>MILLER-COLBURN BONE CURETTE,  FIG. 3</v>
          </cell>
        </row>
        <row r="3922">
          <cell r="B3922" t="str">
            <v>23-364-04-07</v>
          </cell>
          <cell r="C3922" t="str">
            <v>DOPPELKÜRETTE N. MILLER-COLBURN, FIG. 4</v>
          </cell>
          <cell r="D3922" t="str">
            <v>MILLER-COLBURN BONE CURETTE,  FIG. 4</v>
          </cell>
        </row>
        <row r="3923">
          <cell r="B3923" t="str">
            <v>23-383-03-07</v>
          </cell>
          <cell r="C3923" t="str">
            <v>TELLERKUERETTE, DM: 1,5 MM, GRAU</v>
          </cell>
          <cell r="D3923" t="str">
            <v>CURETTE,  DIA. 1,5 MM, GREY</v>
          </cell>
        </row>
        <row r="3924">
          <cell r="B3924" t="str">
            <v>23-383-04-07</v>
          </cell>
          <cell r="C3924" t="str">
            <v>TELLERKUERETTE, DM: 2,5 MM, GRAU</v>
          </cell>
          <cell r="D3924" t="str">
            <v>CURETTE,  DIA. 2,5 MM, GREY</v>
          </cell>
        </row>
        <row r="3925">
          <cell r="B3925" t="str">
            <v>23-395-21-07</v>
          </cell>
          <cell r="C3925" t="str">
            <v>KÜRETTE,  MOLT, CHIRUR.,  DOPPELEND., GRAU</v>
          </cell>
          <cell r="D3925" t="str">
            <v>BONE CURETTES,  DOUBLE-ENDED, GREY</v>
          </cell>
        </row>
        <row r="3926">
          <cell r="B3926" t="str">
            <v>23-395-24-07</v>
          </cell>
          <cell r="C3926" t="str">
            <v>KÜRETTE,  MOLT, DOPPELENDIG, 19 CM</v>
          </cell>
          <cell r="D3926" t="str">
            <v>BONE CURETTE,  MOLT, DOUBLE,  19 CM</v>
          </cell>
        </row>
        <row r="3927">
          <cell r="B3927" t="str">
            <v>23-400-01-07</v>
          </cell>
          <cell r="C3927" t="str">
            <v>RASPATORIUM, MARTIN-LANGENBECK, 16 MM</v>
          </cell>
          <cell r="D3927" t="str">
            <v>RASPATORY, MARTIN-LANGENBECK, 16 MM</v>
          </cell>
        </row>
        <row r="3928">
          <cell r="B3928" t="str">
            <v>23-400-02-07</v>
          </cell>
          <cell r="C3928" t="str">
            <v>RASPATORIUM, MARTIN-LANGENBECK, 16 MM</v>
          </cell>
          <cell r="D3928" t="str">
            <v>RASPATORY, MARTIN-LANGENBECK, 16 MM</v>
          </cell>
        </row>
        <row r="3929">
          <cell r="B3929" t="str">
            <v>23-400-03-07</v>
          </cell>
          <cell r="C3929" t="str">
            <v>RASPATORIUM, MARTIN-LANGEN., GEW., 12 MM</v>
          </cell>
          <cell r="D3929" t="str">
            <v>RASPATORY, MARTIN-LANGEN., ANG., 12 MM</v>
          </cell>
        </row>
        <row r="3930">
          <cell r="B3930" t="str">
            <v>23-400-04-07</v>
          </cell>
          <cell r="C3930" t="str">
            <v>RASPATORIUM, MARTIN-LANGEN., GEW., 12 MM</v>
          </cell>
          <cell r="D3930" t="str">
            <v>RASPATORY, MARTIN-LANGEN., ANG., 12 MM</v>
          </cell>
        </row>
        <row r="3931">
          <cell r="B3931" t="str">
            <v>23-400-10-07</v>
          </cell>
          <cell r="C3931" t="str">
            <v>RASPATORIUM, MARTIN-HOEN, 7 MM, 16 CM</v>
          </cell>
          <cell r="D3931" t="str">
            <v>RASPATORY, MARTIN-HOEN, 7 MM, 16 CM</v>
          </cell>
        </row>
        <row r="3932">
          <cell r="B3932" t="str">
            <v>23-400-11-07</v>
          </cell>
          <cell r="C3932" t="str">
            <v>RASPATORIUM, MARTIN-HOEN, 15 MM, 18,5 CM</v>
          </cell>
          <cell r="D3932" t="str">
            <v>RASPATORY, MARTIN-HOEN, 15 MM, 18.5 CM</v>
          </cell>
        </row>
        <row r="3933">
          <cell r="B3933" t="str">
            <v>23-400-12-07</v>
          </cell>
          <cell r="C3933" t="str">
            <v>RASPATORIUM, MARTIN-HOEN, 20 MM, 19 CM</v>
          </cell>
          <cell r="D3933" t="str">
            <v>RASPATORY, MARTIN-HOEN, 20 MM, 19 CM</v>
          </cell>
        </row>
        <row r="3934">
          <cell r="B3934" t="str">
            <v>23-400-18-07</v>
          </cell>
          <cell r="C3934" t="str">
            <v>SEPTUMELEVATOR., FREER, DENTALHANDGRIFF</v>
          </cell>
          <cell r="D3934" t="str">
            <v>FREER SEPTUM ELEVATOR,  HANDLE</v>
          </cell>
        </row>
        <row r="3935">
          <cell r="B3935" t="str">
            <v>23-400-20-07</v>
          </cell>
          <cell r="C3935" t="str">
            <v>RASPATORIUM, MARTIN-CUSH., 4 MM, 17,5 CM</v>
          </cell>
          <cell r="D3935" t="str">
            <v>RASPATORY, MARTIN-CUSH., 4 MM, 17.5 CM</v>
          </cell>
        </row>
        <row r="3936">
          <cell r="B3936" t="str">
            <v>23-400-21-07</v>
          </cell>
          <cell r="C3936" t="str">
            <v>RASPATORIUM, MARTIN-CUSH., 6 MM, 17,5 CM</v>
          </cell>
          <cell r="D3936" t="str">
            <v>RASPATORY, MARTIN-CUSH., 6 MM, 17.5 CM</v>
          </cell>
        </row>
        <row r="3937">
          <cell r="B3937" t="str">
            <v>23-400-25-07</v>
          </cell>
          <cell r="C3937" t="str">
            <v>RASPATORIUM, MARTIN-CUSH., 5 MM, 19,5 CM</v>
          </cell>
          <cell r="D3937" t="str">
            <v>RASPATORY, MARTIN-CUSH., 5 MM, 19.5 CM</v>
          </cell>
        </row>
        <row r="3938">
          <cell r="B3938" t="str">
            <v>23-400-26-07</v>
          </cell>
          <cell r="C3938" t="str">
            <v>RASPATORIUM, MARTIN-CUSH., 7 MM, 19,5 CM</v>
          </cell>
          <cell r="D3938" t="str">
            <v>RASPATORY, MARTIN-CUSH., 7 MM, 19.5 CM</v>
          </cell>
        </row>
        <row r="3939">
          <cell r="B3939" t="str">
            <v>23-400-30-07</v>
          </cell>
          <cell r="C3939" t="str">
            <v>RASPATORIUM, MARTIN-CUSHING, 8 MM, 17 CM</v>
          </cell>
          <cell r="D3939" t="str">
            <v>RASPATORY, MARTIN-CUSHING, 8 MM, 17 CM</v>
          </cell>
        </row>
        <row r="3940">
          <cell r="B3940" t="str">
            <v>23-401-18-07</v>
          </cell>
          <cell r="C3940" t="str">
            <v>RASPATORIUM, LANGENBECK, GEW., 18 CM</v>
          </cell>
          <cell r="D3940" t="str">
            <v>RASPATORY, LANGENBECK, ANG., 18 CM</v>
          </cell>
        </row>
        <row r="3941">
          <cell r="B3941" t="str">
            <v>23-402-18-07</v>
          </cell>
          <cell r="C3941" t="str">
            <v>RASPATORIUM, MICRO NACH DR.IGLHAUT, 18CM</v>
          </cell>
          <cell r="D3941" t="str">
            <v>PERIOSTEAL ELEVATOR  DR.IGLHAUT, 18 CM</v>
          </cell>
        </row>
        <row r="3942">
          <cell r="B3942" t="str">
            <v>23-402-19-07</v>
          </cell>
          <cell r="C3942" t="str">
            <v>RASPATORIUM, LANGENBECK, GEB., 19 CM</v>
          </cell>
          <cell r="D3942" t="str">
            <v>RASPATORY, LANGENBECK, CVD., 19 CM</v>
          </cell>
        </row>
        <row r="3943">
          <cell r="B3943" t="str">
            <v>23-404-18-07</v>
          </cell>
          <cell r="C3943" t="str">
            <v>Raspatorium, Landolt, 4,5 mm</v>
          </cell>
          <cell r="D3943" t="str">
            <v>Raspatory,  Landolt, 4.5 MM</v>
          </cell>
        </row>
        <row r="3944">
          <cell r="B3944" t="str">
            <v>23-406-16-07</v>
          </cell>
          <cell r="C3944" t="str">
            <v>Raspatorium, König, 15,5 cm</v>
          </cell>
          <cell r="D3944" t="str">
            <v>Raspatory,  König, 15.5 cm</v>
          </cell>
        </row>
        <row r="3945">
          <cell r="B3945" t="str">
            <v>23-406-18-07</v>
          </cell>
          <cell r="C3945" t="str">
            <v>Mikroelevator Papilla nach Akiyama</v>
          </cell>
          <cell r="D3945" t="str">
            <v>Micro Elevator Papilla acc. to Akiyama</v>
          </cell>
        </row>
        <row r="3946">
          <cell r="B3946" t="str">
            <v>23-407-18-07</v>
          </cell>
          <cell r="C3946" t="str">
            <v>Mikroelevator Perio nach Akiyama Fig. 1</v>
          </cell>
          <cell r="D3946" t="str">
            <v>Micro Elev. Envelope  acc. to Akiyama F.1</v>
          </cell>
        </row>
        <row r="3947">
          <cell r="B3947" t="str">
            <v>23-407-19-07</v>
          </cell>
          <cell r="C3947" t="str">
            <v>Papilla-Elevator nach Akiyama NEU</v>
          </cell>
          <cell r="D3947" t="str">
            <v>Papilla Elevator acc. to Akiyama NEW</v>
          </cell>
        </row>
        <row r="3948">
          <cell r="B3948" t="str">
            <v>23-410-01-07</v>
          </cell>
          <cell r="C3948" t="str">
            <v>RASPATORIUM, MICRO, 5D</v>
          </cell>
          <cell r="D3948" t="str">
            <v>PERIOST.ELEVATOR, MICRO, 5D</v>
          </cell>
        </row>
        <row r="3949">
          <cell r="B3949" t="str">
            <v>23-412-20-07</v>
          </cell>
          <cell r="C3949" t="str">
            <v>Raspatorium, Cottle, geb., 19,5 cm</v>
          </cell>
          <cell r="D3949" t="str">
            <v>Raspatory,  Cottle, cvd., 19.5 cm</v>
          </cell>
        </row>
        <row r="3950">
          <cell r="B3950" t="str">
            <v>23-414-19-07</v>
          </cell>
          <cell r="C3950" t="str">
            <v>Raspatorium, Sedillot, 18 mm, 19 cm</v>
          </cell>
          <cell r="D3950" t="str">
            <v>Raspatory,  Sedillot, 18 mm, 19 cm</v>
          </cell>
        </row>
        <row r="3951">
          <cell r="B3951" t="str">
            <v>23-416-11-07</v>
          </cell>
          <cell r="C3951" t="str">
            <v>Raspatorium, Farab.-Collin, ger., 11 mm</v>
          </cell>
          <cell r="D3951" t="str">
            <v>Raspatory,  Farab.-Collin, str., 11 mm</v>
          </cell>
        </row>
        <row r="3952">
          <cell r="B3952" t="str">
            <v>23-417-11-07</v>
          </cell>
          <cell r="C3952" t="str">
            <v>Raspatorium, Farab.-Collin, geb., 11 mm</v>
          </cell>
          <cell r="D3952" t="str">
            <v>Raspatory,  Farab.-Collin, cvd., 11 mm</v>
          </cell>
        </row>
        <row r="3953">
          <cell r="B3953" t="str">
            <v>23-418-15-07</v>
          </cell>
          <cell r="C3953" t="str">
            <v>RASPATORIUM, FARABEUF, GER., 15,5 CM</v>
          </cell>
          <cell r="D3953" t="str">
            <v>RASPATORY, FARABEUF, STR., 15.5 CM</v>
          </cell>
        </row>
        <row r="3954">
          <cell r="B3954" t="str">
            <v>23-419-15-07</v>
          </cell>
          <cell r="C3954" t="str">
            <v>RASPATORIUM, FARABEUF, GEB., 15,5 CM</v>
          </cell>
          <cell r="D3954" t="str">
            <v>RASPATORY, FARABEUF, CVD., 15.5 CM</v>
          </cell>
        </row>
        <row r="3955">
          <cell r="B3955" t="str">
            <v>23-423-01-07</v>
          </cell>
          <cell r="C3955" t="str">
            <v>Raspatorium, Key, 6,5 mm</v>
          </cell>
          <cell r="D3955" t="str">
            <v>Raspatory,  Key, 6.5 MM</v>
          </cell>
        </row>
        <row r="3956">
          <cell r="B3956" t="str">
            <v>23-423-02-07</v>
          </cell>
          <cell r="C3956" t="str">
            <v>Raspatorium, Key, 9,5 mm, 19 cm</v>
          </cell>
          <cell r="D3956" t="str">
            <v>Raspatory,  Key, 9.5 mm, 19 cm</v>
          </cell>
        </row>
        <row r="3957">
          <cell r="B3957" t="str">
            <v>23-423-03-07</v>
          </cell>
          <cell r="C3957" t="str">
            <v>Raspatorium, Key, 12,5 mm</v>
          </cell>
          <cell r="D3957" t="str">
            <v>Raspatory,  Key, 12.5 MM</v>
          </cell>
        </row>
        <row r="3958">
          <cell r="B3958" t="str">
            <v>23-423-04-07</v>
          </cell>
          <cell r="C3958" t="str">
            <v>Raspatorium, Key, 19 mm, 20 cm</v>
          </cell>
          <cell r="D3958" t="str">
            <v>Raspatory,  Key, 19 mm, 20 cm</v>
          </cell>
        </row>
        <row r="3959">
          <cell r="B3959" t="str">
            <v>23-423-05-07</v>
          </cell>
          <cell r="C3959" t="str">
            <v>Raspatorium, Key, 25,5 mm, 21,5 cm</v>
          </cell>
          <cell r="D3959" t="str">
            <v>Raspatory,  Key, 25.5 mm, 21,5 cm</v>
          </cell>
        </row>
        <row r="3960">
          <cell r="B3960" t="str">
            <v>23-423-06-07</v>
          </cell>
          <cell r="C3960" t="str">
            <v>Raspatorium, Key, 3 mm, 18 cm</v>
          </cell>
          <cell r="D3960" t="str">
            <v>Raspatory,  Key, 3 mm, 18 cm</v>
          </cell>
        </row>
        <row r="3961">
          <cell r="B3961" t="str">
            <v>23-423-07-07</v>
          </cell>
          <cell r="C3961" t="str">
            <v>Raspatorium, Key, 16 mm, 20 cm</v>
          </cell>
          <cell r="D3961" t="str">
            <v>Raspatory,  Key, 16 mm, 20 cm</v>
          </cell>
        </row>
        <row r="3962">
          <cell r="B3962" t="str">
            <v>23-425-06-07</v>
          </cell>
          <cell r="C3962" t="str">
            <v>Raspatorium, Cobbs, 6 mm, 29 cm</v>
          </cell>
          <cell r="D3962" t="str">
            <v>Raspatory,  Cobbs, 6 mm, 29 cm</v>
          </cell>
        </row>
        <row r="3963">
          <cell r="B3963" t="str">
            <v>23-425-10-07</v>
          </cell>
          <cell r="C3963" t="str">
            <v>Raspatorium, Cobbs, 10 mm, 29 cm</v>
          </cell>
          <cell r="D3963" t="str">
            <v>Raspatory,  Cobbs, 10 mm, 29 cm</v>
          </cell>
        </row>
        <row r="3964">
          <cell r="B3964" t="str">
            <v>23-425-13-07</v>
          </cell>
          <cell r="C3964" t="str">
            <v>Raspatorium, Cobbs, 13 mm, 29 cm</v>
          </cell>
          <cell r="D3964" t="str">
            <v>Raspatory,  Cobbs, 13 mm, 29 cm</v>
          </cell>
        </row>
        <row r="3965">
          <cell r="B3965" t="str">
            <v>23-425-19-07</v>
          </cell>
          <cell r="C3965" t="str">
            <v>Raspatorium, Cobbs, 19 mm, 29 cm</v>
          </cell>
          <cell r="D3965" t="str">
            <v>Raspatory,  Cobbs, 19 mm, 29 cm</v>
          </cell>
        </row>
        <row r="3966">
          <cell r="B3966" t="str">
            <v>23-425-25-07</v>
          </cell>
          <cell r="C3966" t="str">
            <v>Raspatorium, Cobbs, 25 mm, 29 cm</v>
          </cell>
          <cell r="D3966" t="str">
            <v>Raspatory,  Cobbs, 25 mm, 29 cm</v>
          </cell>
        </row>
        <row r="3967">
          <cell r="B3967" t="str">
            <v>23-426-06-07</v>
          </cell>
          <cell r="C3967" t="str">
            <v>Raspatorium, Cobbs, 6 mm, 23 cm</v>
          </cell>
          <cell r="D3967" t="str">
            <v>Raspatory,  Cobbs, 6 mm, 23 cm</v>
          </cell>
        </row>
        <row r="3968">
          <cell r="B3968" t="str">
            <v>23-426-10-07</v>
          </cell>
          <cell r="C3968" t="str">
            <v>Raspatorium, Cobbs, 10 mm, 23 cm</v>
          </cell>
          <cell r="D3968" t="str">
            <v>Raspatory,  Cobbs, 10 mm, 23 cm</v>
          </cell>
        </row>
        <row r="3969">
          <cell r="B3969" t="str">
            <v>23-426-13-07</v>
          </cell>
          <cell r="C3969" t="str">
            <v>Raspatorium, Cobbs, 13 mm, 23 cm</v>
          </cell>
          <cell r="D3969" t="str">
            <v>Raspatory,  Cobbs, 13 mm, 23 cm</v>
          </cell>
        </row>
        <row r="3970">
          <cell r="B3970" t="str">
            <v>23-426-19-07</v>
          </cell>
          <cell r="C3970" t="str">
            <v>Raspatorium, Cobbs, 19 mm, 23 cm</v>
          </cell>
          <cell r="D3970" t="str">
            <v>Raspatory,  Cobbs, 19 mm, 23 cm</v>
          </cell>
        </row>
        <row r="3971">
          <cell r="B3971" t="str">
            <v>23-426-25-07</v>
          </cell>
          <cell r="C3971" t="str">
            <v>Raspatorium, Cobbs, 25 mm, 23 cm</v>
          </cell>
          <cell r="D3971" t="str">
            <v>Raspatory,  Cobbs, 25 mm, 23 cm</v>
          </cell>
        </row>
        <row r="3972">
          <cell r="B3972" t="str">
            <v>23-428-06-04</v>
          </cell>
          <cell r="C3972" t="str">
            <v>Raspatorium, ger., ger., Si., 20 cm</v>
          </cell>
          <cell r="D3972" t="str">
            <v>Raspatory,  str., str., si., 20 cm</v>
          </cell>
        </row>
        <row r="3973">
          <cell r="B3973" t="str">
            <v>23-429-14-04</v>
          </cell>
          <cell r="C3973" t="str">
            <v>Raspatorium, ger., rund, Si., 20 cm</v>
          </cell>
          <cell r="D3973" t="str">
            <v>Raspatory,  str., round, si., 20 cm</v>
          </cell>
        </row>
        <row r="3974">
          <cell r="B3974" t="str">
            <v>23-432-14-04</v>
          </cell>
          <cell r="C3974" t="str">
            <v>Raspatorium, geb., rund, Si., 20 cm</v>
          </cell>
          <cell r="D3974" t="str">
            <v>Raspatory,  cvd., round, si., 20 cm</v>
          </cell>
        </row>
        <row r="3975">
          <cell r="B3975" t="str">
            <v>23-432-18-04</v>
          </cell>
          <cell r="C3975" t="str">
            <v>Raspatorium, geb., rund, Si., 20 cm</v>
          </cell>
          <cell r="D3975" t="str">
            <v>Raspatory,  cvd., round, si., 20 cm</v>
          </cell>
        </row>
        <row r="3976">
          <cell r="B3976" t="str">
            <v>23-433-03-04</v>
          </cell>
          <cell r="C3976" t="str">
            <v>Raspatorium, geb., ger., Si., 20 cm</v>
          </cell>
          <cell r="D3976" t="str">
            <v>Raspatory,  cvd., str., si., 20 CM</v>
          </cell>
        </row>
        <row r="3977">
          <cell r="B3977" t="str">
            <v>23-433-13-04</v>
          </cell>
          <cell r="C3977" t="str">
            <v>Raspatorium, geb., ger., Si., 20 cm</v>
          </cell>
          <cell r="D3977" t="str">
            <v>Raspatory,  cvd., str., si., 20 CM</v>
          </cell>
        </row>
        <row r="3978">
          <cell r="B3978" t="str">
            <v>23-433-18-04</v>
          </cell>
          <cell r="C3978" t="str">
            <v>Raspatorium, geb., ger., Si., 20 cm</v>
          </cell>
          <cell r="D3978" t="str">
            <v>Raspatory,  cvd., str., si., 20 CM</v>
          </cell>
        </row>
        <row r="3979">
          <cell r="B3979" t="str">
            <v>23-434-13-07</v>
          </cell>
          <cell r="C3979" t="str">
            <v>Rasparatorium, ger., rund, 5 mm, 12,5 cm</v>
          </cell>
          <cell r="D3979" t="str">
            <v>Raspatory,  str., round, 5 mm, 12.5 cm</v>
          </cell>
        </row>
        <row r="3980">
          <cell r="B3980" t="str">
            <v>23-435-17-07</v>
          </cell>
          <cell r="C3980" t="str">
            <v>RASPATORIUM, PRICHARD,  17 CM</v>
          </cell>
          <cell r="D3980" t="str">
            <v>PRICHARD-PERIOSTEAL ELEVATOR,  17 CM</v>
          </cell>
        </row>
        <row r="3981">
          <cell r="B3981" t="str">
            <v>23-435-19-07</v>
          </cell>
          <cell r="C3981" t="str">
            <v>MIKRO-ABHALTER, EMONS, 17,5 CM</v>
          </cell>
          <cell r="D3981" t="str">
            <v>EMONS-MICRO-RETRACTOR, 17,5 CM</v>
          </cell>
        </row>
        <row r="3982">
          <cell r="B3982" t="str">
            <v>23-436-04-07</v>
          </cell>
          <cell r="C3982" t="str">
            <v>RASPATORIUM, KAHRE-WILLIGER, GEB., 4 MM</v>
          </cell>
          <cell r="D3982" t="str">
            <v>RASPATORY, KAHRE-WILLIGER, CVD., 4 MM</v>
          </cell>
        </row>
        <row r="3983">
          <cell r="B3983" t="str">
            <v>23-436-05-07</v>
          </cell>
          <cell r="C3983" t="str">
            <v>RASPATORIUM, KAHRE-WILLIGER, GEB., 5 MM</v>
          </cell>
          <cell r="D3983" t="str">
            <v>RASPATORY, KAHRE-WILLIGER, CVD., 5 MM</v>
          </cell>
        </row>
        <row r="3984">
          <cell r="B3984" t="str">
            <v>23-436-07-07</v>
          </cell>
          <cell r="C3984" t="str">
            <v>RASPATORIUM, WILLIGER,  GEB., 7 MM, 16 CM</v>
          </cell>
          <cell r="D3984" t="str">
            <v>RASPATORY, WILLIGER,  CVD., 7 MM, 16 CM</v>
          </cell>
        </row>
        <row r="3985">
          <cell r="B3985" t="str">
            <v>23-436-16-07</v>
          </cell>
          <cell r="C3985" t="str">
            <v>RASPATORIUM, WILLIGER,  GEB.,6MM, 16 CM</v>
          </cell>
          <cell r="D3985" t="str">
            <v>RASPATORY, WILLIGER,  CVD., 5 MM, 16 CM</v>
          </cell>
        </row>
        <row r="3986">
          <cell r="B3986" t="str">
            <v>23-436-22-07</v>
          </cell>
          <cell r="C3986" t="str">
            <v>RASPATORIUM 3 MM, ABHALTER  30 GRAD</v>
          </cell>
          <cell r="D3986" t="str">
            <v>PERIOSTEAL ELEVATOR  3 MM, RETRACTOR 30°</v>
          </cell>
        </row>
        <row r="3987">
          <cell r="B3987" t="str">
            <v>23-436-23-07</v>
          </cell>
          <cell r="C3987" t="str">
            <v>RASPATORIUM 4 MM, ABHALTER  20 GRAD</v>
          </cell>
          <cell r="D3987" t="str">
            <v>PERIOSTEAL ELEVATOR  4 MM, RETRACTOR 20°</v>
          </cell>
        </row>
        <row r="3988">
          <cell r="B3988" t="str">
            <v>23-437-20-04</v>
          </cell>
          <cell r="C3988" t="str">
            <v>Raspatorium, ger., Si., 19 mm, 20 cm</v>
          </cell>
          <cell r="D3988" t="str">
            <v>Raspatory,  str., si., 20 mm, 19 cm</v>
          </cell>
        </row>
        <row r="3989">
          <cell r="B3989" t="str">
            <v>23-439-08-07</v>
          </cell>
          <cell r="C3989" t="str">
            <v>RASPATORIUM, GEB., 8 MM, 17 CM</v>
          </cell>
          <cell r="D3989" t="str">
            <v>RASPATORY, CVD., 8 MM, 17 CM</v>
          </cell>
        </row>
        <row r="3990">
          <cell r="B3990" t="str">
            <v>23-441-17-07</v>
          </cell>
          <cell r="C3990" t="str">
            <v>RIPPENRASPAT., DOYEN, RE., ERW., 17 CM</v>
          </cell>
          <cell r="D3990" t="str">
            <v>RIB RASPATORY, DOYEN, R., ADULT, 17 CM</v>
          </cell>
        </row>
        <row r="3991">
          <cell r="B3991" t="str">
            <v>23-443-17-07</v>
          </cell>
          <cell r="C3991" t="str">
            <v>RIPPENRASPAT., DOYEN, LI., ERW., 17 CM</v>
          </cell>
          <cell r="D3991" t="str">
            <v>RIB RASPATORY, DOYEN, L., ADULT, 17 CM</v>
          </cell>
        </row>
        <row r="3992">
          <cell r="B3992" t="str">
            <v>23-445-17-07</v>
          </cell>
          <cell r="C3992" t="str">
            <v>RIPPENRASPAT., DOYEN, LI., KIN., 18 CM</v>
          </cell>
          <cell r="D3992" t="str">
            <v>RIB RASPATORY, DOYEN, L., CHILD, 18 CM</v>
          </cell>
        </row>
        <row r="3993">
          <cell r="B3993" t="str">
            <v>23-446-18-07</v>
          </cell>
          <cell r="C3993" t="str">
            <v>DOPPELELEVATORIUM N. WEST, 18 CM</v>
          </cell>
          <cell r="D3993" t="str">
            <v>WEST-ELEVATOR, 18 CM</v>
          </cell>
        </row>
        <row r="3994">
          <cell r="B3994" t="str">
            <v>23-447-17-07</v>
          </cell>
          <cell r="C3994" t="str">
            <v>RIPPENRASPAT., DOYEN, RE., KIN., 18 CM</v>
          </cell>
          <cell r="D3994" t="str">
            <v>RIB RASPATORY, DOYEN, R., CHILD, 18 CM</v>
          </cell>
        </row>
        <row r="3995">
          <cell r="B3995" t="str">
            <v>23-448-01-09</v>
          </cell>
          <cell r="C3995" t="str">
            <v>MINI-DISSEKTOR U. GEWEBEPUSHER, TITAN</v>
          </cell>
          <cell r="D3995" t="str">
            <v>MINI-DISSECTOR - TISSUE PUSHER, TITANIUM</v>
          </cell>
        </row>
        <row r="3996">
          <cell r="B3996" t="str">
            <v>23-448-02-07</v>
          </cell>
          <cell r="C3996" t="str">
            <v>MINI-DISSEKTOR U. GEWEBEPUSHER, STAHL</v>
          </cell>
          <cell r="D3996" t="str">
            <v>MINI-DISSECTOR - TISSUE PUSHER, 18/8</v>
          </cell>
        </row>
        <row r="3997">
          <cell r="B3997" t="str">
            <v>23-448-11-07</v>
          </cell>
          <cell r="C3997" t="str">
            <v>RASPATORIUM/SPIEGELAUFNAHME</v>
          </cell>
          <cell r="D3997" t="str">
            <v>PERIOSTEAL ELEV./MIRROR HANDLE,  16,5 CM</v>
          </cell>
        </row>
        <row r="3998">
          <cell r="B3998" t="str">
            <v>23-448-21-07</v>
          </cell>
          <cell r="C3998" t="str">
            <v>RASPATORIUM, ALEXANDER, DOPP., 21 CM</v>
          </cell>
          <cell r="D3998" t="str">
            <v>RASPATORY, ALEXANDER, DOUBLE,  21 CM</v>
          </cell>
        </row>
        <row r="3999">
          <cell r="B3999" t="str">
            <v>23-449-00-07</v>
          </cell>
          <cell r="C3999" t="str">
            <v>RASPATORIUM, WOODSON, 17,5 CM</v>
          </cell>
          <cell r="D3999" t="str">
            <v>PERIOST.ELEV. WOODSON, 17,5 CM</v>
          </cell>
        </row>
        <row r="4000">
          <cell r="B4000" t="str">
            <v>23-449-18-07</v>
          </cell>
          <cell r="C4000" t="str">
            <v>ELEVATORIUM, OHL, 17,5 CM</v>
          </cell>
          <cell r="D4000" t="str">
            <v>OHL-ELEVATOR, 17,5 CM</v>
          </cell>
        </row>
        <row r="4001">
          <cell r="B4001" t="str">
            <v>23-450-01-07</v>
          </cell>
          <cell r="C4001" t="str">
            <v>Raspatorium, Semb, Fig. 1, 12 MM, 17,5CM</v>
          </cell>
          <cell r="D4001" t="str">
            <v>Raspatory,  Semb, NO. 1, 12 MM, 17,5 CM</v>
          </cell>
        </row>
        <row r="4002">
          <cell r="B4002" t="str">
            <v>23-450-02-07</v>
          </cell>
          <cell r="C4002" t="str">
            <v>Raspatorium, Semb, Fig. 2, 12 MM, 20,5MM</v>
          </cell>
          <cell r="D4002" t="str">
            <v>Raspatory,  Semb, NO. 2, 12 MM, 20,5 CM</v>
          </cell>
        </row>
        <row r="4003">
          <cell r="B4003" t="str">
            <v>23-450-03-07</v>
          </cell>
          <cell r="C4003" t="str">
            <v>Raspatorium, Semb, Fig. 3, 13 MM, 18 CM</v>
          </cell>
          <cell r="D4003" t="str">
            <v>Raspatory,  Semb, NO. 3, 13 MM, 18 CM</v>
          </cell>
        </row>
        <row r="4004">
          <cell r="B4004" t="str">
            <v>23-450-04-07</v>
          </cell>
          <cell r="C4004" t="str">
            <v>Raspatorium, Semb, Fig. 4, 13 MM, 21,5CM</v>
          </cell>
          <cell r="D4004" t="str">
            <v>Raspatory,  Semb, NO. 4, 13 MM, 21,5 CM</v>
          </cell>
        </row>
        <row r="4005">
          <cell r="B4005" t="str">
            <v>23-450-05-07</v>
          </cell>
          <cell r="C4005" t="str">
            <v>Raspatorium, Semb, Fig. 15 MM, 20,5  CM</v>
          </cell>
          <cell r="D4005" t="str">
            <v>Raspatory,  Semb,NO.  5, 15 MM, 20,5 CM</v>
          </cell>
        </row>
        <row r="4006">
          <cell r="B4006" t="str">
            <v>23-452-09-07</v>
          </cell>
          <cell r="C4006" t="str">
            <v>RASPATORIUM, MOLT, FIG. 9</v>
          </cell>
          <cell r="D4006" t="str">
            <v>MOLT-PERIOSTEAL ELEVATOR,  FIG.9</v>
          </cell>
        </row>
        <row r="4007">
          <cell r="B4007" t="str">
            <v>23-452-51-07</v>
          </cell>
          <cell r="C4007" t="str">
            <v>RASPATORIUM, MOLT, FIG. 851, 18 CM</v>
          </cell>
          <cell r="D4007" t="str">
            <v>MOLT-PERIOSTEAL ELEVATOR,  FIG.851, 18CM</v>
          </cell>
        </row>
        <row r="4008">
          <cell r="B4008" t="str">
            <v>23-452-54-07</v>
          </cell>
          <cell r="C4008" t="str">
            <v>RASPATORIUM, MOLT, FIG. 854, 18 CM</v>
          </cell>
          <cell r="D4008" t="str">
            <v>MOLT-PERIOSTEAL ELEVATOR,  FIG.854, 18CM</v>
          </cell>
        </row>
        <row r="4009">
          <cell r="B4009" t="str">
            <v>23-454-19-07</v>
          </cell>
          <cell r="C4009" t="str">
            <v>RASPATORIUM, ALIJBERG,  19 CM</v>
          </cell>
          <cell r="D4009" t="str">
            <v>ALIJBERG-PERIOSTEAL ELEVATOR,  19CM</v>
          </cell>
        </row>
        <row r="4010">
          <cell r="B4010" t="str">
            <v>23-461-05-07</v>
          </cell>
          <cell r="C4010" t="str">
            <v>Raspatorium, Lambotte,  5 mm, 21,5 cm</v>
          </cell>
          <cell r="D4010" t="str">
            <v>Raspatory,  Lambotte,  5 mm, 21.5 cm</v>
          </cell>
        </row>
        <row r="4011">
          <cell r="B4011" t="str">
            <v>23-461-10-07</v>
          </cell>
          <cell r="C4011" t="str">
            <v>RASPATORIUM, LAMBOTTE, 10 MM, 21,5 CM</v>
          </cell>
          <cell r="D4011" t="str">
            <v>RASPATORY, LAMBOTTE, 10 MM, 21.5 CM</v>
          </cell>
        </row>
        <row r="4012">
          <cell r="B4012" t="str">
            <v>23-461-15-07</v>
          </cell>
          <cell r="C4012" t="str">
            <v>RASPATORIUM, LAMBOTTE, 15 MM, 21,5 CM</v>
          </cell>
          <cell r="D4012" t="str">
            <v>RASPATORY, LAMBOTTE, 15 MM, 21.5 CM</v>
          </cell>
        </row>
        <row r="4013">
          <cell r="B4013" t="str">
            <v>23-461-20-07</v>
          </cell>
          <cell r="C4013" t="str">
            <v>RASPATORIUM, LAMBOTTE, 20 MM, 21,5 CM</v>
          </cell>
          <cell r="D4013" t="str">
            <v>RASPATORY, LAMBOTTE, 20 MM, 21.5 CM</v>
          </cell>
        </row>
        <row r="4014">
          <cell r="B4014" t="str">
            <v>23-461-25-07</v>
          </cell>
          <cell r="C4014" t="str">
            <v>RASPATORIUM, LAMBOTTE, 25 MM, 21,5 CM</v>
          </cell>
          <cell r="D4014" t="str">
            <v>RASPATORY, LAMBOTTE, 25 MM, 21.5 CM</v>
          </cell>
        </row>
        <row r="4015">
          <cell r="B4015" t="str">
            <v>23-481-24-07</v>
          </cell>
          <cell r="C4015" t="str">
            <v>KNOCHENFEILE, BAJONETTF., 13 MM, 25 CM</v>
          </cell>
          <cell r="D4015" t="str">
            <v>BONE FILE, BAYONET  SHAPE, 13 MM, 25 CM</v>
          </cell>
        </row>
        <row r="4016">
          <cell r="B4016" t="str">
            <v>23-482-22-07</v>
          </cell>
          <cell r="C4016" t="str">
            <v>KNOCHENFEILE, FLACH, 20 MM, 22 CM</v>
          </cell>
          <cell r="D4016" t="str">
            <v>BONE FILE, FLAT, 20 MM, 22 CM</v>
          </cell>
        </row>
        <row r="4017">
          <cell r="B4017" t="str">
            <v>23-484-17-07</v>
          </cell>
          <cell r="C4017" t="str">
            <v>ELEVATORIUM, ADSON, GER., 17 CM</v>
          </cell>
          <cell r="D4017" t="str">
            <v>ELEVATOR,  ADSON, STR., 17 CM</v>
          </cell>
        </row>
        <row r="4018">
          <cell r="B4018" t="str">
            <v>23-485-17-07</v>
          </cell>
          <cell r="C4018" t="str">
            <v>ELEVATORIUM, ADSON, GEB., RUND, 17,5 CM</v>
          </cell>
          <cell r="D4018" t="str">
            <v>ELEVATOR,  ADSON, CVD., ROUND, 17.5 CM</v>
          </cell>
        </row>
        <row r="4019">
          <cell r="B4019" t="str">
            <v>23-486-17-07</v>
          </cell>
          <cell r="C4019" t="str">
            <v>ELEVATORIUM, ADSON, GER., RUND, 17,5 CM</v>
          </cell>
          <cell r="D4019" t="str">
            <v>ELEVATOR,  ADSON, STR., ROUND, 17.5 CM</v>
          </cell>
        </row>
        <row r="4020">
          <cell r="B4020" t="str">
            <v>23-487-17-07</v>
          </cell>
          <cell r="C4020" t="str">
            <v>ELEVATORIUM, ADSON, GEB., RUND, 17 CM</v>
          </cell>
          <cell r="D4020" t="str">
            <v>ELEVATOR,  ADSON, CVD., ROUND, 17 CM</v>
          </cell>
        </row>
        <row r="4021">
          <cell r="B4021" t="str">
            <v>23-490-01-07</v>
          </cell>
          <cell r="C4021" t="str">
            <v>KNOCHENFEILE, MILLER-COL., FIG. 1, 18 CM</v>
          </cell>
          <cell r="D4021" t="str">
            <v>BONE FILE, MILLER-COLBURN, NO. 1, 18 CM</v>
          </cell>
        </row>
        <row r="4022">
          <cell r="B4022" t="str">
            <v>23-490-02-07</v>
          </cell>
          <cell r="C4022" t="str">
            <v>KNOCHENFEILE, MILLER-COL., FIG. 2, 18 CM</v>
          </cell>
          <cell r="D4022" t="str">
            <v>BONE FILE, MILLER-COLBURN, NO. 2, 18 CM</v>
          </cell>
        </row>
        <row r="4023">
          <cell r="B4023" t="str">
            <v>23-490-03-07</v>
          </cell>
          <cell r="C4023" t="str">
            <v>KNOCHENFEILE, MILLER-COL., FIG. 3, 18 CM</v>
          </cell>
          <cell r="D4023" t="str">
            <v>BONE FILE, MILLER-COLBURN, NO. 3, 18 CM</v>
          </cell>
        </row>
        <row r="4024">
          <cell r="B4024" t="str">
            <v>23-490-04-07</v>
          </cell>
          <cell r="C4024" t="str">
            <v>KNOCHENFEILE, MILLER-COL., FIG. 4, 18 CM</v>
          </cell>
          <cell r="D4024" t="str">
            <v>BONE FILE, MILLER-COLBURN, NO. 4, 18 CM</v>
          </cell>
        </row>
        <row r="4025">
          <cell r="B4025" t="str">
            <v>23-490-05-07</v>
          </cell>
          <cell r="C4025" t="str">
            <v>KNOCHENFEILE, MILLER-COL., FIG. 5, 18 CM</v>
          </cell>
          <cell r="D4025" t="str">
            <v>BONE FILE, MILLER-COLBURN, NO. 5, 18 CM</v>
          </cell>
        </row>
        <row r="4026">
          <cell r="B4026" t="str">
            <v>23-491-01-07</v>
          </cell>
          <cell r="C4026" t="str">
            <v>KNOCHENFEILE, KREUZHIEB, FIG. 1, 18 CM</v>
          </cell>
          <cell r="D4026" t="str">
            <v>BONE FILE, CROSS SERRATION, NO. 1, 18 CM</v>
          </cell>
        </row>
        <row r="4027">
          <cell r="B4027" t="str">
            <v>23-491-02-07</v>
          </cell>
          <cell r="C4027" t="str">
            <v>KNOCHENFEILE, KREUZHIEB, FIG. 2, 18 CM</v>
          </cell>
          <cell r="D4027" t="str">
            <v>BONE FILE, CROSS SERRATION, NO. 2, 18 CM</v>
          </cell>
        </row>
        <row r="4028">
          <cell r="B4028" t="str">
            <v>23-491-03-07</v>
          </cell>
          <cell r="C4028" t="str">
            <v>KNOCHENFEILE, KREUZHIEB, FIG. 3, 18 CM</v>
          </cell>
          <cell r="D4028" t="str">
            <v>BONE FILE, CROSS SERRATION, NO. 3, 18 CM</v>
          </cell>
        </row>
        <row r="4029">
          <cell r="B4029" t="str">
            <v>23-491-04-07</v>
          </cell>
          <cell r="C4029" t="str">
            <v>KNOCHENFEILE, KREUZHIEB, FIG. 4, 18 CM</v>
          </cell>
          <cell r="D4029" t="str">
            <v>BONE FILE, CROSS SERRATION, NO. 4, 18 CM</v>
          </cell>
        </row>
        <row r="4030">
          <cell r="B4030" t="str">
            <v>23-492-01-07</v>
          </cell>
          <cell r="C4030" t="str">
            <v>TC-KNOCHENFEILE, MILLER, GROB, 19 CM</v>
          </cell>
          <cell r="D4030" t="str">
            <v>TC-BONE  FILE, MILLER, COARSE, 19 CM</v>
          </cell>
        </row>
        <row r="4031">
          <cell r="B4031" t="str">
            <v>23-493-01-07</v>
          </cell>
          <cell r="C4031" t="str">
            <v>TC-KNOCHENFEILE, MILLER, FEIN, 18 CM</v>
          </cell>
          <cell r="D4031" t="str">
            <v>TC-BONE  FILE, MILLER, FINE, 18 CM</v>
          </cell>
        </row>
        <row r="4032">
          <cell r="B4032" t="str">
            <v>23-495-20-07</v>
          </cell>
          <cell r="C4032" t="str">
            <v>ELEVATORIUM, LANGENBECK, 8 MM, 19,5 CM</v>
          </cell>
          <cell r="D4032" t="str">
            <v>ELEVATOR,  LANGENBECK, 8 MM, 19.5 CM</v>
          </cell>
        </row>
        <row r="4033">
          <cell r="B4033" t="str">
            <v>23-497-20-07</v>
          </cell>
          <cell r="C4033" t="str">
            <v>ELEVATORIUM, LANGENBECK, 10 MM, 19,5 CM</v>
          </cell>
          <cell r="D4033" t="str">
            <v>ELEVATOR,  LANGENBECK, 10 MM, 19.5 CM</v>
          </cell>
        </row>
        <row r="4034">
          <cell r="B4034" t="str">
            <v>23-499-01-07</v>
          </cell>
          <cell r="C4034" t="str">
            <v>ELEVATORIUM, MARTIN-LANG., 5 MM, 17 CM</v>
          </cell>
          <cell r="D4034" t="str">
            <v>ELEVATOR,  MARTIN-LANGENB., 5 MM, 17 CM</v>
          </cell>
        </row>
        <row r="4035">
          <cell r="B4035" t="str">
            <v>23-499-02-07</v>
          </cell>
          <cell r="C4035" t="str">
            <v>ELEVATORIUM, MARTIN-LANG., 7 MM, 17 CM</v>
          </cell>
          <cell r="D4035" t="str">
            <v>ELEVATOR,  MARTIN-LANGENB., 7 MM, 17 CM</v>
          </cell>
        </row>
        <row r="4036">
          <cell r="B4036" t="str">
            <v>23-499-03-07</v>
          </cell>
          <cell r="C4036" t="str">
            <v>ELEVATORIUM, MARTIN-LANG., 8 MM, 19,5 CM</v>
          </cell>
          <cell r="D4036" t="str">
            <v>ELEVATOR,  MARTIN-LANGENB., 8 MM, 19.5 CM</v>
          </cell>
        </row>
        <row r="4037">
          <cell r="B4037" t="str">
            <v>23-499-04-07</v>
          </cell>
          <cell r="C4037" t="str">
            <v>ELEVATORIUM, MARTIN-LANG., 10 MM, 19,5CM</v>
          </cell>
          <cell r="D4037" t="str">
            <v>ELEVATOR,  MARTIN-LANGEN., 10 MM, 19.5 CM</v>
          </cell>
        </row>
        <row r="4038">
          <cell r="B4038" t="str">
            <v>23-500-02-07</v>
          </cell>
          <cell r="C4038" t="str">
            <v>MINI-RASPAT./MEMBRANPLAZIERINST., 18 CM</v>
          </cell>
          <cell r="D4038" t="str">
            <v>MINI-PERIOST./MEMBR. PLAC. INST., 18 CM</v>
          </cell>
        </row>
        <row r="4039">
          <cell r="B4039" t="str">
            <v>23-510-17-07</v>
          </cell>
          <cell r="C4039" t="str">
            <v>ELEVATORIUM, WILLIGER,  7 MM, 17 CM</v>
          </cell>
          <cell r="D4039" t="str">
            <v>ELEVATOR,  WILLIGER,  7 MM, 17 CM</v>
          </cell>
        </row>
        <row r="4040">
          <cell r="B4040" t="str">
            <v>23-513-16-07</v>
          </cell>
          <cell r="C4040" t="str">
            <v>ELEVATORIUM, WILLIGER,  4 MM, 16 CM</v>
          </cell>
          <cell r="D4040" t="str">
            <v>ELEVATOR,  WILLIGER,  4 MM, 16 CM</v>
          </cell>
        </row>
        <row r="4041">
          <cell r="B4041" t="str">
            <v>23-515-23-07</v>
          </cell>
          <cell r="C4041" t="str">
            <v>RASPATORIUM, SELDIN, FIG. 23</v>
          </cell>
          <cell r="D4041" t="str">
            <v>SELDIN RASPATORY      FIG 23</v>
          </cell>
        </row>
        <row r="4042">
          <cell r="B4042" t="str">
            <v>23-516-18-07</v>
          </cell>
          <cell r="C4042" t="str">
            <v>Elevatorium, Sebileau,  5 mm, 17,5 cm</v>
          </cell>
          <cell r="D4042" t="str">
            <v>Elevator,  Sebileau,  5 mm, 17.5 cm</v>
          </cell>
        </row>
        <row r="4043">
          <cell r="B4043" t="str">
            <v>23-517-20-07</v>
          </cell>
          <cell r="C4043" t="str">
            <v>Elevatorium, Quervain,  6 mm, 19,5 cm</v>
          </cell>
          <cell r="D4043" t="str">
            <v>Elevator,  Quervain,  6 mm, 19.5 cm</v>
          </cell>
        </row>
        <row r="4044">
          <cell r="B4044" t="str">
            <v>23-523-16-07</v>
          </cell>
          <cell r="C4044" t="str">
            <v>PHALANGENHEBEL, 16 CM</v>
          </cell>
          <cell r="D4044" t="str">
            <v>PHALANGEAL LEVER, 16 CM</v>
          </cell>
        </row>
        <row r="4045">
          <cell r="B4045" t="str">
            <v>23-525-21-07</v>
          </cell>
          <cell r="C4045" t="str">
            <v>DOPPELDISSEKTOR, ALDERDYCE, 21 CM</v>
          </cell>
          <cell r="D4045" t="str">
            <v>DISSECTOR, ALDERDYCE, DOUBLE,  21 CM</v>
          </cell>
        </row>
        <row r="4046">
          <cell r="B4046" t="str">
            <v>23-526-18-07</v>
          </cell>
          <cell r="C4046" t="str">
            <v>DOPPELDISSEKTOR, WATSON-CHEYNE, 17,5 CM</v>
          </cell>
          <cell r="D4046" t="str">
            <v>DOUBLE DISSECTOR, WATSON-CHEYNE, 17.5 CM</v>
          </cell>
        </row>
        <row r="4047">
          <cell r="B4047" t="str">
            <v>23-527-19-07</v>
          </cell>
          <cell r="C4047" t="str">
            <v>DOPPELDISSEKTOR, MCDONALD, 18,5 CM</v>
          </cell>
          <cell r="D4047" t="str">
            <v>DISSECTOR, MCDONALD, DOUBLE,  18.5 CM</v>
          </cell>
        </row>
        <row r="4048">
          <cell r="B4048" t="str">
            <v>23-537-06-07</v>
          </cell>
          <cell r="C4048" t="str">
            <v>KNOCHENHEBEL, STARK GEB., 6 MM, 15 CM</v>
          </cell>
          <cell r="D4048" t="str">
            <v>BONE LEVER, STRONG CVD., 6 MM, 15 CM</v>
          </cell>
        </row>
        <row r="4049">
          <cell r="B4049" t="str">
            <v>23-539-06-07</v>
          </cell>
          <cell r="C4049" t="str">
            <v>KNOCHENHEBEL, MINI-HOHMANN, 6 MM, 16 CM</v>
          </cell>
          <cell r="D4049" t="str">
            <v>BONE LEVER, MINI-HOHMANN, 6 MM, 16 CM</v>
          </cell>
        </row>
        <row r="4050">
          <cell r="B4050" t="str">
            <v>23-539-08-07</v>
          </cell>
          <cell r="C4050" t="str">
            <v>KNOCHENHEBEL, MINI-HOHMANN, 8 MM, 16 CM</v>
          </cell>
          <cell r="D4050" t="str">
            <v>BONE LEVER, MINI-HOHMANN, 8 MM, 16 CM</v>
          </cell>
        </row>
        <row r="4051">
          <cell r="B4051" t="str">
            <v>23-539-15-07</v>
          </cell>
          <cell r="C4051" t="str">
            <v>KNOCHENHEBEL, 15 MM, 16 CM</v>
          </cell>
          <cell r="D4051" t="str">
            <v>BONE LEVER, 15 MM, 16 CM</v>
          </cell>
        </row>
        <row r="4052">
          <cell r="B4052" t="str">
            <v>23-539-16-07</v>
          </cell>
          <cell r="C4052" t="str">
            <v>KNOCHENHEBEL, 15 MM, 12 CM</v>
          </cell>
          <cell r="D4052" t="str">
            <v>BONE LEVER, 15 MM, 12 CM</v>
          </cell>
        </row>
        <row r="4053">
          <cell r="B4053" t="str">
            <v>23-541-08-07</v>
          </cell>
          <cell r="C4053" t="str">
            <v>KNOCHENHEBEL, HOHMANN, 8 MM, 21,5 CM</v>
          </cell>
          <cell r="D4053" t="str">
            <v>BONE LEVER, HOHMANN, 8 MM, 21.5 CM</v>
          </cell>
        </row>
        <row r="4054">
          <cell r="B4054" t="str">
            <v>23-541-18-07</v>
          </cell>
          <cell r="C4054" t="str">
            <v>KNOCHENHEBEL, HOHMANN, 18 MM, 23,5 CM</v>
          </cell>
          <cell r="D4054" t="str">
            <v>BONE LEVER, HOHMANN, 18 MM, 23.5 CM</v>
          </cell>
        </row>
        <row r="4055">
          <cell r="B4055" t="str">
            <v>23-541-43-07</v>
          </cell>
          <cell r="C4055" t="str">
            <v>KNOCHENHEBEL, HOHMANN, 43 MM, 23,5 CM</v>
          </cell>
          <cell r="D4055" t="str">
            <v>BONE LEVER, HOHMANN, 43 MM, 23.5 CM</v>
          </cell>
        </row>
        <row r="4056">
          <cell r="B4056" t="str">
            <v>23-541-70-07</v>
          </cell>
          <cell r="C4056" t="str">
            <v>KNOCHENHEBEL, HOHMANN, 70 MM, 25 CM</v>
          </cell>
          <cell r="D4056" t="str">
            <v>BONE LEVER, HOHMANN, 70 MM, 25 CM</v>
          </cell>
        </row>
        <row r="4057">
          <cell r="B4057" t="str">
            <v>23-543-43-07</v>
          </cell>
          <cell r="C4057" t="str">
            <v>KNOCHENHEBEL, HOHMANN, 43 MM, 23,5 CM</v>
          </cell>
          <cell r="D4057" t="str">
            <v>BONE LEVER, HOHMANN, 43 MM, 23.5 CM</v>
          </cell>
        </row>
        <row r="4058">
          <cell r="B4058" t="str">
            <v>23-545-22-07</v>
          </cell>
          <cell r="C4058" t="str">
            <v>KNOCHENHEBEL, HOHMANN, 22 MM, 25,5 CM</v>
          </cell>
          <cell r="D4058" t="str">
            <v>BONE LEVER, HOHMANN, 22 MM, 25.5 CM</v>
          </cell>
        </row>
        <row r="4059">
          <cell r="B4059" t="str">
            <v>23-545-35-07</v>
          </cell>
          <cell r="C4059" t="str">
            <v>KNOCHENHEBEL, HOHMANN, 35 MM, 29 CM</v>
          </cell>
          <cell r="D4059" t="str">
            <v>BONE LEVER, HOHMANN, 35 MM, 29 CM</v>
          </cell>
        </row>
        <row r="4060">
          <cell r="B4060" t="str">
            <v>23-547-24-07</v>
          </cell>
          <cell r="C4060" t="str">
            <v>KNOCHENHEBEL, L. SCHNABEL, 24 MM, 27,5CM</v>
          </cell>
          <cell r="D4060" t="str">
            <v>BONE LEVER, LONG TIP, 24 MM, 27,5 CM</v>
          </cell>
        </row>
        <row r="4061">
          <cell r="B4061" t="str">
            <v>23-549-22-07</v>
          </cell>
          <cell r="C4061" t="str">
            <v>KNOCHENHEBEL, LANGE-HOHM., 22 MM, 25 CM</v>
          </cell>
          <cell r="D4061" t="str">
            <v>BONE LEVER, LANGE-HOHMANN, 22 MM, 25 CM</v>
          </cell>
        </row>
        <row r="4062">
          <cell r="B4062" t="str">
            <v>23-559-24-01</v>
          </cell>
          <cell r="C4062" t="str">
            <v>KNOCHENHEBEL, BENNETT,  43 MM, 24 CM</v>
          </cell>
          <cell r="D4062" t="str">
            <v>BONE LEVER, BENETT, 43 MM, 24 CM</v>
          </cell>
        </row>
        <row r="4063">
          <cell r="B4063" t="str">
            <v>23-561-24-01</v>
          </cell>
          <cell r="C4063" t="str">
            <v>KNOCHENHEBEL, BENNETT,  60 MM, 23,5 CM</v>
          </cell>
          <cell r="D4063" t="str">
            <v>BONE LEVER, BENETT, 60 MM, 23.5 CM</v>
          </cell>
        </row>
        <row r="4064">
          <cell r="B4064" t="str">
            <v>23-563-26-07</v>
          </cell>
          <cell r="C4064" t="str">
            <v>KNOCHENHEBEL, BLOUNT,  STUMPF,  26,5 CM</v>
          </cell>
          <cell r="D4064" t="str">
            <v>BONE LEVER, BLOUNT,  BLUNT, 26.5 CM</v>
          </cell>
        </row>
        <row r="4065">
          <cell r="B4065" t="str">
            <v>23-565-26-07</v>
          </cell>
          <cell r="C4065" t="str">
            <v>KNOCHENHEBEL, BLOUNT,  2-ZINK., 26,5 CM</v>
          </cell>
          <cell r="D4065" t="str">
            <v>BONE LEVER, BLOUNT,  2-PR., 26.5 CM</v>
          </cell>
        </row>
        <row r="4066">
          <cell r="B4066" t="str">
            <v>23-567-17-07</v>
          </cell>
          <cell r="C4066" t="str">
            <v>KNIEHAKEN, BLOUNT,  17,5 CM</v>
          </cell>
          <cell r="D4066" t="str">
            <v>KNEE RETRACTOR, BLOUNT,  17.5 CM</v>
          </cell>
        </row>
        <row r="4067">
          <cell r="B4067" t="str">
            <v>23-571-16-07</v>
          </cell>
          <cell r="C4067" t="str">
            <v>SPINALHAKEN, TAYLOR, 95X30 MM, 16 CM</v>
          </cell>
          <cell r="D4067" t="str">
            <v>SPINE RETRACTOR, TAYLOR, 95X30 MM, 16 CM</v>
          </cell>
        </row>
        <row r="4068">
          <cell r="B4068" t="str">
            <v>23-573-16-07</v>
          </cell>
          <cell r="C4068" t="str">
            <v>SPINALHAKEN, TAYLOR, 115X30 MM, 16 CM</v>
          </cell>
          <cell r="D4068" t="str">
            <v>SPINE RETRACT.,  TAYLOR, 115X30 MM, 16 CM</v>
          </cell>
        </row>
        <row r="4069">
          <cell r="B4069" t="str">
            <v>23-654-40-07</v>
          </cell>
          <cell r="C4069" t="str">
            <v>SEHNENSTRIPPER, FLEXIBEL,  4 MM, 23 CM</v>
          </cell>
          <cell r="D4069" t="str">
            <v>TENDON  STRIPPER,  FLEXIBLE,  4 MM, 23 CM</v>
          </cell>
        </row>
        <row r="4070">
          <cell r="B4070" t="str">
            <v>23-654-45-07</v>
          </cell>
          <cell r="C4070" t="str">
            <v>SEHNENSTRIPPER, FLEXIBEL,  4,5 MM, 23 CM</v>
          </cell>
          <cell r="D4070" t="str">
            <v>TENDON  STRIPPER,  FLEXIBLE,  4.5 MM, 23 CM</v>
          </cell>
        </row>
        <row r="4071">
          <cell r="B4071" t="str">
            <v>23-654-55-07</v>
          </cell>
          <cell r="C4071" t="str">
            <v>SEHNENSTRIPPER, FLEXIBEL,  5,5 MM, 23 CM</v>
          </cell>
          <cell r="D4071" t="str">
            <v>TENDON  STRIPPER,  FLEXIBLE,  5.5 MM, 23 CM</v>
          </cell>
        </row>
        <row r="4072">
          <cell r="B4072" t="str">
            <v>23-662-29-07</v>
          </cell>
          <cell r="C4072" t="str">
            <v>SEHNENSTRIPPER, 28,5 CM</v>
          </cell>
          <cell r="D4072" t="str">
            <v>TENDON  STRIPPER,  28.5 CM</v>
          </cell>
        </row>
        <row r="4073">
          <cell r="B4073" t="str">
            <v>23-664-23-02</v>
          </cell>
          <cell r="C4073" t="str">
            <v>ZUGSONDE, BUNNELL,  BIEGSAM,  23 CM</v>
          </cell>
          <cell r="D4073" t="str">
            <v>DRAWING  PROBE, BUNNELL,  MALLEABLE, 23 CM</v>
          </cell>
        </row>
        <row r="4074">
          <cell r="B4074" t="str">
            <v>23-674-16-07</v>
          </cell>
          <cell r="C4074" t="str">
            <v>SEHNENFASSZANGE, STEINMANN, 16 CM</v>
          </cell>
          <cell r="D4074" t="str">
            <v>TENDON  SEIZING FORCEPS,  STEINMANN, 16 CM</v>
          </cell>
        </row>
        <row r="4075">
          <cell r="B4075" t="str">
            <v>23-676-15-07</v>
          </cell>
          <cell r="C4075" t="str">
            <v>SEHNENDURCHZUGZANGE, BRAND, 15 CM</v>
          </cell>
          <cell r="D4075" t="str">
            <v>TENDON  PULLING FORCEPS,  BRAND, 15 CM</v>
          </cell>
        </row>
        <row r="4076">
          <cell r="B4076" t="str">
            <v>23-676-19-07</v>
          </cell>
          <cell r="C4076" t="str">
            <v>SEHNENDURCHZUGZANGE, BRAND, 19 CM</v>
          </cell>
          <cell r="D4076" t="str">
            <v>TENDON  PULLING FORCEPS,  BRAND, 19 CM</v>
          </cell>
        </row>
        <row r="4077">
          <cell r="B4077" t="str">
            <v>23-676-24-07</v>
          </cell>
          <cell r="C4077" t="str">
            <v>SEHNENDURCHZUGZANGE, BRAND, 24,5 CM</v>
          </cell>
          <cell r="D4077" t="str">
            <v>TENDON  PULLING FORCEPS,  BRAND, 24.5 CM</v>
          </cell>
        </row>
        <row r="4078">
          <cell r="B4078" t="str">
            <v>23-678-00-07</v>
          </cell>
          <cell r="C4078" t="str">
            <v>SEHNENDURCHZUGZANGE, GER., 21 CM</v>
          </cell>
          <cell r="D4078" t="str">
            <v>TENDON  PULLING FORCEPS,  STR., 21 CM</v>
          </cell>
        </row>
        <row r="4079">
          <cell r="B4079" t="str">
            <v>23-678-01-07</v>
          </cell>
          <cell r="C4079" t="str">
            <v>SEHNENDURCHZUGZANGE, GEB., 20,5 CM</v>
          </cell>
          <cell r="D4079" t="str">
            <v>TENDON  PULLING FORCEPS,  CVD., 20.5 CM</v>
          </cell>
        </row>
        <row r="4080">
          <cell r="B4080" t="str">
            <v>23-679-11-07</v>
          </cell>
          <cell r="C4080" t="str">
            <v>SEHNENFASSZANGE, CAROLL, GEB., 11,5 CM</v>
          </cell>
          <cell r="D4080" t="str">
            <v>TENDON  SEIZING FORCEPS,  CVD., 11.5 CM</v>
          </cell>
        </row>
        <row r="4081">
          <cell r="B4081" t="str">
            <v>23-680-13-07</v>
          </cell>
          <cell r="C4081" t="str">
            <v>SEHNENFASSZÄNGCHEN, 11,5 CM</v>
          </cell>
          <cell r="D4081" t="str">
            <v>TENDON  SEIZING FORCEPS,  11.5 CM</v>
          </cell>
        </row>
        <row r="4082">
          <cell r="B4082" t="str">
            <v>23-681-20-07</v>
          </cell>
          <cell r="C4082" t="str">
            <v>SEHNENFASSZANGE, KLEINERT-KUTZ, 21 CM</v>
          </cell>
          <cell r="D4082" t="str">
            <v>TENDON  SEIZ. FCPS., KLEINERT-KUTZ, 21 CM</v>
          </cell>
        </row>
        <row r="4083">
          <cell r="B4083" t="str">
            <v>23-682-15-07</v>
          </cell>
          <cell r="C4083" t="str">
            <v>SEHNENEINFLECHTKLEMME, GER., 15 CM</v>
          </cell>
          <cell r="D4083" t="str">
            <v>TENDON  WEAVING  FORCEPS,  STR., 15 CM</v>
          </cell>
        </row>
        <row r="4084">
          <cell r="B4084" t="str">
            <v>23-683-15-07</v>
          </cell>
          <cell r="C4084" t="str">
            <v>SEHNENEINFLECHTKLEMME, GEB., 15 CM</v>
          </cell>
          <cell r="D4084" t="str">
            <v>TENDON  WEAVING  FORCEPS,  CVD., 15 CM</v>
          </cell>
        </row>
        <row r="4085">
          <cell r="B4085" t="str">
            <v>23-704-14-07</v>
          </cell>
          <cell r="C4085" t="str">
            <v>KNOCHENHALTEZANGE, GEB., 14,5 CM</v>
          </cell>
          <cell r="D4085" t="str">
            <v>BONE HOLDING  FORCEPS,  CVD., 14.5 CM</v>
          </cell>
        </row>
        <row r="4086">
          <cell r="B4086" t="str">
            <v>23-710-20-07</v>
          </cell>
          <cell r="C4086" t="str">
            <v>KNORPELZANGE, BIRCHER-GA., GER., 21 CM</v>
          </cell>
          <cell r="D4086" t="str">
            <v>CARTIL. FORCEPS,  BIRCH.-GA., STR., 21 CM</v>
          </cell>
        </row>
        <row r="4087">
          <cell r="B4087" t="str">
            <v>23-711-20-07</v>
          </cell>
          <cell r="C4087" t="str">
            <v>KNORPELZANGE, BIRCHER-GA., GEB., 20,5 CM</v>
          </cell>
          <cell r="D4087" t="str">
            <v>CART. FORCEPS,  BIRCH.-GA., CVD., 20.5 CM</v>
          </cell>
        </row>
        <row r="4088">
          <cell r="B4088" t="str">
            <v>23-713-20-07</v>
          </cell>
          <cell r="C4088" t="str">
            <v>KNORPELZANGE, BIRCHER-GA., ABGEB., 20 CM</v>
          </cell>
          <cell r="D4088" t="str">
            <v>CARTIL. FORCEPS,  BIRCH.-GA., ANG., 20 CM</v>
          </cell>
        </row>
        <row r="4089">
          <cell r="B4089" t="str">
            <v>23-715-19-07</v>
          </cell>
          <cell r="C4089" t="str">
            <v>KNORPELFASSZANGE, DINGMANN, 18,5 CM</v>
          </cell>
          <cell r="D4089" t="str">
            <v>CARTILAGE  FORCEPS,  DINGMANN, 18.5 CM</v>
          </cell>
        </row>
        <row r="4090">
          <cell r="B4090" t="str">
            <v>23-716-19-07</v>
          </cell>
          <cell r="C4090" t="str">
            <v>KNORPELFASSZANGE, MARTIN,  GER., 18,5 CM</v>
          </cell>
          <cell r="D4090" t="str">
            <v>CARTILAGE  FORCEPS,  MARTIN,  STR., 18.5 CM</v>
          </cell>
        </row>
        <row r="4091">
          <cell r="B4091" t="str">
            <v>23-717-12-07</v>
          </cell>
          <cell r="C4091" t="str">
            <v>REPOSITIONSZANGE, KLEIN, 13,5 CM</v>
          </cell>
          <cell r="D4091" t="str">
            <v>REPOSITION FORCEPS,  SMALL, 13.5 CM</v>
          </cell>
        </row>
        <row r="4092">
          <cell r="B4092" t="str">
            <v>23-718-17-07</v>
          </cell>
          <cell r="C4092" t="str">
            <v>KNOCHENHALTEZANGE, LEWIN, 18 CM</v>
          </cell>
          <cell r="D4092" t="str">
            <v>BONE HOLDING  FORCEPS,  LEWIN, 18 CM</v>
          </cell>
        </row>
        <row r="4093">
          <cell r="B4093" t="str">
            <v>23-720-14-07</v>
          </cell>
          <cell r="C4093" t="str">
            <v>PHALANGENZANGE, GRAZIL, 14 CM</v>
          </cell>
          <cell r="D4093" t="str">
            <v>PHALANGEAL FORCEPS,  GRACILE,  14 CM</v>
          </cell>
        </row>
        <row r="4094">
          <cell r="B4094" t="str">
            <v>23-721-09-07</v>
          </cell>
          <cell r="C4094" t="str">
            <v>KNOCHENREPOSITIONSZANGE, KLEIN, 9 CM</v>
          </cell>
          <cell r="D4094" t="str">
            <v>REPOSITION FORCEPS,  SMALL, 9 CM</v>
          </cell>
        </row>
        <row r="4095">
          <cell r="B4095" t="str">
            <v>23-721-14-07</v>
          </cell>
          <cell r="C4095" t="str">
            <v>REPOSITIONSZANGE, LANGE SPERRE, 15 CM</v>
          </cell>
          <cell r="D4095" t="str">
            <v>REPOSITION FORCEPS,  LONG RATCHET,  15 CM</v>
          </cell>
        </row>
        <row r="4096">
          <cell r="B4096" t="str">
            <v>23-721-15-07</v>
          </cell>
          <cell r="C4096" t="str">
            <v>SL-BAND  REPO.ZANGE,LANGE SPERRE,13CM</v>
          </cell>
          <cell r="D4096" t="str">
            <v>SL-BAND  REPO.FORCEPS,LONG RATCHET,13CM</v>
          </cell>
        </row>
        <row r="4097">
          <cell r="B4097" t="str">
            <v>23-722-21-07</v>
          </cell>
          <cell r="C4097" t="str">
            <v>KNOCHENHALTEZANGE, LANGENBECK, 21 CM</v>
          </cell>
          <cell r="D4097" t="str">
            <v>BONE HOLDING  FORCEPS,  LANGENBECK, 21 CM</v>
          </cell>
        </row>
        <row r="4098">
          <cell r="B4098" t="str">
            <v>23-724-21-07</v>
          </cell>
          <cell r="C4098" t="str">
            <v>KNOCHENHALTEZANGE, FERGUSSON, 21 CM</v>
          </cell>
          <cell r="D4098" t="str">
            <v>BONE HOLDING  FORCEPS,  FERGUSSON, 21 CM</v>
          </cell>
        </row>
        <row r="4099">
          <cell r="B4099" t="str">
            <v>23-726-18-07</v>
          </cell>
          <cell r="C4099" t="str">
            <v>KNOCHENHALTEZANGE, FROSCH, 18 CM</v>
          </cell>
          <cell r="D4099" t="str">
            <v>BONE HOLDING  FORCEPS,  FROSCH, 18 CM</v>
          </cell>
        </row>
        <row r="4100">
          <cell r="B4100" t="str">
            <v>23-727-20-07</v>
          </cell>
          <cell r="C4100" t="str">
            <v>KNOCHENFASSZANGE, SCHLANK,  20 CM</v>
          </cell>
          <cell r="D4100" t="str">
            <v>BONE HOLDING  FORCEPS,  SLIM, 20 CM</v>
          </cell>
        </row>
        <row r="4101">
          <cell r="B4101" t="str">
            <v>23-729-16-07</v>
          </cell>
          <cell r="C4101" t="str">
            <v>REPOSITIONSZANGE, M. GEWINDESP., 16 CM</v>
          </cell>
          <cell r="D4101" t="str">
            <v>REPOS. FORCEPS,  W. THREAD LOCK, 16 CM</v>
          </cell>
        </row>
        <row r="4102">
          <cell r="B4102" t="str">
            <v>23-729-24-07</v>
          </cell>
          <cell r="C4102" t="str">
            <v>REPOSITIONSZANGE, M. GEWINDESP., 24 CM</v>
          </cell>
          <cell r="D4102" t="str">
            <v>REPOSIT.  FORCEPS,  W. THREAD LOCK, 24 CM</v>
          </cell>
        </row>
        <row r="4103">
          <cell r="B4103" t="str">
            <v>23-730-17-07</v>
          </cell>
          <cell r="C4103" t="str">
            <v>Knochenhaltezange, Kern, 17 cm</v>
          </cell>
          <cell r="D4103" t="str">
            <v>Bone holding forceps, Kern, 17 cm</v>
          </cell>
        </row>
        <row r="4104">
          <cell r="B4104" t="str">
            <v>23-730-21-07</v>
          </cell>
          <cell r="C4104" t="str">
            <v>KNOCHENHALTEZANGE, KERN, 24,5 CM</v>
          </cell>
          <cell r="D4104" t="str">
            <v>BONE HOLDING  FORCEPS,  KERN, 24.5 CM</v>
          </cell>
        </row>
        <row r="4105">
          <cell r="B4105" t="str">
            <v>23-731-19-07</v>
          </cell>
          <cell r="C4105" t="str">
            <v>KNOCHENHALTEZANGE, SEMB, GEB., 19 CM</v>
          </cell>
          <cell r="D4105" t="str">
            <v>BONE HOLD. FORCEPS,  SEMB, CVD., 19 CM</v>
          </cell>
        </row>
        <row r="4106">
          <cell r="B4106" t="str">
            <v>23-732-26-07</v>
          </cell>
          <cell r="C4106" t="str">
            <v>KNOCHENHALTEZANGE, FARABEUF, 26 CM</v>
          </cell>
          <cell r="D4106" t="str">
            <v>BONE HOLDING  FORCEPS,  FARABEUF, 26 CM</v>
          </cell>
        </row>
        <row r="4107">
          <cell r="B4107" t="str">
            <v>23-734-26-07</v>
          </cell>
          <cell r="C4107" t="str">
            <v>KNOCHENHALTEZANGE, FARABEUF, 26 CM</v>
          </cell>
          <cell r="D4107" t="str">
            <v>BONE HOLDING  FORCEPS,  FARABEUF, 26 CM</v>
          </cell>
        </row>
        <row r="4108">
          <cell r="B4108" t="str">
            <v>23-746-23-07</v>
          </cell>
          <cell r="C4108" t="str">
            <v>KNOCHENHALTEZANGE, ULRICH, GER., 23 CM</v>
          </cell>
          <cell r="D4108" t="str">
            <v>BONE HOLD. FORCEPS,  ULRICH, STR., 23 CM</v>
          </cell>
        </row>
        <row r="4109">
          <cell r="B4109" t="str">
            <v>23-746-25-07</v>
          </cell>
          <cell r="C4109" t="str">
            <v>KNOCHENHALTEZANGE, ULRICH, GER., 25 CM</v>
          </cell>
          <cell r="D4109" t="str">
            <v>BONE HOLD. FORCEPS,  ULRICH, STR., 25 CM</v>
          </cell>
        </row>
        <row r="4110">
          <cell r="B4110" t="str">
            <v>23-746-28-07</v>
          </cell>
          <cell r="C4110" t="str">
            <v>KNOCHENHALTEZANGE, ULRICH, GER., 28 CM</v>
          </cell>
          <cell r="D4110" t="str">
            <v>BONE HOLD. FORCEPS,  ULRICH, STR., 28 CM</v>
          </cell>
        </row>
        <row r="4111">
          <cell r="B4111" t="str">
            <v>23-747-23-07</v>
          </cell>
          <cell r="C4111" t="str">
            <v>KNOCHENHALTEZANGE, ULRICH, GEB., 23 CM</v>
          </cell>
          <cell r="D4111" t="str">
            <v>BONE HOLD. FORCEPS,  ULRICH, CVD., 23 CM</v>
          </cell>
        </row>
        <row r="4112">
          <cell r="B4112" t="str">
            <v>23-747-25-07</v>
          </cell>
          <cell r="C4112" t="str">
            <v>KNOCHENHALTEZANGE, ULRICH, GEB., 25 CM</v>
          </cell>
          <cell r="D4112" t="str">
            <v>BONE HOLD. FORCEPS,  ULRICH, CVD., 25 CM</v>
          </cell>
        </row>
        <row r="4113">
          <cell r="B4113" t="str">
            <v>23-747-28-07</v>
          </cell>
          <cell r="C4113" t="str">
            <v>KNOCHENHALTEZANGE, ULRICH, GEB., 27 CM</v>
          </cell>
          <cell r="D4113" t="str">
            <v>BONE HOLD. FORCEPS,  ULRICH, CVD., 27 CM</v>
          </cell>
        </row>
        <row r="4114">
          <cell r="B4114" t="str">
            <v>23-749-15-07</v>
          </cell>
          <cell r="C4114" t="str">
            <v>KNOCHENHALTEZANGE, M. GEWINDESP., 15 CM</v>
          </cell>
          <cell r="D4114" t="str">
            <v>BONE HLD. FORCEPS,  W. THREAD LOCK, 15 CM</v>
          </cell>
        </row>
        <row r="4115">
          <cell r="B4115" t="str">
            <v>23-749-19-07</v>
          </cell>
          <cell r="C4115" t="str">
            <v>KNOCHENHALTEZANGE, M. GEWINDESP., 20 CM</v>
          </cell>
          <cell r="D4115" t="str">
            <v>BONE HLD. FORCEPS,  W. THREAD LOCK, 20 CM</v>
          </cell>
        </row>
        <row r="4116">
          <cell r="B4116" t="str">
            <v>23-749-24-07</v>
          </cell>
          <cell r="C4116" t="str">
            <v>KNOCHENHALTEZANGE, M. GEWINDESP., 24 CM</v>
          </cell>
          <cell r="D4116" t="str">
            <v>BONE HLD. FORCEPS,  W. THREAD LOCK, 24 CM</v>
          </cell>
        </row>
        <row r="4117">
          <cell r="B4117" t="str">
            <v>23-749-26-07</v>
          </cell>
          <cell r="C4117" t="str">
            <v>KNOCHENHALTEZANGE, M. GEWINDESP., 26 CM</v>
          </cell>
          <cell r="D4117" t="str">
            <v>BONE HLD. FORCEPS,  W. THREAD LOCK, 26 CM</v>
          </cell>
        </row>
        <row r="4118">
          <cell r="B4118" t="str">
            <v>23-749-28-07</v>
          </cell>
          <cell r="C4118" t="str">
            <v>KNOCHENHALTEZANGE, M. GEWINDESP., 28 CM</v>
          </cell>
          <cell r="D4118" t="str">
            <v>BONE HLD. FORCEPS,  W. THREAD LOCK, 28 CM</v>
          </cell>
        </row>
        <row r="4119">
          <cell r="B4119" t="str">
            <v>23-750-33-07</v>
          </cell>
          <cell r="C4119" t="str">
            <v>KNOCHENHALTEZANGE, LANE, O. SP., 33 CM</v>
          </cell>
          <cell r="D4119" t="str">
            <v>BONE HOLD. FCPS., LANE, W/O LOCK, 33 CM</v>
          </cell>
        </row>
        <row r="4120">
          <cell r="B4120" t="str">
            <v>23-752-33-07</v>
          </cell>
          <cell r="C4120" t="str">
            <v>KNOCHENHALTEZANGE, LANE, M. SP., 33 CM</v>
          </cell>
          <cell r="D4120" t="str">
            <v>BONE HOLD. FORCEPS,  LANE, W. LOCK, 33 CM</v>
          </cell>
        </row>
        <row r="4121">
          <cell r="B4121" t="str">
            <v>23-755-01-07</v>
          </cell>
          <cell r="C4121" t="str">
            <v>KNOCHENHALTEZANGE, VERBRUGGE, 25 CM</v>
          </cell>
          <cell r="D4121" t="str">
            <v>BONE HOLDING  FORCEPS,  VERBRUGGE, 25 CM</v>
          </cell>
        </row>
        <row r="4122">
          <cell r="B4122" t="str">
            <v>23-755-02-07</v>
          </cell>
          <cell r="C4122" t="str">
            <v>KNOCHENHALTEZANGE, VERBRUGGE, 26 CM</v>
          </cell>
          <cell r="D4122" t="str">
            <v>BONE HOLDING  FORCEPS,  VERBRUGGE, 26 CM</v>
          </cell>
        </row>
        <row r="4123">
          <cell r="B4123" t="str">
            <v>23-755-03-07</v>
          </cell>
          <cell r="C4123" t="str">
            <v>KNOCHENHALTEZANGE, VERBRUGGE, 27,5 CM</v>
          </cell>
          <cell r="D4123" t="str">
            <v>BONE HOLDING  FORCEPS,  VERBRUGGE, 27.5 CM</v>
          </cell>
        </row>
        <row r="4124">
          <cell r="B4124" t="str">
            <v>23-757-01-07</v>
          </cell>
          <cell r="C4124" t="str">
            <v>KNOCHENHALTEZANGE, VERBRUGGE, 17,5 CM</v>
          </cell>
          <cell r="D4124" t="str">
            <v>BONE HOLDING  FORCEPS,  VERBRUGGE, 17.5 CM</v>
          </cell>
        </row>
        <row r="4125">
          <cell r="B4125" t="str">
            <v>23-762-30-07</v>
          </cell>
          <cell r="C4125" t="str">
            <v>RETRAKTOR, PERCY, F. AMPUTATION</v>
          </cell>
          <cell r="D4125" t="str">
            <v>RETRACTOR, PERCY, F. AMPUTATION</v>
          </cell>
        </row>
        <row r="4126">
          <cell r="B4126" t="str">
            <v>23-777-01-07</v>
          </cell>
          <cell r="C4126" t="str">
            <v>HOHLMEISSELZANGE, STELLBRINK, GEB.</v>
          </cell>
          <cell r="D4126" t="str">
            <v>BONE RONGEUR,  STELLBRINK, CVD.</v>
          </cell>
        </row>
        <row r="4127">
          <cell r="B4127" t="str">
            <v>23-777-02-07</v>
          </cell>
          <cell r="C4127" t="str">
            <v>HOHLMEISSELZANGE, STELLBRINK, STARK GEB.</v>
          </cell>
          <cell r="D4127" t="str">
            <v>BONE RONGEUR,  STELLBRINK, STRONG CVD.</v>
          </cell>
        </row>
        <row r="4128">
          <cell r="B4128" t="str">
            <v>23-799-12-07</v>
          </cell>
          <cell r="C4128" t="str">
            <v>HOHLMEISSELZANGE, FRIEDMAN, 12,5 CM</v>
          </cell>
          <cell r="D4128" t="str">
            <v>BONE RONGEUR,  FRIEDMAN, 12,5 CM</v>
          </cell>
        </row>
        <row r="4129">
          <cell r="B4129" t="str">
            <v>23-801-14-07</v>
          </cell>
          <cell r="C4129" t="str">
            <v>HOHLMEISSELZANGE, FRIEDMAN, 13,5 CM</v>
          </cell>
          <cell r="D4129" t="str">
            <v>BONE RONGEUR,  FRIEDMAN, 13.5 CM</v>
          </cell>
        </row>
        <row r="4130">
          <cell r="B4130" t="str">
            <v>23-803-14-07</v>
          </cell>
          <cell r="C4130" t="str">
            <v>HOHLMEISSELZANGE, FRIEDM.,  FEIN, 13,5 CM</v>
          </cell>
          <cell r="D4130" t="str">
            <v>BONE RONGEUR,  FRIEDM.,  FINE, 13.5 CM</v>
          </cell>
        </row>
        <row r="4131">
          <cell r="B4131" t="str">
            <v>23-805-14-07</v>
          </cell>
          <cell r="C4131" t="str">
            <v>HOHLMEISSELZANGE, CLEVELAND, 13,5 CM</v>
          </cell>
          <cell r="D4131" t="str">
            <v>BONE RONGEUR,  CLEVELAND, 13.5 CM</v>
          </cell>
        </row>
        <row r="4132">
          <cell r="B4132" t="str">
            <v>23-807-17-07</v>
          </cell>
          <cell r="C4132" t="str">
            <v>HOHLMEISSELZANGE, CLEVELAND, 16,5 CM</v>
          </cell>
          <cell r="D4132" t="str">
            <v>BONE RONGEUR,  CLEVELAND, 16.5 CM</v>
          </cell>
        </row>
        <row r="4133">
          <cell r="B4133" t="str">
            <v>23-815-16-07</v>
          </cell>
          <cell r="C4133" t="str">
            <v>HOHLMEISSELZANGE, MEAD, 16,5 CM</v>
          </cell>
          <cell r="D4133" t="str">
            <v>BONE RONGEUR,  MEAD, 16.5 CM</v>
          </cell>
        </row>
        <row r="4134">
          <cell r="B4134" t="str">
            <v>23-816-16-07</v>
          </cell>
          <cell r="C4134" t="str">
            <v>Hohlmeisselzange, Mead, endfl., 16,5 cm</v>
          </cell>
          <cell r="D4134" t="str">
            <v>Bone Rongeur,  Mead, flat end, 16.5 cm</v>
          </cell>
        </row>
        <row r="4135">
          <cell r="B4135" t="str">
            <v>23-819-18-07</v>
          </cell>
          <cell r="C4135" t="str">
            <v>HOHLMEISSELZANGE, HARTMANN, 17,5 CM</v>
          </cell>
          <cell r="D4135" t="str">
            <v>BONE RONGEUR,  HARTMANN, 17.5 CM</v>
          </cell>
        </row>
        <row r="4136">
          <cell r="B4136" t="str">
            <v>23-826-18-07</v>
          </cell>
          <cell r="C4136" t="str">
            <v>HOHLMEISSELZANGE, JANSEN, GER., 18 CM</v>
          </cell>
          <cell r="D4136" t="str">
            <v>BONE RONGEUR,  JANSEN, STR., 18 CM</v>
          </cell>
        </row>
        <row r="4137">
          <cell r="B4137" t="str">
            <v>23-828-18-07</v>
          </cell>
          <cell r="C4137" t="str">
            <v>Hohlmeisselzange, Jansen, S-Form,18,5 cm</v>
          </cell>
          <cell r="D4137" t="str">
            <v>Bone Rongeur,  Jansen, S-Shape, 18.5 cm</v>
          </cell>
        </row>
        <row r="4138">
          <cell r="B4138" t="str">
            <v>23-829-18-07</v>
          </cell>
          <cell r="C4138" t="str">
            <v>HOHLMEISSELZANGE, JANSEN, GEB., 18 CM</v>
          </cell>
          <cell r="D4138" t="str">
            <v>BONE RONGEUR,  JANSEN, CVD., 18 CM</v>
          </cell>
        </row>
        <row r="4139">
          <cell r="B4139" t="str">
            <v>23-832-19-07</v>
          </cell>
          <cell r="C4139" t="str">
            <v>HOHLMEISSELZANGE, LEMPERT,  GER., 19 CM</v>
          </cell>
          <cell r="D4139" t="str">
            <v>BONE RONGEUR,  LEMPERT,  STR., 19 CM</v>
          </cell>
        </row>
        <row r="4140">
          <cell r="B4140" t="str">
            <v>23-833-19-07</v>
          </cell>
          <cell r="C4140" t="str">
            <v>Hohlmeisselzange, Lempert,  geb., 19 cm</v>
          </cell>
          <cell r="D4140" t="str">
            <v>Bone Rongeur,  Lempert,  cvd., 19 cm</v>
          </cell>
        </row>
        <row r="4141">
          <cell r="B4141" t="str">
            <v>23-835-15-07</v>
          </cell>
          <cell r="C4141" t="str">
            <v>HOHLMEISSELZANGE, LEICHT GEB., 16 CM</v>
          </cell>
          <cell r="D4141" t="str">
            <v>BONE RONGEUR,  SLIGHT CVD., 16 CM</v>
          </cell>
        </row>
        <row r="4142">
          <cell r="B4142" t="str">
            <v>23-835-30-07</v>
          </cell>
          <cell r="C4142" t="str">
            <v>MIKRO-FRIEDMAN, S-FORM, 30°, 15,5 CM</v>
          </cell>
          <cell r="D4142" t="str">
            <v>BONE RONGEUR,  S-SHAPE,  30°, 15.5 CM</v>
          </cell>
        </row>
        <row r="4143">
          <cell r="B4143" t="str">
            <v>23-836-00-07</v>
          </cell>
          <cell r="C4143" t="str">
            <v>MIKRO-FRIEDMAN, GER., 15,5 CM</v>
          </cell>
          <cell r="D4143" t="str">
            <v>RONGEUR,  MICRO-FRIEDMAN, STR., 15.5 CM</v>
          </cell>
        </row>
        <row r="4144">
          <cell r="B4144" t="str">
            <v>23-836-30-07</v>
          </cell>
          <cell r="C4144" t="str">
            <v>MIKRO-FRIEDMAN, GEB., 30°, 15,5 CM</v>
          </cell>
          <cell r="D4144" t="str">
            <v>RONGEUR,  MICRO-FRIEDMAN, CVD. 30°,15.5CM</v>
          </cell>
        </row>
        <row r="4145">
          <cell r="B4145" t="str">
            <v>23-836-90-07</v>
          </cell>
          <cell r="C4145" t="str">
            <v>MIKRO-FRIEDMAN, ABGEW.,  90°, 14,5 CM</v>
          </cell>
          <cell r="D4145" t="str">
            <v>RONGEUR,  MICRO-FRIEDMAN, ANG.90°,14.5CM</v>
          </cell>
        </row>
        <row r="4146">
          <cell r="B4146" t="str">
            <v>23-837-15-07</v>
          </cell>
          <cell r="C4146" t="str">
            <v>HOHLMEISSELZANGE, STARK GEB., 15,5 CM</v>
          </cell>
          <cell r="D4146" t="str">
            <v>BONE RONGEUR,  STRONG CVD., 15.5 CM</v>
          </cell>
        </row>
        <row r="4147">
          <cell r="B4147" t="str">
            <v>23-846-17-07</v>
          </cell>
          <cell r="C4147" t="str">
            <v>HOHLMEISSELZANGE, LUER, GER., 18,5 CM</v>
          </cell>
          <cell r="D4147" t="str">
            <v>BONE RONGEUR,  LUER, STR., 18.5 CM</v>
          </cell>
        </row>
        <row r="4148">
          <cell r="B4148" t="str">
            <v>23-847-17-07</v>
          </cell>
          <cell r="C4148" t="str">
            <v>HOHLMEISSELZANGE, LUER, GEB., 18 CM</v>
          </cell>
          <cell r="D4148" t="str">
            <v>BONE RONGEUR,  LUER, CVD., 18 CM</v>
          </cell>
        </row>
        <row r="4149">
          <cell r="B4149" t="str">
            <v>23-853-15-07</v>
          </cell>
          <cell r="C4149" t="str">
            <v>HOHLMEISSELZANGE, LUER, GEB., 14,5 CM</v>
          </cell>
          <cell r="D4149" t="str">
            <v>BONE RONGEUR,  LUER, CVD., 14.5 CM</v>
          </cell>
        </row>
        <row r="4150">
          <cell r="B4150" t="str">
            <v>23-864-15-07</v>
          </cell>
          <cell r="C4150" t="str">
            <v>HOHLMEISSELZANGE, LUER,ST. GEB., 14,5 CM</v>
          </cell>
          <cell r="D4150" t="str">
            <v>BONE RONGEUR,  LUER,ST. CVD., 14.5 CM</v>
          </cell>
        </row>
        <row r="4151">
          <cell r="B4151" t="str">
            <v>23-865-15-07</v>
          </cell>
          <cell r="C4151" t="str">
            <v>HOHLMEISSELZANGE, LUER, GEB., 14,5 CM</v>
          </cell>
          <cell r="D4151" t="str">
            <v>BONE RONGEUR,  LUER, CVD., 14,5 CM</v>
          </cell>
        </row>
        <row r="4152">
          <cell r="B4152" t="str">
            <v>23-876-15-07</v>
          </cell>
          <cell r="C4152" t="str">
            <v>HOHLMEISSELZANGE, BÖHLER, GER., 15 CM</v>
          </cell>
          <cell r="D4152" t="str">
            <v>BONE RONGEUR,  BOEHLER,  STR., 15 CM</v>
          </cell>
        </row>
        <row r="4153">
          <cell r="B4153" t="str">
            <v>23-877-15-07</v>
          </cell>
          <cell r="C4153" t="str">
            <v>HOHLMEISSELZANGE, BÖHLER, GEB., 15 CM</v>
          </cell>
          <cell r="D4153" t="str">
            <v>BONE RONGEUR,  BOEHLER,  CVD., 15 CM</v>
          </cell>
        </row>
        <row r="4154">
          <cell r="B4154" t="str">
            <v>23-879-18-07</v>
          </cell>
          <cell r="C4154" t="str">
            <v>HOHLMEISSELZANGE, BEYER, GEB., 18 CM</v>
          </cell>
          <cell r="D4154" t="str">
            <v>BONE RONGEUR,  BEYER, CVD., 18 CM</v>
          </cell>
        </row>
        <row r="4155">
          <cell r="B4155" t="str">
            <v>23-881-18-07</v>
          </cell>
          <cell r="C4155" t="str">
            <v>HOHLMEISSELZANGE, ZAUFAL-JANSEN, 18 CM</v>
          </cell>
          <cell r="D4155" t="str">
            <v>BONE RONGEUR,  ZAUFAL-JANSEN, 18 CM</v>
          </cell>
        </row>
        <row r="4156">
          <cell r="B4156" t="str">
            <v>23-883-17-07</v>
          </cell>
          <cell r="C4156" t="str">
            <v>HOHLMEISSELZANGE, MAYFIELD,  18 CM</v>
          </cell>
          <cell r="D4156" t="str">
            <v>BONE RONGEUR,  MAYFIELD,  18 CM</v>
          </cell>
        </row>
        <row r="4157">
          <cell r="B4157" t="str">
            <v>23-885-20-07</v>
          </cell>
          <cell r="C4157" t="str">
            <v>HOHLMEISSELZANGE, MARQUARD, 20,5 CM</v>
          </cell>
          <cell r="D4157" t="str">
            <v>BONE RONGEUR,  MARQUARD, 20.5 CM</v>
          </cell>
        </row>
        <row r="4158">
          <cell r="B4158" t="str">
            <v>23-887-18-07</v>
          </cell>
          <cell r="C4158" t="str">
            <v>HOHLMEISSELZANGE, RUSKIN, GEB., 19 CM</v>
          </cell>
          <cell r="D4158" t="str">
            <v>BONE RONGEUR,  RUSKIN, CVD., 19 CM</v>
          </cell>
        </row>
        <row r="4159">
          <cell r="B4159" t="str">
            <v>23-893-23-07</v>
          </cell>
          <cell r="C4159" t="str">
            <v>HOHLMEISSELZANGE, RUSKIN, GEB., 24 CM</v>
          </cell>
          <cell r="D4159" t="str">
            <v>BONE RONGEUR,  RUSKIN, CVD., 24 CM</v>
          </cell>
        </row>
        <row r="4160">
          <cell r="B4160" t="str">
            <v>23-895-22-07</v>
          </cell>
          <cell r="C4160" t="str">
            <v>HOHLMEISSELZANGE, SEMB, GEB., 23,5 CM</v>
          </cell>
          <cell r="D4160" t="str">
            <v>BONE RONGEUR,  SEMB, CVD., 23.5 CM</v>
          </cell>
        </row>
        <row r="4161">
          <cell r="B4161" t="str">
            <v>23-897-23-07</v>
          </cell>
          <cell r="C4161" t="str">
            <v>HOHLMEISSELZANGE, STILLE, GEB., 22,5 CM</v>
          </cell>
          <cell r="D4161" t="str">
            <v>BONE RONGEUR,  STILLE, CVD., 22.5 CM</v>
          </cell>
        </row>
        <row r="4162">
          <cell r="B4162" t="str">
            <v>23-899-02-07</v>
          </cell>
          <cell r="C4162" t="str">
            <v>HOHLMEISSELZANGE, ECHLIN, 2 MM, 23 CM</v>
          </cell>
          <cell r="D4162" t="str">
            <v>BONE RONGEUR,  ECHLIN, 2 MM, 23 CM</v>
          </cell>
        </row>
        <row r="4163">
          <cell r="B4163" t="str">
            <v>23-899-03-07</v>
          </cell>
          <cell r="C4163" t="str">
            <v>HOHLMEISSELZANGE, ECHLIN, 3 MM, 23 CM</v>
          </cell>
          <cell r="D4163" t="str">
            <v>BONE RONGEUR,  ECHLIN, 3 MM, 23 CM</v>
          </cell>
        </row>
        <row r="4164">
          <cell r="B4164" t="str">
            <v>23-899-04-07</v>
          </cell>
          <cell r="C4164" t="str">
            <v>HOHLMEISSELZANGE, ECHLIN, 4 MM, 23 CM</v>
          </cell>
          <cell r="D4164" t="str">
            <v>BONE RONGEUR,  ECHLIN, 4 MM, 23 CM</v>
          </cell>
        </row>
        <row r="4165">
          <cell r="B4165" t="str">
            <v>23-901-23-07</v>
          </cell>
          <cell r="C4165" t="str">
            <v>HOHLMEISSELZANGE, STILLE-RUSKIN, 23,5 CM</v>
          </cell>
          <cell r="D4165" t="str">
            <v>BONE RONGEUR,  STILLE-RUSKIN, 23.5 CM</v>
          </cell>
        </row>
        <row r="4166">
          <cell r="B4166" t="str">
            <v>23-905-24-07</v>
          </cell>
          <cell r="C4166" t="str">
            <v>HOHLMEISSELZANGE, BREIT, 24,5 CM</v>
          </cell>
          <cell r="D4166" t="str">
            <v>BONE RONGEUR,  WIDE, 24.5 CM</v>
          </cell>
        </row>
        <row r="4167">
          <cell r="B4167" t="str">
            <v>23-907-24-07</v>
          </cell>
          <cell r="C4167" t="str">
            <v>HOHLMEISSELZANGE, SCHMAL,  24,5 CM</v>
          </cell>
          <cell r="D4167" t="str">
            <v>BONE RONGEUR,  SLIM, 24.5 CM</v>
          </cell>
        </row>
        <row r="4168">
          <cell r="B4168" t="str">
            <v>23-909-24-07</v>
          </cell>
          <cell r="C4168" t="str">
            <v>HOHLMEISSELZANGE, FRYKHOLM, GEB., 23 CM</v>
          </cell>
          <cell r="D4168" t="str">
            <v>BONE RONGEUR,  FRYKHOLM, CVD., 23 CM</v>
          </cell>
        </row>
        <row r="4169">
          <cell r="B4169" t="str">
            <v>23-910-22-07</v>
          </cell>
          <cell r="C4169" t="str">
            <v>HOHLMEISSELZANGE, GER., 22,5 CM</v>
          </cell>
          <cell r="D4169" t="str">
            <v>BONE RONGEUR,  STR., 22.5 CM</v>
          </cell>
        </row>
        <row r="4170">
          <cell r="B4170" t="str">
            <v>23-911-22-07</v>
          </cell>
          <cell r="C4170" t="str">
            <v>HOHLMEISSELZANGE, GEB., 22,5 CM</v>
          </cell>
          <cell r="D4170" t="str">
            <v>BONE RONGEUR,  CVD., 22.5 CM</v>
          </cell>
        </row>
        <row r="4171">
          <cell r="B4171" t="str">
            <v>23-930-19-07</v>
          </cell>
          <cell r="C4171" t="str">
            <v>KNOCHENSPL.-ZANGE, COTTLE-KAZAN., 19 CM</v>
          </cell>
          <cell r="D4171" t="str">
            <v>BONE CUTT. FORCEPS,  COTTLE-KAZAN., 19 CM</v>
          </cell>
        </row>
        <row r="4172">
          <cell r="B4172" t="str">
            <v>23-934-14-07</v>
          </cell>
          <cell r="C4172" t="str">
            <v>KNOCHENSPL.-ZANGE, LISTON, GER., 14 CM</v>
          </cell>
          <cell r="D4172" t="str">
            <v>BONE CUTT. FORCEPS,  LISTON, STR., 14 CM</v>
          </cell>
        </row>
        <row r="4173">
          <cell r="B4173" t="str">
            <v>23-934-17-07</v>
          </cell>
          <cell r="C4173" t="str">
            <v>KNOCHENSPL.-ZANGE, LISTON, GER., 17 CM</v>
          </cell>
          <cell r="D4173" t="str">
            <v>BONE CUTT. FORCEPS,  LISTON, STR., 17 CM</v>
          </cell>
        </row>
        <row r="4174">
          <cell r="B4174" t="str">
            <v>23-934-19-07</v>
          </cell>
          <cell r="C4174" t="str">
            <v>KNOCHENSPL.-ZANGE, LISTON, GER., 20 CM</v>
          </cell>
          <cell r="D4174" t="str">
            <v>BONE CUTT. FORCEPS,  LISTON, STR., 20 CM</v>
          </cell>
        </row>
        <row r="4175">
          <cell r="B4175" t="str">
            <v>23-934-22-07</v>
          </cell>
          <cell r="C4175" t="str">
            <v>KNOCHENSPL.-ZANGE, LISTON, GER., 22 CM</v>
          </cell>
          <cell r="D4175" t="str">
            <v>BONE CUTT. FORCEPS,  LISTON, STR., 22 CM</v>
          </cell>
        </row>
        <row r="4176">
          <cell r="B4176" t="str">
            <v>23-935-14-07</v>
          </cell>
          <cell r="C4176" t="str">
            <v>KNOCHENSPL.-ZANGE, LISTON, GEB., 14 CM</v>
          </cell>
          <cell r="D4176" t="str">
            <v>BONE CUTT. FORCEPS,  LISTON, CVD., 14 CM</v>
          </cell>
        </row>
        <row r="4177">
          <cell r="B4177" t="str">
            <v>23-935-17-07</v>
          </cell>
          <cell r="C4177" t="str">
            <v>KNOCHENSPL.-ZANGE, LISTON, GEB., 17 CM</v>
          </cell>
          <cell r="D4177" t="str">
            <v>BONE CUTT. FORCEPS,  LISTON, CVD., 17 CM</v>
          </cell>
        </row>
        <row r="4178">
          <cell r="B4178" t="str">
            <v>23-935-19-07</v>
          </cell>
          <cell r="C4178" t="str">
            <v>KNOCHENSPL.-ZANGE, LISTON, GEB., 20 CM</v>
          </cell>
          <cell r="D4178" t="str">
            <v>BONE CUTT. FORCEPS,  LISTON, CVD., 20 CM</v>
          </cell>
        </row>
        <row r="4179">
          <cell r="B4179" t="str">
            <v>23-935-22-07</v>
          </cell>
          <cell r="C4179" t="str">
            <v>KNOCHENSPL.-ZANGE, LISTON, GEB., 22 CM</v>
          </cell>
          <cell r="D4179" t="str">
            <v>BONE CUTT. FORCEPS,  LISTON, CVD., 22 CM</v>
          </cell>
        </row>
        <row r="4180">
          <cell r="B4180" t="str">
            <v>23-939-17-07</v>
          </cell>
          <cell r="C4180" t="str">
            <v>KNOCHENSPL.-ZANGE, CLEVELAND, 17 CM</v>
          </cell>
          <cell r="D4180" t="str">
            <v>BONE CUTT. FORCEPS,  CLEVELAND, 17 CM</v>
          </cell>
        </row>
        <row r="4181">
          <cell r="B4181" t="str">
            <v>23-941-15-07</v>
          </cell>
          <cell r="C4181" t="str">
            <v>KNOCHENSPL.-ZANGE, CLEVELAND, 14,5 CM</v>
          </cell>
          <cell r="D4181" t="str">
            <v>BONE CUTT. FORCEPS,  CLEVELAND, 14.5 CM</v>
          </cell>
        </row>
        <row r="4182">
          <cell r="B4182" t="str">
            <v>23-944-15-07</v>
          </cell>
          <cell r="C4182" t="str">
            <v>KNOCHENSPL.-ZANGE, BÖHLER, GER., 14 CM</v>
          </cell>
          <cell r="D4182" t="str">
            <v>BONE CUTT. FORCEPS,  BOEHLER,  STR., 14CM</v>
          </cell>
        </row>
        <row r="4183">
          <cell r="B4183" t="str">
            <v>23-946-15-07</v>
          </cell>
          <cell r="C4183" t="str">
            <v>KNOCHENSPL.-ZANGE, BÖHLER, GEB., 14 CM</v>
          </cell>
          <cell r="D4183" t="str">
            <v>BONE CUTT. FORCEPS,  BOEHLER,  CVD., 14CM</v>
          </cell>
        </row>
        <row r="4184">
          <cell r="B4184" t="str">
            <v>23-950-18-07</v>
          </cell>
          <cell r="C4184" t="str">
            <v>KNOCHENSPL.-ZANGE, RUSKIN, GER., 19 CM</v>
          </cell>
          <cell r="D4184" t="str">
            <v>BONE CUTT. FORCEPS,  RUSKIN, STR., 19 CM</v>
          </cell>
        </row>
        <row r="4185">
          <cell r="B4185" t="str">
            <v>23-951-18-07</v>
          </cell>
          <cell r="C4185" t="str">
            <v>KNOCHENSPL.-ZANGE, RUSKIN, GEB., 18,5 CM</v>
          </cell>
          <cell r="D4185" t="str">
            <v>BONE CUT. FORCEPS,  RUSKIN, CVD., 18.5 CM</v>
          </cell>
        </row>
        <row r="4186">
          <cell r="B4186" t="str">
            <v>23-952-27-07</v>
          </cell>
          <cell r="C4186" t="str">
            <v>KNOCHENSPL.-ZANGE, STILLE-LISTON, 26 CM</v>
          </cell>
          <cell r="D4186" t="str">
            <v>BONE CUTT. FORCEPS,  STILLE-LISTON, 26 CM</v>
          </cell>
        </row>
        <row r="4187">
          <cell r="B4187" t="str">
            <v>23-954-27-07</v>
          </cell>
          <cell r="C4187" t="str">
            <v>KNOCHENSPL.-ZANGE, STILLE-LISTON, 28 CM</v>
          </cell>
          <cell r="D4187" t="str">
            <v>BONE CUTT. FORCEPS,  STILLE-LISTON, 28 CM</v>
          </cell>
        </row>
        <row r="4188">
          <cell r="B4188" t="str">
            <v>23-955-23-07</v>
          </cell>
          <cell r="C4188" t="str">
            <v>KNOCHENSPL.-ZANGE, STILLE-LIST., 23,5 CM</v>
          </cell>
          <cell r="D4188" t="str">
            <v>BONE CUTT FORCEPS,  STILLE-LIST., 23.5 CM</v>
          </cell>
        </row>
        <row r="4189">
          <cell r="B4189" t="str">
            <v>23-955-27-07</v>
          </cell>
          <cell r="C4189" t="str">
            <v>KNOCHENSPL.-ZANGE, STILLE-LISTON, 28 CM</v>
          </cell>
          <cell r="D4189" t="str">
            <v>BONE CUTT. FORCEPS,  STILLE-LISTON, 28 CM</v>
          </cell>
        </row>
        <row r="4190">
          <cell r="B4190" t="str">
            <v>23-957-27-07</v>
          </cell>
          <cell r="C4190" t="str">
            <v>KNOCHENSPLITTERZANGE, LISTON-KEY, 25 CM</v>
          </cell>
          <cell r="D4190" t="str">
            <v>BONE CUTT. FORCEPS,  LISTON-KEY, 25 CM</v>
          </cell>
        </row>
        <row r="4191">
          <cell r="B4191" t="str">
            <v>23-962-00-07</v>
          </cell>
          <cell r="C4191" t="str">
            <v>HANDHALTER</v>
          </cell>
          <cell r="D4191" t="str">
            <v>HANDRESTRAINER</v>
          </cell>
        </row>
        <row r="4192">
          <cell r="B4192" t="str">
            <v>23-963-00-04</v>
          </cell>
          <cell r="C4192" t="str">
            <v>RADIUSABSTUETZBANK, KOMPLETT</v>
          </cell>
          <cell r="D4192" t="str">
            <v>WRIST SUPPORT</v>
          </cell>
        </row>
        <row r="4193">
          <cell r="B4193" t="str">
            <v>23-963-01-04</v>
          </cell>
          <cell r="C4193" t="str">
            <v>UNTERTEIL  ZUR RADIUSBANK</v>
          </cell>
          <cell r="D4193" t="str">
            <v>WRIST SUPPORT  LOWER PART</v>
          </cell>
        </row>
        <row r="4194">
          <cell r="B4194" t="str">
            <v>23-963-02-04</v>
          </cell>
          <cell r="C4194" t="str">
            <v>OBERTEIL  ZUR RADIUSBANK</v>
          </cell>
          <cell r="D4194" t="str">
            <v>WRIST SUPPORT  UPPER PART</v>
          </cell>
        </row>
        <row r="4195">
          <cell r="B4195" t="str">
            <v>23-964-10-02</v>
          </cell>
          <cell r="C4195" t="str">
            <v>FINGERKOMPRESSORIUM, FELDHEIM,  10 CM</v>
          </cell>
          <cell r="D4195" t="str">
            <v>FINGER TOURNIQUET, FELDHEIM,  10 CM</v>
          </cell>
        </row>
        <row r="4196">
          <cell r="B4196" t="str">
            <v>23-967-10-02</v>
          </cell>
          <cell r="C4196" t="str">
            <v>FINGERNAGELBOHRER, IDEAL, KOMPL.</v>
          </cell>
          <cell r="D4196" t="str">
            <v>FINGERNAIL DRILL, IDEAL, COMPLETE</v>
          </cell>
        </row>
        <row r="4197">
          <cell r="B4197" t="str">
            <v>23-968-00-07</v>
          </cell>
          <cell r="C4197" t="str">
            <v>SATZ BOHRER Z. 23-967-11</v>
          </cell>
          <cell r="D4197" t="str">
            <v>SET OF DRILLS, F. 23-967-11</v>
          </cell>
        </row>
        <row r="4198">
          <cell r="B4198" t="str">
            <v>23-968-01-07</v>
          </cell>
          <cell r="C4198" t="str">
            <v>EINZELBOHRER Z. 23-967-10,  KLEIN</v>
          </cell>
          <cell r="D4198" t="str">
            <v>SINGLE DRILL, F. 23-967-10,  SMALL</v>
          </cell>
        </row>
        <row r="4199">
          <cell r="B4199" t="str">
            <v>23-968-02-07</v>
          </cell>
          <cell r="C4199" t="str">
            <v>EINZELBOHRER Z. 23-967-10,  MITTEL</v>
          </cell>
          <cell r="D4199" t="str">
            <v>SINGLE DRILL, F. 23-967-10,  MEDIUM</v>
          </cell>
        </row>
        <row r="4200">
          <cell r="B4200" t="str">
            <v>23-968-03-07</v>
          </cell>
          <cell r="C4200" t="str">
            <v>EINZELBOHRER Z. 23-967-10,  GROSS</v>
          </cell>
          <cell r="D4200" t="str">
            <v>SINGLE DRILL, F. 23-967-10,  LARGE</v>
          </cell>
        </row>
        <row r="4201">
          <cell r="B4201" t="str">
            <v>23-970-17-02</v>
          </cell>
          <cell r="C4201" t="str">
            <v>FINGERRINGSÄGE, MARTIN,  18,5 CM</v>
          </cell>
          <cell r="D4201" t="str">
            <v>FINGER RING SAW, MARTIN,  18.5 CM</v>
          </cell>
        </row>
        <row r="4202">
          <cell r="B4202" t="str">
            <v>23-972-16-02</v>
          </cell>
          <cell r="C4202" t="str">
            <v>FINGERRINGSÄGE, WALTON,  16 CM</v>
          </cell>
          <cell r="D4202" t="str">
            <v>FINGER RING SAW, WALTON,  16 CM</v>
          </cell>
        </row>
        <row r="4203">
          <cell r="B4203" t="str">
            <v>23-973-01-04</v>
          </cell>
          <cell r="C4203" t="str">
            <v>ERSATZSÄGEBLATT Z. 23-970-17</v>
          </cell>
          <cell r="D4203" t="str">
            <v>SPARE SAW BLADE, F. 23-970-17</v>
          </cell>
        </row>
        <row r="4204">
          <cell r="B4204" t="str">
            <v>23-973-02-04</v>
          </cell>
          <cell r="C4204" t="str">
            <v>TC-ERSATZSAEGEBLATT Z. 23-970-17</v>
          </cell>
          <cell r="D4204" t="str">
            <v>TC SPARE SAW BLADE, FOR 23-970-17</v>
          </cell>
        </row>
        <row r="4205">
          <cell r="B4205" t="str">
            <v>23-974-01-04</v>
          </cell>
          <cell r="C4205" t="str">
            <v>ERSATZSAEGEBLATT KOMPLETT  ZU 23-972-16</v>
          </cell>
          <cell r="D4205" t="str">
            <v>SPARE SAW BLADE COMPLETE  F. 23-972-16</v>
          </cell>
        </row>
        <row r="4206">
          <cell r="B4206" t="str">
            <v>23-974-02-04</v>
          </cell>
          <cell r="C4206" t="str">
            <v>ERSATZSAEGEBLATT KOMPLETT  ZU 23-972-16</v>
          </cell>
          <cell r="D4206" t="str">
            <v>SPARE SAW BLADE COMPLETE  F. 23-972-16</v>
          </cell>
        </row>
        <row r="4207">
          <cell r="B4207" t="str">
            <v>23-974-16-07</v>
          </cell>
          <cell r="C4207" t="str">
            <v>FINGERNAGEL-EXTRAKTIONSZANGE, 16 CM</v>
          </cell>
          <cell r="D4207" t="str">
            <v>NAIL EXTRACTION FORCEPS,  16 CM</v>
          </cell>
        </row>
        <row r="4208">
          <cell r="B4208" t="str">
            <v>23-975-17-07</v>
          </cell>
          <cell r="C4208" t="str">
            <v>FINGERRING-SÄGEZANGE, 14,5 CM</v>
          </cell>
          <cell r="D4208" t="str">
            <v>FINGER RING SAW-FORCEPS, 14.5 CM</v>
          </cell>
        </row>
        <row r="4209">
          <cell r="B4209" t="str">
            <v>23-976-01-07</v>
          </cell>
          <cell r="C4209" t="str">
            <v>ERSATZSÄGEBLATT Z. 23-975-17</v>
          </cell>
          <cell r="D4209" t="str">
            <v>SPARE SAW BLADE, F. 23-975-17</v>
          </cell>
        </row>
        <row r="4210">
          <cell r="B4210" t="str">
            <v>23-976-02-04</v>
          </cell>
          <cell r="C4210" t="str">
            <v>TC-ERSATZSAEGEBLATT Z. 23-975-17</v>
          </cell>
          <cell r="D4210" t="str">
            <v>TC SPARE SAW BLADE, F. 23-975-17</v>
          </cell>
        </row>
        <row r="4211">
          <cell r="B4211" t="str">
            <v>23-978-13-07</v>
          </cell>
          <cell r="C4211" t="str">
            <v>NAGELEXTRAKTIONSZANGE, RADOLF, 13,5 CM</v>
          </cell>
          <cell r="D4211" t="str">
            <v>NAIL EXTRACTION FORCEPS,  RADOLF, 13.5 CM</v>
          </cell>
        </row>
        <row r="4212">
          <cell r="B4212" t="str">
            <v>23-997-01-07</v>
          </cell>
          <cell r="C4212" t="str">
            <v>Löffel, zervikal, vorw.ger.,  21,5cm, #1</v>
          </cell>
          <cell r="D4212" t="str">
            <v>Curette, cerv., forw.str.,  21.5cm, No.1</v>
          </cell>
        </row>
        <row r="4213">
          <cell r="B4213" t="str">
            <v>23-997-02-07</v>
          </cell>
          <cell r="C4213" t="str">
            <v>Löffel, zervikal, vorw.ger.,  21,5cm, #2</v>
          </cell>
          <cell r="D4213" t="str">
            <v>Curette, cerv., forw.str.,  21.5cm, No.2</v>
          </cell>
        </row>
        <row r="4214">
          <cell r="B4214" t="str">
            <v>23-997-03-07</v>
          </cell>
          <cell r="C4214" t="str">
            <v>Löffel, zervikal, vorw.ger.,  21,5cm, #3</v>
          </cell>
          <cell r="D4214" t="str">
            <v>Curette, cerv., forw.str.,  21.5cm, No.3</v>
          </cell>
        </row>
        <row r="4215">
          <cell r="B4215" t="str">
            <v>23-997-04-07</v>
          </cell>
          <cell r="C4215" t="str">
            <v>Löffel, zervikal, vorw.ger.,  21,5cm, #4</v>
          </cell>
          <cell r="D4215" t="str">
            <v>Curette, cerv., forw.str.,  21.5cm, No.4</v>
          </cell>
        </row>
        <row r="4216">
          <cell r="B4216" t="str">
            <v>23-997-10-07</v>
          </cell>
          <cell r="C4216" t="str">
            <v>Löffel, zervikal, vorw.geb.,  21,5cm, #1</v>
          </cell>
          <cell r="D4216" t="str">
            <v>Curette, cerv., forw.cvd.,  21.5cm, No.1</v>
          </cell>
        </row>
        <row r="4217">
          <cell r="B4217" t="str">
            <v>23-997-11-07</v>
          </cell>
          <cell r="C4217" t="str">
            <v>Löffel, zervikal, vorw.geb.,  21,5cm, #2</v>
          </cell>
          <cell r="D4217" t="str">
            <v>Curette, cerv., forw.cvd.,  21.5cm, No.2</v>
          </cell>
        </row>
        <row r="4218">
          <cell r="B4218" t="str">
            <v>23-997-12-07</v>
          </cell>
          <cell r="C4218" t="str">
            <v>Löffel, zervikal, vorw.geb.,  21,5cm, #3</v>
          </cell>
          <cell r="D4218" t="str">
            <v>Curette, cerv., forw.cvd.,  21.5cm, No.3</v>
          </cell>
        </row>
        <row r="4219">
          <cell r="B4219" t="str">
            <v>23-997-13-07</v>
          </cell>
          <cell r="C4219" t="str">
            <v>Löffel, zervikal, vorw.geb.,  21,5cm, #4</v>
          </cell>
          <cell r="D4219" t="str">
            <v>Curette, cerv., forw.cvd.,  21.5cm, No.4</v>
          </cell>
        </row>
        <row r="4220">
          <cell r="B4220" t="str">
            <v>23-997-20-07</v>
          </cell>
          <cell r="C4220" t="str">
            <v>Löffel, zervikal, rückw.ger., 21,5cm, #1</v>
          </cell>
          <cell r="D4220" t="str">
            <v>Curette, cerv., backw.str.,  21.5cm, No.1</v>
          </cell>
        </row>
        <row r="4221">
          <cell r="B4221" t="str">
            <v>23-997-21-07</v>
          </cell>
          <cell r="C4221" t="str">
            <v>Löffel, zervikal, rückw.ger., 21,5cm, #2</v>
          </cell>
          <cell r="D4221" t="str">
            <v>Curette, cerv., backw.str.,  21.5cm, No.2</v>
          </cell>
        </row>
        <row r="4222">
          <cell r="B4222" t="str">
            <v>23-997-22-07</v>
          </cell>
          <cell r="C4222" t="str">
            <v>Löffel, zervikal, rückw.ger., 21,5cm, #3</v>
          </cell>
          <cell r="D4222" t="str">
            <v>Curette, cerv., backw.str.,  21.5cm, No.3</v>
          </cell>
        </row>
        <row r="4223">
          <cell r="B4223" t="str">
            <v>23-997-23-07</v>
          </cell>
          <cell r="C4223" t="str">
            <v>Löffel, zervikal, rückw.ger., 21,5cm, #4</v>
          </cell>
          <cell r="D4223" t="str">
            <v>Curette, cerv., backw.str.,  21.5cm, No.4</v>
          </cell>
        </row>
        <row r="4224">
          <cell r="B4224" t="str">
            <v>23-997-30-07</v>
          </cell>
          <cell r="C4224" t="str">
            <v>Löffel, zervikal, rückw.geb., 21,5cm, #1</v>
          </cell>
          <cell r="D4224" t="str">
            <v>Curette, cerv., backw.cvd., 21.5cm, No.1</v>
          </cell>
        </row>
        <row r="4225">
          <cell r="B4225" t="str">
            <v>23-997-31-07</v>
          </cell>
          <cell r="C4225" t="str">
            <v>Löffel, zervikal, rückw.geb., 21,5cm, #2</v>
          </cell>
          <cell r="D4225" t="str">
            <v>Curette, cerv., backw.cvd., 21.5cm, No.2</v>
          </cell>
        </row>
        <row r="4226">
          <cell r="B4226" t="str">
            <v>23-997-32-07</v>
          </cell>
          <cell r="C4226" t="str">
            <v>Löffel, zervikal, rückw.geb., 21,5cm, #3</v>
          </cell>
          <cell r="D4226" t="str">
            <v>Curette, cerv., backw.cvd., 21.5cm, No.3</v>
          </cell>
        </row>
        <row r="4227">
          <cell r="B4227" t="str">
            <v>23-997-33-07</v>
          </cell>
          <cell r="C4227" t="str">
            <v>Löffel, zervikal, rückw.geb., 21,5cm, #4</v>
          </cell>
          <cell r="D4227" t="str">
            <v>Curette, cerv., backw.cvd., 21.5cm, No.4</v>
          </cell>
        </row>
        <row r="4228">
          <cell r="B4228" t="str">
            <v>23-997-40-07</v>
          </cell>
          <cell r="C4228" t="str">
            <v>Löffel, zervikal, vorw.ger.,  24cm, #1</v>
          </cell>
          <cell r="D4228" t="str">
            <v>Curette, cerv., forw.str.,  24cm, No.1</v>
          </cell>
        </row>
        <row r="4229">
          <cell r="B4229" t="str">
            <v>23-997-41-07</v>
          </cell>
          <cell r="C4229" t="str">
            <v>Löffel, zervikal, vorw.ger.,  24cm, #2</v>
          </cell>
          <cell r="D4229" t="str">
            <v>Curette, cerv., forw.str.,  24cm, No.2</v>
          </cell>
        </row>
        <row r="4230">
          <cell r="B4230" t="str">
            <v>23-997-42-07</v>
          </cell>
          <cell r="C4230" t="str">
            <v>Löffel, zervikal, vorw.ger.,  24cm, #3</v>
          </cell>
          <cell r="D4230" t="str">
            <v>Curette, cerv., forw.str.,  24cm, No.3</v>
          </cell>
        </row>
        <row r="4231">
          <cell r="B4231" t="str">
            <v>23-997-43-07</v>
          </cell>
          <cell r="C4231" t="str">
            <v>Löffel, zervikal, vorw.ger.,  24cm, #4</v>
          </cell>
          <cell r="D4231" t="str">
            <v>Curette, cerv., forw.str.,  24cm, No.4</v>
          </cell>
        </row>
        <row r="4232">
          <cell r="B4232" t="str">
            <v>23-997-50-07</v>
          </cell>
          <cell r="C4232" t="str">
            <v>Löffel, zervikal, vorw.geb.,  24cm, #1</v>
          </cell>
          <cell r="D4232" t="str">
            <v>Curette, cerv., forw.cvd.,  24cm, No.1</v>
          </cell>
        </row>
        <row r="4233">
          <cell r="B4233" t="str">
            <v>23-997-51-07</v>
          </cell>
          <cell r="C4233" t="str">
            <v>Löffel, zervikal, vorw.geb.,  24cm, #2</v>
          </cell>
          <cell r="D4233" t="str">
            <v>Curette, cerv., forw.cvd.,  24cm, No.2</v>
          </cell>
        </row>
        <row r="4234">
          <cell r="B4234" t="str">
            <v>23-997-52-07</v>
          </cell>
          <cell r="C4234" t="str">
            <v>Löffel, zervikal, vorw.geb.,  24cm, #3</v>
          </cell>
          <cell r="D4234" t="str">
            <v>Curette, cerv., forw.cvd.,  24cm, No.3</v>
          </cell>
        </row>
        <row r="4235">
          <cell r="B4235" t="str">
            <v>23-997-53-07</v>
          </cell>
          <cell r="C4235" t="str">
            <v>Löffel, zervikal, vorw.geb.,  24cm, #4</v>
          </cell>
          <cell r="D4235" t="str">
            <v>Curette, cerv., forw.cvd.,  24cm, No.4</v>
          </cell>
        </row>
        <row r="4236">
          <cell r="B4236" t="str">
            <v>23-997-60-07</v>
          </cell>
          <cell r="C4236" t="str">
            <v>Löffel, zervikal, rückw.ger., 24cm, #1</v>
          </cell>
          <cell r="D4236" t="str">
            <v>Curette, cerv., backw.str.,  24cm, No.1</v>
          </cell>
        </row>
        <row r="4237">
          <cell r="B4237" t="str">
            <v>23-997-61-07</v>
          </cell>
          <cell r="C4237" t="str">
            <v>Löffel, zervikal, rückw.ger., 24cm, #2</v>
          </cell>
          <cell r="D4237" t="str">
            <v>Curette, cerv., backw.str.,  24cm, No.2</v>
          </cell>
        </row>
        <row r="4238">
          <cell r="B4238" t="str">
            <v>23-997-62-07</v>
          </cell>
          <cell r="C4238" t="str">
            <v>Löffel, zervikal, rückw.ger., 24cm, #3</v>
          </cell>
          <cell r="D4238" t="str">
            <v>Curette, cerv., backw.str.,  24cm, No.3</v>
          </cell>
        </row>
        <row r="4239">
          <cell r="B4239" t="str">
            <v>23-997-63-07</v>
          </cell>
          <cell r="C4239" t="str">
            <v>Löffel, zervikal, rückw.ger., 24cm, #4</v>
          </cell>
          <cell r="D4239" t="str">
            <v>Curette, cerv., backw.str.,  24cm, No.4</v>
          </cell>
        </row>
        <row r="4240">
          <cell r="B4240" t="str">
            <v>23-997-70-07</v>
          </cell>
          <cell r="C4240" t="str">
            <v>Löffel, zervikal, rückw.geb., 24cm, #1</v>
          </cell>
          <cell r="D4240" t="str">
            <v>Curette, cerv., backw.cvd., 24cm, No.1</v>
          </cell>
        </row>
        <row r="4241">
          <cell r="B4241" t="str">
            <v>23-997-71-07</v>
          </cell>
          <cell r="C4241" t="str">
            <v>Löffel, zervikal, rückw.geb., 24cm, #2</v>
          </cell>
          <cell r="D4241" t="str">
            <v>Curette, cerv., backw.cvd., 24cm, No.2</v>
          </cell>
        </row>
        <row r="4242">
          <cell r="B4242" t="str">
            <v>23-997-72-07</v>
          </cell>
          <cell r="C4242" t="str">
            <v>Löffel, zervikal, rückw.geb., 24cm, #3</v>
          </cell>
          <cell r="D4242" t="str">
            <v>Curette, cerv., backw.cvd., 24cm, No.3</v>
          </cell>
        </row>
        <row r="4243">
          <cell r="B4243" t="str">
            <v>23-997-73-07</v>
          </cell>
          <cell r="C4243" t="str">
            <v>Löffel, zervikal, rückw.geb., 24cm, #4</v>
          </cell>
          <cell r="D4243" t="str">
            <v>Curette, cerv., backw.cvd., 24cm, No.4</v>
          </cell>
        </row>
        <row r="4244">
          <cell r="B4244" t="str">
            <v>23-998-01-07</v>
          </cell>
          <cell r="C4244" t="str">
            <v>Löffel, lumbal, vorw.ger.,  24cm, #0</v>
          </cell>
          <cell r="D4244" t="str">
            <v>Curette, lumb., forw.str.,  24cm, No.0</v>
          </cell>
        </row>
        <row r="4245">
          <cell r="B4245" t="str">
            <v>23-998-02-07</v>
          </cell>
          <cell r="C4245" t="str">
            <v>Löffel, lumbal, vorw.ger.,  24cm, #1</v>
          </cell>
          <cell r="D4245" t="str">
            <v>Curette, lumb., forw.str.,  24cm, No.1</v>
          </cell>
        </row>
        <row r="4246">
          <cell r="B4246" t="str">
            <v>23-998-03-07</v>
          </cell>
          <cell r="C4246" t="str">
            <v>Löffel, lumbal, vorw.ger.,  24cm, #2</v>
          </cell>
          <cell r="D4246" t="str">
            <v>Curette, lumb., forw.str.,  24cm, No.2</v>
          </cell>
        </row>
        <row r="4247">
          <cell r="B4247" t="str">
            <v>23-998-10-07</v>
          </cell>
          <cell r="C4247" t="str">
            <v>Löffel, lumbal, vorw.geb.,  24cm, #0</v>
          </cell>
          <cell r="D4247" t="str">
            <v>Curette, lumb., forw.cvd.,  24cm, No.0</v>
          </cell>
        </row>
        <row r="4248">
          <cell r="B4248" t="str">
            <v>23-998-11-07</v>
          </cell>
          <cell r="C4248" t="str">
            <v>Löffel, lumbal, vorw.geb.,  24cm, #1</v>
          </cell>
          <cell r="D4248" t="str">
            <v>Curette, lumb., forw.cvd.,  24cm, No.1</v>
          </cell>
        </row>
        <row r="4249">
          <cell r="B4249" t="str">
            <v>23-998-12-07</v>
          </cell>
          <cell r="C4249" t="str">
            <v>Löffel, lumbal, vorw.geb.,  24cm, #2</v>
          </cell>
          <cell r="D4249" t="str">
            <v>Curette, lumb., forw.cvd.,  24cm, No.2</v>
          </cell>
        </row>
        <row r="4250">
          <cell r="B4250" t="str">
            <v>23-998-20-07</v>
          </cell>
          <cell r="C4250" t="str">
            <v>Löffel, lumbal, vorw.abw.,  24cm, #0</v>
          </cell>
          <cell r="D4250" t="str">
            <v>Curette, lumb., forw.downw., 24cm, No.0</v>
          </cell>
        </row>
        <row r="4251">
          <cell r="B4251" t="str">
            <v>23-998-21-07</v>
          </cell>
          <cell r="C4251" t="str">
            <v>Löffel, lumbal, vorw.abw.,  24cm, #1</v>
          </cell>
          <cell r="D4251" t="str">
            <v>Curette, lumb., forw.downw., 24cm, No.1</v>
          </cell>
        </row>
        <row r="4252">
          <cell r="B4252" t="str">
            <v>23-998-22-07</v>
          </cell>
          <cell r="C4252" t="str">
            <v>Löffel, lumbal, vorw.abw.,  24cm, #2</v>
          </cell>
          <cell r="D4252" t="str">
            <v>Curette, lumb., forw.downw., 24cm, No.2</v>
          </cell>
        </row>
        <row r="4253">
          <cell r="B4253" t="str">
            <v>23-998-30-07</v>
          </cell>
          <cell r="C4253" t="str">
            <v>Löffel, lumbal, rückw.ger., 24cm, #0</v>
          </cell>
          <cell r="D4253" t="str">
            <v>Curette, lumb., backw.str.,  24cm, No.0</v>
          </cell>
        </row>
        <row r="4254">
          <cell r="B4254" t="str">
            <v>23-998-31-07</v>
          </cell>
          <cell r="C4254" t="str">
            <v>Löffel, lumbal, rückw.ger., 24cm, #1</v>
          </cell>
          <cell r="D4254" t="str">
            <v>Curette, lumb., backw.str.,  24cm, No.1</v>
          </cell>
        </row>
        <row r="4255">
          <cell r="B4255" t="str">
            <v>23-998-32-07</v>
          </cell>
          <cell r="C4255" t="str">
            <v>Löffel, lumbal, rückw.ger., 24cm, #2</v>
          </cell>
          <cell r="D4255" t="str">
            <v>Curette, lumb., backw.str.,  24cm, No.2</v>
          </cell>
        </row>
        <row r="4256">
          <cell r="B4256" t="str">
            <v>23-998-40-07</v>
          </cell>
          <cell r="C4256" t="str">
            <v>Löffel, lumbal, rückw.geb., 24cm, #0</v>
          </cell>
          <cell r="D4256" t="str">
            <v>Curette, lumb., backw.cvd., 24cm, No.0</v>
          </cell>
        </row>
        <row r="4257">
          <cell r="B4257" t="str">
            <v>23-998-41-07</v>
          </cell>
          <cell r="C4257" t="str">
            <v>Löffel, lumbal, rückw.geb., 24cm, #1</v>
          </cell>
          <cell r="D4257" t="str">
            <v>Curette, lumb., backw.cvd., 24cm, No.1</v>
          </cell>
        </row>
        <row r="4258">
          <cell r="B4258" t="str">
            <v>23-998-42-07</v>
          </cell>
          <cell r="C4258" t="str">
            <v>Löffel, lumbal, rückw.geb., 24cm, #2</v>
          </cell>
          <cell r="D4258" t="str">
            <v>Curette, lumb., backw.cvd., 24cm, No.2</v>
          </cell>
        </row>
        <row r="4259">
          <cell r="B4259" t="str">
            <v>23-998-50-07</v>
          </cell>
          <cell r="C4259" t="str">
            <v>Löffel, lumbal, rückw.abw., 24cm, #0</v>
          </cell>
          <cell r="D4259" t="str">
            <v>Curette, lumb., backw.downw., 24cm, No.0</v>
          </cell>
        </row>
        <row r="4260">
          <cell r="B4260" t="str">
            <v>23-998-51-07</v>
          </cell>
          <cell r="C4260" t="str">
            <v>Löffel, lumbal, rückw.abw., 24cm, #1</v>
          </cell>
          <cell r="D4260" t="str">
            <v>Curette, lumb., backw.downw., 24cm, No.1</v>
          </cell>
        </row>
        <row r="4261">
          <cell r="B4261" t="str">
            <v>23-998-52-07</v>
          </cell>
          <cell r="C4261" t="str">
            <v>Löffel, lumbal, rückw.abw., 24cm, #2</v>
          </cell>
          <cell r="D4261" t="str">
            <v>Curette, lumb., backw.downw., 24cm, No.2</v>
          </cell>
        </row>
        <row r="4262">
          <cell r="B4262" t="str">
            <v>24-007-01-07</v>
          </cell>
          <cell r="C4262" t="str">
            <v>SEITENSCHNEIDER</v>
          </cell>
          <cell r="D4262" t="str">
            <v>WIRE PLATE CUTTER</v>
          </cell>
        </row>
        <row r="4263">
          <cell r="B4263" t="str">
            <v>24-015-20-71</v>
          </cell>
          <cell r="C4263" t="str">
            <v>L1 Rib X-Platte, 1,5mm, 10-Loch, steril</v>
          </cell>
          <cell r="D4263" t="str">
            <v>L1 Rib X-Plate, 1.5mm, 10-hole, sterile</v>
          </cell>
        </row>
        <row r="4264">
          <cell r="B4264" t="str">
            <v>24-015-22-71</v>
          </cell>
          <cell r="C4264" t="str">
            <v>L1 Rib X-Platte, 1,5mm, 20-Loch, steril</v>
          </cell>
          <cell r="D4264" t="str">
            <v>L1 Rib X-Plate, 1.5mm, 20-hole, sterile</v>
          </cell>
        </row>
        <row r="4265">
          <cell r="B4265" t="str">
            <v>24-015-25-71</v>
          </cell>
          <cell r="C4265" t="str">
            <v>L1 Rib X-Platte, 1,5mm, 32-Loch, steril</v>
          </cell>
          <cell r="D4265" t="str">
            <v>L1 Rib X-Plate, 1.5mm, 32-hole, sterile</v>
          </cell>
        </row>
        <row r="4266">
          <cell r="B4266" t="str">
            <v>24-015-26-71</v>
          </cell>
          <cell r="C4266" t="str">
            <v>L1 Rib X-Platte, 2,0mm, 32-Loch, steril</v>
          </cell>
          <cell r="D4266" t="str">
            <v>L1 Rib X-Plate, 2.0mm, 32-hole, sterile</v>
          </cell>
        </row>
        <row r="4267">
          <cell r="B4267" t="str">
            <v>24-015-29-71</v>
          </cell>
          <cell r="C4267" t="str">
            <v>L1 Rib Platte mit Steg,1,5mm, 14-Loch,st</v>
          </cell>
          <cell r="D4267" t="str">
            <v>L1 Rib Spar Plate,1.5mm,14-hole,sterile</v>
          </cell>
        </row>
        <row r="4268">
          <cell r="B4268" t="str">
            <v>24-015-30-71</v>
          </cell>
          <cell r="C4268" t="str">
            <v>L1 Rib Univ.-Platte,1,5mm,14-Loch,steril</v>
          </cell>
          <cell r="D4268" t="str">
            <v>L1 Rib Univ. Plate,1.5mm,14-hole,sterile</v>
          </cell>
        </row>
        <row r="4269">
          <cell r="B4269" t="str">
            <v>24-015-31-71</v>
          </cell>
          <cell r="C4269" t="str">
            <v>L1 Rib Laschenplatte,1,5mm,16-Loch,ster.</v>
          </cell>
          <cell r="D4269" t="str">
            <v>L1 Rib Tabbed Plate,1.5mm,16-hole,steri.</v>
          </cell>
        </row>
        <row r="4270">
          <cell r="B4270" t="str">
            <v>24-015-32-71</v>
          </cell>
          <cell r="C4270" t="str">
            <v>L1 Rib Platte, solide, 1,5mm,16-Loch,ste</v>
          </cell>
          <cell r="D4270" t="str">
            <v>L1 Rib Solid Plate,1.5mm,16-hole,sterile</v>
          </cell>
        </row>
        <row r="4271">
          <cell r="B4271" t="str">
            <v>24-015-35-71</v>
          </cell>
          <cell r="C4271" t="str">
            <v>L1 Rib Platte, solide, 1,5mm,20-Loch,ste</v>
          </cell>
          <cell r="D4271" t="str">
            <v>L1 Rib Solid Plate,1.5mm,20-hole,sterile</v>
          </cell>
        </row>
        <row r="4272">
          <cell r="B4272" t="str">
            <v>24-015-36-71</v>
          </cell>
          <cell r="C4272" t="str">
            <v>L1 Rib Platte, solide, 2,0mm,20-Loch,ste</v>
          </cell>
          <cell r="D4272" t="str">
            <v>L1 Rib Solid Plate,2.0mm,20-hole,sterile</v>
          </cell>
        </row>
        <row r="4273">
          <cell r="B4273" t="str">
            <v>24-015-50-07</v>
          </cell>
          <cell r="C4273" t="str">
            <v>Dreifarben-Tiefenmesser</v>
          </cell>
          <cell r="D4273" t="str">
            <v>Tri color depth gauge</v>
          </cell>
        </row>
        <row r="4274">
          <cell r="B4274" t="str">
            <v>24-015-51-07</v>
          </cell>
          <cell r="C4274" t="str">
            <v>Fester Tiefenmesser</v>
          </cell>
          <cell r="D4274" t="str">
            <v>Fixed depth gauge</v>
          </cell>
        </row>
        <row r="4275">
          <cell r="B4275" t="str">
            <v>24-015-52-07</v>
          </cell>
          <cell r="C4275" t="str">
            <v>Plattenhaltezange, gewinkelt,  kurz</v>
          </cell>
          <cell r="D4275" t="str">
            <v>Short angled plate holding forceps</v>
          </cell>
        </row>
        <row r="4276">
          <cell r="B4276" t="str">
            <v>24-015-53-07</v>
          </cell>
          <cell r="C4276" t="str">
            <v>Plattenhaltezange, gerade, lang</v>
          </cell>
          <cell r="D4276" t="str">
            <v>Long straight plate holding forceps</v>
          </cell>
        </row>
        <row r="4277">
          <cell r="B4277" t="str">
            <v>24-015-54-07</v>
          </cell>
          <cell r="C4277" t="str">
            <v>Rippen-Knochenhaltezange</v>
          </cell>
          <cell r="D4277" t="str">
            <v>Rib bone holding forceps</v>
          </cell>
        </row>
        <row r="4278">
          <cell r="B4278" t="str">
            <v>24-015-55-07</v>
          </cell>
          <cell r="C4278" t="str">
            <v>CB3-Biegezange</v>
          </cell>
          <cell r="D4278" t="str">
            <v>CB3 bending pliers</v>
          </cell>
        </row>
        <row r="4279">
          <cell r="B4279" t="str">
            <v>24-015-57-07</v>
          </cell>
          <cell r="C4279" t="str">
            <v>Kanüle</v>
          </cell>
          <cell r="D4279" t="str">
            <v>Cannula</v>
          </cell>
        </row>
        <row r="4280">
          <cell r="B4280" t="str">
            <v>24-015-58-07</v>
          </cell>
          <cell r="C4280" t="str">
            <v>maxDrive-Klinge, 2,0/2,3 mm, 130 mm</v>
          </cell>
          <cell r="D4280" t="str">
            <v>maxDrive  Blade, 2.0/2.3 mm, 130 mm</v>
          </cell>
        </row>
        <row r="4281">
          <cell r="B4281" t="str">
            <v>24-015-59-07</v>
          </cell>
          <cell r="C4281" t="str">
            <v>CB3-Schraubenführung</v>
          </cell>
          <cell r="D4281" t="str">
            <v>CB3 screw guide</v>
          </cell>
        </row>
        <row r="4282">
          <cell r="B4282" t="str">
            <v>24-015-61-71</v>
          </cell>
          <cell r="C4282" t="str">
            <v>Template  für 24-015-25,Aluminium,steril</v>
          </cell>
          <cell r="D4282" t="str">
            <v>Template  for 24-015-25,Aluminium,sterile</v>
          </cell>
        </row>
        <row r="4283">
          <cell r="B4283" t="str">
            <v>24-015-63-09</v>
          </cell>
          <cell r="C4283" t="str">
            <v>Sizer-Set Rippenfixierung</v>
          </cell>
          <cell r="D4283" t="str">
            <v>Sizer Set Rib Fixation</v>
          </cell>
        </row>
        <row r="4284">
          <cell r="B4284" t="str">
            <v>24-015-65-07</v>
          </cell>
          <cell r="C4284" t="str">
            <v>Rippenzange, Fenster klein</v>
          </cell>
          <cell r="D4284" t="str">
            <v>Rib forceps, small box</v>
          </cell>
        </row>
        <row r="4285">
          <cell r="B4285" t="str">
            <v>24-015-66-07</v>
          </cell>
          <cell r="C4285" t="str">
            <v>Rippen-Plattenhaltezange</v>
          </cell>
          <cell r="D4285" t="str">
            <v>Rib plate holding forceps</v>
          </cell>
        </row>
        <row r="4286">
          <cell r="B4286" t="str">
            <v>24-015-68-07</v>
          </cell>
          <cell r="C4286" t="str">
            <v>Rippenzange, Fenster groß</v>
          </cell>
          <cell r="D4286" t="str">
            <v>Rib forceps, large box</v>
          </cell>
        </row>
        <row r="4287">
          <cell r="B4287" t="str">
            <v>24-015-69-07</v>
          </cell>
          <cell r="C4287" t="str">
            <v>Rippen-Plattenhaltezange, Presstyp</v>
          </cell>
          <cell r="D4287" t="str">
            <v>Rib plate holding forceps, press style</v>
          </cell>
        </row>
        <row r="4288">
          <cell r="B4288" t="str">
            <v>24-015-70-07</v>
          </cell>
          <cell r="C4288" t="str">
            <v>Rippenfasszange</v>
          </cell>
          <cell r="D4288" t="str">
            <v>Rib grasping forceps</v>
          </cell>
        </row>
        <row r="4289">
          <cell r="B4289" t="str">
            <v>24-015-71-07</v>
          </cell>
          <cell r="C4289" t="str">
            <v>Rippen-Plattenhaltezange, vertikal</v>
          </cell>
          <cell r="D4289" t="str">
            <v>Rib plate holding forceps, vertical</v>
          </cell>
        </row>
        <row r="4290">
          <cell r="B4290" t="str">
            <v>24-015-72-07</v>
          </cell>
          <cell r="C4290" t="str">
            <v>Plattenhaltezange, mit Gelenk</v>
          </cell>
          <cell r="D4290" t="str">
            <v>Plate holding forceps, hinged</v>
          </cell>
        </row>
        <row r="4291">
          <cell r="B4291" t="str">
            <v>24-015-74-07</v>
          </cell>
          <cell r="C4291" t="str">
            <v>Plattenhaltezange, lang, 20 cm</v>
          </cell>
          <cell r="D4291" t="str">
            <v>Plate holding forceps, long, 20 cm</v>
          </cell>
        </row>
        <row r="4292">
          <cell r="B4292" t="str">
            <v>24-015-75-07</v>
          </cell>
          <cell r="C4292" t="str">
            <v>Plattenhaltezange, 20 cm</v>
          </cell>
          <cell r="D4292" t="str">
            <v>Plate holding forceps, 20 cm</v>
          </cell>
        </row>
        <row r="4293">
          <cell r="B4293" t="str">
            <v>24-015-76-07</v>
          </cell>
          <cell r="C4293" t="str">
            <v>Knochenhaltezange, 21 cm</v>
          </cell>
          <cell r="D4293" t="str">
            <v>Bone Holding Forceps, 21 cm</v>
          </cell>
        </row>
        <row r="4294">
          <cell r="B4294" t="str">
            <v>24-015-77-07</v>
          </cell>
          <cell r="C4294" t="str">
            <v>Plattenhaltezange m.CB3-Schraubenführung</v>
          </cell>
          <cell r="D4294" t="str">
            <v>Plate Holding Forceps w. CB3 screw guide</v>
          </cell>
        </row>
        <row r="4295">
          <cell r="B4295" t="str">
            <v>24-016-07-70</v>
          </cell>
          <cell r="C4295" t="str">
            <v>L1 Rib maxDr.Schraube,2,3x7mm,ws,DF,ster</v>
          </cell>
          <cell r="D4295" t="str">
            <v>L1 Rib maxDr.Screw,Ø2.3x7mm,lock,DF,ster</v>
          </cell>
        </row>
        <row r="4296">
          <cell r="B4296" t="str">
            <v>24-016-07-71</v>
          </cell>
          <cell r="C4296" t="str">
            <v>L1 Rib maxDr.Schraube,2,3x7mm,ws,DF,ster</v>
          </cell>
          <cell r="D4296" t="str">
            <v>L1 Rib maxDr.Screw,Ø2.3x7mm,lock,DF,ster</v>
          </cell>
        </row>
        <row r="4297">
          <cell r="B4297" t="str">
            <v>24-016-07-74</v>
          </cell>
          <cell r="C4297" t="str">
            <v>L1 Rib maxDr.Schraube,2,3x7mm,ws,DF,ster</v>
          </cell>
          <cell r="D4297" t="str">
            <v>L1 Rib maxDr.Screw,Ø2.3x7mm,lock,DF,ster</v>
          </cell>
        </row>
        <row r="4298">
          <cell r="B4298" t="str">
            <v>24-101-22-07</v>
          </cell>
          <cell r="C4298" t="str">
            <v>RIPPENSCHERE, GEB., 23 CM</v>
          </cell>
          <cell r="D4298" t="str">
            <v>RIB SHEARS, CVD., 23 CM</v>
          </cell>
        </row>
        <row r="4299">
          <cell r="B4299" t="str">
            <v>24-107-22-07</v>
          </cell>
          <cell r="C4299" t="str">
            <v>RIPPENSCHERE, GLUCK, GEB., 21 CM</v>
          </cell>
          <cell r="D4299" t="str">
            <v>RIB SHEARS, GLUCK, CVD., 21 CM</v>
          </cell>
        </row>
        <row r="4300">
          <cell r="B4300" t="str">
            <v>24-126-34-07</v>
          </cell>
          <cell r="C4300" t="str">
            <v>RIPPENSCHERE, BETHUNE,  34,5 CM</v>
          </cell>
          <cell r="D4300" t="str">
            <v>RIB SHEARS, BETHUNE,  34.5 CM</v>
          </cell>
        </row>
        <row r="4301">
          <cell r="B4301" t="str">
            <v>24-131-26-07</v>
          </cell>
          <cell r="C4301" t="str">
            <v>RIPPENSCHERE, SAUERBRUCH, 26 CM</v>
          </cell>
          <cell r="D4301" t="str">
            <v>RIB SHEARS, SAUERBRUCH, 26 CM</v>
          </cell>
        </row>
        <row r="4302">
          <cell r="B4302" t="str">
            <v>24-137-27-07</v>
          </cell>
          <cell r="C4302" t="str">
            <v>RIPPENSCHERE, GIERTZ-STILLE, 24,5 CM</v>
          </cell>
          <cell r="D4302" t="str">
            <v>RIB SHEARS, GIERTZ-STILLE, 24.5 CM</v>
          </cell>
        </row>
        <row r="4303">
          <cell r="B4303" t="str">
            <v>24-147-28-07</v>
          </cell>
          <cell r="C4303" t="str">
            <v>RIPPENSCHERE, BRUNNER,  RE. HAND, 32 CM</v>
          </cell>
          <cell r="D4303" t="str">
            <v>RIB SHEARS, BRUNNER,  RIGHT HAND, 32 CM</v>
          </cell>
        </row>
        <row r="4304">
          <cell r="B4304" t="str">
            <v>24-149-28-07</v>
          </cell>
          <cell r="C4304" t="str">
            <v>RIPPENSCHERE, BRUNNER,  LI. HAND, 32 CM</v>
          </cell>
          <cell r="D4304" t="str">
            <v>RIB SHEARS, BRUNNER,  LEFT HAND, 32 CM</v>
          </cell>
        </row>
        <row r="4305">
          <cell r="B4305" t="str">
            <v>24-151-24-07</v>
          </cell>
          <cell r="C4305" t="str">
            <v>STERNUMMEISSEL, LEBSCHE,  24,5 CM</v>
          </cell>
          <cell r="D4305" t="str">
            <v>STERNAL  CHISEL, LEBSCHE,  24.5 CM</v>
          </cell>
        </row>
        <row r="4306">
          <cell r="B4306" t="str">
            <v>24-156-01-07</v>
          </cell>
          <cell r="C4306" t="str">
            <v>Aortastanze, Ø 3,0 mm, 15 cm</v>
          </cell>
          <cell r="D4306" t="str">
            <v>Aortic Punch, Ø 3.0 mm, 15 cm</v>
          </cell>
        </row>
        <row r="4307">
          <cell r="B4307" t="str">
            <v>24-156-02-07</v>
          </cell>
          <cell r="C4307" t="str">
            <v>Aortastanze, Ø 3,5 mm, 15 cm</v>
          </cell>
          <cell r="D4307" t="str">
            <v>Aortic Punch, Ø 3.5 mm, 15 cm</v>
          </cell>
        </row>
        <row r="4308">
          <cell r="B4308" t="str">
            <v>24-156-03-07</v>
          </cell>
          <cell r="C4308" t="str">
            <v>AORTASTANZE, Ø 4,0 MM, 15 CM</v>
          </cell>
          <cell r="D4308" t="str">
            <v>Aortic Punch, Ø 4.0 mm, 15 cm</v>
          </cell>
        </row>
        <row r="4309">
          <cell r="B4309" t="str">
            <v>24-156-04-07</v>
          </cell>
          <cell r="C4309" t="str">
            <v>Aortastanze, Ø 4,5 mm, 15 cm</v>
          </cell>
          <cell r="D4309" t="str">
            <v>Aortic Punch, Ø 4.5 mm, 15 cm</v>
          </cell>
        </row>
        <row r="4310">
          <cell r="B4310" t="str">
            <v>24-156-05-07</v>
          </cell>
          <cell r="C4310" t="str">
            <v>Aortastanze, Ø 5,0 mm, 15 cm</v>
          </cell>
          <cell r="D4310" t="str">
            <v>Aortic Punch, Ø 5.0 mm, 15 cm</v>
          </cell>
        </row>
        <row r="4311">
          <cell r="B4311" t="str">
            <v>24-156-06-07</v>
          </cell>
          <cell r="C4311" t="str">
            <v>Aortastanze, Ø 6,0 mm, 15 cm</v>
          </cell>
          <cell r="D4311" t="str">
            <v>Aortic Punch, Ø 6.0 mm, 15 cm</v>
          </cell>
        </row>
        <row r="4312">
          <cell r="B4312" t="str">
            <v>24-156-24-07</v>
          </cell>
          <cell r="C4312" t="str">
            <v>Drainagedurchführzange, o. Raste, 24 cm</v>
          </cell>
          <cell r="D4312" t="str">
            <v>Drainage  forceps, without lock, 24 cm</v>
          </cell>
        </row>
        <row r="4313">
          <cell r="B4313" t="str">
            <v>24-156-36-07</v>
          </cell>
          <cell r="C4313" t="str">
            <v>Drainagedurchführzange, o. Raste, 34 cm</v>
          </cell>
          <cell r="D4313" t="str">
            <v>Drainage  forceps, without lock, 34 cm</v>
          </cell>
        </row>
        <row r="4314">
          <cell r="B4314" t="str">
            <v>24-157-24-07</v>
          </cell>
          <cell r="C4314" t="str">
            <v>Drainagedurchführzange, m. Raste, 24 cm</v>
          </cell>
          <cell r="D4314" t="str">
            <v>Drainage  forceps, w. lock, 24 cm</v>
          </cell>
        </row>
        <row r="4315">
          <cell r="B4315" t="str">
            <v>24-157-36-07</v>
          </cell>
          <cell r="C4315" t="str">
            <v>Drainagedurchführzange, m. Raste, 34 cm</v>
          </cell>
          <cell r="D4315" t="str">
            <v>Drainage  forceps, w. lock, 34 cm</v>
          </cell>
        </row>
        <row r="4316">
          <cell r="B4316" t="str">
            <v>24-159-01-09</v>
          </cell>
          <cell r="C4316" t="str">
            <v>TI-STERNUMSPERRER F. FRÜHGEBORENE</v>
          </cell>
          <cell r="D4316" t="str">
            <v>STERNAL  SPREADER,  F. PREMATURE BABIES</v>
          </cell>
        </row>
        <row r="4317">
          <cell r="B4317" t="str">
            <v>24-159-02-09</v>
          </cell>
          <cell r="C4317" t="str">
            <v>Ti-Valven,  9x20 mm, z. 24-159-01</v>
          </cell>
          <cell r="D4317" t="str">
            <v>Ti-lateral  blades, 9X20 mm, t. 24-159-01</v>
          </cell>
        </row>
        <row r="4318">
          <cell r="B4318" t="str">
            <v>24-159-03-09</v>
          </cell>
          <cell r="C4318" t="str">
            <v>Ti-Valven,  9x10 mm, z. 24-159-01</v>
          </cell>
          <cell r="D4318" t="str">
            <v>Ti-lateral  blades, 9X10 mm, t. 24-159-01</v>
          </cell>
        </row>
        <row r="4319">
          <cell r="B4319" t="str">
            <v>24-160-01-04</v>
          </cell>
          <cell r="C4319" t="str">
            <v>Al-Rippensperrer, Cooley, 95 mm</v>
          </cell>
          <cell r="D4319" t="str">
            <v>Al-Rib spreader,  Cooley, 95 mm</v>
          </cell>
        </row>
        <row r="4320">
          <cell r="B4320" t="str">
            <v>24-160-02-04</v>
          </cell>
          <cell r="C4320" t="str">
            <v>Al-Rippensperrer, Cooley, 95 mm</v>
          </cell>
          <cell r="D4320" t="str">
            <v>Al-Rib spreader,  Cooley, 95 mm</v>
          </cell>
        </row>
        <row r="4321">
          <cell r="B4321" t="str">
            <v>24-160-03-04</v>
          </cell>
          <cell r="C4321" t="str">
            <v>Al-Rippensperrer, Cooley, 150 mm</v>
          </cell>
          <cell r="D4321" t="str">
            <v>Al-Rib spreader,  Cooley, 150 mm</v>
          </cell>
        </row>
        <row r="4322">
          <cell r="B4322" t="str">
            <v>24-160-05-07</v>
          </cell>
          <cell r="C4322" t="str">
            <v>Rippensperrer, Cooley, 195 mm</v>
          </cell>
          <cell r="D4322" t="str">
            <v>Ribspreader, Cooley, 195 mm</v>
          </cell>
        </row>
        <row r="4323">
          <cell r="B4323" t="str">
            <v>24-161-01-04</v>
          </cell>
          <cell r="C4323" t="str">
            <v>Al-Rippensperrer, Finoch.-Infant, 75 mm</v>
          </cell>
          <cell r="D4323" t="str">
            <v>Al-Rib spreader,  Finoch.-Infant, 75 mm</v>
          </cell>
        </row>
        <row r="4324">
          <cell r="B4324" t="str">
            <v>24-162-01-04</v>
          </cell>
          <cell r="C4324" t="str">
            <v>Al-Rippensperrer, Finoch.-Haight, 100 mm</v>
          </cell>
          <cell r="D4324" t="str">
            <v>Al-Rib spreader,  Finoch.-Haight, 100 mm</v>
          </cell>
        </row>
        <row r="4325">
          <cell r="B4325" t="str">
            <v>24-163-01-04</v>
          </cell>
          <cell r="C4325" t="str">
            <v>Al-Rippensperrer, Finochietto, 135 mm</v>
          </cell>
          <cell r="D4325" t="str">
            <v>Al-Rib spreader,  Finochietto, 135 mm</v>
          </cell>
        </row>
        <row r="4326">
          <cell r="B4326" t="str">
            <v>24-163-02-04</v>
          </cell>
          <cell r="C4326" t="str">
            <v>Al-Rippensperrer, Finochietto, 175 mm</v>
          </cell>
          <cell r="D4326" t="str">
            <v>Al-Rib spreader,  Finochietto, 175 mm</v>
          </cell>
        </row>
        <row r="4327">
          <cell r="B4327" t="str">
            <v>24-163-03-04</v>
          </cell>
          <cell r="C4327" t="str">
            <v>Al-Rippensperrer, Finochietto, 175 mm</v>
          </cell>
          <cell r="D4327" t="str">
            <v>Al-Rib spreader,  Finochietto, 175 mm</v>
          </cell>
        </row>
        <row r="4328">
          <cell r="B4328" t="str">
            <v>24-165-01-04</v>
          </cell>
          <cell r="C4328" t="str">
            <v>Al-Rippensperrer, Burford, 165 mm</v>
          </cell>
          <cell r="D4328" t="str">
            <v>Al-Rib spreader,  Burford, 165 mm</v>
          </cell>
        </row>
        <row r="4329">
          <cell r="B4329" t="str">
            <v>24-165-02-04</v>
          </cell>
          <cell r="C4329" t="str">
            <v>Al-Rippensperrer, Burford, 260 mm</v>
          </cell>
          <cell r="D4329" t="str">
            <v>Al-Rib spreader,  Burford, 260 mm</v>
          </cell>
        </row>
        <row r="4330">
          <cell r="B4330" t="str">
            <v>24-165-03-04</v>
          </cell>
          <cell r="C4330" t="str">
            <v>Al-Rippensperrer, Burford, 280 mm</v>
          </cell>
          <cell r="D4330" t="str">
            <v>Al-Rib spreader,  Burford, 280 mm</v>
          </cell>
        </row>
        <row r="4331">
          <cell r="B4331" t="str">
            <v>24-166-01-04</v>
          </cell>
          <cell r="C4331" t="str">
            <v>Al-Rippensperrer, Castaneda,  65 mm</v>
          </cell>
          <cell r="D4331" t="str">
            <v>Al-Rib spreader,  Castaneda,  65 mm</v>
          </cell>
        </row>
        <row r="4332">
          <cell r="B4332" t="str">
            <v>24-166-02-04</v>
          </cell>
          <cell r="C4332" t="str">
            <v>Al-Rippensperrer, Castaneda,  70 mm</v>
          </cell>
          <cell r="D4332" t="str">
            <v>Al-Rib spreader,  Castaneda,  70 mm</v>
          </cell>
        </row>
        <row r="4333">
          <cell r="B4333" t="str">
            <v>24-166-03-04</v>
          </cell>
          <cell r="C4333" t="str">
            <v>Al-Rippensperrer, Castaneda,  105 mm</v>
          </cell>
          <cell r="D4333" t="str">
            <v>Al-Rib spreader,  Castaneda,  105 mm</v>
          </cell>
        </row>
        <row r="4334">
          <cell r="B4334" t="str">
            <v>24-167-01-04</v>
          </cell>
          <cell r="C4334" t="str">
            <v>Al-Rippensperrer, Finochietto, 100 mm</v>
          </cell>
          <cell r="D4334" t="str">
            <v>Al-Rib spreader,  Finochietto, 100 mm</v>
          </cell>
        </row>
        <row r="4335">
          <cell r="B4335" t="str">
            <v>24-168-90-07</v>
          </cell>
          <cell r="C4335" t="str">
            <v>RIPPENSPERRER, HAIGHT, 30X30X120 MM</v>
          </cell>
          <cell r="D4335" t="str">
            <v>RIB SPREADER,  HAIGHT, 30X30X120 MM</v>
          </cell>
        </row>
        <row r="4336">
          <cell r="B4336" t="str">
            <v>24-170-00-07</v>
          </cell>
          <cell r="C4336" t="str">
            <v>Sternumspreizer, Morse, 200 mm</v>
          </cell>
          <cell r="D4336" t="str">
            <v>STERNAL  SPREADER,  MORSE, 230 MM</v>
          </cell>
        </row>
        <row r="4337">
          <cell r="B4337" t="str">
            <v>24-171-00-07</v>
          </cell>
          <cell r="C4337" t="str">
            <v>Sperrer, Faval.-Morse, 42x29x212  mm</v>
          </cell>
          <cell r="D4337" t="str">
            <v>Retr., Faval.-Morse, 42X29 mm, 212 mm</v>
          </cell>
        </row>
        <row r="4338">
          <cell r="B4338" t="str">
            <v>24-174-02-07</v>
          </cell>
          <cell r="C4338" t="str">
            <v>RIPPENSPERRER, TUFFIER,  45X45X170 MM</v>
          </cell>
          <cell r="D4338" t="str">
            <v>RIB SPREADER,  TUFFIER,  45X45X170 MM</v>
          </cell>
        </row>
        <row r="4339">
          <cell r="B4339" t="str">
            <v>24-177-75-07</v>
          </cell>
          <cell r="C4339" t="str">
            <v>RIPPENSPERRER, FINOCH.-BABY, 15X20X75  MM</v>
          </cell>
          <cell r="D4339" t="str">
            <v>RIB SPREADER,  FINOCH.-BABY, 15X20X75  MM</v>
          </cell>
        </row>
        <row r="4340">
          <cell r="B4340" t="str">
            <v>24-178-01-07</v>
          </cell>
          <cell r="C4340" t="str">
            <v>RIPPENSPERRER, FINOCHIETTO, 40X45X150 MM</v>
          </cell>
          <cell r="D4340" t="str">
            <v>RIB SPREADER,  FINOCHIETTO, 40X45X150 MM</v>
          </cell>
        </row>
        <row r="4341">
          <cell r="B4341" t="str">
            <v>24-178-02-07</v>
          </cell>
          <cell r="C4341" t="str">
            <v>RIPPENSPERRER, FINOCHIETTO, 45X65X165 MM</v>
          </cell>
          <cell r="D4341" t="str">
            <v>RIB SPREADER,  FINOCHIETTO, 45X65X165 MM</v>
          </cell>
        </row>
        <row r="4342">
          <cell r="B4342" t="str">
            <v>24-178-03-07</v>
          </cell>
          <cell r="C4342" t="str">
            <v>RIPPENSPERRER, FINOCHIETTO, 80X65X190 MM</v>
          </cell>
          <cell r="D4342" t="str">
            <v>RIB SPREADER,  FINOCHIETTO, 80X65X190 MM</v>
          </cell>
        </row>
        <row r="4343">
          <cell r="B4343" t="str">
            <v>24-179-00-07</v>
          </cell>
          <cell r="C4343" t="str">
            <v>RIPPENSPERRER, DE BAKEY, KLEIN, KPL.</v>
          </cell>
          <cell r="D4343" t="str">
            <v>RIB SPREADER,  DE BAKEY, SMALL, COMPLETE</v>
          </cell>
        </row>
        <row r="4344">
          <cell r="B4344" t="str">
            <v>24-179-01-07</v>
          </cell>
          <cell r="C4344" t="str">
            <v>RAHMEN  Z. RIPPENSPERRER, DE BAKEY, KL.</v>
          </cell>
          <cell r="D4344" t="str">
            <v>FRAME F. RIB SPREADER,  DE BAKEY, SMALL</v>
          </cell>
        </row>
        <row r="4345">
          <cell r="B4345" t="str">
            <v>24-179-02-07</v>
          </cell>
          <cell r="C4345" t="str">
            <v>VALVEN Z. RIPPENSP.,  DE BAKEY, 30X30 MM</v>
          </cell>
          <cell r="D4345" t="str">
            <v>LATERAL BLADES, DE BAKEY, 30X30 MM, PAIR</v>
          </cell>
        </row>
        <row r="4346">
          <cell r="B4346" t="str">
            <v>24-179-03-07</v>
          </cell>
          <cell r="C4346" t="str">
            <v>VALVEN Z. RIPPENSP.,  DE BAKEY, 40X40 MM</v>
          </cell>
          <cell r="D4346" t="str">
            <v>LATERAL BLADES, DE BAKEY, 40X40 MM, PAIR</v>
          </cell>
        </row>
        <row r="4347">
          <cell r="B4347" t="str">
            <v>24-179-04-07</v>
          </cell>
          <cell r="C4347" t="str">
            <v>VALVEN Z. RIPPENSP.,  DE BAKEY, 50X50 MM</v>
          </cell>
          <cell r="D4347" t="str">
            <v>LATERAL BLADES, DE BAKEY, 50X50 MM, PAIR</v>
          </cell>
        </row>
        <row r="4348">
          <cell r="B4348" t="str">
            <v>24-180-00-07</v>
          </cell>
          <cell r="C4348" t="str">
            <v>RIPPENSPERRER, DE BAKEY, GROSS, KPL.</v>
          </cell>
          <cell r="D4348" t="str">
            <v>RIB SPREADER,  DE BAKEY, LARGE, COMPLETE</v>
          </cell>
        </row>
        <row r="4349">
          <cell r="B4349" t="str">
            <v>24-180-01-07</v>
          </cell>
          <cell r="C4349" t="str">
            <v>RAHMEN  Z. RIPPENSPERRER, DE BAKEY, GR.</v>
          </cell>
          <cell r="D4349" t="str">
            <v>FRAME F. RIB SPREADER,  DE BAKEY, LARGE</v>
          </cell>
        </row>
        <row r="4350">
          <cell r="B4350" t="str">
            <v>24-180-02-07</v>
          </cell>
          <cell r="C4350" t="str">
            <v>VALVEN Z. RIPPENSP.,  DE BAKEY, 60X60 MM</v>
          </cell>
          <cell r="D4350" t="str">
            <v>LATERAL BLADES, DE BAKEY, 60X60 MM, PAIR</v>
          </cell>
        </row>
        <row r="4351">
          <cell r="B4351" t="str">
            <v>24-180-03-07</v>
          </cell>
          <cell r="C4351" t="str">
            <v>VALVEN Z. RIPPENSP.,  DE BAKEY, 50X80 MM</v>
          </cell>
          <cell r="D4351" t="str">
            <v>LATERAL BLADES, DE BAKEY, 50X80 MM, PAIR</v>
          </cell>
        </row>
        <row r="4352">
          <cell r="B4352" t="str">
            <v>24-180-04-07</v>
          </cell>
          <cell r="C4352" t="str">
            <v>VALVEN Z. RIPPENSP.,  DE BAKEY, 40X100 MM</v>
          </cell>
          <cell r="D4352" t="str">
            <v>LATERAL BLADES, DE BAKEY, 40X100 MM PAIR</v>
          </cell>
        </row>
        <row r="4353">
          <cell r="B4353" t="str">
            <v>24-180-05-07</v>
          </cell>
          <cell r="C4353" t="str">
            <v>VALVEN Z. RIPPENSP.,  DE BAKEY, 80X60 MM</v>
          </cell>
          <cell r="D4353" t="str">
            <v>LATERAL BLADES, DE BAKEY, 80X60 MM, PAIR</v>
          </cell>
        </row>
        <row r="4354">
          <cell r="B4354" t="str">
            <v>24-180-06-07</v>
          </cell>
          <cell r="C4354" t="str">
            <v>VALVEN Z. RIPPENSP.,  DE BAKEY, 50X65 MM</v>
          </cell>
          <cell r="D4354" t="str">
            <v>LATERAL BLADES, DE BAKEY, 50X65 MM, PAIR</v>
          </cell>
        </row>
        <row r="4355">
          <cell r="B4355" t="str">
            <v>24-181-00-07</v>
          </cell>
          <cell r="C4355" t="str">
            <v>Sperrer, DeBakey,  kl., 150x145 mm, komp.</v>
          </cell>
          <cell r="D4355" t="str">
            <v>Retractor,  DeBakey,  sm., 150x145 mm, com</v>
          </cell>
        </row>
        <row r="4356">
          <cell r="B4356" t="str">
            <v>24-181-01-07</v>
          </cell>
          <cell r="C4356" t="str">
            <v>Rahmen,  DeBakey,  kl., 150x145 mm</v>
          </cell>
          <cell r="D4356" t="str">
            <v>Frame, DeBakey,  small, 150x145 mm</v>
          </cell>
        </row>
        <row r="4357">
          <cell r="B4357" t="str">
            <v>24-181-02-07</v>
          </cell>
          <cell r="C4357" t="str">
            <v>Valven f. 24-181-01-07, 30x30 mm</v>
          </cell>
          <cell r="D4357" t="str">
            <v>Lateral blades f. 24-181-01-07, 30x30 mm</v>
          </cell>
        </row>
        <row r="4358">
          <cell r="B4358" t="str">
            <v>24-181-03-07</v>
          </cell>
          <cell r="C4358" t="str">
            <v>Valven f. 24-181-01-07, 40x40 mm</v>
          </cell>
          <cell r="D4358" t="str">
            <v>Lateral blades f. 24-181-01-07, 40x40 mm</v>
          </cell>
        </row>
        <row r="4359">
          <cell r="B4359" t="str">
            <v>24-181-04-07</v>
          </cell>
          <cell r="C4359" t="str">
            <v>Valven f. 24-181-01-07, 50x50 mm</v>
          </cell>
          <cell r="D4359" t="str">
            <v>Lateral blades f. 24-181-01-07, 50x50 mm</v>
          </cell>
        </row>
        <row r="4360">
          <cell r="B4360" t="str">
            <v>24-182-00-07</v>
          </cell>
          <cell r="C4360" t="str">
            <v>Sperrer, DeBakey,  gr., 24x190 mm, komp.</v>
          </cell>
          <cell r="D4360" t="str">
            <v>Retractor,  DeBakey,  lg., 240x190 mm, com</v>
          </cell>
        </row>
        <row r="4361">
          <cell r="B4361" t="str">
            <v>24-182-01-07</v>
          </cell>
          <cell r="C4361" t="str">
            <v>Rahmen,  DeBakey,  gr., 240x190 mm</v>
          </cell>
          <cell r="D4361" t="str">
            <v>Frame, DeBakey,  large, 240x190 mm</v>
          </cell>
        </row>
        <row r="4362">
          <cell r="B4362" t="str">
            <v>24-182-02-07</v>
          </cell>
          <cell r="C4362" t="str">
            <v>Valven f. 24-182-01-07, 60x60 mm</v>
          </cell>
          <cell r="D4362" t="str">
            <v>Lateral blades f. 24-182-01-07, 60x60 mm</v>
          </cell>
        </row>
        <row r="4363">
          <cell r="B4363" t="str">
            <v>24-182-03-07</v>
          </cell>
          <cell r="C4363" t="str">
            <v>Valven f. 24-182-01-07, 50x80 mm</v>
          </cell>
          <cell r="D4363" t="str">
            <v>Lateral blades f. 24-182-01-07, 50x80 mm</v>
          </cell>
        </row>
        <row r="4364">
          <cell r="B4364" t="str">
            <v>24-182-04-07</v>
          </cell>
          <cell r="C4364" t="str">
            <v>Valven f. 24-182-01-07, 40x100 mm</v>
          </cell>
          <cell r="D4364" t="str">
            <v>Lateral blades f. 24-182-01-07, 40x100mm</v>
          </cell>
        </row>
        <row r="4365">
          <cell r="B4365" t="str">
            <v>24-182-05-07</v>
          </cell>
          <cell r="C4365" t="str">
            <v>Valven f. 24-182-01-07, 80x60 mm</v>
          </cell>
          <cell r="D4365" t="str">
            <v>Lateral blades f. 24-182-01-07, 80x60 mm</v>
          </cell>
        </row>
        <row r="4366">
          <cell r="B4366" t="str">
            <v>24-182-06-07</v>
          </cell>
          <cell r="C4366" t="str">
            <v>Valven f. 24-182-01-07, 50x65 mm</v>
          </cell>
          <cell r="D4366" t="str">
            <v>Lateral blades f. 24-182-01-07, 50x65 mm</v>
          </cell>
        </row>
        <row r="4367">
          <cell r="B4367" t="str">
            <v>24-183-00-07</v>
          </cell>
          <cell r="C4367" t="str">
            <v>Thoraxsperrer, Dubost, mit 3 Paar Valven</v>
          </cell>
          <cell r="D4367" t="str">
            <v>Sternal retractor,  Dubost, 3 pairs of bl</v>
          </cell>
        </row>
        <row r="4368">
          <cell r="B4368" t="str">
            <v>24-183-01-07</v>
          </cell>
          <cell r="C4368" t="str">
            <v>Thoraxsperrer, Dubost, Valven und IMA</v>
          </cell>
          <cell r="D4368" t="str">
            <v>Sternal retractor,  Dubost, blades and IM</v>
          </cell>
        </row>
        <row r="4369">
          <cell r="B4369" t="str">
            <v>24-183-02-07</v>
          </cell>
          <cell r="C4369" t="str">
            <v>Rahmen,  Dubost</v>
          </cell>
          <cell r="D4369" t="str">
            <v>Frame, Dubost</v>
          </cell>
        </row>
        <row r="4370">
          <cell r="B4370" t="str">
            <v>24-183-03-07</v>
          </cell>
          <cell r="C4370" t="str">
            <v>Valven f. 24-183-02-07, 30x100 mm</v>
          </cell>
          <cell r="D4370" t="str">
            <v>Lateral blades f. 24-183-02-07, 30x100mm</v>
          </cell>
        </row>
        <row r="4371">
          <cell r="B4371" t="str">
            <v>24-183-04-07</v>
          </cell>
          <cell r="C4371" t="str">
            <v>Valven f. 24-183-02-07, 40x100 mm</v>
          </cell>
          <cell r="D4371" t="str">
            <v>Lateral blades f. 24-183-02-07, 40x100mm</v>
          </cell>
        </row>
        <row r="4372">
          <cell r="B4372" t="str">
            <v>24-183-05-07</v>
          </cell>
          <cell r="C4372" t="str">
            <v>Valven f. 24-183-02-07, 50x100 mm</v>
          </cell>
          <cell r="D4372" t="str">
            <v>Lateral blades f. 24-183-02-07, 50x100mm</v>
          </cell>
        </row>
        <row r="4373">
          <cell r="B4373" t="str">
            <v>24-183-06-07</v>
          </cell>
          <cell r="C4373" t="str">
            <v>IMA-Valve  f. 24-183-02-07</v>
          </cell>
          <cell r="D4373" t="str">
            <v>IMA blade f. 24-183-02-07</v>
          </cell>
        </row>
        <row r="4374">
          <cell r="B4374" t="str">
            <v>24-183-07-07</v>
          </cell>
          <cell r="C4374" t="str">
            <v>IMA-Valve  Aufnahme  f. 24-183-02-07</v>
          </cell>
          <cell r="D4374" t="str">
            <v>IMA adaptor f. 24-183-02-07</v>
          </cell>
        </row>
        <row r="4375">
          <cell r="B4375" t="str">
            <v>24-184-00-07</v>
          </cell>
          <cell r="C4375" t="str">
            <v>IMA-Retraktor, 134x195 mm</v>
          </cell>
          <cell r="D4375" t="str">
            <v>IMA sternal retractor,  134x195 mm</v>
          </cell>
        </row>
        <row r="4376">
          <cell r="B4376" t="str">
            <v>24-184-10-07</v>
          </cell>
          <cell r="C4376" t="str">
            <v>Rahmen Multi-Sperrer, 230 mm</v>
          </cell>
          <cell r="D4376" t="str">
            <v>Frame Multi-Retractor, 230 mm</v>
          </cell>
        </row>
        <row r="4377">
          <cell r="B4377" t="str">
            <v>24-184-11-07</v>
          </cell>
          <cell r="C4377" t="str">
            <v>Doppelaufsteckvalve f. 24-184-10-07</v>
          </cell>
          <cell r="D4377" t="str">
            <v>Double fixation blade f. 24-184-10-07</v>
          </cell>
        </row>
        <row r="4378">
          <cell r="B4378" t="str">
            <v>24-184-12-07</v>
          </cell>
          <cell r="C4378" t="str">
            <v>T-Doppelaufsteckvalve f. 24-184-10-07</v>
          </cell>
          <cell r="D4378" t="str">
            <v>T-Double  fixation blade f. 24-184-10-07</v>
          </cell>
        </row>
        <row r="4379">
          <cell r="B4379" t="str">
            <v>24-184-13-07</v>
          </cell>
          <cell r="C4379" t="str">
            <v>T-Element  f. 24-184-12-07</v>
          </cell>
          <cell r="D4379" t="str">
            <v>T-Element  f. 24-184-12-07</v>
          </cell>
        </row>
        <row r="4380">
          <cell r="B4380" t="str">
            <v>24-185-00-07</v>
          </cell>
          <cell r="C4380" t="str">
            <v>Mini-Thorakot. Sperrer,m.Gew.,2P.Valven</v>
          </cell>
          <cell r="D4380" t="str">
            <v>Mini-Thoracotomy Retractor,  2 p. valves</v>
          </cell>
        </row>
        <row r="4381">
          <cell r="B4381" t="str">
            <v>24-185-01-07</v>
          </cell>
          <cell r="C4381" t="str">
            <v>Mini-Thorakot. Rahmen allein, m. Gew.</v>
          </cell>
          <cell r="D4381" t="str">
            <v>Mini-Thoracotomy Frame</v>
          </cell>
        </row>
        <row r="4382">
          <cell r="B4382" t="str">
            <v>24-185-02-07</v>
          </cell>
          <cell r="C4382" t="str">
            <v>Mini-Thorakot. Sperrer,o.Gew.,2P.Valven</v>
          </cell>
          <cell r="D4382" t="str">
            <v>Mini-Thoracotomy Retractor,  2 p. valves</v>
          </cell>
        </row>
        <row r="4383">
          <cell r="B4383" t="str">
            <v>24-185-03-07</v>
          </cell>
          <cell r="C4383" t="str">
            <v>Mini-Thorakot. Rahmen allein, o. Gew.</v>
          </cell>
          <cell r="D4383" t="str">
            <v>Mini-Thoracotomy Frame</v>
          </cell>
        </row>
        <row r="4384">
          <cell r="B4384" t="str">
            <v>24-185-04-07</v>
          </cell>
          <cell r="C4384" t="str">
            <v>2 Valven zu 24-185-01-07, 40x36 mm</v>
          </cell>
          <cell r="D4384" t="str">
            <v>2 Valves for 24-185-01-07, 40x36 mm</v>
          </cell>
        </row>
        <row r="4385">
          <cell r="B4385" t="str">
            <v>24-185-05-07</v>
          </cell>
          <cell r="C4385" t="str">
            <v>2 Valven zu 24-185-01-07, 55x36 mm</v>
          </cell>
          <cell r="D4385" t="str">
            <v>2 Valves for 24-185-01-07, 55x36 mm</v>
          </cell>
        </row>
        <row r="4386">
          <cell r="B4386" t="str">
            <v>24-186-00-07</v>
          </cell>
          <cell r="C4386" t="str">
            <v>Mini-Thor.  Sperrer, 45x36 mm, m. Querst.</v>
          </cell>
          <cell r="D4386" t="str">
            <v>Mini-thor.  retractor,  45x36 mm, w. bar</v>
          </cell>
        </row>
        <row r="4387">
          <cell r="B4387" t="str">
            <v>24-186-01-07</v>
          </cell>
          <cell r="C4387" t="str">
            <v>Mini-Thor.  Sperrer, 60x36 mm, m. Querst.</v>
          </cell>
          <cell r="D4387" t="str">
            <v>Mini-thor.  retractor,  60x36 mm, w. bar</v>
          </cell>
        </row>
        <row r="4388">
          <cell r="B4388" t="str">
            <v>24-186-02-07</v>
          </cell>
          <cell r="C4388" t="str">
            <v>Mini-Thor.  Sperrer, 80x36 mm, m. Querst.</v>
          </cell>
          <cell r="D4388" t="str">
            <v>Mini-thor.  retractor,  80x36 mm, w. bar</v>
          </cell>
        </row>
        <row r="4389">
          <cell r="B4389" t="str">
            <v>24-186-03-07</v>
          </cell>
          <cell r="C4389" t="str">
            <v>Mini-Thorakotomie Sperrer, 45x36 mm</v>
          </cell>
          <cell r="D4389" t="str">
            <v>Mini-thoracotomy retractor,  45x36 mm</v>
          </cell>
        </row>
        <row r="4390">
          <cell r="B4390" t="str">
            <v>24-186-04-07</v>
          </cell>
          <cell r="C4390" t="str">
            <v>Mini-Thorakotomie Sperrer, 60x36 mm</v>
          </cell>
          <cell r="D4390" t="str">
            <v>Mini-thoracotomy retractor,  60x36 mm</v>
          </cell>
        </row>
        <row r="4391">
          <cell r="B4391" t="str">
            <v>24-186-05-07</v>
          </cell>
          <cell r="C4391" t="str">
            <v>Mini-Thorakotomie Sperrer, 80x36 mm</v>
          </cell>
          <cell r="D4391" t="str">
            <v>Mini-thoracotomy retractor,  80x36 mm</v>
          </cell>
        </row>
        <row r="4392">
          <cell r="B4392" t="str">
            <v>24-186-06-07</v>
          </cell>
          <cell r="C4392" t="str">
            <v>Querstange f. Mini-Thorakotomie Sperrer</v>
          </cell>
          <cell r="D4392" t="str">
            <v>Bar f. mini-thoracotomy retractor</v>
          </cell>
        </row>
        <row r="4393">
          <cell r="B4393" t="str">
            <v>24-186-07-07</v>
          </cell>
          <cell r="C4393" t="str">
            <v>Kurbel f. Mini-Thorakotomie Sperrer</v>
          </cell>
          <cell r="D4393" t="str">
            <v>Handle f. Mini-Thoracotomy Retractor</v>
          </cell>
        </row>
        <row r="4394">
          <cell r="B4394" t="str">
            <v>24-187-01-07</v>
          </cell>
          <cell r="C4394" t="str">
            <v>Drahtvalve, Cooley, klein, 35X25 mm</v>
          </cell>
          <cell r="D4394" t="str">
            <v>Wire Valve, Cooley, small, 35X25 mm</v>
          </cell>
        </row>
        <row r="4395">
          <cell r="B4395" t="str">
            <v>24-187-02-07</v>
          </cell>
          <cell r="C4395" t="str">
            <v>Fixierelement universal,  für Ø 6 mm</v>
          </cell>
          <cell r="D4395" t="str">
            <v>fixation element universal,  for Ø 6 mm</v>
          </cell>
        </row>
        <row r="4396">
          <cell r="B4396" t="str">
            <v>24-187-03-07</v>
          </cell>
          <cell r="C4396" t="str">
            <v>Drahtvalve, Cooley, mittel, 40x36 mm</v>
          </cell>
          <cell r="D4396" t="str">
            <v>Wire valve, Cooley, medium,  40x36 mm</v>
          </cell>
        </row>
        <row r="4397">
          <cell r="B4397" t="str">
            <v>24-187-04-07</v>
          </cell>
          <cell r="C4397" t="str">
            <v>Drahtvalve, Cooley, groß, 50x36 mm</v>
          </cell>
          <cell r="D4397" t="str">
            <v>Wire valve, Cooley, large, 50x36 mm</v>
          </cell>
        </row>
        <row r="4398">
          <cell r="B4398" t="str">
            <v>24-187-05-07</v>
          </cell>
          <cell r="C4398" t="str">
            <v>biegsame  Valve, 76x25 mm</v>
          </cell>
          <cell r="D4398" t="str">
            <v>Malleable  blade, 76x25 mm</v>
          </cell>
        </row>
        <row r="4399">
          <cell r="B4399" t="str">
            <v>24-188-00-07</v>
          </cell>
          <cell r="C4399" t="str">
            <v>IMA-Sperrer, french model, komplett</v>
          </cell>
          <cell r="D4399" t="str">
            <v>IMA stern. retr., french model, compl.</v>
          </cell>
        </row>
        <row r="4400">
          <cell r="B4400" t="str">
            <v>24-188-01-07</v>
          </cell>
          <cell r="C4400" t="str">
            <v>Rahmen,  french model</v>
          </cell>
          <cell r="D4400" t="str">
            <v>Frame, french model</v>
          </cell>
        </row>
        <row r="4401">
          <cell r="B4401" t="str">
            <v>24-188-02-07</v>
          </cell>
          <cell r="C4401" t="str">
            <v>Valve f. 24-188-01-07</v>
          </cell>
          <cell r="D4401" t="str">
            <v>Blade f: 24-188-01-07</v>
          </cell>
        </row>
        <row r="4402">
          <cell r="B4402" t="str">
            <v>24-188-03-07</v>
          </cell>
          <cell r="C4402" t="str">
            <v>Valve f. 24-188-01-07, 50x22 mm</v>
          </cell>
          <cell r="D4402" t="str">
            <v>Blade f: 24-188-01-07, 50x22 mm</v>
          </cell>
        </row>
        <row r="4403">
          <cell r="B4403" t="str">
            <v>24-188-04-07</v>
          </cell>
          <cell r="C4403" t="str">
            <v>Valve f. 24-188-01-07, 40x22 mm</v>
          </cell>
          <cell r="D4403" t="str">
            <v>Blade f: 24-188-01-07, 40x22 mm</v>
          </cell>
        </row>
        <row r="4404">
          <cell r="B4404" t="str">
            <v>24-189-01-07</v>
          </cell>
          <cell r="C4404" t="str">
            <v>Rahmen f. Sternumsperrer 24-189-00-07</v>
          </cell>
          <cell r="D4404" t="str">
            <v>Frame f. sternal spreader  24-189-00-07</v>
          </cell>
        </row>
        <row r="4405">
          <cell r="B4405" t="str">
            <v>24-189-02-07</v>
          </cell>
          <cell r="C4405" t="str">
            <v>Sternumvalve f. 24-189-00-07, 100x30 mm</v>
          </cell>
          <cell r="D4405" t="str">
            <v>Sternal blade f. 24-189-00-07, 100x30 mm</v>
          </cell>
        </row>
        <row r="4406">
          <cell r="B4406" t="str">
            <v>24-189-03-07</v>
          </cell>
          <cell r="C4406" t="str">
            <v>Sternumvalve f. 24-189-00-07, 100x40 mm</v>
          </cell>
          <cell r="D4406" t="str">
            <v>Sternal blade f. 24-189-00-07, 100x40 mm</v>
          </cell>
        </row>
        <row r="4407">
          <cell r="B4407" t="str">
            <v>24-189-04-07</v>
          </cell>
          <cell r="C4407" t="str">
            <v>Sternumvalve f. 24-189-00-07, 28x30 mm</v>
          </cell>
          <cell r="D4407" t="str">
            <v>Sternal blade f. 24-189-00-07, 28x30 mm</v>
          </cell>
        </row>
        <row r="4408">
          <cell r="B4408" t="str">
            <v>24-189-05-07</v>
          </cell>
          <cell r="C4408" t="str">
            <v>Sternumvalve f. 24-189-00-07, 28x40 mm</v>
          </cell>
          <cell r="D4408" t="str">
            <v>Sternal blade f. 24-189-00-07, 28x40 mm</v>
          </cell>
        </row>
        <row r="4409">
          <cell r="B4409" t="str">
            <v>24-189-09-07</v>
          </cell>
          <cell r="C4409" t="str">
            <v>Fixierungselement f. 24-189-00-07</v>
          </cell>
          <cell r="D4409" t="str">
            <v>Holding clamp f. 24-189-00-07</v>
          </cell>
        </row>
        <row r="4410">
          <cell r="B4410" t="str">
            <v>24-189-10-04</v>
          </cell>
          <cell r="C4410" t="str">
            <v>Atriumhaken, Cooley, Nitinol, 60x20 mm</v>
          </cell>
          <cell r="D4410" t="str">
            <v>Atrial retr., Cooley, nitionol, 60x20 mm</v>
          </cell>
        </row>
        <row r="4411">
          <cell r="B4411" t="str">
            <v>24-189-10-07</v>
          </cell>
          <cell r="C4411" t="str">
            <v>Haken, Atrium, Cooley, 60x20 mm</v>
          </cell>
          <cell r="D4411" t="str">
            <v>Hook, Atrium, Cooley, 60x20 mm</v>
          </cell>
        </row>
        <row r="4412">
          <cell r="B4412" t="str">
            <v>24-189-11-04</v>
          </cell>
          <cell r="C4412" t="str">
            <v>Atriumhaken, Cooley, Nitinol, 60x35 mm</v>
          </cell>
          <cell r="D4412" t="str">
            <v>Atrial retr., Cooley, nitionol, 60x35 mm</v>
          </cell>
        </row>
        <row r="4413">
          <cell r="B4413" t="str">
            <v>24-189-11-07</v>
          </cell>
          <cell r="C4413" t="str">
            <v>Haken, Atrium, Cooley, 60x35 mm</v>
          </cell>
          <cell r="D4413" t="str">
            <v>Hook, Atrium, Cooley, 60x35 mm</v>
          </cell>
        </row>
        <row r="4414">
          <cell r="B4414" t="str">
            <v>24-189-12-04</v>
          </cell>
          <cell r="C4414" t="str">
            <v>Atriumhaken, Cooley, Nitinol, 60x45 mm</v>
          </cell>
          <cell r="D4414" t="str">
            <v>Atrial retr., Cooley, nitionol, 60x45 mm</v>
          </cell>
        </row>
        <row r="4415">
          <cell r="B4415" t="str">
            <v>24-189-12-07</v>
          </cell>
          <cell r="C4415" t="str">
            <v>Haken, Atrium, Cooley, 60x45 mm</v>
          </cell>
          <cell r="D4415" t="str">
            <v>Hook, Atrium, Cooley, 60x45 mm</v>
          </cell>
        </row>
        <row r="4416">
          <cell r="B4416" t="str">
            <v>24-189-20-04</v>
          </cell>
          <cell r="C4416" t="str">
            <v>Klappenhaken, Nitinol, 18x65 mm</v>
          </cell>
          <cell r="D4416" t="str">
            <v>Valve hook, nitionol, 18x65 mm</v>
          </cell>
        </row>
        <row r="4417">
          <cell r="B4417" t="str">
            <v>24-189-20-07</v>
          </cell>
          <cell r="C4417" t="str">
            <v>Haken, Klappe, 18x65 mm</v>
          </cell>
          <cell r="D4417" t="str">
            <v>Hook, flap, 18x65 mm</v>
          </cell>
        </row>
        <row r="4418">
          <cell r="B4418" t="str">
            <v>24-189-21-04</v>
          </cell>
          <cell r="C4418" t="str">
            <v>Klappenhaken, Nitinol, 18x95 mm</v>
          </cell>
          <cell r="D4418" t="str">
            <v>Valve hook, nitionol, 18x95 mm</v>
          </cell>
        </row>
        <row r="4419">
          <cell r="B4419" t="str">
            <v>24-189-21-07</v>
          </cell>
          <cell r="C4419" t="str">
            <v>Haken, Klappe, 18x95 mm</v>
          </cell>
          <cell r="D4419" t="str">
            <v>Hook, flap, 18x95 mm</v>
          </cell>
        </row>
        <row r="4420">
          <cell r="B4420" t="str">
            <v>24-189-22-04</v>
          </cell>
          <cell r="C4420" t="str">
            <v>Klappenhaken, Nitinol, 22x95 mm</v>
          </cell>
          <cell r="D4420" t="str">
            <v>Valve hook, nitionol, 22x95 mm</v>
          </cell>
        </row>
        <row r="4421">
          <cell r="B4421" t="str">
            <v>24-189-22-07</v>
          </cell>
          <cell r="C4421" t="str">
            <v>Haken, Klappe, 22x95 mm</v>
          </cell>
          <cell r="D4421" t="str">
            <v>Hook, flap, 22x95 mm</v>
          </cell>
        </row>
        <row r="4422">
          <cell r="B4422" t="str">
            <v>24-189-23-04</v>
          </cell>
          <cell r="C4422" t="str">
            <v>Klappenhaken, Nitinol, 25x75 mm</v>
          </cell>
          <cell r="D4422" t="str">
            <v>Valve hook, nitionol, 25x75 mm</v>
          </cell>
        </row>
        <row r="4423">
          <cell r="B4423" t="str">
            <v>24-189-23-07</v>
          </cell>
          <cell r="C4423" t="str">
            <v>Haken, Klappe, 25x75 mm</v>
          </cell>
          <cell r="D4423" t="str">
            <v>Hook, flap, 25x75 mm</v>
          </cell>
        </row>
        <row r="4424">
          <cell r="B4424" t="str">
            <v>24-200-01-07</v>
          </cell>
          <cell r="C4424" t="str">
            <v>Zugstange  f. Atriumretr. marCore,  23 cm</v>
          </cell>
          <cell r="D4424" t="str">
            <v>Pull rod f. atrial retrac.marCore, 23 cm</v>
          </cell>
        </row>
        <row r="4425">
          <cell r="B4425" t="str">
            <v>24-200-02-07</v>
          </cell>
          <cell r="C4425" t="str">
            <v>Valve f. Atriumretrak. Mitral, 30x35 mm</v>
          </cell>
          <cell r="D4425" t="str">
            <v>Blade f. atrial retrac. mitral, 30x35 mm</v>
          </cell>
        </row>
        <row r="4426">
          <cell r="B4426" t="str">
            <v>24-200-03-07</v>
          </cell>
          <cell r="C4426" t="str">
            <v>Valve f. Atriumretrak. Mitral, 40x35 mm</v>
          </cell>
          <cell r="D4426" t="str">
            <v>Blade f. atrial retrac. mitral, 40x35 mm</v>
          </cell>
        </row>
        <row r="4427">
          <cell r="B4427" t="str">
            <v>24-200-04-07</v>
          </cell>
          <cell r="C4427" t="str">
            <v>Valve f. Atriumretrak. Mitral, 50x35 mm</v>
          </cell>
          <cell r="D4427" t="str">
            <v>Blade f. atrial retrac. mitral, 50x35 mm</v>
          </cell>
        </row>
        <row r="4428">
          <cell r="B4428" t="str">
            <v>24-200-05-07</v>
          </cell>
          <cell r="C4428" t="str">
            <v>Valve f. Atriumretrak. Mitral, 50x45 mm</v>
          </cell>
          <cell r="D4428" t="str">
            <v>Blade f. atrial retrac. mitral, 50x45 mm</v>
          </cell>
        </row>
        <row r="4429">
          <cell r="B4429" t="str">
            <v>24-200-06-07</v>
          </cell>
          <cell r="C4429" t="str">
            <v>Valve f. Atriumretrak. Mitral, 60x45 mm</v>
          </cell>
          <cell r="D4429" t="str">
            <v>Blade f. atrial retrac. mitral, 60x45 mm</v>
          </cell>
        </row>
        <row r="4430">
          <cell r="B4430" t="str">
            <v>24-200-07-07</v>
          </cell>
          <cell r="C4430" t="str">
            <v>Valve f. Atriumretrak. Mitral, 70x45 mm</v>
          </cell>
          <cell r="D4430" t="str">
            <v>Blade f. atrial retrac. mitral, 70x45 mm</v>
          </cell>
        </row>
        <row r="4431">
          <cell r="B4431" t="str">
            <v>24-200-08-07</v>
          </cell>
          <cell r="C4431" t="str">
            <v>Anlegezange f. Atriumretr. marCore,  30cm</v>
          </cell>
          <cell r="D4431" t="str">
            <v>Appl. fcps. f. atrial retractor,  30 cm</v>
          </cell>
        </row>
        <row r="4432">
          <cell r="B4432" t="str">
            <v>24-200-12-07</v>
          </cell>
          <cell r="C4432" t="str">
            <v>Valve f. Atriumretrak. Trikusp., 25x20mm</v>
          </cell>
          <cell r="D4432" t="str">
            <v>Blade f. atr. retrac. tricuspid,  25x20mm</v>
          </cell>
        </row>
        <row r="4433">
          <cell r="B4433" t="str">
            <v>24-200-13-07</v>
          </cell>
          <cell r="C4433" t="str">
            <v>Valve f. Atriumretrak. Trikusp., 25x25mm</v>
          </cell>
          <cell r="D4433" t="str">
            <v>Blade f. atr. retrac. tricuspid,  25x25mm</v>
          </cell>
        </row>
        <row r="4434">
          <cell r="B4434" t="str">
            <v>24-200-14-07</v>
          </cell>
          <cell r="C4434" t="str">
            <v>Valve f. Atriumretrak. Trikusp., 25x40mm</v>
          </cell>
          <cell r="D4434" t="str">
            <v>Blade f. atr. retrac. tricuspid,  25x40mm</v>
          </cell>
        </row>
        <row r="4435">
          <cell r="B4435" t="str">
            <v>24-200-15-07</v>
          </cell>
          <cell r="C4435" t="str">
            <v>Valve f. Atriumretrak. Trikusp., 25x50mm</v>
          </cell>
          <cell r="D4435" t="str">
            <v>Blade f. atr. retrac. tricuspid,  25x50mm</v>
          </cell>
        </row>
        <row r="4436">
          <cell r="B4436" t="str">
            <v>24-200-16-07</v>
          </cell>
          <cell r="C4436" t="str">
            <v>Valve f. Atriumretrak. Trikusp., 40x35mm</v>
          </cell>
          <cell r="D4436" t="str">
            <v>Blade f. atr. retrac. tricuspid,  40x35mm</v>
          </cell>
        </row>
        <row r="4437">
          <cell r="B4437" t="str">
            <v>24-200-17-07</v>
          </cell>
          <cell r="C4437" t="str">
            <v>Valve f. Atriumretrak. Trikusp., 50x25mm</v>
          </cell>
          <cell r="D4437" t="str">
            <v>Blade f. atr. retrac. tricuspid,  50x25mm</v>
          </cell>
        </row>
        <row r="4438">
          <cell r="B4438" t="str">
            <v>24-220-14-07</v>
          </cell>
          <cell r="C4438" t="str">
            <v>RIPPENKONTRAKTOR, BAILEY, 15,5 CM</v>
          </cell>
          <cell r="D4438" t="str">
            <v>RIB CONTRACTOR, BAILEY, 15.5 CM</v>
          </cell>
        </row>
        <row r="4439">
          <cell r="B4439" t="str">
            <v>24-224-16-07</v>
          </cell>
          <cell r="C4439" t="str">
            <v>RIPPENKONTRAKTOR, BAILEY, 20 CM</v>
          </cell>
          <cell r="D4439" t="str">
            <v>RIB CONTRACTOR, BAILEY, 20 CM</v>
          </cell>
        </row>
        <row r="4440">
          <cell r="B4440" t="str">
            <v>24-226-16-07</v>
          </cell>
          <cell r="C4440" t="str">
            <v>RIPPENKONTRAKTOR, BAILEY-GIBBON, 20 CM</v>
          </cell>
          <cell r="D4440" t="str">
            <v>RIB CONTRACTOR, BAILEY-GIBBON, 20 CM</v>
          </cell>
        </row>
        <row r="4441">
          <cell r="B4441" t="str">
            <v>24-230-02-07</v>
          </cell>
          <cell r="C4441" t="str">
            <v>Koronarfettspreizer, 1x1, 25 mm</v>
          </cell>
          <cell r="D4441" t="str">
            <v>Coronary  spreader,  1x1, 25 mm</v>
          </cell>
        </row>
        <row r="4442">
          <cell r="B4442" t="str">
            <v>24-230-03-07</v>
          </cell>
          <cell r="C4442" t="str">
            <v>Koronarfettspreizer, 3x3, 35 mm</v>
          </cell>
          <cell r="D4442" t="str">
            <v>Coronary  spreader,  3x3, 35 mm</v>
          </cell>
        </row>
        <row r="4443">
          <cell r="B4443" t="str">
            <v>24-230-04-07</v>
          </cell>
          <cell r="C4443" t="str">
            <v>Koronarfettspreizer, 3x3, 40 mm</v>
          </cell>
          <cell r="D4443" t="str">
            <v>Coronary  spreader,  3x3, 40 mm</v>
          </cell>
        </row>
        <row r="4444">
          <cell r="B4444" t="str">
            <v>24-230-05-07</v>
          </cell>
          <cell r="C4444" t="str">
            <v>Koronarfettspreizer, 50 mm</v>
          </cell>
          <cell r="D4444" t="str">
            <v>Coronary  spreader,  3x3, 50 mm</v>
          </cell>
        </row>
        <row r="4445">
          <cell r="B4445" t="str">
            <v>24-231-30-01</v>
          </cell>
          <cell r="C4445" t="str">
            <v>LUNGENSPATEL, ALLISON,  29,5 CM</v>
          </cell>
          <cell r="D4445" t="str">
            <v>LUNG SPATULA,  ALLISON,  29.5 CM</v>
          </cell>
        </row>
        <row r="4446">
          <cell r="B4446" t="str">
            <v>24-231-32-01</v>
          </cell>
          <cell r="C4446" t="str">
            <v>LUNGENSPATEL, ALLISON,  33 CM</v>
          </cell>
          <cell r="D4446" t="str">
            <v>LUNG SPATULA,  ALLISON,  33 CM</v>
          </cell>
        </row>
        <row r="4447">
          <cell r="B4447" t="str">
            <v>24-233-30-07</v>
          </cell>
          <cell r="C4447" t="str">
            <v>LUNGENSPATEL, EXTRA BREIT, 29,5 CM</v>
          </cell>
          <cell r="D4447" t="str">
            <v>LUNG SPATULA,  EXTRA WIDE, 29.5 CM</v>
          </cell>
        </row>
        <row r="4448">
          <cell r="B4448" t="str">
            <v>24-241-22-07</v>
          </cell>
          <cell r="C4448" t="str">
            <v>BRONCHUSKLEMME, PRICE-THOMAS, 22 CM</v>
          </cell>
          <cell r="D4448" t="str">
            <v>BRONCHUS FORCEPS,  PRICE-THOMAS, 22 CM</v>
          </cell>
        </row>
        <row r="4449">
          <cell r="B4449" t="str">
            <v>24-245-22-07</v>
          </cell>
          <cell r="C4449" t="str">
            <v>BRONCHUSKLEMME, PRICE-THOMAS, FIG. 1</v>
          </cell>
          <cell r="D4449" t="str">
            <v>BRONCHUS FORCEPS,  PRICE-THOMAS, NO. 1</v>
          </cell>
        </row>
        <row r="4450">
          <cell r="B4450" t="str">
            <v>24-247-22-07</v>
          </cell>
          <cell r="C4450" t="str">
            <v>BRONCHUSKLEMME, PRICE-THOMAS, FIG. 2</v>
          </cell>
          <cell r="D4450" t="str">
            <v>BRONCHUS FORCEPS,  PRICE-THOMAS, NO. 2</v>
          </cell>
        </row>
        <row r="4451">
          <cell r="B4451" t="str">
            <v>24-265-24-07</v>
          </cell>
          <cell r="C4451" t="str">
            <v>BRONCHUSKLEMME, SEMB, L. GEB., 25 CM</v>
          </cell>
          <cell r="D4451" t="str">
            <v>BRONCHUS FORCEPS,  SEMB, SL. CVD., 25 CM</v>
          </cell>
        </row>
        <row r="4452">
          <cell r="B4452" t="str">
            <v>24-267-24-07</v>
          </cell>
          <cell r="C4452" t="str">
            <v>BRONCHUSKLEMME, SEMB, ST. GEB., 24,5 CM</v>
          </cell>
          <cell r="D4452" t="str">
            <v>BRONCHUS FCPS., SEMB, STR. CVD., 24.5 CM</v>
          </cell>
        </row>
        <row r="4453">
          <cell r="B4453" t="str">
            <v>24-280-10-09</v>
          </cell>
          <cell r="C4453" t="str">
            <v>Ti-Shunt-Bulldogkl., 10°, 10 CH, 75 mm</v>
          </cell>
          <cell r="D4453" t="str">
            <v>Ti-shunt-bulld. clamp, 10°, 10 CH, 75 mm</v>
          </cell>
        </row>
        <row r="4454">
          <cell r="B4454" t="str">
            <v>24-280-25-09</v>
          </cell>
          <cell r="C4454" t="str">
            <v>Ti-Shunt-Bulldogkl., 25°, 10 CH, 75 mm</v>
          </cell>
          <cell r="D4454" t="str">
            <v>Ti-shunt-bulld. clamp, 25°, 10 CH, 75 mm</v>
          </cell>
        </row>
        <row r="4455">
          <cell r="B4455" t="str">
            <v>24-280-45-09</v>
          </cell>
          <cell r="C4455" t="str">
            <v>Ti-Shunt-Bulldogkl., 45°, 10 CH, 70 mm</v>
          </cell>
          <cell r="D4455" t="str">
            <v>Ti-shunt-bulld. clamp, 45°, 10 CH, 70 mm</v>
          </cell>
        </row>
        <row r="4456">
          <cell r="B4456" t="str">
            <v>24-280-60-09</v>
          </cell>
          <cell r="C4456" t="str">
            <v>Ti-Shunt-Bulldogkl., 60°, 10 CH, 65 mm</v>
          </cell>
          <cell r="D4456" t="str">
            <v>Ti-shunt-bulld. clamp, 60°, 10 CH, 65 mm</v>
          </cell>
        </row>
        <row r="4457">
          <cell r="B4457" t="str">
            <v>24-281-10-09</v>
          </cell>
          <cell r="C4457" t="str">
            <v>Ti-Shunt-Bulldogkl., 10°, 12 CH, 75 mm</v>
          </cell>
          <cell r="D4457" t="str">
            <v>Ti-shunt-bulld. clamp, 10°, 12 CH, 75 mm</v>
          </cell>
        </row>
        <row r="4458">
          <cell r="B4458" t="str">
            <v>24-281-25-09</v>
          </cell>
          <cell r="C4458" t="str">
            <v>Ti-Shunt-Bulldogkl., 25°, 12 CH, 75 mm</v>
          </cell>
          <cell r="D4458" t="str">
            <v>Ti-shunt-bulld. clamp, 25°, 12 CH, 75 mm</v>
          </cell>
        </row>
        <row r="4459">
          <cell r="B4459" t="str">
            <v>24-281-45-09</v>
          </cell>
          <cell r="C4459" t="str">
            <v>Ti-Shunt-Bulldogkl., 45°, 12 CH, 70 mm</v>
          </cell>
          <cell r="D4459" t="str">
            <v>Ti-shunt-bulld. clamp, 45°, 12 CH, 70 mm</v>
          </cell>
        </row>
        <row r="4460">
          <cell r="B4460" t="str">
            <v>24-281-60-09</v>
          </cell>
          <cell r="C4460" t="str">
            <v>Ti-Shunt-Bulldogkl., 60°, 12 CH, 65 mm</v>
          </cell>
          <cell r="D4460" t="str">
            <v>Ti-shunt-bulld. clamp, 60°, 12 CH, 65 mm</v>
          </cell>
        </row>
        <row r="4461">
          <cell r="B4461" t="str">
            <v>24-282-10-09</v>
          </cell>
          <cell r="C4461" t="str">
            <v>Ti-Shunt-Bulldogkl., 10°, 14 CH, 75 mm</v>
          </cell>
          <cell r="D4461" t="str">
            <v>Ti-shunt-bulld. clamp, 10°, 14 CH, 75 mm</v>
          </cell>
        </row>
        <row r="4462">
          <cell r="B4462" t="str">
            <v>24-282-25-09</v>
          </cell>
          <cell r="C4462" t="str">
            <v>Ti-Shunt-Bulldogkl., 25°, 14 CH, 75 mm</v>
          </cell>
          <cell r="D4462" t="str">
            <v>Ti-shunt-bulld. clamp, 25°, 14 CH, 75 mm</v>
          </cell>
        </row>
        <row r="4463">
          <cell r="B4463" t="str">
            <v>24-282-45-09</v>
          </cell>
          <cell r="C4463" t="str">
            <v>Ti-Shunt-Bulldogkl., 45°, 14 CH, 70 mm</v>
          </cell>
          <cell r="D4463" t="str">
            <v>Ti-shunt-bulld. clamp, 45°, 14 CH, 70 mm</v>
          </cell>
        </row>
        <row r="4464">
          <cell r="B4464" t="str">
            <v>24-282-60-09</v>
          </cell>
          <cell r="C4464" t="str">
            <v>Ti-Shunt-Bulldogkl., 60°, 14 CH, 65 mm</v>
          </cell>
          <cell r="D4464" t="str">
            <v>Ti-shunt-bulld. clamp, 60°, 14 CH, 65 mm</v>
          </cell>
        </row>
        <row r="4465">
          <cell r="B4465" t="str">
            <v>24-286-20-07</v>
          </cell>
          <cell r="C4465" t="str">
            <v>LUNGENFASSZANGE, LOVELACE,  GER., 20,5 CM</v>
          </cell>
          <cell r="D4465" t="str">
            <v>LUNG GR. FORCEPS,  LOVELACE,  STR., 20.5CM</v>
          </cell>
        </row>
        <row r="4466">
          <cell r="B4466" t="str">
            <v>24-287-20-07</v>
          </cell>
          <cell r="C4466" t="str">
            <v>LUNGENFASSZANGE, LOVELACE,  GEB., 19 CM</v>
          </cell>
          <cell r="D4466" t="str">
            <v>LUNG GR. FORCEPS,  LOVELACE,  CVD., 19 CM</v>
          </cell>
        </row>
        <row r="4467">
          <cell r="B4467" t="str">
            <v>24-288-07-09</v>
          </cell>
          <cell r="C4467" t="str">
            <v>Ti-Bulldogklemme, DeBakey,  ger., 8 cm</v>
          </cell>
          <cell r="D4467" t="str">
            <v>Ti-bulldog  clamp, DeBakey,  str., 8 cm</v>
          </cell>
        </row>
        <row r="4468">
          <cell r="B4468" t="str">
            <v>24-288-08-09</v>
          </cell>
          <cell r="C4468" t="str">
            <v>Ti-Bulldogklemme, DeBakey,  ger., 9 cm</v>
          </cell>
          <cell r="D4468" t="str">
            <v>Ti-bulldog  clamp, DeBakey,  str., 9 cm</v>
          </cell>
        </row>
        <row r="4469">
          <cell r="B4469" t="str">
            <v>24-288-09-09</v>
          </cell>
          <cell r="C4469" t="str">
            <v>Ti-Bulldogklemme, DeBakey,  ger., 11 cm</v>
          </cell>
          <cell r="D4469" t="str">
            <v>Ti-bulldog  clamp, DeBakey,  str., 11 cm</v>
          </cell>
        </row>
        <row r="4470">
          <cell r="B4470" t="str">
            <v>24-288-10-09</v>
          </cell>
          <cell r="C4470" t="str">
            <v>Ti-Bulldogklemme, DeBakey,  ger., 13 cm</v>
          </cell>
          <cell r="D4470" t="str">
            <v>Ti-bulldog  clamp, DeBakey,  str., 13 cm</v>
          </cell>
        </row>
        <row r="4471">
          <cell r="B4471" t="str">
            <v>24-289-07-09</v>
          </cell>
          <cell r="C4471" t="str">
            <v>Ti-Bulldogklemme, DeBakey,  geb., 8 cm</v>
          </cell>
          <cell r="D4471" t="str">
            <v>Ti-bulldog  clamp, DeBakey,  cvd., 8 cm</v>
          </cell>
        </row>
        <row r="4472">
          <cell r="B4472" t="str">
            <v>24-289-08-09</v>
          </cell>
          <cell r="C4472" t="str">
            <v>Ti-Bulldogklemme, DeBakey,  geb., 9 cm</v>
          </cell>
          <cell r="D4472" t="str">
            <v>Ti-bulldog  clamp, DeBakey,  cvd., 9 cm</v>
          </cell>
        </row>
        <row r="4473">
          <cell r="B4473" t="str">
            <v>24-289-09-09</v>
          </cell>
          <cell r="C4473" t="str">
            <v>Ti-Bulldogklemme, DeBakey,  geb., 10 cm</v>
          </cell>
          <cell r="D4473" t="str">
            <v>Ti-bulldog  clamp, DeBakey,  cvd., 10 cm</v>
          </cell>
        </row>
        <row r="4474">
          <cell r="B4474" t="str">
            <v>24-289-10-09</v>
          </cell>
          <cell r="C4474" t="str">
            <v>Ti-Bulldogklemme, DeBakey,  geb., 11,5 cm</v>
          </cell>
          <cell r="D4474" t="str">
            <v>Ti-bulldog  clamp, DeBakey,  cvd., 11,5 cm</v>
          </cell>
        </row>
        <row r="4475">
          <cell r="B4475" t="str">
            <v>24-291-07-07</v>
          </cell>
          <cell r="C4475" t="str">
            <v>Bulldogklemme, De Bakey-Satinsky, 7cm</v>
          </cell>
          <cell r="D4475" t="str">
            <v>BULLDOG  CLAMP, DE BAKEY-SATINSKY, 7 CM</v>
          </cell>
        </row>
        <row r="4476">
          <cell r="B4476" t="str">
            <v>24-291-09-07</v>
          </cell>
          <cell r="C4476" t="str">
            <v>BULLDOGKLEMME, DE BAKEY-SATINSKY, 9 CM</v>
          </cell>
          <cell r="D4476" t="str">
            <v>BULLDOG  CLAMP, DE BAKEY-SATINSKY, 9 CM</v>
          </cell>
        </row>
        <row r="4477">
          <cell r="B4477" t="str">
            <v>24-291-10-07</v>
          </cell>
          <cell r="C4477" t="str">
            <v>BULLDOGKLEMME, DE BAKEY-SATINSKY, 10 CM</v>
          </cell>
          <cell r="D4477" t="str">
            <v>BULLDOG  CLAMP, DE BAKEY-SATINSKY, 10 CM</v>
          </cell>
        </row>
        <row r="4478">
          <cell r="B4478" t="str">
            <v>24-293-06-07</v>
          </cell>
          <cell r="C4478" t="str">
            <v>Bulldogklemme, Glover, 6,5cm</v>
          </cell>
          <cell r="D4478" t="str">
            <v>BULLDOG  CLAMP, GLOVER,  ANGLED,  6.5 CM</v>
          </cell>
        </row>
        <row r="4479">
          <cell r="B4479" t="str">
            <v>24-295-07-07</v>
          </cell>
          <cell r="C4479" t="str">
            <v>BULLDOGKLEMME, SANTULLI,  GEW., 7 CM</v>
          </cell>
          <cell r="D4479" t="str">
            <v>BULLDOG  CLAMP, SANTULLI,  ANGLED,  7 CM</v>
          </cell>
        </row>
        <row r="4480">
          <cell r="B4480" t="str">
            <v>24-297-09-07</v>
          </cell>
          <cell r="C4480" t="str">
            <v>BULLDOGKLEMME, GREGORY-SOFT, 9 CM</v>
          </cell>
          <cell r="D4480" t="str">
            <v>BULLDOG  CLAMP, GREGORY-SOFT, 9 CM</v>
          </cell>
        </row>
        <row r="4481">
          <cell r="B4481" t="str">
            <v>24-297-11-07</v>
          </cell>
          <cell r="C4481" t="str">
            <v>BULLDOGKLEMME, GREGORY-SOFT, 11 CM</v>
          </cell>
          <cell r="D4481" t="str">
            <v>BULLDOG  CLAMP, GREGORY-SOFT, 11 CM</v>
          </cell>
        </row>
        <row r="4482">
          <cell r="B4482" t="str">
            <v>24-299-01-07</v>
          </cell>
          <cell r="C4482" t="str">
            <v>BULLDOGKLEMME, GREGORY,  LI., 11 CM</v>
          </cell>
          <cell r="D4482" t="str">
            <v>BULLDOG  CLAMP, GREGORY,  LEFT, 11 CM</v>
          </cell>
        </row>
        <row r="4483">
          <cell r="B4483" t="str">
            <v>24-299-02-07</v>
          </cell>
          <cell r="C4483" t="str">
            <v>BULLDOGKLEMME, GREGORY,  RE., 11 CM</v>
          </cell>
          <cell r="D4483" t="str">
            <v>BULLDOG  CLAMP, GREGORY,  RIGHT, 11 CM</v>
          </cell>
        </row>
        <row r="4484">
          <cell r="B4484" t="str">
            <v>24-300-16-07</v>
          </cell>
          <cell r="C4484" t="str">
            <v>ATR.-KLEMME, RANKIN, GER., 16 CM</v>
          </cell>
          <cell r="D4484" t="str">
            <v>ATR. FORCEPS,  RANKIN, STR., 16 CM</v>
          </cell>
        </row>
        <row r="4485">
          <cell r="B4485" t="str">
            <v>24-301-16-07</v>
          </cell>
          <cell r="C4485" t="str">
            <v>ATR.-KLEMME, RANKIN, GEB., 16 CM</v>
          </cell>
          <cell r="D4485" t="str">
            <v>ATR. FORCEPS,  RANKIN, CVD., 16 CM</v>
          </cell>
        </row>
        <row r="4486">
          <cell r="B4486" t="str">
            <v>24-302-15-07</v>
          </cell>
          <cell r="C4486" t="str">
            <v>ATR.-KLEMME, MOSQUITO, GER., 15 CM</v>
          </cell>
          <cell r="D4486" t="str">
            <v>ATR. FORCEPS,  MOSQUITO, STR., 15 CM</v>
          </cell>
        </row>
        <row r="4487">
          <cell r="B4487" t="str">
            <v>24-303-15-07</v>
          </cell>
          <cell r="C4487" t="str">
            <v>ATR.-KLEMME, MOSQUITO, GEB., 15 CM</v>
          </cell>
          <cell r="D4487" t="str">
            <v>ATR. FORCEPS,  MOSQUITO, CVD., 15 CM</v>
          </cell>
        </row>
        <row r="4488">
          <cell r="B4488" t="str">
            <v>24-317-23-07</v>
          </cell>
          <cell r="C4488" t="str">
            <v>ATR.-AORTAKLEMME, OCHSNER,  GEB., 22 CM</v>
          </cell>
          <cell r="D4488" t="str">
            <v>ATR. FORCEPS,  OCHSNER,  CVD., 22 CM</v>
          </cell>
        </row>
        <row r="4489">
          <cell r="B4489" t="str">
            <v>24-319-21-07</v>
          </cell>
          <cell r="C4489" t="str">
            <v>ATR.-AORTAKLEMME, DIETHRICH, GEB., 21 CM</v>
          </cell>
          <cell r="D4489" t="str">
            <v>ATR. FORCEPS,  DIETHRICH, CVD., 21 CM</v>
          </cell>
        </row>
        <row r="4490">
          <cell r="B4490" t="str">
            <v>24-336-00-07</v>
          </cell>
          <cell r="C4490" t="str">
            <v>ATR.-GEFÄSSKLEMME, DARDIK, GER., 16 CM</v>
          </cell>
          <cell r="D4490" t="str">
            <v>ATR. VASC. FORCEPS,  DARDIK, STR., 16 CM</v>
          </cell>
        </row>
        <row r="4491">
          <cell r="B4491" t="str">
            <v>24-336-15-07</v>
          </cell>
          <cell r="C4491" t="str">
            <v>ATR.-GEFÄSSKLEMME, DARDIK, 15°, 15,5 CM</v>
          </cell>
          <cell r="D4491" t="str">
            <v>ATR. VASC. FORCEPS,  DARDIK, 15°, 15.5 CM</v>
          </cell>
        </row>
        <row r="4492">
          <cell r="B4492" t="str">
            <v>24-336-30-07</v>
          </cell>
          <cell r="C4492" t="str">
            <v>ATR.-GEFÄSSKLEMME, DARDIK, 30°, 15,5 CM</v>
          </cell>
          <cell r="D4492" t="str">
            <v>ATR. VASC. FORCEPS,  DARDIK, 30°, 15.5 CM</v>
          </cell>
        </row>
        <row r="4493">
          <cell r="B4493" t="str">
            <v>24-336-45-07</v>
          </cell>
          <cell r="C4493" t="str">
            <v>ATR.-GEFÄSSKLEMME, DARDIK, 45°, 15 CM</v>
          </cell>
          <cell r="D4493" t="str">
            <v>ATR. VASC. FORCEPS,  DARDIK, 45°, 15 CM</v>
          </cell>
        </row>
        <row r="4494">
          <cell r="B4494" t="str">
            <v>24-336-90-07</v>
          </cell>
          <cell r="C4494" t="str">
            <v>ATR.-GEFÄSSKLEMME, DARDIK, 90°, 13,5 CM</v>
          </cell>
          <cell r="D4494" t="str">
            <v>ATR. VASC. FORCEPS,  DARDIK, 90°, 13.5 CM</v>
          </cell>
        </row>
        <row r="4495">
          <cell r="B4495" t="str">
            <v>24-338-00-07</v>
          </cell>
          <cell r="C4495" t="str">
            <v>ATR.-GEFÄSSKLEMME, DARDIK, GER., 17 CM</v>
          </cell>
          <cell r="D4495" t="str">
            <v>ATR. VASC. FORCEPS,  DARDIK, STR., 17 CM</v>
          </cell>
        </row>
        <row r="4496">
          <cell r="B4496" t="str">
            <v>24-338-15-07</v>
          </cell>
          <cell r="C4496" t="str">
            <v>ATR.-GEFÄSSKLEMME, DARDIK, 15°, 16,5 CM</v>
          </cell>
          <cell r="D4496" t="str">
            <v>ATR. VASC. FORCEPS,  DARDIK, 15°, 16.5 CM</v>
          </cell>
        </row>
        <row r="4497">
          <cell r="B4497" t="str">
            <v>24-338-30-07</v>
          </cell>
          <cell r="C4497" t="str">
            <v>ATR.-GEFÄSSKLEMME, DARDIK, 30°, 16 CM</v>
          </cell>
          <cell r="D4497" t="str">
            <v>ATR. VASC. FORCEPS,  DARDIK, 30°, 16 CM</v>
          </cell>
        </row>
        <row r="4498">
          <cell r="B4498" t="str">
            <v>24-338-45-07</v>
          </cell>
          <cell r="C4498" t="str">
            <v>ATR.-GEFÄSSKLEMME, DARDIK, 45°, 16 CM</v>
          </cell>
          <cell r="D4498" t="str">
            <v>ATR. VASC. FORCEPS,  DARDIK, 45°, 16 CM</v>
          </cell>
        </row>
        <row r="4499">
          <cell r="B4499" t="str">
            <v>24-338-90-07</v>
          </cell>
          <cell r="C4499" t="str">
            <v>ATR.-GEFÄSSKLEMME, DARDIK, 90°, 14 CM</v>
          </cell>
          <cell r="D4499" t="str">
            <v>ATR. VASC. FORCEPS,  DARDIK, 90°, 14 CM</v>
          </cell>
        </row>
        <row r="4500">
          <cell r="B4500" t="str">
            <v>24-340-18-07</v>
          </cell>
          <cell r="C4500" t="str">
            <v>ATR.-KLEMME, DALE, GEB., 18 CM</v>
          </cell>
          <cell r="D4500" t="str">
            <v>ATR. FORCEPS,  DALE, CVD., 18 CM</v>
          </cell>
        </row>
        <row r="4501">
          <cell r="B4501" t="str">
            <v>24-341-17-07</v>
          </cell>
          <cell r="C4501" t="str">
            <v>ATR.-KLEMME, DALE, KLEIN, 17,5 CM</v>
          </cell>
          <cell r="D4501" t="str">
            <v>ATR. FORCEPS,  DALE, SMALL, 17.5 CM</v>
          </cell>
        </row>
        <row r="4502">
          <cell r="B4502" t="str">
            <v>24-341-18-07</v>
          </cell>
          <cell r="C4502" t="str">
            <v>ATR.-KLEMME, DALE, MITTEL, 18 CM</v>
          </cell>
          <cell r="D4502" t="str">
            <v>ATR. FORCEPS,  DALE, MEDIUM,  18 CM</v>
          </cell>
        </row>
        <row r="4503">
          <cell r="B4503" t="str">
            <v>24-341-19-07</v>
          </cell>
          <cell r="C4503" t="str">
            <v>ATR.-KLEMME, DALE, GROSS, 18,5 CM</v>
          </cell>
          <cell r="D4503" t="str">
            <v>ATR. FORCEPS,  DALE, LARGE, 18.5 CM</v>
          </cell>
        </row>
        <row r="4504">
          <cell r="B4504" t="str">
            <v>24-342-14-07</v>
          </cell>
          <cell r="C4504" t="str">
            <v>ATR.-PROFUNDAKLEMME, GREGORY,  13,5 CM</v>
          </cell>
          <cell r="D4504" t="str">
            <v>ATR. PROFUNDA CLAMP, GREGORY,  13.5 CM</v>
          </cell>
        </row>
        <row r="4505">
          <cell r="B4505" t="str">
            <v>24-342-16-07</v>
          </cell>
          <cell r="C4505" t="str">
            <v>ATR.-PROFUNDAKLEMME, GREGORY,  16 CM</v>
          </cell>
          <cell r="D4505" t="str">
            <v>ATR. PROFUNDA CLAMP, GREGORY,  16 CM</v>
          </cell>
        </row>
        <row r="4506">
          <cell r="B4506" t="str">
            <v>24-342-18-07</v>
          </cell>
          <cell r="C4506" t="str">
            <v>ATR.-PROFUNDAKLEMME, GREGORY,  18 CM</v>
          </cell>
          <cell r="D4506" t="str">
            <v>ATR. PROFUNDA CLAMP, GREGORY,  18 CM</v>
          </cell>
        </row>
        <row r="4507">
          <cell r="B4507" t="str">
            <v>24-343-18-07</v>
          </cell>
          <cell r="C4507" t="str">
            <v>CAROTISKLEMME, JAVID, KURZ GEB., 17,5 CM</v>
          </cell>
          <cell r="D4507" t="str">
            <v>CAROTIS CLAMP, JAVID, SHORT, 17.5 CM</v>
          </cell>
        </row>
        <row r="4508">
          <cell r="B4508" t="str">
            <v>24-343-19-07</v>
          </cell>
          <cell r="C4508" t="str">
            <v>CAROTISKLEMME, JAVID, LANG GEB., 18,5 CM</v>
          </cell>
          <cell r="D4508" t="str">
            <v>CAROTIS CLAMP, JAVID, LONG, 18.5 CM</v>
          </cell>
        </row>
        <row r="4509">
          <cell r="B4509" t="str">
            <v>24-344-16-07</v>
          </cell>
          <cell r="C4509" t="str">
            <v>ATR.-KLEMME, MARTIN-PERIPHERAL, 16 CM</v>
          </cell>
          <cell r="D4509" t="str">
            <v>ATR. FORCEPS,  MARTIN-PERIPHERAL, 16 CM</v>
          </cell>
        </row>
        <row r="4510">
          <cell r="B4510" t="str">
            <v>24-344-17-07</v>
          </cell>
          <cell r="C4510" t="str">
            <v>ATR.-KLEMME, MARTIN-PERIPHERAL, 17 CM</v>
          </cell>
          <cell r="D4510" t="str">
            <v>ATR. FORCEPS,  MARTIN-PERIPHERAL, 17 CM</v>
          </cell>
        </row>
        <row r="4511">
          <cell r="B4511" t="str">
            <v>24-344-18-07</v>
          </cell>
          <cell r="C4511" t="str">
            <v>ATR.-KLEMME, MARTIN-PERIPHERAL, 18 CM</v>
          </cell>
          <cell r="D4511" t="str">
            <v>ATR. FORCEPS,  MARTIN-PERIPHERAL, 18 CM</v>
          </cell>
        </row>
        <row r="4512">
          <cell r="B4512" t="str">
            <v>24-344-20-07</v>
          </cell>
          <cell r="C4512" t="str">
            <v>ATR.-KLEMME, MARTIN-PERIPHERAL, 19,5 CM</v>
          </cell>
          <cell r="D4512" t="str">
            <v>ATR. FORCEPS,  MARTIN-PERIPHERAL, 19.5 CM</v>
          </cell>
        </row>
        <row r="4513">
          <cell r="B4513" t="str">
            <v>24-344-24-07</v>
          </cell>
          <cell r="C4513" t="str">
            <v>ATR.-AORTAKLEMME, WYLIE, 24 CM</v>
          </cell>
          <cell r="D4513" t="str">
            <v>ATR. AORTA FORCEPS,  WYLIE, 24 CM</v>
          </cell>
        </row>
        <row r="4514">
          <cell r="B4514" t="str">
            <v>24-344-27-07</v>
          </cell>
          <cell r="C4514" t="str">
            <v>ATR.-AORTAKLEMME, WYLIE, 27 CM</v>
          </cell>
          <cell r="D4514" t="str">
            <v>ATR. AORTA FORCEPS,  WYLIE, 27 CM</v>
          </cell>
        </row>
        <row r="4515">
          <cell r="B4515" t="str">
            <v>24-344-30-07</v>
          </cell>
          <cell r="C4515" t="str">
            <v>ATR.-AORTAKLEMME, DE BAKEY, 30 CM</v>
          </cell>
          <cell r="D4515" t="str">
            <v>ATR. AORTA FORCEPS,  DE BAKEY, 30 CM</v>
          </cell>
        </row>
        <row r="4516">
          <cell r="B4516" t="str">
            <v>24-345-18-07</v>
          </cell>
          <cell r="C4516" t="str">
            <v>ATR.-KLEMME, HUSFELDT-PERIPHER, 16,5 CM</v>
          </cell>
          <cell r="D4516" t="str">
            <v>ATR. FORCEPS,  HUSFELDT-PERIPHER, 16.5 CM</v>
          </cell>
        </row>
        <row r="4517">
          <cell r="B4517" t="str">
            <v>24-347-18-07</v>
          </cell>
          <cell r="C4517" t="str">
            <v>ATR.-KLEMME, HUSFELDT-PERIPHER, 18 CM</v>
          </cell>
          <cell r="D4517" t="str">
            <v>ATR. FORCEPS,  HUSFELDT-PERIPHER, 18 CM</v>
          </cell>
        </row>
        <row r="4518">
          <cell r="B4518" t="str">
            <v>24-349-17-07</v>
          </cell>
          <cell r="C4518" t="str">
            <v>ATR.-KLEMME, HUSFELDT-PERIPHER, 17 CM</v>
          </cell>
          <cell r="D4518" t="str">
            <v>ATR. FORCEPS,  HUSFELDT-PERIPHER, 17 CM</v>
          </cell>
        </row>
        <row r="4519">
          <cell r="B4519" t="str">
            <v>24-349-18-07</v>
          </cell>
          <cell r="C4519" t="str">
            <v>GEFÄSS-MESSZIRKEL, MARTIN,  18 CM</v>
          </cell>
          <cell r="D4519" t="str">
            <v>VASCULAR  CALIPER,  MARTIN,  18 CM</v>
          </cell>
        </row>
        <row r="4520">
          <cell r="B4520" t="str">
            <v>24-349-20-07</v>
          </cell>
          <cell r="C4520" t="str">
            <v>Atr.-Subclaviusklemme, Henly, 20 cm</v>
          </cell>
          <cell r="D4520" t="str">
            <v>Atr.-subclavian forceps, Henly, 20 cm</v>
          </cell>
        </row>
        <row r="4521">
          <cell r="B4521" t="str">
            <v>24-350-00-07</v>
          </cell>
          <cell r="C4521" t="str">
            <v>Katheterklemme, Cooley, 20 CH, 17 cm</v>
          </cell>
          <cell r="D4521" t="str">
            <v>Catheter  forceps, Cooley, 20 CH, 17 cm</v>
          </cell>
        </row>
        <row r="4522">
          <cell r="B4522" t="str">
            <v>24-350-01-07</v>
          </cell>
          <cell r="C4522" t="str">
            <v>KATHETERKLEMME, COOLEY, 24 CH, 17 CM</v>
          </cell>
          <cell r="D4522" t="str">
            <v>CATHETER  FORCEPS,  COOLEY, 24 CH, 17 CM</v>
          </cell>
        </row>
        <row r="4523">
          <cell r="B4523" t="str">
            <v>24-350-03-07</v>
          </cell>
          <cell r="C4523" t="str">
            <v>KATHETERKLEMME, COOLEY, 28 CH, 20 CM</v>
          </cell>
          <cell r="D4523" t="str">
            <v>CATHETER  FORCEPS,  COOLEY, 28 CH, 20 CM</v>
          </cell>
        </row>
        <row r="4524">
          <cell r="B4524" t="str">
            <v>24-350-04-07</v>
          </cell>
          <cell r="C4524" t="str">
            <v>KATHETERKLEMME, COOLEY, 30 CH, 20 CM</v>
          </cell>
          <cell r="D4524" t="str">
            <v>CATHETER  FORCEPS,  COOLEY, 30 CH, 20 CM</v>
          </cell>
        </row>
        <row r="4525">
          <cell r="B4525" t="str">
            <v>24-350-05-07</v>
          </cell>
          <cell r="C4525" t="str">
            <v>KATHETERKLEMME, COOLEY, 32 CH, 20 CM</v>
          </cell>
          <cell r="D4525" t="str">
            <v>CATHETER  FORCEPS,  COOLEY, 32 CH, 20 CM</v>
          </cell>
        </row>
        <row r="4526">
          <cell r="B4526" t="str">
            <v>24-350-07-07</v>
          </cell>
          <cell r="C4526" t="str">
            <v>KATHETERKLEMME, COOLEY, 36 CH, 20 CM</v>
          </cell>
          <cell r="D4526" t="str">
            <v>CATHETER  FORCEPS,  COOLEY, 36 CH, 20 CM</v>
          </cell>
        </row>
        <row r="4527">
          <cell r="B4527" t="str">
            <v>24-350-08-07</v>
          </cell>
          <cell r="C4527" t="str">
            <v>Katheterklemme, Cooley, 38 CH, 20 cm</v>
          </cell>
          <cell r="D4527" t="str">
            <v>Catheter  forceps, Cooley, 38 CH, 20 cm</v>
          </cell>
        </row>
        <row r="4528">
          <cell r="B4528" t="str">
            <v>24-350-09-07</v>
          </cell>
          <cell r="C4528" t="str">
            <v>Katheterklemme, Cooley, 40 CH, 20 cm</v>
          </cell>
          <cell r="D4528" t="str">
            <v>Catheter  forceps, Cooley, 40 CH, 20 cm</v>
          </cell>
        </row>
        <row r="4529">
          <cell r="B4529" t="str">
            <v>24-354-19-07</v>
          </cell>
          <cell r="C4529" t="str">
            <v>Atr.-Aortaklemme, Cooley, 19 cm</v>
          </cell>
          <cell r="D4529" t="str">
            <v>Atr. aortic forceps, Cooley, 19 cm</v>
          </cell>
        </row>
        <row r="4530">
          <cell r="B4530" t="str">
            <v>24-354-26-07</v>
          </cell>
          <cell r="C4530" t="str">
            <v>Atr.-Aortaklemme, Cooley, 26 cm</v>
          </cell>
          <cell r="D4530" t="str">
            <v>Atr. aortic forceps, Cooley, 26 cm</v>
          </cell>
        </row>
        <row r="4531">
          <cell r="B4531" t="str">
            <v>24-354-27-07</v>
          </cell>
          <cell r="C4531" t="str">
            <v>Atr.-Aortaklemme, Cooley, 26,5 cm</v>
          </cell>
          <cell r="D4531" t="str">
            <v>Atr. aortic forceps, Cooley, 26.5 cm</v>
          </cell>
        </row>
        <row r="4532">
          <cell r="B4532" t="str">
            <v>24-354-32-07</v>
          </cell>
          <cell r="C4532" t="str">
            <v>Atr.-Aortaklemme, Cooley, 31,5 cm</v>
          </cell>
          <cell r="D4532" t="str">
            <v>Atr. aortic forceps, Cooley, 31.5 cm</v>
          </cell>
        </row>
        <row r="4533">
          <cell r="B4533" t="str">
            <v>24-354-34-07</v>
          </cell>
          <cell r="C4533" t="str">
            <v>Atr.-Aortaklemme, Cooley, 33,5 cm</v>
          </cell>
          <cell r="D4533" t="str">
            <v>Atr. aortic forceps, Cooley, 33.5 cm</v>
          </cell>
        </row>
        <row r="4534">
          <cell r="B4534" t="str">
            <v>24-384-16-07</v>
          </cell>
          <cell r="C4534" t="str">
            <v>ATR.-PINZETTE, DE BAKEY, 2,7 MM, 16 CM</v>
          </cell>
          <cell r="D4534" t="str">
            <v>ATR. FORCEPS,  DE BAKEY, 2.7 MM, 16 CM</v>
          </cell>
        </row>
        <row r="4535">
          <cell r="B4535" t="str">
            <v>24-384-20-07</v>
          </cell>
          <cell r="C4535" t="str">
            <v>ATR.-PINZETTE, DE BAKEY, 2,7 MM, 20 CM</v>
          </cell>
          <cell r="D4535" t="str">
            <v>ATR. FORCEPS,  DE BAKEY, 2.7 MM, 20 CM</v>
          </cell>
        </row>
        <row r="4536">
          <cell r="B4536" t="str">
            <v>24-384-24-07</v>
          </cell>
          <cell r="C4536" t="str">
            <v>ATR. PINZETTE,  DE BAKEY, 2,7 MM, 25 CM</v>
          </cell>
          <cell r="D4536" t="str">
            <v>ATR. FORCEPS,  DE BAKEY, 2.7 MM, 25 CM</v>
          </cell>
        </row>
        <row r="4537">
          <cell r="B4537" t="str">
            <v>24-384-30-07</v>
          </cell>
          <cell r="C4537" t="str">
            <v>ATR.-PINZETTE, DE BAKEY, 2,7 MM, 30 CM</v>
          </cell>
          <cell r="D4537" t="str">
            <v>ATR. FORCEPS,  DE BAKEY, 2.7 MM, 30 CM</v>
          </cell>
        </row>
        <row r="4538">
          <cell r="B4538" t="str">
            <v>24-386-16-07</v>
          </cell>
          <cell r="C4538" t="str">
            <v>ATR.-PINZETTE, DE BAKEY, 1,5 MM, 16 CM</v>
          </cell>
          <cell r="D4538" t="str">
            <v>ATR. FORCEPS,  DE BAKEY, 1.5 MM, 16 CM</v>
          </cell>
        </row>
        <row r="4539">
          <cell r="B4539" t="str">
            <v>24-386-20-07</v>
          </cell>
          <cell r="C4539" t="str">
            <v>ATR.-PINZETTE, DE BAKEY, 1,5 MM, 20 CM</v>
          </cell>
          <cell r="D4539" t="str">
            <v>ATR. FORCEPS,  DE BAKEY, 1.5 MM, 20 CM</v>
          </cell>
        </row>
        <row r="4540">
          <cell r="B4540" t="str">
            <v>24-386-24-07</v>
          </cell>
          <cell r="C4540" t="str">
            <v>ATR.-PINZETTE, DE BAKEY, 1,5 MM, 25 CM</v>
          </cell>
          <cell r="D4540" t="str">
            <v>ATR. FORCEPS,  DE BAKEY, 1.5 MM, 25 CM</v>
          </cell>
        </row>
        <row r="4541">
          <cell r="B4541" t="str">
            <v>24-388-16-07</v>
          </cell>
          <cell r="C4541" t="str">
            <v>ATR.-PINZETTE, DE BAKEY, 2 MM, 16 CM</v>
          </cell>
          <cell r="D4541" t="str">
            <v>ATR. FORCEPS,  DE BAKEY, 2 MM, 16 CM</v>
          </cell>
        </row>
        <row r="4542">
          <cell r="B4542" t="str">
            <v>24-388-20-07</v>
          </cell>
          <cell r="C4542" t="str">
            <v>ATR.-PINZETTE, DE BAKEY, 2 MM, 20 CM</v>
          </cell>
          <cell r="D4542" t="str">
            <v>ATR. FORCEPS,  DE BAKEY, 2 MM, 20 CM</v>
          </cell>
        </row>
        <row r="4543">
          <cell r="B4543" t="str">
            <v>24-388-24-07</v>
          </cell>
          <cell r="C4543" t="str">
            <v>ATR.-PINZETTE, DE BAKEY, 2 MM, 25 CM</v>
          </cell>
          <cell r="D4543" t="str">
            <v>ATR. FORCEPS,  DE BAKEY, 2 MM, 25 CM</v>
          </cell>
        </row>
        <row r="4544">
          <cell r="B4544" t="str">
            <v>24-388-30-07</v>
          </cell>
          <cell r="C4544" t="str">
            <v>ATR.-PINZETTE, DE BAKEY, 2 MM, 30 CM</v>
          </cell>
          <cell r="D4544" t="str">
            <v>ATR. FORCEPS,  DE BAKEY, 2 MM, 30 CM</v>
          </cell>
        </row>
        <row r="4545">
          <cell r="B4545" t="str">
            <v>24-389-16-07</v>
          </cell>
          <cell r="C4545" t="str">
            <v>ATR.-PINZ., DE BAKEY, GEW., 2 MM, 16 CM</v>
          </cell>
          <cell r="D4545" t="str">
            <v>ATR. FCPS., DE BAKEY, ANG., 2 MM, 16 CM</v>
          </cell>
        </row>
        <row r="4546">
          <cell r="B4546" t="str">
            <v>24-389-20-07</v>
          </cell>
          <cell r="C4546" t="str">
            <v>ATR.-PINZ., DE BAKEY, GEW., 2 MM, 20 CM</v>
          </cell>
          <cell r="D4546" t="str">
            <v>ATR. FCPS., DE BAKEY, ANG., 2 MM, 20 CM</v>
          </cell>
        </row>
        <row r="4547">
          <cell r="B4547" t="str">
            <v>24-389-24-07</v>
          </cell>
          <cell r="C4547" t="str">
            <v>ATR.-PINZ., DE BAKEY, GEW., 2 MM, 25 CM</v>
          </cell>
          <cell r="D4547" t="str">
            <v>ATR. FCPS., DE BAKEY, ANG., 2 MM, 25 CM</v>
          </cell>
        </row>
        <row r="4548">
          <cell r="B4548" t="str">
            <v>24-389-30-07</v>
          </cell>
          <cell r="C4548" t="str">
            <v>ATR.-PINZ., DE BAKEY, GEW., 2 MM, 30 CM</v>
          </cell>
          <cell r="D4548" t="str">
            <v>ATR. FCPS., DE BAKEY, ANG., 2 MM, 30 CM</v>
          </cell>
        </row>
        <row r="4549">
          <cell r="B4549" t="str">
            <v>24-390-16-07</v>
          </cell>
          <cell r="C4549" t="str">
            <v>ATR.-PINZETTE, DE BAKEY, 3,5 MM, 16 CM</v>
          </cell>
          <cell r="D4549" t="str">
            <v>ATR. FORCEPS,  DE BAKEY, 3.5 MM, 16 CM</v>
          </cell>
        </row>
        <row r="4550">
          <cell r="B4550" t="str">
            <v>24-390-20-07</v>
          </cell>
          <cell r="C4550" t="str">
            <v>ATR.-PINZETTE, DE BAKEY, 3,5 MM, 20 CM</v>
          </cell>
          <cell r="D4550" t="str">
            <v>ATR. FORCEPS,  DE BAKEY, 3.5 MM, 20 CM</v>
          </cell>
        </row>
        <row r="4551">
          <cell r="B4551" t="str">
            <v>24-390-24-07</v>
          </cell>
          <cell r="C4551" t="str">
            <v>ATR.-PINZETTE, DE BAKEY, 3,5 MM, 25 CM</v>
          </cell>
          <cell r="D4551" t="str">
            <v>ATR. FORCEPS,  DE BAKEY, 3.5 MM, 25 CM</v>
          </cell>
        </row>
        <row r="4552">
          <cell r="B4552" t="str">
            <v>24-390-30-07</v>
          </cell>
          <cell r="C4552" t="str">
            <v>ATR.-PINZETTE, DE BAKEY, 3,5 MM, 30 CM</v>
          </cell>
          <cell r="D4552" t="str">
            <v>ATR. FORCEPS,  DE BAKEY, 3.5 MM, 30 CM</v>
          </cell>
        </row>
        <row r="4553">
          <cell r="B4553" t="str">
            <v>24-392-07-07</v>
          </cell>
          <cell r="C4553" t="str">
            <v>BULLDOGKLEMME, DE BAKEY, GER., 8 cm</v>
          </cell>
          <cell r="D4553" t="str">
            <v>BULLDOG  CLAMP, DE BAKEY, STR., 8 cm</v>
          </cell>
        </row>
        <row r="4554">
          <cell r="B4554" t="str">
            <v>24-392-08-07</v>
          </cell>
          <cell r="C4554" t="str">
            <v>BULLDOGKLEMME, DE BAKEY, GER., 9 CM</v>
          </cell>
          <cell r="D4554" t="str">
            <v>BULLDOG  CLAMP, DE BAKEY, STR., 9 CM</v>
          </cell>
        </row>
        <row r="4555">
          <cell r="B4555" t="str">
            <v>24-392-10-07</v>
          </cell>
          <cell r="C4555" t="str">
            <v>BULLDOGKLEMME, DE BAKEY, GER., 10,5 CM</v>
          </cell>
          <cell r="D4555" t="str">
            <v>BULLDOG  CLAMP, DE BAKEY, STR., 10,5 CM</v>
          </cell>
        </row>
        <row r="4556">
          <cell r="B4556" t="str">
            <v>24-392-12-07</v>
          </cell>
          <cell r="C4556" t="str">
            <v>BULLDOGKLEMME, DE BAKEY, GER., 12,5 CM</v>
          </cell>
          <cell r="D4556" t="str">
            <v>BULLDOG  CLAMP, DE BAKEY, STR., 12,5 CM</v>
          </cell>
        </row>
        <row r="4557">
          <cell r="B4557" t="str">
            <v>24-393-07-07</v>
          </cell>
          <cell r="C4557" t="str">
            <v>BULLDOGKLEMME, DE BAKEY, GEB., 8 CM</v>
          </cell>
          <cell r="D4557" t="str">
            <v>BULLDOG  CLAMP, DE BAKEY, CVD., 8 CM</v>
          </cell>
        </row>
        <row r="4558">
          <cell r="B4558" t="str">
            <v>24-393-08-07</v>
          </cell>
          <cell r="C4558" t="str">
            <v>BULLDOGKLEMME, DE BAKEY, GEB., 8,5 CM</v>
          </cell>
          <cell r="D4558" t="str">
            <v>BULLDOG  CLAMP, DE BAKEY, CVD., 8,5 CM</v>
          </cell>
        </row>
        <row r="4559">
          <cell r="B4559" t="str">
            <v>24-393-10-07</v>
          </cell>
          <cell r="C4559" t="str">
            <v>BULLDOGKLEMME, DE BAKEY, GEB., 9,5 CM</v>
          </cell>
          <cell r="D4559" t="str">
            <v>BULLDOG  CLAMP, DE BAKEY, CVD., 9,5 CM</v>
          </cell>
        </row>
        <row r="4560">
          <cell r="B4560" t="str">
            <v>24-393-12-07</v>
          </cell>
          <cell r="C4560" t="str">
            <v>BULLDOGKLEMME, DE BAKEY, GEB., 11,5 CM</v>
          </cell>
          <cell r="D4560" t="str">
            <v>BULLDOG  CLAMP, DE BAKEY, CVD., 11,5 CM</v>
          </cell>
        </row>
        <row r="4561">
          <cell r="B4561" t="str">
            <v>24-394-01-07</v>
          </cell>
          <cell r="C4561" t="str">
            <v>Bulldogklemme, marCore,  rechts, 9,5 cm</v>
          </cell>
          <cell r="D4561" t="str">
            <v>Bulldog clamp, marCore,  right, 9,5 cm</v>
          </cell>
        </row>
        <row r="4562">
          <cell r="B4562" t="str">
            <v>24-394-02-07</v>
          </cell>
          <cell r="C4562" t="str">
            <v>BULLDOGKLEMME, marCore,  LINKS, 9,5 CM</v>
          </cell>
          <cell r="D4562" t="str">
            <v>Bulldog clamp, marCore,  left, 9,5 cm</v>
          </cell>
        </row>
        <row r="4563">
          <cell r="B4563" t="str">
            <v>24-395-23-07</v>
          </cell>
          <cell r="C4563" t="str">
            <v>ANLEGEZANGE F. BULLDOGKLEMMEN, 24 CM</v>
          </cell>
          <cell r="D4563" t="str">
            <v>APPLYING  FORCEPS  F. BULLD. CLAMPS,  24 CM</v>
          </cell>
        </row>
        <row r="4564">
          <cell r="B4564" t="str">
            <v>24-398-06-07</v>
          </cell>
          <cell r="C4564" t="str">
            <v>Bulldogklemme Glove Gerade 7cm</v>
          </cell>
          <cell r="D4564" t="str">
            <v>BULLDOG  CLAMP, GLOVER,  STR., 7 CM</v>
          </cell>
        </row>
        <row r="4565">
          <cell r="B4565" t="str">
            <v>24-398-07-07</v>
          </cell>
          <cell r="C4565" t="str">
            <v>Bulldogklemme Glover Gerade 8cm</v>
          </cell>
          <cell r="D4565" t="str">
            <v>BULLDOG  CLAMP, GLOVER,  STR., 8 CM</v>
          </cell>
        </row>
        <row r="4566">
          <cell r="B4566" t="str">
            <v>24-398-09-07</v>
          </cell>
          <cell r="C4566" t="str">
            <v>Bulldogklemme Glover Gerade 9,5 CM</v>
          </cell>
          <cell r="D4566" t="str">
            <v>BULLDOG  CLAMP, GLOVER,  STR., 9.5 CM</v>
          </cell>
        </row>
        <row r="4567">
          <cell r="B4567" t="str">
            <v>24-398-11-07</v>
          </cell>
          <cell r="C4567" t="str">
            <v>Klemme,  Bulldog, Glover, ger., 11 cm</v>
          </cell>
          <cell r="D4567" t="str">
            <v>Clamp, Bulldog, Glover, str., 11 cm</v>
          </cell>
        </row>
        <row r="4568">
          <cell r="B4568" t="str">
            <v>24-399-06-07</v>
          </cell>
          <cell r="C4568" t="str">
            <v>Bulldogklemme Glover Gebogen  6,5cm</v>
          </cell>
          <cell r="D4568" t="str">
            <v>BULLDOG  CLAMP, GLOVER,  CVD., 6.5 CM</v>
          </cell>
        </row>
        <row r="4569">
          <cell r="B4569" t="str">
            <v>24-399-07-07</v>
          </cell>
          <cell r="C4569" t="str">
            <v>Bulldogklemme Glover Gebogen  7,5cm</v>
          </cell>
          <cell r="D4569" t="str">
            <v>BULLDOG  CLAMP, GLOVER,  CVD., 7.5 CM</v>
          </cell>
        </row>
        <row r="4570">
          <cell r="B4570" t="str">
            <v>24-399-09-07</v>
          </cell>
          <cell r="C4570" t="str">
            <v>Bulldogklemme Glover Gebogen  9cm</v>
          </cell>
          <cell r="D4570" t="str">
            <v>BULLDOG  CLAMP, GLOVER,  CVD., 9 CM</v>
          </cell>
        </row>
        <row r="4571">
          <cell r="B4571" t="str">
            <v>24-399-11-07</v>
          </cell>
          <cell r="C4571" t="str">
            <v>Bulldogklemme Glover Gebogen  10,5cm</v>
          </cell>
          <cell r="D4571" t="str">
            <v>BULLDOG  CLAMP, GLOVER,  CVD., 10.5 CM</v>
          </cell>
        </row>
        <row r="4572">
          <cell r="B4572" t="str">
            <v>24-400-21-07</v>
          </cell>
          <cell r="C4572" t="str">
            <v>ATR.-KLEMME, POTTS, GER., 30 MM, 21 CM</v>
          </cell>
          <cell r="D4572" t="str">
            <v>ATR. FORCEPS,  POTTS, STR., 30 MM, 21 CM</v>
          </cell>
        </row>
        <row r="4573">
          <cell r="B4573" t="str">
            <v>24-400-22-07</v>
          </cell>
          <cell r="C4573" t="str">
            <v>ATR.-KLEMME, POTTS, GER., 55 MM, 22,5 CM</v>
          </cell>
          <cell r="D4573" t="str">
            <v>ATR. FCPS., POTTS, STR., 55 MM, 22.5 CM</v>
          </cell>
        </row>
        <row r="4574">
          <cell r="B4574" t="str">
            <v>24-401-21-07</v>
          </cell>
          <cell r="C4574" t="str">
            <v>ATR.-KLEMME, POTTS, GEW., 30 MM, 20,5 CM</v>
          </cell>
          <cell r="D4574" t="str">
            <v>ATR. FCPS., POTTS, ANG., 30 MM, 20.5 CM</v>
          </cell>
        </row>
        <row r="4575">
          <cell r="B4575" t="str">
            <v>24-401-22-07</v>
          </cell>
          <cell r="C4575" t="str">
            <v>ATR.-KLEMME, POTTS, GEW., 55 MM, 22 CM</v>
          </cell>
          <cell r="D4575" t="str">
            <v>ATR. FORCEPS,  POTTS, ANG., 55 MM, 22 CM</v>
          </cell>
        </row>
        <row r="4576">
          <cell r="B4576" t="str">
            <v>24-403-21-07</v>
          </cell>
          <cell r="C4576" t="str">
            <v>ATR.-KLEMME, POTTS, GEW., 30 MM, 20,5 CM</v>
          </cell>
          <cell r="D4576" t="str">
            <v>ATR. FCPS., POTTS, ANG., 30 MM, 20.5 CM</v>
          </cell>
        </row>
        <row r="4577">
          <cell r="B4577" t="str">
            <v>24-403-22-07</v>
          </cell>
          <cell r="C4577" t="str">
            <v>ATR.-KLEMME, POTTS, GEW., 55 MM, 22 CM</v>
          </cell>
          <cell r="D4577" t="str">
            <v>ATR. FORCEPS,  POTTS, ANG., 55 MM, 22 CM</v>
          </cell>
        </row>
        <row r="4578">
          <cell r="B4578" t="str">
            <v>24-405-22-07</v>
          </cell>
          <cell r="C4578" t="str">
            <v>ATR.-KLEMME, POTTS, GEB., 55 MM, 21,5 CM</v>
          </cell>
          <cell r="D4578" t="str">
            <v>ATR. FCPS., POTTS, CVD., 55 MM, 21.5 CM</v>
          </cell>
        </row>
        <row r="4579">
          <cell r="B4579" t="str">
            <v>24-407-22-07</v>
          </cell>
          <cell r="C4579" t="str">
            <v>ATR.-KLEMME, POTTS, GEB., 55 MM, 22 CM</v>
          </cell>
          <cell r="D4579" t="str">
            <v>ATR. FORCEPS,  POTTS, CVD., 55 MM, 22 CM</v>
          </cell>
        </row>
        <row r="4580">
          <cell r="B4580" t="str">
            <v>24-408-19-07</v>
          </cell>
          <cell r="C4580" t="str">
            <v>ATR.-LIGATURKLEMME, DE BAKEY, 19 CM</v>
          </cell>
          <cell r="D4580" t="str">
            <v>ATR. LIGATURE  FORCEPS,  DE BAKEY, 19 CM</v>
          </cell>
        </row>
        <row r="4581">
          <cell r="B4581" t="str">
            <v>24-408-23-07</v>
          </cell>
          <cell r="C4581" t="str">
            <v>ATR.-LIGATURKLEMME, DE BAKEY, 24 CM</v>
          </cell>
          <cell r="D4581" t="str">
            <v>ATR. LIGATURE  FORCEPS,  DE BAKEY, 24 CM</v>
          </cell>
        </row>
        <row r="4582">
          <cell r="B4582" t="str">
            <v>24-409-16-07</v>
          </cell>
          <cell r="C4582" t="str">
            <v>ATR.-KLEMME, DE BAKEY, GEB., 16 CM</v>
          </cell>
          <cell r="D4582" t="str">
            <v>ATR. FORCEPS,  DE BAKEY, CVD., 16 CM</v>
          </cell>
        </row>
        <row r="4583">
          <cell r="B4583" t="str">
            <v>24-411-19-07</v>
          </cell>
          <cell r="C4583" t="str">
            <v>ATR.-KLEMME, DE BAKEY, S-FORM, 19 CM</v>
          </cell>
          <cell r="D4583" t="str">
            <v>ATR. FORCEPS,  DE BAKEY, S-SHAPE,  19 CM</v>
          </cell>
        </row>
        <row r="4584">
          <cell r="B4584" t="str">
            <v>24-411-20-07</v>
          </cell>
          <cell r="C4584" t="str">
            <v>ATR.-KLEMME, DE BAKEY, S-FORM, 20 CM</v>
          </cell>
          <cell r="D4584" t="str">
            <v>ATR. FORCEPS,  DE BAKEY, S-SHAPE,  20 CM</v>
          </cell>
        </row>
        <row r="4585">
          <cell r="B4585" t="str">
            <v>24-413-18-07</v>
          </cell>
          <cell r="C4585" t="str">
            <v>ATR.-KLEMME, LELAND-JONES, GEW., 18 CM</v>
          </cell>
          <cell r="D4585" t="str">
            <v>ATR. FORCEPS,  LELAND-JONES, ANG., 18 CM</v>
          </cell>
        </row>
        <row r="4586">
          <cell r="B4586" t="str">
            <v>24-413-19-07</v>
          </cell>
          <cell r="C4586" t="str">
            <v>ATR.-KLEMME, LELAND-JONES, GEW., 19 CM</v>
          </cell>
          <cell r="D4586" t="str">
            <v>ATR. FORCEPS,  LELAND-JONES, ANG., 19 CM</v>
          </cell>
        </row>
        <row r="4587">
          <cell r="B4587" t="str">
            <v>24-413-20-07</v>
          </cell>
          <cell r="C4587" t="str">
            <v>ATR.-KLEMME, LELAND-JONES, GEW., 20 CM</v>
          </cell>
          <cell r="D4587" t="str">
            <v>ATR. FORCEPS,  LELAND-JONES, ANG., 20 CM</v>
          </cell>
        </row>
        <row r="4588">
          <cell r="B4588" t="str">
            <v>24-414-15-07</v>
          </cell>
          <cell r="C4588" t="str">
            <v>ATR.-KLEMME, BAINBRIDGE, GER., 15 CM</v>
          </cell>
          <cell r="D4588" t="str">
            <v>ATR. FORCEPS,  BAINBRIDGE, STR., 15 CM</v>
          </cell>
        </row>
        <row r="4589">
          <cell r="B4589" t="str">
            <v>24-414-18-07</v>
          </cell>
          <cell r="C4589" t="str">
            <v>ATR.-KLEMME, BAINBRIDGE, GER., 18,5 CM</v>
          </cell>
          <cell r="D4589" t="str">
            <v>ATR. FORCEPS,  BAINBRIDGE, STR., 18.5 CM</v>
          </cell>
        </row>
        <row r="4590">
          <cell r="B4590" t="str">
            <v>24-415-15-07</v>
          </cell>
          <cell r="C4590" t="str">
            <v>ATR.-KLEMME, BAINBRIDGE, GEB., 15 CM</v>
          </cell>
          <cell r="D4590" t="str">
            <v>ATR. FORCEPS,  BAINBRIDGE, CVD., 15 CM</v>
          </cell>
        </row>
        <row r="4591">
          <cell r="B4591" t="str">
            <v>24-415-18-07</v>
          </cell>
          <cell r="C4591" t="str">
            <v>ATR.-KLEMME, BAINBRIDGE, GEB., 18,5 CM</v>
          </cell>
          <cell r="D4591" t="str">
            <v>ATR. FORCEPS,  BAINBRIDGE, CVD., 18.5 CM</v>
          </cell>
        </row>
        <row r="4592">
          <cell r="B4592" t="str">
            <v>24-416-20-07</v>
          </cell>
          <cell r="C4592" t="str">
            <v>ATR.-KLEMME, DE BAKEY, GEW., 20 CM</v>
          </cell>
          <cell r="D4592" t="str">
            <v>ATR. FORCEPS,  DE BAKEY, ANG., 20 CM</v>
          </cell>
        </row>
        <row r="4593">
          <cell r="B4593" t="str">
            <v>24-416-26-07</v>
          </cell>
          <cell r="C4593" t="str">
            <v>Atr.-Aortaklemme, Kowalski,  Fig. 1, 26cm</v>
          </cell>
          <cell r="D4593" t="str">
            <v>Atr.abd.aortic clamp,Kowalski,Fig.1,26cm</v>
          </cell>
        </row>
        <row r="4594">
          <cell r="B4594" t="str">
            <v>24-416-27-07</v>
          </cell>
          <cell r="C4594" t="str">
            <v>Atr.-Aortaklemme, Kowalski,  Fig. 2, 27cm</v>
          </cell>
          <cell r="D4594" t="str">
            <v>Atr.abd.aortic clamp,Kowalski,Fig.2,27cm</v>
          </cell>
        </row>
        <row r="4595">
          <cell r="B4595" t="str">
            <v>24-416-28-07</v>
          </cell>
          <cell r="C4595" t="str">
            <v>Atr.-Aortaklemme, Kowalski,  Fig. 3, 28cm</v>
          </cell>
          <cell r="D4595" t="str">
            <v>Atr.abd.aortic clamp,Kowalski,Fig.3,28cm</v>
          </cell>
        </row>
        <row r="4596">
          <cell r="B4596" t="str">
            <v>24-416-30-07</v>
          </cell>
          <cell r="C4596" t="str">
            <v>Klemme,  Aorta, Kowalski,  atr., #4, 23 cm</v>
          </cell>
          <cell r="D4596" t="str">
            <v>Clamp, aorta, Kowalski,  atr., #4, 23 cm</v>
          </cell>
        </row>
        <row r="4597">
          <cell r="B4597" t="str">
            <v>24-416-31-07</v>
          </cell>
          <cell r="C4597" t="str">
            <v>Klemme,  Aorta, Kowalski,  atr., #5, 24 cm</v>
          </cell>
          <cell r="D4597" t="str">
            <v>Clamp, aorta, Kowalski,  atr., #5, 24 cm</v>
          </cell>
        </row>
        <row r="4598">
          <cell r="B4598" t="str">
            <v>24-416-32-07</v>
          </cell>
          <cell r="C4598" t="str">
            <v>Klemme,  Aorta, Kowalski,  atr., #6, 25 cm</v>
          </cell>
          <cell r="D4598" t="str">
            <v>Clamp, aorta, Kowalski,  atr., #6, 25 cm</v>
          </cell>
        </row>
        <row r="4599">
          <cell r="B4599" t="str">
            <v>24-417-26-07</v>
          </cell>
          <cell r="C4599" t="str">
            <v>ATR.-ANEURYSMAKLEMME, DE BAKEY, 26 CM</v>
          </cell>
          <cell r="D4599" t="str">
            <v>ATR. ANEURYSM FORCEPS,  DE BAKEY, 26 CM</v>
          </cell>
        </row>
        <row r="4600">
          <cell r="B4600" t="str">
            <v>24-417-27-07</v>
          </cell>
          <cell r="C4600" t="str">
            <v>ATR.-ANEURYSMAKLEMME, DE BAKEY, 27 CM</v>
          </cell>
          <cell r="D4600" t="str">
            <v>ATR. ANEURYSM FORCEPS,  DE BAKEY, 27 CM</v>
          </cell>
        </row>
        <row r="4601">
          <cell r="B4601" t="str">
            <v>24-417-31-07</v>
          </cell>
          <cell r="C4601" t="str">
            <v>ATR.-ANEURYSMAKLEMME, DE BAKEY, 31 CM</v>
          </cell>
          <cell r="D4601" t="str">
            <v>ATR. ANEURYSM FORCEPS,  DE BAKEY, 31 CM</v>
          </cell>
        </row>
        <row r="4602">
          <cell r="B4602" t="str">
            <v>24-417-33-07</v>
          </cell>
          <cell r="C4602" t="str">
            <v>ATR.-ANEURYSMAKLEMME, DE BAKEY, 33 CM</v>
          </cell>
          <cell r="D4602" t="str">
            <v>ATR. ANEURYSM FORCEPS,  DE BAKEY, 33 CM</v>
          </cell>
        </row>
        <row r="4603">
          <cell r="B4603" t="str">
            <v>24-418-28-07</v>
          </cell>
          <cell r="C4603" t="str">
            <v>ATR.-ANEURYSMAKLEMME, DE BAKEY, 28 CM</v>
          </cell>
          <cell r="D4603" t="str">
            <v>ATR. ANEURYSM FORCEPS,  DE BAKEY, 28 CM</v>
          </cell>
        </row>
        <row r="4604">
          <cell r="B4604" t="str">
            <v>24-419-30-07</v>
          </cell>
          <cell r="C4604" t="str">
            <v>ANEURYSMAKLEMME, DE BAKEY, S-FORM, 30 CM</v>
          </cell>
          <cell r="D4604" t="str">
            <v>ANEURYSM FORCEPS,  DE BAKEY, S-SH., 30 CM</v>
          </cell>
        </row>
        <row r="4605">
          <cell r="B4605" t="str">
            <v>24-420-25-07</v>
          </cell>
          <cell r="C4605" t="str">
            <v>ATR.-AORTAKLEMME COOLEY, 25 CM</v>
          </cell>
          <cell r="D4605" t="str">
            <v>ATR. AORTA FORCEPS,  COOLEY, 25 CM</v>
          </cell>
        </row>
        <row r="4606">
          <cell r="B4606" t="str">
            <v>24-420-27-07</v>
          </cell>
          <cell r="C4606" t="str">
            <v>ATR.-AORTAKLEMME, DE BAKEY, 27 CM</v>
          </cell>
          <cell r="D4606" t="str">
            <v>ATR. AORTA FORCEPS,  DE BAKEY, 27 CM</v>
          </cell>
        </row>
        <row r="4607">
          <cell r="B4607" t="str">
            <v>24-421-24-07</v>
          </cell>
          <cell r="C4607" t="str">
            <v>LIGATURKLEMME, DE BAKEY, S-FORM, 24,5 CM</v>
          </cell>
          <cell r="D4607" t="str">
            <v>LIGATURE  FCPS., DE BAKEY, S-SH., 24.5 CM</v>
          </cell>
        </row>
        <row r="4608">
          <cell r="B4608" t="str">
            <v>24-422-24-07</v>
          </cell>
          <cell r="C4608" t="str">
            <v>LIGATURKLEMME, DE BAKEY, S-FORM, 24,5 CM</v>
          </cell>
          <cell r="D4608" t="str">
            <v>LIGATURE  FCPS., DE BAKEY, S-SH., 24.5 CM</v>
          </cell>
        </row>
        <row r="4609">
          <cell r="B4609" t="str">
            <v>24-423-25-07</v>
          </cell>
          <cell r="C4609" t="str">
            <v>LIGATURKLEMME, DE BAKEY, S-FORM, 27 CM</v>
          </cell>
          <cell r="D4609" t="str">
            <v>LIGATURE  FORCEPS,  DE BAKEY, S-SH, 27 CM</v>
          </cell>
        </row>
        <row r="4610">
          <cell r="B4610" t="str">
            <v>24-423-26-07</v>
          </cell>
          <cell r="C4610" t="str">
            <v>LIGATURKLEMME, DE BAKEY, S-FORM, 27 CM</v>
          </cell>
          <cell r="D4610" t="str">
            <v>LIGATURE  FORCEPS,  DE BAKEY, S-SH, 27 CM</v>
          </cell>
        </row>
        <row r="4611">
          <cell r="B4611" t="str">
            <v>24-424-01-07</v>
          </cell>
          <cell r="C4611" t="str">
            <v>ATR.-AORTAKLEMME, WEBER, LI., 24 CM</v>
          </cell>
          <cell r="D4611" t="str">
            <v>ATR. AORTA FORCEPS,  WEBER, L., 24 CM</v>
          </cell>
        </row>
        <row r="4612">
          <cell r="B4612" t="str">
            <v>24-424-02-07</v>
          </cell>
          <cell r="C4612" t="str">
            <v>ATR.-AORTAKLEMME, WEBER, RE., 24 CM</v>
          </cell>
          <cell r="D4612" t="str">
            <v>ATR. AORTA FORCEPS,  WEBER, R., 24 CM</v>
          </cell>
        </row>
        <row r="4613">
          <cell r="B4613" t="str">
            <v>24-424-04-07</v>
          </cell>
          <cell r="C4613" t="str">
            <v>ATR.-AORTAKLEMME WYLIE, 23 CM</v>
          </cell>
          <cell r="D4613" t="str">
            <v>ATR. AORTA FORCEPS,  WYLIE, 23 CM</v>
          </cell>
        </row>
        <row r="4614">
          <cell r="B4614" t="str">
            <v>24-425-00-07</v>
          </cell>
          <cell r="C4614" t="str">
            <v>ATR.-VENA  CAVA KLEMME,  CALNE, 27 CM</v>
          </cell>
          <cell r="D4614" t="str">
            <v>ATR. VENA CAVA FORCEPS,  CALNE, 27 CM</v>
          </cell>
        </row>
        <row r="4615">
          <cell r="B4615" t="str">
            <v>24-425-07-07</v>
          </cell>
          <cell r="C4615" t="str">
            <v>ATR.-NIEREN/PANKR.-KLEMME, 40 MM, 20 CM</v>
          </cell>
          <cell r="D4615" t="str">
            <v>ATR. KIDNEY/PANCR. FORCEPS,  40 MM, 20 CM</v>
          </cell>
        </row>
        <row r="4616">
          <cell r="B4616" t="str">
            <v>24-425-08-07</v>
          </cell>
          <cell r="C4616" t="str">
            <v>ATR.-NIEREN/PANKR.-KLEMME, 50 MM, 20 CM</v>
          </cell>
          <cell r="D4616" t="str">
            <v>ATR. KIDNEY/PANCR. FORCEPS,  50 MM, 20 CM</v>
          </cell>
        </row>
        <row r="4617">
          <cell r="B4617" t="str">
            <v>24-425-09-07</v>
          </cell>
          <cell r="C4617" t="str">
            <v>ATR.-NIEREN/PANKR.-KLEMME, 60 MM, 20 CM</v>
          </cell>
          <cell r="D4617" t="str">
            <v>ATR. KIDNEY/PANCR. FORCEPS,  60 MM, 20 CM</v>
          </cell>
        </row>
        <row r="4618">
          <cell r="B4618" t="str">
            <v>24-425-15-07</v>
          </cell>
          <cell r="C4618" t="str">
            <v>ATR.-GEFÄSSKLEMME, SATINSKY,  15,5 CM</v>
          </cell>
          <cell r="D4618" t="str">
            <v>ATR. VASCULAR  FORCEPS,  SATINSKY,  15.5 CM</v>
          </cell>
        </row>
        <row r="4619">
          <cell r="B4619" t="str">
            <v>24-425-20-07</v>
          </cell>
          <cell r="C4619" t="str">
            <v>ATR.-TANGENTIALKLEMME, SATINSKY,  22 CM</v>
          </cell>
          <cell r="D4619" t="str">
            <v>ATR. TANGENTIAL FORCEPS,  SATINSKY,  22 CM</v>
          </cell>
        </row>
        <row r="4620">
          <cell r="B4620" t="str">
            <v>24-425-24-07</v>
          </cell>
          <cell r="C4620" t="str">
            <v>ATR.-TANGENTIALKLEMME, SATINSKY,  26 CM</v>
          </cell>
          <cell r="D4620" t="str">
            <v>ATR. TANGENTIAL FORCEPS,  SATINSKY,  26 CM</v>
          </cell>
        </row>
        <row r="4621">
          <cell r="B4621" t="str">
            <v>24-425-25-07</v>
          </cell>
          <cell r="C4621" t="str">
            <v>ATR.-TANGENTIALKLEMME, SATINSKY,  26,5 CM</v>
          </cell>
          <cell r="D4621" t="str">
            <v>ATR. TANGENT.  FORCEPS,  SATINSKY,  26.5 CM</v>
          </cell>
        </row>
        <row r="4622">
          <cell r="B4622" t="str">
            <v>24-425-26-07</v>
          </cell>
          <cell r="C4622" t="str">
            <v>ATR.-TANGENTIALKLEMME, SATINSKY,  27,5 CM</v>
          </cell>
          <cell r="D4622" t="str">
            <v>ATR. TANGENT.  FORCEPS,  SATINSKY,  27.5 CM</v>
          </cell>
        </row>
        <row r="4623">
          <cell r="B4623" t="str">
            <v>24-425-27-07</v>
          </cell>
          <cell r="C4623" t="str">
            <v>ATR.-TANGENTIALKLEMME, SATINSKY,  28,5 CM</v>
          </cell>
          <cell r="D4623" t="str">
            <v>ATR. TANGENT.  FORCEPS,  SATINSKY,  28.5 CM</v>
          </cell>
        </row>
        <row r="4624">
          <cell r="B4624" t="str">
            <v>24-427-23-07</v>
          </cell>
          <cell r="C4624" t="str">
            <v>ATR.-BRONCHUSKLEMME, LEES, GEW., 23 CM</v>
          </cell>
          <cell r="D4624" t="str">
            <v>ATR. BRONCHUS FCPS., LEES, ANG., 23 CM</v>
          </cell>
        </row>
        <row r="4625">
          <cell r="B4625" t="str">
            <v>24-427-25-07</v>
          </cell>
          <cell r="C4625" t="str">
            <v>ATR.-BRONCHUSKLEMME, LEES, GEW., 25,5 CM</v>
          </cell>
          <cell r="D4625" t="str">
            <v>ATR. BRONCHUS FCPS., LEES, ANG., 25.5 CM</v>
          </cell>
        </row>
        <row r="4626">
          <cell r="B4626" t="str">
            <v>24-429-25-07</v>
          </cell>
          <cell r="C4626" t="str">
            <v>BRONCHUSKLEMME, LEES, GEB./GEW., 26 CM</v>
          </cell>
          <cell r="D4626" t="str">
            <v>ATR. BRONC. FCPS., LEES, CVD/ANG.,  26 CM</v>
          </cell>
        </row>
        <row r="4627">
          <cell r="B4627" t="str">
            <v>24-430-00-07</v>
          </cell>
          <cell r="C4627" t="str">
            <v>ATR.-ANASTOMOSENKLEMME, GLOVER,  18 CM</v>
          </cell>
          <cell r="D4627" t="str">
            <v>ATR. ANASTOM.  FORCEPS,  GLOVER,  18 CM</v>
          </cell>
        </row>
        <row r="4628">
          <cell r="B4628" t="str">
            <v>24-430-01-07</v>
          </cell>
          <cell r="C4628" t="str">
            <v>ATR.-ANASTOMOSENKLEMME, GLOVER,  22 CM</v>
          </cell>
          <cell r="D4628" t="str">
            <v>ATR. ANASTOM.  FORCEPS,  GLOVER,  22 CM</v>
          </cell>
        </row>
        <row r="4629">
          <cell r="B4629" t="str">
            <v>24-430-21-07</v>
          </cell>
          <cell r="C4629" t="str">
            <v>ANASTOMOSENKLEMME, LAMBERT-KAY, 22,5 CM</v>
          </cell>
          <cell r="D4629" t="str">
            <v>ATR. ANAST. FCPS., LAMBERT  KAY, 22.5 CM</v>
          </cell>
        </row>
        <row r="4630">
          <cell r="B4630" t="str">
            <v>24-430-22-07</v>
          </cell>
          <cell r="C4630" t="str">
            <v>ANASTOMOSENKLEMME, LAMBERT-KAY, 20,5 CM</v>
          </cell>
          <cell r="D4630" t="str">
            <v>ATR. ANAST. FCPS., LAMBERT  KAY, 20.5 CM</v>
          </cell>
        </row>
        <row r="4631">
          <cell r="B4631" t="str">
            <v>24-431-17-07</v>
          </cell>
          <cell r="C4631" t="str">
            <v>ATR.-ANASTOM.-KLEMME, DE BAKEY, 16,5 CM</v>
          </cell>
          <cell r="D4631" t="str">
            <v>ATR. ANASTOM.  FORCEPS,  DE BAKEY, 16.5 CM</v>
          </cell>
        </row>
        <row r="4632">
          <cell r="B4632" t="str">
            <v>24-432-18-07</v>
          </cell>
          <cell r="C4632" t="str">
            <v>ATR.-AORTAKLEMME, MORRIS,  GEW., 18,5 CM</v>
          </cell>
          <cell r="D4632" t="str">
            <v>ATR. AORTA FCPS., MORRIS,  ANG., 18.5 CM</v>
          </cell>
        </row>
        <row r="4633">
          <cell r="B4633" t="str">
            <v>24-432-20-07</v>
          </cell>
          <cell r="C4633" t="str">
            <v>ATR.-AORTAKLEMME, MORRIS,  GEW., 20 CM</v>
          </cell>
          <cell r="D4633" t="str">
            <v>ATR. AORTA FCPS., MORRIS,  ANG., 20 CM</v>
          </cell>
        </row>
        <row r="4634">
          <cell r="B4634" t="str">
            <v>24-432-23-07</v>
          </cell>
          <cell r="C4634" t="str">
            <v>ATR.-AORTAKLEMME, MORRIS,  GEW, 26 CM</v>
          </cell>
          <cell r="D4634" t="str">
            <v>ATR. AORTA FCPS., MORRIS,  ANG., 26 CM</v>
          </cell>
        </row>
        <row r="4635">
          <cell r="B4635" t="str">
            <v>24-432-25-07</v>
          </cell>
          <cell r="C4635" t="str">
            <v>ATR.-AORTAKLEMME, MORRIS,  GEW., 27,5 CM</v>
          </cell>
          <cell r="D4635" t="str">
            <v>ATR. AORTA FCPS., MORRIS,  ANG., 27.5 CM</v>
          </cell>
        </row>
        <row r="4636">
          <cell r="B4636" t="str">
            <v>24-433-23-07</v>
          </cell>
          <cell r="C4636" t="str">
            <v>AORTAKLEMME, BAHNSON,  ST. GEB., 23,5 CM</v>
          </cell>
          <cell r="D4636" t="str">
            <v>ATR. AORTA FCPS., BAHNSON,  CVD., 23.5 CM</v>
          </cell>
        </row>
        <row r="4637">
          <cell r="B4637" t="str">
            <v>24-433-24-07</v>
          </cell>
          <cell r="C4637" t="str">
            <v>ATR.-AORTAKLEMME, BAHNSON,  GEB., 24,5 CM</v>
          </cell>
          <cell r="D4637" t="str">
            <v>ATR. AORTA FCPS., BAHNSON,  CVD., 24.5 CM</v>
          </cell>
        </row>
        <row r="4638">
          <cell r="B4638" t="str">
            <v>24-433-25-07</v>
          </cell>
          <cell r="C4638" t="str">
            <v>ATR.-AORTAKLEMME, BAHNSON,  GEB., 25,5 CM</v>
          </cell>
          <cell r="D4638" t="str">
            <v>ATR. AORTA FCPS., BAHNSON,  CVD., 25.5 CM</v>
          </cell>
        </row>
        <row r="4639">
          <cell r="B4639" t="str">
            <v>24-433-26-07</v>
          </cell>
          <cell r="C4639" t="str">
            <v>Atr.-Aortaklemme, Bahnson,  geb., 26,5 cm</v>
          </cell>
          <cell r="D4639" t="str">
            <v>Atr. aortic forceps, Bahnson,  26.5 cm</v>
          </cell>
        </row>
        <row r="4640">
          <cell r="B4640" t="str">
            <v>24-434-21-07</v>
          </cell>
          <cell r="C4640" t="str">
            <v>ATR.-KLEMME, POTTS, GER., 21,5 CM</v>
          </cell>
          <cell r="D4640" t="str">
            <v>ATR. FORCEPS,  POTTS, STR., 21.5 CM</v>
          </cell>
        </row>
        <row r="4641">
          <cell r="B4641" t="str">
            <v>24-434-23-07</v>
          </cell>
          <cell r="C4641" t="str">
            <v>ATR.-KLEMME, POTTS, GER., 23,5 CM</v>
          </cell>
          <cell r="D4641" t="str">
            <v>ATR. FORCEPS,  POTTS, STR., 23.5 CM</v>
          </cell>
        </row>
        <row r="4642">
          <cell r="B4642" t="str">
            <v>24-434-27-07</v>
          </cell>
          <cell r="C4642" t="str">
            <v>ATR.-KLEMME, POTTS, GER., 27 CM</v>
          </cell>
          <cell r="D4642" t="str">
            <v>ATR. FORCEPS,  POTTS, STR., 27 CM</v>
          </cell>
        </row>
        <row r="4643">
          <cell r="B4643" t="str">
            <v>24-434-31-07</v>
          </cell>
          <cell r="C4643" t="str">
            <v>ATR.-KLEMME, POTTS, GER., 31,5 CM</v>
          </cell>
          <cell r="D4643" t="str">
            <v>ATR. FORCEPS,  POTTS, STR., 31.5 CM</v>
          </cell>
        </row>
        <row r="4644">
          <cell r="B4644" t="str">
            <v>24-435-21-07</v>
          </cell>
          <cell r="C4644" t="str">
            <v>ATR.-KLEMME, POTTS, GEB., 21 CM</v>
          </cell>
          <cell r="D4644" t="str">
            <v>ATR. FORCEPS,  POTTS, CVD., 21 CM</v>
          </cell>
        </row>
        <row r="4645">
          <cell r="B4645" t="str">
            <v>24-435-23-07</v>
          </cell>
          <cell r="C4645" t="str">
            <v>ATR.-KLEMME, POTTS, GEB., 23 CM</v>
          </cell>
          <cell r="D4645" t="str">
            <v>ATR. FORCEPS,  POTTS, CVD., 23 CM</v>
          </cell>
        </row>
        <row r="4646">
          <cell r="B4646" t="str">
            <v>24-435-27-07</v>
          </cell>
          <cell r="C4646" t="str">
            <v>ATR.-KLEMME, POTTS, GEB., 26 CM</v>
          </cell>
          <cell r="D4646" t="str">
            <v>ATR. FORCEPS,  POTTS, CVD., 26 CM</v>
          </cell>
        </row>
        <row r="4647">
          <cell r="B4647" t="str">
            <v>24-435-31-07</v>
          </cell>
          <cell r="C4647" t="str">
            <v>ATR.-KLEMME, POTTS, GEB., 31 CM</v>
          </cell>
          <cell r="D4647" t="str">
            <v>ATR. FORCEPS,  POTTS, CVD., 31 CM</v>
          </cell>
        </row>
        <row r="4648">
          <cell r="B4648" t="str">
            <v>24-436-18-07</v>
          </cell>
          <cell r="C4648" t="str">
            <v>ATR.-KLEMME, DE BAKEY, GEW., 19 CM</v>
          </cell>
          <cell r="D4648" t="str">
            <v>ATR. FORCEPS,  DE BAKEY, ANG., 19 CM</v>
          </cell>
        </row>
        <row r="4649">
          <cell r="B4649" t="str">
            <v>24-436-19-07</v>
          </cell>
          <cell r="C4649" t="str">
            <v>ATR.-KLEMME, DE BAKEY, 20 CM</v>
          </cell>
          <cell r="D4649" t="str">
            <v>ATR. FORCEPS,  DE BAKEY, 20 CM</v>
          </cell>
        </row>
        <row r="4650">
          <cell r="B4650" t="str">
            <v>24-436-23-07</v>
          </cell>
          <cell r="C4650" t="str">
            <v>ATR.-KLEMME, DE BAKEY, 23 CM</v>
          </cell>
          <cell r="D4650" t="str">
            <v>ATR. FORCEPS,  DE BAKEY, 23 CM</v>
          </cell>
        </row>
        <row r="4651">
          <cell r="B4651" t="str">
            <v>24-436-27-07</v>
          </cell>
          <cell r="C4651" t="str">
            <v>ATR.-KLEMME, DE BAKEY, GEW., 27,5 CM</v>
          </cell>
          <cell r="D4651" t="str">
            <v>ATR. FORCEPS,  DE BAKEY, ANG., 27.5 CM</v>
          </cell>
        </row>
        <row r="4652">
          <cell r="B4652" t="str">
            <v>24-437-18-07</v>
          </cell>
          <cell r="C4652" t="str">
            <v>Klemme,  DeBakey,  atr., gew., 18 cm</v>
          </cell>
          <cell r="D4652" t="str">
            <v>Forceps, DeBakey,  atr., ang., 18 cm</v>
          </cell>
        </row>
        <row r="4653">
          <cell r="B4653" t="str">
            <v>24-437-20-07</v>
          </cell>
          <cell r="C4653" t="str">
            <v>ATR.-KLEMME, DE BAKEY, GEW., 21 CM</v>
          </cell>
          <cell r="D4653" t="str">
            <v>ATR. FORCEPS,  DE BAKEY, ANG., 21 CM</v>
          </cell>
        </row>
        <row r="4654">
          <cell r="B4654" t="str">
            <v>24-437-21-07</v>
          </cell>
          <cell r="C4654" t="str">
            <v>ATR.-KLEMME, DE BAKEY, GEW., 22 CM</v>
          </cell>
          <cell r="D4654" t="str">
            <v>ATR. FORCEPS,  DE BAKEY, ANG., 22 CM</v>
          </cell>
        </row>
        <row r="4655">
          <cell r="B4655" t="str">
            <v>24-437-25-07</v>
          </cell>
          <cell r="C4655" t="str">
            <v>ATR.-KLEMME, DE BAKEY, GEW., 26 CM</v>
          </cell>
          <cell r="D4655" t="str">
            <v>ATR. FORCEPS,  DE BAKEY, ANG., 26 CM</v>
          </cell>
        </row>
        <row r="4656">
          <cell r="B4656" t="str">
            <v>24-437-29-07</v>
          </cell>
          <cell r="C4656" t="str">
            <v>ATR.-KLEMME, DE BAKEY, GEW., 31,5 CM</v>
          </cell>
          <cell r="D4656" t="str">
            <v>ATR. FORCEPS,  DE BAKEY, ANG., 31.5 CM</v>
          </cell>
        </row>
        <row r="4657">
          <cell r="B4657" t="str">
            <v>24-438-12-07</v>
          </cell>
          <cell r="C4657" t="str">
            <v>ATR.-KLEMME, MOSQUITO, GER., 12,5 CM</v>
          </cell>
          <cell r="D4657" t="str">
            <v>ATR. FORCEPS,  MOSQUITO, STR., 12.5 CM</v>
          </cell>
        </row>
        <row r="4658">
          <cell r="B4658" t="str">
            <v>24-438-14-07</v>
          </cell>
          <cell r="C4658" t="str">
            <v>ATR.-KLEMME, PEAN, GER., 14,5 CM</v>
          </cell>
          <cell r="D4658" t="str">
            <v>ATR. FORCEPS,  PEAN, STR., 14.5 CM</v>
          </cell>
        </row>
        <row r="4659">
          <cell r="B4659" t="str">
            <v>24-438-16-07</v>
          </cell>
          <cell r="C4659" t="str">
            <v>ATR.-KLEMME, PEAN, GER., 16,5 CM</v>
          </cell>
          <cell r="D4659" t="str">
            <v>ATR. FORCEPS,  PEAN, STR., 16.5 CM</v>
          </cell>
        </row>
        <row r="4660">
          <cell r="B4660" t="str">
            <v>24-438-18-07</v>
          </cell>
          <cell r="C4660" t="str">
            <v>ATR.-KLEMME, PEAN, GER., 18,5 CM</v>
          </cell>
          <cell r="D4660" t="str">
            <v>ATR. FORCEPS,  PEAN, STR., 18.5 CM</v>
          </cell>
        </row>
        <row r="4661">
          <cell r="B4661" t="str">
            <v>24-438-20-07</v>
          </cell>
          <cell r="C4661" t="str">
            <v>ATR.-KLEMME, PEAN, GER., 20,5 CM</v>
          </cell>
          <cell r="D4661" t="str">
            <v>ATR. FORCEPS,  PEAN, STR., 20.5 CM</v>
          </cell>
        </row>
        <row r="4662">
          <cell r="B4662" t="str">
            <v>24-439-12-07</v>
          </cell>
          <cell r="C4662" t="str">
            <v>ATR.-KLEMME, MOSQUITO, GEB., 12,5 CM</v>
          </cell>
          <cell r="D4662" t="str">
            <v>ATR. FORCEPS,  MOSQUITO, CVD., 12.5 CM</v>
          </cell>
        </row>
        <row r="4663">
          <cell r="B4663" t="str">
            <v>24-439-14-07</v>
          </cell>
          <cell r="C4663" t="str">
            <v>ATR.-KLEMME, DE BAKEY, GEB., 14,5 CM</v>
          </cell>
          <cell r="D4663" t="str">
            <v>ATR. FORCEPS,  DE BAKEY, CVD., 14.5 CM</v>
          </cell>
        </row>
        <row r="4664">
          <cell r="B4664" t="str">
            <v>24-439-16-07</v>
          </cell>
          <cell r="C4664" t="str">
            <v>ATR.-KLEMME, DE BAKEY, GEB., 16,5 CM</v>
          </cell>
          <cell r="D4664" t="str">
            <v>ATR. FORCEPS,  DE BAKEY, CVD., 16.5 CM</v>
          </cell>
        </row>
        <row r="4665">
          <cell r="B4665" t="str">
            <v>24-439-18-07</v>
          </cell>
          <cell r="C4665" t="str">
            <v>ATR.-KLEMME, DE BAKEY, GEB., 18,5 CM</v>
          </cell>
          <cell r="D4665" t="str">
            <v>ATR. FORCEPS,  DE BAKEY, CVD., 18.5 CM</v>
          </cell>
        </row>
        <row r="4666">
          <cell r="B4666" t="str">
            <v>24-439-20-07</v>
          </cell>
          <cell r="C4666" t="str">
            <v>ATR.-KLEMME, DE BAKEY, GEB., 20 CM</v>
          </cell>
          <cell r="D4666" t="str">
            <v>ATR. FORCEPS,  DE BAKEY, CVD., 20 CM</v>
          </cell>
        </row>
        <row r="4667">
          <cell r="B4667" t="str">
            <v>24-440-17-07</v>
          </cell>
          <cell r="C4667" t="str">
            <v>ATR.-KLEMME, DE BAKEY, GER., 17,5 CM</v>
          </cell>
          <cell r="D4667" t="str">
            <v>ATR. FORCEPS,  DE BAKEY, STR., 17.5 CM</v>
          </cell>
        </row>
        <row r="4668">
          <cell r="B4668" t="str">
            <v>24-441-16-07</v>
          </cell>
          <cell r="C4668" t="str">
            <v>ATR.-KLEMME, DE BAKEY, GEW., 16,5 CM</v>
          </cell>
          <cell r="D4668" t="str">
            <v>ATR. FORCEPS,  DE BAKEY, ANG., 16.5 CM</v>
          </cell>
        </row>
        <row r="4669">
          <cell r="B4669" t="str">
            <v>24-443-15-07</v>
          </cell>
          <cell r="C4669" t="str">
            <v>ATR.-KLEMME, DE BAKEY, MITT. GEW., 16 CM</v>
          </cell>
          <cell r="D4669" t="str">
            <v>ATR. FORCEPS,  DE BAKEY, MED. ANG., 16 CM</v>
          </cell>
        </row>
        <row r="4670">
          <cell r="B4670" t="str">
            <v>24-445-15-07</v>
          </cell>
          <cell r="C4670" t="str">
            <v>ATR.-KLEMME, DE BAKEY, ST. GEW., 15 CM</v>
          </cell>
          <cell r="D4670" t="str">
            <v>ATR. FORCEPS,  DE BAKEY, ST. ANG., 15 CM</v>
          </cell>
        </row>
        <row r="4671">
          <cell r="B4671" t="str">
            <v>24-447-17-07</v>
          </cell>
          <cell r="C4671" t="str">
            <v>ATR.-KLEMME, DE BAKEY GEW., 16,5 CM</v>
          </cell>
          <cell r="D4671" t="str">
            <v>ATR. FORCEPS,  DE BAKEY ANG., 16.5 CM</v>
          </cell>
        </row>
        <row r="4672">
          <cell r="B4672" t="str">
            <v>24-449-17-07</v>
          </cell>
          <cell r="C4672" t="str">
            <v>ATR.-KLEMME, GLOVER,  GEB., 17 CM</v>
          </cell>
          <cell r="D4672" t="str">
            <v>ATR. FORCEPS,  GLOVER,  CVD., 17 CM</v>
          </cell>
        </row>
        <row r="4673">
          <cell r="B4673" t="str">
            <v>24-451-17-07</v>
          </cell>
          <cell r="C4673" t="str">
            <v>ATR.-KLEMME, GLOVER,  LÖFFELF.,  17,5 CM</v>
          </cell>
          <cell r="D4673" t="str">
            <v>ATR. FORCEPS,  GLOVER,  SPOON-SH., 17.5 CM</v>
          </cell>
        </row>
        <row r="4674">
          <cell r="B4674" t="str">
            <v>24-451-21-07</v>
          </cell>
          <cell r="C4674" t="str">
            <v>Atr.-Klemme, Glover, löffelf., 21 cm</v>
          </cell>
          <cell r="D4674" t="str">
            <v>Atr. forceps, Glover, spoon-sh.,  21 cm</v>
          </cell>
        </row>
        <row r="4675">
          <cell r="B4675" t="str">
            <v>24-451-26-07</v>
          </cell>
          <cell r="C4675" t="str">
            <v>Atr.-Klemme, Glover, löffelf., 26 cm</v>
          </cell>
          <cell r="D4675" t="str">
            <v>Atr. forceps, Glover, spoon-sh.,  26 cm</v>
          </cell>
        </row>
        <row r="4676">
          <cell r="B4676" t="str">
            <v>24-453-16-07</v>
          </cell>
          <cell r="C4676" t="str">
            <v>ATR.-KLEMME, DE BAKEY, ST. GEB., 16,5 CM</v>
          </cell>
          <cell r="D4676" t="str">
            <v>ATR. FCPS., DE BAKEY, STR. CVD., 16.5 CM</v>
          </cell>
        </row>
        <row r="4677">
          <cell r="B4677" t="str">
            <v>24-454-16-07</v>
          </cell>
          <cell r="C4677" t="str">
            <v>Anast.-Klemme, DeBakey-Reynolds, 16,5 cm</v>
          </cell>
          <cell r="D4677" t="str">
            <v>Anas. forceps, DeBakey-Reynolds, 16.5 cm</v>
          </cell>
        </row>
        <row r="4678">
          <cell r="B4678" t="str">
            <v>24-454-17-07</v>
          </cell>
          <cell r="C4678" t="str">
            <v>Anast.-Klemme, DeBakey-Reynolds, 17,5 cm</v>
          </cell>
          <cell r="D4678" t="str">
            <v>Anas. forceps, DeBakey-Reynolds, 17.5 cm</v>
          </cell>
        </row>
        <row r="4679">
          <cell r="B4679" t="str">
            <v>24-455-17-07</v>
          </cell>
          <cell r="C4679" t="str">
            <v>ATR.-KLEMME, DE BAKEY, ST. GEB., 16,5 CM</v>
          </cell>
          <cell r="D4679" t="str">
            <v>ATR. FCPS., DE BAKEY, STR. CVD., 16.5 CM</v>
          </cell>
        </row>
        <row r="4680">
          <cell r="B4680" t="str">
            <v>24-456-16-07</v>
          </cell>
          <cell r="C4680" t="str">
            <v>ANASTOM.-KLEMME, DERRA, FIG. 1, 16,5 CM</v>
          </cell>
          <cell r="D4680" t="str">
            <v>ANASTOM.  FORCEPS,  DERRA, NO. 1, 16.5 CM</v>
          </cell>
        </row>
        <row r="4681">
          <cell r="B4681" t="str">
            <v>24-456-17-07</v>
          </cell>
          <cell r="C4681" t="str">
            <v>ANASTOM.-KLEMME, DERRA, FIG. 2, 17 CM</v>
          </cell>
          <cell r="D4681" t="str">
            <v>ANASTOM.  FORCEPS,  DERRA, NO. 2, 17 CM</v>
          </cell>
        </row>
        <row r="4682">
          <cell r="B4682" t="str">
            <v>24-456-18-07</v>
          </cell>
          <cell r="C4682" t="str">
            <v>ANASTOM.-KLEMME, DERRA, FIG. 3, 17,5 CM</v>
          </cell>
          <cell r="D4682" t="str">
            <v>ANASTOM.  FORCEPS,  DERRA, NO. 3, 17.5 CM</v>
          </cell>
        </row>
        <row r="4683">
          <cell r="B4683" t="str">
            <v>24-457-17-07</v>
          </cell>
          <cell r="C4683" t="str">
            <v>ATR.-KLEMME, BECK, DOPP. GEB., 17 CM</v>
          </cell>
          <cell r="D4683" t="str">
            <v>ATR. FORCEPS,  BECK, DOUBLE CVD., 17 CM</v>
          </cell>
        </row>
        <row r="4684">
          <cell r="B4684" t="str">
            <v>24-457-19-07</v>
          </cell>
          <cell r="C4684" t="str">
            <v>Atr.-Klemme, Beck, doppelt geb., 19 cm</v>
          </cell>
          <cell r="D4684" t="str">
            <v>Atr. forceps, Beck, double cvd., 19 cm</v>
          </cell>
        </row>
        <row r="4685">
          <cell r="B4685" t="str">
            <v>24-458-10-07</v>
          </cell>
          <cell r="C4685" t="str">
            <v>ATR.-KLEMME, DE BAKEY, 90° GEW., 10 CM</v>
          </cell>
          <cell r="D4685" t="str">
            <v>ATR. FORCEPS,  DE BAKEY, 90° ANG., 10 CM</v>
          </cell>
        </row>
        <row r="4686">
          <cell r="B4686" t="str">
            <v>24-458-11-07</v>
          </cell>
          <cell r="C4686" t="str">
            <v>ATR.-KLEMME, DE BAKEY, GEB., 13 CM</v>
          </cell>
          <cell r="D4686" t="str">
            <v>ATR. FORCEPS,  DE BAKEY, CVD., 13 CM</v>
          </cell>
        </row>
        <row r="4687">
          <cell r="B4687" t="str">
            <v>24-458-12-07</v>
          </cell>
          <cell r="C4687" t="str">
            <v>ATR.-KLEMME, DE BAKEY, GER., 13 CM</v>
          </cell>
          <cell r="D4687" t="str">
            <v>ATR. FORCEPS,  DE BAKEY, STR., 13 CM</v>
          </cell>
        </row>
        <row r="4688">
          <cell r="B4688" t="str">
            <v>24-459-12-07</v>
          </cell>
          <cell r="C4688" t="str">
            <v>ATR.-KLEMME, DE BAKEY, S-FORM, 12,5 CM</v>
          </cell>
          <cell r="D4688" t="str">
            <v>ATR. FORCEPS,  DE BAKEY, S-SHAPE,  12.5 CM</v>
          </cell>
        </row>
        <row r="4689">
          <cell r="B4689" t="str">
            <v>24-459-13-07</v>
          </cell>
          <cell r="C4689" t="str">
            <v>ATR.-KLEMME, DE BAKEY, GEW., 12,5 CM</v>
          </cell>
          <cell r="D4689" t="str">
            <v>ATR. FORCEPS,  DE BAKEY, ANG., 12.5 CM</v>
          </cell>
        </row>
        <row r="4690">
          <cell r="B4690" t="str">
            <v>24-460-01-09</v>
          </cell>
          <cell r="C4690" t="str">
            <v>TI-NEONATALKLEMME, GER., 13 CM</v>
          </cell>
          <cell r="D4690" t="str">
            <v>TI-FORCEPS, NEONATAL, STR., 13 CM</v>
          </cell>
        </row>
        <row r="4691">
          <cell r="B4691" t="str">
            <v>24-460-02-09</v>
          </cell>
          <cell r="C4691" t="str">
            <v>TI-NEONATALKLEMME, 30°, 12,5 CM</v>
          </cell>
          <cell r="D4691" t="str">
            <v>TI-FORCEPS, NEONATAL, 30°, 12.5 CM</v>
          </cell>
        </row>
        <row r="4692">
          <cell r="B4692" t="str">
            <v>24-460-03-09</v>
          </cell>
          <cell r="C4692" t="str">
            <v>TI-NEONATALKLEMME, 50°, 12 CM</v>
          </cell>
          <cell r="D4692" t="str">
            <v>TI-FORCEPS, NEONATAL, 50°, 12 CM</v>
          </cell>
        </row>
        <row r="4693">
          <cell r="B4693" t="str">
            <v>24-460-04-09</v>
          </cell>
          <cell r="C4693" t="str">
            <v>TI-NEONATALKLEMME, 70°, 12 CM</v>
          </cell>
          <cell r="D4693" t="str">
            <v>TI-FORCEPS, NEONATAL, 70°, 12 CM</v>
          </cell>
        </row>
        <row r="4694">
          <cell r="B4694" t="str">
            <v>24-460-05-09</v>
          </cell>
          <cell r="C4694" t="str">
            <v>TI-NEONATALKLEMME, 90°, 11 CM</v>
          </cell>
          <cell r="D4694" t="str">
            <v>TI-FORCEPS, NEONATAL, 90°, 11 CM</v>
          </cell>
        </row>
        <row r="4695">
          <cell r="B4695" t="str">
            <v>24-460-07-09</v>
          </cell>
          <cell r="C4695" t="str">
            <v>TI-NEONATALKLEMME, STARK GEB., 15 CM</v>
          </cell>
          <cell r="D4695" t="str">
            <v>TI-FORCEPS, NEON., STRONG.  CVD., 15 CM</v>
          </cell>
        </row>
        <row r="4696">
          <cell r="B4696" t="str">
            <v>24-460-08-09</v>
          </cell>
          <cell r="C4696" t="str">
            <v>TI-NEONATALKLEMME, STARK GEB., 12 CM</v>
          </cell>
          <cell r="D4696" t="str">
            <v>TI-FORCEPS, NEON., STRONG.  CVD., 12 CM</v>
          </cell>
        </row>
        <row r="4697">
          <cell r="B4697" t="str">
            <v>24-460-09-09</v>
          </cell>
          <cell r="C4697" t="str">
            <v>TI-NEONATALKLEMME, DOP. GEW., 15 CM</v>
          </cell>
          <cell r="D4697" t="str">
            <v>TI-FORCEPS, NEON., DBL. ANG., 15 CM</v>
          </cell>
        </row>
        <row r="4698">
          <cell r="B4698" t="str">
            <v>24-461-01-09</v>
          </cell>
          <cell r="C4698" t="str">
            <v>TI-KLEMME, KINDER, GER., 13,5 CM</v>
          </cell>
          <cell r="D4698" t="str">
            <v>TI-FORCEPS, PED., STR., 13.5 CM</v>
          </cell>
        </row>
        <row r="4699">
          <cell r="B4699" t="str">
            <v>24-461-02-09</v>
          </cell>
          <cell r="C4699" t="str">
            <v>TI-KLEMME, KINDER, 20°, 13,5 CM</v>
          </cell>
          <cell r="D4699" t="str">
            <v>TI-FORCEPS, PED., 20°, 13.5 CM</v>
          </cell>
        </row>
        <row r="4700">
          <cell r="B4700" t="str">
            <v>24-461-03-09</v>
          </cell>
          <cell r="C4700" t="str">
            <v>TI-KLEMME, KINDER, 30°, 13 CM</v>
          </cell>
          <cell r="D4700" t="str">
            <v>TI-FORCEPS, PED., 30°, 13 CM</v>
          </cell>
        </row>
        <row r="4701">
          <cell r="B4701" t="str">
            <v>24-461-04-09</v>
          </cell>
          <cell r="C4701" t="str">
            <v>TI-KLEMME, KINDER, 55°, 12,5 CM</v>
          </cell>
          <cell r="D4701" t="str">
            <v>TI-FORCEPS, PED., 55°, 12.5 CM</v>
          </cell>
        </row>
        <row r="4702">
          <cell r="B4702" t="str">
            <v>24-461-05-09</v>
          </cell>
          <cell r="C4702" t="str">
            <v>TI-KLEMME, KINDER, GEB., 13,5 CM</v>
          </cell>
          <cell r="D4702" t="str">
            <v>TI-FORCEPS, PED., CVD., 13.5 CM</v>
          </cell>
        </row>
        <row r="4703">
          <cell r="B4703" t="str">
            <v>24-461-06-09</v>
          </cell>
          <cell r="C4703" t="str">
            <v>TI-KLEMME, KINDER, DOP. GEW., 12 CM</v>
          </cell>
          <cell r="D4703" t="str">
            <v>TI-FORCEPS, PED., DBL. ANG., 12 CM</v>
          </cell>
        </row>
        <row r="4704">
          <cell r="B4704" t="str">
            <v>24-461-07-09</v>
          </cell>
          <cell r="C4704" t="str">
            <v>TI-KLEMME, KINDER, DOP. GEW., 12 CM</v>
          </cell>
          <cell r="D4704" t="str">
            <v>TI-FORCEPS, PED., DBL. ANG., 12 CM</v>
          </cell>
        </row>
        <row r="4705">
          <cell r="B4705" t="str">
            <v>24-461-08-09</v>
          </cell>
          <cell r="C4705" t="str">
            <v>TI-KLEMME, KINDER, STARK GEB., 12,5 CM</v>
          </cell>
          <cell r="D4705" t="str">
            <v>TI-FORCEPS, PED., STRONG.  CVD., 12.5 CM</v>
          </cell>
        </row>
        <row r="4706">
          <cell r="B4706" t="str">
            <v>24-461-09-09</v>
          </cell>
          <cell r="C4706" t="str">
            <v>TI-KLEMME, KINDER, STARK GEB., 13 CM</v>
          </cell>
          <cell r="D4706" t="str">
            <v>TI-FORCEPS, PED., STRONG.  CVD., 13 CM</v>
          </cell>
        </row>
        <row r="4707">
          <cell r="B4707" t="str">
            <v>24-461-10-09</v>
          </cell>
          <cell r="C4707" t="str">
            <v>TI-KLEMME, KINDER, GEW., LINKS, 14 CM</v>
          </cell>
          <cell r="D4707" t="str">
            <v>TI-FORCEPS, PED., ANG., LEFT, 14 CM</v>
          </cell>
        </row>
        <row r="4708">
          <cell r="B4708" t="str">
            <v>24-461-11-09</v>
          </cell>
          <cell r="C4708" t="str">
            <v>TI-KLEMME, KINDER, GEW., RECHTS, 14 CM</v>
          </cell>
          <cell r="D4708" t="str">
            <v>TI-FORCEPS, PED., ANG., RIGHT, 14 CM</v>
          </cell>
        </row>
        <row r="4709">
          <cell r="B4709" t="str">
            <v>24-461-30-09</v>
          </cell>
          <cell r="C4709" t="str">
            <v>TI-KLEMME, COOLEY, GER., 14 CM</v>
          </cell>
          <cell r="D4709" t="str">
            <v>TI-FORCEPS, COOLEY, STR., 14 CM</v>
          </cell>
        </row>
        <row r="4710">
          <cell r="B4710" t="str">
            <v>24-461-31-09</v>
          </cell>
          <cell r="C4710" t="str">
            <v>TI-KLEMME, COOLEY, GEWINK.,  14 CM</v>
          </cell>
          <cell r="D4710" t="str">
            <v>TI-FORCEPS, COOLEY, ANG., 14 CM</v>
          </cell>
        </row>
        <row r="4711">
          <cell r="B4711" t="str">
            <v>24-461-32-09</v>
          </cell>
          <cell r="C4711" t="str">
            <v>TI-KLEMME, COOLEY, GEWINK.,  14 CM</v>
          </cell>
          <cell r="D4711" t="str">
            <v>TI-FORCEPS, COOLEY, ANG., 14 CM</v>
          </cell>
        </row>
        <row r="4712">
          <cell r="B4712" t="str">
            <v>24-461-33-09</v>
          </cell>
          <cell r="C4712" t="str">
            <v>TI-KLEMME, COOLEY, LÖFFEL., 13,5 CM</v>
          </cell>
          <cell r="D4712" t="str">
            <v>TI-FORCEPS, COOLEY, SPOON-SHAPE, 13.5 CM</v>
          </cell>
        </row>
        <row r="4713">
          <cell r="B4713" t="str">
            <v>24-461-34-09</v>
          </cell>
          <cell r="C4713" t="str">
            <v>TI-KLEMME, COOLEY, DOP. GEB., 13,5 CM</v>
          </cell>
          <cell r="D4713" t="str">
            <v>TI-FORCEPS, COOLEY, DBL. CVD., 13.5 CM</v>
          </cell>
        </row>
        <row r="4714">
          <cell r="B4714" t="str">
            <v>24-461-37-09</v>
          </cell>
          <cell r="C4714" t="str">
            <v>TI-KLEMME, COOLEY, 90°, 11,5 CM</v>
          </cell>
          <cell r="D4714" t="str">
            <v>TI-FORCEPS, COOLEY, 90°, 11.5 CM</v>
          </cell>
        </row>
        <row r="4715">
          <cell r="B4715" t="str">
            <v>24-461-50-09</v>
          </cell>
          <cell r="C4715" t="str">
            <v>TI-KLEMME, KINDER, GER., 16,5 CM</v>
          </cell>
          <cell r="D4715" t="str">
            <v>TI-FORCEPS, PEDIATRIC,  STR., 16.5 CM</v>
          </cell>
        </row>
        <row r="4716">
          <cell r="B4716" t="str">
            <v>24-461-51-09</v>
          </cell>
          <cell r="C4716" t="str">
            <v>TI-KLEMME, KINDER, GEW., 16 CM</v>
          </cell>
          <cell r="D4716" t="str">
            <v>TI-FORCEPS, PEDIATRIC,  ANG., 16 CM</v>
          </cell>
        </row>
        <row r="4717">
          <cell r="B4717" t="str">
            <v>24-461-52-09</v>
          </cell>
          <cell r="C4717" t="str">
            <v>TI-KLEMME, KINDER, GEW., 15 CM</v>
          </cell>
          <cell r="D4717" t="str">
            <v>TI-FORCEPS, PEDIATRIC,  ANG., 15 CM</v>
          </cell>
        </row>
        <row r="4718">
          <cell r="B4718" t="str">
            <v>24-461-53-09</v>
          </cell>
          <cell r="C4718" t="str">
            <v>TI-KLEMME, KINDER, DOP. GEB., 15 CM</v>
          </cell>
          <cell r="D4718" t="str">
            <v>TI-FORCEPS, PEDIATRIC,  DBL. CVD., 15 CM</v>
          </cell>
        </row>
        <row r="4719">
          <cell r="B4719" t="str">
            <v>24-461-54-09</v>
          </cell>
          <cell r="C4719" t="str">
            <v>TI-KLEMME, KINDER, DOP. GEB., 15 CM</v>
          </cell>
          <cell r="D4719" t="str">
            <v>TI-FORCEPS, PEDIATRIC,  DBL. CVD., 15 CM</v>
          </cell>
        </row>
        <row r="4720">
          <cell r="B4720" t="str">
            <v>24-462-20-09</v>
          </cell>
          <cell r="C4720" t="str">
            <v>TI-SUBRAMANIAN-KLEMME, LI., 15,5 CM</v>
          </cell>
          <cell r="D4720" t="str">
            <v>TI-FORCEPS, SUBRAMANIAN, LEFT, 15.5 CM</v>
          </cell>
        </row>
        <row r="4721">
          <cell r="B4721" t="str">
            <v>24-462-21-09</v>
          </cell>
          <cell r="C4721" t="str">
            <v>TI-SUBRAMANIAN-KLEMME, RE., 15,5 CM</v>
          </cell>
          <cell r="D4721" t="str">
            <v>TI-FORCEPS, SUBRAMANIAN, RIGHT, 15.5 CM</v>
          </cell>
        </row>
        <row r="4722">
          <cell r="B4722" t="str">
            <v>24-462-22-09</v>
          </cell>
          <cell r="C4722" t="str">
            <v>TI-SUBRAMANIAN-KLEMME, 135°, 16,5 CM</v>
          </cell>
          <cell r="D4722" t="str">
            <v>TI-FORCEPS, SUBRAMANIAN, 135°, 16.5 CM</v>
          </cell>
        </row>
        <row r="4723">
          <cell r="B4723" t="str">
            <v>24-462-23-09</v>
          </cell>
          <cell r="C4723" t="str">
            <v>TI-KLEMME, BECK, DOPP. GEB., 16 CM</v>
          </cell>
          <cell r="D4723" t="str">
            <v>TI-FORCEPS, BECK, DBL. CVD., 16 CM</v>
          </cell>
        </row>
        <row r="4724">
          <cell r="B4724" t="str">
            <v>24-462-40-09</v>
          </cell>
          <cell r="C4724" t="str">
            <v>TI-KLEMME, DEBAKEY-DERRA, 16,5 CM</v>
          </cell>
          <cell r="D4724" t="str">
            <v>TI-FORCEPS, DEBAKEY-DERRA, 16.5 CM</v>
          </cell>
        </row>
        <row r="4725">
          <cell r="B4725" t="str">
            <v>24-462-41-09</v>
          </cell>
          <cell r="C4725" t="str">
            <v>TI-KLEMME, DEBAKEY-DERRA, 16,5 CM</v>
          </cell>
          <cell r="D4725" t="str">
            <v>TI-FORCEPS, DEBAKEY-DERRA, 16.5 CM</v>
          </cell>
        </row>
        <row r="4726">
          <cell r="B4726" t="str">
            <v>24-462-42-09</v>
          </cell>
          <cell r="C4726" t="str">
            <v>TI-KLEMME, DEBAKEY-DERRA, 16,5 CM</v>
          </cell>
          <cell r="D4726" t="str">
            <v>TI-FORCEPS, DEBAKEY-DERRA, 16.5 CM</v>
          </cell>
        </row>
        <row r="4727">
          <cell r="B4727" t="str">
            <v>24-462-43-09</v>
          </cell>
          <cell r="C4727" t="str">
            <v>TI-KLEMME, DEBAKEY-SATINSKY, 23,5 CM</v>
          </cell>
          <cell r="D4727" t="str">
            <v>TI-FORCEPS, DEBAKEY-SATINSKY, 23.5 CM</v>
          </cell>
        </row>
        <row r="4728">
          <cell r="B4728" t="str">
            <v>24-462-44-09</v>
          </cell>
          <cell r="C4728" t="str">
            <v>TI-KLEMME, DEBAKEY-SATINSKY, 24 CM</v>
          </cell>
          <cell r="D4728" t="str">
            <v>TI-FORCEPS, DEBAKEY-SATINSKY, 24 CM</v>
          </cell>
        </row>
        <row r="4729">
          <cell r="B4729" t="str">
            <v>24-462-45-09</v>
          </cell>
          <cell r="C4729" t="str">
            <v>TI-KLEMME, DEBAKEY-SATINSKY, 24,5 CM</v>
          </cell>
          <cell r="D4729" t="str">
            <v>TI-FORCEPS, DEBAKEY-SATINSKY, 24.5 CM</v>
          </cell>
        </row>
        <row r="4730">
          <cell r="B4730" t="str">
            <v>24-462-46-09</v>
          </cell>
          <cell r="C4730" t="str">
            <v>TI-KLEMME, DEBAKEY-SATINSKY, 25 CM</v>
          </cell>
          <cell r="D4730" t="str">
            <v>TI-FORCEPS, DEBAKEY-SATINSKY, 25 CM</v>
          </cell>
        </row>
        <row r="4731">
          <cell r="B4731" t="str">
            <v>24-462-47-09</v>
          </cell>
          <cell r="C4731" t="str">
            <v>TI-KLEMME, DEBAKEY-SATINSKY, 28,5 CM</v>
          </cell>
          <cell r="D4731" t="str">
            <v>TI-FORCEPS, DEBAKEY-SATINSKY, 28.5 CM</v>
          </cell>
        </row>
        <row r="4732">
          <cell r="B4732" t="str">
            <v>24-462-48-09</v>
          </cell>
          <cell r="C4732" t="str">
            <v>TI-KLEMME, LAMBERT-KAY, 19,5 CM</v>
          </cell>
          <cell r="D4732" t="str">
            <v>TI-FORCEPS, LAMBERT-KAY, 19.5 CM</v>
          </cell>
        </row>
        <row r="4733">
          <cell r="B4733" t="str">
            <v>24-462-60-09</v>
          </cell>
          <cell r="C4733" t="str">
            <v>TI-AORTAKLEMME, DEBAKEY,  26 CM</v>
          </cell>
          <cell r="D4733" t="str">
            <v>TI-AORTIC-FORCEPS, DEBAKEY,  26 CM</v>
          </cell>
        </row>
        <row r="4734">
          <cell r="B4734" t="str">
            <v>24-462-62-09</v>
          </cell>
          <cell r="C4734" t="str">
            <v>TI-AORTAKLEMME, DEBAKEY,  31 CM</v>
          </cell>
          <cell r="D4734" t="str">
            <v>TI-AORTIC-FORCEPS, DEBAKEY,  31 CM</v>
          </cell>
        </row>
        <row r="4735">
          <cell r="B4735" t="str">
            <v>24-462-63-09</v>
          </cell>
          <cell r="C4735" t="str">
            <v>TI-AORTAKLEMME, DEBAKEY,  33 CM</v>
          </cell>
          <cell r="D4735" t="str">
            <v>TI-AORTIC-FORCEPS, DEBAKEY,  33 CM</v>
          </cell>
        </row>
        <row r="4736">
          <cell r="B4736" t="str">
            <v>24-464-16-07</v>
          </cell>
          <cell r="C4736" t="str">
            <v>ATR.-PINZETTE, COOLEY, 2,0 MM, 16 CM</v>
          </cell>
          <cell r="D4736" t="str">
            <v>ATR. FORCEPS,  COOLEY, 2.0 MM, 16 CM</v>
          </cell>
        </row>
        <row r="4737">
          <cell r="B4737" t="str">
            <v>24-464-20-07</v>
          </cell>
          <cell r="C4737" t="str">
            <v>ATR.-PINZETTE, COOLEY, 2,0 MM, 20 CM</v>
          </cell>
          <cell r="D4737" t="str">
            <v>ATR. FORCEPS,  COOLEY, 2.0 MM, 20 CM</v>
          </cell>
        </row>
        <row r="4738">
          <cell r="B4738" t="str">
            <v>24-466-00-07</v>
          </cell>
          <cell r="C4738" t="str">
            <v>Atr.-Klemme, Cooley, 90°, 11,5 cm</v>
          </cell>
          <cell r="D4738" t="str">
            <v>Atr. forceps, Cooley, 90°, 11.5 cm</v>
          </cell>
        </row>
        <row r="4739">
          <cell r="B4739" t="str">
            <v>24-466-01-07</v>
          </cell>
          <cell r="C4739" t="str">
            <v>ATR.-KLEMME, COOLEY, GER., 14,5 CM</v>
          </cell>
          <cell r="D4739" t="str">
            <v>ATR. FORCEPS,  COOLEY, STR., 14.5 CM</v>
          </cell>
        </row>
        <row r="4740">
          <cell r="B4740" t="str">
            <v>24-466-02-07</v>
          </cell>
          <cell r="C4740" t="str">
            <v>ATR.-KLEMME, COOLEY, GEWINK.,  14,5 CM</v>
          </cell>
          <cell r="D4740" t="str">
            <v>ATR. FORCEPS,  COOLEY, ANGLED,  14.5 CM</v>
          </cell>
        </row>
        <row r="4741">
          <cell r="B4741" t="str">
            <v>24-466-03-07</v>
          </cell>
          <cell r="C4741" t="str">
            <v>ATR.-KLEMME, COOLEY, GEWINK.,  14,5 CM</v>
          </cell>
          <cell r="D4741" t="str">
            <v>ATR. FORCEPS,  COOLEY, ANGLED,  14.5 CM</v>
          </cell>
        </row>
        <row r="4742">
          <cell r="B4742" t="str">
            <v>24-466-04-07</v>
          </cell>
          <cell r="C4742" t="str">
            <v>ATR.-KLEMME, COOLEY, DOPP. GEB., 14 CM</v>
          </cell>
          <cell r="D4742" t="str">
            <v>ATR. FORCEPS,  COOLEY, DBL. CVD., 14 CM</v>
          </cell>
        </row>
        <row r="4743">
          <cell r="B4743" t="str">
            <v>24-466-05-07</v>
          </cell>
          <cell r="C4743" t="str">
            <v>ATR.-KLEMME, COOLEY, LÖFFELF.,  14,5 CM</v>
          </cell>
          <cell r="D4743" t="str">
            <v>ATR. FORCEPS,  COOLEY, SPOON SH., 14.5 CM</v>
          </cell>
        </row>
        <row r="4744">
          <cell r="B4744" t="str">
            <v>24-466-06-07</v>
          </cell>
          <cell r="C4744" t="str">
            <v>Atr.-Klemme, Cooley, geb., 14,5 cm</v>
          </cell>
          <cell r="D4744" t="str">
            <v>Atr. forceps, Cooley, cvd., 14.5 cm</v>
          </cell>
        </row>
        <row r="4745">
          <cell r="B4745" t="str">
            <v>24-467-21-07</v>
          </cell>
          <cell r="C4745" t="str">
            <v>ATR.-ILIACAKLEMME, COOLEY, GEW., 22 CM</v>
          </cell>
          <cell r="D4745" t="str">
            <v>ATR. ILIACA FORCEPS,  COOLEY, ANG., 22 CM</v>
          </cell>
        </row>
        <row r="4746">
          <cell r="B4746" t="str">
            <v>24-468-17-07</v>
          </cell>
          <cell r="C4746" t="str">
            <v>ATR.-KLEMME, COOLEY, GER., 17 CM</v>
          </cell>
          <cell r="D4746" t="str">
            <v>ATR. FORCEPS,  COOLEY, STR., 17 CM</v>
          </cell>
        </row>
        <row r="4747">
          <cell r="B4747" t="str">
            <v>24-469-18-07</v>
          </cell>
          <cell r="C4747" t="str">
            <v>Atr.-Gefässklemme, Cooley-Parry, 18 cm</v>
          </cell>
          <cell r="D4747" t="str">
            <v>Atr. vasc. forceps, Cooley-Parry, 18 cm</v>
          </cell>
        </row>
        <row r="4748">
          <cell r="B4748" t="str">
            <v>24-469-20-07</v>
          </cell>
          <cell r="C4748" t="str">
            <v>ATR.-CAROTISKLEMME, COOLEY, GEW., 20 CM</v>
          </cell>
          <cell r="D4748" t="str">
            <v>ATR. CAROTIS FORCEPS,  COOLEY, ANG., 20CM</v>
          </cell>
        </row>
        <row r="4749">
          <cell r="B4749" t="str">
            <v>24-469-26-07</v>
          </cell>
          <cell r="C4749" t="str">
            <v>Atr.-Gefässklemme, Cooley-Parry, 26 cm</v>
          </cell>
          <cell r="D4749" t="str">
            <v>Atr. vasc. forceps, Cooley-Parry, 26 cm</v>
          </cell>
        </row>
        <row r="4750">
          <cell r="B4750" t="str">
            <v>24-470-17-07</v>
          </cell>
          <cell r="C4750" t="str">
            <v>ATR.-KLEMME, COOLEY, SEITL. GEB., 17 CM</v>
          </cell>
          <cell r="D4750" t="str">
            <v>ATR. FORCEPS,  COOLEY, CVD. SIDEW., 17 CM</v>
          </cell>
        </row>
        <row r="4751">
          <cell r="B4751" t="str">
            <v>24-471-16-07</v>
          </cell>
          <cell r="C4751" t="str">
            <v>ATR.-KLEMME, COOLEY, DOPP. GEB., 16 CM</v>
          </cell>
          <cell r="D4751" t="str">
            <v>ATR. FORCEPS,  COOLEY, DBL. CVD., 16 CM</v>
          </cell>
        </row>
        <row r="4752">
          <cell r="B4752" t="str">
            <v>24-472-15-07</v>
          </cell>
          <cell r="C4752" t="str">
            <v>ATR.-KLEMME, COOLEY, ST. GEW., 14,5 CM</v>
          </cell>
          <cell r="D4752" t="str">
            <v>ATR. FORCEPS,  COOLEY, STR. ANG., 14.5 CM</v>
          </cell>
        </row>
        <row r="4753">
          <cell r="B4753" t="str">
            <v>24-472-16-07</v>
          </cell>
          <cell r="C4753" t="str">
            <v>ATR.-KLEMME, COOLEY, MITT. GEW., 16 CM</v>
          </cell>
          <cell r="D4753" t="str">
            <v>ATR. FORCEPS,  COOLEY, MEDIUM  ANG., 16 CM</v>
          </cell>
        </row>
        <row r="4754">
          <cell r="B4754" t="str">
            <v>24-472-17-07</v>
          </cell>
          <cell r="C4754" t="str">
            <v>ATR.-KLEMME, COOLEY, LEICHT GEW., 16,5CM</v>
          </cell>
          <cell r="D4754" t="str">
            <v>ATR. FORCEPS,  COOLEY, SLIGHT ANG.,16,5CM</v>
          </cell>
        </row>
        <row r="4755">
          <cell r="B4755" t="str">
            <v>24-473-17-07</v>
          </cell>
          <cell r="C4755" t="str">
            <v>ATR.-KLEMME, COOLEY, GEW., 17 CM</v>
          </cell>
          <cell r="D4755" t="str">
            <v>ATR. FORCEPS,  COOLEY, ANG., 17 CM</v>
          </cell>
        </row>
        <row r="4756">
          <cell r="B4756" t="str">
            <v>24-474-17-07</v>
          </cell>
          <cell r="C4756" t="str">
            <v>ATR.-KLEMME, COOLEY, GEB., 17 CM</v>
          </cell>
          <cell r="D4756" t="str">
            <v>ATR. FORCEPS,  COOLEY, CVD., 17 CM</v>
          </cell>
        </row>
        <row r="4757">
          <cell r="B4757" t="str">
            <v>24-475-26-07</v>
          </cell>
          <cell r="C4757" t="str">
            <v>Atraumata-Gefässklemme, Cooley, 26,5 cm</v>
          </cell>
          <cell r="D4757" t="str">
            <v>Atr. vascular forceps, Cooley, 26.5 cm</v>
          </cell>
        </row>
        <row r="4758">
          <cell r="B4758" t="str">
            <v>24-475-27-07</v>
          </cell>
          <cell r="C4758" t="str">
            <v>Atraumata-Gefässklemme, Cooley, 26,5 cm</v>
          </cell>
          <cell r="D4758" t="str">
            <v>Atr. vascular forceps, Cooley, 26.5 cm</v>
          </cell>
        </row>
        <row r="4759">
          <cell r="B4759" t="str">
            <v>24-475-28-07</v>
          </cell>
          <cell r="C4759" t="str">
            <v>Atraumata-Gefässklemme, Cooley, 27,5 cm</v>
          </cell>
          <cell r="D4759" t="str">
            <v>Atr. vascular forceps, Cooley, 27.5 cm</v>
          </cell>
        </row>
        <row r="4760">
          <cell r="B4760" t="str">
            <v>24-476-17-07</v>
          </cell>
          <cell r="C4760" t="str">
            <v>ATR.-KLEMME, COOLEY, LÖFFELF.,  17,5 CM</v>
          </cell>
          <cell r="D4760" t="str">
            <v>ATR. FORCEPS,  COOLEY, SPOON-SH., 17.5 CM</v>
          </cell>
        </row>
        <row r="4761">
          <cell r="B4761" t="str">
            <v>24-477-16-07</v>
          </cell>
          <cell r="C4761" t="str">
            <v>ATR.-KLEMME, COOLEY, ST. GEB., 16,5 CM</v>
          </cell>
          <cell r="D4761" t="str">
            <v>ATR. FORCEPS,  COOLEY, STR. CVD., 16.5 CM</v>
          </cell>
        </row>
        <row r="4762">
          <cell r="B4762" t="str">
            <v>24-477-17-07</v>
          </cell>
          <cell r="C4762" t="str">
            <v>ATR.-KLEMME, COOLEY, ST. GEB., 16,5 CM</v>
          </cell>
          <cell r="D4762" t="str">
            <v>ATR. FORCEPS,  COOLEY, STR. CVD., 16.5 CM</v>
          </cell>
        </row>
        <row r="4763">
          <cell r="B4763" t="str">
            <v>24-478-16-07</v>
          </cell>
          <cell r="C4763" t="str">
            <v>ANASTOMOSENKLEMME, COOLEY-DERRA, 16,5 CM</v>
          </cell>
          <cell r="D4763" t="str">
            <v>ANASTOM.  FORCEPS,  COOLEY-DERRA, 16.5 CM</v>
          </cell>
        </row>
        <row r="4764">
          <cell r="B4764" t="str">
            <v>24-478-17-07</v>
          </cell>
          <cell r="C4764" t="str">
            <v>ANASTOMOSENKLEMME, COOLEY-DERRA, 17 CM</v>
          </cell>
          <cell r="D4764" t="str">
            <v>ANASTOM.  FORCEPS,  COOLEY-DERRA, 17 CM</v>
          </cell>
        </row>
        <row r="4765">
          <cell r="B4765" t="str">
            <v>24-478-18-07</v>
          </cell>
          <cell r="C4765" t="str">
            <v>ANASTOMOSENKLEMME, COOLEY-DERRA, 17,5 CM</v>
          </cell>
          <cell r="D4765" t="str">
            <v>ANASTOM.  FORCEPS,  COOLEY-DERRA, 17.5 CM</v>
          </cell>
        </row>
        <row r="4766">
          <cell r="B4766" t="str">
            <v>24-478-21-07</v>
          </cell>
          <cell r="C4766" t="str">
            <v>Anastomosenklemme, Cooley-Derra, 21 cm</v>
          </cell>
          <cell r="D4766" t="str">
            <v>Anastom.  Forceps, Colley-Derra, 21 cm</v>
          </cell>
        </row>
        <row r="4767">
          <cell r="B4767" t="str">
            <v>24-479-17-07</v>
          </cell>
          <cell r="C4767" t="str">
            <v>ATR.-KLEMME, COOLEY-BECK, GEW., 17 CM</v>
          </cell>
          <cell r="D4767" t="str">
            <v>ATR. FORCEPS,  COOLEY-BECK, ANG., 17 CM</v>
          </cell>
        </row>
        <row r="4768">
          <cell r="B4768" t="str">
            <v>24-480-23-07</v>
          </cell>
          <cell r="C4768" t="str">
            <v>Atr.-Gefässkl., Allenberg-Cobra, 23,5 cm</v>
          </cell>
          <cell r="D4768" t="str">
            <v>Atr.vasc.fcps., Allenberg-Cobra, 23.5 cm</v>
          </cell>
        </row>
        <row r="4769">
          <cell r="B4769" t="str">
            <v>24-480-25-07</v>
          </cell>
          <cell r="C4769" t="str">
            <v>Atr.-Gefässkl., Allenberg-Cobra, 26,5 cm</v>
          </cell>
          <cell r="D4769" t="str">
            <v>Atr.vasc.fcps., Allenberg-Cobra, 26,5 cm</v>
          </cell>
        </row>
        <row r="4770">
          <cell r="B4770" t="str">
            <v>24-482-00-07</v>
          </cell>
          <cell r="C4770" t="str">
            <v>DILATATOR, TUBBS, SPREIZWEITE 8-42 MM</v>
          </cell>
          <cell r="D4770" t="str">
            <v>DILATOR,  TUBBS, SPREADING 8-42 MM</v>
          </cell>
        </row>
        <row r="4771">
          <cell r="B4771" t="str">
            <v>24-492-05-01</v>
          </cell>
          <cell r="C4771" t="str">
            <v>DILATATOR, DE BAKEY, Ø 0,5 MM, 19 CM</v>
          </cell>
          <cell r="D4771" t="str">
            <v>VASC. DILATOR,  DE BAKEY, Ø 0.5 MM, 19 CM</v>
          </cell>
        </row>
        <row r="4772">
          <cell r="B4772" t="str">
            <v>24-492-10-01</v>
          </cell>
          <cell r="C4772" t="str">
            <v>DILATATOR, DE BAKEY, Ø 1,0 MM, 19 CM</v>
          </cell>
          <cell r="D4772" t="str">
            <v>VASC. DILATOR,  DE BAKEY, Ø 1.0 MM, 19 CM</v>
          </cell>
        </row>
        <row r="4773">
          <cell r="B4773" t="str">
            <v>24-492-15-01</v>
          </cell>
          <cell r="C4773" t="str">
            <v>DILATATOR, DE BAKEY, Ø 1,5 MM, 19 CM</v>
          </cell>
          <cell r="D4773" t="str">
            <v>VASC. DILATOR,  DE BAKEY, Ø 1.5 MM, 19 CM</v>
          </cell>
        </row>
        <row r="4774">
          <cell r="B4774" t="str">
            <v>24-492-20-01</v>
          </cell>
          <cell r="C4774" t="str">
            <v>DILATATOR, DE BAKEY, Ø 2,0 MM, 19 CM</v>
          </cell>
          <cell r="D4774" t="str">
            <v>VASC. DILATOR,  DE BAKEY, Ø 2.0 MM, 19 CM</v>
          </cell>
        </row>
        <row r="4775">
          <cell r="B4775" t="str">
            <v>24-492-25-01</v>
          </cell>
          <cell r="C4775" t="str">
            <v>DILATATOR, DE BAKEY, Ø 2,5 MM, 19 CM</v>
          </cell>
          <cell r="D4775" t="str">
            <v>VASC. DILATOR,  DE BAKEY, Ø 2.5 MM, 19 CM</v>
          </cell>
        </row>
        <row r="4776">
          <cell r="B4776" t="str">
            <v>24-492-30-01</v>
          </cell>
          <cell r="C4776" t="str">
            <v>DILATATOR, DE BAKEY, Ø 3,0 MM, 19 CM</v>
          </cell>
          <cell r="D4776" t="str">
            <v>VASC. DILATOR,  DE BAKEY, Ø 3.0 MM, 19 CM</v>
          </cell>
        </row>
        <row r="4777">
          <cell r="B4777" t="str">
            <v>24-492-35-01</v>
          </cell>
          <cell r="C4777" t="str">
            <v>DILATATOR, DE BAKEY, Ø 3,5 MM, 19 CM</v>
          </cell>
          <cell r="D4777" t="str">
            <v>VASC. DILATOR,  DE BAKEY, Ø 3.5 MM, 19 CM</v>
          </cell>
        </row>
        <row r="4778">
          <cell r="B4778" t="str">
            <v>24-492-40-01</v>
          </cell>
          <cell r="C4778" t="str">
            <v>DILATATOR, DE BAKEY, Ø 4,0 MM, 19 CM</v>
          </cell>
          <cell r="D4778" t="str">
            <v>VASC. DILATOR,  DE BAKEY, Ø 4.0 MM, 19 CM</v>
          </cell>
        </row>
        <row r="4779">
          <cell r="B4779" t="str">
            <v>24-492-45-01</v>
          </cell>
          <cell r="C4779" t="str">
            <v>DILATATOR, DE BAKEY, Ø 4,5 MM, 19 CM</v>
          </cell>
          <cell r="D4779" t="str">
            <v>VASC. DILATOR,  DE BAKEY, Ø 4.5 MM, 19 CM</v>
          </cell>
        </row>
        <row r="4780">
          <cell r="B4780" t="str">
            <v>24-492-50-01</v>
          </cell>
          <cell r="C4780" t="str">
            <v>DILATATOR, DE BAKEY, Ø 5,0 MM, 19 CM</v>
          </cell>
          <cell r="D4780" t="str">
            <v>VASC. DILATOR,  DE BAKEY, Ø 5.0 MM, 19 CM</v>
          </cell>
        </row>
        <row r="4781">
          <cell r="B4781" t="str">
            <v>24-492-70-01</v>
          </cell>
          <cell r="C4781" t="str">
            <v>DILATATOR, DE BAKEY, Ø 7,0 MM, 19 CM</v>
          </cell>
          <cell r="D4781" t="str">
            <v>VASC. DILATOR,  DE BAKEY, Ø 7.0 MM, 19 CM</v>
          </cell>
        </row>
        <row r="4782">
          <cell r="B4782" t="str">
            <v>24-492-90-01</v>
          </cell>
          <cell r="C4782" t="str">
            <v>DILATATOR, DE BAKEY, Ø 9,0 MM, 19 CM</v>
          </cell>
          <cell r="D4782" t="str">
            <v>VASC. DILATOR,  DE BAKEY, Ø 9.0 MM, 19 CM</v>
          </cell>
        </row>
        <row r="4783">
          <cell r="B4783" t="str">
            <v>24-493-05-01</v>
          </cell>
          <cell r="C4783" t="str">
            <v>Dilatator,  DeBakey,  Ø 0,5 mm, 14 cm</v>
          </cell>
          <cell r="D4783" t="str">
            <v>Dilator, DeBakey,  Ø 0.5 mm, 14 cm</v>
          </cell>
        </row>
        <row r="4784">
          <cell r="B4784" t="str">
            <v>24-493-10-01</v>
          </cell>
          <cell r="C4784" t="str">
            <v>Dilatator,  DeBakey,  Ø 1,0 mm, 14 cm</v>
          </cell>
          <cell r="D4784" t="str">
            <v>Dilator, DeBakey,  Ø 1.0 mm, 14 cm</v>
          </cell>
        </row>
        <row r="4785">
          <cell r="B4785" t="str">
            <v>24-493-15-01</v>
          </cell>
          <cell r="C4785" t="str">
            <v>Dilatator,  DeBakey,  Ø 1,5 mm, 14 cm</v>
          </cell>
          <cell r="D4785" t="str">
            <v>Dilator, DeBakey,  Ø 1.5 mm, 14 cm</v>
          </cell>
        </row>
        <row r="4786">
          <cell r="B4786" t="str">
            <v>24-493-20-01</v>
          </cell>
          <cell r="C4786" t="str">
            <v>Dilatator,  DeBakey,  Ø 2,0 mm, 14 cm</v>
          </cell>
          <cell r="D4786" t="str">
            <v>Dilator, DeBakey,  Ø 2.0 mm, 14 cm</v>
          </cell>
        </row>
        <row r="4787">
          <cell r="B4787" t="str">
            <v>24-493-25-01</v>
          </cell>
          <cell r="C4787" t="str">
            <v>Dilatator,  DeBakey,  Ø 2,5 mm, 14 cm</v>
          </cell>
          <cell r="D4787" t="str">
            <v>Dilator, DeBakey,  Ø 2.5 mm, 14 cm</v>
          </cell>
        </row>
        <row r="4788">
          <cell r="B4788" t="str">
            <v>24-493-30-01</v>
          </cell>
          <cell r="C4788" t="str">
            <v>Dilatator,  DeBakey,  Ø 3,0 mm, 14 cm</v>
          </cell>
          <cell r="D4788" t="str">
            <v>Dilator, DeBakey,  Ø 3.0 mm, 14 cm</v>
          </cell>
        </row>
        <row r="4789">
          <cell r="B4789" t="str">
            <v>24-493-35-01</v>
          </cell>
          <cell r="C4789" t="str">
            <v>Dilatator,  DeBakey,  Ø 3,5 mm, 14 cm</v>
          </cell>
          <cell r="D4789" t="str">
            <v>Dilator, DeBakey,  Ø 3.5 mm, 14 cm</v>
          </cell>
        </row>
        <row r="4790">
          <cell r="B4790" t="str">
            <v>24-493-40-01</v>
          </cell>
          <cell r="C4790" t="str">
            <v>Dilatator,  DeBakey,  Ø 4,0 mm, 14 cm</v>
          </cell>
          <cell r="D4790" t="str">
            <v>Dilator, DeBakey,  Ø 4.0 mm, 14 cm</v>
          </cell>
        </row>
        <row r="4791">
          <cell r="B4791" t="str">
            <v>24-493-45-01</v>
          </cell>
          <cell r="C4791" t="str">
            <v>Dilatator,  DeBakey,  Ø 4,5 mm, 14 cm</v>
          </cell>
          <cell r="D4791" t="str">
            <v>Dilator, DeBakey,  Ø 4.5 mm, 14 cm</v>
          </cell>
        </row>
        <row r="4792">
          <cell r="B4792" t="str">
            <v>24-493-50-01</v>
          </cell>
          <cell r="C4792" t="str">
            <v>Dilatator,  DeBakey,  Ø 5,0 mm, 14 cm</v>
          </cell>
          <cell r="D4792" t="str">
            <v>Dilator, DeBakey,  Ø 5.0 mm, 14 cm</v>
          </cell>
        </row>
        <row r="4793">
          <cell r="B4793" t="str">
            <v>24-502-00-01</v>
          </cell>
          <cell r="C4793" t="str">
            <v>TUNNELIER-SET, MARTIN,  KOMPL.</v>
          </cell>
          <cell r="D4793" t="str">
            <v>TUNNELER-SET, MARTIN,  COMPLETE</v>
          </cell>
        </row>
        <row r="4794">
          <cell r="B4794" t="str">
            <v>24-502-01-01</v>
          </cell>
          <cell r="C4794" t="str">
            <v>TUNNELLIERER-GRIFF, Z. 24-502-00</v>
          </cell>
          <cell r="D4794" t="str">
            <v>TUNNELER-HANDLE, F. 24-502-00</v>
          </cell>
        </row>
        <row r="4795">
          <cell r="B4795" t="str">
            <v>24-502-05-01</v>
          </cell>
          <cell r="C4795" t="str">
            <v>TUNNELIERSCHAFT, ALLEIN, GEB., 24,5 CM</v>
          </cell>
          <cell r="D4795" t="str">
            <v>TUNNELER  SHAFT, CVD., 24.5 CM</v>
          </cell>
        </row>
        <row r="4796">
          <cell r="B4796" t="str">
            <v>24-502-06-01</v>
          </cell>
          <cell r="C4796" t="str">
            <v>TUNNELIERSCHAFT, ALLEIN, GER., 24,5 CM</v>
          </cell>
          <cell r="D4796" t="str">
            <v>TUNNELER  SHAFT, STR., 24.5 CM</v>
          </cell>
        </row>
        <row r="4797">
          <cell r="B4797" t="str">
            <v>24-502-11-01</v>
          </cell>
          <cell r="C4797" t="str">
            <v>TUNNELIERSCHAFT, ALLEIN, GEB., 55,5 CM</v>
          </cell>
          <cell r="D4797" t="str">
            <v>TUNNELER  SHAFT, CVD., 55.5 CM</v>
          </cell>
        </row>
        <row r="4798">
          <cell r="B4798" t="str">
            <v>24-502-55-01</v>
          </cell>
          <cell r="C4798" t="str">
            <v>SCHRAUBOLIVE, Z. 24-502-00,  Ø 5 MM</v>
          </cell>
          <cell r="D4798" t="str">
            <v>OLIVE TIP, F. 24-502-00,  Ø 5 MM</v>
          </cell>
        </row>
        <row r="4799">
          <cell r="B4799" t="str">
            <v>24-502-56-01</v>
          </cell>
          <cell r="C4799" t="str">
            <v>SCHRAUBOLIVE, Z. 24-502-00,  Ø 6 MM</v>
          </cell>
          <cell r="D4799" t="str">
            <v>OLIVE TIP, F. 24-502-00,  Ø 6 MM</v>
          </cell>
        </row>
        <row r="4800">
          <cell r="B4800" t="str">
            <v>24-502-57-01</v>
          </cell>
          <cell r="C4800" t="str">
            <v>SCHRAUBOLIVE, Z. 24-502-00,  Ø 7 MM</v>
          </cell>
          <cell r="D4800" t="str">
            <v>OLIVE TIP, F. 24-502-00,  Ø 7 MM</v>
          </cell>
        </row>
        <row r="4801">
          <cell r="B4801" t="str">
            <v>24-502-58-01</v>
          </cell>
          <cell r="C4801" t="str">
            <v>SCHRAUBOLIVE, Z. 24-502-00,  Ø 8 MM</v>
          </cell>
          <cell r="D4801" t="str">
            <v>OLIVE TIP, F. 24-502-00,  Ø 8 MM</v>
          </cell>
        </row>
        <row r="4802">
          <cell r="B4802" t="str">
            <v>24-502-60-01</v>
          </cell>
          <cell r="C4802" t="str">
            <v>SCHRAUBOLIVE, Z. 24-502-00,  Ø 10 MM</v>
          </cell>
          <cell r="D4802" t="str">
            <v>OLIVE TIP, F. 24-502-00,  Ø 10 MM</v>
          </cell>
        </row>
        <row r="4803">
          <cell r="B4803" t="str">
            <v>24-502-62-01</v>
          </cell>
          <cell r="C4803" t="str">
            <v>SCHRAUBOLIVE, Z. 24-502-00,  Ø 12 MM</v>
          </cell>
          <cell r="D4803" t="str">
            <v>OLIVE TIP, F. 24-502-00,  Ø 12 MM</v>
          </cell>
        </row>
        <row r="4804">
          <cell r="B4804" t="str">
            <v>24-502-65-01</v>
          </cell>
          <cell r="C4804" t="str">
            <v>VENEN-AUFSATZ, Z. 24-502-00,  (LUER/LOCK)</v>
          </cell>
          <cell r="D4804" t="str">
            <v>VEIN-TIP,  F. 24-502-00,  (LUER/LOCK)</v>
          </cell>
        </row>
        <row r="4805">
          <cell r="B4805" t="str">
            <v>24-506-05-01</v>
          </cell>
          <cell r="C4805" t="str">
            <v>Dilatator,  Cooley, Ø 0,5 mm, 14 cm</v>
          </cell>
          <cell r="D4805" t="str">
            <v>Dilator, Cooley, Ø 0.5 mm, 14 cm</v>
          </cell>
        </row>
        <row r="4806">
          <cell r="B4806" t="str">
            <v>24-506-10-01</v>
          </cell>
          <cell r="C4806" t="str">
            <v>Dilatator,  Cooley, Ø 1,0 mm, 14 cm</v>
          </cell>
          <cell r="D4806" t="str">
            <v>Dilator, Cooley, Ø 1.0 mm, 14 cm</v>
          </cell>
        </row>
        <row r="4807">
          <cell r="B4807" t="str">
            <v>24-506-15-01</v>
          </cell>
          <cell r="C4807" t="str">
            <v>Dilatator,  Cooley, Ø 1,5 mm, 14 cm</v>
          </cell>
          <cell r="D4807" t="str">
            <v>Dilator, Cooley, Ø 1.5 mm, 14 cm</v>
          </cell>
        </row>
        <row r="4808">
          <cell r="B4808" t="str">
            <v>24-506-20-01</v>
          </cell>
          <cell r="C4808" t="str">
            <v>Dilatator,  Cooley, Ø 2,0 mm, 14 cm</v>
          </cell>
          <cell r="D4808" t="str">
            <v>Dilator, Cooley, Ø 2.0 mm, 14 cm</v>
          </cell>
        </row>
        <row r="4809">
          <cell r="B4809" t="str">
            <v>24-506-25-01</v>
          </cell>
          <cell r="C4809" t="str">
            <v>Dilatator,  Cooley, Ø 2,5 mm, 14 cm</v>
          </cell>
          <cell r="D4809" t="str">
            <v>Dilator, Cooley, Ø 2.5 mm, 14 cm</v>
          </cell>
        </row>
        <row r="4810">
          <cell r="B4810" t="str">
            <v>24-506-30-01</v>
          </cell>
          <cell r="C4810" t="str">
            <v>Dilatator,  Cooley, Ø 3,0 mm, 14 cm</v>
          </cell>
          <cell r="D4810" t="str">
            <v>Dilator, Cooley, Ø 3.0 mm, 14 cm</v>
          </cell>
        </row>
        <row r="4811">
          <cell r="B4811" t="str">
            <v>24-507-05-01</v>
          </cell>
          <cell r="C4811" t="str">
            <v>Dilatator,  Cooley, Ø 0,5 mm, 19 cm</v>
          </cell>
          <cell r="D4811" t="str">
            <v>Dilator, Cooley, Ø 0.5 mm, 19 cm</v>
          </cell>
        </row>
        <row r="4812">
          <cell r="B4812" t="str">
            <v>24-507-10-01</v>
          </cell>
          <cell r="C4812" t="str">
            <v>Dilatator,  Cooley, Ø 1,0 mm, 19 cm</v>
          </cell>
          <cell r="D4812" t="str">
            <v>Dilator, Cooley, Ø 1.0 mm, 19 cm</v>
          </cell>
        </row>
        <row r="4813">
          <cell r="B4813" t="str">
            <v>24-507-15-01</v>
          </cell>
          <cell r="C4813" t="str">
            <v>Dilatator,  Cooley, Ø 1,5 mm, 19 cm</v>
          </cell>
          <cell r="D4813" t="str">
            <v>Dilator, Cooley, Ø 1.5 mm, 19 cm</v>
          </cell>
        </row>
        <row r="4814">
          <cell r="B4814" t="str">
            <v>24-507-20-01</v>
          </cell>
          <cell r="C4814" t="str">
            <v>Dilatator,  Cooley, Ø 2,0 mm, 19 cm</v>
          </cell>
          <cell r="D4814" t="str">
            <v>Dilator, Cooley, Ø 2.0 mm, 19 cm</v>
          </cell>
        </row>
        <row r="4815">
          <cell r="B4815" t="str">
            <v>24-507-25-01</v>
          </cell>
          <cell r="C4815" t="str">
            <v>Dilatator,  Cooley, Ø 2,5 mm, 19 cm</v>
          </cell>
          <cell r="D4815" t="str">
            <v>Dilator, Cooley, Ø 2.5 mm, 19 cm</v>
          </cell>
        </row>
        <row r="4816">
          <cell r="B4816" t="str">
            <v>24-507-30-01</v>
          </cell>
          <cell r="C4816" t="str">
            <v>Dilatator,  Cooley, Ø 3,0 mm, 19 cm</v>
          </cell>
          <cell r="D4816" t="str">
            <v>Dilator, Cooley, Ø 3.0 mm, 19 cm</v>
          </cell>
        </row>
        <row r="4817">
          <cell r="B4817" t="str">
            <v>24-509-05-04</v>
          </cell>
          <cell r="C4817" t="str">
            <v>Dilatat., DeBakey,  Ø 0,5 mm, 14 cm, Nit.</v>
          </cell>
          <cell r="D4817" t="str">
            <v>Dilator, DeBakey,  Ø 0.5 mm, 14 cm, nit.</v>
          </cell>
        </row>
        <row r="4818">
          <cell r="B4818" t="str">
            <v>24-509-10-04</v>
          </cell>
          <cell r="C4818" t="str">
            <v>Dilatat., DeBakey,  Ø 1,0 mm, 14 cm, Nit.</v>
          </cell>
          <cell r="D4818" t="str">
            <v>Dilator, DeBakey,  Ø 1.0 mm, 14 cm, nit.</v>
          </cell>
        </row>
        <row r="4819">
          <cell r="B4819" t="str">
            <v>24-509-15-04</v>
          </cell>
          <cell r="C4819" t="str">
            <v>Dilatat., DeBakey,  Ø 1,5 mm, 14 cm, Nit.</v>
          </cell>
          <cell r="D4819" t="str">
            <v>Dilator, DeBakey,  Ø 1.5 mm, 14 cm, nit.</v>
          </cell>
        </row>
        <row r="4820">
          <cell r="B4820" t="str">
            <v>24-509-20-04</v>
          </cell>
          <cell r="C4820" t="str">
            <v>Dilatat., DeBakey,  Ø 2,0 mm, 14 cm, Nit.</v>
          </cell>
          <cell r="D4820" t="str">
            <v>Dilator, DeBakey,  Ø 2.0 mm, 14 cm, nit.</v>
          </cell>
        </row>
        <row r="4821">
          <cell r="B4821" t="str">
            <v>24-509-25-04</v>
          </cell>
          <cell r="C4821" t="str">
            <v>Dilatat., DeBakey,  Ø 2,5 mm, 14 cm, Nit.</v>
          </cell>
          <cell r="D4821" t="str">
            <v>Dilator, DeBakey,  Ø 2.5 mm, 14 cm, nit.</v>
          </cell>
        </row>
        <row r="4822">
          <cell r="B4822" t="str">
            <v>24-509-30-04</v>
          </cell>
          <cell r="C4822" t="str">
            <v>Dilatat., DeBakey,  Ø 3,0 mm, 14 cm, Nit.</v>
          </cell>
          <cell r="D4822" t="str">
            <v>Dilator, DeBakey,  Ø 3.0 mm, 14 cm, nit.</v>
          </cell>
        </row>
        <row r="4823">
          <cell r="B4823" t="str">
            <v>24-509-35-04</v>
          </cell>
          <cell r="C4823" t="str">
            <v>Dilatat., DeBakey,  Ø 3,5 mm, 14 cm, Nit.</v>
          </cell>
          <cell r="D4823" t="str">
            <v>Dilator, DeBakey,  Ø 3.5 mm, 14 cm, nit.</v>
          </cell>
        </row>
        <row r="4824">
          <cell r="B4824" t="str">
            <v>24-509-40-04</v>
          </cell>
          <cell r="C4824" t="str">
            <v>Dilatat., DeBakey,  Ø 4,0 mm, 14 cm, Nit.</v>
          </cell>
          <cell r="D4824" t="str">
            <v>Dilator, DeBakey,  Ø 4.0 mm, 14 cm, nit.</v>
          </cell>
        </row>
        <row r="4825">
          <cell r="B4825" t="str">
            <v>24-509-45-04</v>
          </cell>
          <cell r="C4825" t="str">
            <v>Dilatat., DeBakey,  Ø 4,5 mm, 14 cm, Nit.</v>
          </cell>
          <cell r="D4825" t="str">
            <v>Dilator, DeBakey,  Ø 4.5 mm, 14 cm, nit.</v>
          </cell>
        </row>
        <row r="4826">
          <cell r="B4826" t="str">
            <v>24-509-50-04</v>
          </cell>
          <cell r="C4826" t="str">
            <v>Dilatat., DeBakey,  Ø 5,0 mm, 14 cm, Nit.</v>
          </cell>
          <cell r="D4826" t="str">
            <v>Dilator, DeBakey,  Ø 5.0 mm, 14 cm, nit.</v>
          </cell>
        </row>
        <row r="4827">
          <cell r="B4827" t="str">
            <v>24-510-05-04</v>
          </cell>
          <cell r="C4827" t="str">
            <v>Dilatat., DeBakey,  Ø 0,5 mm, 19 cm, Nit.</v>
          </cell>
          <cell r="D4827" t="str">
            <v>Dilator, DeBakey,  Ø 0.5 mm, 19 cm, nit.</v>
          </cell>
        </row>
        <row r="4828">
          <cell r="B4828" t="str">
            <v>24-510-10-04</v>
          </cell>
          <cell r="C4828" t="str">
            <v>Dilatat., DeBakey,  Ø 1,0 mm, 19 cm, Nit.</v>
          </cell>
          <cell r="D4828" t="str">
            <v>Dilator, DeBakey,  Ø 1.0 mm, 19 cm, nit.</v>
          </cell>
        </row>
        <row r="4829">
          <cell r="B4829" t="str">
            <v>24-510-15-04</v>
          </cell>
          <cell r="C4829" t="str">
            <v>Dilatat., DeBakey,  Ø 1,5 mm, 19 cm, Nit.</v>
          </cell>
          <cell r="D4829" t="str">
            <v>Dilator, DeBakey,  Ø 1.5 mm, 19 cm, nit.</v>
          </cell>
        </row>
        <row r="4830">
          <cell r="B4830" t="str">
            <v>24-510-20-04</v>
          </cell>
          <cell r="C4830" t="str">
            <v>Dilatat., DeBakey,  Ø 2,0 mm, 19 cm, Nit.</v>
          </cell>
          <cell r="D4830" t="str">
            <v>Dilator, DeBakey,  Ø 2.0 mm, 19 cm, nit.</v>
          </cell>
        </row>
        <row r="4831">
          <cell r="B4831" t="str">
            <v>24-510-25-04</v>
          </cell>
          <cell r="C4831" t="str">
            <v>Dilatat., DeBakey,  Ø 2,5 mm, 19 cm, Nit.</v>
          </cell>
          <cell r="D4831" t="str">
            <v>Dilator, DeBakey,  Ø 2.5 mm, 19 cm, nit.</v>
          </cell>
        </row>
        <row r="4832">
          <cell r="B4832" t="str">
            <v>24-510-30-04</v>
          </cell>
          <cell r="C4832" t="str">
            <v>Dilatat., DeBakey,  Ø 3,0 mm, 19 cm, Nit.</v>
          </cell>
          <cell r="D4832" t="str">
            <v>Dilator, DeBakey,  Ø 3.0 mm, 19 cm, nit.</v>
          </cell>
        </row>
        <row r="4833">
          <cell r="B4833" t="str">
            <v>24-510-35-04</v>
          </cell>
          <cell r="C4833" t="str">
            <v>Dilatat., DeBakey,  Ø 3,5 mm, 19 cm, Nit.</v>
          </cell>
          <cell r="D4833" t="str">
            <v>Dilator, DeBakey,  Ø 3.5 mm, 19 cm, nit.</v>
          </cell>
        </row>
        <row r="4834">
          <cell r="B4834" t="str">
            <v>24-510-40-04</v>
          </cell>
          <cell r="C4834" t="str">
            <v>Dilatat., DeBakey,  Ø 4,0 mm, 19 cm, Nit.</v>
          </cell>
          <cell r="D4834" t="str">
            <v>Dilator, DeBakey,  Ø 4.0 mm, 19 cm, nit.</v>
          </cell>
        </row>
        <row r="4835">
          <cell r="B4835" t="str">
            <v>24-510-45-04</v>
          </cell>
          <cell r="C4835" t="str">
            <v>Dilatat., DeBakey,  Ø 4,5 mm, 19 cm, Nit.</v>
          </cell>
          <cell r="D4835" t="str">
            <v>Dilator, DeBakey,  Ø 4.5 mm, 19 cm, nit.</v>
          </cell>
        </row>
        <row r="4836">
          <cell r="B4836" t="str">
            <v>24-510-50-04</v>
          </cell>
          <cell r="C4836" t="str">
            <v>Dilatat., DeBakey,  Ø 5,0 mm, 19 cm, Nit.</v>
          </cell>
          <cell r="D4836" t="str">
            <v>Dilator, DeBakey,  Ø 5.0 mm, 19 cm, nit.</v>
          </cell>
        </row>
        <row r="4837">
          <cell r="B4837" t="str">
            <v>24-510-70-04</v>
          </cell>
          <cell r="C4837" t="str">
            <v>Dilatat., DeBakey,  Ø 7,0 mm, 19 cm, Nit.</v>
          </cell>
          <cell r="D4837" t="str">
            <v>Dilator, DeBakey,  Ø 7.0 mm, 19 cm, nit.</v>
          </cell>
        </row>
        <row r="4838">
          <cell r="B4838" t="str">
            <v>24-510-90-04</v>
          </cell>
          <cell r="C4838" t="str">
            <v>Dilatat., DeBakey,  Ø 9,0 mm, 19 cm, Nit.</v>
          </cell>
          <cell r="D4838" t="str">
            <v>Dilator, DeBakey,  Ø 9.0 mm, 19 cm, nit.</v>
          </cell>
        </row>
        <row r="4839">
          <cell r="B4839" t="str">
            <v>24-515-05-04</v>
          </cell>
          <cell r="C4839" t="str">
            <v>Dilatator,  Cooley, Ø 0,5 mm, 14 cm, Nit.</v>
          </cell>
          <cell r="D4839" t="str">
            <v>Dilator, Cooley, Ø 0.5 mm, 14 cm, nit.</v>
          </cell>
        </row>
        <row r="4840">
          <cell r="B4840" t="str">
            <v>24-515-10-04</v>
          </cell>
          <cell r="C4840" t="str">
            <v>Dilatator,  Cooley, Ø 1,0 mm, 14 cm, Nit.</v>
          </cell>
          <cell r="D4840" t="str">
            <v>Dilator, Cooley, Ø 1.0 mm, 14 cm, nit.</v>
          </cell>
        </row>
        <row r="4841">
          <cell r="B4841" t="str">
            <v>24-515-15-04</v>
          </cell>
          <cell r="C4841" t="str">
            <v>Dilatator,  Cooley, Ø 1,5 mm, 14 cm, Nit.</v>
          </cell>
          <cell r="D4841" t="str">
            <v>Dilator, Cooley, Ø 1.5 mm, 14 cm, nit.</v>
          </cell>
        </row>
        <row r="4842">
          <cell r="B4842" t="str">
            <v>24-515-20-04</v>
          </cell>
          <cell r="C4842" t="str">
            <v>Dilatator,  Cooley, Ø 2,0 mm, 14 cm, Nit.</v>
          </cell>
          <cell r="D4842" t="str">
            <v>Dilator, Cooley, Ø 2.0 mm, 14 cm, nit.</v>
          </cell>
        </row>
        <row r="4843">
          <cell r="B4843" t="str">
            <v>24-515-25-04</v>
          </cell>
          <cell r="C4843" t="str">
            <v>Dilatator,  Cooley, Ø 2,5 mm, 14 cm, Nit.</v>
          </cell>
          <cell r="D4843" t="str">
            <v>Dilator, Cooley, Ø 2.5 mm, 14 cm, nit.</v>
          </cell>
        </row>
        <row r="4844">
          <cell r="B4844" t="str">
            <v>24-515-30-04</v>
          </cell>
          <cell r="C4844" t="str">
            <v>Dilatator,  Cooley, Ø 3,0 mm, 14 cm, Nit.</v>
          </cell>
          <cell r="D4844" t="str">
            <v>Dilator, Cooley, Ø 3.0 mm, 14 cm, nit.</v>
          </cell>
        </row>
        <row r="4845">
          <cell r="B4845" t="str">
            <v>24-516-05-04</v>
          </cell>
          <cell r="C4845" t="str">
            <v>Dilatator,  Cooley, Ø 0,5 mm, 19 cm, Nit.</v>
          </cell>
          <cell r="D4845" t="str">
            <v>Dilator, Cooley, Ø 0.5 mm, 19 cm, nit.</v>
          </cell>
        </row>
        <row r="4846">
          <cell r="B4846" t="str">
            <v>24-516-10-04</v>
          </cell>
          <cell r="C4846" t="str">
            <v>Dilatator,  Cooley, Ø 1,0 mm, 19 cm, Nit.</v>
          </cell>
          <cell r="D4846" t="str">
            <v>Dilator, Cooley, Ø 1.0 mm, 19 cm, nit.</v>
          </cell>
        </row>
        <row r="4847">
          <cell r="B4847" t="str">
            <v>24-516-15-04</v>
          </cell>
          <cell r="C4847" t="str">
            <v>Dilatator,  Cooley, Ø 1,5 mm, 19 cm, Nit.</v>
          </cell>
          <cell r="D4847" t="str">
            <v>Dilator, Cooley, Ø 1.5 mm, 19 cm, nit.</v>
          </cell>
        </row>
        <row r="4848">
          <cell r="B4848" t="str">
            <v>24-516-20-04</v>
          </cell>
          <cell r="C4848" t="str">
            <v>Dilatator,  Cooley, Ø 2,0 mm, 19 cm, Nit.</v>
          </cell>
          <cell r="D4848" t="str">
            <v>Dilator, Cooley, Ø 2.0 mm, 19 cm, nit.</v>
          </cell>
        </row>
        <row r="4849">
          <cell r="B4849" t="str">
            <v>24-516-25-04</v>
          </cell>
          <cell r="C4849" t="str">
            <v>Dilatator,  Cooley, Ø 2,5 mm, 19 cm, Nit.</v>
          </cell>
          <cell r="D4849" t="str">
            <v>Dilator, Cooley, Ø 2.5 mm, 19 cm, nit.</v>
          </cell>
        </row>
        <row r="4850">
          <cell r="B4850" t="str">
            <v>24-516-30-04</v>
          </cell>
          <cell r="C4850" t="str">
            <v>Dilatator,  Cooley, Ø 3,0 mm, 19 cm, Nit.</v>
          </cell>
          <cell r="D4850" t="str">
            <v>Dilator, Cooley, Ø 3.0 mm, 19 cm, nit.</v>
          </cell>
        </row>
        <row r="4851">
          <cell r="B4851" t="str">
            <v>24-521-01-04</v>
          </cell>
          <cell r="C4851" t="str">
            <v>Fasziotomiemesser, Hach, Si., 30 cm</v>
          </cell>
          <cell r="D4851" t="str">
            <v>Fasciotomy knife, Hach, Si., 30 cm</v>
          </cell>
        </row>
        <row r="4852">
          <cell r="B4852" t="str">
            <v>24-535-18-07</v>
          </cell>
          <cell r="C4852" t="str">
            <v>INTIMASPATEL, STUMPF,  3 MM, 18,5 CM</v>
          </cell>
          <cell r="D4852" t="str">
            <v>INTIMA SPATULA,  BLUNT, 3 MM, 18.5 CM</v>
          </cell>
        </row>
        <row r="4853">
          <cell r="B4853" t="str">
            <v>24-535-21-07</v>
          </cell>
          <cell r="C4853" t="str">
            <v>INTIMASPATEL, STUMPF,  3 MM, 21,5 CM</v>
          </cell>
          <cell r="D4853" t="str">
            <v>INTIMA SPATULA,  BLUNT, 3 MM, 21.5 CM</v>
          </cell>
        </row>
        <row r="4854">
          <cell r="B4854" t="str">
            <v>24-537-14-07</v>
          </cell>
          <cell r="C4854" t="str">
            <v>INTIMASPATEL, SCHMAL,  STUMPF,  14 CM</v>
          </cell>
          <cell r="D4854" t="str">
            <v>INTIMA SPATULA,  SLIM, BLUNT, 14 CM</v>
          </cell>
        </row>
        <row r="4855">
          <cell r="B4855" t="str">
            <v>24-537-24-07</v>
          </cell>
          <cell r="C4855" t="str">
            <v>Intimaspatel, Stumpf, 23,5 cm</v>
          </cell>
          <cell r="D4855" t="str">
            <v>Intima Spatula, Blunt  23.5 CM</v>
          </cell>
        </row>
        <row r="4856">
          <cell r="B4856" t="str">
            <v>24-539-01-07</v>
          </cell>
          <cell r="C4856" t="str">
            <v>DISSEKTOR, ROBB, DOPP., FIG. 1, 20,5 CM</v>
          </cell>
          <cell r="D4856" t="str">
            <v>DISSECTOR, Robb, DOUBLE,  NO. 1, 20,5 CM</v>
          </cell>
        </row>
        <row r="4857">
          <cell r="B4857" t="str">
            <v>24-539-02-07</v>
          </cell>
          <cell r="C4857" t="str">
            <v>DISSEKTOR, ROBB, DOPP., FIG. 2, 20,5 CM</v>
          </cell>
          <cell r="D4857" t="str">
            <v>DISSECTOR, Robb, DOUBLE,  NO. 2, 20,5 CM</v>
          </cell>
        </row>
        <row r="4858">
          <cell r="B4858" t="str">
            <v>24-539-03-07</v>
          </cell>
          <cell r="C4858" t="str">
            <v>DISSEKTOR, ROBB, DOPP., FIG. 3, 20,5 CM</v>
          </cell>
          <cell r="D4858" t="str">
            <v>DISSECTOR, Robb, DOUBLE,  NO. 3, 20,5 CM</v>
          </cell>
        </row>
        <row r="4859">
          <cell r="B4859" t="str">
            <v>24-539-04-07</v>
          </cell>
          <cell r="C4859" t="str">
            <v>DISSEKTOR, ROBB, DOPP., FIG. 4, 20,5 CM</v>
          </cell>
          <cell r="D4859" t="str">
            <v>DISSECTOR, Robb, DOUBLE,  NO. 4, 20,5 CM</v>
          </cell>
        </row>
        <row r="4860">
          <cell r="B4860" t="str">
            <v>24-541-20-07</v>
          </cell>
          <cell r="C4860" t="str">
            <v>Haken, Crile, 90°, 20 cm</v>
          </cell>
          <cell r="D4860" t="str">
            <v>Hook, Crile, 90°, 20 cm</v>
          </cell>
        </row>
        <row r="4861">
          <cell r="B4861" t="str">
            <v>24-543-20-07</v>
          </cell>
          <cell r="C4861" t="str">
            <v>Haken, Crile, 45°, 20,5 cm</v>
          </cell>
          <cell r="D4861" t="str">
            <v>Hook, Crile, 45°, 20.5 cm</v>
          </cell>
        </row>
        <row r="4862">
          <cell r="B4862" t="str">
            <v>24-550-15-07</v>
          </cell>
          <cell r="C4862" t="str">
            <v>FADENFÄNGER, Ø 1,5 MM, 26 CM</v>
          </cell>
          <cell r="D4862" t="str">
            <v>SUTURE HOOK, Ø 1.5 MM, 26 CM</v>
          </cell>
        </row>
        <row r="4863">
          <cell r="B4863" t="str">
            <v>24-550-20-07</v>
          </cell>
          <cell r="C4863" t="str">
            <v>FADENFÄNGER, Ø 2,0 MM, 26 CM</v>
          </cell>
          <cell r="D4863" t="str">
            <v>SUTURE HOOK, Ø 2.0 MM, 26 CM</v>
          </cell>
        </row>
        <row r="4864">
          <cell r="B4864" t="str">
            <v>24-550-25-07</v>
          </cell>
          <cell r="C4864" t="str">
            <v>FADENFÄNGER, Ø 2,5 MM, 26 CM</v>
          </cell>
          <cell r="D4864" t="str">
            <v>SUTURE HOOK, Ø 2.5 MM, 26 CM</v>
          </cell>
        </row>
        <row r="4865">
          <cell r="B4865" t="str">
            <v>24-550-30-07</v>
          </cell>
          <cell r="C4865" t="str">
            <v>FADENFÄNGER, Ø 3,0 MM, 26 CM</v>
          </cell>
          <cell r="D4865" t="str">
            <v>SUTURE HOOK, Ø 3.0 MM, 26 CM</v>
          </cell>
        </row>
        <row r="4866">
          <cell r="B4866" t="str">
            <v>24-556-33-07</v>
          </cell>
          <cell r="C4866" t="str">
            <v>TOURNIQUET, RUMEL-BELMONT, 4,2 MM, 27 CM</v>
          </cell>
          <cell r="D4866" t="str">
            <v>TOURNIQUET, RUMEL-BELMONT, 4.2 MM, 27 CM</v>
          </cell>
        </row>
        <row r="4867">
          <cell r="B4867" t="str">
            <v>24-558-33-07</v>
          </cell>
          <cell r="C4867" t="str">
            <v>TOURNIQUET, RUMEL-BELM., 8,8 MM, 30,5 CM</v>
          </cell>
          <cell r="D4867" t="str">
            <v>TOURNIQUET, RUMEL-BELM., 8.8 MM, 30.5 CM</v>
          </cell>
        </row>
        <row r="4868">
          <cell r="B4868" t="str">
            <v>24-559-15-07</v>
          </cell>
          <cell r="C4868" t="str">
            <v>ATR.-SUBRAMANIAN-KLEMME, 135°, 16 CM</v>
          </cell>
          <cell r="D4868" t="str">
            <v>ATR. SUBRAMANIAN-FORCEPS, 135°, 16 CM</v>
          </cell>
        </row>
        <row r="4869">
          <cell r="B4869" t="str">
            <v>24-561-16-07</v>
          </cell>
          <cell r="C4869" t="str">
            <v>ATR.-SUBRAMANIAN-KLEMME, RE., 16 CM</v>
          </cell>
          <cell r="D4869" t="str">
            <v>ATR. SUBRAMANIAN-FORCEPS, RIGHT, 16 CM</v>
          </cell>
        </row>
        <row r="4870">
          <cell r="B4870" t="str">
            <v>24-563-16-07</v>
          </cell>
          <cell r="C4870" t="str">
            <v>ATR.-SUBRAMANIAN-KLEMME, LI., 16 CM</v>
          </cell>
          <cell r="D4870" t="str">
            <v>ATR. SUBRAMANIAN-FORCEPS, LEFT, 16 CM</v>
          </cell>
        </row>
        <row r="4871">
          <cell r="B4871" t="str">
            <v>24-573-01-07</v>
          </cell>
          <cell r="C4871" t="str">
            <v>ATR.-KLEMME F. KINDER, FIG. 1, 14 CM</v>
          </cell>
          <cell r="D4871" t="str">
            <v>ATR. FORCEPS,  PEDIATRIC,  STR., 14 CM</v>
          </cell>
        </row>
        <row r="4872">
          <cell r="B4872" t="str">
            <v>24-573-02-07</v>
          </cell>
          <cell r="C4872" t="str">
            <v>ATR.-KLEMME F. KINDER, FIG. 2, 14 CM</v>
          </cell>
          <cell r="D4872" t="str">
            <v>ATR. FORCEPS,  PEDIATRIC,  14 CM</v>
          </cell>
        </row>
        <row r="4873">
          <cell r="B4873" t="str">
            <v>24-573-03-07</v>
          </cell>
          <cell r="C4873" t="str">
            <v>ATR.-KLEMME F. KINDER, FIG. 3, 14 CM</v>
          </cell>
          <cell r="D4873" t="str">
            <v>ATR. FORCEPS,  PEDIATRIC,  14 CM</v>
          </cell>
        </row>
        <row r="4874">
          <cell r="B4874" t="str">
            <v>24-573-04-07</v>
          </cell>
          <cell r="C4874" t="str">
            <v>ATR.-KLEMME F. KINDER, FIG. 4, 13,5 CM</v>
          </cell>
          <cell r="D4874" t="str">
            <v>ATR. FORCEPS,  PEDIATRIC,  13,5 CM</v>
          </cell>
        </row>
        <row r="4875">
          <cell r="B4875" t="str">
            <v>24-573-05-07</v>
          </cell>
          <cell r="C4875" t="str">
            <v>ATR.-KLEMME F. KINDER, FIG. 5, 14 CM</v>
          </cell>
          <cell r="D4875" t="str">
            <v>ATR. FORCEPS,  PEDIATRIC,  CVD, 14 CM</v>
          </cell>
        </row>
        <row r="4876">
          <cell r="B4876" t="str">
            <v>24-573-06-07</v>
          </cell>
          <cell r="C4876" t="str">
            <v>ATR.-KLEMME F. KINDER, FIG. 6, 13 CM</v>
          </cell>
          <cell r="D4876" t="str">
            <v>ATR. FORCEPS,  PEDIATRIC,  DB. ANG., 13 CM</v>
          </cell>
        </row>
        <row r="4877">
          <cell r="B4877" t="str">
            <v>24-573-07-07</v>
          </cell>
          <cell r="C4877" t="str">
            <v>ATR.-KLEMME F. KINDER, FIG. 7, 13 CM</v>
          </cell>
          <cell r="D4877" t="str">
            <v>ATR. FORCEPS,  PEDIATRIC,  DB. ANG., 13 CM</v>
          </cell>
        </row>
        <row r="4878">
          <cell r="B4878" t="str">
            <v>24-573-08-07</v>
          </cell>
          <cell r="C4878" t="str">
            <v>ATR.-KLEMME F. KINDER, FIG. 8, 14 CM</v>
          </cell>
          <cell r="D4878" t="str">
            <v>ATR. FORCEPS,  PEDIATRIC,  ST. CVD., 14 CM</v>
          </cell>
        </row>
        <row r="4879">
          <cell r="B4879" t="str">
            <v>24-573-09-07</v>
          </cell>
          <cell r="C4879" t="str">
            <v>ATR.-KLEMME F. KINDER, FIG. 9, 13 CM</v>
          </cell>
          <cell r="D4879" t="str">
            <v>ATR. FORCEPS,  PEDIATRIC,  ST. CVD., 13 CM</v>
          </cell>
        </row>
        <row r="4880">
          <cell r="B4880" t="str">
            <v>24-573-10-07</v>
          </cell>
          <cell r="C4880" t="str">
            <v>Atr.-Klemme f. Kinder, li. gew., 14 cm</v>
          </cell>
          <cell r="D4880" t="str">
            <v>Atr. fcps., pediatric,  left ang., 14 cm</v>
          </cell>
        </row>
        <row r="4881">
          <cell r="B4881" t="str">
            <v>24-573-11-07</v>
          </cell>
          <cell r="C4881" t="str">
            <v>Atr.-Klemme f. Kinder, re. gew., 14 cm</v>
          </cell>
          <cell r="D4881" t="str">
            <v>Atr. fcps., pediatric,  right ang., 14 cm</v>
          </cell>
        </row>
        <row r="4882">
          <cell r="B4882" t="str">
            <v>24-573-12-07</v>
          </cell>
          <cell r="C4882" t="str">
            <v>Atr.-Klemme f. Kinder, dopp. gew., 14 cm</v>
          </cell>
          <cell r="D4882" t="str">
            <v>Atr. forceps, pediatric,  db. ang., 14 cm</v>
          </cell>
        </row>
        <row r="4883">
          <cell r="B4883" t="str">
            <v>24-573-13-07</v>
          </cell>
          <cell r="C4883" t="str">
            <v>Atr.-Klemme f. Kinder, dopp. gew., 14 cm</v>
          </cell>
          <cell r="D4883" t="str">
            <v>Atr. forceps, pediatric,  db. ang., 14 cm</v>
          </cell>
        </row>
        <row r="4884">
          <cell r="B4884" t="str">
            <v>24-573-14-07</v>
          </cell>
          <cell r="C4884" t="str">
            <v>Atr.-Klemme f. Kinder, löffelf., 14 cm</v>
          </cell>
          <cell r="D4884" t="str">
            <v>Atr. forceps, pediatric,  spoon., 14 cm</v>
          </cell>
        </row>
        <row r="4885">
          <cell r="B4885" t="str">
            <v>24-573-15-07</v>
          </cell>
          <cell r="C4885" t="str">
            <v>Atr.-Klemme f. Kinder, löffelf., 14 cm</v>
          </cell>
          <cell r="D4885" t="str">
            <v>Atr. forceps, pediatric,  spoon., 14 cm</v>
          </cell>
        </row>
        <row r="4886">
          <cell r="B4886" t="str">
            <v>24-580-01-07</v>
          </cell>
          <cell r="C4886" t="str">
            <v>Atr.-Klemme, Kinder, ger., 13,5 cm</v>
          </cell>
          <cell r="D4886" t="str">
            <v>Atr. forceps, ped., str., 13,5 cm</v>
          </cell>
        </row>
        <row r="4887">
          <cell r="B4887" t="str">
            <v>24-580-02-07</v>
          </cell>
          <cell r="C4887" t="str">
            <v>Atr.-Klemme, Kinder, geb., 13 cm</v>
          </cell>
          <cell r="D4887" t="str">
            <v>Atr. forceps, ped., cvd., 13 cm</v>
          </cell>
        </row>
        <row r="4888">
          <cell r="B4888" t="str">
            <v>24-580-03-07</v>
          </cell>
          <cell r="C4888" t="str">
            <v>Atr.-Klemme, Kinder, 90° gew., 10,5 cm</v>
          </cell>
          <cell r="D4888" t="str">
            <v>Atr. forceps, ped., ang. 90°, 10,5 cm</v>
          </cell>
        </row>
        <row r="4889">
          <cell r="B4889" t="str">
            <v>24-580-04-07</v>
          </cell>
          <cell r="C4889" t="str">
            <v>Atr.-Klemme, Kinder, 30° gew., 12 cm</v>
          </cell>
          <cell r="D4889" t="str">
            <v>Atr. forceps, ped., ang. 30°, 12 cm</v>
          </cell>
        </row>
        <row r="4890">
          <cell r="B4890" t="str">
            <v>24-580-05-07</v>
          </cell>
          <cell r="C4890" t="str">
            <v>Atr.-Klemme, Kinder, löffelf., 13 cm</v>
          </cell>
          <cell r="D4890" t="str">
            <v>Atr. forceps, ped., spoon-sh.,  13 cm</v>
          </cell>
        </row>
        <row r="4891">
          <cell r="B4891" t="str">
            <v>24-581-01-09</v>
          </cell>
          <cell r="C4891" t="str">
            <v>Ti-Atr.-Klemme, neonatal,  10,5 cm</v>
          </cell>
          <cell r="D4891" t="str">
            <v>Ti-forceps,  neonatal,  10,5 cm</v>
          </cell>
        </row>
        <row r="4892">
          <cell r="B4892" t="str">
            <v>24-581-02-09</v>
          </cell>
          <cell r="C4892" t="str">
            <v>Ti-Atr.-Klemme, neonatal,  60°gew.,10,5cm</v>
          </cell>
          <cell r="D4892" t="str">
            <v>Ti-forceps,  neonatal,  ang. 60°, 10,5 cm</v>
          </cell>
        </row>
        <row r="4893">
          <cell r="B4893" t="str">
            <v>24-581-03-09</v>
          </cell>
          <cell r="C4893" t="str">
            <v>Ti-Atr.-Klemme, neon., löffelf.,10,5cm</v>
          </cell>
          <cell r="D4893" t="str">
            <v>Ti-forceps,  neonatal,  spoon-sh.,  10,5 cm</v>
          </cell>
        </row>
        <row r="4894">
          <cell r="B4894" t="str">
            <v>24-581-04-09</v>
          </cell>
          <cell r="C4894" t="str">
            <v>Ti-Atr.-Klemme, neon., anast., 10,5cm</v>
          </cell>
          <cell r="D4894" t="str">
            <v>Ti-forceps,  neonatal,  anast., 10,5 cm</v>
          </cell>
        </row>
        <row r="4895">
          <cell r="B4895" t="str">
            <v>24-581-05-09</v>
          </cell>
          <cell r="C4895" t="str">
            <v>Ti-Atr.-Klemme, neon., anast., 10,5cm</v>
          </cell>
          <cell r="D4895" t="str">
            <v>Ti-forceps,  neonatal,  anast., 10,5 cm</v>
          </cell>
        </row>
        <row r="4896">
          <cell r="B4896" t="str">
            <v>24-588-16-07</v>
          </cell>
          <cell r="C4896" t="str">
            <v>ATR.-KLEMME, KINDER, GER., 16,5 CM</v>
          </cell>
          <cell r="D4896" t="str">
            <v>ATR. FORCEPS,  PEDIATRIC,  STR., 16.5 CM</v>
          </cell>
        </row>
        <row r="4897">
          <cell r="B4897" t="str">
            <v>24-589-16-07</v>
          </cell>
          <cell r="C4897" t="str">
            <v>ATR.-KLEMME, KINDER, GEW., 16,5 CM</v>
          </cell>
          <cell r="D4897" t="str">
            <v>ATR. FORCEPS,  PEDIATRIC,  ANG., 16.5 CM</v>
          </cell>
        </row>
        <row r="4898">
          <cell r="B4898" t="str">
            <v>24-590-16-07</v>
          </cell>
          <cell r="C4898" t="str">
            <v>ATR.-KLEMME, KINDER, MITT. GEW., 15,5 CM</v>
          </cell>
          <cell r="D4898" t="str">
            <v>ATR. FORCEPS,  PEDI., MED. ANG., 15.5 CM</v>
          </cell>
        </row>
        <row r="4899">
          <cell r="B4899" t="str">
            <v>24-591-15-07</v>
          </cell>
          <cell r="C4899" t="str">
            <v>ATR.-KLEMME, KINDER, DOPP. GEB., 15,5 CM</v>
          </cell>
          <cell r="D4899" t="str">
            <v>ATR. FORCEPS,  PEDI., DBL. CVD., 15.5 CM</v>
          </cell>
        </row>
        <row r="4900">
          <cell r="B4900" t="str">
            <v>24-592-16-07</v>
          </cell>
          <cell r="C4900" t="str">
            <v>ATR.-KLEMME F. KINDER, DOPP. GEB., 16 CM</v>
          </cell>
          <cell r="D4900" t="str">
            <v>ATR. FORCEPS,  PEDI., DBL. CVD., 16 CM</v>
          </cell>
        </row>
        <row r="4901">
          <cell r="B4901" t="str">
            <v>24-593-00-07</v>
          </cell>
          <cell r="C4901" t="str">
            <v>Atr.-Neonatalklemme, ger., 13 cm</v>
          </cell>
          <cell r="D4901" t="str">
            <v>Atr. neonatal  forceps, str., 13 cm</v>
          </cell>
        </row>
        <row r="4902">
          <cell r="B4902" t="str">
            <v>24-593-01-07</v>
          </cell>
          <cell r="C4902" t="str">
            <v>ATR.-NEONATALKLEMME, 30° GEW., 12,5CM</v>
          </cell>
          <cell r="D4902" t="str">
            <v>ATR. NEONATAL  FORCEPS,  30° ANG., 12.5CM</v>
          </cell>
        </row>
        <row r="4903">
          <cell r="B4903" t="str">
            <v>24-593-02-07</v>
          </cell>
          <cell r="C4903" t="str">
            <v>ATR.-NEONATALKLEMME, 45° GEW., 12 CM</v>
          </cell>
          <cell r="D4903" t="str">
            <v>ATR. NEONATAL  FORCEPS,  45° ANG., 12 CM</v>
          </cell>
        </row>
        <row r="4904">
          <cell r="B4904" t="str">
            <v>24-593-03-07</v>
          </cell>
          <cell r="C4904" t="str">
            <v>ATR.-NEONATALKLEMME, 90° GEW., 11 CM</v>
          </cell>
          <cell r="D4904" t="str">
            <v>ATR. NEONATAL  FORCEPS,  90° ANG., 11 CM</v>
          </cell>
        </row>
        <row r="4905">
          <cell r="B4905" t="str">
            <v>24-595-01-07</v>
          </cell>
          <cell r="C4905" t="str">
            <v>ATR.-NEONATALKLEMME, GEB., 12 CM</v>
          </cell>
          <cell r="D4905" t="str">
            <v>ATR. NEONATAL  FORCEPS,  CVD., 12 CM</v>
          </cell>
        </row>
        <row r="4906">
          <cell r="B4906" t="str">
            <v>24-595-02-07</v>
          </cell>
          <cell r="C4906" t="str">
            <v>ATR.-NEONATALKLEMME, GEB., 12 CM</v>
          </cell>
          <cell r="D4906" t="str">
            <v>ATR. NEONATAL  FORCEPS,  CVD., 12 CM</v>
          </cell>
        </row>
        <row r="4907">
          <cell r="B4907" t="str">
            <v>24-595-03-07</v>
          </cell>
          <cell r="C4907" t="str">
            <v>ATR.-NEONATALKLEMME, GEB., 12 CM</v>
          </cell>
          <cell r="D4907" t="str">
            <v>ATR. NEONATAL  FORCEPS,  CVD., 12 CM</v>
          </cell>
        </row>
        <row r="4908">
          <cell r="B4908" t="str">
            <v>24-597-12-07</v>
          </cell>
          <cell r="C4908" t="str">
            <v>ATR.-NEONATALKLEMME, GEB., 12 CM</v>
          </cell>
          <cell r="D4908" t="str">
            <v>ATR. NEONATAL  FORCEPS,  CVD., 12 CM</v>
          </cell>
        </row>
        <row r="4909">
          <cell r="B4909" t="str">
            <v>24-599-01-04</v>
          </cell>
          <cell r="C4909" t="str">
            <v>Schere, marCore,  15°, Größe S, 17 cm</v>
          </cell>
          <cell r="D4909" t="str">
            <v>Scissors, marCore,  15°, small, 17 cm</v>
          </cell>
        </row>
        <row r="4910">
          <cell r="B4910" t="str">
            <v>24-599-02-04</v>
          </cell>
          <cell r="C4910" t="str">
            <v>Schere, marCore,  15°, Größe M, 24 cm</v>
          </cell>
          <cell r="D4910" t="str">
            <v>Scissors, marCore,  15°, medium,  24 cm</v>
          </cell>
        </row>
        <row r="4911">
          <cell r="B4911" t="str">
            <v>24-599-03-04</v>
          </cell>
          <cell r="C4911" t="str">
            <v>Schere, marCore,  15°, Größe L, 29 cm</v>
          </cell>
          <cell r="D4911" t="str">
            <v>Scissors, marCore,  15°, large, 29 cm</v>
          </cell>
        </row>
        <row r="4912">
          <cell r="B4912" t="str">
            <v>24-599-04-04</v>
          </cell>
          <cell r="C4912" t="str">
            <v>Schere, marCore,  30°, Größe S, 17 cm</v>
          </cell>
          <cell r="D4912" t="str">
            <v>Scissors, marCore,  30°, small, 17 cm</v>
          </cell>
        </row>
        <row r="4913">
          <cell r="B4913" t="str">
            <v>24-599-05-04</v>
          </cell>
          <cell r="C4913" t="str">
            <v>Schere, marCore,  30°, Größe M, 24 cm</v>
          </cell>
          <cell r="D4913" t="str">
            <v>Scissors, marCore,  30°, medium,  24 cm</v>
          </cell>
        </row>
        <row r="4914">
          <cell r="B4914" t="str">
            <v>24-599-06-04</v>
          </cell>
          <cell r="C4914" t="str">
            <v>Schere, marCore,  30°, Größe L, 29 cm</v>
          </cell>
          <cell r="D4914" t="str">
            <v>Scissors, marCore,  30°, large, 29 cm</v>
          </cell>
        </row>
        <row r="4915">
          <cell r="B4915" t="str">
            <v>24-599-07-04</v>
          </cell>
          <cell r="C4915" t="str">
            <v>Schere, marCore,  70°, Größe S, 17 cm</v>
          </cell>
          <cell r="D4915" t="str">
            <v>Scissors, marCore,  70°, small, 17 cm</v>
          </cell>
        </row>
        <row r="4916">
          <cell r="B4916" t="str">
            <v>24-599-08-04</v>
          </cell>
          <cell r="C4916" t="str">
            <v>SCHERE, MARCORE  70°, GRÖßE M, 24CM</v>
          </cell>
          <cell r="D4916" t="str">
            <v>Scissors, marCore,  70°, medium,  24 cm</v>
          </cell>
        </row>
        <row r="4917">
          <cell r="B4917" t="str">
            <v>24-599-09-04</v>
          </cell>
          <cell r="C4917" t="str">
            <v>Schere, marCore,  70°, Größe L, 29 cm</v>
          </cell>
          <cell r="D4917" t="str">
            <v>Scissors, marCore,  70°, large, 29 cm</v>
          </cell>
        </row>
        <row r="4918">
          <cell r="B4918" t="str">
            <v>24-599-10-04</v>
          </cell>
          <cell r="C4918" t="str">
            <v>Schere, marCore,  30°, starres Blatt, S</v>
          </cell>
          <cell r="D4918" t="str">
            <v>Scissors, marCore,  30°, single action, S</v>
          </cell>
        </row>
        <row r="4919">
          <cell r="B4919" t="str">
            <v>24-599-11-04</v>
          </cell>
          <cell r="C4919" t="str">
            <v>Schere, marCore,  30°, starres Blatt, M</v>
          </cell>
          <cell r="D4919" t="str">
            <v>Scissors, marCore,  30°, single action, M</v>
          </cell>
        </row>
        <row r="4920">
          <cell r="B4920" t="str">
            <v>24-599-12-04</v>
          </cell>
          <cell r="C4920" t="str">
            <v>Schere, marCore,  30°, starres Blatt, L</v>
          </cell>
          <cell r="D4920" t="str">
            <v>Scissors, marCore,  30°, single action, L</v>
          </cell>
        </row>
        <row r="4921">
          <cell r="B4921" t="str">
            <v>24-599-13-04</v>
          </cell>
          <cell r="C4921" t="str">
            <v>Schere, marCore,  Potts-Dietrich, 45°, S</v>
          </cell>
          <cell r="D4921" t="str">
            <v>Scissors, marCore,  Potts-Dietrich, 45°,S</v>
          </cell>
        </row>
        <row r="4922">
          <cell r="B4922" t="str">
            <v>24-599-14-04</v>
          </cell>
          <cell r="C4922" t="str">
            <v>Schere, marCore,  Potts-Dietrich, 45°, M</v>
          </cell>
          <cell r="D4922" t="str">
            <v>Scissors, marCore,  Potts-Dietrich, 45°,M</v>
          </cell>
        </row>
        <row r="4923">
          <cell r="B4923" t="str">
            <v>24-599-15-04</v>
          </cell>
          <cell r="C4923" t="str">
            <v>Schere, marCore,  Potts-Dietrich, 45°, L</v>
          </cell>
          <cell r="D4923" t="str">
            <v>Scissors, marCore,  Potts-Dietrich, 45°,L</v>
          </cell>
        </row>
        <row r="4924">
          <cell r="B4924" t="str">
            <v>24-599-16-04</v>
          </cell>
          <cell r="C4924" t="str">
            <v>Schere, marCore,  Potts-Dietrich, 125°, S</v>
          </cell>
          <cell r="D4924" t="str">
            <v>Scissors, marCore,  Potts-Dietrich,125°,S</v>
          </cell>
        </row>
        <row r="4925">
          <cell r="B4925" t="str">
            <v>24-599-17-04</v>
          </cell>
          <cell r="C4925" t="str">
            <v>Schere, marCore,  Potts-Dietrich, 125°, M</v>
          </cell>
          <cell r="D4925" t="str">
            <v>Scissors, marCore,  Potts-Dietrich,125°,M</v>
          </cell>
        </row>
        <row r="4926">
          <cell r="B4926" t="str">
            <v>24-599-18-04</v>
          </cell>
          <cell r="C4926" t="str">
            <v>Schere, marCore,  Potts-Dietrich, 125°, L</v>
          </cell>
          <cell r="D4926" t="str">
            <v>Scissors, marCore,  Potts-Dietrich,125°,L</v>
          </cell>
        </row>
        <row r="4927">
          <cell r="B4927" t="str">
            <v>24-599-20-04</v>
          </cell>
          <cell r="C4927" t="str">
            <v>TC-Nadelhalter, marCore,  ger., m. Sp., S</v>
          </cell>
          <cell r="D4927" t="str">
            <v>TC-Needleholder, marCore,  str.,w. lock,S</v>
          </cell>
        </row>
        <row r="4928">
          <cell r="B4928" t="str">
            <v>24-599-21-04</v>
          </cell>
          <cell r="C4928" t="str">
            <v>TC-Nadelhalter, marCore,  ger., m. Sp., M</v>
          </cell>
          <cell r="D4928" t="str">
            <v>TC-Needleholder, marCore,  str.,w. lock,M</v>
          </cell>
        </row>
        <row r="4929">
          <cell r="B4929" t="str">
            <v>24-599-22-04</v>
          </cell>
          <cell r="C4929" t="str">
            <v>TC-Nadelhalter, marCore,  ger., m. Sp., L</v>
          </cell>
          <cell r="D4929" t="str">
            <v>TC-Needleholder, marCore,  str.,w. lock,L</v>
          </cell>
        </row>
        <row r="4930">
          <cell r="B4930" t="str">
            <v>24-599-23-04</v>
          </cell>
          <cell r="C4930" t="str">
            <v>TC-Nadelhalter, marCore,  geb., m. Sp., S</v>
          </cell>
          <cell r="D4930" t="str">
            <v>TC-Needleholder, marCore,  cvd.,w. lock,S</v>
          </cell>
        </row>
        <row r="4931">
          <cell r="B4931" t="str">
            <v>24-599-24-04</v>
          </cell>
          <cell r="C4931" t="str">
            <v>TC-Nadelhalter, marCore,  geb., m. Sp., M</v>
          </cell>
          <cell r="D4931" t="str">
            <v>TC-Needleholder, marCore,  cvd.,w. lock,M</v>
          </cell>
        </row>
        <row r="4932">
          <cell r="B4932" t="str">
            <v>24-599-25-04</v>
          </cell>
          <cell r="C4932" t="str">
            <v>TC-Nadelhalter, marCore,  geb., m. Sp., L</v>
          </cell>
          <cell r="D4932" t="str">
            <v>TC-Needleholder, marCore,  cvd.,w. lock,L</v>
          </cell>
        </row>
        <row r="4933">
          <cell r="B4933" t="str">
            <v>24-599-26-04</v>
          </cell>
          <cell r="C4933" t="str">
            <v>TC-Nadelhalter, marCore,  n. Ryder, S</v>
          </cell>
          <cell r="D4933" t="str">
            <v>TC-Needleholder, marCore,  Ryder-style, S</v>
          </cell>
        </row>
        <row r="4934">
          <cell r="B4934" t="str">
            <v>24-599-27-04</v>
          </cell>
          <cell r="C4934" t="str">
            <v>TC-NADELHALTER MARCORE  NACH RYDER, M</v>
          </cell>
          <cell r="D4934" t="str">
            <v>TC-Needleholder, marCore,  Ryder-style, M</v>
          </cell>
        </row>
        <row r="4935">
          <cell r="B4935" t="str">
            <v>24-599-28-04</v>
          </cell>
          <cell r="C4935" t="str">
            <v>TC-Nadelhalter, marCore,  n. Ryder, L</v>
          </cell>
          <cell r="D4935" t="str">
            <v>TC-Needleholder, marCore,  Ryder-style, L</v>
          </cell>
        </row>
        <row r="4936">
          <cell r="B4936" t="str">
            <v>24-599-30-04</v>
          </cell>
          <cell r="C4936" t="str">
            <v>TC-Nadelhalter, marCore,  Mini, ger., S</v>
          </cell>
          <cell r="D4936" t="str">
            <v>TC-Needleholder, marCore,  mini, str., S</v>
          </cell>
        </row>
        <row r="4937">
          <cell r="B4937" t="str">
            <v>24-599-31-04</v>
          </cell>
          <cell r="C4937" t="str">
            <v>TC-Nadelhalter, marCore,  Mini, ger., M</v>
          </cell>
          <cell r="D4937" t="str">
            <v>TC-Needleholder, marCore,  mini, str., M</v>
          </cell>
        </row>
        <row r="4938">
          <cell r="B4938" t="str">
            <v>24-599-32-04</v>
          </cell>
          <cell r="C4938" t="str">
            <v>TC-Nadelhalter, marCore,  Mini, ger., L</v>
          </cell>
          <cell r="D4938" t="str">
            <v>TC-Needleholder, marCore,  mini, str., L</v>
          </cell>
        </row>
        <row r="4939">
          <cell r="B4939" t="str">
            <v>24-599-33-04</v>
          </cell>
          <cell r="C4939" t="str">
            <v>TC-Nadelhalter, marCore,  Mini, geb., S</v>
          </cell>
          <cell r="D4939" t="str">
            <v>TC-Needleholder, marCore,  mini, cvd., S</v>
          </cell>
        </row>
        <row r="4940">
          <cell r="B4940" t="str">
            <v>24-599-34-04</v>
          </cell>
          <cell r="C4940" t="str">
            <v>TC-Nadelhalter, marCore,  Mini, geb., M</v>
          </cell>
          <cell r="D4940" t="str">
            <v>TC-Needleholder, marCore,  mini, cvd., M</v>
          </cell>
        </row>
        <row r="4941">
          <cell r="B4941" t="str">
            <v>24-599-35-04</v>
          </cell>
          <cell r="C4941" t="str">
            <v>TC-Nadelhalter, marCore,  Mini, geb., L</v>
          </cell>
          <cell r="D4941" t="str">
            <v>TC-Needleholder, marCore,  mini, cvd., L</v>
          </cell>
        </row>
        <row r="4942">
          <cell r="B4942" t="str">
            <v>24-599-40-04</v>
          </cell>
          <cell r="C4942" t="str">
            <v>Nahtpinzette, marCore,  Größe S, 17 cm</v>
          </cell>
          <cell r="D4942" t="str">
            <v>Suture forceps, marCore,  small, 17 cm</v>
          </cell>
        </row>
        <row r="4943">
          <cell r="B4943" t="str">
            <v>24-599-41-04</v>
          </cell>
          <cell r="C4943" t="str">
            <v>Nahtpinzette, marCore,  Größe M, 24 cm</v>
          </cell>
          <cell r="D4943" t="str">
            <v>Suture forceps, marCore,  med., 24 cm</v>
          </cell>
        </row>
        <row r="4944">
          <cell r="B4944" t="str">
            <v>24-599-42-04</v>
          </cell>
          <cell r="C4944" t="str">
            <v>Nahtpinzette, marCore,  Größe L, 29 cm</v>
          </cell>
          <cell r="D4944" t="str">
            <v>Suture forceps, marCore,  large, 29 cm</v>
          </cell>
        </row>
        <row r="4945">
          <cell r="B4945" t="str">
            <v>24-599-43-04</v>
          </cell>
          <cell r="C4945" t="str">
            <v>Pinzette,  marCore,  DeBakey,  fein, S</v>
          </cell>
          <cell r="D4945" t="str">
            <v>Forceps, marCore,  DeBakey,  slim, S</v>
          </cell>
        </row>
        <row r="4946">
          <cell r="B4946" t="str">
            <v>24-599-44-04</v>
          </cell>
          <cell r="C4946" t="str">
            <v>Pinzette,  marCore,  DeBakey,  fein, M</v>
          </cell>
          <cell r="D4946" t="str">
            <v>Forceps, marCore,  DeBakey,  slim, M</v>
          </cell>
        </row>
        <row r="4947">
          <cell r="B4947" t="str">
            <v>24-599-45-04</v>
          </cell>
          <cell r="C4947" t="str">
            <v>Pinzette,  marCore,  DeBakey,  fein, L</v>
          </cell>
          <cell r="D4947" t="str">
            <v>Forceps, marCore,  DeBakey,  slim, L</v>
          </cell>
        </row>
        <row r="4948">
          <cell r="B4948" t="str">
            <v>24-599-46-04</v>
          </cell>
          <cell r="C4948" t="str">
            <v>Pinzette,  marCore,  DeBakey,  breit, S</v>
          </cell>
          <cell r="D4948" t="str">
            <v>Forceps, marCore,  DeBakey,  wide, S</v>
          </cell>
        </row>
        <row r="4949">
          <cell r="B4949" t="str">
            <v>24-599-47-04</v>
          </cell>
          <cell r="C4949" t="str">
            <v>Pinzette,  marCore,  DeBakey,  breit, M</v>
          </cell>
          <cell r="D4949" t="str">
            <v>Forceps, marCore,  DeBakey,  wide, M</v>
          </cell>
        </row>
        <row r="4950">
          <cell r="B4950" t="str">
            <v>24-599-48-04</v>
          </cell>
          <cell r="C4950" t="str">
            <v>Pinzette,  marCore,  DeBakey,  breit, L</v>
          </cell>
          <cell r="D4950" t="str">
            <v>Forceps, marCore,  DeBakey,  wide, L</v>
          </cell>
        </row>
        <row r="4951">
          <cell r="B4951" t="str">
            <v>24-599-49-04</v>
          </cell>
          <cell r="C4951" t="str">
            <v>Pinz., marCore,  DeBakey,fein,st.Blatt,S</v>
          </cell>
          <cell r="D4951" t="str">
            <v>Fcps., marCore,DeBakey,fine,sing. act.,S</v>
          </cell>
        </row>
        <row r="4952">
          <cell r="B4952" t="str">
            <v>24-599-50-04</v>
          </cell>
          <cell r="C4952" t="str">
            <v>Pinz., marCore,  DeBakey,fein,st.Blatt,M</v>
          </cell>
          <cell r="D4952" t="str">
            <v>Fcps., marCore,DeBakey,fine,sing. act.,M</v>
          </cell>
        </row>
        <row r="4953">
          <cell r="B4953" t="str">
            <v>24-599-51-04</v>
          </cell>
          <cell r="C4953" t="str">
            <v>Pinz., marCore,  DeBakey,fein,st.Blatt,L</v>
          </cell>
          <cell r="D4953" t="str">
            <v>Fcps., marCore,DeBakey,fine,sing. act.,L</v>
          </cell>
        </row>
        <row r="4954">
          <cell r="B4954" t="str">
            <v>24-599-52-04</v>
          </cell>
          <cell r="C4954" t="str">
            <v>Pinz., marCore,  DeBakey,breit,st.Blatt,S</v>
          </cell>
          <cell r="D4954" t="str">
            <v>Fcps., marCore,DeBakey,wide,sing. act.,S</v>
          </cell>
        </row>
        <row r="4955">
          <cell r="B4955" t="str">
            <v>24-599-53-04</v>
          </cell>
          <cell r="C4955" t="str">
            <v>Pinz., marCore,  DeBakey,breit,st.Blatt,M</v>
          </cell>
          <cell r="D4955" t="str">
            <v>Fcps., marCore,DeBakey,wide,sing. act.,M</v>
          </cell>
        </row>
        <row r="4956">
          <cell r="B4956" t="str">
            <v>24-599-54-04</v>
          </cell>
          <cell r="C4956" t="str">
            <v>Pinz., marCore,  DeBakey,breit,st.Blatt,L</v>
          </cell>
          <cell r="D4956" t="str">
            <v>Fcps., marCore,DeBakey,wide,sing. act.,L</v>
          </cell>
        </row>
        <row r="4957">
          <cell r="B4957" t="str">
            <v>24-599-55-04</v>
          </cell>
          <cell r="C4957" t="str">
            <v>Pinzette,  marCore,  Resano, st. Blatt, S</v>
          </cell>
          <cell r="D4957" t="str">
            <v>Forceps, marCore,  Resano, single act., S</v>
          </cell>
        </row>
        <row r="4958">
          <cell r="B4958" t="str">
            <v>24-599-56-04</v>
          </cell>
          <cell r="C4958" t="str">
            <v>Pinzette,  marCore,  Resano, st. Blatt, M</v>
          </cell>
          <cell r="D4958" t="str">
            <v>Forceps, marCore,  Resano, single act., M</v>
          </cell>
        </row>
        <row r="4959">
          <cell r="B4959" t="str">
            <v>24-599-57-04</v>
          </cell>
          <cell r="C4959" t="str">
            <v>Pinzette,  marCore,  Resano, st. Blatt, L</v>
          </cell>
          <cell r="D4959" t="str">
            <v>Forceps, marCore,  Resano, single act., L</v>
          </cell>
        </row>
        <row r="4960">
          <cell r="B4960" t="str">
            <v>24-599-60-04</v>
          </cell>
          <cell r="C4960" t="str">
            <v>Knotenschieber, marCore,  Größe S, 17 cm</v>
          </cell>
          <cell r="D4960" t="str">
            <v>Knot-pusher, marCore,  small, 17 cm</v>
          </cell>
        </row>
        <row r="4961">
          <cell r="B4961" t="str">
            <v>24-599-61-04</v>
          </cell>
          <cell r="C4961" t="str">
            <v>Knotenschieber, marCore,  Größe M, 24 cm</v>
          </cell>
          <cell r="D4961" t="str">
            <v>Knot-pusher, marCore,  medium,  24 cm</v>
          </cell>
        </row>
        <row r="4962">
          <cell r="B4962" t="str">
            <v>24-599-62-04</v>
          </cell>
          <cell r="C4962" t="str">
            <v>Knotenschieber, marCore,  Größe L, 29 cm</v>
          </cell>
          <cell r="D4962" t="str">
            <v>Knot-pusher, marCore,  large, 29 cm</v>
          </cell>
        </row>
        <row r="4963">
          <cell r="B4963" t="str">
            <v>24-599-63-04</v>
          </cell>
          <cell r="C4963" t="str">
            <v>Pinzette,marCore,IMA,aufgew.,st. Blatt,S</v>
          </cell>
          <cell r="D4963" t="str">
            <v>Forceps,marCore,IMA,upwards,sing. act.,S</v>
          </cell>
        </row>
        <row r="4964">
          <cell r="B4964" t="str">
            <v>24-599-64-04</v>
          </cell>
          <cell r="C4964" t="str">
            <v>Pinzette,marCore,IMA,aufgew.,st. Blatt,M</v>
          </cell>
          <cell r="D4964" t="str">
            <v>Forceps,marCore,IMA,upwards,sing. act.,M</v>
          </cell>
        </row>
        <row r="4965">
          <cell r="B4965" t="str">
            <v>24-599-65-04</v>
          </cell>
          <cell r="C4965" t="str">
            <v>Pinzette,marCore,IMA,aufgew.,st. Blatt,L</v>
          </cell>
          <cell r="D4965" t="str">
            <v>Forceps,marCore,IMA,upwards,sing. act.,L</v>
          </cell>
        </row>
        <row r="4966">
          <cell r="B4966" t="str">
            <v>24-599-70-09</v>
          </cell>
          <cell r="C4966" t="str">
            <v>Häkchen,  marCore,  5 mm, 26 cm</v>
          </cell>
          <cell r="D4966" t="str">
            <v>Hook, marCore,  5 mm, 26 cm</v>
          </cell>
        </row>
        <row r="4967">
          <cell r="B4967" t="str">
            <v>24-599-71-09</v>
          </cell>
          <cell r="C4967" t="str">
            <v>Häkchen,  marCore,  5 mm, 36 cm</v>
          </cell>
          <cell r="D4967" t="str">
            <v>Hook, marCore,  5 mm, 36 cm</v>
          </cell>
        </row>
        <row r="4968">
          <cell r="B4968" t="str">
            <v>24-599-72-09</v>
          </cell>
          <cell r="C4968" t="str">
            <v>Häkchen,  marCore,  5 mm, m. Knopf, 26 cm</v>
          </cell>
          <cell r="D4968" t="str">
            <v>Hook, marCore,  5 mm, w. button, 26 cm</v>
          </cell>
        </row>
        <row r="4969">
          <cell r="B4969" t="str">
            <v>24-599-73-09</v>
          </cell>
          <cell r="C4969" t="str">
            <v>Häkchen,  marCore,  5 mm, m. Knopf, 36 cm</v>
          </cell>
          <cell r="D4969" t="str">
            <v>Hook, marCore,  5 mm, w. button, 36 cm</v>
          </cell>
        </row>
        <row r="4970">
          <cell r="B4970" t="str">
            <v>24-599-74-09</v>
          </cell>
          <cell r="C4970" t="str">
            <v>Häkchen,  marCore,  10 mm, 26 cm</v>
          </cell>
          <cell r="D4970" t="str">
            <v>Hook, marCore,  10 mm, 26 cm</v>
          </cell>
        </row>
        <row r="4971">
          <cell r="B4971" t="str">
            <v>24-599-75-09</v>
          </cell>
          <cell r="C4971" t="str">
            <v>Häkchen,  marCore,  10 mm, 36 cm</v>
          </cell>
          <cell r="D4971" t="str">
            <v>Hook, marCore,  10 mm, 36 cm</v>
          </cell>
        </row>
        <row r="4972">
          <cell r="B4972" t="str">
            <v>24-599-76-09</v>
          </cell>
          <cell r="C4972" t="str">
            <v>Häkchen,  marCore,  10 mm, m. Knopf, 26 cm</v>
          </cell>
          <cell r="D4972" t="str">
            <v>Hook, marCore,  10 mm, w. button, 26 cm</v>
          </cell>
        </row>
        <row r="4973">
          <cell r="B4973" t="str">
            <v>24-599-77-09</v>
          </cell>
          <cell r="C4973" t="str">
            <v>Häkchen,  marCore,  10 mm, m. Knopf, 36 cm</v>
          </cell>
          <cell r="D4973" t="str">
            <v>Hook, marCore,  10 mm, w. button, 36 cm</v>
          </cell>
        </row>
        <row r="4974">
          <cell r="B4974" t="str">
            <v>24-599-78-09</v>
          </cell>
          <cell r="C4974" t="str">
            <v>Häkchen,  marCore,  120°, 5 mm, 26 cm</v>
          </cell>
          <cell r="D4974" t="str">
            <v>Hook, marCore,  120°, 5 mm, 26 cm</v>
          </cell>
        </row>
        <row r="4975">
          <cell r="B4975" t="str">
            <v>24-599-79-09</v>
          </cell>
          <cell r="C4975" t="str">
            <v>Häkchen,  marCore,  120°, 5 mm, 36 cm</v>
          </cell>
          <cell r="D4975" t="str">
            <v>Hook, marCore,  120°, 5 mm, 36 cm</v>
          </cell>
        </row>
        <row r="4976">
          <cell r="B4976" t="str">
            <v>24-599-80-09</v>
          </cell>
          <cell r="C4976" t="str">
            <v>Häkchen,  marCore,  120°, 10 mm, 26 cm</v>
          </cell>
          <cell r="D4976" t="str">
            <v>Hook, marCore,  120°, 10 mm, 26 cm</v>
          </cell>
        </row>
        <row r="4977">
          <cell r="B4977" t="str">
            <v>24-599-81-09</v>
          </cell>
          <cell r="C4977" t="str">
            <v>Häkchen,  marCore,  120°, 10 mm, 36 cm</v>
          </cell>
          <cell r="D4977" t="str">
            <v>Hook, marCore,  120°, 10 mm, 36 cm</v>
          </cell>
        </row>
        <row r="4978">
          <cell r="B4978" t="str">
            <v>24-599-82-07</v>
          </cell>
          <cell r="C4978" t="str">
            <v>Fadenfänger, marCore,  26 cm</v>
          </cell>
          <cell r="D4978" t="str">
            <v>Ligature catcher, marCore,  26 cm</v>
          </cell>
        </row>
        <row r="4979">
          <cell r="B4979" t="str">
            <v>24-599-83-07</v>
          </cell>
          <cell r="C4979" t="str">
            <v>Fadenfänger, marCore,  36 cm</v>
          </cell>
          <cell r="D4979" t="str">
            <v>Ligature catcher, marCore,  36 cm</v>
          </cell>
        </row>
        <row r="4980">
          <cell r="B4980" t="str">
            <v>24-599-84-07</v>
          </cell>
          <cell r="C4980" t="str">
            <v>Skalpellgriff, marCore,  Mikrokl.,  26 cm</v>
          </cell>
          <cell r="D4980" t="str">
            <v>Scalpel handle, marCore,  microbl.,  26cm</v>
          </cell>
        </row>
        <row r="4981">
          <cell r="B4981" t="str">
            <v>24-599-85-07</v>
          </cell>
          <cell r="C4981" t="str">
            <v>Skalpellgriff, marCore,  Mikrokl.,  34 cm</v>
          </cell>
          <cell r="D4981" t="str">
            <v>Scalpel handle, marCore,  microbl.,  34cm</v>
          </cell>
        </row>
        <row r="4982">
          <cell r="B4982" t="str">
            <v>24-599-86-07</v>
          </cell>
          <cell r="C4982" t="str">
            <v>Skalpellgriff, marCore,  #11, 26 cm</v>
          </cell>
          <cell r="D4982" t="str">
            <v>Scalpel handle, marCore,  #11, 26 cm</v>
          </cell>
        </row>
        <row r="4983">
          <cell r="B4983" t="str">
            <v>24-599-87-07</v>
          </cell>
          <cell r="C4983" t="str">
            <v>Skalpellgriff, marCore,  #11, 34 cm</v>
          </cell>
          <cell r="D4983" t="str">
            <v>Scalpel handle, marCore,  #11, 34 cm</v>
          </cell>
        </row>
        <row r="4984">
          <cell r="B4984" t="str">
            <v>24-599-88-07</v>
          </cell>
          <cell r="C4984" t="str">
            <v>Retriever,  marCore,  magn., biegs., 36cm</v>
          </cell>
          <cell r="D4984" t="str">
            <v>Retriever,  marCore,  magn., mall., 36 cm</v>
          </cell>
        </row>
        <row r="4985">
          <cell r="B4985" t="str">
            <v>24-599-89-07</v>
          </cell>
          <cell r="C4985" t="str">
            <v>marCore,  Lehre, Chordae Tendinae,  41 cm</v>
          </cell>
          <cell r="D4985" t="str">
            <v>marCore,  sizer, Chordae Tendinae,  41cm</v>
          </cell>
        </row>
        <row r="4986">
          <cell r="B4986" t="str">
            <v>24-599-91-07</v>
          </cell>
          <cell r="C4986" t="str">
            <v>Aortenklemme, marCore,  transth., 31 cm</v>
          </cell>
          <cell r="D4986" t="str">
            <v>Aortic fcps., marCore,  transth., 31 cm</v>
          </cell>
        </row>
        <row r="4987">
          <cell r="B4987" t="str">
            <v>24-599-92-07</v>
          </cell>
          <cell r="C4987" t="str">
            <v>Aortenklemme, marCore,  transth., 33 cm</v>
          </cell>
          <cell r="D4987" t="str">
            <v>Aortic fcps., marCore,  transth., 33 cm</v>
          </cell>
        </row>
        <row r="4988">
          <cell r="B4988" t="str">
            <v>24-599-93-07</v>
          </cell>
          <cell r="C4988" t="str">
            <v>Aortenklemme, marCore,  transth., 36 cm</v>
          </cell>
          <cell r="D4988" t="str">
            <v>Aortic fcps., marCore,  transth., 36 cm</v>
          </cell>
        </row>
        <row r="4989">
          <cell r="B4989" t="str">
            <v>24-600-30-07</v>
          </cell>
          <cell r="C4989" t="str">
            <v>DRAHTSÄGE, GIGLI, 4-FACH, 30 CM</v>
          </cell>
          <cell r="D4989" t="str">
            <v>WIRE SAW, GIGLI, FOURFOLD, 30 CM</v>
          </cell>
        </row>
        <row r="4990">
          <cell r="B4990" t="str">
            <v>24-600-40-07</v>
          </cell>
          <cell r="C4990" t="str">
            <v>DRAHTSÄGE, GIGLI, 4-FACH, 40 CM</v>
          </cell>
          <cell r="D4990" t="str">
            <v>WIRE SAW, GIGLI, FOURFOLD, 40 CM</v>
          </cell>
        </row>
        <row r="4991">
          <cell r="B4991" t="str">
            <v>24-600-50-07</v>
          </cell>
          <cell r="C4991" t="str">
            <v>DRAHTSÄGE, GIGLI, 4-FACH, 50 CM</v>
          </cell>
          <cell r="D4991" t="str">
            <v>WIRE SAW, GIGLI, FOURFOLD, 50 CM</v>
          </cell>
        </row>
        <row r="4992">
          <cell r="B4992" t="str">
            <v>24-600-60-07</v>
          </cell>
          <cell r="C4992" t="str">
            <v>DRAHTSÄGE, GIGLI, 4-FACH, 60 CM</v>
          </cell>
          <cell r="D4992" t="str">
            <v>WIRE SAW, GIGLI, FOURFOLD, 60 CM</v>
          </cell>
        </row>
        <row r="4993">
          <cell r="B4993" t="str">
            <v>24-600-70-07</v>
          </cell>
          <cell r="C4993" t="str">
            <v>DRAHTSÄGE, GIGLI, 4-FACH, 70 CM</v>
          </cell>
          <cell r="D4993" t="str">
            <v>WIRE SAW, GIGLI, FOURFOLD, 70 CM</v>
          </cell>
        </row>
        <row r="4994">
          <cell r="B4994" t="str">
            <v>24-602-01-01</v>
          </cell>
          <cell r="C4994" t="str">
            <v>HAKENGRIFF, GIGLI, Z. DRAHTSÄGEN</v>
          </cell>
          <cell r="D4994" t="str">
            <v>HOOK HANDLE,  F. WIRE SAWS</v>
          </cell>
        </row>
        <row r="4995">
          <cell r="B4995" t="str">
            <v>24-618-33-07</v>
          </cell>
          <cell r="C4995" t="str">
            <v>DRAHTSÄGEN-EINFÜHRINSTRUM., DE MARTEL</v>
          </cell>
          <cell r="D4995" t="str">
            <v>WIRE SAW CONDUCTOR, DE MARTEL</v>
          </cell>
        </row>
        <row r="4996">
          <cell r="B4996" t="str">
            <v>24-641-01-07</v>
          </cell>
          <cell r="C4996" t="str">
            <v>SCHÄDELHALTER, CRUTCHFIELD, KLEIN</v>
          </cell>
          <cell r="D4996" t="str">
            <v>SKULL TRACTION  TONG, CRUTCHFIELD, SMALL</v>
          </cell>
        </row>
        <row r="4997">
          <cell r="B4997" t="str">
            <v>24-641-02-07</v>
          </cell>
          <cell r="C4997" t="str">
            <v>SCHÄDELHALTER, CRUTCHFIELD, MITTEL</v>
          </cell>
          <cell r="D4997" t="str">
            <v>SKULL TRACTION  TONG, CRUTCHFIELD, MEDIUM</v>
          </cell>
        </row>
        <row r="4998">
          <cell r="B4998" t="str">
            <v>24-641-04-07</v>
          </cell>
          <cell r="C4998" t="str">
            <v>VORBOHRER Z. 24-641-02,  Ø 3,5 MM, 7 CM</v>
          </cell>
          <cell r="D4998" t="str">
            <v>DRILL PIN F. 24-641-02,  Ø 3.5 MM, 7 CM</v>
          </cell>
        </row>
        <row r="4999">
          <cell r="B4999" t="str">
            <v>24-641-05-07</v>
          </cell>
          <cell r="C4999" t="str">
            <v>VORBOHRER Z. 24-641-02,  Ø 5,0 MM, 7 CM</v>
          </cell>
          <cell r="D4999" t="str">
            <v>DRILL PIN F. 24-641-02,  Ø 5.0 MM, 7 CM</v>
          </cell>
        </row>
        <row r="5000">
          <cell r="B5000" t="str">
            <v>24-643-01-07</v>
          </cell>
          <cell r="C5000" t="str">
            <v>SCHÄDELHALTER, DORNE VERSTELLBAR</v>
          </cell>
          <cell r="D5000" t="str">
            <v>SKULL TRACTION  TONG, PINS ADJUSTABLE</v>
          </cell>
        </row>
        <row r="5001">
          <cell r="B5001" t="str">
            <v>24-643-10-07</v>
          </cell>
          <cell r="C5001" t="str">
            <v>ERSATZDORN, Z. 24-643-01</v>
          </cell>
          <cell r="D5001" t="str">
            <v>SPARE PIN, F. 24-643-01</v>
          </cell>
        </row>
        <row r="5002">
          <cell r="B5002" t="str">
            <v>24-654-20-07</v>
          </cell>
          <cell r="C5002" t="str">
            <v>SCHÄDELZANGE, DAHLGREN, 19,5 CM</v>
          </cell>
          <cell r="D5002" t="str">
            <v>CRANIAL  RONGEUR,  DAHLGREN, 19.5 CM</v>
          </cell>
        </row>
        <row r="5003">
          <cell r="B5003" t="str">
            <v>24-658-21-07</v>
          </cell>
          <cell r="C5003" t="str">
            <v>SCHÄDELZANGE, DE VILBISS, 21 CM</v>
          </cell>
          <cell r="D5003" t="str">
            <v>CRANIAL  RONGEUR,  DE VILBISS, 21 CM</v>
          </cell>
        </row>
        <row r="5004">
          <cell r="B5004" t="str">
            <v>24-675-00-07</v>
          </cell>
          <cell r="C5004" t="str">
            <v>KOPFHAUTKLAMMER, RANEY</v>
          </cell>
          <cell r="D5004" t="str">
            <v>SCALP CLAMP, RANEY</v>
          </cell>
        </row>
        <row r="5005">
          <cell r="B5005" t="str">
            <v>24-676-00-07</v>
          </cell>
          <cell r="C5005" t="str">
            <v>ANLEGE-  U. ABNEHMZANGE F. RANEY-CLIPS</v>
          </cell>
          <cell r="D5005" t="str">
            <v>APPLYING/REMOVAL FORCEPS  F. RANEY-CLIPS</v>
          </cell>
        </row>
        <row r="5006">
          <cell r="B5006" t="str">
            <v>24-678-01-07</v>
          </cell>
          <cell r="C5006" t="str">
            <v>GALEAHAKEN, YASARGIL,  30 CM</v>
          </cell>
          <cell r="D5006" t="str">
            <v>GALEA RETRACTOR, (HOOK) YASARGIL,  30 CM</v>
          </cell>
        </row>
        <row r="5007">
          <cell r="B5007" t="str">
            <v>24-678-02-07</v>
          </cell>
          <cell r="C5007" t="str">
            <v>GALEAHAKEN, YASARGIL,  41 CM</v>
          </cell>
          <cell r="D5007" t="str">
            <v>GALEA RETRACTOR, (HOOK) YASARGIL,  41 CM</v>
          </cell>
        </row>
        <row r="5008">
          <cell r="B5008" t="str">
            <v>24-680-25-07</v>
          </cell>
          <cell r="C5008" t="str">
            <v>Dissektor,  Toennis, doppelt, 24 cm</v>
          </cell>
          <cell r="D5008" t="str">
            <v>Dissector,  Toennis, dbl-ended,  24 cm</v>
          </cell>
        </row>
        <row r="5009">
          <cell r="B5009" t="str">
            <v>24-681-24-07</v>
          </cell>
          <cell r="C5009" t="str">
            <v>Dissektor,  Olivecrona, doppelt, 24 cm</v>
          </cell>
          <cell r="D5009" t="str">
            <v>Dissector,  Olivecrona, dbl-ended,  24 cm</v>
          </cell>
        </row>
        <row r="5010">
          <cell r="B5010" t="str">
            <v>24-682-18-07</v>
          </cell>
          <cell r="C5010" t="str">
            <v>Dissektor,  Olivecrona, doppelt, 18 cm</v>
          </cell>
          <cell r="D5010" t="str">
            <v>Dissector,  Olivecrona, dbl-ended,  18 cm</v>
          </cell>
        </row>
        <row r="5011">
          <cell r="B5011" t="str">
            <v>24-683-24-07</v>
          </cell>
          <cell r="C5011" t="str">
            <v>Dissektor,  Olivecrona, doppelt, 24 cm</v>
          </cell>
          <cell r="D5011" t="str">
            <v>Dissector,  Olivecrona, dbl-ended,  24 cm</v>
          </cell>
        </row>
        <row r="5012">
          <cell r="B5012" t="str">
            <v>24-684-19-07</v>
          </cell>
          <cell r="C5012" t="str">
            <v>Dissektor,  Olivecrona, doppelt, 20 cm</v>
          </cell>
          <cell r="D5012" t="str">
            <v>Dissector,  Olivecrona, dbl-ended,  20 cm</v>
          </cell>
        </row>
        <row r="5013">
          <cell r="B5013" t="str">
            <v>24-685-21-07</v>
          </cell>
          <cell r="C5013" t="str">
            <v>Separator,  Sachs, scharf, 20,5 cm</v>
          </cell>
          <cell r="D5013" t="str">
            <v>Separator,  Sachs, sharp, 20.5 cm</v>
          </cell>
        </row>
        <row r="5014">
          <cell r="B5014" t="str">
            <v>24-686-21-07</v>
          </cell>
          <cell r="C5014" t="str">
            <v>Separator,  Milligan, doppelt, 21,5 cm</v>
          </cell>
          <cell r="D5014" t="str">
            <v>Separator,  Milligan, dbl.-ended  21.5 cm</v>
          </cell>
        </row>
        <row r="5015">
          <cell r="B5015" t="str">
            <v>24-687-21-07</v>
          </cell>
          <cell r="C5015" t="str">
            <v>Separator,  Davis, halb-scharf, 21,5 cm</v>
          </cell>
          <cell r="D5015" t="str">
            <v>Separator,  Davis, semi-sharp, 21.5 cm</v>
          </cell>
        </row>
        <row r="5016">
          <cell r="B5016" t="str">
            <v>24-688-22-07</v>
          </cell>
          <cell r="C5016" t="str">
            <v>Dissektor,  doppelt, 22 cm</v>
          </cell>
          <cell r="D5016" t="str">
            <v>Dissector,  double-ended, 22 cm</v>
          </cell>
        </row>
        <row r="5017">
          <cell r="B5017" t="str">
            <v>24-690-01-07</v>
          </cell>
          <cell r="C5017" t="str">
            <v>Dissektor,  Penfield,  # 1, 17,5 cm</v>
          </cell>
          <cell r="D5017" t="str">
            <v>Dissector,  Penfield,  # 1, 17.5 cm</v>
          </cell>
        </row>
        <row r="5018">
          <cell r="B5018" t="str">
            <v>24-690-02-07</v>
          </cell>
          <cell r="C5018" t="str">
            <v>Dissektor,  Penfield,  # 2, 19,5 cm</v>
          </cell>
          <cell r="D5018" t="str">
            <v>Dissector,  Penfield,  # 2, 19.5 cm</v>
          </cell>
        </row>
        <row r="5019">
          <cell r="B5019" t="str">
            <v>24-690-03-07</v>
          </cell>
          <cell r="C5019" t="str">
            <v>Dissektor,  Penfield,  # 3, 19,5 cm</v>
          </cell>
          <cell r="D5019" t="str">
            <v>Dissector,  Penfield,  # 3, 19.5 cm</v>
          </cell>
        </row>
        <row r="5020">
          <cell r="B5020" t="str">
            <v>24-690-04-07</v>
          </cell>
          <cell r="C5020" t="str">
            <v>Dissektor,  Penfield,  # 4, 20,5 cm</v>
          </cell>
          <cell r="D5020" t="str">
            <v>Dissector,  Penfield,  # 4, 20.5 cm</v>
          </cell>
        </row>
        <row r="5021">
          <cell r="B5021" t="str">
            <v>24-690-05-07</v>
          </cell>
          <cell r="C5021" t="str">
            <v>Dissektor,  Penfield,  29 cm, #5</v>
          </cell>
          <cell r="D5021" t="str">
            <v>Dissector,  Penfield,  29 cm, #5</v>
          </cell>
        </row>
        <row r="5022">
          <cell r="B5022" t="str">
            <v>24-691-24-07</v>
          </cell>
          <cell r="C5022" t="str">
            <v>Dissektor,  Davis, doppelt, 24,5 cm</v>
          </cell>
          <cell r="D5022" t="str">
            <v>Dissector,  Davis, double-ended, 24.5 cm</v>
          </cell>
        </row>
        <row r="5023">
          <cell r="B5023" t="str">
            <v>24-702-03-07</v>
          </cell>
          <cell r="C5023" t="str">
            <v>Spannarm,  flexibel</v>
          </cell>
          <cell r="D5023" t="str">
            <v>Arm, flexible</v>
          </cell>
        </row>
        <row r="5024">
          <cell r="B5024" t="str">
            <v>24-702-04-07</v>
          </cell>
          <cell r="C5024" t="str">
            <v>Fixiervorrichtung f. 1 Spannarm</v>
          </cell>
          <cell r="D5024" t="str">
            <v>Fixation device for 1 flexible arm</v>
          </cell>
        </row>
        <row r="5025">
          <cell r="B5025" t="str">
            <v>24-702-05-07</v>
          </cell>
          <cell r="C5025" t="str">
            <v>Fixiervorrichtung f. 2 Spannarme</v>
          </cell>
          <cell r="D5025" t="str">
            <v>Fixation device for 2 flexible arms</v>
          </cell>
        </row>
        <row r="5026">
          <cell r="B5026" t="str">
            <v>24-702-06-07</v>
          </cell>
          <cell r="C5026" t="str">
            <v>Fixiervorrichtung f. 1 Spannarm</v>
          </cell>
          <cell r="D5026" t="str">
            <v>Fixation device for 1 flexible arm</v>
          </cell>
        </row>
        <row r="5027">
          <cell r="B5027" t="str">
            <v>24-702-07-07</v>
          </cell>
          <cell r="C5027" t="str">
            <v>Spatelhalter, m. Rundschaft f. Spannarm</v>
          </cell>
          <cell r="D5027" t="str">
            <v>Spatula holder, rd shaft for flex. arm</v>
          </cell>
        </row>
        <row r="5028">
          <cell r="B5028" t="str">
            <v>24-702-08-07</v>
          </cell>
          <cell r="C5028" t="str">
            <v>Spatelhalter f. flache Spatel</v>
          </cell>
          <cell r="D5028" t="str">
            <v>Spatula holder for flat spatula</v>
          </cell>
        </row>
        <row r="5029">
          <cell r="B5029" t="str">
            <v>24-702-13-07</v>
          </cell>
          <cell r="C5029" t="str">
            <v>Kugelgelenkkloben f. Leyla-Retraktor</v>
          </cell>
          <cell r="D5029" t="str">
            <v>Ball joint clamp for Leyla retractor</v>
          </cell>
        </row>
        <row r="5030">
          <cell r="B5030" t="str">
            <v>24-702-14-07</v>
          </cell>
          <cell r="C5030" t="str">
            <v>Haltearm  f. Leyla-Retraktor</v>
          </cell>
          <cell r="D5030" t="str">
            <v>Supporting  arm for Leyla retractor</v>
          </cell>
        </row>
        <row r="5031">
          <cell r="B5031" t="str">
            <v>24-702-15-07</v>
          </cell>
          <cell r="C5031" t="str">
            <v>Kupplungskopf f. 1-5 Spannarme</v>
          </cell>
          <cell r="D5031" t="str">
            <v>Coupling  head for 1-5 flexible arms</v>
          </cell>
        </row>
        <row r="5032">
          <cell r="B5032" t="str">
            <v>24-702-16-07</v>
          </cell>
          <cell r="C5032" t="str">
            <v>Kupplungskopf f. 1 Spannarm</v>
          </cell>
          <cell r="D5032" t="str">
            <v>Coupling  head for 1 flexible arm</v>
          </cell>
        </row>
        <row r="5033">
          <cell r="B5033" t="str">
            <v>24-720-08-01</v>
          </cell>
          <cell r="C5033" t="str">
            <v>Spatel, Heifetz, biegs., 8x155 mm</v>
          </cell>
          <cell r="D5033" t="str">
            <v>Spatula, Heifetz, malleable,  8x155 mm</v>
          </cell>
        </row>
        <row r="5034">
          <cell r="B5034" t="str">
            <v>24-720-11-01</v>
          </cell>
          <cell r="C5034" t="str">
            <v>Spatel, Heifetz, biegs., 11x155 mm</v>
          </cell>
          <cell r="D5034" t="str">
            <v>Spatula, Heifetz, malleable,  11x155 mm</v>
          </cell>
        </row>
        <row r="5035">
          <cell r="B5035" t="str">
            <v>24-720-14-01</v>
          </cell>
          <cell r="C5035" t="str">
            <v>Spatel, Heifetz, biegs., 14x155 mm</v>
          </cell>
          <cell r="D5035" t="str">
            <v>Spatula, Heifetz, malleable,  14x155 mm</v>
          </cell>
        </row>
        <row r="5036">
          <cell r="B5036" t="str">
            <v>24-720-17-01</v>
          </cell>
          <cell r="C5036" t="str">
            <v>Spatel, Heifetz, biegs., 17x155 mm</v>
          </cell>
          <cell r="D5036" t="str">
            <v>Spatula, Heifetz, malleable,  17x155 mm</v>
          </cell>
        </row>
        <row r="5037">
          <cell r="B5037" t="str">
            <v>24-721-14-01</v>
          </cell>
          <cell r="C5037" t="str">
            <v>Spatel, Heifetz, biegs., abger.,14x200mm</v>
          </cell>
          <cell r="D5037" t="str">
            <v>Spatula, Heifetz, mall., rd, 14x200 mm</v>
          </cell>
        </row>
        <row r="5038">
          <cell r="B5038" t="str">
            <v>24-721-17-01</v>
          </cell>
          <cell r="C5038" t="str">
            <v>Spatel, Heifetz, biegs., abger.,17x200mm</v>
          </cell>
          <cell r="D5038" t="str">
            <v>Spatula, Heifetz, mall., rd, 17x200 mm</v>
          </cell>
        </row>
        <row r="5039">
          <cell r="B5039" t="str">
            <v>24-721-20-01</v>
          </cell>
          <cell r="C5039" t="str">
            <v>Spatel, Heifetz, biegs., abger.,20x200mm</v>
          </cell>
          <cell r="D5039" t="str">
            <v>Spatula, Heifetz, mall., rd, 20x200 mm</v>
          </cell>
        </row>
        <row r="5040">
          <cell r="B5040" t="str">
            <v>24-738-26-07</v>
          </cell>
          <cell r="C5040" t="str">
            <v>Haken, Groningen,  gew., 26,5 cm</v>
          </cell>
          <cell r="D5040" t="str">
            <v>Hook, Groningen,  angled 26.5 cm</v>
          </cell>
        </row>
        <row r="5041">
          <cell r="B5041" t="str">
            <v>24-740-26-07</v>
          </cell>
          <cell r="C5041" t="str">
            <v>Haken, Groningen,  geb., 26,5 cm</v>
          </cell>
          <cell r="D5041" t="str">
            <v>Hook, Groningen,  curved 26.5 cm</v>
          </cell>
        </row>
        <row r="5042">
          <cell r="B5042" t="str">
            <v>24-742-19-07</v>
          </cell>
          <cell r="C5042" t="str">
            <v>Haken, Cushing, # 1, 19 cm</v>
          </cell>
          <cell r="D5042" t="str">
            <v>Hook, Cushing, # 1, 19 cm</v>
          </cell>
        </row>
        <row r="5043">
          <cell r="B5043" t="str">
            <v>24-742-28-07</v>
          </cell>
          <cell r="C5043" t="str">
            <v>Haken, Cushing, # 1, 28 cm</v>
          </cell>
          <cell r="D5043" t="str">
            <v>Hook, Cushing, # 1, 28 cm</v>
          </cell>
        </row>
        <row r="5044">
          <cell r="B5044" t="str">
            <v>24-744-19-07</v>
          </cell>
          <cell r="C5044" t="str">
            <v>Haken, Cushing, # 2, 19 cm</v>
          </cell>
          <cell r="D5044" t="str">
            <v>Hook, Cushing, # 2, 19 cm</v>
          </cell>
        </row>
        <row r="5045">
          <cell r="B5045" t="str">
            <v>24-744-28-07</v>
          </cell>
          <cell r="C5045" t="str">
            <v>Haken, Cushing, # 2, 28 cm</v>
          </cell>
          <cell r="D5045" t="str">
            <v>Hook, Cushing, # 2, 28 cm</v>
          </cell>
        </row>
        <row r="5046">
          <cell r="B5046" t="str">
            <v>24-748-17-07</v>
          </cell>
          <cell r="C5046" t="str">
            <v>Haken, Smithwick,  geb., 16,5 cm</v>
          </cell>
          <cell r="D5046" t="str">
            <v>Hook, Smithwick,  curved, 16.5 cm</v>
          </cell>
        </row>
        <row r="5047">
          <cell r="B5047" t="str">
            <v>24-748-21-07</v>
          </cell>
          <cell r="C5047" t="str">
            <v>Haken, Smithwick,  geb., 21 cm</v>
          </cell>
          <cell r="D5047" t="str">
            <v>Hook, Smithwick,  curved, 21 cm</v>
          </cell>
        </row>
        <row r="5048">
          <cell r="B5048" t="str">
            <v>24-823-20-07</v>
          </cell>
          <cell r="C5048" t="str">
            <v>Haken, Adson, stumpf, gew., 20 cm</v>
          </cell>
          <cell r="D5048" t="str">
            <v>Hook, Adson, blunt, angled, 20 cm</v>
          </cell>
        </row>
        <row r="5049">
          <cell r="B5049" t="str">
            <v>24-824-20-07</v>
          </cell>
          <cell r="C5049" t="str">
            <v>Haken, Adson, scharf, gew., 20 cm</v>
          </cell>
          <cell r="D5049" t="str">
            <v>Hook, Adson, sharp, angled, 20 cm</v>
          </cell>
        </row>
        <row r="5050">
          <cell r="B5050" t="str">
            <v>24-825-16-07</v>
          </cell>
          <cell r="C5050" t="str">
            <v>Haken, Graham, stumpf, geb., 16,5 cm</v>
          </cell>
          <cell r="D5050" t="str">
            <v>Hook, Graham, blunt, curved, 16.5 cm</v>
          </cell>
        </row>
        <row r="5051">
          <cell r="B5051" t="str">
            <v>24-827-18-07</v>
          </cell>
          <cell r="C5051" t="str">
            <v>Haken, Sachs, spitz, geb., 17 cm</v>
          </cell>
          <cell r="D5051" t="str">
            <v>Hook, Sachs, sharp, curved, 17 cm</v>
          </cell>
        </row>
        <row r="5052">
          <cell r="B5052" t="str">
            <v>24-830-19-07</v>
          </cell>
          <cell r="C5052" t="str">
            <v>Haken, 90°, scharf, geb., 19 cm</v>
          </cell>
          <cell r="D5052" t="str">
            <v>Hook, 90°, sharp, curved, 19 cm</v>
          </cell>
        </row>
        <row r="5053">
          <cell r="B5053" t="str">
            <v>24-831-19-07</v>
          </cell>
          <cell r="C5053" t="str">
            <v>Haken, 90°, scharf, abgew., 19 cm</v>
          </cell>
          <cell r="D5053" t="str">
            <v>Hook, 90°, sharp, angled dwn., 19 cm</v>
          </cell>
        </row>
        <row r="5054">
          <cell r="B5054" t="str">
            <v>24-835-13-07</v>
          </cell>
          <cell r="C5054" t="str">
            <v>Haken, Frazier, scharf, 13 cm</v>
          </cell>
          <cell r="D5054" t="str">
            <v>Hook, Frazier, sharp, 13 cm</v>
          </cell>
        </row>
        <row r="5055">
          <cell r="B5055" t="str">
            <v>24-835-18-07</v>
          </cell>
          <cell r="C5055" t="str">
            <v>Haken, Frazier, scharf, 18 cm</v>
          </cell>
          <cell r="D5055" t="str">
            <v>Hook, Frazier, sharp, 18 cm</v>
          </cell>
        </row>
        <row r="5056">
          <cell r="B5056" t="str">
            <v>24-843-01-07</v>
          </cell>
          <cell r="C5056" t="str">
            <v>Häkchen,  Mikaeel #1, 45°, baj., 23 cm</v>
          </cell>
          <cell r="D5056" t="str">
            <v>Hook, Mikaeel #1, 45°, bay., 23 cm</v>
          </cell>
        </row>
        <row r="5057">
          <cell r="B5057" t="str">
            <v>24-843-02-07</v>
          </cell>
          <cell r="C5057" t="str">
            <v>Häkchen,  Mikaeel #2, 45°, baj., 23 cm</v>
          </cell>
          <cell r="D5057" t="str">
            <v>Hook, Mikaeel #2, 45°, bay., 23 cm</v>
          </cell>
        </row>
        <row r="5058">
          <cell r="B5058" t="str">
            <v>24-843-03-07</v>
          </cell>
          <cell r="C5058" t="str">
            <v>Dissektor,  Mikaeel #3, baj., 23 cm</v>
          </cell>
          <cell r="D5058" t="str">
            <v>Dissector,  Mikaeel #3, bay., 23 cm</v>
          </cell>
        </row>
        <row r="5059">
          <cell r="B5059" t="str">
            <v>24-843-04-07</v>
          </cell>
          <cell r="C5059" t="str">
            <v>Dissektor,  Mikaeel #4, baj., 23 cm</v>
          </cell>
          <cell r="D5059" t="str">
            <v>Dissector,  Mikaeel #4, bay., 23 cm</v>
          </cell>
        </row>
        <row r="5060">
          <cell r="B5060" t="str">
            <v>24-843-05-07</v>
          </cell>
          <cell r="C5060" t="str">
            <v>Dissektor,  Mikaeel #5, baj., 23 cm</v>
          </cell>
          <cell r="D5060" t="str">
            <v>Dissector,  Mikaeel #5, bay., 23 cm</v>
          </cell>
        </row>
        <row r="5061">
          <cell r="B5061" t="str">
            <v>24-843-06-07</v>
          </cell>
          <cell r="C5061" t="str">
            <v>Dissektor,  Mikaeel #6, baj., gew., 23 cm</v>
          </cell>
          <cell r="D5061" t="str">
            <v>Dissector,  Mikaeel #6, bay., ang., 23 cm</v>
          </cell>
        </row>
        <row r="5062">
          <cell r="B5062" t="str">
            <v>24-843-07-07</v>
          </cell>
          <cell r="C5062" t="str">
            <v>Dissektor,  Mikaeel #7, baj., re., 23 cm</v>
          </cell>
          <cell r="D5062" t="str">
            <v>Dissector,  Mikaeel #7, bay., right, 23cm</v>
          </cell>
        </row>
        <row r="5063">
          <cell r="B5063" t="str">
            <v>24-843-08-07</v>
          </cell>
          <cell r="C5063" t="str">
            <v>Dissektor,  Mikaeel #8, baj., li., 23 cm</v>
          </cell>
          <cell r="D5063" t="str">
            <v>Dissector,  Mikaeel #8, bay., left, 23 cm</v>
          </cell>
        </row>
        <row r="5064">
          <cell r="B5064" t="str">
            <v>24-843-09-07</v>
          </cell>
          <cell r="C5064" t="str">
            <v>Sichelmesser, Mikaeel #9, baj., 23 cm</v>
          </cell>
          <cell r="D5064" t="str">
            <v>Sickle knife, Mikaeel #9, bay., 23 cm</v>
          </cell>
        </row>
        <row r="5065">
          <cell r="B5065" t="str">
            <v>24-843-10-07</v>
          </cell>
          <cell r="C5065" t="str">
            <v>Sichelmesser, Mikaeel #10, baj., 23 cm</v>
          </cell>
          <cell r="D5065" t="str">
            <v>Sickle knife, Mikaeel #10, bay., 23 cm</v>
          </cell>
        </row>
        <row r="5066">
          <cell r="B5066" t="str">
            <v>24-843-11-07</v>
          </cell>
          <cell r="C5066" t="str">
            <v>Häkchen,  Mikaeel #11, baj., 23 cm</v>
          </cell>
          <cell r="D5066" t="str">
            <v>Hook, Mikaeel #11, bay., 23 cm</v>
          </cell>
        </row>
        <row r="5067">
          <cell r="B5067" t="str">
            <v>24-843-12-07</v>
          </cell>
          <cell r="C5067" t="str">
            <v>Kürette, Mikaeel #12, baj., 23 cm</v>
          </cell>
          <cell r="D5067" t="str">
            <v>Curette, Mikaeel #12, bay., 23 cm</v>
          </cell>
        </row>
        <row r="5068">
          <cell r="B5068" t="str">
            <v>24-843-13-07</v>
          </cell>
          <cell r="C5068" t="str">
            <v>Wachsapplikator, Mikaeel #13, baj., 23cm</v>
          </cell>
          <cell r="D5068" t="str">
            <v>Wax applicator,  Mikaeel #13, bay., 23 cm</v>
          </cell>
        </row>
        <row r="5069">
          <cell r="B5069" t="str">
            <v>24-843-14-07</v>
          </cell>
          <cell r="C5069" t="str">
            <v>Kürette, Mikaeel #14, 45°, baj., 23 cm</v>
          </cell>
          <cell r="D5069" t="str">
            <v>Curette, Mikaeel #14, 45°, bay., 23 cm</v>
          </cell>
        </row>
        <row r="5070">
          <cell r="B5070" t="str">
            <v>24-843-15-07</v>
          </cell>
          <cell r="C5070" t="str">
            <v>Kürette, Mikaeel #15, 90°, baj., 23 cm</v>
          </cell>
          <cell r="D5070" t="str">
            <v>Curette, Mikaeel #15, 90°, bay., 23 cm</v>
          </cell>
        </row>
        <row r="5071">
          <cell r="B5071" t="str">
            <v>24-843-16-07</v>
          </cell>
          <cell r="C5071" t="str">
            <v>Kürette, Mikaeel #16, 45°, baj., 23 cm</v>
          </cell>
          <cell r="D5071" t="str">
            <v>Curette, Mikaeel #16, 45°, bay., 23 cm</v>
          </cell>
        </row>
        <row r="5072">
          <cell r="B5072" t="str">
            <v>24-843-17-07</v>
          </cell>
          <cell r="C5072" t="str">
            <v>Kürette, Mikaeel #17, 90°, baj., 23 cm</v>
          </cell>
          <cell r="D5072" t="str">
            <v>Curette, Mikaeel #17, 90°, bay., 23 cm</v>
          </cell>
        </row>
        <row r="5073">
          <cell r="B5073" t="str">
            <v>24-843-18-07</v>
          </cell>
          <cell r="C5073" t="str">
            <v>Kürette, Mikaeel #18, rückw., baj., 23cm</v>
          </cell>
          <cell r="D5073" t="str">
            <v>Curette, Mikaeel #18, backw.bay., 23 cm</v>
          </cell>
        </row>
        <row r="5074">
          <cell r="B5074" t="str">
            <v>24-843-70-04</v>
          </cell>
          <cell r="C5074" t="str">
            <v>Set, Mikaeel Instrum. #1-18, baj., 23 cm</v>
          </cell>
          <cell r="D5074" t="str">
            <v>Set, Mikaeel Instr. #1-18, bay., 23 cm</v>
          </cell>
        </row>
        <row r="5075">
          <cell r="B5075" t="str">
            <v>24-844-01-07</v>
          </cell>
          <cell r="C5075" t="str">
            <v>Aufnehmer, Tew #1, scharf, 23 cm</v>
          </cell>
          <cell r="D5075" t="str">
            <v>Pick, Tew #1, sharp, 23 cm</v>
          </cell>
        </row>
        <row r="5076">
          <cell r="B5076" t="str">
            <v>24-844-02-07</v>
          </cell>
          <cell r="C5076" t="str">
            <v>Aufnehmer, Tew #2, stumpf, 23 cm</v>
          </cell>
          <cell r="D5076" t="str">
            <v>Pick, Tew #2, blunt, 23 cm</v>
          </cell>
        </row>
        <row r="5077">
          <cell r="B5077" t="str">
            <v>24-844-03-07</v>
          </cell>
          <cell r="C5077" t="str">
            <v>Aufnehmer, Tew #3, scharf, abw., 23 cm</v>
          </cell>
          <cell r="D5077" t="str">
            <v>Pick, Tew #3, sharp, cvd. down, 23 cm</v>
          </cell>
        </row>
        <row r="5078">
          <cell r="B5078" t="str">
            <v>24-844-04-07</v>
          </cell>
          <cell r="C5078" t="str">
            <v>Aufnehmer, Tew #4, scharf, auf., 23 cm</v>
          </cell>
          <cell r="D5078" t="str">
            <v>Pick, Tew #4, sharp, cvd. up, 23 cm</v>
          </cell>
        </row>
        <row r="5079">
          <cell r="B5079" t="str">
            <v>24-844-05-07</v>
          </cell>
          <cell r="C5079" t="str">
            <v>Dissektor,  Tew #5, Mod. Penfield,  23 cm</v>
          </cell>
          <cell r="D5079" t="str">
            <v>Dissector,  Tew #5, Mod. Penfield,  23 cm</v>
          </cell>
        </row>
        <row r="5080">
          <cell r="B5080" t="str">
            <v>24-844-06-07</v>
          </cell>
          <cell r="C5080" t="str">
            <v>Löffeldissektor, Tew #6, 23 cm</v>
          </cell>
          <cell r="D5080" t="str">
            <v>Cup dissector,  Tew #6, 23 cm</v>
          </cell>
        </row>
        <row r="5081">
          <cell r="B5081" t="str">
            <v>24-844-07-07</v>
          </cell>
          <cell r="C5081" t="str">
            <v>Häkchen,  Tew #7, m. Knopf , 23 cm</v>
          </cell>
          <cell r="D5081" t="str">
            <v>Hook, Tew #7, button end, 23 cm</v>
          </cell>
        </row>
        <row r="5082">
          <cell r="B5082" t="str">
            <v>24-844-08-07</v>
          </cell>
          <cell r="C5082" t="str">
            <v>Dissektor,  Tew #8, 2 mm, 23 cm</v>
          </cell>
          <cell r="D5082" t="str">
            <v>Dissector,  Tew #8, 2 mm, 23 cm</v>
          </cell>
        </row>
        <row r="5083">
          <cell r="B5083" t="str">
            <v>24-844-09-07</v>
          </cell>
          <cell r="C5083" t="str">
            <v>Dissektor,  Tew #9, 4 mm, 23 cm</v>
          </cell>
          <cell r="D5083" t="str">
            <v>Dissector,  Tew #9, 4 mm, 23 cm</v>
          </cell>
        </row>
        <row r="5084">
          <cell r="B5084" t="str">
            <v>24-844-10-07</v>
          </cell>
          <cell r="C5084" t="str">
            <v>Kürette, Tew #10, 90°, 23 cm</v>
          </cell>
          <cell r="D5084" t="str">
            <v>Curette, Tew #10, 90°, 23 cm</v>
          </cell>
        </row>
        <row r="5085">
          <cell r="B5085" t="str">
            <v>24-844-11-07</v>
          </cell>
          <cell r="C5085" t="str">
            <v>Kürette, Tew #11, 45°, 23 cm</v>
          </cell>
          <cell r="D5085" t="str">
            <v>Curette, Tew #11, 45°, 23 cm</v>
          </cell>
        </row>
        <row r="5086">
          <cell r="B5086" t="str">
            <v>24-844-12-07</v>
          </cell>
          <cell r="C5086" t="str">
            <v>Meissel, Tew #12, 23 cm</v>
          </cell>
          <cell r="D5086" t="str">
            <v>Chisel, Tew #12, 23 cm</v>
          </cell>
        </row>
        <row r="5087">
          <cell r="B5087" t="str">
            <v>24-844-13-07</v>
          </cell>
          <cell r="C5087" t="str">
            <v>Kürette, Tew #13, schf., 90° aufw., 23cm</v>
          </cell>
          <cell r="D5087" t="str">
            <v>Curette, Tew #13, sharp, 90° up, 23cm</v>
          </cell>
        </row>
        <row r="5088">
          <cell r="B5088" t="str">
            <v>24-844-14-07</v>
          </cell>
          <cell r="C5088" t="str">
            <v>Kürette, Tew #14, schf., 45° aufw., 23cm</v>
          </cell>
          <cell r="D5088" t="str">
            <v>Curette, Tew #14, sharp, 45°, up, 23cm</v>
          </cell>
        </row>
        <row r="5089">
          <cell r="B5089" t="str">
            <v>24-844-15-07</v>
          </cell>
          <cell r="C5089" t="str">
            <v>Kürette, Tew #15, schf., 45° abw., 23cm</v>
          </cell>
          <cell r="D5089" t="str">
            <v>Curette, Tew #15, sharp, 45°, down, 23cm</v>
          </cell>
        </row>
        <row r="5090">
          <cell r="B5090" t="str">
            <v>24-844-16-07</v>
          </cell>
          <cell r="C5090" t="str">
            <v>Kürette, Tew #16, schf., 90° aufw., 23cm</v>
          </cell>
          <cell r="D5090" t="str">
            <v>Curette, Tew #16, sharp, 90°, up, 23cm</v>
          </cell>
        </row>
        <row r="5091">
          <cell r="B5091" t="str">
            <v>24-844-17-07</v>
          </cell>
          <cell r="C5091" t="str">
            <v>Kürette, Tew #17, schf., 45° aufw., 23cm</v>
          </cell>
          <cell r="D5091" t="str">
            <v>Curette, Tew #17, sharp, 45°, up, 23cm</v>
          </cell>
        </row>
        <row r="5092">
          <cell r="B5092" t="str">
            <v>24-844-18-07</v>
          </cell>
          <cell r="C5092" t="str">
            <v>Kürette, Tew #18, schf., 45° abw., 23cm</v>
          </cell>
          <cell r="D5092" t="str">
            <v>Curette, Tew #18, sharp, 45°, down, 23cm</v>
          </cell>
        </row>
        <row r="5093">
          <cell r="B5093" t="str">
            <v>24-844-19-07</v>
          </cell>
          <cell r="C5093" t="str">
            <v>Kürette, Tew #19, stpf., 90° aufw., 23cm</v>
          </cell>
          <cell r="D5093" t="str">
            <v>Curette, Tew #19, blunt, 90°, up, 23cm</v>
          </cell>
        </row>
        <row r="5094">
          <cell r="B5094" t="str">
            <v>24-844-20-07</v>
          </cell>
          <cell r="C5094" t="str">
            <v>Kürette, Tew #20, stpf., 45° aufw., 23cm</v>
          </cell>
          <cell r="D5094" t="str">
            <v>Curette, Tew #20, blunt, 45°, up, 23cm</v>
          </cell>
        </row>
        <row r="5095">
          <cell r="B5095" t="str">
            <v>24-844-21-07</v>
          </cell>
          <cell r="C5095" t="str">
            <v>Kürette, Tew #21, stpf., 45° abw., 23cm</v>
          </cell>
          <cell r="D5095" t="str">
            <v>Curette, Tew #21, blunt, 45°, down, 23cm</v>
          </cell>
        </row>
        <row r="5096">
          <cell r="B5096" t="str">
            <v>24-844-22-07</v>
          </cell>
          <cell r="C5096" t="str">
            <v>Kürette, Tew #22, stpf., 90° aufw., 23cm</v>
          </cell>
          <cell r="D5096" t="str">
            <v>Curette, Tew #22, blunt, 90°, up, 23cm</v>
          </cell>
        </row>
        <row r="5097">
          <cell r="B5097" t="str">
            <v>24-844-23-07</v>
          </cell>
          <cell r="C5097" t="str">
            <v>Kürette, Tew #22, stpf., 45° aufw., 23cm</v>
          </cell>
          <cell r="D5097" t="str">
            <v>Curette, Tew #23, blunt, 45°, up, 23cm</v>
          </cell>
        </row>
        <row r="5098">
          <cell r="B5098" t="str">
            <v>24-844-24-07</v>
          </cell>
          <cell r="C5098" t="str">
            <v>Kürette, Tew #24, stpf., 45° abw., 23cm</v>
          </cell>
          <cell r="D5098" t="str">
            <v>Curette, Tew #24, blunt, 45°, down, 23cm</v>
          </cell>
        </row>
        <row r="5099">
          <cell r="B5099" t="str">
            <v>24-844-25-07</v>
          </cell>
          <cell r="C5099" t="str">
            <v>Mikrogabel, Tew #25, 23 cm</v>
          </cell>
          <cell r="D5099" t="str">
            <v>Micro fork, Tew #25, 23 cm</v>
          </cell>
        </row>
        <row r="5100">
          <cell r="B5100" t="str">
            <v>24-844-26-07</v>
          </cell>
          <cell r="C5100" t="str">
            <v>Enukleator, Tew #26, rechts, 23 cm</v>
          </cell>
          <cell r="D5100" t="str">
            <v>Enucleator, Tew #26, right, 23 cm</v>
          </cell>
        </row>
        <row r="5101">
          <cell r="B5101" t="str">
            <v>24-844-27-07</v>
          </cell>
          <cell r="C5101" t="str">
            <v>Enukleator, Tew #27, links, 23 cm</v>
          </cell>
          <cell r="D5101" t="str">
            <v>Enucleator, Tew #27, left, 23 cm</v>
          </cell>
        </row>
        <row r="5102">
          <cell r="B5102" t="str">
            <v>24-844-28-07</v>
          </cell>
          <cell r="C5102" t="str">
            <v>Knopfsonde, Tew #28, 23 cm</v>
          </cell>
          <cell r="D5102" t="str">
            <v>Probe, Tew #28, 23 cm</v>
          </cell>
        </row>
        <row r="5103">
          <cell r="B5103" t="str">
            <v>24-844-70-04</v>
          </cell>
          <cell r="C5103" t="str">
            <v>Set, Tew Instrum. #1-28, baj., 23 cm</v>
          </cell>
          <cell r="D5103" t="str">
            <v>Set, Tew Instr. #1-28, baj., 23 cm</v>
          </cell>
        </row>
        <row r="5104">
          <cell r="B5104" t="str">
            <v>24-844-80-07</v>
          </cell>
          <cell r="C5104" t="str">
            <v>MIKROSCHERE N. TEW, 2,5MM, GERADE</v>
          </cell>
          <cell r="D5104" t="str">
            <v>MICRO SCISSORS  ACC. TEW, 2,5MM, STRAIGHT</v>
          </cell>
        </row>
        <row r="5105">
          <cell r="B5105" t="str">
            <v>24-844-81-07</v>
          </cell>
          <cell r="C5105" t="str">
            <v>MIKROSCHERE N. TEW, 2,5MM, GEBOGEN</v>
          </cell>
          <cell r="D5105" t="str">
            <v>MICRO SCISSORS  ACC. TEW, 2,5MM, CURVED</v>
          </cell>
        </row>
        <row r="5106">
          <cell r="B5106" t="str">
            <v>24-844-82-07</v>
          </cell>
          <cell r="C5106" t="str">
            <v>MIKROBIOPSIEZANGE NACH TEW</v>
          </cell>
          <cell r="D5106" t="str">
            <v>MICRO BIOPSY FORCEPS  ACC. TEW</v>
          </cell>
        </row>
        <row r="5107">
          <cell r="B5107" t="str">
            <v>24-844-83-07</v>
          </cell>
          <cell r="C5107" t="str">
            <v>MIKRO ALLIGATORZANGE NACH TEW</v>
          </cell>
          <cell r="D5107" t="str">
            <v>MICRO ALLIGATOR FORCEPS  ACC. TEW</v>
          </cell>
        </row>
        <row r="5108">
          <cell r="B5108" t="str">
            <v>24-844-84-07</v>
          </cell>
          <cell r="C5108" t="str">
            <v>Mikroschere, Tew, gerade, 2,5 mm, 360°</v>
          </cell>
          <cell r="D5108" t="str">
            <v>Micro Scissor, Tew, str., 2.5 mm, 360°</v>
          </cell>
        </row>
        <row r="5109">
          <cell r="B5109" t="str">
            <v>24-844-85-07</v>
          </cell>
          <cell r="C5109" t="str">
            <v>Mikroschere, Tew, gebogen,  2.5 mm, 360°</v>
          </cell>
          <cell r="D5109" t="str">
            <v>Micro Scissor, Tew, cvd., 2.5 mm, 360°</v>
          </cell>
        </row>
        <row r="5110">
          <cell r="B5110" t="str">
            <v>24-844-86-07</v>
          </cell>
          <cell r="C5110" t="str">
            <v>Mikrobiopsiezange, Tew, 360°</v>
          </cell>
          <cell r="D5110" t="str">
            <v>Micro Biopsy Forceps, Tew, 360°</v>
          </cell>
        </row>
        <row r="5111">
          <cell r="B5111" t="str">
            <v>24-844-87-07</v>
          </cell>
          <cell r="C5111" t="str">
            <v>Mikro Alligatorzange, Tew, 360°</v>
          </cell>
          <cell r="D5111" t="str">
            <v>Micro Alligator Forceps, Tew, 360°</v>
          </cell>
        </row>
        <row r="5112">
          <cell r="B5112" t="str">
            <v>24-848-00-04</v>
          </cell>
          <cell r="C5112" t="str">
            <v>Set, Jannetta Dissektoren #1-8, 21 cm</v>
          </cell>
          <cell r="D5112" t="str">
            <v>Set, Jannetta dissectors  #1-8, 21 cm</v>
          </cell>
        </row>
        <row r="5113">
          <cell r="B5113" t="str">
            <v>24-848-01-07</v>
          </cell>
          <cell r="C5113" t="str">
            <v>Dissektor,  Jannetta,  #1, 21 cm</v>
          </cell>
          <cell r="D5113" t="str">
            <v>Dissector,  Jannetta,  #1, 21 cm</v>
          </cell>
        </row>
        <row r="5114">
          <cell r="B5114" t="str">
            <v>24-848-02-07</v>
          </cell>
          <cell r="C5114" t="str">
            <v>Dissektor,  Jannetta,  #2, 21 cm</v>
          </cell>
          <cell r="D5114" t="str">
            <v>Dissector,  Jannetta,  #2, 21 cm</v>
          </cell>
        </row>
        <row r="5115">
          <cell r="B5115" t="str">
            <v>24-848-03-07</v>
          </cell>
          <cell r="C5115" t="str">
            <v>Dissektor,  Jannetta,  #3, 21 cm</v>
          </cell>
          <cell r="D5115" t="str">
            <v>Dissector,  Jannetta,  #3, 21 cm</v>
          </cell>
        </row>
        <row r="5116">
          <cell r="B5116" t="str">
            <v>24-848-04-07</v>
          </cell>
          <cell r="C5116" t="str">
            <v>Dissektor,  Jannetta,  #4, 21 cm</v>
          </cell>
          <cell r="D5116" t="str">
            <v>Dissector,  Jannetta,  #4, 21 cm</v>
          </cell>
        </row>
        <row r="5117">
          <cell r="B5117" t="str">
            <v>24-848-05-07</v>
          </cell>
          <cell r="C5117" t="str">
            <v>Dissektor,  Jannetta,  #5, 21 cm</v>
          </cell>
          <cell r="D5117" t="str">
            <v>Dissector,  Jannetta,  #5, 21 cm</v>
          </cell>
        </row>
        <row r="5118">
          <cell r="B5118" t="str">
            <v>24-848-06-07</v>
          </cell>
          <cell r="C5118" t="str">
            <v>Dissektor,  Jannetta,  #6, 21 cm</v>
          </cell>
          <cell r="D5118" t="str">
            <v>Dissector,  Jannetta,  #6, 21 cm</v>
          </cell>
        </row>
        <row r="5119">
          <cell r="B5119" t="str">
            <v>24-848-07-07</v>
          </cell>
          <cell r="C5119" t="str">
            <v>Dissektor,  Jannetta,  #7, 21 cm</v>
          </cell>
          <cell r="D5119" t="str">
            <v>Dissector,  Jannetta,  #7, 21 cm</v>
          </cell>
        </row>
        <row r="5120">
          <cell r="B5120" t="str">
            <v>24-848-08-07</v>
          </cell>
          <cell r="C5120" t="str">
            <v>Dissektor,  Jannetta,  #8, 21 cm</v>
          </cell>
          <cell r="D5120" t="str">
            <v>Dissector,  Jannetta,  #8, 21 cm</v>
          </cell>
        </row>
        <row r="5121">
          <cell r="B5121" t="str">
            <v>24-849-00-04</v>
          </cell>
          <cell r="C5121" t="str">
            <v>Set, Pittsburgh  Dissektoren #1-10, 23 cm</v>
          </cell>
          <cell r="D5121" t="str">
            <v>Set, Pittsburgh  dissectors  #1-10, 23 cm</v>
          </cell>
        </row>
        <row r="5122">
          <cell r="B5122" t="str">
            <v>24-849-01-04</v>
          </cell>
          <cell r="C5122" t="str">
            <v>Dissektor,  Pittsburgh,  #1, 23 cm</v>
          </cell>
          <cell r="D5122" t="str">
            <v>Dissector,  Pittsburgh,  #1, 23 cm</v>
          </cell>
        </row>
        <row r="5123">
          <cell r="B5123" t="str">
            <v>24-849-02-04</v>
          </cell>
          <cell r="C5123" t="str">
            <v>Dissektor,  Pittsburgh,  #2, 23 cm</v>
          </cell>
          <cell r="D5123" t="str">
            <v>Dissector,  Pittsburgh,  #2, 23 cm</v>
          </cell>
        </row>
        <row r="5124">
          <cell r="B5124" t="str">
            <v>24-849-03-04</v>
          </cell>
          <cell r="C5124" t="str">
            <v>Dissektor,  Pittsburgh,  #3, 23 cm</v>
          </cell>
          <cell r="D5124" t="str">
            <v>Dissector,  Pittsburgh,  #3, 23 cm</v>
          </cell>
        </row>
        <row r="5125">
          <cell r="B5125" t="str">
            <v>24-849-04-04</v>
          </cell>
          <cell r="C5125" t="str">
            <v>Dissektor,  Pittsburgh,  #4, 23 cm</v>
          </cell>
          <cell r="D5125" t="str">
            <v>Dissector,  Pittsburgh,  #4, 23 cm</v>
          </cell>
        </row>
        <row r="5126">
          <cell r="B5126" t="str">
            <v>24-849-05-04</v>
          </cell>
          <cell r="C5126" t="str">
            <v>Dissektor,  Pittsburgh,  #5, 23 cm</v>
          </cell>
          <cell r="D5126" t="str">
            <v>Dissector,  Pittsburgh,  #5, 23 cm</v>
          </cell>
        </row>
        <row r="5127">
          <cell r="B5127" t="str">
            <v>24-849-06-04</v>
          </cell>
          <cell r="C5127" t="str">
            <v>Dissektor,  Pittsburgh,  #6, 23 cm</v>
          </cell>
          <cell r="D5127" t="str">
            <v>Dissector,  Pittsburgh,  #6, 23 cm</v>
          </cell>
        </row>
        <row r="5128">
          <cell r="B5128" t="str">
            <v>24-849-07-04</v>
          </cell>
          <cell r="C5128" t="str">
            <v>Dissektor,  Pittsburgh,  #7, 23 cm</v>
          </cell>
          <cell r="D5128" t="str">
            <v>Dissector,  Pittsburgh,  #7, 23 cm</v>
          </cell>
        </row>
        <row r="5129">
          <cell r="B5129" t="str">
            <v>24-849-08-04</v>
          </cell>
          <cell r="C5129" t="str">
            <v>Dissektor,  Pittsburgh,  #8, 23 cm</v>
          </cell>
          <cell r="D5129" t="str">
            <v>Dissector,  Pittsburgh,  #8, 23 cm</v>
          </cell>
        </row>
        <row r="5130">
          <cell r="B5130" t="str">
            <v>24-849-09-04</v>
          </cell>
          <cell r="C5130" t="str">
            <v>Dissektor,  Pittsburgh,  #9, 23 cm</v>
          </cell>
          <cell r="D5130" t="str">
            <v>Dissector,  Pittsburgh,  #9, 23 cm</v>
          </cell>
        </row>
        <row r="5131">
          <cell r="B5131" t="str">
            <v>24-849-10-04</v>
          </cell>
          <cell r="C5131" t="str">
            <v>Dissektor,  Pittsburgh,  #10, 23 cm</v>
          </cell>
          <cell r="D5131" t="str">
            <v>Dissector,  Pittsburgh,  #10, 23 cm</v>
          </cell>
        </row>
        <row r="5132">
          <cell r="B5132" t="str">
            <v>24-849-99-04</v>
          </cell>
          <cell r="C5132" t="str">
            <v>Handgriff  f. Hypophyseninstrumente</v>
          </cell>
          <cell r="D5132" t="str">
            <v>Handle f. Pituitary Instruments</v>
          </cell>
        </row>
        <row r="5133">
          <cell r="B5133" t="str">
            <v>24-850-01-07</v>
          </cell>
          <cell r="C5133" t="str">
            <v>Mikroschere, Vannas, abgew., 12 cm</v>
          </cell>
          <cell r="D5133" t="str">
            <v>Micro scissors, Vannas, ang. down, 12 cm</v>
          </cell>
        </row>
        <row r="5134">
          <cell r="B5134" t="str">
            <v>24-850-02-07</v>
          </cell>
          <cell r="C5134" t="str">
            <v>Mikroschere, Vannas, ger., 12 cm</v>
          </cell>
          <cell r="D5134" t="str">
            <v>Micro scissors, Vannas, str., 12 cm</v>
          </cell>
        </row>
        <row r="5135">
          <cell r="B5135" t="str">
            <v>24-850-03-07</v>
          </cell>
          <cell r="C5135" t="str">
            <v>Mikroschere, Vannas, geb., 12 cm</v>
          </cell>
          <cell r="D5135" t="str">
            <v>Micro scissors, Vannas, cvd., 12 cm</v>
          </cell>
        </row>
        <row r="5136">
          <cell r="B5136" t="str">
            <v>24-850-04-07</v>
          </cell>
          <cell r="C5136" t="str">
            <v>Mikroschere, Vannas, ger., 16 cm</v>
          </cell>
          <cell r="D5136" t="str">
            <v>Micro scissors, Vannas, str., 16 cm</v>
          </cell>
        </row>
        <row r="5137">
          <cell r="B5137" t="str">
            <v>24-850-05-07</v>
          </cell>
          <cell r="C5137" t="str">
            <v>Mikroschere, Vannas, geb., 16 cm</v>
          </cell>
          <cell r="D5137" t="str">
            <v>Micro scissors, Vannas, cvd., 16 cm</v>
          </cell>
        </row>
        <row r="5138">
          <cell r="B5138" t="str">
            <v>24-850-10-07</v>
          </cell>
          <cell r="C5138" t="str">
            <v>Mikroschere, Millesi, ger., 16 cm</v>
          </cell>
          <cell r="D5138" t="str">
            <v>Micro scissors, Millesi, str., 16 cm</v>
          </cell>
        </row>
        <row r="5139">
          <cell r="B5139" t="str">
            <v>24-850-11-07</v>
          </cell>
          <cell r="C5139" t="str">
            <v>Mikroschere, Millesi, geb., 16 cm</v>
          </cell>
          <cell r="D5139" t="str">
            <v>Micro scissors, Millesi, cvd., 16 cm</v>
          </cell>
        </row>
        <row r="5140">
          <cell r="B5140" t="str">
            <v>24-850-15-07</v>
          </cell>
          <cell r="C5140" t="str">
            <v>Mikroschere, Jacobson,  geb., 18,5 cm</v>
          </cell>
          <cell r="D5140" t="str">
            <v>Micro scissors, Jacobson,  cvd., 18.5 cm</v>
          </cell>
        </row>
        <row r="5141">
          <cell r="B5141" t="str">
            <v>24-850-20-07</v>
          </cell>
          <cell r="C5141" t="str">
            <v>Mikroschere, Yasargil, baj.ger., 16,5 cm</v>
          </cell>
          <cell r="D5141" t="str">
            <v>Micro scissors,Yasargil,bay.str.,16.5cm</v>
          </cell>
        </row>
        <row r="5142">
          <cell r="B5142" t="str">
            <v>24-850-21-07</v>
          </cell>
          <cell r="C5142" t="str">
            <v>Mikroschere, Yasargil, baj.geb., 16,5 cm</v>
          </cell>
          <cell r="D5142" t="str">
            <v>Micro scissors,Yasargil,bay.cvd.,16.5cm</v>
          </cell>
        </row>
        <row r="5143">
          <cell r="B5143" t="str">
            <v>24-850-22-07</v>
          </cell>
          <cell r="C5143" t="str">
            <v>Mikroschere, Yasargil, baj.ger., 20 cm</v>
          </cell>
          <cell r="D5143" t="str">
            <v>Micro scissors,Yasargil,bay.str.,20cm</v>
          </cell>
        </row>
        <row r="5144">
          <cell r="B5144" t="str">
            <v>24-850-23-07</v>
          </cell>
          <cell r="C5144" t="str">
            <v>Mikroschere, Yasargil, baj.geb., 20 cm</v>
          </cell>
          <cell r="D5144" t="str">
            <v>Micro scissors,Yasargil,bay.cvd., 20cm</v>
          </cell>
        </row>
        <row r="5145">
          <cell r="B5145" t="str">
            <v>24-850-24-07</v>
          </cell>
          <cell r="C5145" t="str">
            <v>Mikroschere, Yasargil, baj.abgeb.,  20 cm</v>
          </cell>
          <cell r="D5145" t="str">
            <v>Micro scissors,Yasargil,bay.cvd.dn.,20cm</v>
          </cell>
        </row>
        <row r="5146">
          <cell r="B5146" t="str">
            <v>24-850-25-07</v>
          </cell>
          <cell r="C5146" t="str">
            <v>Mikroschere, Yasargil, baj.ger., 22,5 cm</v>
          </cell>
          <cell r="D5146" t="str">
            <v>Micro scissors,Yasargil,bay.str.,22.5cm</v>
          </cell>
        </row>
        <row r="5147">
          <cell r="B5147" t="str">
            <v>24-850-26-07</v>
          </cell>
          <cell r="C5147" t="str">
            <v>Mikroschere, Yasargil, baj.geb., 22,5 cm</v>
          </cell>
          <cell r="D5147" t="str">
            <v>Micro scissors,Yasargil,bay.cvd.,22.5cm</v>
          </cell>
        </row>
        <row r="5148">
          <cell r="B5148" t="str">
            <v>24-850-28-07</v>
          </cell>
          <cell r="C5148" t="str">
            <v>Mikroschere, Yasargil, baj.geb., 24,5 cm</v>
          </cell>
          <cell r="D5148" t="str">
            <v>Micro scissors,Yasargil,bay.cvd.,24.5cm</v>
          </cell>
        </row>
        <row r="5149">
          <cell r="B5149" t="str">
            <v>24-850-30-07</v>
          </cell>
          <cell r="C5149" t="str">
            <v>Mikropräp.schere, Yasargil, ger., 20 cm</v>
          </cell>
          <cell r="D5149" t="str">
            <v>Micro diss.sciss.,Yasargil, str.,20cm</v>
          </cell>
        </row>
        <row r="5150">
          <cell r="B5150" t="str">
            <v>24-850-31-07</v>
          </cell>
          <cell r="C5150" t="str">
            <v>Mikropräp.schere, Yasargil, geb., 20 cm</v>
          </cell>
          <cell r="D5150" t="str">
            <v>Micro diss.sciss.,Yasargil, cvd.,20cm</v>
          </cell>
        </row>
        <row r="5151">
          <cell r="B5151" t="str">
            <v>24-850-32-07</v>
          </cell>
          <cell r="C5151" t="str">
            <v>Mikropräp.schere, Yasargil, geb., 22,5cm</v>
          </cell>
          <cell r="D5151" t="str">
            <v>Micro diss.sciss.,Yasargil, cvd.,22.5cm</v>
          </cell>
        </row>
        <row r="5152">
          <cell r="B5152" t="str">
            <v>24-850-33-07</v>
          </cell>
          <cell r="C5152" t="str">
            <v>Mikropräp.schere, Yasargil, ger., 22,5cm</v>
          </cell>
          <cell r="D5152" t="str">
            <v>Micro diss.sciss.,Yasargil, str.,22.5cm</v>
          </cell>
        </row>
        <row r="5153">
          <cell r="B5153" t="str">
            <v>24-850-50-07</v>
          </cell>
          <cell r="C5153" t="str">
            <v>Mikroschere, Fahlbusch,  geb., 16,5 cm</v>
          </cell>
          <cell r="D5153" t="str">
            <v>Micro sciss.,Fahlbusch, cvd., 16.5cm</v>
          </cell>
        </row>
        <row r="5154">
          <cell r="B5154" t="str">
            <v>24-850-60-07</v>
          </cell>
          <cell r="C5154" t="str">
            <v>Mikroschere, Caspar, geb., 11,5cm</v>
          </cell>
          <cell r="D5154" t="str">
            <v>Micro sciss.,Caspar, cvd.,turn.,  11.5cm</v>
          </cell>
        </row>
        <row r="5155">
          <cell r="B5155" t="str">
            <v>24-851-10-07</v>
          </cell>
          <cell r="C5155" t="str">
            <v>Mikronadelh., Yasargil, baj.ger., 20 cm</v>
          </cell>
          <cell r="D5155" t="str">
            <v>Micro needleh.,  Yasargil,bay.str., 20cm</v>
          </cell>
        </row>
        <row r="5156">
          <cell r="B5156" t="str">
            <v>24-851-11-07</v>
          </cell>
          <cell r="C5156" t="str">
            <v>Mikronadelh., Yasargil, baj.geb., 20 cm</v>
          </cell>
          <cell r="D5156" t="str">
            <v>Micro needleh.,  Yasargil,bay.cvd., 20cm</v>
          </cell>
        </row>
        <row r="5157">
          <cell r="B5157" t="str">
            <v>24-851-12-07</v>
          </cell>
          <cell r="C5157" t="str">
            <v>Mikronadelh., Yasargil, baj.ger., 22,5cm</v>
          </cell>
          <cell r="D5157" t="str">
            <v>Micro needleh.,  Yasargil,bay.str.,22.5cm</v>
          </cell>
        </row>
        <row r="5158">
          <cell r="B5158" t="str">
            <v>24-851-13-07</v>
          </cell>
          <cell r="C5158" t="str">
            <v>Mikronadelh., Yasargil, baj.geb., 22,5cm</v>
          </cell>
          <cell r="D5158" t="str">
            <v>Micro needleh.,  Yasargil,bay.cvd.,22.5cm</v>
          </cell>
        </row>
        <row r="5159">
          <cell r="B5159" t="str">
            <v>24-852-01-07</v>
          </cell>
          <cell r="C5159" t="str">
            <v>Fasspinz.,  Samii, baj.re.geb., 3mm, 23cm</v>
          </cell>
          <cell r="D5159" t="str">
            <v>Grasp.fcps., Samii, bay.ri.cvd.,3mm,23cm</v>
          </cell>
        </row>
        <row r="5160">
          <cell r="B5160" t="str">
            <v>24-852-02-07</v>
          </cell>
          <cell r="C5160" t="str">
            <v>Fasspinz.,  Samii, baj.li.geb.,  3mm, 23cm</v>
          </cell>
          <cell r="D5160" t="str">
            <v>Grasp.fcps., Samii, bay.le.cvd.,3mm,23cm</v>
          </cell>
        </row>
        <row r="5161">
          <cell r="B5161" t="str">
            <v>24-852-10-07</v>
          </cell>
          <cell r="C5161" t="str">
            <v>Fasspinz.,  Yasargil-Samii, baj.,3mm,24cm</v>
          </cell>
          <cell r="D5161" t="str">
            <v>Grasp.fcps.,Yasargil-Samii,bay.,3mm,24cm</v>
          </cell>
        </row>
        <row r="5162">
          <cell r="B5162" t="str">
            <v>24-852-11-07</v>
          </cell>
          <cell r="C5162" t="str">
            <v>Fasspinz.,  Yasargil-Samii, baj.,5mm,24cm</v>
          </cell>
          <cell r="D5162" t="str">
            <v>Grasp.fcps.,Yasargil-Samii,bay.,5mm,24cm</v>
          </cell>
        </row>
        <row r="5163">
          <cell r="B5163" t="str">
            <v>24-852-12-07</v>
          </cell>
          <cell r="C5163" t="str">
            <v>Fasspinz.,  Yasargil-Samii, baj.,7mm,24cm</v>
          </cell>
          <cell r="D5163" t="str">
            <v>Grasp.fcps.,Yasargil-Samii,bay.,7mm,24cm</v>
          </cell>
        </row>
        <row r="5164">
          <cell r="B5164" t="str">
            <v>24-852-25-07</v>
          </cell>
          <cell r="C5164" t="str">
            <v>Fasspinz.,  Yasargil, baj., 3mm, 22cm</v>
          </cell>
          <cell r="D5164" t="str">
            <v>Grasp.fcps.,Yasargil, bay., 3mm, 22cm</v>
          </cell>
        </row>
        <row r="5165">
          <cell r="B5165" t="str">
            <v>24-852-26-07</v>
          </cell>
          <cell r="C5165" t="str">
            <v>Fasspinz.,  Yasargil, baj., 5mm, 22cm</v>
          </cell>
          <cell r="D5165" t="str">
            <v>Grasp.fcps.,Yasargil, bay., 5mm, 22cm</v>
          </cell>
        </row>
        <row r="5166">
          <cell r="B5166" t="str">
            <v>24-852-60-07</v>
          </cell>
          <cell r="C5166" t="str">
            <v>Fasspinz.,  Hunt, abgew., 5 mm, 20 cm</v>
          </cell>
          <cell r="D5166" t="str">
            <v>Grasp.fcps., Hunt, ang. down, 5 mm, 20cm</v>
          </cell>
        </row>
        <row r="5167">
          <cell r="B5167" t="str">
            <v>24-852-61-07</v>
          </cell>
          <cell r="C5167" t="str">
            <v>Fasspinz.,  Hunt, baj., 5 mm, 20 cm</v>
          </cell>
          <cell r="D5167" t="str">
            <v>Grasp.fcps., Hunt, bay., 5 mm, 20cm</v>
          </cell>
        </row>
        <row r="5168">
          <cell r="B5168" t="str">
            <v>24-852-70-07</v>
          </cell>
          <cell r="C5168" t="str">
            <v>Mikropinz., Yasargil, baj., 0,6mm,18cm</v>
          </cell>
          <cell r="D5168" t="str">
            <v>Micro fcps., Yasargil, bay., 0.6mm, 18cm</v>
          </cell>
        </row>
        <row r="5169">
          <cell r="B5169" t="str">
            <v>24-852-71-07</v>
          </cell>
          <cell r="C5169" t="str">
            <v>Mikropinz., Yasargil, baj., 0,9mm,18cm</v>
          </cell>
          <cell r="D5169" t="str">
            <v>Micro fcps., Yasargil, bay., 0.9mm, 18cm</v>
          </cell>
        </row>
        <row r="5170">
          <cell r="B5170" t="str">
            <v>24-852-72-07</v>
          </cell>
          <cell r="C5170" t="str">
            <v>Mikropinz., Yasargil, baj., 1x2Z.,18cm</v>
          </cell>
          <cell r="D5170" t="str">
            <v>Micro fcps., Yasargil, bay., 1x2T., 18cm</v>
          </cell>
        </row>
        <row r="5171">
          <cell r="B5171" t="str">
            <v>24-852-73-07</v>
          </cell>
          <cell r="C5171" t="str">
            <v>Mikropinz., Yasargil, baj., 0,6mm,20cm</v>
          </cell>
          <cell r="D5171" t="str">
            <v>Micro fcps., Yasargil, bay., 0.6mm, 20cm</v>
          </cell>
        </row>
        <row r="5172">
          <cell r="B5172" t="str">
            <v>24-852-74-07</v>
          </cell>
          <cell r="C5172" t="str">
            <v>Mikropinz., Yasargil, baj., 0,9mm,20cm</v>
          </cell>
          <cell r="D5172" t="str">
            <v>Micro fcps., Yasargil, bay., 0.9mm, 20cm</v>
          </cell>
        </row>
        <row r="5173">
          <cell r="B5173" t="str">
            <v>24-852-75-07</v>
          </cell>
          <cell r="C5173" t="str">
            <v>Mikropinz., Yasargil, baj., 0,6mm,22cm</v>
          </cell>
          <cell r="D5173" t="str">
            <v>Micro fcps., Yasargil, bay., 0.6mm, 22cm</v>
          </cell>
        </row>
        <row r="5174">
          <cell r="B5174" t="str">
            <v>24-852-76-07</v>
          </cell>
          <cell r="C5174" t="str">
            <v>Mikropinz., Yasargil, baj., 0,9mm,22cm</v>
          </cell>
          <cell r="D5174" t="str">
            <v>Micro fcps., Yasargil, bay., 0.9mm, 22cm</v>
          </cell>
        </row>
        <row r="5175">
          <cell r="B5175" t="str">
            <v>24-853-01-07</v>
          </cell>
          <cell r="C5175" t="str">
            <v>Tumorgabel, Yasargil, 8 mm, 20 cm</v>
          </cell>
          <cell r="D5175" t="str">
            <v>Tumour fork, Yasargil, 8 mm, 20 cm</v>
          </cell>
        </row>
        <row r="5176">
          <cell r="B5176" t="str">
            <v>24-853-02-07</v>
          </cell>
          <cell r="C5176" t="str">
            <v>Tumorgabel, Yasargil, 5 mm, 20 cm</v>
          </cell>
          <cell r="D5176" t="str">
            <v>Tumour fork, Yasargil, 5 mm, 20 cm</v>
          </cell>
        </row>
        <row r="5177">
          <cell r="B5177" t="str">
            <v>24-853-03-07</v>
          </cell>
          <cell r="C5177" t="str">
            <v>Gewebekralle m. Schutz, Ø1,8 mm, 18,5 mm</v>
          </cell>
          <cell r="D5177" t="str">
            <v>Tissue fcps. w. protector,  Ø1.8mm,18.5mm</v>
          </cell>
        </row>
        <row r="5178">
          <cell r="B5178" t="str">
            <v>24-854-01-07</v>
          </cell>
          <cell r="C5178" t="str">
            <v>Tumormesser, Samii, 1,0 mm, 23 cm</v>
          </cell>
          <cell r="D5178" t="str">
            <v>Tumor knife, Samii, 1.0 mm, 23cm</v>
          </cell>
        </row>
        <row r="5179">
          <cell r="B5179" t="str">
            <v>24-854-02-07</v>
          </cell>
          <cell r="C5179" t="str">
            <v>Tumormesser, Samii, 1,5 mm, 23 cm</v>
          </cell>
          <cell r="D5179" t="str">
            <v>Tumor knife, Samii, 1.5 mm, 23cm</v>
          </cell>
        </row>
        <row r="5180">
          <cell r="B5180" t="str">
            <v>24-854-03-07</v>
          </cell>
          <cell r="C5180" t="str">
            <v>Tumormesser, Samii, 2,0 mm, 23 cm</v>
          </cell>
          <cell r="D5180" t="str">
            <v>Tumor knife, Samii, 2.0 mm, 23cm</v>
          </cell>
        </row>
        <row r="5181">
          <cell r="B5181" t="str">
            <v>24-854-04-07</v>
          </cell>
          <cell r="C5181" t="str">
            <v>Tumormesser, Samii, 2,5 mm, 23 cm</v>
          </cell>
          <cell r="D5181" t="str">
            <v>Tumor knife, Samii, 2.5 mm, 23cm</v>
          </cell>
        </row>
        <row r="5182">
          <cell r="B5182" t="str">
            <v>24-854-05-07</v>
          </cell>
          <cell r="C5182" t="str">
            <v>Tumormesser, Samii, 3,0 mm, 23 cm</v>
          </cell>
          <cell r="D5182" t="str">
            <v>Tumor knife, Samii, 3.0 mm, 23cm</v>
          </cell>
        </row>
        <row r="5183">
          <cell r="B5183" t="str">
            <v>24-854-06-07</v>
          </cell>
          <cell r="C5183" t="str">
            <v>Tumormesser, Samii, 3,5 mm, 23 cm</v>
          </cell>
          <cell r="D5183" t="str">
            <v>Tumor knife, Samii, 3.5 mm, 23cm</v>
          </cell>
        </row>
        <row r="5184">
          <cell r="B5184" t="str">
            <v>24-854-07-07</v>
          </cell>
          <cell r="C5184" t="str">
            <v>Tumormesser, Samii, 4,0 mm, 23 cm</v>
          </cell>
          <cell r="D5184" t="str">
            <v>Tumor knife, Samii, 4.0 mm, 23cm</v>
          </cell>
        </row>
        <row r="5185">
          <cell r="B5185" t="str">
            <v>24-854-08-07</v>
          </cell>
          <cell r="C5185" t="str">
            <v>Tumormesser, Samii, 5,0 mm, 23 cm</v>
          </cell>
          <cell r="D5185" t="str">
            <v>Tumor knife, Samii, 5.0 mm, 23cm</v>
          </cell>
        </row>
        <row r="5186">
          <cell r="B5186" t="str">
            <v>24-854-09-07</v>
          </cell>
          <cell r="C5186" t="str">
            <v>Tumormesser, Samii, rund, 1,5 mm, 23 cm</v>
          </cell>
          <cell r="D5186" t="str">
            <v>Tumor knife, Samii, round, 1.5 mm, 23cm</v>
          </cell>
        </row>
        <row r="5187">
          <cell r="B5187" t="str">
            <v>24-854-10-07</v>
          </cell>
          <cell r="C5187" t="str">
            <v>Tumormesser, Samii, rund, 3,0 mm, 23 cm</v>
          </cell>
          <cell r="D5187" t="str">
            <v>Tumor knife, Samii, round, 3.0 mm, 23cm</v>
          </cell>
        </row>
        <row r="5188">
          <cell r="B5188" t="str">
            <v>24-854-11-07</v>
          </cell>
          <cell r="C5188" t="str">
            <v>Tumormesser, Samii, rund, 4,5 mm, 23 cm</v>
          </cell>
          <cell r="D5188" t="str">
            <v>Tumor knife, Samii, round, 4.5 mm, 23cm</v>
          </cell>
        </row>
        <row r="5189">
          <cell r="B5189" t="str">
            <v>24-854-12-07</v>
          </cell>
          <cell r="C5189" t="str">
            <v>Tumormesser, Samii, rund, 6,0 mm, 23 cm</v>
          </cell>
          <cell r="D5189" t="str">
            <v>Tumor knife, Samii, round, 6.0 mm, 23cm</v>
          </cell>
        </row>
        <row r="5190">
          <cell r="B5190" t="str">
            <v>24-855-10-07</v>
          </cell>
          <cell r="C5190" t="str">
            <v>Tumorfasszange, Landolt, stumpf, 20 cm</v>
          </cell>
          <cell r="D5190" t="str">
            <v>Tumor.grasp.fcps., Landolt, blunt, 20 cm</v>
          </cell>
        </row>
        <row r="5191">
          <cell r="B5191" t="str">
            <v>24-856-01-07</v>
          </cell>
          <cell r="C5191" t="str">
            <v>Dissektor,  micro, Caspar, geb., 23 cm</v>
          </cell>
          <cell r="D5191" t="str">
            <v>Dissector,  micro, Caspar, curved, 23 cm</v>
          </cell>
        </row>
        <row r="5192">
          <cell r="B5192" t="str">
            <v>24-856-02-07</v>
          </cell>
          <cell r="C5192" t="str">
            <v>Dissektor,  micro,Caspar,baj.,abgeb.,23cm</v>
          </cell>
          <cell r="D5192" t="str">
            <v>Dissector,micro,Caspar,bay.,cvd.dwn,23cm</v>
          </cell>
        </row>
        <row r="5193">
          <cell r="B5193" t="str">
            <v>24-856-03-07</v>
          </cell>
          <cell r="C5193" t="str">
            <v>Dissektor,  micro,Caspar,baj.,abgeb.,23cm</v>
          </cell>
          <cell r="D5193" t="str">
            <v>Dissector,micro,Caspar,bay.,cvd.dwn,23cm</v>
          </cell>
        </row>
        <row r="5194">
          <cell r="B5194" t="str">
            <v>24-856-04-07</v>
          </cell>
          <cell r="C5194" t="str">
            <v>Dissektor,  micro, Caspar, geb., 20 cm</v>
          </cell>
          <cell r="D5194" t="str">
            <v>Dissector,  micro, Caspar, curved, 20 cm</v>
          </cell>
        </row>
        <row r="5195">
          <cell r="B5195" t="str">
            <v>24-856-05-07</v>
          </cell>
          <cell r="C5195" t="str">
            <v>Dissektor,micro,Caspar,baj.,aufgeb.,20cm</v>
          </cell>
          <cell r="D5195" t="str">
            <v>Dissector,micro,Casp.,bay.cvd upwrd,20cm</v>
          </cell>
        </row>
        <row r="5196">
          <cell r="B5196" t="str">
            <v>24-856-06-07</v>
          </cell>
          <cell r="C5196" t="str">
            <v>Dissektor,  micro,Caspar,baj.,abgeb.,20cm</v>
          </cell>
          <cell r="D5196" t="str">
            <v>Dissector,micro,Caspar,bay.,cvd dwn,20cm</v>
          </cell>
        </row>
        <row r="5197">
          <cell r="B5197" t="str">
            <v>24-857-01-07</v>
          </cell>
          <cell r="C5197" t="str">
            <v>Dissektor,  Rhoton, #1, rund, 19 cm</v>
          </cell>
          <cell r="D5197" t="str">
            <v>Dissector,  Rhoton, #1, round, 19 cm</v>
          </cell>
        </row>
        <row r="5198">
          <cell r="B5198" t="str">
            <v>24-857-01-09</v>
          </cell>
          <cell r="C5198" t="str">
            <v>Dissektor,  Rhoton, #1, rund, 19 cm</v>
          </cell>
          <cell r="D5198" t="str">
            <v>Dissector,  Rhoton, #1, round, 19 cm</v>
          </cell>
        </row>
        <row r="5199">
          <cell r="B5199" t="str">
            <v>24-857-02-07</v>
          </cell>
          <cell r="C5199" t="str">
            <v>Dissektor,  Rhoton, #2, rund, 19 cm</v>
          </cell>
          <cell r="D5199" t="str">
            <v>Dissector,  Rhoton, #2, round, 19 cm</v>
          </cell>
        </row>
        <row r="5200">
          <cell r="B5200" t="str">
            <v>24-857-02-09</v>
          </cell>
          <cell r="C5200" t="str">
            <v>Dissektor,  Rhoton, #2, rund, 19 cm</v>
          </cell>
          <cell r="D5200" t="str">
            <v>Dissector,  Rhoton, #2, round, 19 cm</v>
          </cell>
        </row>
        <row r="5201">
          <cell r="B5201" t="str">
            <v>24-857-03-07</v>
          </cell>
          <cell r="C5201" t="str">
            <v>Dissektor,  Rhoton, #3, rund, 19 cm</v>
          </cell>
          <cell r="D5201" t="str">
            <v>Dissector,  Rhoton, #3, round, 19 cm</v>
          </cell>
        </row>
        <row r="5202">
          <cell r="B5202" t="str">
            <v>24-857-03-09</v>
          </cell>
          <cell r="C5202" t="str">
            <v>Dissektor,  Rhoton, #3, rund, 19 cm</v>
          </cell>
          <cell r="D5202" t="str">
            <v>Dissector,  Rhoton, #3, round, 19 cm</v>
          </cell>
        </row>
        <row r="5203">
          <cell r="B5203" t="str">
            <v>24-857-04-07</v>
          </cell>
          <cell r="C5203" t="str">
            <v>Elevatorium, Rhoton, #4, gew., 19 cm</v>
          </cell>
          <cell r="D5203" t="str">
            <v>Elevator,  Rhoton, #4, ang., 19 cm</v>
          </cell>
        </row>
        <row r="5204">
          <cell r="B5204" t="str">
            <v>24-857-04-09</v>
          </cell>
          <cell r="C5204" t="str">
            <v>Elevatorium, Rhoton, #4, gew., 19 cm</v>
          </cell>
          <cell r="D5204" t="str">
            <v>Elevator,  Rhoton, #4, ang., 19 cm</v>
          </cell>
        </row>
        <row r="5205">
          <cell r="B5205" t="str">
            <v>24-857-05-07</v>
          </cell>
          <cell r="C5205" t="str">
            <v>Elevatorium, Rhoton, #5, geb., 19 cm</v>
          </cell>
          <cell r="D5205" t="str">
            <v>Elevator,  Rhoton, #5, cvd., 19 cm</v>
          </cell>
        </row>
        <row r="5206">
          <cell r="B5206" t="str">
            <v>24-857-05-09</v>
          </cell>
          <cell r="C5206" t="str">
            <v>Elevatorium, Rhoton, #5, geb., 19 cm</v>
          </cell>
          <cell r="D5206" t="str">
            <v>Elevator,  Rhoton, #5, cvd., 19 cm</v>
          </cell>
        </row>
        <row r="5207">
          <cell r="B5207" t="str">
            <v>24-857-06-07</v>
          </cell>
          <cell r="C5207" t="str">
            <v>Dissektor,  Rhoton, #6, klein, 19 cm</v>
          </cell>
          <cell r="D5207" t="str">
            <v>Dissector,  Rhoton, #6, small, 19 cm</v>
          </cell>
        </row>
        <row r="5208">
          <cell r="B5208" t="str">
            <v>24-857-06-09</v>
          </cell>
          <cell r="C5208" t="str">
            <v>Dissektor,  Rhoton, #6, klein, 19 cm</v>
          </cell>
          <cell r="D5208" t="str">
            <v>Dissector,  Rhoton, #6, small, 19 cm</v>
          </cell>
        </row>
        <row r="5209">
          <cell r="B5209" t="str">
            <v>24-857-07-07</v>
          </cell>
          <cell r="C5209" t="str">
            <v>Dissektor,  Rhoton, #7, mittel, 19 cm</v>
          </cell>
          <cell r="D5209" t="str">
            <v>Dissector,  Rhoton, #7, medium,  19 cm</v>
          </cell>
        </row>
        <row r="5210">
          <cell r="B5210" t="str">
            <v>24-857-07-09</v>
          </cell>
          <cell r="C5210" t="str">
            <v>Dissektor,  Rhoton, #7, mittel, 19 cm</v>
          </cell>
          <cell r="D5210" t="str">
            <v>Dissector,  Rhoton, #7, medium,  19 cm</v>
          </cell>
        </row>
        <row r="5211">
          <cell r="B5211" t="str">
            <v>24-857-08-07</v>
          </cell>
          <cell r="C5211" t="str">
            <v>Dissektor,  Rhoton, #8, gross, 19 cm</v>
          </cell>
          <cell r="D5211" t="str">
            <v>Dissector,  Rhoton, #8, large, 19 cm</v>
          </cell>
        </row>
        <row r="5212">
          <cell r="B5212" t="str">
            <v>24-857-08-09</v>
          </cell>
          <cell r="C5212" t="str">
            <v>Dissektor,  Rhoton, #8, gross, 19 cm</v>
          </cell>
          <cell r="D5212" t="str">
            <v>Dissector,  Rhoton, #8, large, 19 cm</v>
          </cell>
        </row>
        <row r="5213">
          <cell r="B5213" t="str">
            <v>24-857-09-07</v>
          </cell>
          <cell r="C5213" t="str">
            <v>Häkchen,  Rhoton, #9, m.scharf,  19 cm</v>
          </cell>
          <cell r="D5213" t="str">
            <v>Hook, Rhoton, #9, semisharp,  19 cm</v>
          </cell>
        </row>
        <row r="5214">
          <cell r="B5214" t="str">
            <v>24-857-09-09</v>
          </cell>
          <cell r="C5214" t="str">
            <v>Häkchen,  Rhoton, #9, m.scharf,  19 cm</v>
          </cell>
          <cell r="D5214" t="str">
            <v>Hook, Rhoton, #9, semisharp,  19 cm</v>
          </cell>
        </row>
        <row r="5215">
          <cell r="B5215" t="str">
            <v>24-857-10-07</v>
          </cell>
          <cell r="C5215" t="str">
            <v>Häkchen,  Rhoton, #10, stumpf, 19 cm</v>
          </cell>
          <cell r="D5215" t="str">
            <v>Hook, Rhoton, #10, blunt, 19 cm</v>
          </cell>
        </row>
        <row r="5216">
          <cell r="B5216" t="str">
            <v>24-857-10-09</v>
          </cell>
          <cell r="C5216" t="str">
            <v>Häkchen,  Rhoton, #10, stumpf, 19 cm</v>
          </cell>
          <cell r="D5216" t="str">
            <v>Hook, Rhoton, #10, blunt, 19 cm</v>
          </cell>
        </row>
        <row r="5217">
          <cell r="B5217" t="str">
            <v>24-857-11-07</v>
          </cell>
          <cell r="C5217" t="str">
            <v>Häkchen,  Rhoton, #11, m.scharf,  19 cm</v>
          </cell>
          <cell r="D5217" t="str">
            <v>Hook, Rhoton, #11, semisharp,  19 cm</v>
          </cell>
        </row>
        <row r="5218">
          <cell r="B5218" t="str">
            <v>24-857-11-09</v>
          </cell>
          <cell r="C5218" t="str">
            <v>Häkchen,  Rhoton, #11, m.scharf,  19 cm</v>
          </cell>
          <cell r="D5218" t="str">
            <v>Hook, Rhoton, #11, semisharp,  19 cm</v>
          </cell>
        </row>
        <row r="5219">
          <cell r="B5219" t="str">
            <v>24-857-12-07</v>
          </cell>
          <cell r="C5219" t="str">
            <v>Nadel, Rhoton, #12, gerade, 19 cm</v>
          </cell>
          <cell r="D5219" t="str">
            <v>Needle, Rhoton, #12, straight, 19 cm</v>
          </cell>
        </row>
        <row r="5220">
          <cell r="B5220" t="str">
            <v>24-857-12-09</v>
          </cell>
          <cell r="C5220" t="str">
            <v>Nadel, Rhoton, #12, gerade, 19 cm</v>
          </cell>
          <cell r="D5220" t="str">
            <v>Needle, Rhoton, #12, straight, 19 cm</v>
          </cell>
        </row>
        <row r="5221">
          <cell r="B5221" t="str">
            <v>24-857-13-07</v>
          </cell>
          <cell r="C5221" t="str">
            <v>Kürette, Rhoton, #13, klein, 19 cm</v>
          </cell>
          <cell r="D5221" t="str">
            <v>Curettes,  Rhoton, #13, small, 19 cm</v>
          </cell>
        </row>
        <row r="5222">
          <cell r="B5222" t="str">
            <v>24-857-13-09</v>
          </cell>
          <cell r="C5222" t="str">
            <v>Kürette, Rhoton, #13, klein, 19 cm</v>
          </cell>
          <cell r="D5222" t="str">
            <v>Curettes,  Rhoton, #13, small, 19 cm</v>
          </cell>
        </row>
        <row r="5223">
          <cell r="B5223" t="str">
            <v>24-857-14-07</v>
          </cell>
          <cell r="C5223" t="str">
            <v>Kürette, Rhoton, #14, gross, 19 cm</v>
          </cell>
          <cell r="D5223" t="str">
            <v>Curettes,  Rhoton, #14, large, 19 cm</v>
          </cell>
        </row>
        <row r="5224">
          <cell r="B5224" t="str">
            <v>24-857-14-09</v>
          </cell>
          <cell r="C5224" t="str">
            <v>Kürette, Rhoton, #14, gross, 19 cm</v>
          </cell>
          <cell r="D5224" t="str">
            <v>Curettes,  Rhoton, #14, large, 19 cm</v>
          </cell>
        </row>
        <row r="5225">
          <cell r="B5225" t="str">
            <v>24-857-15-07</v>
          </cell>
          <cell r="C5225" t="str">
            <v>Kugeldissektor, Rhoton, #15, ger., 19 cm</v>
          </cell>
          <cell r="D5225" t="str">
            <v>Tear Drop Dissector,  Rhoton, #15, 19 cm</v>
          </cell>
        </row>
        <row r="5226">
          <cell r="B5226" t="str">
            <v>24-857-15-09</v>
          </cell>
          <cell r="C5226" t="str">
            <v>Kugeldissektor, Rhoton, #15, ger., 19 cm</v>
          </cell>
          <cell r="D5226" t="str">
            <v>Tear Drop Dissector,  Rhoton, #15, 19 cm</v>
          </cell>
        </row>
        <row r="5227">
          <cell r="B5227" t="str">
            <v>24-857-16-07</v>
          </cell>
          <cell r="C5227" t="str">
            <v>Kugeldissektor, Rhoton, #16, 90°, 19 cm</v>
          </cell>
          <cell r="D5227" t="str">
            <v>Tear Drop Diss., Rhoton, #16, 90°, 19 cm</v>
          </cell>
        </row>
        <row r="5228">
          <cell r="B5228" t="str">
            <v>24-857-16-09</v>
          </cell>
          <cell r="C5228" t="str">
            <v>Kugeldissektor, Rhoton, #16, 90°, 19 cm</v>
          </cell>
          <cell r="D5228" t="str">
            <v>Tear Drop Diss., Rhoton, #16, 90°, 19 cm</v>
          </cell>
        </row>
        <row r="5229">
          <cell r="B5229" t="str">
            <v>24-857-17-07</v>
          </cell>
          <cell r="C5229" t="str">
            <v>Kugeldissektor, Rhoton, #17, 90°, 19 cm</v>
          </cell>
          <cell r="D5229" t="str">
            <v>Tear Drop Diss., Rhoton, #17, 90°, 19 cm</v>
          </cell>
        </row>
        <row r="5230">
          <cell r="B5230" t="str">
            <v>24-857-17-09</v>
          </cell>
          <cell r="C5230" t="str">
            <v>Kugeldissektor, Rhoton, #17, 90°, 19 cm</v>
          </cell>
          <cell r="D5230" t="str">
            <v>Tear Drop Diss., Rhoton, #17, 90°, 19 cm</v>
          </cell>
        </row>
        <row r="5231">
          <cell r="B5231" t="str">
            <v>24-857-18-07</v>
          </cell>
          <cell r="C5231" t="str">
            <v>Kugeldissektor, Rhoton, #18, 40°, 19 cm</v>
          </cell>
          <cell r="D5231" t="str">
            <v>Tear Drop Diss., Rhoton, #18, 40°, 19 cm</v>
          </cell>
        </row>
        <row r="5232">
          <cell r="B5232" t="str">
            <v>24-857-18-09</v>
          </cell>
          <cell r="C5232" t="str">
            <v>Kugeldissektor, Rhoton, #18, 40°, 19 cm</v>
          </cell>
          <cell r="D5232" t="str">
            <v>Tear Drop Diss., Rhoton, #18, 40°, 19 cm</v>
          </cell>
        </row>
        <row r="5233">
          <cell r="B5233" t="str">
            <v>24-857-19-07</v>
          </cell>
          <cell r="C5233" t="str">
            <v>Kugeldissektor, Rhoton, #19, 40°, 19 cm</v>
          </cell>
          <cell r="D5233" t="str">
            <v>Tear Drop Diss., Rhoton, #19, 40°, 19 cm</v>
          </cell>
        </row>
        <row r="5234">
          <cell r="B5234" t="str">
            <v>24-857-19-09</v>
          </cell>
          <cell r="C5234" t="str">
            <v>Kugeldissektor, Rhoton, #19, 40°, 19 cm</v>
          </cell>
          <cell r="D5234" t="str">
            <v>Tear Drop Diss., Rhoton, #19, 40°, 19 cm</v>
          </cell>
        </row>
        <row r="5235">
          <cell r="B5235" t="str">
            <v>24-858-01-07</v>
          </cell>
          <cell r="C5235" t="str">
            <v>Lanzettenmesser, Samii, 1,8 mm, 23 cm</v>
          </cell>
          <cell r="D5235" t="str">
            <v>Lancet knife, Samii, 1.8 mm, 23 cm</v>
          </cell>
        </row>
        <row r="5236">
          <cell r="B5236" t="str">
            <v>24-858-10-07</v>
          </cell>
          <cell r="C5236" t="str">
            <v>Messer, Gefäß, mikro, Koos, geb., 18,5cm</v>
          </cell>
          <cell r="D5236" t="str">
            <v>Knife, micro vasc., Koos, curved, 18.5cm</v>
          </cell>
        </row>
        <row r="5237">
          <cell r="B5237" t="str">
            <v>24-858-11-07</v>
          </cell>
          <cell r="C5237" t="str">
            <v>Messer, Gefäß, mikro, Koos,abgeb.,18,5cm</v>
          </cell>
          <cell r="D5237" t="str">
            <v>Knife, micro vasc., Koos, cvd dwn,18.5cm</v>
          </cell>
        </row>
        <row r="5238">
          <cell r="B5238" t="str">
            <v>24-858-12-07</v>
          </cell>
          <cell r="C5238" t="str">
            <v>Messer, Gefäß, mikro,Koos,st.geb.,18,5cm</v>
          </cell>
          <cell r="D5238" t="str">
            <v>Knife, micro vasc.,Koos,strg. cvd,18.5cm</v>
          </cell>
        </row>
        <row r="5239">
          <cell r="B5239" t="str">
            <v>24-858-13-07</v>
          </cell>
          <cell r="C5239" t="str">
            <v>Messer,Gefäß,mikro,Koos,st.abgeb.,18,5cm</v>
          </cell>
          <cell r="D5239" t="str">
            <v>Knife,microvasc,Koos,strg.cvd dwn,18.5cm</v>
          </cell>
        </row>
        <row r="5240">
          <cell r="B5240" t="str">
            <v>24-858-20-07</v>
          </cell>
          <cell r="C5240" t="str">
            <v>Messer,Gefäß,mikro,Yasargil,abgeb,18,5cm</v>
          </cell>
          <cell r="D5240" t="str">
            <v>Knife micro vasc., Yasar.,cvd  dwn,18.5cm</v>
          </cell>
        </row>
        <row r="5241">
          <cell r="B5241" t="str">
            <v>24-858-21-07</v>
          </cell>
          <cell r="C5241" t="str">
            <v>Messer,Gefäß,mikro,Yasar.,aufgeb.,18,5cm</v>
          </cell>
          <cell r="D5241" t="str">
            <v>Knife micro vasc.,Yasar,cvd upwrd,18.5cm</v>
          </cell>
        </row>
        <row r="5242">
          <cell r="B5242" t="str">
            <v>24-858-30-07</v>
          </cell>
          <cell r="C5242" t="str">
            <v>Messer, Gefäß,mikro,Jacobson,ger.,18,5cm</v>
          </cell>
          <cell r="D5242" t="str">
            <v>Knife micro vasc.,Jacob.,straight,18.5cm</v>
          </cell>
        </row>
        <row r="5243">
          <cell r="B5243" t="str">
            <v>24-860-02-07</v>
          </cell>
          <cell r="C5243" t="str">
            <v>Fadenführer, Yasargil,mittel geb.,18,5cm</v>
          </cell>
          <cell r="D5243" t="str">
            <v>Suture guide, Yasargil, med. cvd, 18.5cm</v>
          </cell>
        </row>
        <row r="5244">
          <cell r="B5244" t="str">
            <v>24-860-03-07</v>
          </cell>
          <cell r="C5244" t="str">
            <v>Fadenführer, Yasargil,leicht geb.,18,5cm</v>
          </cell>
          <cell r="D5244" t="str">
            <v>Suture guide,Yasar.,slightly cvd,18.5cm</v>
          </cell>
        </row>
        <row r="5245">
          <cell r="B5245" t="str">
            <v>24-860-04-07</v>
          </cell>
          <cell r="C5245" t="str">
            <v>Fadenführer, Yasargil, 90°, geb., 18,5cm</v>
          </cell>
          <cell r="D5245" t="str">
            <v>Suture guide, Yasargil, 90°, cvd, 18.5cm</v>
          </cell>
        </row>
        <row r="5246">
          <cell r="B5246" t="str">
            <v>24-862-01-07</v>
          </cell>
          <cell r="C5246" t="str">
            <v>Raspat., micro, Yasargil, abgew., 18,5cm</v>
          </cell>
          <cell r="D5246" t="str">
            <v>Raspat., micro, Yasargil,ang. dwn,18.5cm</v>
          </cell>
        </row>
        <row r="5247">
          <cell r="B5247" t="str">
            <v>24-862-02-07</v>
          </cell>
          <cell r="C5247" t="str">
            <v>Raspat., micro, Yasargil, abgew., 18,5cm</v>
          </cell>
          <cell r="D5247" t="str">
            <v>Raspat., micro, Yasargil,ang. dwn,18.5cm</v>
          </cell>
        </row>
        <row r="5248">
          <cell r="B5248" t="str">
            <v>24-862-03-07</v>
          </cell>
          <cell r="C5248" t="str">
            <v>Raspat., micro, Yasargil, geb., 18,5 cm</v>
          </cell>
          <cell r="D5248" t="str">
            <v>Raspat., micro, Yasargil, curved, 18.5cm</v>
          </cell>
        </row>
        <row r="5249">
          <cell r="B5249" t="str">
            <v>24-862-04-07</v>
          </cell>
          <cell r="C5249" t="str">
            <v>Raspat., micro, Yasargil, geb., 18,5 cm</v>
          </cell>
          <cell r="D5249" t="str">
            <v>Raspat., micro, Yasargil, curved, 18.5cm</v>
          </cell>
        </row>
        <row r="5250">
          <cell r="B5250" t="str">
            <v>24-862-05-07</v>
          </cell>
          <cell r="C5250" t="str">
            <v>Raspat.,micro,Yasargil,abgew.geb.,18,5cm</v>
          </cell>
          <cell r="D5250" t="str">
            <v>Raspat.,micro,Yasar.,ang. dwn cvd,18.5cm</v>
          </cell>
        </row>
        <row r="5251">
          <cell r="B5251" t="str">
            <v>24-862-06-07</v>
          </cell>
          <cell r="C5251" t="str">
            <v>Raspat.,micro,Yasargil,abgew.geb.,18,5cm</v>
          </cell>
          <cell r="D5251" t="str">
            <v>Raspat.,micro,Yasar.,ang. dwn cvd,18.5cm</v>
          </cell>
        </row>
        <row r="5252">
          <cell r="B5252" t="str">
            <v>24-862-07-07</v>
          </cell>
          <cell r="C5252" t="str">
            <v>Raspat., micro, Yasargil, geb., 18,5cm</v>
          </cell>
          <cell r="D5252" t="str">
            <v>Raspat., micro, Yasargil, curved, 18.5cm</v>
          </cell>
        </row>
        <row r="5253">
          <cell r="B5253" t="str">
            <v>24-862-10-07</v>
          </cell>
          <cell r="C5253" t="str">
            <v>Raspat., micro, Plattenform, klein, 23cm</v>
          </cell>
          <cell r="D5253" t="str">
            <v>Raspat., micro,plate shape, small, 23cm</v>
          </cell>
        </row>
        <row r="5254">
          <cell r="B5254" t="str">
            <v>24-862-11-07</v>
          </cell>
          <cell r="C5254" t="str">
            <v>Raspat., micro, Plattenform, groß, 23 cm</v>
          </cell>
          <cell r="D5254" t="str">
            <v>Raspat., micro,plate shape, large, 23cm</v>
          </cell>
        </row>
        <row r="5255">
          <cell r="B5255" t="str">
            <v>24-862-20-07</v>
          </cell>
          <cell r="C5255" t="str">
            <v>Raspat., micro, Plattenform, baj., 23 cm</v>
          </cell>
          <cell r="D5255" t="str">
            <v>Raspat., micro,plate shape, bay., 23cm</v>
          </cell>
        </row>
        <row r="5256">
          <cell r="B5256" t="str">
            <v>24-863-01-07</v>
          </cell>
          <cell r="C5256" t="str">
            <v>Dissektor,  micro, Yasargil,abgew.,18,5cm</v>
          </cell>
          <cell r="D5256" t="str">
            <v>Dissector,micro,Yasargil,ang. dwn,18.5cm</v>
          </cell>
        </row>
        <row r="5257">
          <cell r="B5257" t="str">
            <v>24-863-10-07</v>
          </cell>
          <cell r="C5257" t="str">
            <v>Dissektor,  micro, ger., dünn, geb., 23cm</v>
          </cell>
          <cell r="D5257" t="str">
            <v>Dissector,micro,straight,slim, cvd 23 cm</v>
          </cell>
        </row>
        <row r="5258">
          <cell r="B5258" t="str">
            <v>24-863-11-07</v>
          </cell>
          <cell r="C5258" t="str">
            <v>Dissektor,  micro, baj. geb. li., 23 cm</v>
          </cell>
          <cell r="D5258" t="str">
            <v>Dissector,  micro, bay., cvd. left, 23 cm</v>
          </cell>
        </row>
        <row r="5259">
          <cell r="B5259" t="str">
            <v>24-863-12-07</v>
          </cell>
          <cell r="C5259" t="str">
            <v>Dissektor,  micro, ger., geb., 23 cm</v>
          </cell>
          <cell r="D5259" t="str">
            <v>Dissector,  micro, straight, curved,23  cm</v>
          </cell>
        </row>
        <row r="5260">
          <cell r="B5260" t="str">
            <v>24-863-13-07</v>
          </cell>
          <cell r="C5260" t="str">
            <v>Dissektor,  micro, baj. geb. re., 23 cm</v>
          </cell>
          <cell r="D5260" t="str">
            <v>Dissector,  micro, bay., cvd. right 23 cm</v>
          </cell>
        </row>
        <row r="5261">
          <cell r="B5261" t="str">
            <v>24-864-01-07</v>
          </cell>
          <cell r="C5261" t="str">
            <v>Sonde, Knopf, Jacobson,  abgew., 18,5 cm</v>
          </cell>
          <cell r="D5261" t="str">
            <v>Button probe, Jacobson,ang. dwn, 18.5 cm</v>
          </cell>
        </row>
        <row r="5262">
          <cell r="B5262" t="str">
            <v>24-864-02-07</v>
          </cell>
          <cell r="C5262" t="str">
            <v>Sonde, doppel, Jacobson,  geknöpft,18,5cm</v>
          </cell>
          <cell r="D5262" t="str">
            <v>Double probe,Jacobson,button end.,18.5cm</v>
          </cell>
        </row>
        <row r="5263">
          <cell r="B5263" t="str">
            <v>24-865-01-07</v>
          </cell>
          <cell r="C5263" t="str">
            <v>Löffel, mikro, Yasargil, scharf, 18,5 cm</v>
          </cell>
          <cell r="D5263" t="str">
            <v>Curette, micro, Yasargil, sharp, 18.5 cm</v>
          </cell>
        </row>
        <row r="5264">
          <cell r="B5264" t="str">
            <v>24-865-10-07</v>
          </cell>
          <cell r="C5264" t="str">
            <v>Löffel, mikro, scharf, ger., 23 cm</v>
          </cell>
          <cell r="D5264" t="str">
            <v>Curette, micro, sharp, straight, 23 cm</v>
          </cell>
        </row>
        <row r="5265">
          <cell r="B5265" t="str">
            <v>24-865-11-07</v>
          </cell>
          <cell r="C5265" t="str">
            <v>Löffel, mikro, scharf, aufgew.,ger.,23cm</v>
          </cell>
          <cell r="D5265" t="str">
            <v>Curette,micro,sharp,ang.up,straight,23cm</v>
          </cell>
        </row>
        <row r="5266">
          <cell r="B5266" t="str">
            <v>24-866-01-07</v>
          </cell>
          <cell r="C5266" t="str">
            <v>Häkchen,  mikro, scharf, 23 cm</v>
          </cell>
          <cell r="D5266" t="str">
            <v>Hooklet, micro, sharp, 23 cm</v>
          </cell>
        </row>
        <row r="5267">
          <cell r="B5267" t="str">
            <v>24-866-02-07</v>
          </cell>
          <cell r="C5267" t="str">
            <v>Häkchen,  mikro, stumpf, 23 cm</v>
          </cell>
          <cell r="D5267" t="str">
            <v>Hooklet, micro,blunt, 23 cm</v>
          </cell>
        </row>
        <row r="5268">
          <cell r="B5268" t="str">
            <v>24-940-01-07</v>
          </cell>
          <cell r="C5268" t="str">
            <v>Haken, Krayenbühl, # 1, 19 cm</v>
          </cell>
          <cell r="D5268" t="str">
            <v>Hook, Krayenbuehl, # 1, 19 cm</v>
          </cell>
        </row>
        <row r="5269">
          <cell r="B5269" t="str">
            <v>24-940-02-07</v>
          </cell>
          <cell r="C5269" t="str">
            <v>Haken, Krayenbühl, # 2, 19 cm</v>
          </cell>
          <cell r="D5269" t="str">
            <v>Hook, Krayenbuehl, # 2, 19 cm</v>
          </cell>
        </row>
        <row r="5270">
          <cell r="B5270" t="str">
            <v>24-940-03-07</v>
          </cell>
          <cell r="C5270" t="str">
            <v>Haken, Krayenbühl, # 3, 19 cm</v>
          </cell>
          <cell r="D5270" t="str">
            <v>Hook, Krayenbuehl, # 3, 19 cm</v>
          </cell>
        </row>
        <row r="5271">
          <cell r="B5271" t="str">
            <v>24-940-04-07</v>
          </cell>
          <cell r="C5271" t="str">
            <v>Haken, Krayenbühl, # 4, 19 cm</v>
          </cell>
          <cell r="D5271" t="str">
            <v>Hook, Krayenbuehl, # 4, 19 cm</v>
          </cell>
        </row>
        <row r="5272">
          <cell r="B5272" t="str">
            <v>24-942-05-07</v>
          </cell>
          <cell r="C5272" t="str">
            <v>Häkchen,  Caspar, 90°, 5 mm, 24,5 cm</v>
          </cell>
          <cell r="D5272" t="str">
            <v>Hooklet, Caspar, 90°, 5 mm, 24.5 cm</v>
          </cell>
        </row>
        <row r="5273">
          <cell r="B5273" t="str">
            <v>24-942-07-07</v>
          </cell>
          <cell r="C5273" t="str">
            <v>Häkchen,  Caspar, 90°, 7 mm, 24,5 cm</v>
          </cell>
          <cell r="D5273" t="str">
            <v>Hooklet, Caspar, 90°, 7 mm, 24.5 cm</v>
          </cell>
        </row>
        <row r="5274">
          <cell r="B5274" t="str">
            <v>24-942-09-07</v>
          </cell>
          <cell r="C5274" t="str">
            <v>Häkchen,  Caspar, 90°, 9 mm, 24,5 cm</v>
          </cell>
          <cell r="D5274" t="str">
            <v>Hooklet, Caspar, 90°, 9 mm, 24.5 cm</v>
          </cell>
        </row>
        <row r="5275">
          <cell r="B5275" t="str">
            <v>24-942-11-07</v>
          </cell>
          <cell r="C5275" t="str">
            <v>Häkchen,  Caspar, 45°, 11 mm, 24,5 cm</v>
          </cell>
          <cell r="D5275" t="str">
            <v>Hooklet, Caspar, 45°, 11 mm, 24.5 cm</v>
          </cell>
        </row>
        <row r="5276">
          <cell r="B5276" t="str">
            <v>24-973-16-07</v>
          </cell>
          <cell r="C5276" t="str">
            <v>WIRBELKÖRPERSPREIZER, CLOWARD,  16 CM</v>
          </cell>
          <cell r="D5276" t="str">
            <v>VERTEBRAL SPREADER,  CLOWARD,  16 CM</v>
          </cell>
        </row>
        <row r="5277">
          <cell r="B5277" t="str">
            <v>24-974-17-07</v>
          </cell>
          <cell r="C5277" t="str">
            <v>INGE KNOCHENSPREIZER, FLACH</v>
          </cell>
          <cell r="D5277" t="str">
            <v>BONE-SPREADER, PLANE</v>
          </cell>
        </row>
        <row r="5278">
          <cell r="B5278" t="str">
            <v>24-975-17-07</v>
          </cell>
          <cell r="C5278" t="str">
            <v>WIRBELKÖRPERSPREIZER, INGE, 16 CM</v>
          </cell>
          <cell r="D5278" t="str">
            <v>VERTEBRAL SPREADER,  INGE, 16 CM</v>
          </cell>
        </row>
        <row r="5279">
          <cell r="B5279" t="str">
            <v>24-977-27-07</v>
          </cell>
          <cell r="C5279" t="str">
            <v>WIRBELKÖRPERSPREIZER, INGE, 25,5 CM</v>
          </cell>
          <cell r="D5279" t="str">
            <v>VERTEBRAL SPREADER,  INGE, 25.5 CM</v>
          </cell>
        </row>
        <row r="5280">
          <cell r="B5280" t="str">
            <v>24-978-01-07</v>
          </cell>
          <cell r="C5280" t="str">
            <v>Stanze, 40°, 1mm, 18cm</v>
          </cell>
          <cell r="D5280" t="str">
            <v>Punch, 40°, 1mm, 18cm</v>
          </cell>
        </row>
        <row r="5281">
          <cell r="B5281" t="str">
            <v>24-978-01-14</v>
          </cell>
          <cell r="C5281" t="str">
            <v>Stanze, 40°, 1mm, 18cm</v>
          </cell>
          <cell r="D5281" t="str">
            <v>Punch, 40°, 1mm, 18cm</v>
          </cell>
        </row>
        <row r="5282">
          <cell r="B5282" t="str">
            <v>24-978-02-07</v>
          </cell>
          <cell r="C5282" t="str">
            <v>Stanze, 90°, 1mm, 18cm</v>
          </cell>
          <cell r="D5282" t="str">
            <v>Punch, 90°, 1mm, 18cm</v>
          </cell>
        </row>
        <row r="5283">
          <cell r="B5283" t="str">
            <v>24-978-02-14</v>
          </cell>
          <cell r="C5283" t="str">
            <v>Stanze, 90°, 1mm, 18cm</v>
          </cell>
          <cell r="D5283" t="str">
            <v>Punch, 90°, 1mm, 18cm</v>
          </cell>
        </row>
        <row r="5284">
          <cell r="B5284" t="str">
            <v>24-978-03-07</v>
          </cell>
          <cell r="C5284" t="str">
            <v>Stanze, 40°, 1mm, 20cm</v>
          </cell>
          <cell r="D5284" t="str">
            <v>Punch, 40°, 1mm, 20cm</v>
          </cell>
        </row>
        <row r="5285">
          <cell r="B5285" t="str">
            <v>24-978-03-14</v>
          </cell>
          <cell r="C5285" t="str">
            <v>Stanze, 40°, 1mm, 20cm</v>
          </cell>
          <cell r="D5285" t="str">
            <v>Punch, 40°, 1mm, 20cm</v>
          </cell>
        </row>
        <row r="5286">
          <cell r="B5286" t="str">
            <v>24-978-04-07</v>
          </cell>
          <cell r="C5286" t="str">
            <v>Stanze, 90°, 1mm, 20cm</v>
          </cell>
          <cell r="D5286" t="str">
            <v>Punch, 90°, 1mm, 20cm</v>
          </cell>
        </row>
        <row r="5287">
          <cell r="B5287" t="str">
            <v>24-978-04-14</v>
          </cell>
          <cell r="C5287" t="str">
            <v>Stanze, 90°, 1mm, 20cm</v>
          </cell>
          <cell r="D5287" t="str">
            <v>Punch, 90°, 1mm, 20cm</v>
          </cell>
        </row>
        <row r="5288">
          <cell r="B5288" t="str">
            <v>24-978-05-07</v>
          </cell>
          <cell r="C5288" t="str">
            <v>Stanze, 40°, 1mm, 23cm</v>
          </cell>
          <cell r="D5288" t="str">
            <v>Punch, 40°, 1mm, 23cm</v>
          </cell>
        </row>
        <row r="5289">
          <cell r="B5289" t="str">
            <v>24-978-05-14</v>
          </cell>
          <cell r="C5289" t="str">
            <v>Stanze, 40°, 1mm, 23cm</v>
          </cell>
          <cell r="D5289" t="str">
            <v>Punch, 40°, 1mm, 23cm</v>
          </cell>
        </row>
        <row r="5290">
          <cell r="B5290" t="str">
            <v>24-978-06-07</v>
          </cell>
          <cell r="C5290" t="str">
            <v>Stanze, 90°, 1mm, 23cm</v>
          </cell>
          <cell r="D5290" t="str">
            <v>Punch, 90°, 1mm, 23cm</v>
          </cell>
        </row>
        <row r="5291">
          <cell r="B5291" t="str">
            <v>24-978-06-14</v>
          </cell>
          <cell r="C5291" t="str">
            <v>Stanze, 90°, 1mm, 23cm</v>
          </cell>
          <cell r="D5291" t="str">
            <v>Punch, 90°, 1mm, 23cm</v>
          </cell>
        </row>
        <row r="5292">
          <cell r="B5292" t="str">
            <v>24-978-07-07</v>
          </cell>
          <cell r="C5292" t="str">
            <v>Stanze, 40°, 1mm, 28cm</v>
          </cell>
          <cell r="D5292" t="str">
            <v>Punch, 40°, 1mm, 28cm</v>
          </cell>
        </row>
        <row r="5293">
          <cell r="B5293" t="str">
            <v>24-978-07-14</v>
          </cell>
          <cell r="C5293" t="str">
            <v>Stanze, 40°, 1mm, 28cm</v>
          </cell>
          <cell r="D5293" t="str">
            <v>Punch, 40°, 1mm, 28cm</v>
          </cell>
        </row>
        <row r="5294">
          <cell r="B5294" t="str">
            <v>24-978-08-07</v>
          </cell>
          <cell r="C5294" t="str">
            <v>Stanze, 90°, 1mm, 28cm</v>
          </cell>
          <cell r="D5294" t="str">
            <v>Punch, 90°, 1mm, 28cm</v>
          </cell>
        </row>
        <row r="5295">
          <cell r="B5295" t="str">
            <v>24-978-08-14</v>
          </cell>
          <cell r="C5295" t="str">
            <v>Stanze, 90°, 1mm, 28cm</v>
          </cell>
          <cell r="D5295" t="str">
            <v>Punch, 90°, 1mm, 28cm</v>
          </cell>
        </row>
        <row r="5296">
          <cell r="B5296" t="str">
            <v>24-978-09-07</v>
          </cell>
          <cell r="C5296" t="str">
            <v>Stanze, 40°, 2mm, 18cm</v>
          </cell>
          <cell r="D5296" t="str">
            <v>Punch, 40°, 2mm, 18cm</v>
          </cell>
        </row>
        <row r="5297">
          <cell r="B5297" t="str">
            <v>24-978-09-14</v>
          </cell>
          <cell r="C5297" t="str">
            <v>Stanze, 40°, 2mm, 18cm</v>
          </cell>
          <cell r="D5297" t="str">
            <v>Punch, 40°, 2mm, 18cm</v>
          </cell>
        </row>
        <row r="5298">
          <cell r="B5298" t="str">
            <v>24-978-10-07</v>
          </cell>
          <cell r="C5298" t="str">
            <v>Stanze, 90°, 2mm, 18cm</v>
          </cell>
          <cell r="D5298" t="str">
            <v>Punch, 90°, 2mm, 18cm</v>
          </cell>
        </row>
        <row r="5299">
          <cell r="B5299" t="str">
            <v>24-978-10-14</v>
          </cell>
          <cell r="C5299" t="str">
            <v>Stanze, 90°, 2mm, 18cm</v>
          </cell>
          <cell r="D5299" t="str">
            <v>Punch, 90°, 2mm, 18cm</v>
          </cell>
        </row>
        <row r="5300">
          <cell r="B5300" t="str">
            <v>24-978-11-07</v>
          </cell>
          <cell r="C5300" t="str">
            <v>Stanze, 40°, 2mm, 20cm</v>
          </cell>
          <cell r="D5300" t="str">
            <v>Punch, 40°, 2mm, 20cm</v>
          </cell>
        </row>
        <row r="5301">
          <cell r="B5301" t="str">
            <v>24-978-11-14</v>
          </cell>
          <cell r="C5301" t="str">
            <v>Stanze, 40°, 2mm, 20cm</v>
          </cell>
          <cell r="D5301" t="str">
            <v>Punch, 40°, 2mm, 20cm</v>
          </cell>
        </row>
        <row r="5302">
          <cell r="B5302" t="str">
            <v>24-978-12-07</v>
          </cell>
          <cell r="C5302" t="str">
            <v>Stanze, 90°, 2mm, 20cm</v>
          </cell>
          <cell r="D5302" t="str">
            <v>Punch, 90°, 2mm, 20cm</v>
          </cell>
        </row>
        <row r="5303">
          <cell r="B5303" t="str">
            <v>24-978-12-14</v>
          </cell>
          <cell r="C5303" t="str">
            <v>Stanze, 90°, 2mm, 20cm</v>
          </cell>
          <cell r="D5303" t="str">
            <v>Punch, 90°, 2mm, 20cm</v>
          </cell>
        </row>
        <row r="5304">
          <cell r="B5304" t="str">
            <v>24-978-13-07</v>
          </cell>
          <cell r="C5304" t="str">
            <v>Stanze, 40°, 2mm, 23cm</v>
          </cell>
          <cell r="D5304" t="str">
            <v>Punch, 40°, 2mm, 23cm</v>
          </cell>
        </row>
        <row r="5305">
          <cell r="B5305" t="str">
            <v>24-978-13-14</v>
          </cell>
          <cell r="C5305" t="str">
            <v>Stanze, 40°, 2mm, 23cm</v>
          </cell>
          <cell r="D5305" t="str">
            <v>Punch, 40°, 2mm, 23cm</v>
          </cell>
        </row>
        <row r="5306">
          <cell r="B5306" t="str">
            <v>24-978-14-07</v>
          </cell>
          <cell r="C5306" t="str">
            <v>Stanze, 90°, 2mm, 23cm</v>
          </cell>
          <cell r="D5306" t="str">
            <v>Punch, 90°, 2mm, 23cm</v>
          </cell>
        </row>
        <row r="5307">
          <cell r="B5307" t="str">
            <v>24-978-14-14</v>
          </cell>
          <cell r="C5307" t="str">
            <v>Stanze, 90°, 2mm, 23cm</v>
          </cell>
          <cell r="D5307" t="str">
            <v>Punch, 90°, 2mm, 23cm</v>
          </cell>
        </row>
        <row r="5308">
          <cell r="B5308" t="str">
            <v>24-978-15-07</v>
          </cell>
          <cell r="C5308" t="str">
            <v>Stanze, 40°, 2mm, 28cm</v>
          </cell>
          <cell r="D5308" t="str">
            <v>Punch, 40°, 2mm, 28cm</v>
          </cell>
        </row>
        <row r="5309">
          <cell r="B5309" t="str">
            <v>24-978-15-14</v>
          </cell>
          <cell r="C5309" t="str">
            <v>Stanze, 40°, 2mm, 28cm</v>
          </cell>
          <cell r="D5309" t="str">
            <v>Punch, 40°, 2mm, 28cm</v>
          </cell>
        </row>
        <row r="5310">
          <cell r="B5310" t="str">
            <v>24-978-16-07</v>
          </cell>
          <cell r="C5310" t="str">
            <v>Stanze, 90°, 2mm, 28cm</v>
          </cell>
          <cell r="D5310" t="str">
            <v>Punch, 90°, 2mm, 28cm</v>
          </cell>
        </row>
        <row r="5311">
          <cell r="B5311" t="str">
            <v>24-978-16-14</v>
          </cell>
          <cell r="C5311" t="str">
            <v>Stanze, 90°, 2mm, 28cm</v>
          </cell>
          <cell r="D5311" t="str">
            <v>Punch, 90°, 2mm, 28cm</v>
          </cell>
        </row>
        <row r="5312">
          <cell r="B5312" t="str">
            <v>24-978-17-07</v>
          </cell>
          <cell r="C5312" t="str">
            <v>Stanze, 40°, 3mm, 18cm</v>
          </cell>
          <cell r="D5312" t="str">
            <v>Punch, 40°, 3mm, 18cm</v>
          </cell>
        </row>
        <row r="5313">
          <cell r="B5313" t="str">
            <v>24-978-17-14</v>
          </cell>
          <cell r="C5313" t="str">
            <v>Stanze, 40°, 3mm, 18cm</v>
          </cell>
          <cell r="D5313" t="str">
            <v>Punch, 40°, 3mm, 18cm</v>
          </cell>
        </row>
        <row r="5314">
          <cell r="B5314" t="str">
            <v>24-978-18-07</v>
          </cell>
          <cell r="C5314" t="str">
            <v>Stanze, 90°, 3mm, 18cm</v>
          </cell>
          <cell r="D5314" t="str">
            <v>Punch, 90°, 3mm, 18cm</v>
          </cell>
        </row>
        <row r="5315">
          <cell r="B5315" t="str">
            <v>24-978-18-14</v>
          </cell>
          <cell r="C5315" t="str">
            <v>Stanze, 90°, 3mm, 18cm</v>
          </cell>
          <cell r="D5315" t="str">
            <v>Punch, 90°, 3mm, 18cm</v>
          </cell>
        </row>
        <row r="5316">
          <cell r="B5316" t="str">
            <v>24-978-19-07</v>
          </cell>
          <cell r="C5316" t="str">
            <v>Stanze, 40°, 3mm, 20cm</v>
          </cell>
          <cell r="D5316" t="str">
            <v>Punch, 40°, 3mm, 20cm</v>
          </cell>
        </row>
        <row r="5317">
          <cell r="B5317" t="str">
            <v>24-978-19-14</v>
          </cell>
          <cell r="C5317" t="str">
            <v>Stanze, 40°, 3mm, 20cm</v>
          </cell>
          <cell r="D5317" t="str">
            <v>Punch, 40°, 3mm, 20cm</v>
          </cell>
        </row>
        <row r="5318">
          <cell r="B5318" t="str">
            <v>24-978-20-07</v>
          </cell>
          <cell r="C5318" t="str">
            <v>Stanze, 90°, 3mm, 20cm</v>
          </cell>
          <cell r="D5318" t="str">
            <v>Punch, 90°, 3mm, 20cm</v>
          </cell>
        </row>
        <row r="5319">
          <cell r="B5319" t="str">
            <v>24-978-20-14</v>
          </cell>
          <cell r="C5319" t="str">
            <v>Stanze, 90°, 3mm, 20cm</v>
          </cell>
          <cell r="D5319" t="str">
            <v>Punch, 90°, 3mm, 20cm</v>
          </cell>
        </row>
        <row r="5320">
          <cell r="B5320" t="str">
            <v>24-978-21-07</v>
          </cell>
          <cell r="C5320" t="str">
            <v>Stanze, 40°, 3mm, 23cm</v>
          </cell>
          <cell r="D5320" t="str">
            <v>Punch, 40°, 3mm, 23cm</v>
          </cell>
        </row>
        <row r="5321">
          <cell r="B5321" t="str">
            <v>24-978-21-14</v>
          </cell>
          <cell r="C5321" t="str">
            <v>Stanze, 40°, 3mm, 23cm</v>
          </cell>
          <cell r="D5321" t="str">
            <v>Punch, 40°, 3mm, 23cm</v>
          </cell>
        </row>
        <row r="5322">
          <cell r="B5322" t="str">
            <v>24-978-22-07</v>
          </cell>
          <cell r="C5322" t="str">
            <v>Stanze, 90°, 3mm, 23cm</v>
          </cell>
          <cell r="D5322" t="str">
            <v>Punch, 90°, 3mm, 23cm</v>
          </cell>
        </row>
        <row r="5323">
          <cell r="B5323" t="str">
            <v>24-978-22-14</v>
          </cell>
          <cell r="C5323" t="str">
            <v>Stanze, 90°, 3mm, 23cm</v>
          </cell>
          <cell r="D5323" t="str">
            <v>Punch, 90°, 3mm, 23cm</v>
          </cell>
        </row>
        <row r="5324">
          <cell r="B5324" t="str">
            <v>24-978-23-07</v>
          </cell>
          <cell r="C5324" t="str">
            <v>Stanze, 40°, 3mm, 28cm</v>
          </cell>
          <cell r="D5324" t="str">
            <v>Punch, 40°, 3mm, 28cm</v>
          </cell>
        </row>
        <row r="5325">
          <cell r="B5325" t="str">
            <v>24-978-23-14</v>
          </cell>
          <cell r="C5325" t="str">
            <v>Stanze, 40°, 3mm, 28cm</v>
          </cell>
          <cell r="D5325" t="str">
            <v>Punch, 40°, 3mm, 28cm</v>
          </cell>
        </row>
        <row r="5326">
          <cell r="B5326" t="str">
            <v>24-978-24-07</v>
          </cell>
          <cell r="C5326" t="str">
            <v>Stanze, 90°, 3mm, 28cm</v>
          </cell>
          <cell r="D5326" t="str">
            <v>Punch, 90°, 3mm, 28cm</v>
          </cell>
        </row>
        <row r="5327">
          <cell r="B5327" t="str">
            <v>24-978-24-14</v>
          </cell>
          <cell r="C5327" t="str">
            <v>Stanze, 90°, 3mm, 28cm</v>
          </cell>
          <cell r="D5327" t="str">
            <v>Punch, 90°, 3mm, 28cm</v>
          </cell>
        </row>
        <row r="5328">
          <cell r="B5328" t="str">
            <v>24-978-25-07</v>
          </cell>
          <cell r="C5328" t="str">
            <v>Stanze, 40°, 4mm, 18cm</v>
          </cell>
          <cell r="D5328" t="str">
            <v>Punch, 40°, 4mm, 18cm</v>
          </cell>
        </row>
        <row r="5329">
          <cell r="B5329" t="str">
            <v>24-978-25-14</v>
          </cell>
          <cell r="C5329" t="str">
            <v>Stanze, 40°, 4mm, 18cm</v>
          </cell>
          <cell r="D5329" t="str">
            <v>Punch, 40°, 4mm, 18cm</v>
          </cell>
        </row>
        <row r="5330">
          <cell r="B5330" t="str">
            <v>24-978-26-07</v>
          </cell>
          <cell r="C5330" t="str">
            <v>Stanze, 90°, 4mm, 18cm</v>
          </cell>
          <cell r="D5330" t="str">
            <v>Punch, 90°, 4mm, 18cm</v>
          </cell>
        </row>
        <row r="5331">
          <cell r="B5331" t="str">
            <v>24-978-26-14</v>
          </cell>
          <cell r="C5331" t="str">
            <v>Stanze, 90°, 4mm, 18cm</v>
          </cell>
          <cell r="D5331" t="str">
            <v>Punch, 90°, 4mm, 18cm</v>
          </cell>
        </row>
        <row r="5332">
          <cell r="B5332" t="str">
            <v>24-978-27-07</v>
          </cell>
          <cell r="C5332" t="str">
            <v>Stanze, 40°, 4mm, 20cm</v>
          </cell>
          <cell r="D5332" t="str">
            <v>Punch, 40°, 4mm, 20cm</v>
          </cell>
        </row>
        <row r="5333">
          <cell r="B5333" t="str">
            <v>24-978-27-14</v>
          </cell>
          <cell r="C5333" t="str">
            <v>Stanze, 40°, 4mm, 20cm</v>
          </cell>
          <cell r="D5333" t="str">
            <v>Punch, 40°, 4mm, 20cm</v>
          </cell>
        </row>
        <row r="5334">
          <cell r="B5334" t="str">
            <v>24-978-28-07</v>
          </cell>
          <cell r="C5334" t="str">
            <v>Stanze, 90°, 4mm, 20cm</v>
          </cell>
          <cell r="D5334" t="str">
            <v>Punch, 90°, 4mm, 20cm</v>
          </cell>
        </row>
        <row r="5335">
          <cell r="B5335" t="str">
            <v>24-978-28-14</v>
          </cell>
          <cell r="C5335" t="str">
            <v>Stanze, 90°, 4mm, 20cm</v>
          </cell>
          <cell r="D5335" t="str">
            <v>Punch, 90°, 4mm, 20cm</v>
          </cell>
        </row>
        <row r="5336">
          <cell r="B5336" t="str">
            <v>24-978-29-07</v>
          </cell>
          <cell r="C5336" t="str">
            <v>Stanze, 40°, 4mm, 23cm</v>
          </cell>
          <cell r="D5336" t="str">
            <v>Punch, 40°, 4mm, 23cm</v>
          </cell>
        </row>
        <row r="5337">
          <cell r="B5337" t="str">
            <v>24-978-29-14</v>
          </cell>
          <cell r="C5337" t="str">
            <v>Stanze, 40°, 4mm, 23cm</v>
          </cell>
          <cell r="D5337" t="str">
            <v>Punch, 40°, 4mm, 23cm</v>
          </cell>
        </row>
        <row r="5338">
          <cell r="B5338" t="str">
            <v>24-978-30-07</v>
          </cell>
          <cell r="C5338" t="str">
            <v>Stanze, 90°, 4mm, 23cm</v>
          </cell>
          <cell r="D5338" t="str">
            <v>Punch, 90°, 4mm, 23cm</v>
          </cell>
        </row>
        <row r="5339">
          <cell r="B5339" t="str">
            <v>24-978-30-14</v>
          </cell>
          <cell r="C5339" t="str">
            <v>Stanze, 90°, 4mm, 23cm</v>
          </cell>
          <cell r="D5339" t="str">
            <v>Punch, 90°, 4mm, 23cm</v>
          </cell>
        </row>
        <row r="5340">
          <cell r="B5340" t="str">
            <v>24-978-31-07</v>
          </cell>
          <cell r="C5340" t="str">
            <v>Stanze, 40°, 4mm, 28cm</v>
          </cell>
          <cell r="D5340" t="str">
            <v>Punch, 40°, 4mm, 28cm</v>
          </cell>
        </row>
        <row r="5341">
          <cell r="B5341" t="str">
            <v>24-978-31-14</v>
          </cell>
          <cell r="C5341" t="str">
            <v>Stanze, 40°, 4mm, 28cm</v>
          </cell>
          <cell r="D5341" t="str">
            <v>Punch, 40°, 4mm, 28cm</v>
          </cell>
        </row>
        <row r="5342">
          <cell r="B5342" t="str">
            <v>24-978-32-07</v>
          </cell>
          <cell r="C5342" t="str">
            <v>Stanze, 90°, 4mm, 28cm</v>
          </cell>
          <cell r="D5342" t="str">
            <v>Punch, 90°, 4mm, 28cm</v>
          </cell>
        </row>
        <row r="5343">
          <cell r="B5343" t="str">
            <v>24-978-32-14</v>
          </cell>
          <cell r="C5343" t="str">
            <v>Stanze, 90°, 4mm, 28cm</v>
          </cell>
          <cell r="D5343" t="str">
            <v>Punch, 90°, 4mm, 28cm</v>
          </cell>
        </row>
        <row r="5344">
          <cell r="B5344" t="str">
            <v>24-978-33-07</v>
          </cell>
          <cell r="C5344" t="str">
            <v>Stanze, 40°, 5mm, 18cm</v>
          </cell>
          <cell r="D5344" t="str">
            <v>Punch, 40°, 5mm, 18cm</v>
          </cell>
        </row>
        <row r="5345">
          <cell r="B5345" t="str">
            <v>24-978-33-14</v>
          </cell>
          <cell r="C5345" t="str">
            <v>Stanze, 40°, 5mm, 18cm</v>
          </cell>
          <cell r="D5345" t="str">
            <v>Punch, 40°, 5mm, 18cm</v>
          </cell>
        </row>
        <row r="5346">
          <cell r="B5346" t="str">
            <v>24-978-34-07</v>
          </cell>
          <cell r="C5346" t="str">
            <v>Stanze, 90°, 5mm, 18cm</v>
          </cell>
          <cell r="D5346" t="str">
            <v>Punch, 90°, 5mm, 18cm</v>
          </cell>
        </row>
        <row r="5347">
          <cell r="B5347" t="str">
            <v>24-978-34-14</v>
          </cell>
          <cell r="C5347" t="str">
            <v>Stanze, 90°, 5mm, 18cm</v>
          </cell>
          <cell r="D5347" t="str">
            <v>Punch, 90°, 5mm, 18cm</v>
          </cell>
        </row>
        <row r="5348">
          <cell r="B5348" t="str">
            <v>24-978-35-07</v>
          </cell>
          <cell r="C5348" t="str">
            <v>Stanze, 40°, 5mm, 20cm</v>
          </cell>
          <cell r="D5348" t="str">
            <v>Punch, 40°, 5mm, 20cm</v>
          </cell>
        </row>
        <row r="5349">
          <cell r="B5349" t="str">
            <v>24-978-35-14</v>
          </cell>
          <cell r="C5349" t="str">
            <v>Stanze, 40°, 5mm, 20cm</v>
          </cell>
          <cell r="D5349" t="str">
            <v>Punch, 40°, 5mm, 20cm</v>
          </cell>
        </row>
        <row r="5350">
          <cell r="B5350" t="str">
            <v>24-978-36-07</v>
          </cell>
          <cell r="C5350" t="str">
            <v>Stanze, 90°, 5mm, 20cm</v>
          </cell>
          <cell r="D5350" t="str">
            <v>Punch, 90°, 5mm, 20cm</v>
          </cell>
        </row>
        <row r="5351">
          <cell r="B5351" t="str">
            <v>24-978-36-14</v>
          </cell>
          <cell r="C5351" t="str">
            <v>Stanze, 90°, 5mm, 20cm</v>
          </cell>
          <cell r="D5351" t="str">
            <v>Punch, 90°, 5mm, 20cm</v>
          </cell>
        </row>
        <row r="5352">
          <cell r="B5352" t="str">
            <v>24-978-37-07</v>
          </cell>
          <cell r="C5352" t="str">
            <v>Stanze, 40°, 5mm, 23cm</v>
          </cell>
          <cell r="D5352" t="str">
            <v>Punch, 40°, 5mm, 23cm</v>
          </cell>
        </row>
        <row r="5353">
          <cell r="B5353" t="str">
            <v>24-978-37-14</v>
          </cell>
          <cell r="C5353" t="str">
            <v>Stanze, 40°, 5mm, 23cm</v>
          </cell>
          <cell r="D5353" t="str">
            <v>Punch, 40°, 5mm, 23cm</v>
          </cell>
        </row>
        <row r="5354">
          <cell r="B5354" t="str">
            <v>24-978-38-07</v>
          </cell>
          <cell r="C5354" t="str">
            <v>Stanze, 90°, 5mm, 23cm</v>
          </cell>
          <cell r="D5354" t="str">
            <v>Punch, 90°, 5mm, 23cm</v>
          </cell>
        </row>
        <row r="5355">
          <cell r="B5355" t="str">
            <v>24-978-38-14</v>
          </cell>
          <cell r="C5355" t="str">
            <v>Stanze, 90°, 5mm, 23cm</v>
          </cell>
          <cell r="D5355" t="str">
            <v>Punch, 90°, 5mm, 23cm</v>
          </cell>
        </row>
        <row r="5356">
          <cell r="B5356" t="str">
            <v>24-978-39-07</v>
          </cell>
          <cell r="C5356" t="str">
            <v>Stanze, 40°, 5mm, 28cm</v>
          </cell>
          <cell r="D5356" t="str">
            <v>Punch, 40°, 5mm, 28cm</v>
          </cell>
        </row>
        <row r="5357">
          <cell r="B5357" t="str">
            <v>24-978-39-14</v>
          </cell>
          <cell r="C5357" t="str">
            <v>Stanze, 40°, 5mm, 28cm</v>
          </cell>
          <cell r="D5357" t="str">
            <v>Punch, 40°, 5mm, 28cm</v>
          </cell>
        </row>
        <row r="5358">
          <cell r="B5358" t="str">
            <v>24-978-40-07</v>
          </cell>
          <cell r="C5358" t="str">
            <v>Stanze, 90°, 5mm, 28cm</v>
          </cell>
          <cell r="D5358" t="str">
            <v>Punch, 90°, 5mm, 28cm</v>
          </cell>
        </row>
        <row r="5359">
          <cell r="B5359" t="str">
            <v>24-978-40-14</v>
          </cell>
          <cell r="C5359" t="str">
            <v>Stanze, 90°, 5mm, 28cm</v>
          </cell>
          <cell r="D5359" t="str">
            <v>Punch, 90°, 5mm, 28cm</v>
          </cell>
        </row>
        <row r="5360">
          <cell r="B5360" t="str">
            <v>24-978-41-07</v>
          </cell>
          <cell r="C5360" t="str">
            <v>Stanze, 40°, 6mm, 18cm</v>
          </cell>
          <cell r="D5360" t="str">
            <v>Punch, 40°, 6mm, 18cm</v>
          </cell>
        </row>
        <row r="5361">
          <cell r="B5361" t="str">
            <v>24-978-41-14</v>
          </cell>
          <cell r="C5361" t="str">
            <v>Stanze, 40°, 6mm, 18cm</v>
          </cell>
          <cell r="D5361" t="str">
            <v>Punch, 40°, 6mm, 18cm</v>
          </cell>
        </row>
        <row r="5362">
          <cell r="B5362" t="str">
            <v>24-978-42-07</v>
          </cell>
          <cell r="C5362" t="str">
            <v>Stanze, 90°, 6mm, 18cm</v>
          </cell>
          <cell r="D5362" t="str">
            <v>Punch, 90°, 6mm, 18cm</v>
          </cell>
        </row>
        <row r="5363">
          <cell r="B5363" t="str">
            <v>24-978-42-14</v>
          </cell>
          <cell r="C5363" t="str">
            <v>Stanze, 90°, 6mm, 18cm</v>
          </cell>
          <cell r="D5363" t="str">
            <v>Punch, 90°, 6mm, 18cm</v>
          </cell>
        </row>
        <row r="5364">
          <cell r="B5364" t="str">
            <v>24-978-43-07</v>
          </cell>
          <cell r="C5364" t="str">
            <v>Stanze, 40°, 6mm, 20cm</v>
          </cell>
          <cell r="D5364" t="str">
            <v>Punch, 40°, 6mm, 20cm</v>
          </cell>
        </row>
        <row r="5365">
          <cell r="B5365" t="str">
            <v>24-978-43-14</v>
          </cell>
          <cell r="C5365" t="str">
            <v>Stanze, 40°, 6mm, 20cm</v>
          </cell>
          <cell r="D5365" t="str">
            <v>Punch, 40°, 6mm, 20cm</v>
          </cell>
        </row>
        <row r="5366">
          <cell r="B5366" t="str">
            <v>24-978-44-07</v>
          </cell>
          <cell r="C5366" t="str">
            <v>Stanze, 90°, 6mm, 20cm</v>
          </cell>
          <cell r="D5366" t="str">
            <v>Punch, 90°, 6mm, 20cm</v>
          </cell>
        </row>
        <row r="5367">
          <cell r="B5367" t="str">
            <v>24-978-44-14</v>
          </cell>
          <cell r="C5367" t="str">
            <v>Stanze, 90°, 6mm, 20cm</v>
          </cell>
          <cell r="D5367" t="str">
            <v>Punch, 90°, 6mm, 20cm</v>
          </cell>
        </row>
        <row r="5368">
          <cell r="B5368" t="str">
            <v>24-978-45-07</v>
          </cell>
          <cell r="C5368" t="str">
            <v>Stanze, 40°, 6mm, 23cm</v>
          </cell>
          <cell r="D5368" t="str">
            <v>Punch, 40°, 6mm, 23cm</v>
          </cell>
        </row>
        <row r="5369">
          <cell r="B5369" t="str">
            <v>24-978-45-14</v>
          </cell>
          <cell r="C5369" t="str">
            <v>Stanze, 40°, 6mm, 23cm</v>
          </cell>
          <cell r="D5369" t="str">
            <v>Punch, 40°, 6mm, 23cm</v>
          </cell>
        </row>
        <row r="5370">
          <cell r="B5370" t="str">
            <v>24-978-46-07</v>
          </cell>
          <cell r="C5370" t="str">
            <v>Stanze, 90°, 6mm, 23cm</v>
          </cell>
          <cell r="D5370" t="str">
            <v>Punch, 90°, 6mm, 23cm</v>
          </cell>
        </row>
        <row r="5371">
          <cell r="B5371" t="str">
            <v>24-978-46-14</v>
          </cell>
          <cell r="C5371" t="str">
            <v>Stanze, 90°, 6mm, 23cm</v>
          </cell>
          <cell r="D5371" t="str">
            <v>Punch, 90°, 6mm, 23cm</v>
          </cell>
        </row>
        <row r="5372">
          <cell r="B5372" t="str">
            <v>24-978-47-07</v>
          </cell>
          <cell r="C5372" t="str">
            <v>Stanze, 40°, 6mm, 28cm</v>
          </cell>
          <cell r="D5372" t="str">
            <v>Punch, 40°, 6mm, 28cm</v>
          </cell>
        </row>
        <row r="5373">
          <cell r="B5373" t="str">
            <v>24-978-47-14</v>
          </cell>
          <cell r="C5373" t="str">
            <v>Stanze, 40°, 6mm, 28cm</v>
          </cell>
          <cell r="D5373" t="str">
            <v>Punch, 40°, 6mm, 28cm</v>
          </cell>
        </row>
        <row r="5374">
          <cell r="B5374" t="str">
            <v>24-978-48-07</v>
          </cell>
          <cell r="C5374" t="str">
            <v>Stanze, 90°, 6mm, 28cm</v>
          </cell>
          <cell r="D5374" t="str">
            <v>Punch, 90°, 6mm, 28cm</v>
          </cell>
        </row>
        <row r="5375">
          <cell r="B5375" t="str">
            <v>24-978-48-14</v>
          </cell>
          <cell r="C5375" t="str">
            <v>Stanze, 90°, 6mm, 28cm</v>
          </cell>
          <cell r="D5375" t="str">
            <v>Punch, 90°, 6mm, 28cm</v>
          </cell>
        </row>
        <row r="5376">
          <cell r="B5376" t="str">
            <v>24-978-50-07</v>
          </cell>
          <cell r="C5376" t="str">
            <v>Stanze, 40°, abw., 1mm, 18cm</v>
          </cell>
          <cell r="D5376" t="str">
            <v>Punch, 40°, downw., 1mm, 18cm</v>
          </cell>
        </row>
        <row r="5377">
          <cell r="B5377" t="str">
            <v>24-978-50-14</v>
          </cell>
          <cell r="C5377" t="str">
            <v>Stanze, 40°, abw., 1mm, 18cm</v>
          </cell>
          <cell r="D5377" t="str">
            <v>Punch, 40°, downw., 1mm, 18cm</v>
          </cell>
        </row>
        <row r="5378">
          <cell r="B5378" t="str">
            <v>24-978-51-07</v>
          </cell>
          <cell r="C5378" t="str">
            <v>Stanze, 90°, abw., 1mm, 18cm</v>
          </cell>
          <cell r="D5378" t="str">
            <v>Punch, 90°, downw., 1mm, 18cm</v>
          </cell>
        </row>
        <row r="5379">
          <cell r="B5379" t="str">
            <v>24-978-51-14</v>
          </cell>
          <cell r="C5379" t="str">
            <v>Stanze, 90°, abw., 1mm, 18cm</v>
          </cell>
          <cell r="D5379" t="str">
            <v>Punch, 90°, downw., 1mm, 18cm</v>
          </cell>
        </row>
        <row r="5380">
          <cell r="B5380" t="str">
            <v>24-978-52-07</v>
          </cell>
          <cell r="C5380" t="str">
            <v>Stanze, 40°, abw., 1mm, 20cm</v>
          </cell>
          <cell r="D5380" t="str">
            <v>Punch, 40°, downw., 1mm, 20cm</v>
          </cell>
        </row>
        <row r="5381">
          <cell r="B5381" t="str">
            <v>24-978-52-14</v>
          </cell>
          <cell r="C5381" t="str">
            <v>Stanze, 40°, abw., 1mm, 20cm</v>
          </cell>
          <cell r="D5381" t="str">
            <v>Punch, 40°, downw., 1mm, 20cm</v>
          </cell>
        </row>
        <row r="5382">
          <cell r="B5382" t="str">
            <v>24-978-53-07</v>
          </cell>
          <cell r="C5382" t="str">
            <v>Stanze, 90°, abw., 1mm, 20cm</v>
          </cell>
          <cell r="D5382" t="str">
            <v>Punch, 90°, downw., 1mm, 20cm</v>
          </cell>
        </row>
        <row r="5383">
          <cell r="B5383" t="str">
            <v>24-978-53-14</v>
          </cell>
          <cell r="C5383" t="str">
            <v>Stanze, 90°, abw., 1mm, 20cm</v>
          </cell>
          <cell r="D5383" t="str">
            <v>Punch, 90°, downw., 1mm, 20cm</v>
          </cell>
        </row>
        <row r="5384">
          <cell r="B5384" t="str">
            <v>24-978-54-07</v>
          </cell>
          <cell r="C5384" t="str">
            <v>Stanze, 40°, abw., 1mm, 23cm</v>
          </cell>
          <cell r="D5384" t="str">
            <v>Punch, 40°, downw., 1mm, 23cm</v>
          </cell>
        </row>
        <row r="5385">
          <cell r="B5385" t="str">
            <v>24-978-54-14</v>
          </cell>
          <cell r="C5385" t="str">
            <v>Stanze, 40°, abw., 1mm, 23cm</v>
          </cell>
          <cell r="D5385" t="str">
            <v>Punch, 40°, downw., 1mm, 23cm</v>
          </cell>
        </row>
        <row r="5386">
          <cell r="B5386" t="str">
            <v>24-978-55-07</v>
          </cell>
          <cell r="C5386" t="str">
            <v>Stanze, 90°, abw., 1mm, 23cm</v>
          </cell>
          <cell r="D5386" t="str">
            <v>Punch, 90°, downw., 1mm, 23cm</v>
          </cell>
        </row>
        <row r="5387">
          <cell r="B5387" t="str">
            <v>24-978-55-14</v>
          </cell>
          <cell r="C5387" t="str">
            <v>Stanze, 90°, abw., 1mm, 23cm</v>
          </cell>
          <cell r="D5387" t="str">
            <v>Punch, 90°, downw., 1mm, 23cm</v>
          </cell>
        </row>
        <row r="5388">
          <cell r="B5388" t="str">
            <v>24-978-56-07</v>
          </cell>
          <cell r="C5388" t="str">
            <v>Stanze, 40°, abw., 2mm, 18cm</v>
          </cell>
          <cell r="D5388" t="str">
            <v>Punch, 40°, downw., 2mm, 18cm</v>
          </cell>
        </row>
        <row r="5389">
          <cell r="B5389" t="str">
            <v>24-978-56-14</v>
          </cell>
          <cell r="C5389" t="str">
            <v>Stanze, 40°, abw., 2mm, 18cm</v>
          </cell>
          <cell r="D5389" t="str">
            <v>Punch, 40°, downw., 2mm, 18cm</v>
          </cell>
        </row>
        <row r="5390">
          <cell r="B5390" t="str">
            <v>24-978-57-07</v>
          </cell>
          <cell r="C5390" t="str">
            <v>Stanze, 90°, abw., 2mm, 18cm</v>
          </cell>
          <cell r="D5390" t="str">
            <v>Punch, 90°, downw., 2mm, 18cm</v>
          </cell>
        </row>
        <row r="5391">
          <cell r="B5391" t="str">
            <v>24-978-57-14</v>
          </cell>
          <cell r="C5391" t="str">
            <v>Stanze, 90°, abw., 2mm, 18cm</v>
          </cell>
          <cell r="D5391" t="str">
            <v>Punch, 90°, downw., 2mm, 18cm</v>
          </cell>
        </row>
        <row r="5392">
          <cell r="B5392" t="str">
            <v>24-978-58-07</v>
          </cell>
          <cell r="C5392" t="str">
            <v>Stanze, 40°, abw., 2mm, 20cm</v>
          </cell>
          <cell r="D5392" t="str">
            <v>Punch, 40°, downw., 2mm, 20cm</v>
          </cell>
        </row>
        <row r="5393">
          <cell r="B5393" t="str">
            <v>24-978-58-14</v>
          </cell>
          <cell r="C5393" t="str">
            <v>Stanze, 40°, abw., 2mm, 20cm</v>
          </cell>
          <cell r="D5393" t="str">
            <v>Punch, 40°, downw., 2mm, 20cm</v>
          </cell>
        </row>
        <row r="5394">
          <cell r="B5394" t="str">
            <v>24-978-59-07</v>
          </cell>
          <cell r="C5394" t="str">
            <v>Stanze, 90°, abw., 2mm, 20cm</v>
          </cell>
          <cell r="D5394" t="str">
            <v>Punch, 90°, downw., 2mm, 20cm</v>
          </cell>
        </row>
        <row r="5395">
          <cell r="B5395" t="str">
            <v>24-978-59-14</v>
          </cell>
          <cell r="C5395" t="str">
            <v>Stanze, 90°, abw., 2mm, 20cm</v>
          </cell>
          <cell r="D5395" t="str">
            <v>Punch, 90°, downw., 2mm, 20cm</v>
          </cell>
        </row>
        <row r="5396">
          <cell r="B5396" t="str">
            <v>24-978-60-07</v>
          </cell>
          <cell r="C5396" t="str">
            <v>Stanze, 40°, abw., 2mm, 23cm</v>
          </cell>
          <cell r="D5396" t="str">
            <v>Punch, 40°, downw., 2mm, 23cm</v>
          </cell>
        </row>
        <row r="5397">
          <cell r="B5397" t="str">
            <v>24-978-60-14</v>
          </cell>
          <cell r="C5397" t="str">
            <v>Stanze, 40°, abw., 2mm, 23cm</v>
          </cell>
          <cell r="D5397" t="str">
            <v>Punch, 40°, downw., 2mm, 23cm</v>
          </cell>
        </row>
        <row r="5398">
          <cell r="B5398" t="str">
            <v>24-978-61-07</v>
          </cell>
          <cell r="C5398" t="str">
            <v>Stanze, 90°, abw., 2mm, 23cm</v>
          </cell>
          <cell r="D5398" t="str">
            <v>Punch, 90°, downw., 2mm, 23cm</v>
          </cell>
        </row>
        <row r="5399">
          <cell r="B5399" t="str">
            <v>24-978-61-14</v>
          </cell>
          <cell r="C5399" t="str">
            <v>Stanze, 90°, abw., 2mm, 23cm</v>
          </cell>
          <cell r="D5399" t="str">
            <v>Punch, 90°, downw., 2mm, 23cm</v>
          </cell>
        </row>
        <row r="5400">
          <cell r="B5400" t="str">
            <v>24-978-62-07</v>
          </cell>
          <cell r="C5400" t="str">
            <v>Stanze, 40°, abw., 3mm, 18cm</v>
          </cell>
          <cell r="D5400" t="str">
            <v>Punch, 40°, downw., 3mm, 18cm</v>
          </cell>
        </row>
        <row r="5401">
          <cell r="B5401" t="str">
            <v>24-978-62-14</v>
          </cell>
          <cell r="C5401" t="str">
            <v>Stanze, 40°, abw., 3mm, 18cm</v>
          </cell>
          <cell r="D5401" t="str">
            <v>Punch, 40°, downw., 3mm, 18cm</v>
          </cell>
        </row>
        <row r="5402">
          <cell r="B5402" t="str">
            <v>24-978-63-07</v>
          </cell>
          <cell r="C5402" t="str">
            <v>Stanze, 90°, abw., 3mm, 18cm</v>
          </cell>
          <cell r="D5402" t="str">
            <v>Punch, 90°, downw., 3mm, 18cm</v>
          </cell>
        </row>
        <row r="5403">
          <cell r="B5403" t="str">
            <v>24-978-63-14</v>
          </cell>
          <cell r="C5403" t="str">
            <v>Stanze, 90°, abw., 3mm, 18cm</v>
          </cell>
          <cell r="D5403" t="str">
            <v>Punch, 90°, downw., 3mm, 18cm</v>
          </cell>
        </row>
        <row r="5404">
          <cell r="B5404" t="str">
            <v>24-978-64-07</v>
          </cell>
          <cell r="C5404" t="str">
            <v>Stanze, 40°, abw., 3mm, 20cm</v>
          </cell>
          <cell r="D5404" t="str">
            <v>Punch, 40°, downw., 3mm, 20cm</v>
          </cell>
        </row>
        <row r="5405">
          <cell r="B5405" t="str">
            <v>24-978-64-14</v>
          </cell>
          <cell r="C5405" t="str">
            <v>Stanze, 40°, abw., 3mm, 20cm</v>
          </cell>
          <cell r="D5405" t="str">
            <v>Punch, 40°, downw., 3mm, 20cm</v>
          </cell>
        </row>
        <row r="5406">
          <cell r="B5406" t="str">
            <v>24-978-65-07</v>
          </cell>
          <cell r="C5406" t="str">
            <v>Stanze, 90°, abw., 3mm, 20cm</v>
          </cell>
          <cell r="D5406" t="str">
            <v>Punch, 90°, downw., 3mm, 20cm</v>
          </cell>
        </row>
        <row r="5407">
          <cell r="B5407" t="str">
            <v>24-978-65-14</v>
          </cell>
          <cell r="C5407" t="str">
            <v>Stanze, 90°, abw., 3mm, 20cm</v>
          </cell>
          <cell r="D5407" t="str">
            <v>Punch, 90°, downw., 3mm, 20cm</v>
          </cell>
        </row>
        <row r="5408">
          <cell r="B5408" t="str">
            <v>24-978-66-07</v>
          </cell>
          <cell r="C5408" t="str">
            <v>Stanze, 40°, abw., 3mm, 23cm</v>
          </cell>
          <cell r="D5408" t="str">
            <v>Punch, 40°, downw., 3mm, 23cm</v>
          </cell>
        </row>
        <row r="5409">
          <cell r="B5409" t="str">
            <v>24-978-66-14</v>
          </cell>
          <cell r="C5409" t="str">
            <v>Stanze, 40°, abw., 3mm, 23cm</v>
          </cell>
          <cell r="D5409" t="str">
            <v>Punch, 40°, downw., 3mm, 23cm</v>
          </cell>
        </row>
        <row r="5410">
          <cell r="B5410" t="str">
            <v>24-978-67-07</v>
          </cell>
          <cell r="C5410" t="str">
            <v>Stanze, 90°, abw., 3mm, 23cm</v>
          </cell>
          <cell r="D5410" t="str">
            <v>Punch, 90°, downw., 3mm, 23cm</v>
          </cell>
        </row>
        <row r="5411">
          <cell r="B5411" t="str">
            <v>24-978-67-14</v>
          </cell>
          <cell r="C5411" t="str">
            <v>Stanze, 90°, abw., 3mm, 23cm</v>
          </cell>
          <cell r="D5411" t="str">
            <v>Punch, 90°, downw., 3mm, 23cm</v>
          </cell>
        </row>
        <row r="5412">
          <cell r="B5412" t="str">
            <v>24-978-68-07</v>
          </cell>
          <cell r="C5412" t="str">
            <v>Stanze, 40°, abw., 4mm, 18cm</v>
          </cell>
          <cell r="D5412" t="str">
            <v>Punch, 40°, downw., 4mm, 18cm</v>
          </cell>
        </row>
        <row r="5413">
          <cell r="B5413" t="str">
            <v>24-978-68-14</v>
          </cell>
          <cell r="C5413" t="str">
            <v>Stanze, 40°, abw., 4mm, 18cm</v>
          </cell>
          <cell r="D5413" t="str">
            <v>Punch, 40°, downw., 4mm, 18cm</v>
          </cell>
        </row>
        <row r="5414">
          <cell r="B5414" t="str">
            <v>24-978-69-07</v>
          </cell>
          <cell r="C5414" t="str">
            <v>Stanze, 90°, abw., 4mm, 18cm</v>
          </cell>
          <cell r="D5414" t="str">
            <v>Punch, 90°, downw., 4mm, 18cm</v>
          </cell>
        </row>
        <row r="5415">
          <cell r="B5415" t="str">
            <v>24-978-69-14</v>
          </cell>
          <cell r="C5415" t="str">
            <v>Stanze, 90°, abw., 4mm, 18cm</v>
          </cell>
          <cell r="D5415" t="str">
            <v>Punch, 90°, downw., 4mm, 18cm</v>
          </cell>
        </row>
        <row r="5416">
          <cell r="B5416" t="str">
            <v>24-978-70-07</v>
          </cell>
          <cell r="C5416" t="str">
            <v>Stanze, 40°, abw., 4mm, 20cm</v>
          </cell>
          <cell r="D5416" t="str">
            <v>Punch, 40°, downw., 4mm, 20cm</v>
          </cell>
        </row>
        <row r="5417">
          <cell r="B5417" t="str">
            <v>24-978-70-14</v>
          </cell>
          <cell r="C5417" t="str">
            <v>Stanze, 40°, abw., 4mm, 20cm</v>
          </cell>
          <cell r="D5417" t="str">
            <v>Punch, 40°, downw., 4mm, 20cm</v>
          </cell>
        </row>
        <row r="5418">
          <cell r="B5418" t="str">
            <v>24-978-71-07</v>
          </cell>
          <cell r="C5418" t="str">
            <v>Stanze, 90°, abw., 4mm, 20cm</v>
          </cell>
          <cell r="D5418" t="str">
            <v>Punch, 90°, downw., 4mm, 20cm</v>
          </cell>
        </row>
        <row r="5419">
          <cell r="B5419" t="str">
            <v>24-978-71-14</v>
          </cell>
          <cell r="C5419" t="str">
            <v>Stanze, 90°, abw., 4mm, 20cm</v>
          </cell>
          <cell r="D5419" t="str">
            <v>Punch, 90°, downw., 4mm, 20cm</v>
          </cell>
        </row>
        <row r="5420">
          <cell r="B5420" t="str">
            <v>24-978-72-07</v>
          </cell>
          <cell r="C5420" t="str">
            <v>Stanze, 40°, abw., 4mm, 23cm</v>
          </cell>
          <cell r="D5420" t="str">
            <v>Punch, 40°, downw., 4mm, 23cm</v>
          </cell>
        </row>
        <row r="5421">
          <cell r="B5421" t="str">
            <v>24-978-72-14</v>
          </cell>
          <cell r="C5421" t="str">
            <v>Stanze, 40°, abw., 4mm, 23cm</v>
          </cell>
          <cell r="D5421" t="str">
            <v>Punch, 40°, downw., 4mm, 23cm</v>
          </cell>
        </row>
        <row r="5422">
          <cell r="B5422" t="str">
            <v>24-978-73-07</v>
          </cell>
          <cell r="C5422" t="str">
            <v>Stanze, 90°, abw., 4mm, 23cm</v>
          </cell>
          <cell r="D5422" t="str">
            <v>Punch, 90°, downw., 4mm, 23cm</v>
          </cell>
        </row>
        <row r="5423">
          <cell r="B5423" t="str">
            <v>24-978-73-14</v>
          </cell>
          <cell r="C5423" t="str">
            <v>Stanze, 90°, abw., 4mm, 23cm</v>
          </cell>
          <cell r="D5423" t="str">
            <v>Punch, 90°, downw., 4mm, 23cm</v>
          </cell>
        </row>
        <row r="5424">
          <cell r="B5424" t="str">
            <v>24-978-74-07</v>
          </cell>
          <cell r="C5424" t="str">
            <v>Stanze, 40°, abw., 5mm, 18cm</v>
          </cell>
          <cell r="D5424" t="str">
            <v>Punch, 40°, downw., 5mm, 18cm</v>
          </cell>
        </row>
        <row r="5425">
          <cell r="B5425" t="str">
            <v>24-978-74-14</v>
          </cell>
          <cell r="C5425" t="str">
            <v>Stanze, 40°, abw., 5mm, 18cm</v>
          </cell>
          <cell r="D5425" t="str">
            <v>Punch, 40°, downw., 5mm, 18cm</v>
          </cell>
        </row>
        <row r="5426">
          <cell r="B5426" t="str">
            <v>24-978-75-07</v>
          </cell>
          <cell r="C5426" t="str">
            <v>Stanze, 90°, abw., 5mm, 18cm</v>
          </cell>
          <cell r="D5426" t="str">
            <v>Punch, 90°, downw., 5mm, 18cm</v>
          </cell>
        </row>
        <row r="5427">
          <cell r="B5427" t="str">
            <v>24-978-75-14</v>
          </cell>
          <cell r="C5427" t="str">
            <v>Stanze, 90°, abw., 5mm, 18cm</v>
          </cell>
          <cell r="D5427" t="str">
            <v>Punch, 90°, downw., 5mm, 18cm</v>
          </cell>
        </row>
        <row r="5428">
          <cell r="B5428" t="str">
            <v>24-978-76-07</v>
          </cell>
          <cell r="C5428" t="str">
            <v>Stanze, 40°, abw., 5mm, 20cm</v>
          </cell>
          <cell r="D5428" t="str">
            <v>Punch, 40°, downw., 5mm, 20cm</v>
          </cell>
        </row>
        <row r="5429">
          <cell r="B5429" t="str">
            <v>24-978-76-14</v>
          </cell>
          <cell r="C5429" t="str">
            <v>Stanze, 40°, abw., 5mm, 20cm</v>
          </cell>
          <cell r="D5429" t="str">
            <v>Punch, 40°, downw., 5mm, 20cm</v>
          </cell>
        </row>
        <row r="5430">
          <cell r="B5430" t="str">
            <v>24-978-77-07</v>
          </cell>
          <cell r="C5430" t="str">
            <v>Stanze, 90°, abw., 5mm, 20cm</v>
          </cell>
          <cell r="D5430" t="str">
            <v>Punch, 90°, downw., 5mm, 20cm</v>
          </cell>
        </row>
        <row r="5431">
          <cell r="B5431" t="str">
            <v>24-978-77-14</v>
          </cell>
          <cell r="C5431" t="str">
            <v>Stanze, 90°, abw., 5mm, 20cm</v>
          </cell>
          <cell r="D5431" t="str">
            <v>Punch, 90°, downw., 5mm, 20cm</v>
          </cell>
        </row>
        <row r="5432">
          <cell r="B5432" t="str">
            <v>24-978-78-07</v>
          </cell>
          <cell r="C5432" t="str">
            <v>Stanze, 40°, abw., 5mm, 23cm</v>
          </cell>
          <cell r="D5432" t="str">
            <v>Punch, 40°, downw., 5mm, 23cm</v>
          </cell>
        </row>
        <row r="5433">
          <cell r="B5433" t="str">
            <v>24-978-78-14</v>
          </cell>
          <cell r="C5433" t="str">
            <v>Stanze, 40°, abw., 5mm, 23cm</v>
          </cell>
          <cell r="D5433" t="str">
            <v>Punch, 40°, downw., 5mm, 23cm</v>
          </cell>
        </row>
        <row r="5434">
          <cell r="B5434" t="str">
            <v>24-978-79-07</v>
          </cell>
          <cell r="C5434" t="str">
            <v>Stanze, 90°, abw., 5mm, 23cm</v>
          </cell>
          <cell r="D5434" t="str">
            <v>Punch, 90°, downw., 5mm, 23cm</v>
          </cell>
        </row>
        <row r="5435">
          <cell r="B5435" t="str">
            <v>24-978-79-14</v>
          </cell>
          <cell r="C5435" t="str">
            <v>Stanze, 90°, abw., 5mm, 23cm</v>
          </cell>
          <cell r="D5435" t="str">
            <v>Punch, 90°, downw., 5mm, 23cm</v>
          </cell>
        </row>
        <row r="5436">
          <cell r="B5436" t="str">
            <v>24-978-80-07</v>
          </cell>
          <cell r="C5436" t="str">
            <v>Stanze, 40°, abw., 6mm, 18cm</v>
          </cell>
          <cell r="D5436" t="str">
            <v>Punch, 40°, downw., 6mm, 18cm</v>
          </cell>
        </row>
        <row r="5437">
          <cell r="B5437" t="str">
            <v>24-978-80-14</v>
          </cell>
          <cell r="C5437" t="str">
            <v>Stanze, 40°, abw., 6mm, 18cm</v>
          </cell>
          <cell r="D5437" t="str">
            <v>Punch, 40°, downw., 6mm, 18cm</v>
          </cell>
        </row>
        <row r="5438">
          <cell r="B5438" t="str">
            <v>24-978-81-07</v>
          </cell>
          <cell r="C5438" t="str">
            <v>Stanze, 90°, abw., 6mm, 18cm</v>
          </cell>
          <cell r="D5438" t="str">
            <v>Punch, 90°, downw., 6mm, 18cm</v>
          </cell>
        </row>
        <row r="5439">
          <cell r="B5439" t="str">
            <v>24-978-81-14</v>
          </cell>
          <cell r="C5439" t="str">
            <v>Stanze, 90°, abw., 6mm, 18cm</v>
          </cell>
          <cell r="D5439" t="str">
            <v>Punch, 90°, downw., 6mm, 18cm</v>
          </cell>
        </row>
        <row r="5440">
          <cell r="B5440" t="str">
            <v>24-978-82-07</v>
          </cell>
          <cell r="C5440" t="str">
            <v>Stanze, 40°, abw., 6mm, 20cm</v>
          </cell>
          <cell r="D5440" t="str">
            <v>Punch, 40°, downw., 6mm, 20cm</v>
          </cell>
        </row>
        <row r="5441">
          <cell r="B5441" t="str">
            <v>24-978-82-14</v>
          </cell>
          <cell r="C5441" t="str">
            <v>Stanze, 40°, abw., 6mm, 20cm</v>
          </cell>
          <cell r="D5441" t="str">
            <v>Punch, 40°, downw., 6mm, 20cm</v>
          </cell>
        </row>
        <row r="5442">
          <cell r="B5442" t="str">
            <v>24-978-83-07</v>
          </cell>
          <cell r="C5442" t="str">
            <v>Stanze, 90°, abw., 6mm, 20cm</v>
          </cell>
          <cell r="D5442" t="str">
            <v>Punch, 90°, downw., 6mm, 20cm</v>
          </cell>
        </row>
        <row r="5443">
          <cell r="B5443" t="str">
            <v>24-978-83-14</v>
          </cell>
          <cell r="C5443" t="str">
            <v>Stanze, 90°, abw., 6mm, 20cm</v>
          </cell>
          <cell r="D5443" t="str">
            <v>Punch, 90°, downw., 6mm, 20cm</v>
          </cell>
        </row>
        <row r="5444">
          <cell r="B5444" t="str">
            <v>24-978-84-07</v>
          </cell>
          <cell r="C5444" t="str">
            <v>Stanze, 40°, abw., 6mm, 23cm</v>
          </cell>
          <cell r="D5444" t="str">
            <v>Punch, 40°, downw., 6mm, 23cm</v>
          </cell>
        </row>
        <row r="5445">
          <cell r="B5445" t="str">
            <v>24-978-84-14</v>
          </cell>
          <cell r="C5445" t="str">
            <v>Stanze, 40°, abw., 6mm, 23cm</v>
          </cell>
          <cell r="D5445" t="str">
            <v>Punch, 40°, downw., 6mm, 23cm</v>
          </cell>
        </row>
        <row r="5446">
          <cell r="B5446" t="str">
            <v>24-978-85-07</v>
          </cell>
          <cell r="C5446" t="str">
            <v>Stanze, 90°, abw., 6mm, 23cm</v>
          </cell>
          <cell r="D5446" t="str">
            <v>Punch, 90°, downw., 6mm, 23cm</v>
          </cell>
        </row>
        <row r="5447">
          <cell r="B5447" t="str">
            <v>24-978-85-14</v>
          </cell>
          <cell r="C5447" t="str">
            <v>Stanze, 90°, abw., 6mm, 23cm</v>
          </cell>
          <cell r="D5447" t="str">
            <v>Punch, 90°, downw., 6mm, 23cm</v>
          </cell>
        </row>
        <row r="5448">
          <cell r="B5448" t="str">
            <v>24-978-90-07</v>
          </cell>
          <cell r="C5448" t="str">
            <v>Stanze, 40°, Langhub,  1mm, 18cm</v>
          </cell>
          <cell r="D5448" t="str">
            <v>Punch, 40°, long str., 1mm, 18cm</v>
          </cell>
        </row>
        <row r="5449">
          <cell r="B5449" t="str">
            <v>24-978-90-14</v>
          </cell>
          <cell r="C5449" t="str">
            <v>Stanze, 40°, Langhub,  1mm, 18cm</v>
          </cell>
          <cell r="D5449" t="str">
            <v>Punch, 40°, long str., 1mm, 18cm</v>
          </cell>
        </row>
        <row r="5450">
          <cell r="B5450" t="str">
            <v>24-978-91-07</v>
          </cell>
          <cell r="C5450" t="str">
            <v>Stanze, 40°, Langhub,  2mm, 18cm</v>
          </cell>
          <cell r="D5450" t="str">
            <v>Punch, 40°, long str., 2mm, 18cm</v>
          </cell>
        </row>
        <row r="5451">
          <cell r="B5451" t="str">
            <v>24-978-91-14</v>
          </cell>
          <cell r="C5451" t="str">
            <v>Stanze, 40°, Langhub,  2mm, 18cm</v>
          </cell>
          <cell r="D5451" t="str">
            <v>Punch, 40°, long str., 2mm, 18cm</v>
          </cell>
        </row>
        <row r="5452">
          <cell r="B5452" t="str">
            <v>24-978-92-07</v>
          </cell>
          <cell r="C5452" t="str">
            <v>Stanze, 40°, Langhub,  3mm, 18cm</v>
          </cell>
          <cell r="D5452" t="str">
            <v>Punch, 40°, long str., 3mm, 18cm</v>
          </cell>
        </row>
        <row r="5453">
          <cell r="B5453" t="str">
            <v>24-978-92-14</v>
          </cell>
          <cell r="C5453" t="str">
            <v>Stanze, 40°, Langhub,  3mm, 18cm</v>
          </cell>
          <cell r="D5453" t="str">
            <v>Punch, 40°, long str., 3mm, 18cm</v>
          </cell>
        </row>
        <row r="5454">
          <cell r="B5454" t="str">
            <v>24-978-93-07</v>
          </cell>
          <cell r="C5454" t="str">
            <v>Stanze, 40°, Langhub,  4mm, 18cm</v>
          </cell>
          <cell r="D5454" t="str">
            <v>Punch, 40°, long str., 4mm, 18cm</v>
          </cell>
        </row>
        <row r="5455">
          <cell r="B5455" t="str">
            <v>24-978-93-14</v>
          </cell>
          <cell r="C5455" t="str">
            <v>Stanze, 40°, Langhub,  4mm, 18cm</v>
          </cell>
          <cell r="D5455" t="str">
            <v>Punch, 40°, long str., 4mm, 18cm</v>
          </cell>
        </row>
        <row r="5456">
          <cell r="B5456" t="str">
            <v>24-978-94-07</v>
          </cell>
          <cell r="C5456" t="str">
            <v>Stanze, 40°, Langhub,  5mm, 18cm</v>
          </cell>
          <cell r="D5456" t="str">
            <v>Punch, 40°, long str., 5mm, 18cm</v>
          </cell>
        </row>
        <row r="5457">
          <cell r="B5457" t="str">
            <v>24-978-94-14</v>
          </cell>
          <cell r="C5457" t="str">
            <v>Stanze, 40°, Langhub,  5mm, 18cm</v>
          </cell>
          <cell r="D5457" t="str">
            <v>Punch, 40°, long str., 5mm, 18cm</v>
          </cell>
        </row>
        <row r="5458">
          <cell r="B5458" t="str">
            <v>24-978-95-07</v>
          </cell>
          <cell r="C5458" t="str">
            <v>Stanze, 40°, Langhub,  6mm, 18cm</v>
          </cell>
          <cell r="D5458" t="str">
            <v>Punch, 40°, long str., 6mm, 18cm</v>
          </cell>
        </row>
        <row r="5459">
          <cell r="B5459" t="str">
            <v>24-978-95-14</v>
          </cell>
          <cell r="C5459" t="str">
            <v>Stanze, 40°, Langhub,  6mm, 18cm</v>
          </cell>
          <cell r="D5459" t="str">
            <v>Punch, 40°, long str., 6mm, 18cm</v>
          </cell>
        </row>
        <row r="5460">
          <cell r="B5460" t="str">
            <v>24-979-01-07</v>
          </cell>
          <cell r="C5460" t="str">
            <v>Stanze, 40°, 1mm, dünn, 18cm</v>
          </cell>
          <cell r="D5460" t="str">
            <v>Punch, 40°, 1mm, slim, 18cm</v>
          </cell>
        </row>
        <row r="5461">
          <cell r="B5461" t="str">
            <v>24-979-01-14</v>
          </cell>
          <cell r="C5461" t="str">
            <v>Stanze, 40°, 1mm, dünn, 18cm</v>
          </cell>
          <cell r="D5461" t="str">
            <v>Punch, 40°, 1mm, slim, 18cm</v>
          </cell>
        </row>
        <row r="5462">
          <cell r="B5462" t="str">
            <v>24-979-02-07</v>
          </cell>
          <cell r="C5462" t="str">
            <v>Stanze, 90°, 1mm, dünn, 18cm</v>
          </cell>
          <cell r="D5462" t="str">
            <v>Punch, 90°, 1mm, slim, 18cm</v>
          </cell>
        </row>
        <row r="5463">
          <cell r="B5463" t="str">
            <v>24-979-02-14</v>
          </cell>
          <cell r="C5463" t="str">
            <v>Stanze, 90°, 1mm, dünn, 18cm</v>
          </cell>
          <cell r="D5463" t="str">
            <v>Punch, 90°, 1mm, slim, 18cm</v>
          </cell>
        </row>
        <row r="5464">
          <cell r="B5464" t="str">
            <v>24-979-03-07</v>
          </cell>
          <cell r="C5464" t="str">
            <v>Stanze, 40°, 1mm, dünn, 20cm</v>
          </cell>
          <cell r="D5464" t="str">
            <v>Punch, 40°, 1mm, slim, 20cm</v>
          </cell>
        </row>
        <row r="5465">
          <cell r="B5465" t="str">
            <v>24-979-03-14</v>
          </cell>
          <cell r="C5465" t="str">
            <v>Stanze, 40°, 1mm, dünn, 20cm</v>
          </cell>
          <cell r="D5465" t="str">
            <v>Punch, 40°, 1mm, slim, 20cm</v>
          </cell>
        </row>
        <row r="5466">
          <cell r="B5466" t="str">
            <v>24-979-04-07</v>
          </cell>
          <cell r="C5466" t="str">
            <v>Stanze, 90°, 1mm, dünn, 20cm</v>
          </cell>
          <cell r="D5466" t="str">
            <v>Punch, 90°, 1mm, slim, 20cm</v>
          </cell>
        </row>
        <row r="5467">
          <cell r="B5467" t="str">
            <v>24-979-04-14</v>
          </cell>
          <cell r="C5467" t="str">
            <v>Stanze, 90°, 1mm, dünn, 20cm</v>
          </cell>
          <cell r="D5467" t="str">
            <v>Punch, 90°, 1mm, slim, 20cm</v>
          </cell>
        </row>
        <row r="5468">
          <cell r="B5468" t="str">
            <v>24-979-05-07</v>
          </cell>
          <cell r="C5468" t="str">
            <v>Stanze, 40°, 1mm, dünn, 23cm</v>
          </cell>
          <cell r="D5468" t="str">
            <v>Punch, 40°, 1mm, slim, 23cm</v>
          </cell>
        </row>
        <row r="5469">
          <cell r="B5469" t="str">
            <v>24-979-05-14</v>
          </cell>
          <cell r="C5469" t="str">
            <v>Stanze, 40°, 1mm, dünn, 23cm</v>
          </cell>
          <cell r="D5469" t="str">
            <v>Punch, 40°, 1mm, slim, 23cm</v>
          </cell>
        </row>
        <row r="5470">
          <cell r="B5470" t="str">
            <v>24-979-06-07</v>
          </cell>
          <cell r="C5470" t="str">
            <v>Stanze, 90°, 1mm, dünn, 23cm</v>
          </cell>
          <cell r="D5470" t="str">
            <v>Punch, 90°, 1mm, slim, 23cm</v>
          </cell>
        </row>
        <row r="5471">
          <cell r="B5471" t="str">
            <v>24-979-06-14</v>
          </cell>
          <cell r="C5471" t="str">
            <v>Stanze, 90°, 1mm, dünn, 23cm</v>
          </cell>
          <cell r="D5471" t="str">
            <v>Punch, 90°, 1mm, slim, 23cm</v>
          </cell>
        </row>
        <row r="5472">
          <cell r="B5472" t="str">
            <v>24-979-07-07</v>
          </cell>
          <cell r="C5472" t="str">
            <v>Stanze, 40°, 1mm, dünn, 28cm</v>
          </cell>
          <cell r="D5472" t="str">
            <v>Punch, 40°, 1mm, slim, 28cm</v>
          </cell>
        </row>
        <row r="5473">
          <cell r="B5473" t="str">
            <v>24-979-07-14</v>
          </cell>
          <cell r="C5473" t="str">
            <v>Stanze, 40°, 1mm, dünn, 28cm</v>
          </cell>
          <cell r="D5473" t="str">
            <v>Punch, 40°, 1mm, slim, 28cm</v>
          </cell>
        </row>
        <row r="5474">
          <cell r="B5474" t="str">
            <v>24-979-08-07</v>
          </cell>
          <cell r="C5474" t="str">
            <v>Stanze, 90°, 1mm, dünn, 28cm</v>
          </cell>
          <cell r="D5474" t="str">
            <v>Punch, 90°, 1mm, slim, 28cm</v>
          </cell>
        </row>
        <row r="5475">
          <cell r="B5475" t="str">
            <v>24-979-08-14</v>
          </cell>
          <cell r="C5475" t="str">
            <v>Stanze, 90°, 1mm, dünn, 28cm</v>
          </cell>
          <cell r="D5475" t="str">
            <v>Punch, 90°, 1mm, slim, 28cm</v>
          </cell>
        </row>
        <row r="5476">
          <cell r="B5476" t="str">
            <v>24-979-09-07</v>
          </cell>
          <cell r="C5476" t="str">
            <v>Stanze, 40°, 2mm, dünn, 18cm</v>
          </cell>
          <cell r="D5476" t="str">
            <v>Punch, 40°, 2mm, slim, 18cm</v>
          </cell>
        </row>
        <row r="5477">
          <cell r="B5477" t="str">
            <v>24-979-09-14</v>
          </cell>
          <cell r="C5477" t="str">
            <v>Stanze, 40°, 2mm, dünn, 18cm</v>
          </cell>
          <cell r="D5477" t="str">
            <v>Punch, 40°, 2mm, slim, 18cm</v>
          </cell>
        </row>
        <row r="5478">
          <cell r="B5478" t="str">
            <v>24-979-10-07</v>
          </cell>
          <cell r="C5478" t="str">
            <v>Stanze, 90°, 2mm, dünn, 18cm</v>
          </cell>
          <cell r="D5478" t="str">
            <v>Punch, 90°, 2mm, slim, 18cm</v>
          </cell>
        </row>
        <row r="5479">
          <cell r="B5479" t="str">
            <v>24-979-10-14</v>
          </cell>
          <cell r="C5479" t="str">
            <v>Stanze, 90°, 2mm, dünn, 18cm</v>
          </cell>
          <cell r="D5479" t="str">
            <v>Punch, 90°, 2mm, slim, 18cm</v>
          </cell>
        </row>
        <row r="5480">
          <cell r="B5480" t="str">
            <v>24-979-11-07</v>
          </cell>
          <cell r="C5480" t="str">
            <v>Stanze, 40°, 2mm, dünn, 20cm</v>
          </cell>
          <cell r="D5480" t="str">
            <v>Punch, 40°, 2mm, slim, 20cm</v>
          </cell>
        </row>
        <row r="5481">
          <cell r="B5481" t="str">
            <v>24-979-11-14</v>
          </cell>
          <cell r="C5481" t="str">
            <v>Stanze, 40°, 2mm, dünn, 20cm</v>
          </cell>
          <cell r="D5481" t="str">
            <v>Punch, 40°, 2mm, slim, 20cm</v>
          </cell>
        </row>
        <row r="5482">
          <cell r="B5482" t="str">
            <v>24-979-12-07</v>
          </cell>
          <cell r="C5482" t="str">
            <v>Stanze, 90°, 2mm, dünn, 20cm</v>
          </cell>
          <cell r="D5482" t="str">
            <v>Punch, 90°, 2mm, slim, 20cm</v>
          </cell>
        </row>
        <row r="5483">
          <cell r="B5483" t="str">
            <v>24-979-12-14</v>
          </cell>
          <cell r="C5483" t="str">
            <v>Stanze, 90°, 2mm, dünn, 20cm</v>
          </cell>
          <cell r="D5483" t="str">
            <v>Punch, 90°, 2mm, slim, 20cm</v>
          </cell>
        </row>
        <row r="5484">
          <cell r="B5484" t="str">
            <v>24-979-13-07</v>
          </cell>
          <cell r="C5484" t="str">
            <v>Stanze, 40°, 2mm, dünn, 23cm</v>
          </cell>
          <cell r="D5484" t="str">
            <v>Punch, 40°, 2mm, slim, 23cm</v>
          </cell>
        </row>
        <row r="5485">
          <cell r="B5485" t="str">
            <v>24-979-13-14</v>
          </cell>
          <cell r="C5485" t="str">
            <v>Stanze, 40°, 2mm, dünn, 23cm</v>
          </cell>
          <cell r="D5485" t="str">
            <v>Punch, 40°, 2mm, slim, 23cm</v>
          </cell>
        </row>
        <row r="5486">
          <cell r="B5486" t="str">
            <v>24-979-14-07</v>
          </cell>
          <cell r="C5486" t="str">
            <v>Stanze, 90°, 2mm, dünn, 23cm</v>
          </cell>
          <cell r="D5486" t="str">
            <v>Punch, 90°, 2mm, slim, 23cm</v>
          </cell>
        </row>
        <row r="5487">
          <cell r="B5487" t="str">
            <v>24-979-14-14</v>
          </cell>
          <cell r="C5487" t="str">
            <v>Stanze, 90°, 2mm, dünn, 23cm</v>
          </cell>
          <cell r="D5487" t="str">
            <v>Punch, 90°, 2mm, slim, 23cm</v>
          </cell>
        </row>
        <row r="5488">
          <cell r="B5488" t="str">
            <v>24-979-15-07</v>
          </cell>
          <cell r="C5488" t="str">
            <v>Stanze, 40°, 2mm, dünn, 28cm</v>
          </cell>
          <cell r="D5488" t="str">
            <v>Punch, 40°, 2mm, slim, 28cm</v>
          </cell>
        </row>
        <row r="5489">
          <cell r="B5489" t="str">
            <v>24-979-15-14</v>
          </cell>
          <cell r="C5489" t="str">
            <v>Stanze, 40°, 2mm, dünn, 28cm</v>
          </cell>
          <cell r="D5489" t="str">
            <v>Punch, 40°, 2mm, slim, 28cm</v>
          </cell>
        </row>
        <row r="5490">
          <cell r="B5490" t="str">
            <v>24-979-16-07</v>
          </cell>
          <cell r="C5490" t="str">
            <v>Stanze, 90°, 2mm, dünn, 28cm</v>
          </cell>
          <cell r="D5490" t="str">
            <v>Punch, 90°, 2mm, slim, 28cm</v>
          </cell>
        </row>
        <row r="5491">
          <cell r="B5491" t="str">
            <v>24-979-16-14</v>
          </cell>
          <cell r="C5491" t="str">
            <v>Stanze, 90°, 2mm, dünn, 28cm</v>
          </cell>
          <cell r="D5491" t="str">
            <v>Punch, 90°, 2mm, slim, 28cm</v>
          </cell>
        </row>
        <row r="5492">
          <cell r="B5492" t="str">
            <v>24-979-17-07</v>
          </cell>
          <cell r="C5492" t="str">
            <v>Stanze, 40°, 3mm, dünn, 18cm</v>
          </cell>
          <cell r="D5492" t="str">
            <v>Punch, 40°, 3mm, slim, 18cm</v>
          </cell>
        </row>
        <row r="5493">
          <cell r="B5493" t="str">
            <v>24-979-17-14</v>
          </cell>
          <cell r="C5493" t="str">
            <v>Stanze, 40°, 3mm, dünn, 18cm</v>
          </cell>
          <cell r="D5493" t="str">
            <v>Punch, 40°, 3mm, slim, 18cm</v>
          </cell>
        </row>
        <row r="5494">
          <cell r="B5494" t="str">
            <v>24-979-18-07</v>
          </cell>
          <cell r="C5494" t="str">
            <v>Stanze, 90°, 3mm, dünn, 18cm</v>
          </cell>
          <cell r="D5494" t="str">
            <v>Punch, 90°, 3mm, slim, 18cm</v>
          </cell>
        </row>
        <row r="5495">
          <cell r="B5495" t="str">
            <v>24-979-18-14</v>
          </cell>
          <cell r="C5495" t="str">
            <v>Stanze, 90°, 3mm, dünn, 18cm</v>
          </cell>
          <cell r="D5495" t="str">
            <v>Punch, 90°, 3mm, slim, 18cm</v>
          </cell>
        </row>
        <row r="5496">
          <cell r="B5496" t="str">
            <v>24-979-19-07</v>
          </cell>
          <cell r="C5496" t="str">
            <v>Stanze, 40°, 3mm, dünn, 20cm</v>
          </cell>
          <cell r="D5496" t="str">
            <v>Punch, 40°, 3mm, slim, 20cm</v>
          </cell>
        </row>
        <row r="5497">
          <cell r="B5497" t="str">
            <v>24-979-19-14</v>
          </cell>
          <cell r="C5497" t="str">
            <v>Stanze, 40°, 3mm, dünn, 20cm</v>
          </cell>
          <cell r="D5497" t="str">
            <v>Punch, 40°, 3mm, slim, 20cm</v>
          </cell>
        </row>
        <row r="5498">
          <cell r="B5498" t="str">
            <v>24-979-20-07</v>
          </cell>
          <cell r="C5498" t="str">
            <v>Stanze, 90°, 3mm, dünn, 20cm</v>
          </cell>
          <cell r="D5498" t="str">
            <v>Punch, 90°, 3mm, slim, 20cm</v>
          </cell>
        </row>
        <row r="5499">
          <cell r="B5499" t="str">
            <v>24-979-20-14</v>
          </cell>
          <cell r="C5499" t="str">
            <v>Stanze, 90°, 3mm, dünn, 20cm</v>
          </cell>
          <cell r="D5499" t="str">
            <v>Punch, 90°, 3mm, slim, 20cm</v>
          </cell>
        </row>
        <row r="5500">
          <cell r="B5500" t="str">
            <v>24-979-21-07</v>
          </cell>
          <cell r="C5500" t="str">
            <v>Stanze, 40°, 3mm, dünn, 23cm</v>
          </cell>
          <cell r="D5500" t="str">
            <v>Punch, 40°, 3mm, slim, 23cm</v>
          </cell>
        </row>
        <row r="5501">
          <cell r="B5501" t="str">
            <v>24-979-21-14</v>
          </cell>
          <cell r="C5501" t="str">
            <v>Stanze, 40°, 3mm, dünn, 23cm</v>
          </cell>
          <cell r="D5501" t="str">
            <v>Punch, 40°, 3mm, slim, 23cm</v>
          </cell>
        </row>
        <row r="5502">
          <cell r="B5502" t="str">
            <v>24-979-22-07</v>
          </cell>
          <cell r="C5502" t="str">
            <v>Stanze, 90°, 3mm, dünn, 23cm</v>
          </cell>
          <cell r="D5502" t="str">
            <v>Punch, 90°, 3mm, slim, 23cm</v>
          </cell>
        </row>
        <row r="5503">
          <cell r="B5503" t="str">
            <v>24-979-22-14</v>
          </cell>
          <cell r="C5503" t="str">
            <v>Stanze, 90°, 3mm, dünn, 23cm</v>
          </cell>
          <cell r="D5503" t="str">
            <v>Punch, 90°, 3mm, slim, 23cm</v>
          </cell>
        </row>
        <row r="5504">
          <cell r="B5504" t="str">
            <v>24-979-23-07</v>
          </cell>
          <cell r="C5504" t="str">
            <v>Stanze, 40°, 3mm, dünn, 28cm</v>
          </cell>
          <cell r="D5504" t="str">
            <v>Punch, 40°, 3mm, slim, 28cm</v>
          </cell>
        </row>
        <row r="5505">
          <cell r="B5505" t="str">
            <v>24-979-23-14</v>
          </cell>
          <cell r="C5505" t="str">
            <v>Stanze, 40°, 3mm, dünn, 28cm</v>
          </cell>
          <cell r="D5505" t="str">
            <v>Punch, 40°, 3mm, slim, 28cm</v>
          </cell>
        </row>
        <row r="5506">
          <cell r="B5506" t="str">
            <v>24-979-24-07</v>
          </cell>
          <cell r="C5506" t="str">
            <v>Stanze, 90°, 3mm, dünn, 28cm</v>
          </cell>
          <cell r="D5506" t="str">
            <v>Punch, 90°, 3mm, slim, 28cm</v>
          </cell>
        </row>
        <row r="5507">
          <cell r="B5507" t="str">
            <v>24-979-24-14</v>
          </cell>
          <cell r="C5507" t="str">
            <v>Stanze, 90°, 3mm, dünn, 28cm</v>
          </cell>
          <cell r="D5507" t="str">
            <v>Punch, 90°, 3mm, slim, 28cm</v>
          </cell>
        </row>
        <row r="5508">
          <cell r="B5508" t="str">
            <v>24-979-25-07</v>
          </cell>
          <cell r="C5508" t="str">
            <v>Stanze, 40°, 4mm, dünn, 18cm</v>
          </cell>
          <cell r="D5508" t="str">
            <v>Punch, 40°, 4mm, slim, 18cm</v>
          </cell>
        </row>
        <row r="5509">
          <cell r="B5509" t="str">
            <v>24-979-25-14</v>
          </cell>
          <cell r="C5509" t="str">
            <v>Stanze, 40°, 4mm, dünn, 18cm</v>
          </cell>
          <cell r="D5509" t="str">
            <v>Punch, 40°, 4mm, slim, 18cm</v>
          </cell>
        </row>
        <row r="5510">
          <cell r="B5510" t="str">
            <v>24-979-26-07</v>
          </cell>
          <cell r="C5510" t="str">
            <v>Stanze, 90°, 4mm, dünn, 18cm</v>
          </cell>
          <cell r="D5510" t="str">
            <v>Punch, 90°, 4mm, slim, 18cm</v>
          </cell>
        </row>
        <row r="5511">
          <cell r="B5511" t="str">
            <v>24-979-26-14</v>
          </cell>
          <cell r="C5511" t="str">
            <v>Stanze, 90°, 4mm, dünn, 18cm</v>
          </cell>
          <cell r="D5511" t="str">
            <v>Punch, 90°, 4mm, slim, 18cm</v>
          </cell>
        </row>
        <row r="5512">
          <cell r="B5512" t="str">
            <v>24-979-27-07</v>
          </cell>
          <cell r="C5512" t="str">
            <v>Stanze, 40°, 4mm, dünn, 20cm</v>
          </cell>
          <cell r="D5512" t="str">
            <v>Punch, 40°, 4mm, slim, 20cm</v>
          </cell>
        </row>
        <row r="5513">
          <cell r="B5513" t="str">
            <v>24-979-27-14</v>
          </cell>
          <cell r="C5513" t="str">
            <v>Stanze, 40°, 4mm, dünn, 20cm</v>
          </cell>
          <cell r="D5513" t="str">
            <v>Punch, 40°, 4mm, slim, 20cm</v>
          </cell>
        </row>
        <row r="5514">
          <cell r="B5514" t="str">
            <v>24-979-28-07</v>
          </cell>
          <cell r="C5514" t="str">
            <v>Stanze, 90°, 4mm, dünn, 20cm</v>
          </cell>
          <cell r="D5514" t="str">
            <v>Punch, 90°, 4mm, slim, 20cm</v>
          </cell>
        </row>
        <row r="5515">
          <cell r="B5515" t="str">
            <v>24-979-28-14</v>
          </cell>
          <cell r="C5515" t="str">
            <v>Stanze, 90°, 4mm, dünn, 20cm</v>
          </cell>
          <cell r="D5515" t="str">
            <v>Punch, 90°, 4mm, slim, 20cm</v>
          </cell>
        </row>
        <row r="5516">
          <cell r="B5516" t="str">
            <v>24-979-29-07</v>
          </cell>
          <cell r="C5516" t="str">
            <v>Stanze, 40°, 4mm, dünn, 23cm</v>
          </cell>
          <cell r="D5516" t="str">
            <v>Punch, 40°, 4mm, slim, 23cm</v>
          </cell>
        </row>
        <row r="5517">
          <cell r="B5517" t="str">
            <v>24-979-29-14</v>
          </cell>
          <cell r="C5517" t="str">
            <v>Stanze, 40°, 4mm, dünn, 23cm</v>
          </cell>
          <cell r="D5517" t="str">
            <v>Punch, 40°, 4mm, slim, 23cm</v>
          </cell>
        </row>
        <row r="5518">
          <cell r="B5518" t="str">
            <v>24-979-30-07</v>
          </cell>
          <cell r="C5518" t="str">
            <v>Stanze, 90°, 4mm, dünn, 23cm</v>
          </cell>
          <cell r="D5518" t="str">
            <v>Punch, 90°, 4mm, slim, 23cm</v>
          </cell>
        </row>
        <row r="5519">
          <cell r="B5519" t="str">
            <v>24-979-30-14</v>
          </cell>
          <cell r="C5519" t="str">
            <v>Stanze, 90°, 4mm, dünn, 23cm</v>
          </cell>
          <cell r="D5519" t="str">
            <v>Punch, 90°, 4mm, slim, 23cm</v>
          </cell>
        </row>
        <row r="5520">
          <cell r="B5520" t="str">
            <v>24-979-31-07</v>
          </cell>
          <cell r="C5520" t="str">
            <v>Stanze, 40°, 4mm, dünn, 28cm</v>
          </cell>
          <cell r="D5520" t="str">
            <v>Punch, 40°, 4mm, slim, 28cm</v>
          </cell>
        </row>
        <row r="5521">
          <cell r="B5521" t="str">
            <v>24-979-31-14</v>
          </cell>
          <cell r="C5521" t="str">
            <v>Stanze, 40°, 4mm, dünn, 28cm</v>
          </cell>
          <cell r="D5521" t="str">
            <v>Punch, 40°, 4mm, slim, 28cm</v>
          </cell>
        </row>
        <row r="5522">
          <cell r="B5522" t="str">
            <v>24-979-32-07</v>
          </cell>
          <cell r="C5522" t="str">
            <v>Stanze, 90°, 4mm, dünn, 28cm</v>
          </cell>
          <cell r="D5522" t="str">
            <v>Punch, 90°, 4mm, slim, 28cm</v>
          </cell>
        </row>
        <row r="5523">
          <cell r="B5523" t="str">
            <v>24-979-32-14</v>
          </cell>
          <cell r="C5523" t="str">
            <v>Stanze, 90°, 4mm, dünn, 28cm</v>
          </cell>
          <cell r="D5523" t="str">
            <v>Punch, 90°, 4mm, slim, 28cm</v>
          </cell>
        </row>
        <row r="5524">
          <cell r="B5524" t="str">
            <v>24-979-33-07</v>
          </cell>
          <cell r="C5524" t="str">
            <v>Stanze, 40°, 5mm, dünn, 18cm</v>
          </cell>
          <cell r="D5524" t="str">
            <v>Punch, 40°, 5mm, slim, 18cm</v>
          </cell>
        </row>
        <row r="5525">
          <cell r="B5525" t="str">
            <v>24-979-33-14</v>
          </cell>
          <cell r="C5525" t="str">
            <v>Stanze, 40°, 5mm, dünn, 18cm</v>
          </cell>
          <cell r="D5525" t="str">
            <v>Punch, 40°, 5mm, slim, 18cm</v>
          </cell>
        </row>
        <row r="5526">
          <cell r="B5526" t="str">
            <v>24-979-34-07</v>
          </cell>
          <cell r="C5526" t="str">
            <v>Stanze, 90°, 5mm, dünn, 18cm</v>
          </cell>
          <cell r="D5526" t="str">
            <v>Punch, 90°, 5mm, slim, 18cm</v>
          </cell>
        </row>
        <row r="5527">
          <cell r="B5527" t="str">
            <v>24-979-34-14</v>
          </cell>
          <cell r="C5527" t="str">
            <v>Stanze, 90°, 5mm, dünn, 18cm</v>
          </cell>
          <cell r="D5527" t="str">
            <v>Punch, 90°, 5mm, slim, 18cm</v>
          </cell>
        </row>
        <row r="5528">
          <cell r="B5528" t="str">
            <v>24-979-35-07</v>
          </cell>
          <cell r="C5528" t="str">
            <v>Stanze, 40°, 5mm, dünn, 20cm</v>
          </cell>
          <cell r="D5528" t="str">
            <v>Punch, 40°, 5mm, slim, 20cm</v>
          </cell>
        </row>
        <row r="5529">
          <cell r="B5529" t="str">
            <v>24-979-35-14</v>
          </cell>
          <cell r="C5529" t="str">
            <v>Stanze, 40°, 5mm, dünn, 20cm</v>
          </cell>
          <cell r="D5529" t="str">
            <v>Punch, 40°, 5mm, slim, 20cm</v>
          </cell>
        </row>
        <row r="5530">
          <cell r="B5530" t="str">
            <v>24-979-36-07</v>
          </cell>
          <cell r="C5530" t="str">
            <v>Stanze, 90°, 5mm, dünn, 20cm</v>
          </cell>
          <cell r="D5530" t="str">
            <v>Punch, 90°, 5mm, slim, 20cm</v>
          </cell>
        </row>
        <row r="5531">
          <cell r="B5531" t="str">
            <v>24-979-36-14</v>
          </cell>
          <cell r="C5531" t="str">
            <v>Stanze, 90°, 5mm, dünn, 20cm</v>
          </cell>
          <cell r="D5531" t="str">
            <v>Punch, 90°, 5mm, slim, 20cm</v>
          </cell>
        </row>
        <row r="5532">
          <cell r="B5532" t="str">
            <v>24-979-37-07</v>
          </cell>
          <cell r="C5532" t="str">
            <v>Stanze, 40°, 5mm, dünn, 23cm</v>
          </cell>
          <cell r="D5532" t="str">
            <v>Punch, 40°, 5mm, slim, 23cm</v>
          </cell>
        </row>
        <row r="5533">
          <cell r="B5533" t="str">
            <v>24-979-37-14</v>
          </cell>
          <cell r="C5533" t="str">
            <v>Stanze, 40°, 5mm, dünn, 23cm</v>
          </cell>
          <cell r="D5533" t="str">
            <v>Punch, 40°, 5mm, slim, 23cm</v>
          </cell>
        </row>
        <row r="5534">
          <cell r="B5534" t="str">
            <v>24-979-38-07</v>
          </cell>
          <cell r="C5534" t="str">
            <v>Stanze, 90°, 5mm, dünn, 23cm</v>
          </cell>
          <cell r="D5534" t="str">
            <v>Punch, 90°, 5mm, slim, 23cm</v>
          </cell>
        </row>
        <row r="5535">
          <cell r="B5535" t="str">
            <v>24-979-38-14</v>
          </cell>
          <cell r="C5535" t="str">
            <v>Stanze, 90°, 5mm, dünn, 23cm</v>
          </cell>
          <cell r="D5535" t="str">
            <v>Punch, 90°, 5mm, slim, 23cm</v>
          </cell>
        </row>
        <row r="5536">
          <cell r="B5536" t="str">
            <v>24-979-39-07</v>
          </cell>
          <cell r="C5536" t="str">
            <v>Stanze, 40°, 5mm, dünn, 28cm</v>
          </cell>
          <cell r="D5536" t="str">
            <v>Punch, 40°, 5mm, slim, 28cm</v>
          </cell>
        </row>
        <row r="5537">
          <cell r="B5537" t="str">
            <v>24-979-39-14</v>
          </cell>
          <cell r="C5537" t="str">
            <v>Stanze, 40°, 5mm, dünn, 28cm</v>
          </cell>
          <cell r="D5537" t="str">
            <v>Punch, 40°, 5mm, slim, 28cm</v>
          </cell>
        </row>
        <row r="5538">
          <cell r="B5538" t="str">
            <v>24-979-40-07</v>
          </cell>
          <cell r="C5538" t="str">
            <v>Stanze, 90°, 5mm, dünn, 28cm</v>
          </cell>
          <cell r="D5538" t="str">
            <v>Punch, 90°, 5mm, slim, 28cm</v>
          </cell>
        </row>
        <row r="5539">
          <cell r="B5539" t="str">
            <v>24-979-40-14</v>
          </cell>
          <cell r="C5539" t="str">
            <v>Stanze, 90°, 5mm, dünn, 28cm</v>
          </cell>
          <cell r="D5539" t="str">
            <v>Punch, 90°, 5mm, slim, 28cm</v>
          </cell>
        </row>
        <row r="5540">
          <cell r="B5540" t="str">
            <v>24-979-41-07</v>
          </cell>
          <cell r="C5540" t="str">
            <v>Stanze, 40°, 6mm, dünn, 18cm</v>
          </cell>
          <cell r="D5540" t="str">
            <v>Punch, 40°, 6mm, slim, 18cm</v>
          </cell>
        </row>
        <row r="5541">
          <cell r="B5541" t="str">
            <v>24-979-41-14</v>
          </cell>
          <cell r="C5541" t="str">
            <v>Stanze, 40°, 6mm, dünn, 18cm</v>
          </cell>
          <cell r="D5541" t="str">
            <v>Punch, 40°, 6mm, slim, 18cm</v>
          </cell>
        </row>
        <row r="5542">
          <cell r="B5542" t="str">
            <v>24-979-42-07</v>
          </cell>
          <cell r="C5542" t="str">
            <v>Stanze, 90°, 6mm, dünn, 18cm</v>
          </cell>
          <cell r="D5542" t="str">
            <v>Punch, 90°, 6mm, slim, 18cm</v>
          </cell>
        </row>
        <row r="5543">
          <cell r="B5543" t="str">
            <v>24-979-42-14</v>
          </cell>
          <cell r="C5543" t="str">
            <v>Stanze, 90°, 6mm, dünn, 18cm</v>
          </cell>
          <cell r="D5543" t="str">
            <v>Punch, 90°, 6mm, slim, 18cm</v>
          </cell>
        </row>
        <row r="5544">
          <cell r="B5544" t="str">
            <v>24-979-43-07</v>
          </cell>
          <cell r="C5544" t="str">
            <v>Stanze, 40°, 6mm, dünn, 20cm</v>
          </cell>
          <cell r="D5544" t="str">
            <v>Punch, 40°, 6mm, slim, 20cm</v>
          </cell>
        </row>
        <row r="5545">
          <cell r="B5545" t="str">
            <v>24-979-43-14</v>
          </cell>
          <cell r="C5545" t="str">
            <v>Stanze, 40°, 6mm, dünn, 20cm</v>
          </cell>
          <cell r="D5545" t="str">
            <v>Punch, 40°, 6mm, slim, 20cm</v>
          </cell>
        </row>
        <row r="5546">
          <cell r="B5546" t="str">
            <v>24-979-44-07</v>
          </cell>
          <cell r="C5546" t="str">
            <v>Stanze, 90°, 6mm, dünn, 20cm</v>
          </cell>
          <cell r="D5546" t="str">
            <v>Punch, 90°, 6mm, slim, 20cm</v>
          </cell>
        </row>
        <row r="5547">
          <cell r="B5547" t="str">
            <v>24-979-44-14</v>
          </cell>
          <cell r="C5547" t="str">
            <v>Stanze, 90°, 6mm, dünn, 20cm</v>
          </cell>
          <cell r="D5547" t="str">
            <v>Punch, 90°, 6mm, slim, 20cm</v>
          </cell>
        </row>
        <row r="5548">
          <cell r="B5548" t="str">
            <v>24-979-45-07</v>
          </cell>
          <cell r="C5548" t="str">
            <v>Stanze, 40°, 6mm, dünn, 23cm</v>
          </cell>
          <cell r="D5548" t="str">
            <v>Punch, 40°, 6mm, slim, 23cm</v>
          </cell>
        </row>
        <row r="5549">
          <cell r="B5549" t="str">
            <v>24-979-45-14</v>
          </cell>
          <cell r="C5549" t="str">
            <v>Stanze, 40°, 6mm, dünn, 23cm</v>
          </cell>
          <cell r="D5549" t="str">
            <v>Punch, 40°, 6mm, slim, 23cm</v>
          </cell>
        </row>
        <row r="5550">
          <cell r="B5550" t="str">
            <v>24-979-46-07</v>
          </cell>
          <cell r="C5550" t="str">
            <v>Stanze, 90°, 6mm, dünn, 23cm</v>
          </cell>
          <cell r="D5550" t="str">
            <v>Punch, 90°, 6mm, slim, 23cm</v>
          </cell>
        </row>
        <row r="5551">
          <cell r="B5551" t="str">
            <v>24-979-46-14</v>
          </cell>
          <cell r="C5551" t="str">
            <v>Stanze, 90°, 6mm, dünn, 23cm</v>
          </cell>
          <cell r="D5551" t="str">
            <v>Punch, 90°, 6mm, slim, 23cm</v>
          </cell>
        </row>
        <row r="5552">
          <cell r="B5552" t="str">
            <v>24-979-47-07</v>
          </cell>
          <cell r="C5552" t="str">
            <v>Stanze, 40°, 6mm, dünn, 28cm</v>
          </cell>
          <cell r="D5552" t="str">
            <v>Punch, 40°, 6mm, slim, 28cm</v>
          </cell>
        </row>
        <row r="5553">
          <cell r="B5553" t="str">
            <v>24-979-47-14</v>
          </cell>
          <cell r="C5553" t="str">
            <v>Stanze, 40°, 6mm, dünn, 28cm</v>
          </cell>
          <cell r="D5553" t="str">
            <v>Punch, 40°, 6mm, slim, 28cm</v>
          </cell>
        </row>
        <row r="5554">
          <cell r="B5554" t="str">
            <v>24-979-48-07</v>
          </cell>
          <cell r="C5554" t="str">
            <v>Stanze, 90°, 6mm, dünn, 28cm</v>
          </cell>
          <cell r="D5554" t="str">
            <v>Punch, 90°, 6mm, slim, 28cm</v>
          </cell>
        </row>
        <row r="5555">
          <cell r="B5555" t="str">
            <v>24-979-48-14</v>
          </cell>
          <cell r="C5555" t="str">
            <v>Stanze, 90°, 6mm, dünn, 28cm</v>
          </cell>
          <cell r="D5555" t="str">
            <v>Punch, 90°, 6mm, slim, 28cm</v>
          </cell>
        </row>
        <row r="5556">
          <cell r="B5556" t="str">
            <v>24-980-21-07</v>
          </cell>
          <cell r="C5556" t="str">
            <v>Stanze, 40°, Langhub,  baj., 1mm, 18cm</v>
          </cell>
          <cell r="D5556" t="str">
            <v>Punch, 40°, long str., bayon., 1mm, 18cm</v>
          </cell>
        </row>
        <row r="5557">
          <cell r="B5557" t="str">
            <v>24-980-21-14</v>
          </cell>
          <cell r="C5557" t="str">
            <v>Stanze, 40°, Langhub,  baj., 1mm, 18cm</v>
          </cell>
          <cell r="D5557" t="str">
            <v>Punch, 40°, long str., bayon., 1mm, 18cm</v>
          </cell>
        </row>
        <row r="5558">
          <cell r="B5558" t="str">
            <v>24-980-22-07</v>
          </cell>
          <cell r="C5558" t="str">
            <v>Stanze, 40°, Langhub,  baj., 2mm, 18cm</v>
          </cell>
          <cell r="D5558" t="str">
            <v>Punch, 40°, long str., bayon., 2mm, 18cm</v>
          </cell>
        </row>
        <row r="5559">
          <cell r="B5559" t="str">
            <v>24-980-22-14</v>
          </cell>
          <cell r="C5559" t="str">
            <v>Stanze, 40°, Langhub,  baj., 2mm, 18cm</v>
          </cell>
          <cell r="D5559" t="str">
            <v>Punch, 40°, long str., bayon., 2mm, 18cm</v>
          </cell>
        </row>
        <row r="5560">
          <cell r="B5560" t="str">
            <v>24-980-23-07</v>
          </cell>
          <cell r="C5560" t="str">
            <v>Stanze, 40°, Langhub,  baj., 3mm, 18cm</v>
          </cell>
          <cell r="D5560" t="str">
            <v>Punch, 40°, long str., bayon., 3mm, 18cm</v>
          </cell>
        </row>
        <row r="5561">
          <cell r="B5561" t="str">
            <v>24-980-23-14</v>
          </cell>
          <cell r="C5561" t="str">
            <v>Stanze, 40°, Langhub,  baj., 3mm, 18cm</v>
          </cell>
          <cell r="D5561" t="str">
            <v>Punch, 40°, long str., bayon., 3mm, 18cm</v>
          </cell>
        </row>
        <row r="5562">
          <cell r="B5562" t="str">
            <v>24-980-24-07</v>
          </cell>
          <cell r="C5562" t="str">
            <v>Stanze, 40°, Langhub,  baj., 4mm, 18cm</v>
          </cell>
          <cell r="D5562" t="str">
            <v>Punch, 40°, long str., bayon., 4mm, 18cm</v>
          </cell>
        </row>
        <row r="5563">
          <cell r="B5563" t="str">
            <v>24-980-24-14</v>
          </cell>
          <cell r="C5563" t="str">
            <v>Stanze, 40°, Langhub,  baj., 4mm, 18cm</v>
          </cell>
          <cell r="D5563" t="str">
            <v>Punch, 40°, long str., bayon., 4mm, 18cm</v>
          </cell>
        </row>
        <row r="5564">
          <cell r="B5564" t="str">
            <v>24-980-25-07</v>
          </cell>
          <cell r="C5564" t="str">
            <v>Stanze, 40°, Langhub,  baj., 5mm, 18cm</v>
          </cell>
          <cell r="D5564" t="str">
            <v>Punch, 40°, long str., bayon., 5mm, 18cm</v>
          </cell>
        </row>
        <row r="5565">
          <cell r="B5565" t="str">
            <v>24-980-25-14</v>
          </cell>
          <cell r="C5565" t="str">
            <v>Stanze, 40°, Langhub,  baj., 5mm, 18cm</v>
          </cell>
          <cell r="D5565" t="str">
            <v>Punch, 40°, long str., bayon., 5mm, 18cm</v>
          </cell>
        </row>
        <row r="5566">
          <cell r="B5566" t="str">
            <v>24-980-30-07</v>
          </cell>
          <cell r="C5566" t="str">
            <v>Stanze, 40°, geb., 1mm, 20cm</v>
          </cell>
          <cell r="D5566" t="str">
            <v>Punch, 40°, cvd., 1mm, 20cm</v>
          </cell>
        </row>
        <row r="5567">
          <cell r="B5567" t="str">
            <v>24-980-30-14</v>
          </cell>
          <cell r="C5567" t="str">
            <v>Stanze, 40°, geb., 1mm, 20cm</v>
          </cell>
          <cell r="D5567" t="str">
            <v>Punch, 40°, cvd., 1mm, 20cm</v>
          </cell>
        </row>
        <row r="5568">
          <cell r="B5568" t="str">
            <v>24-980-31-07</v>
          </cell>
          <cell r="C5568" t="str">
            <v>Stanze, 40°, geb.li., 1mm, 20cm</v>
          </cell>
          <cell r="D5568" t="str">
            <v>Punch, 40°, cvd.le., 1mm, 20cm</v>
          </cell>
        </row>
        <row r="5569">
          <cell r="B5569" t="str">
            <v>24-980-31-14</v>
          </cell>
          <cell r="C5569" t="str">
            <v>Stanze, 40°, geb.li., 1mm, 20cm</v>
          </cell>
          <cell r="D5569" t="str">
            <v>Punch, 40°, cvd.le., 1mm, 20cm</v>
          </cell>
        </row>
        <row r="5570">
          <cell r="B5570" t="str">
            <v>24-980-32-07</v>
          </cell>
          <cell r="C5570" t="str">
            <v>Stanze, 40°, geb.re, 1mm, 20cm</v>
          </cell>
          <cell r="D5570" t="str">
            <v>Punch, 40°, cvd.ri, 1mm, 20cm</v>
          </cell>
        </row>
        <row r="5571">
          <cell r="B5571" t="str">
            <v>24-980-32-14</v>
          </cell>
          <cell r="C5571" t="str">
            <v>Stanze, 40°, geb.re, 1mm, 20cm</v>
          </cell>
          <cell r="D5571" t="str">
            <v>Punch, 40°, cvd.ri, 1mm, 20cm</v>
          </cell>
        </row>
        <row r="5572">
          <cell r="B5572" t="str">
            <v>24-980-33-07</v>
          </cell>
          <cell r="C5572" t="str">
            <v>Stanze, 40°, geb., 2mm, 20cm</v>
          </cell>
          <cell r="D5572" t="str">
            <v>Punch, 40°, cvd., 2mm, 20cm</v>
          </cell>
        </row>
        <row r="5573">
          <cell r="B5573" t="str">
            <v>24-980-33-14</v>
          </cell>
          <cell r="C5573" t="str">
            <v>Stanze, 40°, geb., 2mm, 20cm</v>
          </cell>
          <cell r="D5573" t="str">
            <v>Punch, 40°, cvd., 2mm, 20cm</v>
          </cell>
        </row>
        <row r="5574">
          <cell r="B5574" t="str">
            <v>24-980-34-07</v>
          </cell>
          <cell r="C5574" t="str">
            <v>Stanze, 40°, geb.li., 2mm, 20cm</v>
          </cell>
          <cell r="D5574" t="str">
            <v>Punch, 40°, cvd.le., 2mm, 20cm</v>
          </cell>
        </row>
        <row r="5575">
          <cell r="B5575" t="str">
            <v>24-980-34-14</v>
          </cell>
          <cell r="C5575" t="str">
            <v>Stanze, 40°, geb.li., 2mm, 20cm</v>
          </cell>
          <cell r="D5575" t="str">
            <v>Punch, 40°, cvd.le., 2mm, 20cm</v>
          </cell>
        </row>
        <row r="5576">
          <cell r="B5576" t="str">
            <v>24-980-35-07</v>
          </cell>
          <cell r="C5576" t="str">
            <v>Stanze, 40°, geb.re, 2mm, 20cm</v>
          </cell>
          <cell r="D5576" t="str">
            <v>Punch, 40°, cvd.ri, 2mm, 20cm</v>
          </cell>
        </row>
        <row r="5577">
          <cell r="B5577" t="str">
            <v>24-980-35-14</v>
          </cell>
          <cell r="C5577" t="str">
            <v>Stanze, 40°, geb.re, 2mm, 20cm</v>
          </cell>
          <cell r="D5577" t="str">
            <v>Punch, 40°, cvd.ri, 2mm, 20cm</v>
          </cell>
        </row>
        <row r="5578">
          <cell r="B5578" t="str">
            <v>24-980-36-07</v>
          </cell>
          <cell r="C5578" t="str">
            <v>Stanze, 40°, geb., 3mm, 20cm</v>
          </cell>
          <cell r="D5578" t="str">
            <v>Punch, 40°, cvd., 3mm, 20cm</v>
          </cell>
        </row>
        <row r="5579">
          <cell r="B5579" t="str">
            <v>24-980-36-14</v>
          </cell>
          <cell r="C5579" t="str">
            <v>Stanze, 40°, geb., 3mm, 20cm</v>
          </cell>
          <cell r="D5579" t="str">
            <v>Punch, 40°, cvd., 3mm, 20cm</v>
          </cell>
        </row>
        <row r="5580">
          <cell r="B5580" t="str">
            <v>24-980-37-07</v>
          </cell>
          <cell r="C5580" t="str">
            <v>Stanze, 40°, geb.li., 3mm, 20cm</v>
          </cell>
          <cell r="D5580" t="str">
            <v>Punch, 40°, cvd.le., 3mm, 20cm</v>
          </cell>
        </row>
        <row r="5581">
          <cell r="B5581" t="str">
            <v>24-980-37-14</v>
          </cell>
          <cell r="C5581" t="str">
            <v>Stanze, 40°, geb.li., 3mm, 20cm</v>
          </cell>
          <cell r="D5581" t="str">
            <v>Punch, 40°, cvd.le., 3mm, 20cm</v>
          </cell>
        </row>
        <row r="5582">
          <cell r="B5582" t="str">
            <v>24-980-38-07</v>
          </cell>
          <cell r="C5582" t="str">
            <v>Stanze, 40°, geb.re, 3mm, 20cm</v>
          </cell>
          <cell r="D5582" t="str">
            <v>Punch, 40°, cvd.ri, 3mm, 20cm</v>
          </cell>
        </row>
        <row r="5583">
          <cell r="B5583" t="str">
            <v>24-980-38-14</v>
          </cell>
          <cell r="C5583" t="str">
            <v>Stanze, 40°, geb.re, 3mm, 20cm</v>
          </cell>
          <cell r="D5583" t="str">
            <v>Punch, 40°, cvd.ri, 3mm, 20cm</v>
          </cell>
        </row>
        <row r="5584">
          <cell r="B5584" t="str">
            <v>24-980-39-07</v>
          </cell>
          <cell r="C5584" t="str">
            <v>Stanze, 40°, geb., 4mm, 20cm</v>
          </cell>
          <cell r="D5584" t="str">
            <v>Punch, 40°, cvd., 4mm, 20cm</v>
          </cell>
        </row>
        <row r="5585">
          <cell r="B5585" t="str">
            <v>24-980-39-14</v>
          </cell>
          <cell r="C5585" t="str">
            <v>Stanze, 40°, geb., 4mm, 20cm</v>
          </cell>
          <cell r="D5585" t="str">
            <v>Punch, 40°, cvd., 4mm, 20cm</v>
          </cell>
        </row>
        <row r="5586">
          <cell r="B5586" t="str">
            <v>24-980-40-07</v>
          </cell>
          <cell r="C5586" t="str">
            <v>Stanze, 40°, geb.li., 4mm, 20cm</v>
          </cell>
          <cell r="D5586" t="str">
            <v>Punch, 40°, cvd.le., 4mm, 20cm</v>
          </cell>
        </row>
        <row r="5587">
          <cell r="B5587" t="str">
            <v>24-980-40-14</v>
          </cell>
          <cell r="C5587" t="str">
            <v>Stanze, 40°, geb.li., 4mm, 20cm</v>
          </cell>
          <cell r="D5587" t="str">
            <v>Punch, 40°, cvd.le., 4mm, 20cm</v>
          </cell>
        </row>
        <row r="5588">
          <cell r="B5588" t="str">
            <v>24-980-41-07</v>
          </cell>
          <cell r="C5588" t="str">
            <v>Stanze, 40°, geb.re, 4mm, 20cm</v>
          </cell>
          <cell r="D5588" t="str">
            <v>Punch, 40°, cvd.ri, 4mm, 20cm</v>
          </cell>
        </row>
        <row r="5589">
          <cell r="B5589" t="str">
            <v>24-980-41-14</v>
          </cell>
          <cell r="C5589" t="str">
            <v>Stanze, 40°, geb.re, 4mm, 20cm</v>
          </cell>
          <cell r="D5589" t="str">
            <v>Punch, 40°, cvd.ri, 4mm, 20cm</v>
          </cell>
        </row>
        <row r="5590">
          <cell r="B5590" t="str">
            <v>24-980-42-07</v>
          </cell>
          <cell r="C5590" t="str">
            <v>Stanze, 40°, geb., 5mm, 20cm</v>
          </cell>
          <cell r="D5590" t="str">
            <v>Punch, 40°, cvd., 5mm, 20cm</v>
          </cell>
        </row>
        <row r="5591">
          <cell r="B5591" t="str">
            <v>24-980-42-14</v>
          </cell>
          <cell r="C5591" t="str">
            <v>Stanze, 40°, geb., 5mm, 20cm</v>
          </cell>
          <cell r="D5591" t="str">
            <v>Punch, 40°, cvd., 5mm, 20cm</v>
          </cell>
        </row>
        <row r="5592">
          <cell r="B5592" t="str">
            <v>24-980-43-07</v>
          </cell>
          <cell r="C5592" t="str">
            <v>Stanze, 40°, geb.li., 5mm, 20cm</v>
          </cell>
          <cell r="D5592" t="str">
            <v>Punch, 40°, cvd.le., 5mm, 20cm</v>
          </cell>
        </row>
        <row r="5593">
          <cell r="B5593" t="str">
            <v>24-980-43-14</v>
          </cell>
          <cell r="C5593" t="str">
            <v>Stanze, 40°, geb.li., 5mm, 20cm</v>
          </cell>
          <cell r="D5593" t="str">
            <v>Punch, 40°, cvd.le., 5mm, 20cm</v>
          </cell>
        </row>
        <row r="5594">
          <cell r="B5594" t="str">
            <v>24-980-44-07</v>
          </cell>
          <cell r="C5594" t="str">
            <v>Stanze, 40°, geb.re, 5mm, 20cm</v>
          </cell>
          <cell r="D5594" t="str">
            <v>Punch, 40°, cvd.ri, 5mm, 20cm</v>
          </cell>
        </row>
        <row r="5595">
          <cell r="B5595" t="str">
            <v>24-980-44-14</v>
          </cell>
          <cell r="C5595" t="str">
            <v>Stanze, 40°, geb.re, 5mm, 20cm</v>
          </cell>
          <cell r="D5595" t="str">
            <v>Punch, 40°, cvd.ri, 5mm, 20cm</v>
          </cell>
        </row>
        <row r="5596">
          <cell r="B5596" t="str">
            <v>24-980-50-07</v>
          </cell>
          <cell r="C5596" t="str">
            <v>Stanze, 40°, geb., baj., 3mm, 15cm</v>
          </cell>
          <cell r="D5596" t="str">
            <v>Punch, 40°, cvd., bayon., 3mm, 15cm</v>
          </cell>
        </row>
        <row r="5597">
          <cell r="B5597" t="str">
            <v>24-981-05-07</v>
          </cell>
          <cell r="C5597" t="str">
            <v>Rongeur,  Caspar, ger., 2 mm, 15 cm</v>
          </cell>
          <cell r="D5597" t="str">
            <v>Rongeur,  Caspar, str., 2 mm, 15 cm</v>
          </cell>
        </row>
        <row r="5598">
          <cell r="B5598" t="str">
            <v>24-981-05-14</v>
          </cell>
          <cell r="C5598" t="str">
            <v>Rongeur,  Caspar, ger., 2 mm, 15 cm</v>
          </cell>
          <cell r="D5598" t="str">
            <v>Rongeur,  Caspar, str., 2 mm, 15 cm</v>
          </cell>
        </row>
        <row r="5599">
          <cell r="B5599" t="str">
            <v>24-981-06-07</v>
          </cell>
          <cell r="C5599" t="str">
            <v>Rongeur,  Caspar, ger., 3 mm, 15 cm</v>
          </cell>
          <cell r="D5599" t="str">
            <v>Rongeur,  Caspar, str., 3 mm, 15 cm</v>
          </cell>
        </row>
        <row r="5600">
          <cell r="B5600" t="str">
            <v>24-981-06-14</v>
          </cell>
          <cell r="C5600" t="str">
            <v>Rongeur,  Caspar, ger., 3 mm, 15 cm</v>
          </cell>
          <cell r="D5600" t="str">
            <v>Rongeur,  Caspar, str., 3 mm, 15 cm</v>
          </cell>
        </row>
        <row r="5601">
          <cell r="B5601" t="str">
            <v>24-981-07-07</v>
          </cell>
          <cell r="C5601" t="str">
            <v>Rongeur,  Caspar, ger., 4 mm, 15 cm</v>
          </cell>
          <cell r="D5601" t="str">
            <v>Rongeur,  Caspar, str., 4 mm, 15 cm</v>
          </cell>
        </row>
        <row r="5602">
          <cell r="B5602" t="str">
            <v>24-981-07-14</v>
          </cell>
          <cell r="C5602" t="str">
            <v>Rongeur,  Caspar, ger., 4 mm, 15 cm</v>
          </cell>
          <cell r="D5602" t="str">
            <v>Rongeur,  Caspar, str., 4 mm, 15 cm</v>
          </cell>
        </row>
        <row r="5603">
          <cell r="B5603" t="str">
            <v>24-981-08-07</v>
          </cell>
          <cell r="C5603" t="str">
            <v>Rongeur,  Caspar, ger., 5 mm, 15 cm</v>
          </cell>
          <cell r="D5603" t="str">
            <v>Rongeur,  Caspar, str., 5 mm, 15 cm</v>
          </cell>
        </row>
        <row r="5604">
          <cell r="B5604" t="str">
            <v>24-981-08-14</v>
          </cell>
          <cell r="C5604" t="str">
            <v>Rongeur,  Caspar, ger., 5 mm, 15 cm</v>
          </cell>
          <cell r="D5604" t="str">
            <v>Rongeur,  Caspar, str., 5 mm, 15 cm</v>
          </cell>
        </row>
        <row r="5605">
          <cell r="B5605" t="str">
            <v>24-981-09-07</v>
          </cell>
          <cell r="C5605" t="str">
            <v>Rongeur,  Caspar, ger., 2 mm, 18 cm</v>
          </cell>
          <cell r="D5605" t="str">
            <v>Rongeur,  Caspar, str., 2 mm, 18 cm</v>
          </cell>
        </row>
        <row r="5606">
          <cell r="B5606" t="str">
            <v>24-981-09-14</v>
          </cell>
          <cell r="C5606" t="str">
            <v>Rongeur,  Caspar, ger., 2 mm, 18 cm</v>
          </cell>
          <cell r="D5606" t="str">
            <v>Rongeur,  Caspar, str., 2 mm, 18 cm</v>
          </cell>
        </row>
        <row r="5607">
          <cell r="B5607" t="str">
            <v>24-981-10-07</v>
          </cell>
          <cell r="C5607" t="str">
            <v>Rongeur,  Caspar, ger., 3 mm, 18 cm</v>
          </cell>
          <cell r="D5607" t="str">
            <v>Rongeur,  Caspar, str., 3 mm, 18 cm</v>
          </cell>
        </row>
        <row r="5608">
          <cell r="B5608" t="str">
            <v>24-981-10-14</v>
          </cell>
          <cell r="C5608" t="str">
            <v>Rongeur,  Caspar, ger., 3 mm, 18 cm</v>
          </cell>
          <cell r="D5608" t="str">
            <v>Rongeur,  Caspar, str., 3 mm, 18 cm</v>
          </cell>
        </row>
        <row r="5609">
          <cell r="B5609" t="str">
            <v>24-981-11-07</v>
          </cell>
          <cell r="C5609" t="str">
            <v>Rongeur,  Caspar, ger., 4 mm, 18 cm</v>
          </cell>
          <cell r="D5609" t="str">
            <v>Rongeur,  Caspar, str., 4 mm, 18 cm</v>
          </cell>
        </row>
        <row r="5610">
          <cell r="B5610" t="str">
            <v>24-981-11-14</v>
          </cell>
          <cell r="C5610" t="str">
            <v>Rongeur,  Caspar, ger., 4 mm, 18 cm</v>
          </cell>
          <cell r="D5610" t="str">
            <v>Rongeur,  Caspar, str., 4 mm, 18 cm</v>
          </cell>
        </row>
        <row r="5611">
          <cell r="B5611" t="str">
            <v>24-981-12-07</v>
          </cell>
          <cell r="C5611" t="str">
            <v>Rongeur,  Caspar, ger., 5 mm, 18 cm</v>
          </cell>
          <cell r="D5611" t="str">
            <v>Rongeur,  Caspar, str., 5 mm, 18 cm</v>
          </cell>
        </row>
        <row r="5612">
          <cell r="B5612" t="str">
            <v>24-981-12-14</v>
          </cell>
          <cell r="C5612" t="str">
            <v>Rongeur,  Caspar, ger., 5 mm, 18 cm</v>
          </cell>
          <cell r="D5612" t="str">
            <v>Rongeur,  Caspar, str., 5 mm, 18 cm</v>
          </cell>
        </row>
        <row r="5613">
          <cell r="B5613" t="str">
            <v>24-981-13-07</v>
          </cell>
          <cell r="C5613" t="str">
            <v>Rongeur,  Caspar, ger., 2 mm, 20 cm</v>
          </cell>
          <cell r="D5613" t="str">
            <v>Rongeur,  Caspar, str., 2 mm, 20 cm</v>
          </cell>
        </row>
        <row r="5614">
          <cell r="B5614" t="str">
            <v>24-981-13-14</v>
          </cell>
          <cell r="C5614" t="str">
            <v>Rongeur,  Caspar, ger., 2 mm, 20 cm</v>
          </cell>
          <cell r="D5614" t="str">
            <v>Rongeur,  Caspar, str., 2 mm, 20 cm</v>
          </cell>
        </row>
        <row r="5615">
          <cell r="B5615" t="str">
            <v>24-981-14-07</v>
          </cell>
          <cell r="C5615" t="str">
            <v>Rongeur,  Caspar, ger., 3 mm, 20 cm</v>
          </cell>
          <cell r="D5615" t="str">
            <v>Rongeur,  Caspar, str., 3 mm, 20 cm</v>
          </cell>
        </row>
        <row r="5616">
          <cell r="B5616" t="str">
            <v>24-981-14-14</v>
          </cell>
          <cell r="C5616" t="str">
            <v>Rongeur,  Caspar, ger., 3 mm, 20 cm</v>
          </cell>
          <cell r="D5616" t="str">
            <v>Rongeur,  Caspar, str., 3 mm, 20 cm</v>
          </cell>
        </row>
        <row r="5617">
          <cell r="B5617" t="str">
            <v>24-981-15-07</v>
          </cell>
          <cell r="C5617" t="str">
            <v>Rongeur,  Caspar, ger., 4 mm, 20 cm</v>
          </cell>
          <cell r="D5617" t="str">
            <v>Rongeur,  Caspar, str., 4 mm, 20 cm</v>
          </cell>
        </row>
        <row r="5618">
          <cell r="B5618" t="str">
            <v>24-981-15-14</v>
          </cell>
          <cell r="C5618" t="str">
            <v>Rongeur,  Caspar, ger., 4 mm, 20 cm</v>
          </cell>
          <cell r="D5618" t="str">
            <v>Rongeur,  Caspar, str., 4 mm, 20 cm</v>
          </cell>
        </row>
        <row r="5619">
          <cell r="B5619" t="str">
            <v>24-981-16-07</v>
          </cell>
          <cell r="C5619" t="str">
            <v>Rongeur,  Caspar, ger., 5 mm, 20 cm</v>
          </cell>
          <cell r="D5619" t="str">
            <v>Rongeur,  Caspar, str., 5 mm, 20 cm</v>
          </cell>
        </row>
        <row r="5620">
          <cell r="B5620" t="str">
            <v>24-981-16-14</v>
          </cell>
          <cell r="C5620" t="str">
            <v>Rongeur,  Caspar, ger., 5 mm, 20 cm</v>
          </cell>
          <cell r="D5620" t="str">
            <v>Rongeur,  Caspar, str., 5 mm, 20 cm</v>
          </cell>
        </row>
        <row r="5621">
          <cell r="B5621" t="str">
            <v>24-981-25-07</v>
          </cell>
          <cell r="C5621" t="str">
            <v>Rongeur,  Caspar, aufgew., 2 mm, 15 cm</v>
          </cell>
          <cell r="D5621" t="str">
            <v>Rongeur,  Caspar, upw., 2 mm, 15 cm</v>
          </cell>
        </row>
        <row r="5622">
          <cell r="B5622" t="str">
            <v>24-981-25-14</v>
          </cell>
          <cell r="C5622" t="str">
            <v>Rongeur,  Caspar, aufgew., 2 mm, 15 cm</v>
          </cell>
          <cell r="D5622" t="str">
            <v>Rongeur,  Caspar, upw., 2 mm, 15 cm</v>
          </cell>
        </row>
        <row r="5623">
          <cell r="B5623" t="str">
            <v>24-981-26-07</v>
          </cell>
          <cell r="C5623" t="str">
            <v>Rongeur,  Caspar, aufgew., 3 mm, 15 cm</v>
          </cell>
          <cell r="D5623" t="str">
            <v>Rongeur,  Caspar, upw., 3 mm, 15 cm</v>
          </cell>
        </row>
        <row r="5624">
          <cell r="B5624" t="str">
            <v>24-981-26-14</v>
          </cell>
          <cell r="C5624" t="str">
            <v>Rongeur,  Caspar, aufgew., 3 mm, 15 cm</v>
          </cell>
          <cell r="D5624" t="str">
            <v>Rongeur,  Caspar, upw., 3 mm, 15 cm</v>
          </cell>
        </row>
        <row r="5625">
          <cell r="B5625" t="str">
            <v>24-981-27-07</v>
          </cell>
          <cell r="C5625" t="str">
            <v>Rongeur,  Caspar, aufgew., 4 mm, 15 cm</v>
          </cell>
          <cell r="D5625" t="str">
            <v>Rongeur,  Caspar, upw., 4 mm, 15 cm</v>
          </cell>
        </row>
        <row r="5626">
          <cell r="B5626" t="str">
            <v>24-981-27-14</v>
          </cell>
          <cell r="C5626" t="str">
            <v>Rongeur,  Caspar, aufgew., 4 mm, 15 cm</v>
          </cell>
          <cell r="D5626" t="str">
            <v>Rongeur,  Caspar, upw., 4 mm, 15 cm</v>
          </cell>
        </row>
        <row r="5627">
          <cell r="B5627" t="str">
            <v>24-981-28-07</v>
          </cell>
          <cell r="C5627" t="str">
            <v>Rongeur,  Caspar, aufgew., 5 mm, 15 cm</v>
          </cell>
          <cell r="D5627" t="str">
            <v>Rongeur,  Caspar, upw., 5 mm, 15 cm</v>
          </cell>
        </row>
        <row r="5628">
          <cell r="B5628" t="str">
            <v>24-981-28-14</v>
          </cell>
          <cell r="C5628" t="str">
            <v>Rongeur,  Caspar, aufgew., 5 mm, 15 cm</v>
          </cell>
          <cell r="D5628" t="str">
            <v>Rongeur,  Caspar, upw., 5 mm, 15 cm</v>
          </cell>
        </row>
        <row r="5629">
          <cell r="B5629" t="str">
            <v>24-981-29-07</v>
          </cell>
          <cell r="C5629" t="str">
            <v>Rongeur,  Caspar, aufgew., 2 mm, 18 cm</v>
          </cell>
          <cell r="D5629" t="str">
            <v>Rongeur,  Caspar, upw., 2 mm, 18 cm</v>
          </cell>
        </row>
        <row r="5630">
          <cell r="B5630" t="str">
            <v>24-981-29-14</v>
          </cell>
          <cell r="C5630" t="str">
            <v>Rongeur,  Caspar, aufgew., 2 mm, 18 cm</v>
          </cell>
          <cell r="D5630" t="str">
            <v>Rongeur,  Caspar, upw., 2 mm, 18 cm</v>
          </cell>
        </row>
        <row r="5631">
          <cell r="B5631" t="str">
            <v>24-981-30-07</v>
          </cell>
          <cell r="C5631" t="str">
            <v>Rongeur,  Caspar, aufgew., 3 mm, 18 cm</v>
          </cell>
          <cell r="D5631" t="str">
            <v>Rongeur,  Caspar, upw., 3 mm, 18 cm</v>
          </cell>
        </row>
        <row r="5632">
          <cell r="B5632" t="str">
            <v>24-981-30-14</v>
          </cell>
          <cell r="C5632" t="str">
            <v>Rongeur,  Caspar, aufgew., 3 mm, 18 cm</v>
          </cell>
          <cell r="D5632" t="str">
            <v>Rongeur,  Caspar, upw., 3 mm, 18 cm</v>
          </cell>
        </row>
        <row r="5633">
          <cell r="B5633" t="str">
            <v>24-981-31-07</v>
          </cell>
          <cell r="C5633" t="str">
            <v>Rongeur,  Caspar, aufgew., 4 mm, 18 cm</v>
          </cell>
          <cell r="D5633" t="str">
            <v>Rongeur,  Caspar, upw., 4 mm, 18 cm</v>
          </cell>
        </row>
        <row r="5634">
          <cell r="B5634" t="str">
            <v>24-981-31-14</v>
          </cell>
          <cell r="C5634" t="str">
            <v>Rongeur,  Caspar, aufgew., 4 mm, 18 cm</v>
          </cell>
          <cell r="D5634" t="str">
            <v>Rongeur,  Caspar, upw., 4 mm, 18 cm</v>
          </cell>
        </row>
        <row r="5635">
          <cell r="B5635" t="str">
            <v>24-981-32-07</v>
          </cell>
          <cell r="C5635" t="str">
            <v>Rongeur,  Caspar, aufgew., 5 mm, 18 cm</v>
          </cell>
          <cell r="D5635" t="str">
            <v>Rongeur,  Caspar, upw., 5 mm, 18 cm</v>
          </cell>
        </row>
        <row r="5636">
          <cell r="B5636" t="str">
            <v>24-981-32-14</v>
          </cell>
          <cell r="C5636" t="str">
            <v>Rongeur,  Caspar, aufgew., 5 mm, 18 cm</v>
          </cell>
          <cell r="D5636" t="str">
            <v>Rongeur,  Caspar, upw., 5 mm, 18 cm</v>
          </cell>
        </row>
        <row r="5637">
          <cell r="B5637" t="str">
            <v>24-981-33-07</v>
          </cell>
          <cell r="C5637" t="str">
            <v>Rongeur,  Caspar, aufgew., 2 mm, 20 cm</v>
          </cell>
          <cell r="D5637" t="str">
            <v>Rongeur,  Caspar, upw., 2 mm, 20 cm</v>
          </cell>
        </row>
        <row r="5638">
          <cell r="B5638" t="str">
            <v>24-981-33-14</v>
          </cell>
          <cell r="C5638" t="str">
            <v>Rongeur,  Caspar, aufgew., 2 mm, 20 cm</v>
          </cell>
          <cell r="D5638" t="str">
            <v>Rongeur,  Caspar, upw., 2 mm, 20 cm</v>
          </cell>
        </row>
        <row r="5639">
          <cell r="B5639" t="str">
            <v>24-981-34-07</v>
          </cell>
          <cell r="C5639" t="str">
            <v>Rongeur,  Caspar, aufgew., 3 mm, 20 cm</v>
          </cell>
          <cell r="D5639" t="str">
            <v>Rongeur,  Caspar, upw., 3 mm, 20 cm</v>
          </cell>
        </row>
        <row r="5640">
          <cell r="B5640" t="str">
            <v>24-981-34-14</v>
          </cell>
          <cell r="C5640" t="str">
            <v>Rongeur,  Caspar, aufgew., 3 mm, 20 cm</v>
          </cell>
          <cell r="D5640" t="str">
            <v>Rongeur,  Caspar, upw., 3 mm, 20 cm</v>
          </cell>
        </row>
        <row r="5641">
          <cell r="B5641" t="str">
            <v>24-981-35-07</v>
          </cell>
          <cell r="C5641" t="str">
            <v>Rongeur,  Caspar, aufgew., 4 mm, 20 cm</v>
          </cell>
          <cell r="D5641" t="str">
            <v>Rongeur,  Caspar, upw., 4 mm, 20 cm</v>
          </cell>
        </row>
        <row r="5642">
          <cell r="B5642" t="str">
            <v>24-981-35-14</v>
          </cell>
          <cell r="C5642" t="str">
            <v>Rongeur,  Caspar, aufgew., 4 mm, 20 cm</v>
          </cell>
          <cell r="D5642" t="str">
            <v>Rongeur,  Caspar, upw., 4 mm, 20 cm</v>
          </cell>
        </row>
        <row r="5643">
          <cell r="B5643" t="str">
            <v>24-981-36-07</v>
          </cell>
          <cell r="C5643" t="str">
            <v>Rongeur,  Caspar, aufgew., 5 mm, 20 cm</v>
          </cell>
          <cell r="D5643" t="str">
            <v>Rongeur,  Caspar, upw., 5 mm, 20 cm</v>
          </cell>
        </row>
        <row r="5644">
          <cell r="B5644" t="str">
            <v>24-981-36-14</v>
          </cell>
          <cell r="C5644" t="str">
            <v>Rongeur,  Caspar, aufgew., 5 mm, 20 cm</v>
          </cell>
          <cell r="D5644" t="str">
            <v>Rongeur,  Caspar, upw., 5 mm, 20 cm</v>
          </cell>
        </row>
        <row r="5645">
          <cell r="B5645" t="str">
            <v>24-981-45-07</v>
          </cell>
          <cell r="C5645" t="str">
            <v>Rongeur,  Caspar, abgew., 2 mm, 15 cm</v>
          </cell>
          <cell r="D5645" t="str">
            <v>Rongeur,  Caspar, downw., 2 mm, 15 cm</v>
          </cell>
        </row>
        <row r="5646">
          <cell r="B5646" t="str">
            <v>24-981-45-14</v>
          </cell>
          <cell r="C5646" t="str">
            <v>Rongeur,  Caspar, abgew., 2 mm, 15 cm</v>
          </cell>
          <cell r="D5646" t="str">
            <v>Rongeur,  Caspar, downw., 2 mm, 15 cm</v>
          </cell>
        </row>
        <row r="5647">
          <cell r="B5647" t="str">
            <v>24-981-46-07</v>
          </cell>
          <cell r="C5647" t="str">
            <v>Rongeur,  Caspar, abgew., 3 mm, 15 cm</v>
          </cell>
          <cell r="D5647" t="str">
            <v>Rongeur,  Caspar, downw., 3 mm, 15 cm</v>
          </cell>
        </row>
        <row r="5648">
          <cell r="B5648" t="str">
            <v>24-981-46-14</v>
          </cell>
          <cell r="C5648" t="str">
            <v>Rongeur,  Caspar, abgew., 3 mm, 15 cm</v>
          </cell>
          <cell r="D5648" t="str">
            <v>Rongeur,  Caspar, downw., 3 mm, 15 cm</v>
          </cell>
        </row>
        <row r="5649">
          <cell r="B5649" t="str">
            <v>24-981-47-07</v>
          </cell>
          <cell r="C5649" t="str">
            <v>Rongeur,  Caspar, abgew., 4 mm, 15 cm</v>
          </cell>
          <cell r="D5649" t="str">
            <v>Rongeur,  Caspar, downw., 4 mm, 15 cm</v>
          </cell>
        </row>
        <row r="5650">
          <cell r="B5650" t="str">
            <v>24-981-47-14</v>
          </cell>
          <cell r="C5650" t="str">
            <v>Rongeur,  Caspar, abgew., 4 mm, 15 cm</v>
          </cell>
          <cell r="D5650" t="str">
            <v>Rongeur,  Caspar, downw., 4 mm, 15 cm</v>
          </cell>
        </row>
        <row r="5651">
          <cell r="B5651" t="str">
            <v>24-981-48-07</v>
          </cell>
          <cell r="C5651" t="str">
            <v>Rongeur,  Caspar, abgew., 5 mm, 15 cm</v>
          </cell>
          <cell r="D5651" t="str">
            <v>Rongeur,  Caspar, downw., 5 mm, 15 cm</v>
          </cell>
        </row>
        <row r="5652">
          <cell r="B5652" t="str">
            <v>24-981-48-14</v>
          </cell>
          <cell r="C5652" t="str">
            <v>Rongeur,  Caspar, abgew., 5 mm, 15 cm</v>
          </cell>
          <cell r="D5652" t="str">
            <v>Rongeur,  Caspar, downw., 5 mm, 15 cm</v>
          </cell>
        </row>
        <row r="5653">
          <cell r="B5653" t="str">
            <v>24-981-49-07</v>
          </cell>
          <cell r="C5653" t="str">
            <v>Rongeur,  Caspar, abgew., 2 mm, 18 cm</v>
          </cell>
          <cell r="D5653" t="str">
            <v>Rongeur,  Caspar, downw., 2 mm, 18 cm</v>
          </cell>
        </row>
        <row r="5654">
          <cell r="B5654" t="str">
            <v>24-981-49-14</v>
          </cell>
          <cell r="C5654" t="str">
            <v>Rongeur,  Caspar, abgew., 2 mm, 18 cm</v>
          </cell>
          <cell r="D5654" t="str">
            <v>Rongeur,  Caspar, downw., 2 mm, 18 cm</v>
          </cell>
        </row>
        <row r="5655">
          <cell r="B5655" t="str">
            <v>24-981-50-07</v>
          </cell>
          <cell r="C5655" t="str">
            <v>Rongeur,  Caspar, abgew., 3 mm, 18 cm</v>
          </cell>
          <cell r="D5655" t="str">
            <v>Rongeur,  Caspar, downw., 3 mm, 18 cm</v>
          </cell>
        </row>
        <row r="5656">
          <cell r="B5656" t="str">
            <v>24-981-50-14</v>
          </cell>
          <cell r="C5656" t="str">
            <v>Rongeur,  Caspar, abgew., 3 mm, 18 cm</v>
          </cell>
          <cell r="D5656" t="str">
            <v>Rongeur,  Caspar, downw., 3 mm, 18 cm</v>
          </cell>
        </row>
        <row r="5657">
          <cell r="B5657" t="str">
            <v>24-981-51-07</v>
          </cell>
          <cell r="C5657" t="str">
            <v>Rongeur,  Caspar, abgew., 4 mm, 18 cm</v>
          </cell>
          <cell r="D5657" t="str">
            <v>Rongeur,  Caspar, downw., 4 mm, 18 cm</v>
          </cell>
        </row>
        <row r="5658">
          <cell r="B5658" t="str">
            <v>24-981-51-14</v>
          </cell>
          <cell r="C5658" t="str">
            <v>Rongeur,  Caspar, abgew., 4 mm, 18 cm</v>
          </cell>
          <cell r="D5658" t="str">
            <v>Rongeur,  Caspar, downw., 4 mm, 18 cm</v>
          </cell>
        </row>
        <row r="5659">
          <cell r="B5659" t="str">
            <v>24-981-52-07</v>
          </cell>
          <cell r="C5659" t="str">
            <v>Rongeur,  Caspar, abgew., 5 mm, 18 cm</v>
          </cell>
          <cell r="D5659" t="str">
            <v>Rongeur,  Caspar, downw., 5 mm, 18 cm</v>
          </cell>
        </row>
        <row r="5660">
          <cell r="B5660" t="str">
            <v>24-981-52-14</v>
          </cell>
          <cell r="C5660" t="str">
            <v>Rongeur,  Caspar, abgew., 5 mm, 18 cm</v>
          </cell>
          <cell r="D5660" t="str">
            <v>Rongeur,  Caspar, downw., 5 mm, 18 cm</v>
          </cell>
        </row>
        <row r="5661">
          <cell r="B5661" t="str">
            <v>24-981-53-07</v>
          </cell>
          <cell r="C5661" t="str">
            <v>Rongeur,  Caspar, abgew., 2 mm, 20 cm</v>
          </cell>
          <cell r="D5661" t="str">
            <v>Rongeur,  Caspar, downw., 2 mm, 20 cm</v>
          </cell>
        </row>
        <row r="5662">
          <cell r="B5662" t="str">
            <v>24-981-53-14</v>
          </cell>
          <cell r="C5662" t="str">
            <v>Rongeur,  Caspar, abgew., 2 mm, 20 cm</v>
          </cell>
          <cell r="D5662" t="str">
            <v>Rongeur,  Caspar, downw., 2 mm, 20 cm</v>
          </cell>
        </row>
        <row r="5663">
          <cell r="B5663" t="str">
            <v>24-981-54-07</v>
          </cell>
          <cell r="C5663" t="str">
            <v>Rongeur,  Caspar, abgew., 3 mm, 20 cm</v>
          </cell>
          <cell r="D5663" t="str">
            <v>Rongeur,  Caspar, downw., 3 mm, 20 cm</v>
          </cell>
        </row>
        <row r="5664">
          <cell r="B5664" t="str">
            <v>24-981-54-14</v>
          </cell>
          <cell r="C5664" t="str">
            <v>Rongeur,  Caspar, abgew., 3 mm, 20 cm</v>
          </cell>
          <cell r="D5664" t="str">
            <v>Rongeur,  Caspar, downw., 3 mm, 20 cm</v>
          </cell>
        </row>
        <row r="5665">
          <cell r="B5665" t="str">
            <v>24-981-55-07</v>
          </cell>
          <cell r="C5665" t="str">
            <v>Rongeur,  Caspar, abgew., 4 mm, 20 cm</v>
          </cell>
          <cell r="D5665" t="str">
            <v>Rongeur,  Caspar, downw., 4 mm, 20 cm</v>
          </cell>
        </row>
        <row r="5666">
          <cell r="B5666" t="str">
            <v>24-981-55-14</v>
          </cell>
          <cell r="C5666" t="str">
            <v>Rongeur,  Caspar, abgew., 4 mm, 20 cm</v>
          </cell>
          <cell r="D5666" t="str">
            <v>Rongeur,  Caspar, downw., 4 mm, 20 cm</v>
          </cell>
        </row>
        <row r="5667">
          <cell r="B5667" t="str">
            <v>24-981-56-07</v>
          </cell>
          <cell r="C5667" t="str">
            <v>Rongeur,  Caspar, abgew., 5 mm, 20 cm</v>
          </cell>
          <cell r="D5667" t="str">
            <v>Rongeur,  Caspar, downw., 5 mm, 20 cm</v>
          </cell>
        </row>
        <row r="5668">
          <cell r="B5668" t="str">
            <v>24-981-56-14</v>
          </cell>
          <cell r="C5668" t="str">
            <v>Rongeur,  Caspar, abgew., 5 mm, 20 cm</v>
          </cell>
          <cell r="D5668" t="str">
            <v>Rongeur,  Caspar, downw., 5 mm, 20 cm</v>
          </cell>
        </row>
        <row r="5669">
          <cell r="B5669" t="str">
            <v>24-981-65-07</v>
          </cell>
          <cell r="C5669" t="str">
            <v>Rongeur,  Caspar, ger.baj., 2 mm, 18 cm</v>
          </cell>
          <cell r="D5669" t="str">
            <v>Rongeur,  Caspar, str.bayon.,  2 mm, 18 cm</v>
          </cell>
        </row>
        <row r="5670">
          <cell r="B5670" t="str">
            <v>24-981-65-14</v>
          </cell>
          <cell r="C5670" t="str">
            <v>Rongeur,  Caspar, ger.baj., 2 mm, 18 cm</v>
          </cell>
          <cell r="D5670" t="str">
            <v>Rongeur,  Caspar, str.bayon.,  2 mm, 18 cm</v>
          </cell>
        </row>
        <row r="5671">
          <cell r="B5671" t="str">
            <v>24-981-66-07</v>
          </cell>
          <cell r="C5671" t="str">
            <v>Rongeur,  Caspar, ger.baj., 3 mm, 18 cm</v>
          </cell>
          <cell r="D5671" t="str">
            <v>Rongeur,  Caspar, str.bayon.,  3 mm, 18 cm</v>
          </cell>
        </row>
        <row r="5672">
          <cell r="B5672" t="str">
            <v>24-981-66-14</v>
          </cell>
          <cell r="C5672" t="str">
            <v>Rongeur,  Caspar, ger.baj., 3 mm, 18 cm</v>
          </cell>
          <cell r="D5672" t="str">
            <v>Rongeur,  Caspar, str.bayon.,  3 mm, 18 cm</v>
          </cell>
        </row>
        <row r="5673">
          <cell r="B5673" t="str">
            <v>24-981-67-07</v>
          </cell>
          <cell r="C5673" t="str">
            <v>Rongeur,  Caspar, ger.baj., 4 mm, 18 cm</v>
          </cell>
          <cell r="D5673" t="str">
            <v>Rongeur,  Caspar, str.bayon.,  4 mm, 18 cm</v>
          </cell>
        </row>
        <row r="5674">
          <cell r="B5674" t="str">
            <v>24-981-67-14</v>
          </cell>
          <cell r="C5674" t="str">
            <v>Rongeur,  Caspar, ger.baj., 4 mm, 18 cm</v>
          </cell>
          <cell r="D5674" t="str">
            <v>Rongeur,  Caspar, str.bayon.,  4 mm, 18 cm</v>
          </cell>
        </row>
        <row r="5675">
          <cell r="B5675" t="str">
            <v>24-981-68-07</v>
          </cell>
          <cell r="C5675" t="str">
            <v>Rongeur,  Caspar, ger.baj., 5 mm, 18 cm</v>
          </cell>
          <cell r="D5675" t="str">
            <v>Rongeur,  Caspar, str.bayon.,  5 mm, 18 cm</v>
          </cell>
        </row>
        <row r="5676">
          <cell r="B5676" t="str">
            <v>24-981-68-14</v>
          </cell>
          <cell r="C5676" t="str">
            <v>Rongeur,  Caspar, ger.baj., 5 mm, 18 cm</v>
          </cell>
          <cell r="D5676" t="str">
            <v>Rongeur,  Caspar, str.bayon.,  5 mm, 18 cm</v>
          </cell>
        </row>
        <row r="5677">
          <cell r="B5677" t="str">
            <v>24-981-75-07</v>
          </cell>
          <cell r="C5677" t="str">
            <v>Rongeur,  Caspar, aufgew.baj., 2 mm, 18cm</v>
          </cell>
          <cell r="D5677" t="str">
            <v>Rongeur,  Caspar, upw.bayon., 2 mm, 18cm</v>
          </cell>
        </row>
        <row r="5678">
          <cell r="B5678" t="str">
            <v>24-981-75-14</v>
          </cell>
          <cell r="C5678" t="str">
            <v>Rongeur,  Caspar, aufgew.baj., 2 mm, 18cm</v>
          </cell>
          <cell r="D5678" t="str">
            <v>Rongeur,  Caspar, upw.bayon., 2 mm, 18cm</v>
          </cell>
        </row>
        <row r="5679">
          <cell r="B5679" t="str">
            <v>24-981-76-07</v>
          </cell>
          <cell r="C5679" t="str">
            <v>Rongeur,  Caspar, aufgew.baj., 3 mm, 18cm</v>
          </cell>
          <cell r="D5679" t="str">
            <v>Rongeur,  Caspar, upw.bayon., 3 mm, 18cm</v>
          </cell>
        </row>
        <row r="5680">
          <cell r="B5680" t="str">
            <v>24-981-76-14</v>
          </cell>
          <cell r="C5680" t="str">
            <v>Rongeur,  Caspar, aufgew.baj., 3 mm, 18cm</v>
          </cell>
          <cell r="D5680" t="str">
            <v>Rongeur,  Caspar, upw.bayon., 3 mm, 18cm</v>
          </cell>
        </row>
        <row r="5681">
          <cell r="B5681" t="str">
            <v>24-981-77-07</v>
          </cell>
          <cell r="C5681" t="str">
            <v>Rongeur,  Caspar, aufgew.baj., 4 mm, 18cm</v>
          </cell>
          <cell r="D5681" t="str">
            <v>Rongeur,  Caspar, upw.bayon., 4 mm, 18cm</v>
          </cell>
        </row>
        <row r="5682">
          <cell r="B5682" t="str">
            <v>24-981-77-14</v>
          </cell>
          <cell r="C5682" t="str">
            <v>Rongeur,  Caspar, aufgew.baj., 4 mm, 18cm</v>
          </cell>
          <cell r="D5682" t="str">
            <v>Rongeur,  Caspar, upw.bayon., 4 mm, 18cm</v>
          </cell>
        </row>
        <row r="5683">
          <cell r="B5683" t="str">
            <v>24-981-78-07</v>
          </cell>
          <cell r="C5683" t="str">
            <v>Rongeur,  Caspar, aufgew.baj., 5 mm, 18cm</v>
          </cell>
          <cell r="D5683" t="str">
            <v>Rongeur,  Caspar, upw.bayon., 5 mm, 18cm</v>
          </cell>
        </row>
        <row r="5684">
          <cell r="B5684" t="str">
            <v>24-981-78-14</v>
          </cell>
          <cell r="C5684" t="str">
            <v>Rongeur,  Caspar, aufgew.baj., 5 mm, 18cm</v>
          </cell>
          <cell r="D5684" t="str">
            <v>Rongeur,  Caspar, upw.bayon., 5 mm, 18cm</v>
          </cell>
        </row>
        <row r="5685">
          <cell r="B5685" t="str">
            <v>24-981-80-07</v>
          </cell>
          <cell r="C5685" t="str">
            <v>Rongeur,  Caspar, aufgew., 4 mm, 18 cm</v>
          </cell>
          <cell r="D5685" t="str">
            <v>Rongeur,  Caspar, upw., 4 mm, 18 cm</v>
          </cell>
        </row>
        <row r="5686">
          <cell r="B5686" t="str">
            <v>24-981-80-14</v>
          </cell>
          <cell r="C5686" t="str">
            <v>Rongeur,  Caspar, aufgew., 4 mm, 18 cm</v>
          </cell>
          <cell r="D5686" t="str">
            <v>Rongeur,  Caspar, upw., 4 mm, 18 cm</v>
          </cell>
        </row>
        <row r="5687">
          <cell r="B5687" t="str">
            <v>24-981-81-07</v>
          </cell>
          <cell r="C5687" t="str">
            <v>Rongeur,  Caspar, aufgew., 4 mm, 30 cm</v>
          </cell>
          <cell r="D5687" t="str">
            <v>Rongeur,  Caspar, upw., 4 mm, 30 cm</v>
          </cell>
        </row>
        <row r="5688">
          <cell r="B5688" t="str">
            <v>24-981-81-14</v>
          </cell>
          <cell r="C5688" t="str">
            <v>Rongeur,  Caspar, aufgew., 4 mm, 30 cm</v>
          </cell>
          <cell r="D5688" t="str">
            <v>Rongeur,  Caspar, upw., 4 mm, 30 cm</v>
          </cell>
        </row>
        <row r="5689">
          <cell r="B5689" t="str">
            <v>24-981-82-07</v>
          </cell>
          <cell r="C5689" t="str">
            <v>Rongeur,  Caspar, abgew., 4 mm, 18 cm</v>
          </cell>
          <cell r="D5689" t="str">
            <v>Rongeur,  Caspar, downw., 4 mm, 18 cm</v>
          </cell>
        </row>
        <row r="5690">
          <cell r="B5690" t="str">
            <v>24-981-82-14</v>
          </cell>
          <cell r="C5690" t="str">
            <v>Rongeur,  Caspar, abgew., 4 mm, 18 cm</v>
          </cell>
          <cell r="D5690" t="str">
            <v>Rongeur,  Caspar, downw., 4 mm, 18 cm</v>
          </cell>
        </row>
        <row r="5691">
          <cell r="B5691" t="str">
            <v>24-981-83-07</v>
          </cell>
          <cell r="C5691" t="str">
            <v>Rongeur,  Caspar, abgew., 4 mm, 30 cm</v>
          </cell>
          <cell r="D5691" t="str">
            <v>Rongeur,  Caspar, downw., 4 mm, 30 cm</v>
          </cell>
        </row>
        <row r="5692">
          <cell r="B5692" t="str">
            <v>24-981-83-14</v>
          </cell>
          <cell r="C5692" t="str">
            <v>Rongeur,  Caspar, abgew., 4 mm, 30 cm</v>
          </cell>
          <cell r="D5692" t="str">
            <v>Rongeur,  Caspar, downw., 4 mm, 30 cm</v>
          </cell>
        </row>
        <row r="5693">
          <cell r="B5693" t="str">
            <v>24-981-84-07</v>
          </cell>
          <cell r="C5693" t="str">
            <v>Rongeur,  Wagner, aufgew., 4 mm, 20 cm</v>
          </cell>
          <cell r="D5693" t="str">
            <v>Rongeur,  Wagner, upw., 4 mm, 20 cm</v>
          </cell>
        </row>
        <row r="5694">
          <cell r="B5694" t="str">
            <v>24-981-84-14</v>
          </cell>
          <cell r="C5694" t="str">
            <v>Rongeur,  Wagner, aufgew., 4 mm, 20 cm</v>
          </cell>
          <cell r="D5694" t="str">
            <v>Rongeur,  Wagner, upw., 4 mm, 20 cm</v>
          </cell>
        </row>
        <row r="5695">
          <cell r="B5695" t="str">
            <v>24-981-85-07</v>
          </cell>
          <cell r="C5695" t="str">
            <v>Rongeur,  Wagner, aufgew., 4 mm, 30 cm</v>
          </cell>
          <cell r="D5695" t="str">
            <v>Rongeur,  Wagner, upw., 4 mm, 30 cm</v>
          </cell>
        </row>
        <row r="5696">
          <cell r="B5696" t="str">
            <v>24-981-85-14</v>
          </cell>
          <cell r="C5696" t="str">
            <v>Rongeur,  Wagner, aufgew., 4 mm, 30 cm</v>
          </cell>
          <cell r="D5696" t="str">
            <v>Rongeur,  Wagner, upw., 4 mm, 30 cm</v>
          </cell>
        </row>
        <row r="5697">
          <cell r="B5697" t="str">
            <v>24-981-86-07</v>
          </cell>
          <cell r="C5697" t="str">
            <v>Rongeur,  Wagner, abgew., 4 mm, 20 cm</v>
          </cell>
          <cell r="D5697" t="str">
            <v>Rongeur,  Wagner, downw., 4 mm, 20 cm</v>
          </cell>
        </row>
        <row r="5698">
          <cell r="B5698" t="str">
            <v>24-981-86-14</v>
          </cell>
          <cell r="C5698" t="str">
            <v>Rongeur,  Wagner, abgew., 4 mm, 20 cm</v>
          </cell>
          <cell r="D5698" t="str">
            <v>Rongeur,  Wagner, downw., 4 mm, 20 cm</v>
          </cell>
        </row>
        <row r="5699">
          <cell r="B5699" t="str">
            <v>24-981-87-07</v>
          </cell>
          <cell r="C5699" t="str">
            <v>Rongeur,  Wagner, abgew., 4 mm, 30 cm</v>
          </cell>
          <cell r="D5699" t="str">
            <v>Rongeur,  Wagner, downw., 4 mm, 30 cm</v>
          </cell>
        </row>
        <row r="5700">
          <cell r="B5700" t="str">
            <v>24-981-87-14</v>
          </cell>
          <cell r="C5700" t="str">
            <v>Rongeur,  Wagner, abgew., 4 mm, 30 cm</v>
          </cell>
          <cell r="D5700" t="str">
            <v>Rongeur,  Wagner, downw., 4 mm, 30 cm</v>
          </cell>
        </row>
        <row r="5701">
          <cell r="B5701" t="str">
            <v>24-981-91-07</v>
          </cell>
          <cell r="C5701" t="str">
            <v>Rongeur,  Wagner, kräftig, 3 mm, 20 cm</v>
          </cell>
          <cell r="D5701" t="str">
            <v>Rongeur,  Wagner, strong mod., 3 mm, 20cm</v>
          </cell>
        </row>
        <row r="5702">
          <cell r="B5702" t="str">
            <v>24-981-91-14</v>
          </cell>
          <cell r="C5702" t="str">
            <v>Rongeur,  Wagner, kräftig, 3 mm, 20 cm</v>
          </cell>
          <cell r="D5702" t="str">
            <v>Rongeur,  Wagner, strong mod., 3 mm, 20cm</v>
          </cell>
        </row>
        <row r="5703">
          <cell r="B5703" t="str">
            <v>24-981-92-07</v>
          </cell>
          <cell r="C5703" t="str">
            <v>Rongeur,  Wagner, kräftig, 4 mm, 20 cm</v>
          </cell>
          <cell r="D5703" t="str">
            <v>Rongeur,  Wagner, strong mod., 4 mm, 20cm</v>
          </cell>
        </row>
        <row r="5704">
          <cell r="B5704" t="str">
            <v>24-981-92-14</v>
          </cell>
          <cell r="C5704" t="str">
            <v>Rongeur,  Wagner, kräftig, 4 mm, 20 cm</v>
          </cell>
          <cell r="D5704" t="str">
            <v>Rongeur,  Wagner, strong mod., 4 mm, 20cm</v>
          </cell>
        </row>
        <row r="5705">
          <cell r="B5705" t="str">
            <v>24-981-93-07</v>
          </cell>
          <cell r="C5705" t="str">
            <v>Rongeur,  Wagner, kräftig, 5 mm, 20 cm</v>
          </cell>
          <cell r="D5705" t="str">
            <v>Rongeur,  Wagner, strong mod., 5 mm, 20cm</v>
          </cell>
        </row>
        <row r="5706">
          <cell r="B5706" t="str">
            <v>24-981-93-14</v>
          </cell>
          <cell r="C5706" t="str">
            <v>Rongeur,  Wagner, kräftig, 5 mm, 20 cm</v>
          </cell>
          <cell r="D5706" t="str">
            <v>Rongeur,  Wagner, strong mod., 5 mm, 20cm</v>
          </cell>
        </row>
        <row r="5707">
          <cell r="B5707" t="str">
            <v>24-982-10-07</v>
          </cell>
          <cell r="C5707" t="str">
            <v>Rongeur,  Richter, ger., 1 mm, 18 cm</v>
          </cell>
          <cell r="D5707" t="str">
            <v>Rongeur,  Richter, str., 1 mm, 18 cm</v>
          </cell>
        </row>
        <row r="5708">
          <cell r="B5708" t="str">
            <v>24-982-10-14</v>
          </cell>
          <cell r="C5708" t="str">
            <v>Rongeur,  Richter, ger., 1 mm, 18 cm</v>
          </cell>
          <cell r="D5708" t="str">
            <v>Rongeur,  Richter, str., 1 mm, 18 cm</v>
          </cell>
        </row>
        <row r="5709">
          <cell r="B5709" t="str">
            <v>24-982-11-07</v>
          </cell>
          <cell r="C5709" t="str">
            <v>Rongeur,  Richter, aufgew., 1 mm, 18 cm</v>
          </cell>
          <cell r="D5709" t="str">
            <v>Rongeur,  Richter, upw., 1 mm, 18 cm</v>
          </cell>
        </row>
        <row r="5710">
          <cell r="B5710" t="str">
            <v>24-982-11-14</v>
          </cell>
          <cell r="C5710" t="str">
            <v>Rongeur,  Richter, aufgew., 1 mm, 18 cm</v>
          </cell>
          <cell r="D5710" t="str">
            <v>Rongeur,  Richter, upw., 1 mm, 18 cm</v>
          </cell>
        </row>
        <row r="5711">
          <cell r="B5711" t="str">
            <v>24-982-12-07</v>
          </cell>
          <cell r="C5711" t="str">
            <v>Rongeur,  Richter, ger., 1,5 mm, 18 cm</v>
          </cell>
          <cell r="D5711" t="str">
            <v>Rongeur,  Richter, str., 1,5 mm, 18 cm</v>
          </cell>
        </row>
        <row r="5712">
          <cell r="B5712" t="str">
            <v>24-982-12-14</v>
          </cell>
          <cell r="C5712" t="str">
            <v>Rongeur,  Richter, ger., 1,5 mm, 18 cm</v>
          </cell>
          <cell r="D5712" t="str">
            <v>Rongeur,  Richter, str., 1,5 mm, 18 cm</v>
          </cell>
        </row>
        <row r="5713">
          <cell r="B5713" t="str">
            <v>24-982-13-07</v>
          </cell>
          <cell r="C5713" t="str">
            <v>Rongeur,  Richter, aufgew., 1,5 mm, 18 cm</v>
          </cell>
          <cell r="D5713" t="str">
            <v>Rongeur,  Richter, upw., 1,5 mm, 18 cm</v>
          </cell>
        </row>
        <row r="5714">
          <cell r="B5714" t="str">
            <v>24-982-13-14</v>
          </cell>
          <cell r="C5714" t="str">
            <v>Rongeur,  Richter, aufgew., 1,5 mm, 18 cm</v>
          </cell>
          <cell r="D5714" t="str">
            <v>Rongeur,  Richter, upw., 1,5 mm, 18 cm</v>
          </cell>
        </row>
        <row r="5715">
          <cell r="B5715" t="str">
            <v>24-996-25-07</v>
          </cell>
          <cell r="C5715" t="str">
            <v>HYPOPHYSENZANGE, OLDBERG,  Ø 8 MM, 25 CM</v>
          </cell>
          <cell r="D5715" t="str">
            <v>PITIUTARY  FCPS., OLDBERG,  Ø 8 MM, 25 CM</v>
          </cell>
        </row>
        <row r="5716">
          <cell r="B5716" t="str">
            <v>24-996-27-07</v>
          </cell>
          <cell r="C5716" t="str">
            <v>TUMORFASSZANGE, LANDOLT,  27 CM</v>
          </cell>
          <cell r="D5716" t="str">
            <v>TUMOR SEIZING FORCEPS,  LANDOLT,  27 CM</v>
          </cell>
        </row>
        <row r="5717">
          <cell r="B5717" t="str">
            <v>24-996-50-07</v>
          </cell>
          <cell r="C5717" t="str">
            <v>HYPOPHYSENZANGE, YASARGIL,  25,5 CM</v>
          </cell>
          <cell r="D5717" t="str">
            <v>PITIUTARY  FORCEPS,  YASARGIL,  25.5 CM</v>
          </cell>
        </row>
        <row r="5718">
          <cell r="B5718" t="str">
            <v>24-996-51-07</v>
          </cell>
          <cell r="C5718" t="str">
            <v>Hypophysenzange, Yasargil,2,2mm, 25,5cm</v>
          </cell>
          <cell r="D5718" t="str">
            <v>Pituitary forceps, Yasargil,2,2mm,25,5cm</v>
          </cell>
        </row>
        <row r="5719">
          <cell r="B5719" t="str">
            <v>24-998-08-07</v>
          </cell>
          <cell r="C5719" t="str">
            <v>Hypoph.Spekula, Papav.-Caspar, 80x13 mm</v>
          </cell>
          <cell r="D5719" t="str">
            <v>Pituit. specula, Papav.-Caspar, 80x13mm</v>
          </cell>
        </row>
        <row r="5720">
          <cell r="B5720" t="str">
            <v>24-998-09-07</v>
          </cell>
          <cell r="C5720" t="str">
            <v>Hypoph.Spekula, Papav.-Caspar, 90x13 mm</v>
          </cell>
          <cell r="D5720" t="str">
            <v>Pituit. specula, Papav.-Caspar, 90x13mm</v>
          </cell>
        </row>
        <row r="5721">
          <cell r="B5721" t="str">
            <v>24-998-10-07</v>
          </cell>
          <cell r="C5721" t="str">
            <v>Hypoph.Spekula, Papav.-Caspar, 100x13 mm</v>
          </cell>
          <cell r="D5721" t="str">
            <v>Pituit. specula, Papav.-Caspar, 100x13mm</v>
          </cell>
        </row>
        <row r="5722">
          <cell r="B5722" t="str">
            <v>24-999-07-07</v>
          </cell>
          <cell r="C5722" t="str">
            <v>Hypoph.Spekula, Cush.-Landolt, 70x16 mm</v>
          </cell>
          <cell r="D5722" t="str">
            <v>Pituit. specula, Cush.-Landolt, 70x16 mm</v>
          </cell>
        </row>
        <row r="5723">
          <cell r="B5723" t="str">
            <v>24-999-09-07</v>
          </cell>
          <cell r="C5723" t="str">
            <v>Hypoph.Spekula, Cush.-Landolt, 90x16 mm</v>
          </cell>
          <cell r="D5723" t="str">
            <v>Pituit. specula, Cush.-Landolt, 90x16 mm</v>
          </cell>
        </row>
        <row r="5724">
          <cell r="B5724" t="str">
            <v>24-999-11-07</v>
          </cell>
          <cell r="C5724" t="str">
            <v>Hypoph.Spekula, Cush.-Landolt, 110x16 mm</v>
          </cell>
          <cell r="D5724" t="str">
            <v>Pituit. specula, Cush.-Landolt, 110x16mm</v>
          </cell>
        </row>
        <row r="5725">
          <cell r="B5725" t="str">
            <v>25-001-13-09</v>
          </cell>
          <cell r="C5725" t="str">
            <v>MIKRO MESH,21X13-LOCH,0,3MM</v>
          </cell>
          <cell r="D5725" t="str">
            <v>MICRO MESH,21X13-HOLE,0.3MM</v>
          </cell>
        </row>
        <row r="5726">
          <cell r="B5726" t="str">
            <v>25-001-13-71</v>
          </cell>
          <cell r="C5726" t="str">
            <v>MIKRO MESH,21X13-LOCH,0,3MM</v>
          </cell>
          <cell r="D5726" t="str">
            <v>MICRO MESH,21X13-HOLE,0.3MM</v>
          </cell>
        </row>
        <row r="5727">
          <cell r="B5727" t="str">
            <v>25-002-02-09</v>
          </cell>
          <cell r="C5727" t="str">
            <v>MIKRO MESH, 2-LOCH,0,6MM</v>
          </cell>
          <cell r="D5727" t="str">
            <v>MICRO MESH, 2-HOLE.0.6MM</v>
          </cell>
        </row>
        <row r="5728">
          <cell r="B5728" t="str">
            <v>25-002-02-71</v>
          </cell>
          <cell r="C5728" t="str">
            <v>MIKRO MESH, 2-LOCH,0,6MM</v>
          </cell>
          <cell r="D5728" t="str">
            <v>MICRO MESH, 2-HOLE.0.6MM</v>
          </cell>
        </row>
        <row r="5729">
          <cell r="B5729" t="str">
            <v>25-002-02-89</v>
          </cell>
          <cell r="C5729" t="str">
            <v>Template  für 25-002-02</v>
          </cell>
          <cell r="D5729" t="str">
            <v>Template  for 25-002-02</v>
          </cell>
        </row>
        <row r="5730">
          <cell r="B5730" t="str">
            <v>25-002-13-09</v>
          </cell>
          <cell r="C5730" t="str">
            <v>MIKRO MESH,13-LOCH,0,6MM</v>
          </cell>
          <cell r="D5730" t="str">
            <v>MICRO MESH,13-HOLE,0.6MM</v>
          </cell>
        </row>
        <row r="5731">
          <cell r="B5731" t="str">
            <v>25-002-13-71</v>
          </cell>
          <cell r="C5731" t="str">
            <v>MIKRO MESH,13-LOCH,0,6MM</v>
          </cell>
          <cell r="D5731" t="str">
            <v>MICRO MESH,13-HOLE,0.6MM</v>
          </cell>
        </row>
        <row r="5732">
          <cell r="B5732" t="str">
            <v>25-003-02-09</v>
          </cell>
          <cell r="C5732" t="str">
            <v>MIKRO MESH, 15X2-LOCH,0,3MM</v>
          </cell>
          <cell r="D5732" t="str">
            <v>MICRO MESH, 15X2-HOLE,0.3MM</v>
          </cell>
        </row>
        <row r="5733">
          <cell r="B5733" t="str">
            <v>25-003-02-71</v>
          </cell>
          <cell r="C5733" t="str">
            <v>MIKRO MESH, 15X2-LOCH,0,3MM</v>
          </cell>
          <cell r="D5733" t="str">
            <v>MICRO MESH, 15X2-HOLE,0.3MM</v>
          </cell>
        </row>
        <row r="5734">
          <cell r="B5734" t="str">
            <v>25-003-10-09</v>
          </cell>
          <cell r="C5734" t="str">
            <v>MIKRO MESH,12-LOCH,0,3MM</v>
          </cell>
          <cell r="D5734" t="str">
            <v>MICRO MESH,12-HOLE,0.3MM</v>
          </cell>
        </row>
        <row r="5735">
          <cell r="B5735" t="str">
            <v>25-003-10-71</v>
          </cell>
          <cell r="C5735" t="str">
            <v>Mikro Mesh, 84x53MM,  0,3MM, steril</v>
          </cell>
          <cell r="D5735" t="str">
            <v>Micro Mesh, 84x53MM,  0,3MM, sterile</v>
          </cell>
        </row>
        <row r="5736">
          <cell r="B5736" t="str">
            <v>25-003-11-09</v>
          </cell>
          <cell r="C5736" t="str">
            <v>LP NEURO MESH, 85X50MM  0.3MM</v>
          </cell>
          <cell r="D5736" t="str">
            <v>LP NEURO MESH, SMALL GRID 85X50MM  0.3MM</v>
          </cell>
        </row>
        <row r="5737">
          <cell r="B5737" t="str">
            <v>25-003-11-71</v>
          </cell>
          <cell r="C5737" t="str">
            <v>LP NEURO MESH, 85X50MM  0.3MM, STERIL</v>
          </cell>
          <cell r="D5737" t="str">
            <v>LP NEURO MESH,SMALL GR.85X50MM 0.3,STER</v>
          </cell>
        </row>
        <row r="5738">
          <cell r="B5738" t="str">
            <v>25-004-02-09</v>
          </cell>
          <cell r="C5738" t="str">
            <v>MIKRO MESH, 15X2-LOCH,0,6MM</v>
          </cell>
          <cell r="D5738" t="str">
            <v>MICRO MESH, 15X2-HOLE,0.6MM</v>
          </cell>
        </row>
        <row r="5739">
          <cell r="B5739" t="str">
            <v>25-004-02-71</v>
          </cell>
          <cell r="C5739" t="str">
            <v>MIKRO MESH, 15X2-LOCH,0,6MM</v>
          </cell>
          <cell r="D5739" t="str">
            <v>MICRO MESH, 15X2-HOLE,0.6MM</v>
          </cell>
        </row>
        <row r="5740">
          <cell r="B5740" t="str">
            <v>25-004-25-09</v>
          </cell>
          <cell r="C5740" t="str">
            <v>MIKRO MESH 160X135MM, 0,6MM</v>
          </cell>
          <cell r="D5740" t="str">
            <v>MICRO MESH 160X135MM, 0.6MM</v>
          </cell>
        </row>
        <row r="5741">
          <cell r="B5741" t="str">
            <v>25-005-10-09</v>
          </cell>
          <cell r="C5741" t="str">
            <v>MIKRO MESH,12-LOCH, 0,6MM</v>
          </cell>
          <cell r="D5741" t="str">
            <v>MICRO MESH,12-HOLES, 0.6MM</v>
          </cell>
        </row>
        <row r="5742">
          <cell r="B5742" t="str">
            <v>25-005-10-71</v>
          </cell>
          <cell r="C5742" t="str">
            <v>MIKRO MESH,12-LOCH, 0,6MM</v>
          </cell>
          <cell r="D5742" t="str">
            <v>MICRO MESH,12-HOLES, 0.6MM</v>
          </cell>
        </row>
        <row r="5743">
          <cell r="B5743" t="str">
            <v>25-005-12-09</v>
          </cell>
          <cell r="C5743" t="str">
            <v>MIKRO MESH,10-LOCH,0,3MM</v>
          </cell>
          <cell r="D5743" t="str">
            <v>MICRO MESH,10-HOLES, 0.3MM</v>
          </cell>
        </row>
        <row r="5744">
          <cell r="B5744" t="str">
            <v>25-005-12-71</v>
          </cell>
          <cell r="C5744" t="str">
            <v>MIKRO MESH,10-LOCH,0,3MM</v>
          </cell>
          <cell r="D5744" t="str">
            <v>MICRO MESH,10-HOLES, 0.3MM</v>
          </cell>
        </row>
        <row r="5745">
          <cell r="B5745" t="str">
            <v>25-006-02-09</v>
          </cell>
          <cell r="C5745" t="str">
            <v>TITAN MESH, 14X2-LOCH</v>
          </cell>
          <cell r="D5745" t="str">
            <v>MINI MESH, 14X2-HOLES,0.6 MM 1PC</v>
          </cell>
        </row>
        <row r="5746">
          <cell r="B5746" t="str">
            <v>25-006-02-71</v>
          </cell>
          <cell r="C5746" t="str">
            <v>TITAN MESH, 14X2-LOCH</v>
          </cell>
          <cell r="D5746" t="str">
            <v>MINI MESH, 14X2-HOLES,0.6 MM 1PC</v>
          </cell>
        </row>
        <row r="5747">
          <cell r="B5747" t="str">
            <v>25-006-09-09</v>
          </cell>
          <cell r="C5747" t="str">
            <v>MINI MESH, 14X9-LOCH,0,6MM</v>
          </cell>
          <cell r="D5747" t="str">
            <v>MINI MESH, 14X9-HOLES,0.6MM</v>
          </cell>
        </row>
        <row r="5748">
          <cell r="B5748" t="str">
            <v>25-006-09-24</v>
          </cell>
          <cell r="C5748" t="str">
            <v>MINI MESH, 14X14-LOCH, 0,6MM</v>
          </cell>
          <cell r="D5748" t="str">
            <v>MINI MESH, 14X14-HOLES, 0.6MM</v>
          </cell>
        </row>
        <row r="5749">
          <cell r="B5749" t="str">
            <v>25-006-09-71</v>
          </cell>
          <cell r="C5749" t="str">
            <v>MINI MESH, 14X9-LOCH,0,6MM</v>
          </cell>
          <cell r="D5749" t="str">
            <v>MINI MESH, 14X9-HOLES,0.6MM</v>
          </cell>
        </row>
        <row r="5750">
          <cell r="B5750" t="str">
            <v>25-006-12-09</v>
          </cell>
          <cell r="C5750" t="str">
            <v>MIKRO MESH,10-LOCH,0,6MM</v>
          </cell>
          <cell r="D5750" t="str">
            <v>MICRO MESH, 10-HOLES,  0.6MM</v>
          </cell>
        </row>
        <row r="5751">
          <cell r="B5751" t="str">
            <v>25-006-12-71</v>
          </cell>
          <cell r="C5751" t="str">
            <v>MIKRO MESH,10-LOCH,0,6MM</v>
          </cell>
          <cell r="D5751" t="str">
            <v>MICRO MESH, 10-HOLES,  0.6MM</v>
          </cell>
        </row>
        <row r="5752">
          <cell r="B5752" t="str">
            <v>25-006-44-09</v>
          </cell>
          <cell r="C5752" t="str">
            <v>CHIARI PLATTE, KLEIN, 0,6MM, 44X28 MM</v>
          </cell>
          <cell r="D5752" t="str">
            <v>CHIARI PLATE, SMALL, 0.6MM, 44X28 MM</v>
          </cell>
        </row>
        <row r="5753">
          <cell r="B5753" t="str">
            <v>25-006-45-09</v>
          </cell>
          <cell r="C5753" t="str">
            <v>CHIARI PLATTE, GROSS, 0,6MM,62X38MM</v>
          </cell>
          <cell r="D5753" t="str">
            <v>CHIARI PLATE, LARGE, 0.6MM, 62X38MM</v>
          </cell>
        </row>
        <row r="5754">
          <cell r="B5754" t="str">
            <v>25-007-01-09</v>
          </cell>
          <cell r="C5754" t="str">
            <v>MESH FUER BIFRONTALEN ZUGANG</v>
          </cell>
          <cell r="D5754" t="str">
            <v>MESH FOR BIFRONTAL APPROACH</v>
          </cell>
        </row>
        <row r="5755">
          <cell r="B5755" t="str">
            <v>25-007-01-71</v>
          </cell>
          <cell r="C5755" t="str">
            <v>MESH FUER BIFRONTALEN ZUGANG  STERIL</v>
          </cell>
          <cell r="D5755" t="str">
            <v>MESH FOR BIFRONTAL APPROACH, STERILE</v>
          </cell>
        </row>
        <row r="5756">
          <cell r="B5756" t="str">
            <v>25-007-02-09</v>
          </cell>
          <cell r="C5756" t="str">
            <v>MESH FUER PTERIONALEN ZUGANG,  LINKS</v>
          </cell>
          <cell r="D5756" t="str">
            <v>MESH FOR PTERIONAL APPROACH, LEFT</v>
          </cell>
        </row>
        <row r="5757">
          <cell r="B5757" t="str">
            <v>25-007-02-71</v>
          </cell>
          <cell r="C5757" t="str">
            <v>MESH FUER PTERIONALEN ZUGANG,  LINKS, ST.</v>
          </cell>
          <cell r="D5757" t="str">
            <v>MESH F. PTERIONAL APPROACH, LEFT, STER.</v>
          </cell>
        </row>
        <row r="5758">
          <cell r="B5758" t="str">
            <v>25-007-03-09</v>
          </cell>
          <cell r="C5758" t="str">
            <v>MESH FUER PTERIONALEN ZUGANG,  RECHTS</v>
          </cell>
          <cell r="D5758" t="str">
            <v>MESH FOR PTERIONAL APPROACH, RIGHT</v>
          </cell>
        </row>
        <row r="5759">
          <cell r="B5759" t="str">
            <v>25-007-03-71</v>
          </cell>
          <cell r="C5759" t="str">
            <v>MESH F. PTERIONALEN ZUGANG,  RECHTS, ST.</v>
          </cell>
          <cell r="D5759" t="str">
            <v>MESH F. PTERIONAL APPROACH, RIGHT, STER.</v>
          </cell>
        </row>
        <row r="5760">
          <cell r="B5760" t="str">
            <v>25-007-04-09</v>
          </cell>
          <cell r="C5760" t="str">
            <v>MESH FUER PARIETALEN ZUGANG,  LINKS</v>
          </cell>
          <cell r="D5760" t="str">
            <v>MESH FOR PARIETAL  APPROACH, LEFT</v>
          </cell>
        </row>
        <row r="5761">
          <cell r="B5761" t="str">
            <v>25-007-04-71</v>
          </cell>
          <cell r="C5761" t="str">
            <v>MESH FUER PARIETALEN ZUGANG,  LINKS, ST.</v>
          </cell>
          <cell r="D5761" t="str">
            <v>MESH F. PARIETAL  APPROACH, LEFT, STER.</v>
          </cell>
        </row>
        <row r="5762">
          <cell r="B5762" t="str">
            <v>25-007-05-09</v>
          </cell>
          <cell r="C5762" t="str">
            <v>MESH FUER PARIETALEN ZUGANG,  RECHTS</v>
          </cell>
          <cell r="D5762" t="str">
            <v>MESH FOR PARIETAL  APPROACH, RIGHT</v>
          </cell>
        </row>
        <row r="5763">
          <cell r="B5763" t="str">
            <v>25-007-05-71</v>
          </cell>
          <cell r="C5763" t="str">
            <v>MESH FUER PARIETALEN ZUGANG,  RECHTS, ST.</v>
          </cell>
          <cell r="D5763" t="str">
            <v>MESH FOR PARIETAL  APPROACH, RIGHT, ST.</v>
          </cell>
        </row>
        <row r="5764">
          <cell r="B5764" t="str">
            <v>25-007-06-09</v>
          </cell>
          <cell r="C5764" t="str">
            <v>MESH F. ANTERIOREN PARASAGITTALEN ZUGANG</v>
          </cell>
          <cell r="D5764" t="str">
            <v>MESH F. ANTERIOR  PARASAGITTAL APPROACH</v>
          </cell>
        </row>
        <row r="5765">
          <cell r="B5765" t="str">
            <v>25-007-06-71</v>
          </cell>
          <cell r="C5765" t="str">
            <v>MESH F. ANTER. PARASAGITTALEN ZUGANG  ST.</v>
          </cell>
          <cell r="D5765" t="str">
            <v>MESH F. ANTER. PARASAGITTAL APPROACH, ST</v>
          </cell>
        </row>
        <row r="5766">
          <cell r="B5766" t="str">
            <v>25-007-07-09</v>
          </cell>
          <cell r="C5766" t="str">
            <v>MESH FUER POSTER. PARASAGITTALEN ZUGANG</v>
          </cell>
          <cell r="D5766" t="str">
            <v>MESH FOR POSTERIOR PARASAGITT. APPROACH</v>
          </cell>
        </row>
        <row r="5767">
          <cell r="B5767" t="str">
            <v>25-007-07-71</v>
          </cell>
          <cell r="C5767" t="str">
            <v>MESH F. POST. PARASAGITTALEN ZUGANG  ST.</v>
          </cell>
          <cell r="D5767" t="str">
            <v>MESH F. POST. PARASAGITT. APPROACH, ST.</v>
          </cell>
        </row>
        <row r="5768">
          <cell r="B5768" t="str">
            <v>25-007-08-09</v>
          </cell>
          <cell r="C5768" t="str">
            <v>MESH FUER SUBOCCIPITALEN ZUGANG,  LINKS</v>
          </cell>
          <cell r="D5768" t="str">
            <v>MESH FOR SUBOCCIPITAL APPROACH, LEFT</v>
          </cell>
        </row>
        <row r="5769">
          <cell r="B5769" t="str">
            <v>25-007-08-71</v>
          </cell>
          <cell r="C5769" t="str">
            <v>MESH F. SUBOCCIPITALEN ZUGANG,  LI., ST.</v>
          </cell>
          <cell r="D5769" t="str">
            <v>MESH F. SUBOCCIPITAL APPROACH, LEFT, ST.</v>
          </cell>
        </row>
        <row r="5770">
          <cell r="B5770" t="str">
            <v>25-007-09-09</v>
          </cell>
          <cell r="C5770" t="str">
            <v>MESH FUER SUBOCCIPITALEN ZUGANG,  RECHTS</v>
          </cell>
          <cell r="D5770" t="str">
            <v>MESH FOR SUBOCCIPITAL APPROACH, RIGHT</v>
          </cell>
        </row>
        <row r="5771">
          <cell r="B5771" t="str">
            <v>25-007-09-71</v>
          </cell>
          <cell r="C5771" t="str">
            <v>MESH F. SUBOCCIPITALEN ZUGANG,  RE., ST.</v>
          </cell>
          <cell r="D5771" t="str">
            <v>MESH F. SUBOCCIPITAL APPROACH,RIGHT, ST.</v>
          </cell>
        </row>
        <row r="5772">
          <cell r="B5772" t="str">
            <v>25-007-10-09</v>
          </cell>
          <cell r="C5772" t="str">
            <v>MESH F. FRONTOTEMPOROPAR. ZUGANG,  LI</v>
          </cell>
          <cell r="D5772" t="str">
            <v>MESH F. FRONTOTEMPOROPARIETAL APPR. L.</v>
          </cell>
        </row>
        <row r="5773">
          <cell r="B5773" t="str">
            <v>25-007-10-71</v>
          </cell>
          <cell r="C5773" t="str">
            <v>MESH F. FRONTOTEMPOROPAR. ZUGANG,  LI, ST</v>
          </cell>
          <cell r="D5773" t="str">
            <v>MESH F. FRONTOTEMPOROPARIETAL APPR.L.ST.</v>
          </cell>
        </row>
        <row r="5774">
          <cell r="B5774" t="str">
            <v>25-007-11-09</v>
          </cell>
          <cell r="C5774" t="str">
            <v>MESH F. FRONTOTEMPOROPAR. ZUGANG,  RE</v>
          </cell>
          <cell r="D5774" t="str">
            <v>MESH F. FRONTOTEMPOROPARIETAL APPR. R.</v>
          </cell>
        </row>
        <row r="5775">
          <cell r="B5775" t="str">
            <v>25-007-11-71</v>
          </cell>
          <cell r="C5775" t="str">
            <v>MESH F. FRONTOTEMPOROPAR. ZUGANG,  RE, ST</v>
          </cell>
          <cell r="D5775" t="str">
            <v>MESH F. FRONTOTEMPOROPARIETAL APPR.R.ST.</v>
          </cell>
        </row>
        <row r="5776">
          <cell r="B5776" t="str">
            <v>25-007-13-09</v>
          </cell>
          <cell r="C5776" t="str">
            <v>MESH FRONTOTEMPOROPARIETAL LINKS XL</v>
          </cell>
          <cell r="D5776" t="str">
            <v>MESH FRONTOROTEMPOROPARIETAL LEFT XL</v>
          </cell>
        </row>
        <row r="5777">
          <cell r="B5777" t="str">
            <v>25-007-13-71</v>
          </cell>
          <cell r="C5777" t="str">
            <v>MESH FRONTOTEMPOROPARIETAL LINKS XL STE</v>
          </cell>
          <cell r="D5777" t="str">
            <v>MESH FRONTOROTEMPOROPARIETAL LEFT XL ST</v>
          </cell>
        </row>
        <row r="5778">
          <cell r="B5778" t="str">
            <v>25-007-14-71</v>
          </cell>
          <cell r="C5778" t="str">
            <v>MESH FRONTOTEMPOROPARIETAL RECHTS XL STE</v>
          </cell>
          <cell r="D5778" t="str">
            <v>MESH FRONTOROTEMPOROPARIETAL RIGHT XL ST</v>
          </cell>
        </row>
        <row r="5779">
          <cell r="B5779" t="str">
            <v>25-007-51-09</v>
          </cell>
          <cell r="C5779" t="str">
            <v>MESH SIZER F. BIFRONTALEN ZUGANG</v>
          </cell>
          <cell r="D5779" t="str">
            <v>MESH SIZER FOR BIFRONTAL APPROACH</v>
          </cell>
        </row>
        <row r="5780">
          <cell r="B5780" t="str">
            <v>25-007-52-09</v>
          </cell>
          <cell r="C5780" t="str">
            <v>MESH SIZER F. PTERIONALEN ZUGANG  L</v>
          </cell>
          <cell r="D5780" t="str">
            <v>MESH SIZER FOR PTERIONAL APPROACH, L.</v>
          </cell>
        </row>
        <row r="5781">
          <cell r="B5781" t="str">
            <v>25-007-53-09</v>
          </cell>
          <cell r="C5781" t="str">
            <v>MESH SIZER F. PTERIONALEN ZUGANG  R</v>
          </cell>
          <cell r="D5781" t="str">
            <v>MESH SIZER FOR PTERIONAL APPROACH, R.</v>
          </cell>
        </row>
        <row r="5782">
          <cell r="B5782" t="str">
            <v>25-007-54-09</v>
          </cell>
          <cell r="C5782" t="str">
            <v>MESH SIZER F. PARIETALEN ZUGANG  L.</v>
          </cell>
          <cell r="D5782" t="str">
            <v>MESH SIZER FOR PARIETAL  APPROACH, L.</v>
          </cell>
        </row>
        <row r="5783">
          <cell r="B5783" t="str">
            <v>25-007-55-09</v>
          </cell>
          <cell r="C5783" t="str">
            <v>MESH SIZER F. PARIETALEN ZUGANG  R.</v>
          </cell>
          <cell r="D5783" t="str">
            <v>MESH SIZER FOR PARIETAL  APPROACH, R.</v>
          </cell>
        </row>
        <row r="5784">
          <cell r="B5784" t="str">
            <v>25-007-56-09</v>
          </cell>
          <cell r="C5784" t="str">
            <v>MESH SIZER F. ANT. PARASAG.  ZUGANG</v>
          </cell>
          <cell r="D5784" t="str">
            <v>MESH SIZER F. ANT. PARASAGITTAL APPR</v>
          </cell>
        </row>
        <row r="5785">
          <cell r="B5785" t="str">
            <v>25-007-57-09</v>
          </cell>
          <cell r="C5785" t="str">
            <v>MESH SIZER F. POST. PARASAG  ZUGANG</v>
          </cell>
          <cell r="D5785" t="str">
            <v>MESH SIZER F. POST. PARASAGITTAL APPR</v>
          </cell>
        </row>
        <row r="5786">
          <cell r="B5786" t="str">
            <v>25-007-58-09</v>
          </cell>
          <cell r="C5786" t="str">
            <v>MESH SIZER F. SUBOCCIP.  ZUGANG  L.</v>
          </cell>
          <cell r="D5786" t="str">
            <v>MESH SIZER FOR SUBOCCIPITAL APPR. L.</v>
          </cell>
        </row>
        <row r="5787">
          <cell r="B5787" t="str">
            <v>25-007-59-09</v>
          </cell>
          <cell r="C5787" t="str">
            <v>MESH SIZER F. SUBOCCIP.  ZUGANG  R.</v>
          </cell>
          <cell r="D5787" t="str">
            <v>MESH SIZER FOR SUBOCCIPITAL APPR. R.</v>
          </cell>
        </row>
        <row r="5788">
          <cell r="B5788" t="str">
            <v>25-007-60-09</v>
          </cell>
          <cell r="C5788" t="str">
            <v>MESH SIZER F FTT PARIENT ZUGANG  L</v>
          </cell>
          <cell r="D5788" t="str">
            <v>MESH SIZER F. FRONTOTEMP PAR APPR. L.</v>
          </cell>
        </row>
        <row r="5789">
          <cell r="B5789" t="str">
            <v>25-007-61-09</v>
          </cell>
          <cell r="C5789" t="str">
            <v>MESH SIZER F FTT PARIENT ZUGANG  R</v>
          </cell>
          <cell r="D5789" t="str">
            <v>MESH SIZER F. FRONTOTEMP PAR APPR. R</v>
          </cell>
        </row>
        <row r="5790">
          <cell r="B5790" t="str">
            <v>25-007-80-09</v>
          </cell>
          <cell r="C5790" t="str">
            <v>3D MESH 80 X 80 MM, 0,3 MM</v>
          </cell>
          <cell r="D5790" t="str">
            <v>3D MESH 80 X 80 MM, 0,3 MM</v>
          </cell>
        </row>
        <row r="5791">
          <cell r="B5791" t="str">
            <v>25-007-80-71</v>
          </cell>
          <cell r="C5791" t="str">
            <v>3D MESH 80 X 80 MM, 0,3 MM</v>
          </cell>
          <cell r="D5791" t="str">
            <v>3D MESH 80 X 80 MM, 0,3 MM</v>
          </cell>
        </row>
        <row r="5792">
          <cell r="B5792" t="str">
            <v>25-008-12-09</v>
          </cell>
          <cell r="C5792" t="str">
            <v>3D MESH 120 X 120 MM, 0,6 MM</v>
          </cell>
          <cell r="D5792" t="str">
            <v>3D MESH 120 X 120 MM, 0,6 MM</v>
          </cell>
        </row>
        <row r="5793">
          <cell r="B5793" t="str">
            <v>25-008-20-09</v>
          </cell>
          <cell r="C5793" t="str">
            <v>3D MESH 200 X 200 MM, 0,6 MM</v>
          </cell>
          <cell r="D5793" t="str">
            <v>3D MESH 200 X 200 MM, 0,6 MM</v>
          </cell>
        </row>
        <row r="5794">
          <cell r="B5794" t="str">
            <v>25-008-80-09</v>
          </cell>
          <cell r="C5794" t="str">
            <v>3D MESH 80 X 80 MM, 0,6 MM</v>
          </cell>
          <cell r="D5794" t="str">
            <v>3D MESH 80 X 80 MM, 0,6 MM</v>
          </cell>
        </row>
        <row r="5795">
          <cell r="B5795" t="str">
            <v>25-008-80-71</v>
          </cell>
          <cell r="C5795" t="str">
            <v>3D MESH 80 X 80 MM, 0,6 MM</v>
          </cell>
          <cell r="D5795" t="str">
            <v>3D MESH 80 X 80 MM, 0,6 MM</v>
          </cell>
        </row>
        <row r="5796">
          <cell r="B5796" t="str">
            <v>25-008-85-09</v>
          </cell>
          <cell r="C5796" t="str">
            <v>KASSAM MESH, LINKS, 0,6MM, 68X62MM</v>
          </cell>
          <cell r="D5796" t="str">
            <v>KASSAM MESH,LEFT  0.6MM, 68X62MM</v>
          </cell>
        </row>
        <row r="5797">
          <cell r="B5797" t="str">
            <v>25-008-90-09</v>
          </cell>
          <cell r="C5797" t="str">
            <v>KASSAM MESH, RECHTS, 0,6MM, 68X62MM</v>
          </cell>
          <cell r="D5797" t="str">
            <v>KASSAM MESH, RIGHT, 0.6M, 68X62MM</v>
          </cell>
        </row>
        <row r="5798">
          <cell r="B5798" t="str">
            <v>25-010-03-09</v>
          </cell>
          <cell r="C5798" t="str">
            <v>MIKROPL.,  1,0, 3-LOCH, 0,6MM</v>
          </cell>
          <cell r="D5798" t="str">
            <v>MICRO PL., 1.0, 3-HOLES,  0.6MM</v>
          </cell>
        </row>
        <row r="5799">
          <cell r="B5799" t="str">
            <v>25-010-03-71</v>
          </cell>
          <cell r="C5799" t="str">
            <v>MIKROPL.,  1,0, 3-LOCH, 0,6MM</v>
          </cell>
          <cell r="D5799" t="str">
            <v>MICRO PL., 1.0, 3-HOLES,  0.6MM</v>
          </cell>
        </row>
        <row r="5800">
          <cell r="B5800" t="str">
            <v>25-010-04-09</v>
          </cell>
          <cell r="C5800" t="str">
            <v>MIKROPL.,  1,0, 4-LOCH, 0,6MM</v>
          </cell>
          <cell r="D5800" t="str">
            <v>MICRO PL., 1.0, 4-HOLES,  0.6MM</v>
          </cell>
        </row>
        <row r="5801">
          <cell r="B5801" t="str">
            <v>25-010-04-71</v>
          </cell>
          <cell r="C5801" t="str">
            <v>MIKROPL.,  1,0, 4-LOCH, 0,6MM</v>
          </cell>
          <cell r="D5801" t="str">
            <v>MICRO PL., 1.0, 4-HOLES,  0.6MM</v>
          </cell>
        </row>
        <row r="5802">
          <cell r="B5802" t="str">
            <v>25-010-06-09</v>
          </cell>
          <cell r="C5802" t="str">
            <v>MIKROPL.,  1,0, 6-LOCH, 0,6MM</v>
          </cell>
          <cell r="D5802" t="str">
            <v>MICRO PL., 1.0, 6-HOLES,  0.6MM</v>
          </cell>
        </row>
        <row r="5803">
          <cell r="B5803" t="str">
            <v>25-010-06-71</v>
          </cell>
          <cell r="C5803" t="str">
            <v>MIKROPL.,  1,0, 6-LOCH, 0,6MM</v>
          </cell>
          <cell r="D5803" t="str">
            <v>MICRO PL., 1.0, 6-HOLES,  0.6MM</v>
          </cell>
        </row>
        <row r="5804">
          <cell r="B5804" t="str">
            <v>25-010-08-09</v>
          </cell>
          <cell r="C5804" t="str">
            <v>MIKROPL.,  1,0, 8-LOCH, 0,6MM</v>
          </cell>
          <cell r="D5804" t="str">
            <v>MICRO PL., 1.0, 8-HOLES,  0.6MM</v>
          </cell>
        </row>
        <row r="5805">
          <cell r="B5805" t="str">
            <v>25-010-08-71</v>
          </cell>
          <cell r="C5805" t="str">
            <v>MIKROPL.,  1,0, 8-LOCH, 0,6MM</v>
          </cell>
          <cell r="D5805" t="str">
            <v>MICRO PL., 1.0, 8-HOLES,  0.6MM</v>
          </cell>
        </row>
        <row r="5806">
          <cell r="B5806" t="str">
            <v>25-010-24-09</v>
          </cell>
          <cell r="C5806" t="str">
            <v>MIKROPL.,  1,0,24-LOCH, 0,6MM</v>
          </cell>
          <cell r="D5806" t="str">
            <v>MICRO PL., 1.0,24-HOLES, 0.6MM</v>
          </cell>
        </row>
        <row r="5807">
          <cell r="B5807" t="str">
            <v>25-010-24-71</v>
          </cell>
          <cell r="C5807" t="str">
            <v>MIKROPL.,  1,0,24-LOCH, 0,6MM</v>
          </cell>
          <cell r="D5807" t="str">
            <v>MICRO PL., 1.0,24-HOLES, 0.6MM</v>
          </cell>
        </row>
        <row r="5808">
          <cell r="B5808" t="str">
            <v>25-011-04-09</v>
          </cell>
          <cell r="C5808" t="str">
            <v>MIKROPL.,  1,0, 4-LOCH, 0,6MM, RECHTECKIG</v>
          </cell>
          <cell r="D5808" t="str">
            <v>MICRO PL., 1.0,4-HOLES,0.6MM,RECTANGULAR</v>
          </cell>
        </row>
        <row r="5809">
          <cell r="B5809" t="str">
            <v>25-011-04-71</v>
          </cell>
          <cell r="C5809" t="str">
            <v>MIKROPL.,  1,0, 4-LOCH, 0,6MM, RECHTECKIG</v>
          </cell>
          <cell r="D5809" t="str">
            <v>MICRO PL., 1.0,4-HOLES,0.6MM,RECTANGULAR</v>
          </cell>
        </row>
        <row r="5810">
          <cell r="B5810" t="str">
            <v>25-011-06-09</v>
          </cell>
          <cell r="C5810" t="str">
            <v>MIKROPL.,  1,0, 6-LOCH, 0,6MM, RECHTECKIG</v>
          </cell>
          <cell r="D5810" t="str">
            <v>MICRO PL., 1.0,6-HOLES,0.6MM,RECTANGULAR</v>
          </cell>
        </row>
        <row r="5811">
          <cell r="B5811" t="str">
            <v>25-011-06-71</v>
          </cell>
          <cell r="C5811" t="str">
            <v>MIKROPL.,  1,0, 6-LOCH, 0,6MM, RECHTECKIG</v>
          </cell>
          <cell r="D5811" t="str">
            <v>MICRO PL., 1.0,6-HOLES,0.6MM,RECTANGULAR</v>
          </cell>
        </row>
        <row r="5812">
          <cell r="B5812" t="str">
            <v>25-011-08-09</v>
          </cell>
          <cell r="C5812" t="str">
            <v>MIKROPL.,  1,0, 8-LOCH, 0,6MM, RECHTECKIG</v>
          </cell>
          <cell r="D5812" t="str">
            <v>MICRO PL., 1.0,8-HOLES,0.6MM,RECTANGULAR</v>
          </cell>
        </row>
        <row r="5813">
          <cell r="B5813" t="str">
            <v>25-011-08-71</v>
          </cell>
          <cell r="C5813" t="str">
            <v>MIKROPL.,  1,0, 8-LOCH, 0,6MM, RECHTECKIG</v>
          </cell>
          <cell r="D5813" t="str">
            <v>MICRO PL., 1.0,8-HOLES,0.6MM,RECTANGULAR</v>
          </cell>
        </row>
        <row r="5814">
          <cell r="B5814" t="str">
            <v>25-011-16-09</v>
          </cell>
          <cell r="C5814" t="str">
            <v>MIKROPL.,  1,0,16-LOCH, 0,6MM, RECHTECKIG</v>
          </cell>
          <cell r="D5814" t="str">
            <v>MICRO PL.,1.0,16-HOLES,0.6MM,RECTANGULAR</v>
          </cell>
        </row>
        <row r="5815">
          <cell r="B5815" t="str">
            <v>25-011-16-71</v>
          </cell>
          <cell r="C5815" t="str">
            <v>MIKROPL.,  1,0,16-LOCH, 0,6MM, RECHTECKIG</v>
          </cell>
          <cell r="D5815" t="str">
            <v>MICRO PL.,1.0,16-HOLES,0.6MM,RECTANGULAR</v>
          </cell>
        </row>
        <row r="5816">
          <cell r="B5816" t="str">
            <v>25-011-24-09</v>
          </cell>
          <cell r="C5816" t="str">
            <v>MIKROPL.,  1,0,24-LOCH, 0,6MM, RECHTECKIG</v>
          </cell>
          <cell r="D5816" t="str">
            <v>MICRO PL.,1.0,24-HOLES,0.6MM,RECTANGULAR</v>
          </cell>
        </row>
        <row r="5817">
          <cell r="B5817" t="str">
            <v>25-011-24-71</v>
          </cell>
          <cell r="C5817" t="str">
            <v>MIKROPL.,  1,0,24-LOCH, 0,6MM, RECHTECKIG</v>
          </cell>
          <cell r="D5817" t="str">
            <v>MICRO PL.,1.0,24-HOLES,0.6MM,RECTANGULAR</v>
          </cell>
        </row>
        <row r="5818">
          <cell r="B5818" t="str">
            <v>25-012-01-09</v>
          </cell>
          <cell r="C5818" t="str">
            <v>KASSAM MESH, OVAL, 0,3 MM, 53X43MM</v>
          </cell>
          <cell r="D5818" t="str">
            <v>KASSAM MESH, OVAL, 0.3MM, 53X43MM</v>
          </cell>
        </row>
        <row r="5819">
          <cell r="B5819" t="str">
            <v>25-012-02-09</v>
          </cell>
          <cell r="C5819" t="str">
            <v>KASSAM MESH, RUND, 0,3MM, 60X53MM</v>
          </cell>
          <cell r="D5819" t="str">
            <v>KASSAM MESH, ROUND, 0.3MM, 60X53MM</v>
          </cell>
        </row>
        <row r="5820">
          <cell r="B5820" t="str">
            <v>25-015-03-09</v>
          </cell>
          <cell r="C5820" t="str">
            <v>MIKROPLATTE  3-LOCH 0,6MM</v>
          </cell>
          <cell r="D5820" t="str">
            <v>MICROPLATE 3-HOLES 0.6MM</v>
          </cell>
        </row>
        <row r="5821">
          <cell r="B5821" t="str">
            <v>25-015-03-71</v>
          </cell>
          <cell r="C5821" t="str">
            <v>MIKROPLATTE  3-LOCH 0,6MM</v>
          </cell>
          <cell r="D5821" t="str">
            <v>MICROPLATE 3-HOLES 0.6MM</v>
          </cell>
        </row>
        <row r="5822">
          <cell r="B5822" t="str">
            <v>25-015-04-09</v>
          </cell>
          <cell r="C5822" t="str">
            <v>MIKROPLATTE 2X2LOCH  0,6MM</v>
          </cell>
          <cell r="D5822" t="str">
            <v>MICROPLATE 2X2HOLES  0.6MM</v>
          </cell>
        </row>
        <row r="5823">
          <cell r="B5823" t="str">
            <v>25-015-04-71</v>
          </cell>
          <cell r="C5823" t="str">
            <v>MIKROPLATTE 2X2LOCH  0,6MM</v>
          </cell>
          <cell r="D5823" t="str">
            <v>MICROPLATE 2X2HOLES  0.6MM</v>
          </cell>
        </row>
        <row r="5824">
          <cell r="B5824" t="str">
            <v>25-015-05-09</v>
          </cell>
          <cell r="C5824" t="str">
            <v>LP NEURO PLATTE, 2X2LOCH</v>
          </cell>
          <cell r="D5824" t="str">
            <v>LP NEURO PLATE, SQUARE</v>
          </cell>
        </row>
        <row r="5825">
          <cell r="B5825" t="str">
            <v>25-015-05-71</v>
          </cell>
          <cell r="C5825" t="str">
            <v>LP NEURO PLATTE, 2X2LOCH,  STERIL</v>
          </cell>
          <cell r="D5825" t="str">
            <v>LP NEURO PLATE, 2X2-HOLE  SQUARE,  STER</v>
          </cell>
        </row>
        <row r="5826">
          <cell r="B5826" t="str">
            <v>25-015-06-09</v>
          </cell>
          <cell r="C5826" t="str">
            <v>MIKROPLATTE 3X2LOCH  0,6MM</v>
          </cell>
          <cell r="D5826" t="str">
            <v>MICROPLATE 3X2HOLES  0.6MM</v>
          </cell>
        </row>
        <row r="5827">
          <cell r="B5827" t="str">
            <v>25-015-06-71</v>
          </cell>
          <cell r="C5827" t="str">
            <v>MIKROPLATTE 3X2LOCH  0,6MM</v>
          </cell>
          <cell r="D5827" t="str">
            <v>MICROPLATE 3X2HOLES  0.6MM</v>
          </cell>
        </row>
        <row r="5828">
          <cell r="B5828" t="str">
            <v>25-015-07-09</v>
          </cell>
          <cell r="C5828" t="str">
            <v>LP NEURO PLATTE, 3X2LOCH</v>
          </cell>
          <cell r="D5828" t="str">
            <v>LP NEURO PLATE, 3X2-HOLE  SQUARE SEGMENTS</v>
          </cell>
        </row>
        <row r="5829">
          <cell r="B5829" t="str">
            <v>25-015-07-71</v>
          </cell>
          <cell r="C5829" t="str">
            <v>LP NEURO PLATTE, 3X2LOCH,  STERIL</v>
          </cell>
          <cell r="D5829" t="str">
            <v>LP NEURO PLATE, 3X2-HOLE  SQUARE,  STER</v>
          </cell>
        </row>
        <row r="5830">
          <cell r="B5830" t="str">
            <v>25-015-08-09</v>
          </cell>
          <cell r="C5830" t="str">
            <v>MIKROPLATTE 4X2LOCH  0,6MM</v>
          </cell>
          <cell r="D5830" t="str">
            <v>MICROPLATE 4X2HOLES  0.6MM</v>
          </cell>
        </row>
        <row r="5831">
          <cell r="B5831" t="str">
            <v>25-015-08-71</v>
          </cell>
          <cell r="C5831" t="str">
            <v>MIKROPLATTE 4X2LOCH  0,6MM</v>
          </cell>
          <cell r="D5831" t="str">
            <v>MICROPLATE 4X2HOLES  0.6MM</v>
          </cell>
        </row>
        <row r="5832">
          <cell r="B5832" t="str">
            <v>25-015-09-09</v>
          </cell>
          <cell r="C5832" t="str">
            <v>LP NEURO PLATTE, 4X2LOCH</v>
          </cell>
          <cell r="D5832" t="str">
            <v>LP NEURO PLATE, 4X2-HOLE  SQUARE SEGMENTS</v>
          </cell>
        </row>
        <row r="5833">
          <cell r="B5833" t="str">
            <v>25-015-09-71</v>
          </cell>
          <cell r="C5833" t="str">
            <v>LP NEURO PLATTE, 4X2LOCH,  STERIL</v>
          </cell>
          <cell r="D5833" t="str">
            <v>LP NEURO PLATE, 4X2-HOLE  SQUARE,  STER</v>
          </cell>
        </row>
        <row r="5834">
          <cell r="B5834" t="str">
            <v>25-015-24-09</v>
          </cell>
          <cell r="C5834" t="str">
            <v>MIKROPLATTE 6X4LOCH  0,6MM</v>
          </cell>
          <cell r="D5834" t="str">
            <v>MICROPLATE 6X4HOLES  0.6MM</v>
          </cell>
        </row>
        <row r="5835">
          <cell r="B5835" t="str">
            <v>25-015-24-71</v>
          </cell>
          <cell r="C5835" t="str">
            <v>MIKROPLATTE 6X4LOCH  0,6MM</v>
          </cell>
          <cell r="D5835" t="str">
            <v>MICROPLATE 6X4HOLES  0.6MM</v>
          </cell>
        </row>
        <row r="5836">
          <cell r="B5836" t="str">
            <v>25-016-06-09</v>
          </cell>
          <cell r="C5836" t="str">
            <v>MIKRO PLATTE 3 X 2-LOCH 0,6 MM</v>
          </cell>
          <cell r="D5836" t="str">
            <v>MICRO-MESH 3 X 2-HOLES 0.6 MM</v>
          </cell>
        </row>
        <row r="5837">
          <cell r="B5837" t="str">
            <v>25-016-06-71</v>
          </cell>
          <cell r="C5837" t="str">
            <v>MIKRO PLATTE 3 X 2-LOCH 0,6 MM</v>
          </cell>
          <cell r="D5837" t="str">
            <v>MICRO-MESH 3 X 2-HOLES 0.6 MM</v>
          </cell>
        </row>
        <row r="5838">
          <cell r="B5838" t="str">
            <v>25-016-07-09</v>
          </cell>
          <cell r="C5838" t="str">
            <v>LP NEURO PLATTE, 3X2LOCH,  GEBOGEN</v>
          </cell>
          <cell r="D5838" t="str">
            <v>LP NEURO PLATE, 3X2-HOLE  CURVED SEGMENTS</v>
          </cell>
        </row>
        <row r="5839">
          <cell r="B5839" t="str">
            <v>25-016-07-71</v>
          </cell>
          <cell r="C5839" t="str">
            <v>LP NEURO PLATTE, 3X2LOCH,  GEBOGEN,  STER.</v>
          </cell>
          <cell r="D5839" t="str">
            <v>LP NEURO PLATE, 3X2-HOLE  CURVED,  STER</v>
          </cell>
        </row>
        <row r="5840">
          <cell r="B5840" t="str">
            <v>25-016-10-09</v>
          </cell>
          <cell r="C5840" t="str">
            <v>MIKRO PLATTE 5 X 2-LOCH 0,6 MM</v>
          </cell>
          <cell r="D5840" t="str">
            <v>MICRO-MESH 5 X 2-HOLES 0.6 MM</v>
          </cell>
        </row>
        <row r="5841">
          <cell r="B5841" t="str">
            <v>25-016-10-71</v>
          </cell>
          <cell r="C5841" t="str">
            <v>MIKRO PLATTE 5 X 2-LOCH 0,6 MM</v>
          </cell>
          <cell r="D5841" t="str">
            <v>MICRO-MESH 5 X 2-HOLES 0.6 MM</v>
          </cell>
        </row>
        <row r="5842">
          <cell r="B5842" t="str">
            <v>25-016-11-09</v>
          </cell>
          <cell r="C5842" t="str">
            <v>LP NEURO PLATTE, 5X2LOCH,  GEBOGEN</v>
          </cell>
          <cell r="D5842" t="str">
            <v>LP NEURO PLATE, 5X2-HOLE  CURVED SEGMENTS</v>
          </cell>
        </row>
        <row r="5843">
          <cell r="B5843" t="str">
            <v>25-016-11-71</v>
          </cell>
          <cell r="C5843" t="str">
            <v>LP NEURO PLATTE, 5X2LOCH,  GEBOGEN,  STER.</v>
          </cell>
          <cell r="D5843" t="str">
            <v>LP NEURO PLATE, 5X2-HOLE  CURVED,  STER</v>
          </cell>
        </row>
        <row r="5844">
          <cell r="B5844" t="str">
            <v>25-017-04-09</v>
          </cell>
          <cell r="C5844" t="str">
            <v>MIKROPLATTE  2X2-LOCH  0,6MM, RECHTECKIG</v>
          </cell>
          <cell r="D5844" t="str">
            <v>MICROPLATE  2X2-HOLES  0.6MM, RECTANGULAR</v>
          </cell>
        </row>
        <row r="5845">
          <cell r="B5845" t="str">
            <v>25-017-04-71</v>
          </cell>
          <cell r="C5845" t="str">
            <v>MIKROPLATTE  2X2-LOCH  0,6MM, RECHTECKIG</v>
          </cell>
          <cell r="D5845" t="str">
            <v>MICROPLATE  2X2-HOLES  0.6MM, RECTANGULAR</v>
          </cell>
        </row>
        <row r="5846">
          <cell r="B5846" t="str">
            <v>25-017-06-09</v>
          </cell>
          <cell r="C5846" t="str">
            <v>MIKROPLATTE  3X2-LOCH  0,6MM, RECHTECKIG</v>
          </cell>
          <cell r="D5846" t="str">
            <v>MICROPLATE  3X2-HOLES  0.6MM, RECTANGULAR</v>
          </cell>
        </row>
        <row r="5847">
          <cell r="B5847" t="str">
            <v>25-017-06-71</v>
          </cell>
          <cell r="C5847" t="str">
            <v>MIKROPLATTE  3X2-LOCH  0,6MM, RECHTECKIG</v>
          </cell>
          <cell r="D5847" t="str">
            <v>MICROPLATE  3X2-HOLES  0.6MM, RECTANGULAR</v>
          </cell>
        </row>
        <row r="5848">
          <cell r="B5848" t="str">
            <v>25-017-08-09</v>
          </cell>
          <cell r="C5848" t="str">
            <v>MIKROPLATTE  4X2-LOCH  0,6MM, RECHTECKIG</v>
          </cell>
          <cell r="D5848" t="str">
            <v>MICROPLATE  4X2-HOLES  0.6MM, RECTANGULAR</v>
          </cell>
        </row>
        <row r="5849">
          <cell r="B5849" t="str">
            <v>25-017-08-71</v>
          </cell>
          <cell r="C5849" t="str">
            <v>MIKROPLATTE  4X2-LOCH  0,6MM, RECHTECKIG</v>
          </cell>
          <cell r="D5849" t="str">
            <v>MICROPLATE  4X2-HOLES  0.6MM, RECTANGULAR</v>
          </cell>
        </row>
        <row r="5850">
          <cell r="B5850" t="str">
            <v>25-017-12-09</v>
          </cell>
          <cell r="C5850" t="str">
            <v>Mikroplatte, 4x3-Loch,  0,3 mm</v>
          </cell>
          <cell r="D5850" t="str">
            <v>Microplate, 4x3 Hole, 0.3 mm</v>
          </cell>
        </row>
        <row r="5851">
          <cell r="B5851" t="str">
            <v>25-017-12-71</v>
          </cell>
          <cell r="C5851" t="str">
            <v>Mikroplatte, 4x3-Loch,  0,3 mm, steril</v>
          </cell>
          <cell r="D5851" t="str">
            <v>Microplate, 4x3 Hole, 0.3 mm, sterile</v>
          </cell>
        </row>
        <row r="5852">
          <cell r="B5852" t="str">
            <v>25-017-16-09</v>
          </cell>
          <cell r="C5852" t="str">
            <v>MIKROPLATTE  4X4-LOCH  0,6MM, RECHTECKIG</v>
          </cell>
          <cell r="D5852" t="str">
            <v>MICROPLATE 4X4-HOLES  0.6MM, RECTANGULAR</v>
          </cell>
        </row>
        <row r="5853">
          <cell r="B5853" t="str">
            <v>25-017-16-71</v>
          </cell>
          <cell r="C5853" t="str">
            <v>MIKROPLATTE  4X4-LOCH  0,6MM, RECHTECKIG</v>
          </cell>
          <cell r="D5853" t="str">
            <v>MICROPLATE 4X4-HOLES  0.6MM, RECTANGULAR</v>
          </cell>
        </row>
        <row r="5854">
          <cell r="B5854" t="str">
            <v>25-017-24-09</v>
          </cell>
          <cell r="C5854" t="str">
            <v>MIKROPLATTE 6X4-LOCH  0,6MM, RECHTECKIG</v>
          </cell>
          <cell r="D5854" t="str">
            <v>MICROPLATE 6X4-HOLES  0.6MM, RECTANGULAR</v>
          </cell>
        </row>
        <row r="5855">
          <cell r="B5855" t="str">
            <v>25-017-24-71</v>
          </cell>
          <cell r="C5855" t="str">
            <v>MIKROPLATTE 6X4-LOCH  0,6MM, RECHTECKIG</v>
          </cell>
          <cell r="D5855" t="str">
            <v>MICROPLATE 6X4-HOLES  0.6MM, RECTANGULAR</v>
          </cell>
        </row>
        <row r="5856">
          <cell r="B5856" t="str">
            <v>25-020-03-09</v>
          </cell>
          <cell r="C5856" t="str">
            <v>MINIPL., 2,0, 3-LOCH, 0,6MM</v>
          </cell>
          <cell r="D5856" t="str">
            <v>MINI PL., 2.0, 3-HOLES,  0.6MM</v>
          </cell>
        </row>
        <row r="5857">
          <cell r="B5857" t="str">
            <v>25-020-03-71</v>
          </cell>
          <cell r="C5857" t="str">
            <v>MINIPL., 2,0, 3-LOCH, 0,6MM</v>
          </cell>
          <cell r="D5857" t="str">
            <v>MINI PL., 2.0, 3-HOLES,  0.6MM</v>
          </cell>
        </row>
        <row r="5858">
          <cell r="B5858" t="str">
            <v>25-020-04-09</v>
          </cell>
          <cell r="C5858" t="str">
            <v>MINIPL., 2,0, 4-LOCH, 0,6MM</v>
          </cell>
          <cell r="D5858" t="str">
            <v>MINI PL., 2.0, 4-HOLES,  0.6MM</v>
          </cell>
        </row>
        <row r="5859">
          <cell r="B5859" t="str">
            <v>25-020-04-71</v>
          </cell>
          <cell r="C5859" t="str">
            <v>MINIPL., 2,0, 4-LOCH, 0,6MM</v>
          </cell>
          <cell r="D5859" t="str">
            <v>MINI PL., 2.0, 4-HOLES,  0.6MM</v>
          </cell>
        </row>
        <row r="5860">
          <cell r="B5860" t="str">
            <v>25-020-06-09</v>
          </cell>
          <cell r="C5860" t="str">
            <v>MINIPL., 2,0, 6-LOCH, 0,6MM</v>
          </cell>
          <cell r="D5860" t="str">
            <v>MINI PL., 2.0, 6-HOLES,  0.6MM</v>
          </cell>
        </row>
        <row r="5861">
          <cell r="B5861" t="str">
            <v>25-020-06-71</v>
          </cell>
          <cell r="C5861" t="str">
            <v>MINIPL., 2,0, 6-LOCH, 0,6MM</v>
          </cell>
          <cell r="D5861" t="str">
            <v>MINI PL., 2.0, 6-HOLES,  0.6MM</v>
          </cell>
        </row>
        <row r="5862">
          <cell r="B5862" t="str">
            <v>25-020-08-09</v>
          </cell>
          <cell r="C5862" t="str">
            <v>MINIPL., 2,0, 8-LOCH, 0,6MM</v>
          </cell>
          <cell r="D5862" t="str">
            <v>MINI PL., 2.0, 8-HOLES,  0.6MM</v>
          </cell>
        </row>
        <row r="5863">
          <cell r="B5863" t="str">
            <v>25-020-08-71</v>
          </cell>
          <cell r="C5863" t="str">
            <v>MINIPL., 2,0, 8-LOCH, 0,6MM</v>
          </cell>
          <cell r="D5863" t="str">
            <v>MINI PL., 2.0, 8-HOLES,  0.6MM</v>
          </cell>
        </row>
        <row r="5864">
          <cell r="B5864" t="str">
            <v>25-020-24-09</v>
          </cell>
          <cell r="C5864" t="str">
            <v>MINI PLATTE 6X4LOCH  0,6MM</v>
          </cell>
          <cell r="D5864" t="str">
            <v>MINIPLATE  6X4HOLES  0.6MM</v>
          </cell>
        </row>
        <row r="5865">
          <cell r="B5865" t="str">
            <v>25-020-24-71</v>
          </cell>
          <cell r="C5865" t="str">
            <v>MINI PLATTE 6X4LOCH  0,6MM</v>
          </cell>
          <cell r="D5865" t="str">
            <v>MINIPLATE  6X4HOLES  0.6MM</v>
          </cell>
        </row>
        <row r="5866">
          <cell r="B5866" t="str">
            <v>25-022-04-09</v>
          </cell>
          <cell r="C5866" t="str">
            <v>MINIPL., 2,0, 4-LOCH, 0,6MM, RECHTECKIG</v>
          </cell>
          <cell r="D5866" t="str">
            <v>MINI PL., 2.0, 4-HOLES,0.6MM,RECTANGULAR</v>
          </cell>
        </row>
        <row r="5867">
          <cell r="B5867" t="str">
            <v>25-022-04-71</v>
          </cell>
          <cell r="C5867" t="str">
            <v>MINIPL., 2,0, 4-LOCH, 0,6MM, RECHTECKIG</v>
          </cell>
          <cell r="D5867" t="str">
            <v>MINI PL., 2.0, 4-HOLES,0.6MM,RECTANGULAR</v>
          </cell>
        </row>
        <row r="5868">
          <cell r="B5868" t="str">
            <v>25-022-08-09</v>
          </cell>
          <cell r="C5868" t="str">
            <v>MINIPL., 2,0, 8-LOCH, 0,6MM, RECHTECKIG</v>
          </cell>
          <cell r="D5868" t="str">
            <v>MINI PL., 2.0, 8-HOLES,0.6MM,RECTANGULAR</v>
          </cell>
        </row>
        <row r="5869">
          <cell r="B5869" t="str">
            <v>25-022-08-71</v>
          </cell>
          <cell r="C5869" t="str">
            <v>MINIPL., 2,0, 8-LOCH, 0,6MM, RECHTECKIG</v>
          </cell>
          <cell r="D5869" t="str">
            <v>MINI PL., 2.0, 8-HOLES,0.6MM,RECTANGULAR</v>
          </cell>
        </row>
        <row r="5870">
          <cell r="B5870" t="str">
            <v>25-022-28-09</v>
          </cell>
          <cell r="C5870" t="str">
            <v>MINI MESH 2,0, 2 X 14-LOCH,  RB 1,0MM</v>
          </cell>
          <cell r="D5870" t="str">
            <v>MINI MESH 2.0, 2 X 14-HOL, RB 1.0MM</v>
          </cell>
        </row>
        <row r="5871">
          <cell r="B5871" t="str">
            <v>25-023-04-09</v>
          </cell>
          <cell r="C5871" t="str">
            <v>Kompressionsplatte 2,0, 4-Loch, 1,0mm</v>
          </cell>
          <cell r="D5871" t="str">
            <v>Compression Plate 2.0, 4-hole, 1.0mm</v>
          </cell>
        </row>
        <row r="5872">
          <cell r="B5872" t="str">
            <v>25-023-04-71</v>
          </cell>
          <cell r="C5872" t="str">
            <v>Kompressionsplatte 2,0,4-Loch,1,0mm,ster</v>
          </cell>
          <cell r="D5872" t="str">
            <v>Compression Plate 2.0,4-hole,1.0mm,ster.</v>
          </cell>
        </row>
        <row r="5873">
          <cell r="B5873" t="str">
            <v>25-024-04-09</v>
          </cell>
          <cell r="C5873" t="str">
            <v>MINIPL., 2,0, 4-LOCH, 0,6MM</v>
          </cell>
          <cell r="D5873" t="str">
            <v>MINI PL., 2.0, 4-HOLES,  0.6MM</v>
          </cell>
        </row>
        <row r="5874">
          <cell r="B5874" t="str">
            <v>25-024-04-71</v>
          </cell>
          <cell r="C5874" t="str">
            <v>MINIPL., 2,0, 4-LOCH, 0,6MM</v>
          </cell>
          <cell r="D5874" t="str">
            <v>MINI PL., 2.0, 4-HOLES,  0.6MM</v>
          </cell>
        </row>
        <row r="5875">
          <cell r="B5875" t="str">
            <v>25-024-06-09</v>
          </cell>
          <cell r="C5875" t="str">
            <v>MINIPL., 2,0, 6-LOCH, 0,6MM</v>
          </cell>
          <cell r="D5875" t="str">
            <v>MINI PL., 2.0, 6-HOLES,  0.6MM</v>
          </cell>
        </row>
        <row r="5876">
          <cell r="B5876" t="str">
            <v>25-024-06-71</v>
          </cell>
          <cell r="C5876" t="str">
            <v>MINIPL., 2,0, 6-LOCH, 0,6MM</v>
          </cell>
          <cell r="D5876" t="str">
            <v>MINI PL., 2.0, 6-HOLES,  0.6MM</v>
          </cell>
        </row>
        <row r="5877">
          <cell r="B5877" t="str">
            <v>25-024-16-09</v>
          </cell>
          <cell r="C5877" t="str">
            <v>MINIPL., 2,0,16-LOCH, 0,6MM</v>
          </cell>
          <cell r="D5877" t="str">
            <v>MINI PL., 2.0,16-HOLES, 0.6MM</v>
          </cell>
        </row>
        <row r="5878">
          <cell r="B5878" t="str">
            <v>25-024-16-71</v>
          </cell>
          <cell r="C5878" t="str">
            <v>MINIPL., 2,0,16-LOCH, 0,6MM</v>
          </cell>
          <cell r="D5878" t="str">
            <v>MINI PL., 2.0,16-HOLES, 0.6MM</v>
          </cell>
        </row>
        <row r="5879">
          <cell r="B5879" t="str">
            <v>25-024-24-09</v>
          </cell>
          <cell r="C5879" t="str">
            <v>MINIPL., 2,0,24-LOCH, 0,6MM</v>
          </cell>
          <cell r="D5879" t="str">
            <v>MINI PL., 2.0,24-HOLES, 0.6MM</v>
          </cell>
        </row>
        <row r="5880">
          <cell r="B5880" t="str">
            <v>25-024-24-71</v>
          </cell>
          <cell r="C5880" t="str">
            <v>MINIPL., 2,0,24-LOCH, 0,6MM</v>
          </cell>
          <cell r="D5880" t="str">
            <v>MINI PL., 2.0,24-HOLES, 0.6MM</v>
          </cell>
        </row>
        <row r="5881">
          <cell r="B5881" t="str">
            <v>25-025-10-71</v>
          </cell>
          <cell r="C5881" t="str">
            <v>CranioXpand Feder, Ø 1.0 mm</v>
          </cell>
          <cell r="D5881" t="str">
            <v>CranioXpand spring, Ø 1.0 mm</v>
          </cell>
        </row>
        <row r="5882">
          <cell r="B5882" t="str">
            <v>25-025-12-71</v>
          </cell>
          <cell r="C5882" t="str">
            <v>CranioXpand Feder, Ø 1.2 mm</v>
          </cell>
          <cell r="D5882" t="str">
            <v>CranioXpand spring, Ø 1.2 mm</v>
          </cell>
        </row>
        <row r="5883">
          <cell r="B5883" t="str">
            <v>25-025-16-71</v>
          </cell>
          <cell r="C5883" t="str">
            <v>CranioXpand Feder, Ø 1.6 mm</v>
          </cell>
          <cell r="D5883" t="str">
            <v>CranioXpand spring, Ø 1.6 mm</v>
          </cell>
        </row>
        <row r="5884">
          <cell r="B5884" t="str">
            <v>25-025-40-07</v>
          </cell>
          <cell r="C5884" t="str">
            <v>CranioXpand Sizer</v>
          </cell>
          <cell r="D5884" t="str">
            <v>CranioXpand marking sizer</v>
          </cell>
        </row>
        <row r="5885">
          <cell r="B5885" t="str">
            <v>25-025-42-07</v>
          </cell>
          <cell r="C5885" t="str">
            <v>CranioXpand Einsetzinst., Öffn. n. vorne</v>
          </cell>
          <cell r="D5885" t="str">
            <v>CranioXpand insertion  inst.,opening fwrd</v>
          </cell>
        </row>
        <row r="5886">
          <cell r="B5886" t="str">
            <v>25-025-43-07</v>
          </cell>
          <cell r="C5886" t="str">
            <v>CranioXpand Einsetzinst.,Öffn. n. hinten</v>
          </cell>
          <cell r="D5886" t="str">
            <v>CranioXpand insertion  inst.,opening bwrd</v>
          </cell>
        </row>
        <row r="5887">
          <cell r="B5887" t="str">
            <v>25-025-44-07</v>
          </cell>
          <cell r="C5887" t="str">
            <v>CranioXpand Instrument zur Entfernung</v>
          </cell>
          <cell r="D5887" t="str">
            <v>CranioXpand spring removal instrument</v>
          </cell>
        </row>
        <row r="5888">
          <cell r="B5888" t="str">
            <v>25-025-45-07</v>
          </cell>
          <cell r="C5888" t="str">
            <v>CranioXpand Instr. zum Anheben  der Feder</v>
          </cell>
          <cell r="D5888" t="str">
            <v>CranioXpand instr. for lifting spring</v>
          </cell>
        </row>
        <row r="5889">
          <cell r="B5889" t="str">
            <v>25-025-50-07</v>
          </cell>
          <cell r="C5889" t="str">
            <v>CranioXpand Auswahlinstrument, Ø 1.0 mm</v>
          </cell>
          <cell r="D5889" t="str">
            <v>CranioXpand size selection  instr., Ø 1.0</v>
          </cell>
        </row>
        <row r="5890">
          <cell r="B5890" t="str">
            <v>25-025-52-07</v>
          </cell>
          <cell r="C5890" t="str">
            <v>CranioXpand Auswahlinstrument, Ø 1.2 mm</v>
          </cell>
          <cell r="D5890" t="str">
            <v>CranioXpand size selection  instr., Ø 1.2</v>
          </cell>
        </row>
        <row r="5891">
          <cell r="B5891" t="str">
            <v>25-025-56-07</v>
          </cell>
          <cell r="C5891" t="str">
            <v>CranioXpand Auswahlinstrument, Ø 1.6 mm</v>
          </cell>
          <cell r="D5891" t="str">
            <v>CranioXpand size selection  instr., Ø 1.6</v>
          </cell>
        </row>
        <row r="5892">
          <cell r="B5892" t="str">
            <v>25-038-30-09</v>
          </cell>
          <cell r="C5892" t="str">
            <v>MIKRO MESH, 1,0, 80 X 80MM, 0,1MM</v>
          </cell>
          <cell r="D5892" t="str">
            <v>MICRO MESH, 1.0, 80 X 80MM, 0.1MM</v>
          </cell>
        </row>
        <row r="5893">
          <cell r="B5893" t="str">
            <v>25-038-30-71</v>
          </cell>
          <cell r="C5893" t="str">
            <v>MIKRO MESH, 1,0, 80 X 80MM, 0,1MM</v>
          </cell>
          <cell r="D5893" t="str">
            <v>MICRO MESH, 1.0, 80 X 80MM, 0.1MM</v>
          </cell>
        </row>
        <row r="5894">
          <cell r="B5894" t="str">
            <v>25-038-35-09</v>
          </cell>
          <cell r="C5894" t="str">
            <v>MIKRO MESH, 1,0, 30 X 30MM, 0,1MM</v>
          </cell>
          <cell r="D5894" t="str">
            <v>MICRO MESH, 1.0, 30 X 32MM, 0.1MM</v>
          </cell>
        </row>
        <row r="5895">
          <cell r="B5895" t="str">
            <v>25-038-35-71</v>
          </cell>
          <cell r="C5895" t="str">
            <v>MIKRO MESH, 1,0, 30 X 32MM, 0,1MM</v>
          </cell>
          <cell r="D5895" t="str">
            <v>MICRO MESH, 1.0, 30 X 32MM, 0.1MM</v>
          </cell>
        </row>
        <row r="5896">
          <cell r="B5896" t="str">
            <v>25-038-40-09</v>
          </cell>
          <cell r="C5896" t="str">
            <v>MIKRO MESH, 1,0, 25 X 15MM, 0,1MM</v>
          </cell>
          <cell r="D5896" t="str">
            <v>MICRO MESH, 1.0, 25 X 15MM, 0.1MM</v>
          </cell>
        </row>
        <row r="5897">
          <cell r="B5897" t="str">
            <v>25-038-40-71</v>
          </cell>
          <cell r="C5897" t="str">
            <v>MIKRO MESH, 1,0, 25 X 15MM, 0,1MM</v>
          </cell>
          <cell r="D5897" t="str">
            <v>MICRO MESH, 1.0, 25 X 15MM, 0.1MM</v>
          </cell>
        </row>
        <row r="5898">
          <cell r="B5898" t="str">
            <v>25-040-25-09</v>
          </cell>
          <cell r="C5898" t="str">
            <v>MIKRO MESH, 25-LOCH,  0,2 MM</v>
          </cell>
          <cell r="D5898" t="str">
            <v>MICRO MESH, 25-HOLES,  0.2MM</v>
          </cell>
        </row>
        <row r="5899">
          <cell r="B5899" t="str">
            <v>25-040-25-71</v>
          </cell>
          <cell r="C5899" t="str">
            <v>MIKRO MESH, 25-LOCH,  0,2 MM, STERIL</v>
          </cell>
          <cell r="D5899" t="str">
            <v>MICRO MESH, 25-HOLES,  0.2MM,STERILE</v>
          </cell>
        </row>
        <row r="5900">
          <cell r="B5900" t="str">
            <v>25-040-26-09</v>
          </cell>
          <cell r="C5900" t="str">
            <v>PITTSBURGH MESH, KLEIN, 0,3MM, 54X36MM</v>
          </cell>
          <cell r="D5900" t="str">
            <v>PITTSBURG MESH, SMALL, 0.3MM, 54X36MM</v>
          </cell>
        </row>
        <row r="5901">
          <cell r="B5901" t="str">
            <v>25-040-27-09</v>
          </cell>
          <cell r="C5901" t="str">
            <v>PITTSBURG MESH, GROSS, 61X40MM</v>
          </cell>
          <cell r="D5901" t="str">
            <v>PITTSBURG MESH, LARGE, 61X40MM</v>
          </cell>
        </row>
        <row r="5902">
          <cell r="B5902" t="str">
            <v>25-040-30-09</v>
          </cell>
          <cell r="C5902" t="str">
            <v>MIKRO MESH, 1,0, 100 X 100MM, 0,2MM</v>
          </cell>
          <cell r="D5902" t="str">
            <v>MICRO MESH, 1.0, 100 X 100MM, 0.2MM</v>
          </cell>
        </row>
        <row r="5903">
          <cell r="B5903" t="str">
            <v>25-040-30-71</v>
          </cell>
          <cell r="C5903" t="str">
            <v>MIKRO MESH, 1,0, 100 X 100MM, 0,2MM</v>
          </cell>
          <cell r="D5903" t="str">
            <v>MICRO MESH, 1.0, 100 X 100MM, 0.2MM</v>
          </cell>
        </row>
        <row r="5904">
          <cell r="B5904" t="str">
            <v>25-040-35-09</v>
          </cell>
          <cell r="C5904" t="str">
            <v>MIKRO MESH, 1,0, 30 X 32MM, 0,2MM</v>
          </cell>
          <cell r="D5904" t="str">
            <v>MICRO MESH, 1.0, 30 X 32MM, 0.2MM</v>
          </cell>
        </row>
        <row r="5905">
          <cell r="B5905" t="str">
            <v>25-040-35-71</v>
          </cell>
          <cell r="C5905" t="str">
            <v>MIKRO MESH, 1,0, 30 X 32MM, 0,2MM</v>
          </cell>
          <cell r="D5905" t="str">
            <v>MICRO MESH, 1.0, 30 X 32MM, 0.2MM</v>
          </cell>
        </row>
        <row r="5906">
          <cell r="B5906" t="str">
            <v>25-040-40-09</v>
          </cell>
          <cell r="C5906" t="str">
            <v>MIKRO MESH, 1,0, 25 X 15MM, 0,2MM</v>
          </cell>
          <cell r="D5906" t="str">
            <v>MICRO MESH, 1.0, 25 X 15MM, 0.2MM</v>
          </cell>
        </row>
        <row r="5907">
          <cell r="B5907" t="str">
            <v>25-040-40-71</v>
          </cell>
          <cell r="C5907" t="str">
            <v>MIKRO MESH, 1,0, 25 X 15MM, 0,2MM</v>
          </cell>
          <cell r="D5907" t="str">
            <v>MICRO MESH, 1.0, 25 X 15MM, 0.2MM</v>
          </cell>
        </row>
        <row r="5908">
          <cell r="B5908" t="str">
            <v>25-042-02-09</v>
          </cell>
          <cell r="C5908" t="str">
            <v>JANETTA  MESH, GROSS, 0,2MM, 40X32MM</v>
          </cell>
          <cell r="D5908" t="str">
            <v>JANETTA  MESH, LARGE, 0.2MM, 40X32MM</v>
          </cell>
        </row>
        <row r="5909">
          <cell r="B5909" t="str">
            <v>25-042-05-09</v>
          </cell>
          <cell r="C5909" t="str">
            <v>JANETTA  MESH, KLEIN, 0,2MM, 34X21MM</v>
          </cell>
          <cell r="D5909" t="str">
            <v>JANETTA  MESH, SMALL, 0.2MM, 34X21MM</v>
          </cell>
        </row>
        <row r="5910">
          <cell r="B5910" t="str">
            <v>25-042-15-09</v>
          </cell>
          <cell r="C5910" t="str">
            <v>ORBITA MESH-SCHALEN, 0,3MM, KLEIN</v>
          </cell>
          <cell r="D5910" t="str">
            <v>ORBITAL MESH BOWLES,  0.3MM, SMALL</v>
          </cell>
        </row>
        <row r="5911">
          <cell r="B5911" t="str">
            <v>25-042-15-71</v>
          </cell>
          <cell r="C5911" t="str">
            <v>ORBITA MESH-SCHALEN, 0,3MM,KLEIN,STERIL</v>
          </cell>
          <cell r="D5911" t="str">
            <v>ORBITAL MESH BOWLES,  0.3MM,SMALL,STERILE</v>
          </cell>
        </row>
        <row r="5912">
          <cell r="B5912" t="str">
            <v>25-042-16-09</v>
          </cell>
          <cell r="C5912" t="str">
            <v>ORBITA MESH-SCHALEN, 0,3MM, GROSS</v>
          </cell>
          <cell r="D5912" t="str">
            <v>ORBITAL MESH BOWLES,  0.3MM, LARGE</v>
          </cell>
        </row>
        <row r="5913">
          <cell r="B5913" t="str">
            <v>25-042-16-71</v>
          </cell>
          <cell r="C5913" t="str">
            <v>ORBITA MESH-SCHALEN, 0,3MM, GROSS,STERIL</v>
          </cell>
          <cell r="D5913" t="str">
            <v>ORBITAL MESH BOWLES,  0.3MM,LARGE,STERILE</v>
          </cell>
        </row>
        <row r="5914">
          <cell r="B5914" t="str">
            <v>25-043-01-09</v>
          </cell>
          <cell r="C5914" t="str">
            <v>ORBITA MESH 1,5, 0,3MM</v>
          </cell>
          <cell r="D5914" t="str">
            <v>ORBITA MESH 1.5, 0.3MM</v>
          </cell>
        </row>
        <row r="5915">
          <cell r="B5915" t="str">
            <v>25-043-01-71</v>
          </cell>
          <cell r="C5915" t="str">
            <v>ORBITA MESH 1,5, 0,3MM, STERIL</v>
          </cell>
          <cell r="D5915" t="str">
            <v>ORBITA MESH 1.5, 0.3MM, STERIL</v>
          </cell>
        </row>
        <row r="5916">
          <cell r="B5916" t="str">
            <v>25-043-02-09</v>
          </cell>
          <cell r="C5916" t="str">
            <v>ORBITA MESH 1,5, 0,5MM</v>
          </cell>
          <cell r="D5916" t="str">
            <v>ORBITA MESH 1.5, 0.5MM</v>
          </cell>
        </row>
        <row r="5917">
          <cell r="B5917" t="str">
            <v>25-043-02-71</v>
          </cell>
          <cell r="C5917" t="str">
            <v>ORBITA MESH 1,5, 0,5MM, STERIL</v>
          </cell>
          <cell r="D5917" t="str">
            <v>ORBITA MESH 1.5, 0.5MM, STERIL</v>
          </cell>
        </row>
        <row r="5918">
          <cell r="B5918" t="str">
            <v>25-043-06-09</v>
          </cell>
          <cell r="C5918" t="str">
            <v>ORBITAMESH 1,0 MM, 0,2 MM, FÄCHER-FORM</v>
          </cell>
          <cell r="D5918" t="str">
            <v>ORBITA MESH 1.0 MM, 0.2 MM, FAN SHAPE</v>
          </cell>
        </row>
        <row r="5919">
          <cell r="B5919" t="str">
            <v>25-043-07-09</v>
          </cell>
          <cell r="C5919" t="str">
            <v>ORBITAMESH 1,0 MM, 0,3 MM, FÄCHER-FORM</v>
          </cell>
          <cell r="D5919" t="str">
            <v>ORBITA MESH 1.0 MM, 0.3 MM, FAN SHAPE</v>
          </cell>
        </row>
        <row r="5920">
          <cell r="B5920" t="str">
            <v>25-043-09-09</v>
          </cell>
          <cell r="C5920" t="str">
            <v>Orbitabodenplatte 1,5 0,3mm</v>
          </cell>
          <cell r="D5920" t="str">
            <v>Orbital floor plate 1.5 0.3mm</v>
          </cell>
        </row>
        <row r="5921">
          <cell r="B5921" t="str">
            <v>25-043-09-71</v>
          </cell>
          <cell r="C5921" t="str">
            <v>Orbitabodenplatte 1,5 0,3mm steril</v>
          </cell>
          <cell r="D5921" t="str">
            <v>Orbital floor plate 1.5 0.3mm sterile</v>
          </cell>
        </row>
        <row r="5922">
          <cell r="B5922" t="str">
            <v>25-043-16-09</v>
          </cell>
          <cell r="C5922" t="str">
            <v>Fächer-Mesh für Orbitaboden, 1,5MM 0,2MM</v>
          </cell>
          <cell r="D5922" t="str">
            <v>Fan mesh for orbital floor, 1.5MM, 0.2MM</v>
          </cell>
        </row>
        <row r="5923">
          <cell r="B5923" t="str">
            <v>25-043-17-09</v>
          </cell>
          <cell r="C5923" t="str">
            <v>Fächer-Mesh für Orbitaboden, 1,5MM 0,3MM</v>
          </cell>
          <cell r="D5923" t="str">
            <v>Fan mesh for orbital floor, 1.5MM, 0.3MM</v>
          </cell>
        </row>
        <row r="5924">
          <cell r="B5924" t="str">
            <v>25-044-01-09</v>
          </cell>
          <cell r="C5924" t="str">
            <v>ORBITABODENMESH, 1.5 MM</v>
          </cell>
          <cell r="D5924" t="str">
            <v>ORBITAL FLOOR MESH, 1.5 MM</v>
          </cell>
        </row>
        <row r="5925">
          <cell r="B5925" t="str">
            <v>25-044-04-09</v>
          </cell>
          <cell r="C5925" t="str">
            <v>Orbitabodenpl.,Groove,1.5,T=0.3</v>
          </cell>
          <cell r="D5925" t="str">
            <v>Orbital Plate,Groove,1.5,T=0.3</v>
          </cell>
        </row>
        <row r="5926">
          <cell r="B5926" t="str">
            <v>25-044-04-71</v>
          </cell>
          <cell r="C5926" t="str">
            <v>Orbitabodenpl.,Groove,1.5,T=0.3</v>
          </cell>
          <cell r="D5926" t="str">
            <v>Orbital Plate,Groove,1.5,T=0.3</v>
          </cell>
        </row>
        <row r="5927">
          <cell r="B5927" t="str">
            <v>25-044-32-09</v>
          </cell>
          <cell r="C5927" t="str">
            <v>Smart Orbitabodenpl.,Groove,1.5,li,T=0.4</v>
          </cell>
          <cell r="D5927" t="str">
            <v>Smart Orbital Plate,Groove,1.5,le,T=0.4</v>
          </cell>
        </row>
        <row r="5928">
          <cell r="B5928" t="str">
            <v>25-044-32-71</v>
          </cell>
          <cell r="C5928" t="str">
            <v>Smart Orbitabodenpl.,Groove,1.5,li,T=0.4</v>
          </cell>
          <cell r="D5928" t="str">
            <v>Smart Orbital Plate,Groove,1.5,le,T=0.4</v>
          </cell>
        </row>
        <row r="5929">
          <cell r="B5929" t="str">
            <v>25-044-33-09</v>
          </cell>
          <cell r="C5929" t="str">
            <v>Smart Orbitabodenpl.,Groove,1.5,re,T=0.4</v>
          </cell>
          <cell r="D5929" t="str">
            <v>Smart Orbital Plate,Groove,1.5,ri,T=0.4</v>
          </cell>
        </row>
        <row r="5930">
          <cell r="B5930" t="str">
            <v>25-044-33-71</v>
          </cell>
          <cell r="C5930" t="str">
            <v>Smart Orbitabodenpl.,Groove,1.5,re,T=0.4</v>
          </cell>
          <cell r="D5930" t="str">
            <v>Smart Orbital Plate,Groove,1.5,ri,T=0.4</v>
          </cell>
        </row>
        <row r="5931">
          <cell r="B5931" t="str">
            <v>25-045-35-09</v>
          </cell>
          <cell r="C5931" t="str">
            <v>Smart Orbitabodenpl.,Grid,1.5,li,S,T=0.5</v>
          </cell>
          <cell r="D5931" t="str">
            <v>Smart Orbital Plate,Grid,1.5,le,S,T=0.5</v>
          </cell>
        </row>
        <row r="5932">
          <cell r="B5932" t="str">
            <v>25-045-35-71</v>
          </cell>
          <cell r="C5932" t="str">
            <v>Smart Orbitabodenpl.,Grid,1.5,li,S,T=0.5</v>
          </cell>
          <cell r="D5932" t="str">
            <v>Smart Orbital Plate,Grid,1.5,le,S,T=0.5</v>
          </cell>
        </row>
        <row r="5933">
          <cell r="B5933" t="str">
            <v>25-045-36-09</v>
          </cell>
          <cell r="C5933" t="str">
            <v>Smart Orbitabodenpl.,Grid,1.5,re,S,T=0.5</v>
          </cell>
          <cell r="D5933" t="str">
            <v>Smart Orbital Plate,Grid,1.5,ri,S,T=0.5</v>
          </cell>
        </row>
        <row r="5934">
          <cell r="B5934" t="str">
            <v>25-045-36-71</v>
          </cell>
          <cell r="C5934" t="str">
            <v>Smart Orbitabodenpl.,Grid,1.5,re,S,T=0.5</v>
          </cell>
          <cell r="D5934" t="str">
            <v>Smart Orbital Plate,Grid,1.5,ri,S,T=0.5</v>
          </cell>
        </row>
        <row r="5935">
          <cell r="B5935" t="str">
            <v>25-045-40-09</v>
          </cell>
          <cell r="C5935" t="str">
            <v>Smart Oritabodenpl.,Grid,1.5,li,L,T=0.5</v>
          </cell>
          <cell r="D5935" t="str">
            <v>Smart Orbital Plate,Grid,1.5,le,L,T=0.5</v>
          </cell>
        </row>
        <row r="5936">
          <cell r="B5936" t="str">
            <v>25-045-40-71</v>
          </cell>
          <cell r="C5936" t="str">
            <v>Smart Orbitabodenpl.,Grid,1.5,li,L,T=0.5</v>
          </cell>
          <cell r="D5936" t="str">
            <v>Smart Orbital Plate,Grid,1.5,le,L,T=0.5</v>
          </cell>
        </row>
        <row r="5937">
          <cell r="B5937" t="str">
            <v>25-045-41-09</v>
          </cell>
          <cell r="C5937" t="str">
            <v>Smart Orbitabodenpl.,Grid,1.5,re,L,T=0.5</v>
          </cell>
          <cell r="D5937" t="str">
            <v>Smart Orbital Plate,Grid,1.5,ri,L,T=0.5</v>
          </cell>
        </row>
        <row r="5938">
          <cell r="B5938" t="str">
            <v>25-045-41-71</v>
          </cell>
          <cell r="C5938" t="str">
            <v>Smart Orbitabodenpl.,Grid,1.5,re,L,T=0.5</v>
          </cell>
          <cell r="D5938" t="str">
            <v>Smart Orbital Plate,Grid,1.5,ri,L,T=0.5</v>
          </cell>
        </row>
        <row r="5939">
          <cell r="B5939" t="str">
            <v>25-050-00-07</v>
          </cell>
          <cell r="C5939" t="str">
            <v>MARTIN MESH CUTTER</v>
          </cell>
          <cell r="D5939" t="str">
            <v>MARTIN MESH CUTTER</v>
          </cell>
        </row>
        <row r="5940">
          <cell r="B5940" t="str">
            <v>25-050-13-07</v>
          </cell>
          <cell r="C5940" t="str">
            <v>PLATTENSCHNEIDER 13 CM</v>
          </cell>
          <cell r="D5940" t="str">
            <v>PLATE CUTTER 13 CM</v>
          </cell>
        </row>
        <row r="5941">
          <cell r="B5941" t="str">
            <v>25-050-14-07</v>
          </cell>
          <cell r="C5941" t="str">
            <v>L1 Schneidezange, bis Profil 1.0 mm</v>
          </cell>
          <cell r="D5941" t="str">
            <v>L1 plate cutter, up to profile 1.0 mm</v>
          </cell>
        </row>
        <row r="5942">
          <cell r="B5942" t="str">
            <v>25-050-98-07</v>
          </cell>
          <cell r="C5942" t="str">
            <v>ERSATZBACKEN FUER MESH CUTTER, SATZ</v>
          </cell>
          <cell r="D5942" t="str">
            <v>SET SPARE BLADES FOR MESH CUTTER</v>
          </cell>
        </row>
        <row r="5943">
          <cell r="B5943" t="str">
            <v>25-052-13-07</v>
          </cell>
          <cell r="C5943" t="str">
            <v>MESH SCHNEIDEINSTRUMENT MOD. 13 CM</v>
          </cell>
          <cell r="D5943" t="str">
            <v>MESH CUTTER 13 CM</v>
          </cell>
        </row>
        <row r="5944">
          <cell r="B5944" t="str">
            <v>25-052-18-07</v>
          </cell>
          <cell r="C5944" t="str">
            <v>MESH BIEGEZANGE</v>
          </cell>
          <cell r="D5944" t="str">
            <v>MESH BENDING  PLIERS</v>
          </cell>
        </row>
        <row r="5945">
          <cell r="B5945" t="str">
            <v>25-068-04-09</v>
          </cell>
          <cell r="C5945" t="str">
            <v>C/D KNORPELSCHRAUBE 1,5 X 4MM</v>
          </cell>
          <cell r="D5945" t="str">
            <v>C/D CACTILAGE  SCREWS 1.5 X 4MM</v>
          </cell>
        </row>
        <row r="5946">
          <cell r="B5946" t="str">
            <v>25-068-06-09</v>
          </cell>
          <cell r="C5946" t="str">
            <v>C/D KNORPELSCHRAUBE 1,5 X 6MM</v>
          </cell>
          <cell r="D5946" t="str">
            <v>C/D CACTILAGE  SCREWS 1.5 X 6MM</v>
          </cell>
        </row>
        <row r="5947">
          <cell r="B5947" t="str">
            <v>25-068-08-09</v>
          </cell>
          <cell r="C5947" t="str">
            <v>C/D KNORPELSCHRAUBE 1,5 X 8MM</v>
          </cell>
          <cell r="D5947" t="str">
            <v>C/D CACTILAGE  SCREWS 1.5 X 8MM</v>
          </cell>
        </row>
        <row r="5948">
          <cell r="B5948" t="str">
            <v>25-068-10-09</v>
          </cell>
          <cell r="C5948" t="str">
            <v>C/D KNORPELSCHRAUBE 1,5 X 10MM</v>
          </cell>
          <cell r="D5948" t="str">
            <v>C/D CACTILAGE  SCREWS 1.5 X 10MM</v>
          </cell>
        </row>
        <row r="5949">
          <cell r="B5949" t="str">
            <v>25-092-08-09</v>
          </cell>
          <cell r="C5949" t="str">
            <v>MAXDRIVE  MMF SCHRAUBE  2,0X8MM</v>
          </cell>
          <cell r="D5949" t="str">
            <v>MAXDRIVE  MMF SCREW 2,0X8MM</v>
          </cell>
        </row>
        <row r="5950">
          <cell r="B5950" t="str">
            <v>25-092-08-72</v>
          </cell>
          <cell r="C5950" t="str">
            <v>maxDrive  MMF Schraube  2,0X8mm,  Ti., ster</v>
          </cell>
          <cell r="D5950" t="str">
            <v>maxDrive  MMF Screw 2,0X8mm,  Ti., ster</v>
          </cell>
        </row>
        <row r="5951">
          <cell r="B5951" t="str">
            <v>25-092-08-91</v>
          </cell>
          <cell r="C5951" t="str">
            <v>MAXDRIVE  MMF SCHRAUBE  2,0X8MM</v>
          </cell>
          <cell r="D5951" t="str">
            <v>MAXDRIVE  MMF SCREW 2.0X8MM</v>
          </cell>
        </row>
        <row r="5952">
          <cell r="B5952" t="str">
            <v>25-092-12-09</v>
          </cell>
          <cell r="C5952" t="str">
            <v>MAXDRIVE  MMF SCHRAUBE  2,0X12MM</v>
          </cell>
          <cell r="D5952" t="str">
            <v>MAXDRIVE  MMF SCREW 2,0X12MM</v>
          </cell>
        </row>
        <row r="5953">
          <cell r="B5953" t="str">
            <v>25-092-12-72</v>
          </cell>
          <cell r="C5953" t="str">
            <v>maxDrive  MMF Schraube  2,0X12mm, Ti.,ster</v>
          </cell>
          <cell r="D5953" t="str">
            <v>maxDrive  MMF Screw 2,0X12mm, Ti.,ster</v>
          </cell>
        </row>
        <row r="5954">
          <cell r="B5954" t="str">
            <v>25-092-12-91</v>
          </cell>
          <cell r="C5954" t="str">
            <v>MAXDRIVE  MMF SCHRAUBE  2,0X12MM</v>
          </cell>
          <cell r="D5954" t="str">
            <v>MAXDRIVE  MMF SCREW 2,0X12MM</v>
          </cell>
        </row>
        <row r="5955">
          <cell r="B5955" t="str">
            <v>25-092-38-05</v>
          </cell>
          <cell r="C5955" t="str">
            <v>MAXDRIVE  MMF SCHRAUBE  2,0X8MM,  STAHL</v>
          </cell>
          <cell r="D5955" t="str">
            <v>MAXDRIVE  MMF SCREW 2,0X8 MM, STEEL</v>
          </cell>
        </row>
        <row r="5956">
          <cell r="B5956" t="str">
            <v>25-092-38-72</v>
          </cell>
          <cell r="C5956" t="str">
            <v>maxDrive  MMF Schraube  2,0X8mm,  St., ster</v>
          </cell>
          <cell r="D5956" t="str">
            <v>maxDrive  MMF Screw 2,0X8mm,  St., ster</v>
          </cell>
        </row>
        <row r="5957">
          <cell r="B5957" t="str">
            <v>25-092-42-05</v>
          </cell>
          <cell r="C5957" t="str">
            <v>MAXDRIVE  MMF SCHRAUBE  2,0X12 MM, STAHL</v>
          </cell>
          <cell r="D5957" t="str">
            <v>MAXDRIVE  MMF SCREW 2,0X12 MM, STEEL</v>
          </cell>
        </row>
        <row r="5958">
          <cell r="B5958" t="str">
            <v>25-092-42-72</v>
          </cell>
          <cell r="C5958" t="str">
            <v>maxDrive  MMF Schraube  2,0X12mm, St.,ster</v>
          </cell>
          <cell r="D5958" t="str">
            <v>maxDrive  MMF Screw 2,0X12mm, St.,ster</v>
          </cell>
        </row>
        <row r="5959">
          <cell r="B5959" t="str">
            <v>25-095-90-09</v>
          </cell>
          <cell r="C5959" t="str">
            <v>I.M.F. UNTERLEGSCHEIBE 2MM-KURZ-MOD.ROMA</v>
          </cell>
          <cell r="D5959" t="str">
            <v>I.M.F. WASHER  2MM-SHORT-MOD.ROMA</v>
          </cell>
        </row>
        <row r="5960">
          <cell r="B5960" t="str">
            <v>25-095-91-09</v>
          </cell>
          <cell r="C5960" t="str">
            <v>I.M.F.-UNTERLEGSCHEIBE 2MM-LANG-MOD.ROMA</v>
          </cell>
          <cell r="D5960" t="str">
            <v>I.M.F.WASHER 2MM-LONG-MOD.ROMA</v>
          </cell>
        </row>
        <row r="5961">
          <cell r="B5961" t="str">
            <v>25-097-08-09</v>
          </cell>
          <cell r="C5961" t="str">
            <v>TI-CENTRE-DRIVE FAMI IMF-SCHRAUBEN</v>
          </cell>
          <cell r="D5961" t="str">
            <v>TI-CENTRE-DRIVE FAMI IMF-SCREWS</v>
          </cell>
        </row>
        <row r="5962">
          <cell r="B5962" t="str">
            <v>25-097-08-75</v>
          </cell>
          <cell r="C5962" t="str">
            <v>TI-CENTRE  DRIVE FAMI-SCHRAUBEN 2X8MM,STE</v>
          </cell>
          <cell r="D5962" t="str">
            <v>TI-CENTRE  DRIVE FAMI-SCREWS 2.0X8MM,STER</v>
          </cell>
        </row>
        <row r="5963">
          <cell r="B5963" t="str">
            <v>25-099-12-09</v>
          </cell>
          <cell r="C5963" t="str">
            <v>AMSTERDAM MMF SCHR., MAXDRIVE  2,0 X 12MM</v>
          </cell>
          <cell r="D5963" t="str">
            <v>AMSTERDAM MMF SCREW, MAXDRIVE  2,0 X 12MM</v>
          </cell>
        </row>
        <row r="5964">
          <cell r="B5964" t="str">
            <v>25-099-12-72</v>
          </cell>
          <cell r="C5964" t="str">
            <v>Amsterdam MMF Schr.maxDr.2x12mm,Ti.,ster</v>
          </cell>
          <cell r="D5964" t="str">
            <v>Amsterdam MMF Scr.maxDr.2x12mm,Ti.,ster</v>
          </cell>
        </row>
        <row r="5965">
          <cell r="B5965" t="str">
            <v>25-099-14-09</v>
          </cell>
          <cell r="C5965" t="str">
            <v>Amsterdam MMF Schr.maxDrive 2,0x14mm,Ti.</v>
          </cell>
          <cell r="D5965" t="str">
            <v>Amsterdam MMF Scr.maxDrive 2,0x14mm,Ti.</v>
          </cell>
        </row>
        <row r="5966">
          <cell r="B5966" t="str">
            <v>25-099-14-72</v>
          </cell>
          <cell r="C5966" t="str">
            <v>Amsterdam MMF Schr.maxDr.2x14mm,Ti.,ster</v>
          </cell>
          <cell r="D5966" t="str">
            <v>Amsterdam MMF Scr.maxDr.2x14mm,Ti.,ster</v>
          </cell>
        </row>
        <row r="5967">
          <cell r="B5967" t="str">
            <v>25-099-42-05</v>
          </cell>
          <cell r="C5967" t="str">
            <v>Amsterdam MMF Schr.maxDrive 2,0x12mm,St.</v>
          </cell>
          <cell r="D5967" t="str">
            <v>Amsterdam MMF Scr.maxDrive 2,0x12mm,St.</v>
          </cell>
        </row>
        <row r="5968">
          <cell r="B5968" t="str">
            <v>25-099-42-72</v>
          </cell>
          <cell r="C5968" t="str">
            <v>Amsterdam MMF Schr.maxDr.2x12mm,St.,ster</v>
          </cell>
          <cell r="D5968" t="str">
            <v>Amsterdam MMF Scr.maxDr.2x12mm,St.,ster</v>
          </cell>
        </row>
        <row r="5969">
          <cell r="B5969" t="str">
            <v>25-099-44-05</v>
          </cell>
          <cell r="C5969" t="str">
            <v>Amsterdam MMF Schr.maxDrive 2,0x14mm,St.</v>
          </cell>
          <cell r="D5969" t="str">
            <v>Amsterdam MMF Scr.maxDrive 2,0x14mm,St.</v>
          </cell>
        </row>
        <row r="5970">
          <cell r="B5970" t="str">
            <v>25-099-44-72</v>
          </cell>
          <cell r="C5970" t="str">
            <v>Amsterdam MMF Schr.maxDr.2x14mm,St.,ster</v>
          </cell>
          <cell r="D5970" t="str">
            <v>Amsterdam MMF Scr.maxDr.2x14mm,St.,ster</v>
          </cell>
        </row>
        <row r="5971">
          <cell r="B5971" t="str">
            <v>25-119-96-05</v>
          </cell>
          <cell r="C5971" t="str">
            <v>MUTTER F. SCHRAUBEN 4,5 MM</v>
          </cell>
          <cell r="D5971" t="str">
            <v>NUT FOR 4,5 MM SCREWS</v>
          </cell>
        </row>
        <row r="5972">
          <cell r="B5972" t="str">
            <v>25-119-99-05</v>
          </cell>
          <cell r="C5972" t="str">
            <v>UNTERLEGSCHEIBE, 13 MM</v>
          </cell>
          <cell r="D5972" t="str">
            <v>WASHER  13 MM</v>
          </cell>
        </row>
        <row r="5973">
          <cell r="B5973" t="str">
            <v>25-153-01-09</v>
          </cell>
          <cell r="C5973" t="str">
            <v>ultraOne  X-Platte, 4-Loch, 0,35mm</v>
          </cell>
          <cell r="D5973" t="str">
            <v>ultraOne  X-plate, 4-hole, 0.35 mm</v>
          </cell>
        </row>
        <row r="5974">
          <cell r="B5974" t="str">
            <v>25-153-01-71</v>
          </cell>
          <cell r="C5974" t="str">
            <v>ultraOne  X-Platte, 4-Loch, 0,35mm</v>
          </cell>
          <cell r="D5974" t="str">
            <v>ultraOne  X-plate, 4-hole, 0.35 mm</v>
          </cell>
        </row>
        <row r="5975">
          <cell r="B5975" t="str">
            <v>25-153-02-09</v>
          </cell>
          <cell r="C5975" t="str">
            <v>ultraOne  Gerade Pl., 2-Loch kurz, 0,35mm</v>
          </cell>
          <cell r="D5975" t="str">
            <v>ultraOne  straight pl, 2-h. short, 0.35mm</v>
          </cell>
        </row>
        <row r="5976">
          <cell r="B5976" t="str">
            <v>25-153-02-71</v>
          </cell>
          <cell r="C5976" t="str">
            <v>ultraOne  Gerade Pl., 2-Loch kurz, 0,35mm</v>
          </cell>
          <cell r="D5976" t="str">
            <v>ultraOne  straight pl, 2-h. short, 0.35mm</v>
          </cell>
        </row>
        <row r="5977">
          <cell r="B5977" t="str">
            <v>25-153-03-61</v>
          </cell>
          <cell r="C5977" t="str">
            <v>oneDrive  Neuro Drill-Free  Schr 1,5x3,5mm</v>
          </cell>
          <cell r="D5977" t="str">
            <v>oneDrive  Neuro Drill-Free  scr. 1.5x3.5mm</v>
          </cell>
        </row>
        <row r="5978">
          <cell r="B5978" t="str">
            <v>25-153-03-71</v>
          </cell>
          <cell r="C5978" t="str">
            <v>oneDrive  Neuro Drill-Free  Schr 1,5x3,5mm</v>
          </cell>
          <cell r="D5978" t="str">
            <v>oneDrive  Neuro Drill-Free  scr. 1.5x3.5mm</v>
          </cell>
        </row>
        <row r="5979">
          <cell r="B5979" t="str">
            <v>25-153-04-61</v>
          </cell>
          <cell r="C5979" t="str">
            <v>oneDrive  Neuro Drill-Free  Schr. 1,5x4mm</v>
          </cell>
          <cell r="D5979" t="str">
            <v>oneDrive  Neuro Drill-Free  screw 1.5x4mm</v>
          </cell>
        </row>
        <row r="5980">
          <cell r="B5980" t="str">
            <v>25-153-04-71</v>
          </cell>
          <cell r="C5980" t="str">
            <v>oneDrive  Neuro Drill-Free  Schr. 1,5x4mm</v>
          </cell>
          <cell r="D5980" t="str">
            <v>oneDrive  Neuro Drill-Free  screw 1.5x4mm</v>
          </cell>
        </row>
        <row r="5981">
          <cell r="B5981" t="str">
            <v>25-153-05-61</v>
          </cell>
          <cell r="C5981" t="str">
            <v>oneDrive  Neuro Drill-Free  Schr. 1,5x5mm</v>
          </cell>
          <cell r="D5981" t="str">
            <v>oneDrive  Neuro Drill-Free  screw 1.5x5mm</v>
          </cell>
        </row>
        <row r="5982">
          <cell r="B5982" t="str">
            <v>25-153-05-71</v>
          </cell>
          <cell r="C5982" t="str">
            <v>oneDrive  Neuro Drill-Free  Schr. 1,5x5mm</v>
          </cell>
          <cell r="D5982" t="str">
            <v>oneDrive  Neuro Drill-Free  screw 1.5x5mm</v>
          </cell>
        </row>
        <row r="5983">
          <cell r="B5983" t="str">
            <v>25-153-06-09</v>
          </cell>
          <cell r="C5983" t="str">
            <v>ultraOne  Doppel-Y-Pl., 6-Loch, 0,35mm</v>
          </cell>
          <cell r="D5983" t="str">
            <v>ultraOne  double-Y-plate, 6-hole, 0.35mm</v>
          </cell>
        </row>
        <row r="5984">
          <cell r="B5984" t="str">
            <v>25-153-06-71</v>
          </cell>
          <cell r="C5984" t="str">
            <v>ultraOne  Doppel-Y-Pl., 6-Loch, 0,35mm</v>
          </cell>
          <cell r="D5984" t="str">
            <v>ultraOne  double-Y-plate, 6-hole, 0.35mm</v>
          </cell>
        </row>
        <row r="5985">
          <cell r="B5985" t="str">
            <v>25-153-07-09</v>
          </cell>
          <cell r="C5985" t="str">
            <v>ultraOne  Y-Platte, 5-Loch, 0,35mm</v>
          </cell>
          <cell r="D5985" t="str">
            <v>ultraOne  Y-plate, 5-hole, 0.35 mm</v>
          </cell>
        </row>
        <row r="5986">
          <cell r="B5986" t="str">
            <v>25-153-07-71</v>
          </cell>
          <cell r="C5986" t="str">
            <v>ultraOne  Y-Platte, 5-Loch, 0,35mm</v>
          </cell>
          <cell r="D5986" t="str">
            <v>ultraOne  Y-plate, 5-hole, 0.35 mm</v>
          </cell>
        </row>
        <row r="5987">
          <cell r="B5987" t="str">
            <v>25-153-08-09</v>
          </cell>
          <cell r="C5987" t="str">
            <v>ultraOne  Gerade Pl., 6-Loch, 0,35mm</v>
          </cell>
          <cell r="D5987" t="str">
            <v>ultraOne  straight plate, 6-hole, 0.35mm</v>
          </cell>
        </row>
        <row r="5988">
          <cell r="B5988" t="str">
            <v>25-153-08-71</v>
          </cell>
          <cell r="C5988" t="str">
            <v>ultraOne  Gerade Pl., 6-Loch, 0,35mm</v>
          </cell>
          <cell r="D5988" t="str">
            <v>ultraOne  straight plate, 6-hole, 0.35mm</v>
          </cell>
        </row>
        <row r="5989">
          <cell r="B5989" t="str">
            <v>25-153-12-09</v>
          </cell>
          <cell r="C5989" t="str">
            <v>ultraOne  Gerade Pl., 2-Loch lang, 0,35mm</v>
          </cell>
          <cell r="D5989" t="str">
            <v>ultraOne  straight pl, 2-h. long, 0.35mm</v>
          </cell>
        </row>
        <row r="5990">
          <cell r="B5990" t="str">
            <v>25-153-12-71</v>
          </cell>
          <cell r="C5990" t="str">
            <v>ultraOne  Gerade Pl., 2-Loch lang, 0,35mm</v>
          </cell>
          <cell r="D5990" t="str">
            <v>ultraOne  straight pl, 2-h. long, 0.35mm</v>
          </cell>
        </row>
        <row r="5991">
          <cell r="B5991" t="str">
            <v>25-153-14-09</v>
          </cell>
          <cell r="C5991" t="str">
            <v>ultraOne  Gerade Pl., 4-Loch, 0,35mm</v>
          </cell>
          <cell r="D5991" t="str">
            <v>ultraOne  straight plate, 4-hole, 0.35mm</v>
          </cell>
        </row>
        <row r="5992">
          <cell r="B5992" t="str">
            <v>25-153-14-71</v>
          </cell>
          <cell r="C5992" t="str">
            <v>ultraOne  Gerade Pl., 4-Loch, 0,35mm</v>
          </cell>
          <cell r="D5992" t="str">
            <v>ultraOne  straight plate, 4-hole, 0.35mm</v>
          </cell>
        </row>
        <row r="5993">
          <cell r="B5993" t="str">
            <v>25-153-15-09</v>
          </cell>
          <cell r="C5993" t="str">
            <v>ultraOne  Bohrlochplatte Ø 12, 0,35mm</v>
          </cell>
          <cell r="D5993" t="str">
            <v>ultraOne  burr hole cover Ø12, 0.35mm</v>
          </cell>
        </row>
        <row r="5994">
          <cell r="B5994" t="str">
            <v>25-153-15-71</v>
          </cell>
          <cell r="C5994" t="str">
            <v>ultraOne  Bohrlochplatte Ø 12, 0,35mm</v>
          </cell>
          <cell r="D5994" t="str">
            <v>ultraOne  burr hole cover Ø12, 0.35mm</v>
          </cell>
        </row>
        <row r="5995">
          <cell r="B5995" t="str">
            <v>25-153-20-09</v>
          </cell>
          <cell r="C5995" t="str">
            <v>ultraOne  Bohrlochpl  Ø18,Drainage, 0,35mm</v>
          </cell>
          <cell r="D5995" t="str">
            <v>ultraOne  burr hole cover Ø18,drain,0.35m</v>
          </cell>
        </row>
        <row r="5996">
          <cell r="B5996" t="str">
            <v>25-153-20-71</v>
          </cell>
          <cell r="C5996" t="str">
            <v>ultraOne  Bohrlochpl  Ø18,Drainage, 0,35mm</v>
          </cell>
          <cell r="D5996" t="str">
            <v>ultraOne  burr hole cover Ø18,drain,0.35m</v>
          </cell>
        </row>
        <row r="5997">
          <cell r="B5997" t="str">
            <v>25-153-21-09</v>
          </cell>
          <cell r="C5997" t="str">
            <v>ultraOne  Bohrlochplatte Ø 18, 0,35mm</v>
          </cell>
          <cell r="D5997" t="str">
            <v>ultraOne  burr hole cover Ø18, 0.35mm</v>
          </cell>
        </row>
        <row r="5998">
          <cell r="B5998" t="str">
            <v>25-153-21-71</v>
          </cell>
          <cell r="C5998" t="str">
            <v>ultraOne  Bohrlochplatte Ø 18, 0,35mm</v>
          </cell>
          <cell r="D5998" t="str">
            <v>ultraOne  burr hole cover Ø18, 0.35mm</v>
          </cell>
        </row>
        <row r="5999">
          <cell r="B5999" t="str">
            <v>25-153-22-09</v>
          </cell>
          <cell r="C5999" t="str">
            <v>ultraOne  Gitterplatte, 2x2-Loch,  0,35mm</v>
          </cell>
          <cell r="D5999" t="str">
            <v>ultraOne  grid plate, 2x2-hole,  0.35mm</v>
          </cell>
        </row>
        <row r="6000">
          <cell r="B6000" t="str">
            <v>25-153-22-71</v>
          </cell>
          <cell r="C6000" t="str">
            <v>ultraOne  Gitterplatte, 2x2-Loch,  0,35mm</v>
          </cell>
          <cell r="D6000" t="str">
            <v>ultraOne  grid plate, 2x2-hole,  0.35mm</v>
          </cell>
        </row>
        <row r="6001">
          <cell r="B6001" t="str">
            <v>25-153-25-09</v>
          </cell>
          <cell r="C6001" t="str">
            <v>ultraOne  Bohrlochplatte Ø 23, 0,35mm</v>
          </cell>
          <cell r="D6001" t="str">
            <v>ultraOne  burr hole cover Ø23, 0.35mm</v>
          </cell>
        </row>
        <row r="6002">
          <cell r="B6002" t="str">
            <v>25-153-25-71</v>
          </cell>
          <cell r="C6002" t="str">
            <v>ultraOne  Bohrlochplatte Ø 23, 0,35mm</v>
          </cell>
          <cell r="D6002" t="str">
            <v>ultraOne  burr hole cover Ø23, 0.35mm</v>
          </cell>
        </row>
        <row r="6003">
          <cell r="B6003" t="str">
            <v>25-153-32-09</v>
          </cell>
          <cell r="C6003" t="str">
            <v>ultraOne  Gitterplatte, 3x2-Loch,  0,35mm</v>
          </cell>
          <cell r="D6003" t="str">
            <v>ultraOne  grid plate, 3x2-hole,  0.35mm</v>
          </cell>
        </row>
        <row r="6004">
          <cell r="B6004" t="str">
            <v>25-153-32-71</v>
          </cell>
          <cell r="C6004" t="str">
            <v>ultraOne  Gitterplatte, 3x2-Loch,  0,35mm</v>
          </cell>
          <cell r="D6004" t="str">
            <v>ultraOne  grid plate, 3x2-hole,  0.35mm</v>
          </cell>
        </row>
        <row r="6005">
          <cell r="B6005" t="str">
            <v>25-153-44-61</v>
          </cell>
          <cell r="C6005" t="str">
            <v>oneDrive  Neuro Notfall-Schraube 1,8x4mm</v>
          </cell>
          <cell r="D6005" t="str">
            <v>oneDrive  Neuro Emergency  screw 1.8x4mm</v>
          </cell>
        </row>
        <row r="6006">
          <cell r="B6006" t="str">
            <v>25-153-44-71</v>
          </cell>
          <cell r="C6006" t="str">
            <v>oneDrive  Neuro Notfall-Schraube 1,8x4mm</v>
          </cell>
          <cell r="D6006" t="str">
            <v>oneDrive  Neuro Emergency  screw 1.8x4mm</v>
          </cell>
        </row>
        <row r="6007">
          <cell r="B6007" t="str">
            <v>25-153-45-61</v>
          </cell>
          <cell r="C6007" t="str">
            <v>oneDrive  Neuro Notfall Schraube  1,8x5mm</v>
          </cell>
          <cell r="D6007" t="str">
            <v>oneDrive  Neuro Emergency  screw 1.8x5mm</v>
          </cell>
        </row>
        <row r="6008">
          <cell r="B6008" t="str">
            <v>25-153-45-71</v>
          </cell>
          <cell r="C6008" t="str">
            <v>oneDrive  Neuro Notfall Schraube  1,8x5mm</v>
          </cell>
          <cell r="D6008" t="str">
            <v>oneDrive  Neuro Emergency  screw 1.8x5mm</v>
          </cell>
        </row>
        <row r="6009">
          <cell r="B6009" t="str">
            <v>25-153-85-09</v>
          </cell>
          <cell r="C6009" t="str">
            <v>ultraOne  Mesh, 85x50mm,  0,35 mm</v>
          </cell>
          <cell r="D6009" t="str">
            <v>ultraOne  mesh, 85x50mm,  0.35mm</v>
          </cell>
        </row>
        <row r="6010">
          <cell r="B6010" t="str">
            <v>25-153-85-71</v>
          </cell>
          <cell r="C6010" t="str">
            <v>ultraOne  Mesh, 85x50mm,  0,35 mm</v>
          </cell>
          <cell r="D6010" t="str">
            <v>ultraOne  mesh, 85x50mm,  0.35mm</v>
          </cell>
        </row>
        <row r="6011">
          <cell r="B6011" t="str">
            <v>25-213-99-07</v>
          </cell>
          <cell r="C6011" t="str">
            <v>KREUZSCHLITZ-SCHRAUBENDREHER, 2,5 MM</v>
          </cell>
          <cell r="D6011" t="str">
            <v>SCREWDRIVER,CRUZIF.1,5-2,0MM</v>
          </cell>
        </row>
        <row r="6012">
          <cell r="B6012" t="str">
            <v>25-229-20-07</v>
          </cell>
          <cell r="C6012" t="str">
            <v>BIEGEZANGE, GROSS, MIT 2 EINSAETZEN</v>
          </cell>
          <cell r="D6012" t="str">
            <v>BENDING  PLIERS</v>
          </cell>
        </row>
        <row r="6013">
          <cell r="B6013" t="str">
            <v>25-229-30-07</v>
          </cell>
          <cell r="C6013" t="str">
            <v>BIEGEPRESSE FUER KNOCHENPLATTEN</v>
          </cell>
          <cell r="D6013" t="str">
            <v>BENDING  PRESS</v>
          </cell>
        </row>
        <row r="6014">
          <cell r="B6014" t="str">
            <v>25-240-04-09</v>
          </cell>
          <cell r="C6014" t="str">
            <v>2.0 Miniplatte,  80° gedr, 4-Loch, rechts</v>
          </cell>
          <cell r="D6014" t="str">
            <v>2.0 Miniplate,  80°turned,  4-Holes, right</v>
          </cell>
        </row>
        <row r="6015">
          <cell r="B6015" t="str">
            <v>25-240-06-09</v>
          </cell>
          <cell r="C6015" t="str">
            <v>2.0 Miniplatte,  110°gedr,  6-Loch, rechts</v>
          </cell>
          <cell r="D6015" t="str">
            <v>2.0 Miniplate,  110°turned, 6-Holes,right</v>
          </cell>
        </row>
        <row r="6016">
          <cell r="B6016" t="str">
            <v>25-241-04-09</v>
          </cell>
          <cell r="C6016" t="str">
            <v>2.0 Miniplatte,  80° gedr, 4-Loch, links</v>
          </cell>
          <cell r="D6016" t="str">
            <v>2.0 Miniplate,  80°turned,  4-Holes, left</v>
          </cell>
        </row>
        <row r="6017">
          <cell r="B6017" t="str">
            <v>25-241-06-09</v>
          </cell>
          <cell r="C6017" t="str">
            <v>2.0 Miniplatte,  110° gedr, 6-Loch,links</v>
          </cell>
          <cell r="D6017" t="str">
            <v>2.0 Miniplate,  110°turned, 6-Holes, left</v>
          </cell>
        </row>
        <row r="6018">
          <cell r="B6018" t="str">
            <v>25-283-05-09</v>
          </cell>
          <cell r="C6018" t="str">
            <v>RHOMBUS  3D-PLATTE, VERRIEGELND</v>
          </cell>
          <cell r="D6018" t="str">
            <v>RHOMBUS  3D CONDYLE  PLATE, LOCKING</v>
          </cell>
        </row>
        <row r="6019">
          <cell r="B6019" t="str">
            <v>25-283-05-71</v>
          </cell>
          <cell r="C6019" t="str">
            <v>RHOMBUS  3D-PLATTE, VERRIEGELND</v>
          </cell>
          <cell r="D6019" t="str">
            <v>RHOMBUS  3D CONDYLE  PLATE, LOCKING</v>
          </cell>
        </row>
        <row r="6020">
          <cell r="B6020" t="str">
            <v>25-283-15-71</v>
          </cell>
          <cell r="C6020" t="str">
            <v>Subkondyl.  Platte,4-Loch,Trapez, 3D,ster</v>
          </cell>
          <cell r="D6020" t="str">
            <v>Subcondylar Plate,4-hole,Trapez.,3D,ster</v>
          </cell>
        </row>
        <row r="6021">
          <cell r="B6021" t="str">
            <v>25-283-15-91</v>
          </cell>
          <cell r="C6021" t="str">
            <v>Subkondyläre Platte,4-Loch,Trapez, 3D</v>
          </cell>
          <cell r="D6021" t="str">
            <v>Subcondylar Plate,4-hole,Trapezoid, 3D</v>
          </cell>
        </row>
        <row r="6022">
          <cell r="B6022" t="str">
            <v>25-283-20-71</v>
          </cell>
          <cell r="C6022" t="str">
            <v>Subkondyläre Platte,7-Loch,rechts,steril</v>
          </cell>
          <cell r="D6022" t="str">
            <v>Subcondylar Plate,7-hole,right,sterile</v>
          </cell>
        </row>
        <row r="6023">
          <cell r="B6023" t="str">
            <v>25-283-20-91</v>
          </cell>
          <cell r="C6023" t="str">
            <v>Subkondyläre Platte,7-Loch,rechts</v>
          </cell>
          <cell r="D6023" t="str">
            <v>Subcondylar Plate,7-hole,right</v>
          </cell>
        </row>
        <row r="6024">
          <cell r="B6024" t="str">
            <v>25-283-21-71</v>
          </cell>
          <cell r="C6024" t="str">
            <v>Subkondyläre Platte,7-Loch,links,steril</v>
          </cell>
          <cell r="D6024" t="str">
            <v>Subcondylar Plate,7-hole,left,sterile</v>
          </cell>
        </row>
        <row r="6025">
          <cell r="B6025" t="str">
            <v>25-283-21-91</v>
          </cell>
          <cell r="C6025" t="str">
            <v>Subkondyläre Platte,7-Loch,links</v>
          </cell>
          <cell r="D6025" t="str">
            <v>Subcondylar Plate,7-hole,left</v>
          </cell>
        </row>
        <row r="6026">
          <cell r="B6026" t="str">
            <v>25-283-25-71</v>
          </cell>
          <cell r="C6026" t="str">
            <v>Subkondyl.  Platte,9-Loch,rechts,3D,steri</v>
          </cell>
          <cell r="D6026" t="str">
            <v>Subcondylar Plate,9-hole,right,3D,ster.</v>
          </cell>
        </row>
        <row r="6027">
          <cell r="B6027" t="str">
            <v>25-283-25-91</v>
          </cell>
          <cell r="C6027" t="str">
            <v>Subkondyläre Platte,9-Loch,rechts,3D</v>
          </cell>
          <cell r="D6027" t="str">
            <v>Subcondylar Plate,9-hole,right,3D</v>
          </cell>
        </row>
        <row r="6028">
          <cell r="B6028" t="str">
            <v>25-283-26-71</v>
          </cell>
          <cell r="C6028" t="str">
            <v>Subkondyläre Platte,9-Loch,links,3D,ster</v>
          </cell>
          <cell r="D6028" t="str">
            <v>Subcondylar Plate,9-hole,left,3D,sterile</v>
          </cell>
        </row>
        <row r="6029">
          <cell r="B6029" t="str">
            <v>25-283-26-91</v>
          </cell>
          <cell r="C6029" t="str">
            <v>Subkondyläre Platte,9-Loch,links,3D</v>
          </cell>
          <cell r="D6029" t="str">
            <v>Subcondylar Plate,9-hole,left,3D</v>
          </cell>
        </row>
        <row r="6030">
          <cell r="B6030" t="str">
            <v>25-285-05-09</v>
          </cell>
          <cell r="C6030" t="str">
            <v>RHOMBUS  3D-PLATTE</v>
          </cell>
          <cell r="D6030" t="str">
            <v>RHOMBUS  3D CONDYLE  PLATE</v>
          </cell>
        </row>
        <row r="6031">
          <cell r="B6031" t="str">
            <v>25-285-05-71</v>
          </cell>
          <cell r="C6031" t="str">
            <v>RHOMBUS  3D-PLATTE</v>
          </cell>
          <cell r="D6031" t="str">
            <v>RHOMBUS  3D CONDYLE  PLATE</v>
          </cell>
        </row>
        <row r="6032">
          <cell r="B6032" t="str">
            <v>25-285-10-91</v>
          </cell>
          <cell r="C6032" t="str">
            <v>Minipl. 2,0, 4-Loch, Trapez</v>
          </cell>
          <cell r="D6032" t="str">
            <v>Minipl. 2.0, 4-Hole, trapezoid</v>
          </cell>
        </row>
        <row r="6033">
          <cell r="B6033" t="str">
            <v>25-288-08-09</v>
          </cell>
          <cell r="C6033" t="str">
            <v>Subkondyläre Platte, 8-Loch, rechts</v>
          </cell>
          <cell r="D6033" t="str">
            <v>Subcondylar Plate, 8-hole, right</v>
          </cell>
        </row>
        <row r="6034">
          <cell r="B6034" t="str">
            <v>25-289-08-09</v>
          </cell>
          <cell r="C6034" t="str">
            <v>Subkondyläre Platte, 8-Loch, links</v>
          </cell>
          <cell r="D6034" t="str">
            <v>Subcondylar Plate, 8-hole, left</v>
          </cell>
        </row>
        <row r="6035">
          <cell r="B6035" t="str">
            <v>25-291-45-01</v>
          </cell>
          <cell r="C6035" t="str">
            <v>DRAHTUMFUEHRUNGS-INSTRUMENT, 45 MM</v>
          </cell>
          <cell r="D6035" t="str">
            <v>WIRE PASSER, 45MM</v>
          </cell>
        </row>
        <row r="6036">
          <cell r="B6036" t="str">
            <v>25-291-70-01</v>
          </cell>
          <cell r="C6036" t="str">
            <v>DRAHTUMFUEHRUNGS-INSTRUMENT, 70 MM</v>
          </cell>
          <cell r="D6036" t="str">
            <v>WIRE PASSER, 70MM</v>
          </cell>
        </row>
        <row r="6037">
          <cell r="B6037" t="str">
            <v>25-301-01-09</v>
          </cell>
          <cell r="C6037" t="str">
            <v>ORTHO ANCHORAGE PLATTE 4-LOCH GERADE</v>
          </cell>
          <cell r="D6037" t="str">
            <v>ORTHO ANCHORAGE PLATE 4-HOLE STRAIGHT</v>
          </cell>
        </row>
        <row r="6038">
          <cell r="B6038" t="str">
            <v>25-301-02-09</v>
          </cell>
          <cell r="C6038" t="str">
            <v>ORTHO ANCHORAGE PLATTE 2-LOCH GERADE</v>
          </cell>
          <cell r="D6038" t="str">
            <v>ORTHO ANCHORAGE PLATE 2-HOLE STRAIGHT</v>
          </cell>
        </row>
        <row r="6039">
          <cell r="B6039" t="str">
            <v>25-301-03-09</v>
          </cell>
          <cell r="C6039" t="str">
            <v>ORTHO ANCHORAGE PLATTE 4-LOCH KREUZ KURZ</v>
          </cell>
          <cell r="D6039" t="str">
            <v>ORTHO ANCHORAGE PLATE 4-HOLE CROSS SHORT</v>
          </cell>
        </row>
        <row r="6040">
          <cell r="B6040" t="str">
            <v>25-301-04-09</v>
          </cell>
          <cell r="C6040" t="str">
            <v>ORTHO ANCHORAGE PLATTE 4-LOCH KREUZ LANG</v>
          </cell>
          <cell r="D6040" t="str">
            <v>ORTHO ANCHORAGE PLATE 4-HOLE CROSS LONG</v>
          </cell>
        </row>
        <row r="6041">
          <cell r="B6041" t="str">
            <v>25-301-05-09</v>
          </cell>
          <cell r="C6041" t="str">
            <v>ORTHO. VERANKERUNGSPL. PALATAL,  5-LOCH</v>
          </cell>
          <cell r="D6041" t="str">
            <v>ORTHO. PALATAL  ANCHORAGE PLATE, 5-HOLES</v>
          </cell>
        </row>
        <row r="6042">
          <cell r="B6042" t="str">
            <v>25-301-06-09</v>
          </cell>
          <cell r="C6042" t="str">
            <v>ORTHO ANCHORAGE PLATTE 4-LOCH, KREUZ, XL</v>
          </cell>
          <cell r="D6042" t="str">
            <v>ORTHO ANCHORAGE PLATE 4-HOLE, CROSS, XL</v>
          </cell>
        </row>
        <row r="6043">
          <cell r="B6043" t="str">
            <v>25-301-15-09</v>
          </cell>
          <cell r="C6043" t="str">
            <v>KFO-Platte, Kretschmer, kurz</v>
          </cell>
          <cell r="D6043" t="str">
            <v>Ortho Anchor Plate, Kretschmer, short</v>
          </cell>
        </row>
        <row r="6044">
          <cell r="B6044" t="str">
            <v>25-301-16-09</v>
          </cell>
          <cell r="C6044" t="str">
            <v>KFO-Platte, Kretschmer, lang</v>
          </cell>
          <cell r="D6044" t="str">
            <v>Ortho Anchor Plate, Kretschmer, long</v>
          </cell>
        </row>
        <row r="6045">
          <cell r="B6045" t="str">
            <v>25-301-17-09</v>
          </cell>
          <cell r="C6045" t="str">
            <v>KFO-Platte, Kreuzform,  Steg 17mm, 1,0mm</v>
          </cell>
          <cell r="D6045" t="str">
            <v>Ortho Anchor Plate, cross, 17 mm, 1.0mm</v>
          </cell>
        </row>
        <row r="6046">
          <cell r="B6046" t="str">
            <v>25-301-19-09</v>
          </cell>
          <cell r="C6046" t="str">
            <v>KFO-Platte, Kreuzform,  Steg 19mm, 1,0mm</v>
          </cell>
          <cell r="D6046" t="str">
            <v>Ortho Anchor Plate, cross, 19 mm, 1.0mm</v>
          </cell>
        </row>
        <row r="6047">
          <cell r="B6047" t="str">
            <v>25-301-20-09</v>
          </cell>
          <cell r="C6047" t="str">
            <v>ORTHOANCHOR PLATTE, X-FORM,  12MM</v>
          </cell>
          <cell r="D6047" t="str">
            <v>PLATE ORTHO 1.5 X-SHAPE 4-HOLE</v>
          </cell>
        </row>
        <row r="6048">
          <cell r="B6048" t="str">
            <v>25-301-21-09</v>
          </cell>
          <cell r="C6048" t="str">
            <v>Ortho Anch. Pl. mit Haken, 3L,9mm Brücke</v>
          </cell>
          <cell r="D6048" t="str">
            <v>Ortho Anch. Pl,open loop, 3H.,9mm  Bridge</v>
          </cell>
        </row>
        <row r="6049">
          <cell r="B6049" t="str">
            <v>25-301-22-09</v>
          </cell>
          <cell r="C6049" t="str">
            <v>Ortho Anch. Pl. mit Haken,3L,12mm Brücke</v>
          </cell>
          <cell r="D6049" t="str">
            <v>Ortho Anch. Pl,open loop,3H.,12mm Bridge</v>
          </cell>
        </row>
        <row r="6050">
          <cell r="B6050" t="str">
            <v>25-301-23-09</v>
          </cell>
          <cell r="C6050" t="str">
            <v>Vertical Control Platte m. Haken,T=0,8mm</v>
          </cell>
          <cell r="D6050" t="str">
            <v>Vertical Control Plate w. hook, T=0.8 mm</v>
          </cell>
        </row>
        <row r="6051">
          <cell r="B6051" t="str">
            <v>25-301-31-09</v>
          </cell>
          <cell r="C6051" t="str">
            <v>KFO-Platte, 4-Loch, mit Haken, links</v>
          </cell>
          <cell r="D6051" t="str">
            <v>Ortho Anchor Plate, 4-Hole w. hook, left</v>
          </cell>
        </row>
        <row r="6052">
          <cell r="B6052" t="str">
            <v>25-301-32-09</v>
          </cell>
          <cell r="C6052" t="str">
            <v>KFO-Platte, 4-Loch, mit Haken, rechts</v>
          </cell>
          <cell r="D6052" t="str">
            <v>Ortho Anchor Plate, 4-Hole w hook, right</v>
          </cell>
        </row>
        <row r="6053">
          <cell r="B6053" t="str">
            <v>25-301-33-09</v>
          </cell>
          <cell r="C6053" t="str">
            <v>OrthoAnchor Platte,4Loch,mit Haken,li</v>
          </cell>
          <cell r="D6053" t="str">
            <v>ORTHO ANCHORAGE PLATE C-TUBE LEFT</v>
          </cell>
        </row>
        <row r="6054">
          <cell r="B6054" t="str">
            <v>25-301-34-09</v>
          </cell>
          <cell r="C6054" t="str">
            <v>OrthoAnchor Platte,4Loch,mit Haken,re</v>
          </cell>
          <cell r="D6054" t="str">
            <v>ORTHO ANCHORAGE PLATE C-TUBE RIGHT</v>
          </cell>
        </row>
        <row r="6055">
          <cell r="B6055" t="str">
            <v>25-301-35-09</v>
          </cell>
          <cell r="C6055" t="str">
            <v>OrthoAnchor Platte,4Loch,Haken,li,TForm</v>
          </cell>
          <cell r="D6055" t="str">
            <v>ORTHO ANCHORAGE C-TUBE PLATE</v>
          </cell>
        </row>
        <row r="6056">
          <cell r="B6056" t="str">
            <v>25-301-36-09</v>
          </cell>
          <cell r="C6056" t="str">
            <v>OrthoAnchor Platte,4Loch,Haken,re,TForm</v>
          </cell>
          <cell r="D6056" t="str">
            <v>ORTHO ANCHORAGE C-TUBE PLATE</v>
          </cell>
        </row>
        <row r="6057">
          <cell r="B6057" t="str">
            <v>25-302-09-09</v>
          </cell>
          <cell r="C6057" t="str">
            <v>MI-LeFort1  Platte,2.0,2-L,T=0.6,Steg 5mm</v>
          </cell>
          <cell r="D6057" t="str">
            <v>MI-LeFort1  Plate,2.0,2-H,T=0.6,bar 5mm</v>
          </cell>
        </row>
        <row r="6058">
          <cell r="B6058" t="str">
            <v>25-302-10-71</v>
          </cell>
          <cell r="C6058" t="str">
            <v>NEURO FLAPFIXKIT  6x1.5x4+3x2-LOCHPLATTE</v>
          </cell>
          <cell r="D6058" t="str">
            <v>NEURO FLAPFIXKIT  6x1.5x4+3x2-HOLE PLATE</v>
          </cell>
        </row>
        <row r="6059">
          <cell r="B6059" t="str">
            <v>25-302-11-09</v>
          </cell>
          <cell r="C6059" t="str">
            <v>MI-LeFort1  Platte,2.0,2-L,T=0.6,Steg 7mm</v>
          </cell>
          <cell r="D6059" t="str">
            <v>MI-LeFort1  Plate,2.0,2-H,T=0.6,bar 7mm</v>
          </cell>
        </row>
        <row r="6060">
          <cell r="B6060" t="str">
            <v>25-302-12-09</v>
          </cell>
          <cell r="C6060" t="str">
            <v>MIKROPL.,  1,5, 2-LOCH, GERADE,  LANG</v>
          </cell>
          <cell r="D6060" t="str">
            <v>MICRO PL., 1.5, 2-HOLES,  STRAIGHT,  LONG</v>
          </cell>
        </row>
        <row r="6061">
          <cell r="B6061" t="str">
            <v>25-302-12-25</v>
          </cell>
          <cell r="C6061" t="str">
            <v>MIKROPL.,  1,5, 2-LOCH, GERADE,  LANG</v>
          </cell>
          <cell r="D6061" t="str">
            <v>MICRO PL., 1.5, 2-HOLES,  STRAIGHT,  LONG</v>
          </cell>
        </row>
        <row r="6062">
          <cell r="B6062" t="str">
            <v>25-302-12-71</v>
          </cell>
          <cell r="C6062" t="str">
            <v>MIKROPL.,  1,5, 2-LOCH, GERADE,  LANG</v>
          </cell>
          <cell r="D6062" t="str">
            <v>MICRO PL., 1.5, 2-HOLES,  STRAIGHT,  LONG</v>
          </cell>
        </row>
        <row r="6063">
          <cell r="B6063" t="str">
            <v>25-302-12-89</v>
          </cell>
          <cell r="C6063" t="str">
            <v>Template  für 25-302-12</v>
          </cell>
          <cell r="D6063" t="str">
            <v>Template  for 25-302-12</v>
          </cell>
        </row>
        <row r="6064">
          <cell r="B6064" t="str">
            <v>25-302-12-91</v>
          </cell>
          <cell r="C6064" t="str">
            <v>MIKROPL.,  1,5, 2-LOCH, GERADE,  LANG</v>
          </cell>
          <cell r="D6064" t="str">
            <v>MICRO PL., 1.5, 2-HOLES,  STRAIGHT,  LONG</v>
          </cell>
        </row>
        <row r="6065">
          <cell r="B6065" t="str">
            <v>25-302-13-09</v>
          </cell>
          <cell r="C6065" t="str">
            <v>MIKRO PL LP, 1,5, 2-LOCH, GERADE,  LANG</v>
          </cell>
          <cell r="D6065" t="str">
            <v>MICRO PL LP, 1.5, 2-HOLE, STRAIGHT,  LONG</v>
          </cell>
        </row>
        <row r="6066">
          <cell r="B6066" t="str">
            <v>25-302-13-71</v>
          </cell>
          <cell r="C6066" t="str">
            <v>MIKRO PL LP,1,5,2-LOCH,GERADE,LANG,STER.</v>
          </cell>
          <cell r="D6066" t="str">
            <v>MICRO PL LP,1.5,2-HOLE,STR.,LONG,STER</v>
          </cell>
        </row>
        <row r="6067">
          <cell r="B6067" t="str">
            <v>25-302-70-09</v>
          </cell>
          <cell r="C6067" t="str">
            <v>MIKROPL.,  1,5, 2-LOCH, GERADE,  MITTEL</v>
          </cell>
          <cell r="D6067" t="str">
            <v>MICRO PL., 1.5, 2-HOLES,  STRAIGHT,MEDIUM</v>
          </cell>
        </row>
        <row r="6068">
          <cell r="B6068" t="str">
            <v>25-302-70-71</v>
          </cell>
          <cell r="C6068" t="str">
            <v>MIKROPL.1,5, 2-LOCH,GERADE,MITTEL,STERIL</v>
          </cell>
          <cell r="D6068" t="str">
            <v>MICRO PL 1.5,2-HOLE,STRAIGHT,MED,STERILE</v>
          </cell>
        </row>
        <row r="6069">
          <cell r="B6069" t="str">
            <v>25-302-70-89</v>
          </cell>
          <cell r="C6069" t="str">
            <v>Template  für 25-302-70</v>
          </cell>
          <cell r="D6069" t="str">
            <v>Template  for 25-302-70</v>
          </cell>
        </row>
        <row r="6070">
          <cell r="B6070" t="str">
            <v>25-302-70-91</v>
          </cell>
          <cell r="C6070" t="str">
            <v>MIKROPL.,  1,5, 2-LOCH, GERADE,  MITTEL</v>
          </cell>
          <cell r="D6070" t="str">
            <v>MICRO PL., 1.5, 2-HOLES,  STRAIGHT,MEDIUM</v>
          </cell>
        </row>
        <row r="6071">
          <cell r="B6071" t="str">
            <v>25-302-71-09</v>
          </cell>
          <cell r="C6071" t="str">
            <v>LP NEURO PLATTE, GERADE,  2-LOCH, KURZ</v>
          </cell>
          <cell r="D6071" t="str">
            <v>LP NEURO PLATE, STRAIGHT,  2-HOLE, SHORT</v>
          </cell>
        </row>
        <row r="6072">
          <cell r="B6072" t="str">
            <v>25-302-71-71</v>
          </cell>
          <cell r="C6072" t="str">
            <v>LP NEURO PL., GERADE,2-LOCH,KURZ,STER.</v>
          </cell>
          <cell r="D6072" t="str">
            <v>LP NEURO PLATE, STR.,2-HOLE,SHORT,STER</v>
          </cell>
        </row>
        <row r="6073">
          <cell r="B6073" t="str">
            <v>25-302-72-09</v>
          </cell>
          <cell r="C6073" t="str">
            <v>LP NEURO PLATTE, GERADE,  2-LOCH, MITTEL</v>
          </cell>
          <cell r="D6073" t="str">
            <v>LP NEURO PLATE, STRAIGHT,  2-HOLE, MEDIUM</v>
          </cell>
        </row>
        <row r="6074">
          <cell r="B6074" t="str">
            <v>25-302-72-71</v>
          </cell>
          <cell r="C6074" t="str">
            <v>LP NEURO PL.,GERADE,2-LOCH,MITTEL, STER.</v>
          </cell>
          <cell r="D6074" t="str">
            <v>LP NEURO PLATE,STR.,2-HOLE,MEDIUM,STER</v>
          </cell>
        </row>
        <row r="6075">
          <cell r="B6075" t="str">
            <v>25-304-00-09</v>
          </cell>
          <cell r="C6075" t="str">
            <v>MIKROPL.,  1,5, 4-LOCH, GERADE</v>
          </cell>
          <cell r="D6075" t="str">
            <v>MICRO PL., 1.5, 4-HOLES,  STRAIGHT</v>
          </cell>
        </row>
        <row r="6076">
          <cell r="B6076" t="str">
            <v>25-304-00-71</v>
          </cell>
          <cell r="C6076" t="str">
            <v>MIKROPLATTE 1,5, 4-LOCH,GERADE, STERIL</v>
          </cell>
          <cell r="D6076" t="str">
            <v>MICRO PLATE 1.5,4-HOLE,STRAIGHT, STERILE</v>
          </cell>
        </row>
        <row r="6077">
          <cell r="B6077" t="str">
            <v>25-304-00-88</v>
          </cell>
          <cell r="C6077" t="str">
            <v>L1 Midface,  Sizer für 25-304-00</v>
          </cell>
          <cell r="D6077" t="str">
            <v>L1 Midface,  Sizer for 25-304-00</v>
          </cell>
        </row>
        <row r="6078">
          <cell r="B6078" t="str">
            <v>25-304-00-89</v>
          </cell>
          <cell r="C6078" t="str">
            <v>Template  für 25-304-00</v>
          </cell>
          <cell r="D6078" t="str">
            <v>Template  for 25-304-00</v>
          </cell>
        </row>
        <row r="6079">
          <cell r="B6079" t="str">
            <v>25-304-00-91</v>
          </cell>
          <cell r="C6079" t="str">
            <v>MIKROPL.,  1,5, 4-LOCH, GERADE</v>
          </cell>
          <cell r="D6079" t="str">
            <v>MICRO PL., 1.5, 4-HOLES,  STRAIGHT</v>
          </cell>
        </row>
        <row r="6080">
          <cell r="B6080" t="str">
            <v>25-304-01-09</v>
          </cell>
          <cell r="C6080" t="str">
            <v>LP NEURO PLATTE, GERADE,  4-LOCH</v>
          </cell>
          <cell r="D6080" t="str">
            <v>LP NEURO PLATE, STRAIGHT,  4-HOLE</v>
          </cell>
        </row>
        <row r="6081">
          <cell r="B6081" t="str">
            <v>25-304-01-71</v>
          </cell>
          <cell r="C6081" t="str">
            <v>LP NEURO PLATTE, GERADE,  4-LOCH, STER.</v>
          </cell>
          <cell r="D6081" t="str">
            <v>LP NEURO PLATE, STRAIGHT,  4-HOLE, STER</v>
          </cell>
        </row>
        <row r="6082">
          <cell r="B6082" t="str">
            <v>25-304-55-09</v>
          </cell>
          <cell r="C6082" t="str">
            <v>MIKROPL.,  1,5, 4-LOCH, GERADE,  KURZ</v>
          </cell>
          <cell r="D6082" t="str">
            <v>MICRO PL., 1.5, 4-HOLES,  STRAIGHT,  SHORT</v>
          </cell>
        </row>
        <row r="6083">
          <cell r="B6083" t="str">
            <v>25-304-55-71</v>
          </cell>
          <cell r="C6083" t="str">
            <v>MIKROPL.1,5, 4-LOCH,GERADE, KURZ, STERIL</v>
          </cell>
          <cell r="D6083" t="str">
            <v>MICRO PL 1.5,4-HOLE,STRAIGHT,SHO,STERILE</v>
          </cell>
        </row>
        <row r="6084">
          <cell r="B6084" t="str">
            <v>25-304-55-88</v>
          </cell>
          <cell r="C6084" t="str">
            <v>L1 Midface,  Sizer für 25-304-55</v>
          </cell>
          <cell r="D6084" t="str">
            <v>L1 Midface,  Sizer for 25-304-55</v>
          </cell>
        </row>
        <row r="6085">
          <cell r="B6085" t="str">
            <v>25-304-55-89</v>
          </cell>
          <cell r="C6085" t="str">
            <v>Template  für 25-304-55</v>
          </cell>
          <cell r="D6085" t="str">
            <v>Template  for 25-304-55</v>
          </cell>
        </row>
        <row r="6086">
          <cell r="B6086" t="str">
            <v>25-304-55-91</v>
          </cell>
          <cell r="C6086" t="str">
            <v>MIKROPL.,  1,5, 4-LOCH, GERADE,  KURZ</v>
          </cell>
          <cell r="D6086" t="str">
            <v>MICRO PL., 1.5, 4-HOLES,  STRAIGHT,  SHORT</v>
          </cell>
        </row>
        <row r="6087">
          <cell r="B6087" t="str">
            <v>25-304-70-09</v>
          </cell>
          <cell r="C6087" t="str">
            <v>MIKROPL.,  1,5, 4-LOCH, GERADE,  MITTEL</v>
          </cell>
          <cell r="D6087" t="str">
            <v>MICRO PL., 1.5, 4-HOLES,  STRAIGHT,MEDIUM</v>
          </cell>
        </row>
        <row r="6088">
          <cell r="B6088" t="str">
            <v>25-304-70-71</v>
          </cell>
          <cell r="C6088" t="str">
            <v>MIKROPL.1,5, 4-LOCH,GERADE,MITTEL,STERIL</v>
          </cell>
          <cell r="D6088" t="str">
            <v>MICRO PL 1.5,4-HOLE,STRAIGHT,MED,STERILE</v>
          </cell>
        </row>
        <row r="6089">
          <cell r="B6089" t="str">
            <v>25-304-70-88</v>
          </cell>
          <cell r="C6089" t="str">
            <v>L1 Midface,  Sizer für 25-304-70</v>
          </cell>
          <cell r="D6089" t="str">
            <v>L1 Midface,  Sizer for 25-304-70</v>
          </cell>
        </row>
        <row r="6090">
          <cell r="B6090" t="str">
            <v>25-304-70-89</v>
          </cell>
          <cell r="C6090" t="str">
            <v>Template  für 25-304-70</v>
          </cell>
          <cell r="D6090" t="str">
            <v>Template  for 25-304-70</v>
          </cell>
        </row>
        <row r="6091">
          <cell r="B6091" t="str">
            <v>25-304-70-91</v>
          </cell>
          <cell r="C6091" t="str">
            <v>MIKROPL.,  1,5, 4-LOCH, GERADE,  MITTEL</v>
          </cell>
          <cell r="D6091" t="str">
            <v>MICRO PL., 1.5, 4-HOLES,  STRAIGHT,MEDIUM</v>
          </cell>
        </row>
        <row r="6092">
          <cell r="B6092" t="str">
            <v>25-304-85-09</v>
          </cell>
          <cell r="C6092" t="str">
            <v>MIKROPL.,  1,5, 4-LOCH, GERADE,  LANG</v>
          </cell>
          <cell r="D6092" t="str">
            <v>MICRO PL., 1.5, 4-HOLES,  STRAIGHT,  LONG</v>
          </cell>
        </row>
        <row r="6093">
          <cell r="B6093" t="str">
            <v>25-304-85-71</v>
          </cell>
          <cell r="C6093" t="str">
            <v>MIKROPL.,  1,5, 4-LOCH, GERADE,  LANG</v>
          </cell>
          <cell r="D6093" t="str">
            <v>MICRO PL., 1.5, 4-HOLES,  STRAIGHT,  LONG</v>
          </cell>
        </row>
        <row r="6094">
          <cell r="B6094" t="str">
            <v>25-304-85-89</v>
          </cell>
          <cell r="C6094" t="str">
            <v>Template  für 25-304-85</v>
          </cell>
          <cell r="D6094" t="str">
            <v>Template  for 25-304-85</v>
          </cell>
        </row>
        <row r="6095">
          <cell r="B6095" t="str">
            <v>25-304-85-91</v>
          </cell>
          <cell r="C6095" t="str">
            <v>MIKROPL.,  1,5, 4-LOCH, GERADE,  LANG</v>
          </cell>
          <cell r="D6095" t="str">
            <v>MICRO PL., 1.5, 4-HOLES,  STRAIGHT,  LONG</v>
          </cell>
        </row>
        <row r="6096">
          <cell r="B6096" t="str">
            <v>25-304-86-09</v>
          </cell>
          <cell r="C6096" t="str">
            <v>LP NEURO PLATTE, GERADE,  4-LOCH, LANG</v>
          </cell>
          <cell r="D6096" t="str">
            <v>LP NEURO PLATE, STRAIGHT,  4-HOLE, LONG</v>
          </cell>
        </row>
        <row r="6097">
          <cell r="B6097" t="str">
            <v>25-304-86-71</v>
          </cell>
          <cell r="C6097" t="str">
            <v>LP NEURO PLATTE,GERADE,4-LOCH,LANG,STER.</v>
          </cell>
          <cell r="D6097" t="str">
            <v>LP NEURO PLATE, STR.,4-HOLE,LONG,STER</v>
          </cell>
        </row>
        <row r="6098">
          <cell r="B6098" t="str">
            <v>25-306-00-09</v>
          </cell>
          <cell r="C6098" t="str">
            <v>MIKROPL.,  1,5, 6-LOCH, GERADE</v>
          </cell>
          <cell r="D6098" t="str">
            <v>MICRO PL., 1.5, 6-HOLES,  STRAIGHT</v>
          </cell>
        </row>
        <row r="6099">
          <cell r="B6099" t="str">
            <v>25-306-00-71</v>
          </cell>
          <cell r="C6099" t="str">
            <v>MIKROPLATTE 1,5, 6-LOCH, GERADE,  STERIL</v>
          </cell>
          <cell r="D6099" t="str">
            <v>MICRO PLATE 1.5,6-HOLE,STRAIGHT, STERILE</v>
          </cell>
        </row>
        <row r="6100">
          <cell r="B6100" t="str">
            <v>25-306-00-88</v>
          </cell>
          <cell r="C6100" t="str">
            <v>L1 Midface,  Sizer für 25-306-00</v>
          </cell>
          <cell r="D6100" t="str">
            <v>L1 Midface,  Sizer for 25-306-00</v>
          </cell>
        </row>
        <row r="6101">
          <cell r="B6101" t="str">
            <v>25-306-00-89</v>
          </cell>
          <cell r="C6101" t="str">
            <v>Template  für 25-306-00</v>
          </cell>
          <cell r="D6101" t="str">
            <v>Template  for 25-306-00</v>
          </cell>
        </row>
        <row r="6102">
          <cell r="B6102" t="str">
            <v>25-306-00-91</v>
          </cell>
          <cell r="C6102" t="str">
            <v>MIKROPL.,  1,5, 6-LOCH, GERADE</v>
          </cell>
          <cell r="D6102" t="str">
            <v>MICRO PL., 1.5, 6-HOLES,  STRAIGHT</v>
          </cell>
        </row>
        <row r="6103">
          <cell r="B6103" t="str">
            <v>25-306-04-09</v>
          </cell>
          <cell r="C6103" t="str">
            <v>MIKROPLATTE, 1,5, 4-LOCH, T=0,6 MM</v>
          </cell>
          <cell r="D6103" t="str">
            <v>MICRO PLATE, 1.5, 4-HOLES,  0.6 MM</v>
          </cell>
        </row>
        <row r="6104">
          <cell r="B6104" t="str">
            <v>25-306-04-71</v>
          </cell>
          <cell r="C6104" t="str">
            <v>Mikropl.1,5 4-Loch ger. T=0,6 mm/steril</v>
          </cell>
          <cell r="D6104" t="str">
            <v>Micro Plate 1.5 4-Holes str. 0.6 mm/ster</v>
          </cell>
        </row>
        <row r="6105">
          <cell r="B6105" t="str">
            <v>25-306-04-89</v>
          </cell>
          <cell r="C6105" t="str">
            <v>Template  für 25-306/308/310-04</v>
          </cell>
          <cell r="D6105" t="str">
            <v>Template  for 25-306/308/310-04</v>
          </cell>
        </row>
        <row r="6106">
          <cell r="B6106" t="str">
            <v>25-306-05-09</v>
          </cell>
          <cell r="C6106" t="str">
            <v>Mikropl. 1,5, 4-Loch mit Steg, T=0,6 mm</v>
          </cell>
          <cell r="D6106" t="str">
            <v>Micro pl. 1.5, 4-hole with bar, 0.6 mm</v>
          </cell>
        </row>
        <row r="6107">
          <cell r="B6107" t="str">
            <v>25-306-05-71</v>
          </cell>
          <cell r="C6107" t="str">
            <v>Mikropl.1,5 4-Loch mit Steg T=0,6 mm/ste</v>
          </cell>
          <cell r="D6107" t="str">
            <v>Micro pl. 1.5 4-hole with bar, 0.6mm/ste</v>
          </cell>
        </row>
        <row r="6108">
          <cell r="B6108" t="str">
            <v>25-306-05-89</v>
          </cell>
          <cell r="C6108" t="str">
            <v>Template  für 25-306/308/310-05</v>
          </cell>
          <cell r="D6108" t="str">
            <v>Template  for 25-306/308/310-05</v>
          </cell>
        </row>
        <row r="6109">
          <cell r="B6109" t="str">
            <v>25-306-06-09</v>
          </cell>
          <cell r="C6109" t="str">
            <v>MIKROPL.,  1,5, 6-LOCH, KURZ T=0,6 MM</v>
          </cell>
          <cell r="D6109" t="str">
            <v>MICRO-PL., 1.5, 6-HOLES,  SHORT, 0.6 MM</v>
          </cell>
        </row>
        <row r="6110">
          <cell r="B6110" t="str">
            <v>25-306-06-71</v>
          </cell>
          <cell r="C6110" t="str">
            <v>Mikropl.1,5 6-Loch ger. T=0,6 mm/ster</v>
          </cell>
          <cell r="D6110" t="str">
            <v>Micro Plate 1.5 6-Holes str. 0.6 mm/ster</v>
          </cell>
        </row>
        <row r="6111">
          <cell r="B6111" t="str">
            <v>25-306-06-89</v>
          </cell>
          <cell r="C6111" t="str">
            <v>Template  für 25-306/308/310-06</v>
          </cell>
          <cell r="D6111" t="str">
            <v>Template  for 25-306/308/310-06</v>
          </cell>
        </row>
        <row r="6112">
          <cell r="B6112" t="str">
            <v>25-306-07-09</v>
          </cell>
          <cell r="C6112" t="str">
            <v>MIKROPL.,  1,5, 7-LOCH L-FORM T=0,6 MM</v>
          </cell>
          <cell r="D6112" t="str">
            <v>MICRO-PL., 1.5, 7-HOLES,  L-FORM, 0.6 MM</v>
          </cell>
        </row>
        <row r="6113">
          <cell r="B6113" t="str">
            <v>25-306-07-71</v>
          </cell>
          <cell r="C6113" t="str">
            <v>Mikropl.1,5 7-Loch L-Form T=0,6 mm/ster</v>
          </cell>
          <cell r="D6113" t="str">
            <v>Micro Pl.1.5 7-Holes L-Form, 0.6 mm/ster</v>
          </cell>
        </row>
        <row r="6114">
          <cell r="B6114" t="str">
            <v>25-306-07-89</v>
          </cell>
          <cell r="C6114" t="str">
            <v>Template  für 25-306/308/310-07</v>
          </cell>
          <cell r="D6114" t="str">
            <v>Template  for 25-306/308/310-07</v>
          </cell>
        </row>
        <row r="6115">
          <cell r="B6115" t="str">
            <v>25-306-09-09</v>
          </cell>
          <cell r="C6115" t="str">
            <v>MIKROPL.,  1,5, 10-LOCH  L-FORM T=0,6 MM</v>
          </cell>
          <cell r="D6115" t="str">
            <v>MICRO-PL., 1.5, 10-HOLES,  L-FORM, 0.6 MM</v>
          </cell>
        </row>
        <row r="6116">
          <cell r="B6116" t="str">
            <v>25-306-09-71</v>
          </cell>
          <cell r="C6116" t="str">
            <v>Mikropl.1,5 10-Loch L-Form T=0,6 mm/ster</v>
          </cell>
          <cell r="D6116" t="str">
            <v>Micro Pl.1.5 10-Holes  L-Form,0.6  mm/ster</v>
          </cell>
        </row>
        <row r="6117">
          <cell r="B6117" t="str">
            <v>25-306-09-89</v>
          </cell>
          <cell r="C6117" t="str">
            <v>Template  für 25-306/308/310-09</v>
          </cell>
          <cell r="D6117" t="str">
            <v>Template  for 25-306/308/310-09</v>
          </cell>
        </row>
        <row r="6118">
          <cell r="B6118" t="str">
            <v>25-306-14-09</v>
          </cell>
          <cell r="C6118" t="str">
            <v>MIKROPL.,  1,5, 4-LOCH KREUZFORM T=0,6 MM</v>
          </cell>
          <cell r="D6118" t="str">
            <v>MICRO-PL.  1.5, 4-HOL, CROSS-SHAPE, 0.6MM</v>
          </cell>
        </row>
        <row r="6119">
          <cell r="B6119" t="str">
            <v>25-306-14-71</v>
          </cell>
          <cell r="C6119" t="str">
            <v>Mikropl.1,5 4-Loch Kreuzf. T=0,6 mm/ster</v>
          </cell>
          <cell r="D6119" t="str">
            <v>Micro Pl.1.5 4-Holes Cross-F. 0.6mm/ster</v>
          </cell>
        </row>
        <row r="6120">
          <cell r="B6120" t="str">
            <v>25-306-14-89</v>
          </cell>
          <cell r="C6120" t="str">
            <v>Template  für 25-306/308/310-14</v>
          </cell>
          <cell r="D6120" t="str">
            <v>Template  for 25-306/308/310-14</v>
          </cell>
        </row>
        <row r="6121">
          <cell r="B6121" t="str">
            <v>25-306-16-09</v>
          </cell>
          <cell r="C6121" t="str">
            <v>MIKROPL.,  1,5, 6-L. DOPP-Y-FORM T=0,6 MM</v>
          </cell>
          <cell r="D6121" t="str">
            <v>MICRO PL., 1.5, 6-HOL, DBL-Y-SHAPE,0.6MM</v>
          </cell>
        </row>
        <row r="6122">
          <cell r="B6122" t="str">
            <v>25-306-16-71</v>
          </cell>
          <cell r="C6122" t="str">
            <v>Mikropl.1,5 6-Lo Dopp-y-F.  T=0,6 mm/ster</v>
          </cell>
          <cell r="D6122" t="str">
            <v>Micro Pl.1.5 6-Holes Dbl-y-F. 0.6mm/ster</v>
          </cell>
        </row>
        <row r="6123">
          <cell r="B6123" t="str">
            <v>25-306-16-89</v>
          </cell>
          <cell r="C6123" t="str">
            <v>Template  für 25-306/308/310-16</v>
          </cell>
          <cell r="D6123" t="str">
            <v>Template  for 25-306/308/310-16</v>
          </cell>
        </row>
        <row r="6124">
          <cell r="B6124" t="str">
            <v>25-306-17-09</v>
          </cell>
          <cell r="C6124" t="str">
            <v>MIKROPL.,  1,5, 7-LOCH Y-FORM T=0,6 MM</v>
          </cell>
          <cell r="D6124" t="str">
            <v>MICRO PL., 1.5, 7-HOLES,  Y-FORM,  0.6 MM</v>
          </cell>
        </row>
        <row r="6125">
          <cell r="B6125" t="str">
            <v>25-306-17-71</v>
          </cell>
          <cell r="C6125" t="str">
            <v>Mikropl.1,5 7-Loch Y-Form T=0,6 mm/ster</v>
          </cell>
          <cell r="D6125" t="str">
            <v>Micro Pl.1.5 7-Holes Y-Form, 0.6 mm/ster</v>
          </cell>
        </row>
        <row r="6126">
          <cell r="B6126" t="str">
            <v>25-306-17-89</v>
          </cell>
          <cell r="C6126" t="str">
            <v>Template  für 25-306/308/310-17</v>
          </cell>
          <cell r="D6126" t="str">
            <v>Template  for 25-306/308/310-17</v>
          </cell>
        </row>
        <row r="6127">
          <cell r="B6127" t="str">
            <v>25-306-18-09</v>
          </cell>
          <cell r="C6127" t="str">
            <v>MIKROPL.,  1,5, 8-LOCH T-FORM T=0,6 MM</v>
          </cell>
          <cell r="D6127" t="str">
            <v>MICRO PL., 1.5, 8-HOLES,  T-FORM,  0.6 MM</v>
          </cell>
        </row>
        <row r="6128">
          <cell r="B6128" t="str">
            <v>25-306-18-71</v>
          </cell>
          <cell r="C6128" t="str">
            <v>Mikropl.1,5 8-Loch T-Form T=0,6 mm/ster</v>
          </cell>
          <cell r="D6128" t="str">
            <v>Micro Pl.1.5 8-Holes T-Form, 0.6 mm/ster</v>
          </cell>
        </row>
        <row r="6129">
          <cell r="B6129" t="str">
            <v>25-306-18-89</v>
          </cell>
          <cell r="C6129" t="str">
            <v>Template  für 25-306/308/310-18</v>
          </cell>
          <cell r="D6129" t="str">
            <v>Template  for 25-306/308/310-18</v>
          </cell>
        </row>
        <row r="6130">
          <cell r="B6130" t="str">
            <v>25-306-22-09</v>
          </cell>
          <cell r="C6130" t="str">
            <v>MIKRO MESH, 6 X 2-LOCH, T=0,6 MM</v>
          </cell>
          <cell r="D6130" t="str">
            <v>MICRO MESH, 6 X 2-HOLE, 0.6 MM</v>
          </cell>
        </row>
        <row r="6131">
          <cell r="B6131" t="str">
            <v>25-306-22-71</v>
          </cell>
          <cell r="C6131" t="str">
            <v>Mikro Mesh, 6 X 2-Loch, T=0,6 mm/steril</v>
          </cell>
          <cell r="D6131" t="str">
            <v>Micro Mesh, 6 X 2-Holes, 0.6 mm/ ster</v>
          </cell>
        </row>
        <row r="6132">
          <cell r="B6132" t="str">
            <v>25-306-22-89</v>
          </cell>
          <cell r="C6132" t="str">
            <v>Template  für 25-306/308/310-22</v>
          </cell>
          <cell r="D6132" t="str">
            <v>Template  for 25-306/308/310-22</v>
          </cell>
        </row>
        <row r="6133">
          <cell r="B6133" t="str">
            <v>25-306-24-09</v>
          </cell>
          <cell r="C6133" t="str">
            <v>MIKROPLATTE, 1,5, 24-LOCH,  T=0,6 MM</v>
          </cell>
          <cell r="D6133" t="str">
            <v>MICRO PLATE, 1.5, 24-HOLES,  0.6 MM</v>
          </cell>
        </row>
        <row r="6134">
          <cell r="B6134" t="str">
            <v>25-306-24-71</v>
          </cell>
          <cell r="C6134" t="str">
            <v>Mikropl. 1,5 24-Loch ger. T=0,6 mm/ster</v>
          </cell>
          <cell r="D6134" t="str">
            <v>Micro Plate 1.5 24-Holes  str. 0.6mm/ster</v>
          </cell>
        </row>
        <row r="6135">
          <cell r="B6135" t="str">
            <v>25-306-24-89</v>
          </cell>
          <cell r="C6135" t="str">
            <v>Template  für 25-306/308/310-24</v>
          </cell>
          <cell r="D6135" t="str">
            <v>Template  for 25-306/308/310-24</v>
          </cell>
        </row>
        <row r="6136">
          <cell r="B6136" t="str">
            <v>25-306-32-09</v>
          </cell>
          <cell r="C6136" t="str">
            <v>MIKROPL.,  1,5, ORBITA, 12-LOCH,  T=0,6 MM</v>
          </cell>
          <cell r="D6136" t="str">
            <v>MICRO PL., 1.5, ORBITA,12-HOLES, 0.6 MM</v>
          </cell>
        </row>
        <row r="6137">
          <cell r="B6137" t="str">
            <v>25-306-32-71</v>
          </cell>
          <cell r="C6137" t="str">
            <v>Mikropl.1,5 Orbita,12-Loch T=0,6 mm/ster</v>
          </cell>
          <cell r="D6137" t="str">
            <v>Micro Pl.1.5 Orbita 12-Holes,0.6 mm/ster</v>
          </cell>
        </row>
        <row r="6138">
          <cell r="B6138" t="str">
            <v>25-306-32-89</v>
          </cell>
          <cell r="C6138" t="str">
            <v>Template  für 25-306/308/310-32</v>
          </cell>
          <cell r="D6138" t="str">
            <v>Template  for 25-306/308/310-32</v>
          </cell>
        </row>
        <row r="6139">
          <cell r="B6139" t="str">
            <v>25-306-44-09</v>
          </cell>
          <cell r="C6139" t="str">
            <v>ARNETT PL., 2X2-L, Ø1,5; L-FORM, 4 MM</v>
          </cell>
          <cell r="D6139" t="str">
            <v>2X2-HOLE  PLATE Ø1.5; L-SHAPE</v>
          </cell>
        </row>
        <row r="6140">
          <cell r="B6140" t="str">
            <v>25-306-47-09</v>
          </cell>
          <cell r="C6140" t="str">
            <v>ARNETT PL., 2X2-L, Ø1,5; L-FORM, 7 MM</v>
          </cell>
          <cell r="D6140" t="str">
            <v>2X2-HOLE  PLATE Ø1.5; L-SHAPE</v>
          </cell>
        </row>
        <row r="6141">
          <cell r="B6141" t="str">
            <v>25-306-50-09</v>
          </cell>
          <cell r="C6141" t="str">
            <v>ARNETT PL., 2X2-L, Ø1,5; L-FORM,10  MM</v>
          </cell>
          <cell r="D6141" t="str">
            <v>2X2-HOLE  PLATE Ø1.5; L-SHAPE</v>
          </cell>
        </row>
        <row r="6142">
          <cell r="B6142" t="str">
            <v>25-306-55-09</v>
          </cell>
          <cell r="C6142" t="str">
            <v>MIKROPL.,  1,5, 6-LOCH, GERADE,  KURZ</v>
          </cell>
          <cell r="D6142" t="str">
            <v>MICRO PL., 1.5, 6-HOLES,  STRAIGHT,  SHORT</v>
          </cell>
        </row>
        <row r="6143">
          <cell r="B6143" t="str">
            <v>25-306-55-71</v>
          </cell>
          <cell r="C6143" t="str">
            <v>MIKROPL.,  1,5, 6-LOCH, GERADE,  KURZ</v>
          </cell>
          <cell r="D6143" t="str">
            <v>MICRO PL., 1.5, 6-HOLES,  STRAIGHT,  SHORT</v>
          </cell>
        </row>
        <row r="6144">
          <cell r="B6144" t="str">
            <v>25-306-55-88</v>
          </cell>
          <cell r="C6144" t="str">
            <v>L1 Midface,  Sizer für 25-306-55</v>
          </cell>
          <cell r="D6144" t="str">
            <v>L1 Midface,  Sizer for 25-306-55</v>
          </cell>
        </row>
        <row r="6145">
          <cell r="B6145" t="str">
            <v>25-306-55-89</v>
          </cell>
          <cell r="C6145" t="str">
            <v>Template  für 25-306-55</v>
          </cell>
          <cell r="D6145" t="str">
            <v>Template  for 25-306-55</v>
          </cell>
        </row>
        <row r="6146">
          <cell r="B6146" t="str">
            <v>25-306-55-91</v>
          </cell>
          <cell r="C6146" t="str">
            <v>MIKROPL.,  1,5, 6-LOCH, GERADE,  KURZ</v>
          </cell>
          <cell r="D6146" t="str">
            <v>MICRO PL., 1.5, 6-HOLES,  STRAIGHT,  SHORT</v>
          </cell>
        </row>
        <row r="6147">
          <cell r="B6147" t="str">
            <v>25-306-70-09</v>
          </cell>
          <cell r="C6147" t="str">
            <v>MIKROPL.,  1,5, 6-LOCH, GERADE,  MITTEL</v>
          </cell>
          <cell r="D6147" t="str">
            <v>MICRO PL., 1.5, 6-HOLES,  STRAIGHT,MEDIUM</v>
          </cell>
        </row>
        <row r="6148">
          <cell r="B6148" t="str">
            <v>25-306-70-71</v>
          </cell>
          <cell r="C6148" t="str">
            <v>MIKROPL.,  1,5, 6-LOCH, GERADE,  MITTEL</v>
          </cell>
          <cell r="D6148" t="str">
            <v>MICRO PL., 1.5, 6-HOLES,  STRAIGHT,MEDIUM</v>
          </cell>
        </row>
        <row r="6149">
          <cell r="B6149" t="str">
            <v>25-306-70-89</v>
          </cell>
          <cell r="C6149" t="str">
            <v>Template  für 25-306-70</v>
          </cell>
          <cell r="D6149" t="str">
            <v>Template  for 25-306-70</v>
          </cell>
        </row>
        <row r="6150">
          <cell r="B6150" t="str">
            <v>25-306-70-91</v>
          </cell>
          <cell r="C6150" t="str">
            <v>MIKROPL.,  1,5, 6-LOCH, GERADE,  MITTEL</v>
          </cell>
          <cell r="D6150" t="str">
            <v>MICRO PL., 1.5, 6-HOLES,  STRAIGHT,MEDIUM</v>
          </cell>
        </row>
        <row r="6151">
          <cell r="B6151" t="str">
            <v>25-306-84-09</v>
          </cell>
          <cell r="C6151" t="str">
            <v>ARNETT PL., 3X3-L, Ø1,5; L-FORM,4  MM</v>
          </cell>
          <cell r="D6151" t="str">
            <v>3X3-HOLE  PLATE Ø1.5; L-SHAPE</v>
          </cell>
        </row>
        <row r="6152">
          <cell r="B6152" t="str">
            <v>25-306-85-09</v>
          </cell>
          <cell r="C6152" t="str">
            <v>MIKROPL.,  1,5, 6-LOCH, GERADE,  LANG</v>
          </cell>
          <cell r="D6152" t="str">
            <v>MICRO PL., 1.5, 6-HOLES,  STRAIGHT,  LONG</v>
          </cell>
        </row>
        <row r="6153">
          <cell r="B6153" t="str">
            <v>25-306-85-71</v>
          </cell>
          <cell r="C6153" t="str">
            <v>MIKROPL.,  1,5, 6-LOCH, GERADE,  LANG</v>
          </cell>
          <cell r="D6153" t="str">
            <v>MICRO PL., 1.5, 6-HOLES,  STRAIGHT,  LONG</v>
          </cell>
        </row>
        <row r="6154">
          <cell r="B6154" t="str">
            <v>25-306-85-89</v>
          </cell>
          <cell r="C6154" t="str">
            <v>Template  für 25-306-85</v>
          </cell>
          <cell r="D6154" t="str">
            <v>Template  for 25-306-85</v>
          </cell>
        </row>
        <row r="6155">
          <cell r="B6155" t="str">
            <v>25-306-85-91</v>
          </cell>
          <cell r="C6155" t="str">
            <v>MIKROPL.,  1,5, 6-LOCH, GERADE,  LANG</v>
          </cell>
          <cell r="D6155" t="str">
            <v>MICRO PL., 1.5, 6-HOLES,  STRAIGHT,  LONG</v>
          </cell>
        </row>
        <row r="6156">
          <cell r="B6156" t="str">
            <v>25-306-87-09</v>
          </cell>
          <cell r="C6156" t="str">
            <v>ARNETT PL., 3X3-L, Ø1,5; L-FORM, 7 MM</v>
          </cell>
          <cell r="D6156" t="str">
            <v>3X3-HOLE  PLATE Ø1.5; L-SHAPE</v>
          </cell>
        </row>
        <row r="6157">
          <cell r="B6157" t="str">
            <v>25-306-90-09</v>
          </cell>
          <cell r="C6157" t="str">
            <v>ARNETT PL., 3X3-L, Ø1,5; L-FORM, 10 MM</v>
          </cell>
          <cell r="D6157" t="str">
            <v>3X3-HOLE  PLATE Ø1.5; L-SHAPE</v>
          </cell>
        </row>
        <row r="6158">
          <cell r="B6158" t="str">
            <v>25-308-00-09</v>
          </cell>
          <cell r="C6158" t="str">
            <v>MIKROPL.,  1,5, 8-LOCH, GERADE</v>
          </cell>
          <cell r="D6158" t="str">
            <v>MICRO PL., 1.5, 8-HOLES,  STRAIGHT</v>
          </cell>
        </row>
        <row r="6159">
          <cell r="B6159" t="str">
            <v>25-308-00-71</v>
          </cell>
          <cell r="C6159" t="str">
            <v>MIKROPLATTE 1,5, 8-LOCH, GERADE,  STERIL</v>
          </cell>
          <cell r="D6159" t="str">
            <v>MICRO PLATE 1.5,8-HOLE,STRAIGHT, STERILE</v>
          </cell>
        </row>
        <row r="6160">
          <cell r="B6160" t="str">
            <v>25-308-00-89</v>
          </cell>
          <cell r="C6160" t="str">
            <v>Template  für 25-308-00</v>
          </cell>
          <cell r="D6160" t="str">
            <v>Template  for 25-308-00</v>
          </cell>
        </row>
        <row r="6161">
          <cell r="B6161" t="str">
            <v>25-308-00-91</v>
          </cell>
          <cell r="C6161" t="str">
            <v>MIKROPL.,  1,5, 8-LOCH, GERADE</v>
          </cell>
          <cell r="D6161" t="str">
            <v>MICRO PL., 1.5, 8-HOLES,  STRAIGHT</v>
          </cell>
        </row>
        <row r="6162">
          <cell r="B6162" t="str">
            <v>25-308-04-09</v>
          </cell>
          <cell r="C6162" t="str">
            <v>MIKROPLATTE, 1,5, 4-LOCH, T=0,8 MM</v>
          </cell>
          <cell r="D6162" t="str">
            <v>MICRO PLATE, 1.5, 4-HOLES,  0.8 MM</v>
          </cell>
        </row>
        <row r="6163">
          <cell r="B6163" t="str">
            <v>25-308-04-71</v>
          </cell>
          <cell r="C6163" t="str">
            <v>Mikropl. 1,5 4-Loch ger. T=0,8 mm/steril</v>
          </cell>
          <cell r="D6163" t="str">
            <v>Micro Plate 1.5 4-Holes str. 0.8 mm/ster</v>
          </cell>
        </row>
        <row r="6164">
          <cell r="B6164" t="str">
            <v>25-308-05-09</v>
          </cell>
          <cell r="C6164" t="str">
            <v>Mikropl. 1,5, 4-Loch mit Steg, T=0,8 mm</v>
          </cell>
          <cell r="D6164" t="str">
            <v>Micro pl. 1.5, 4-hole with bar, 0.8 mm</v>
          </cell>
        </row>
        <row r="6165">
          <cell r="B6165" t="str">
            <v>25-308-05-71</v>
          </cell>
          <cell r="C6165" t="str">
            <v>Mikropl.1,5 4-Loch mit Steg T=0,8 mm/ste</v>
          </cell>
          <cell r="D6165" t="str">
            <v>Micro pl. 1.5 4-hole with bar, 0.8mm/ste</v>
          </cell>
        </row>
        <row r="6166">
          <cell r="B6166" t="str">
            <v>25-308-06-09</v>
          </cell>
          <cell r="C6166" t="str">
            <v>MIKROPL.,  1,5, 6-LOCH MIT STEG T=0,8 MM</v>
          </cell>
          <cell r="D6166" t="str">
            <v>MICRO-PL., 1.5, 6-HOLES,  SHORT, 0.8 MM</v>
          </cell>
        </row>
        <row r="6167">
          <cell r="B6167" t="str">
            <v>25-308-06-71</v>
          </cell>
          <cell r="C6167" t="str">
            <v>Mikropl.1,5 6-Loch ger. T=0,8 mm/ster</v>
          </cell>
          <cell r="D6167" t="str">
            <v>Micro Plate 1.5 6-Holes str. 0.8 mm/ster</v>
          </cell>
        </row>
        <row r="6168">
          <cell r="B6168" t="str">
            <v>25-308-07-09</v>
          </cell>
          <cell r="C6168" t="str">
            <v>MIKROPL.,  1,5, 7-LOCH L-FORM T=0,8 MM</v>
          </cell>
          <cell r="D6168" t="str">
            <v>MICRO-PL., 1.5, 7-HOLES,  L-FORM, 0.8 MM</v>
          </cell>
        </row>
        <row r="6169">
          <cell r="B6169" t="str">
            <v>25-308-07-71</v>
          </cell>
          <cell r="C6169" t="str">
            <v>Mikropl.1,5 7-Loch, L-Form T=0,8 mm/ster</v>
          </cell>
          <cell r="D6169" t="str">
            <v>Micro Pl.1.5 7-Holes L-Form, 0.8 mm/ster</v>
          </cell>
        </row>
        <row r="6170">
          <cell r="B6170" t="str">
            <v>25-308-09-09</v>
          </cell>
          <cell r="C6170" t="str">
            <v>MIKROPL.,  1,5, 10-LOCH  L-FORM T=0,8 MM</v>
          </cell>
          <cell r="D6170" t="str">
            <v>MICRO-PL., 1.5, 10-HOLES,  L-FORM, 0.8 MM</v>
          </cell>
        </row>
        <row r="6171">
          <cell r="B6171" t="str">
            <v>25-308-09-71</v>
          </cell>
          <cell r="C6171" t="str">
            <v>Mikropl.1,5 10-Loch L-Form T=0,8 mm/ster</v>
          </cell>
          <cell r="D6171" t="str">
            <v>Micro Pl.1.5 10-Holes  L-Form,0.8  mm/ster</v>
          </cell>
        </row>
        <row r="6172">
          <cell r="B6172" t="str">
            <v>25-308-14-09</v>
          </cell>
          <cell r="C6172" t="str">
            <v>MIKROPL.,  1,5, 4-LOCH KREUZFORM T=0,8 MM</v>
          </cell>
          <cell r="D6172" t="str">
            <v>MICRO-PL.  1.5, 4-HOL, CROSS-SHAPE, 0.8MM</v>
          </cell>
        </row>
        <row r="6173">
          <cell r="B6173" t="str">
            <v>25-308-14-71</v>
          </cell>
          <cell r="C6173" t="str">
            <v>Mikropl.1,5 4-Loch Kreuzf. T=0,8 mm/ster</v>
          </cell>
          <cell r="D6173" t="str">
            <v>Micro Pl.1.5 4-Holes Cross-F. 0.8mm/ster</v>
          </cell>
        </row>
        <row r="6174">
          <cell r="B6174" t="str">
            <v>25-308-16-09</v>
          </cell>
          <cell r="C6174" t="str">
            <v>MIKROPL.,  1,5, 6-L. DOPP-Y-FORM T=0,8 MM</v>
          </cell>
          <cell r="D6174" t="str">
            <v>MICRO PL., 1.5, 6-HOL, DBL-Y-SHAPE,0.8MM</v>
          </cell>
        </row>
        <row r="6175">
          <cell r="B6175" t="str">
            <v>25-308-16-71</v>
          </cell>
          <cell r="C6175" t="str">
            <v>Mikropl.1,5 6-Lo Dopp-y-F.  T=0,8 mm/ster</v>
          </cell>
          <cell r="D6175" t="str">
            <v>Micro Pl.1.5 6-Holes Dbl-y-F. 0.8mm/ster</v>
          </cell>
        </row>
        <row r="6176">
          <cell r="B6176" t="str">
            <v>25-308-17-09</v>
          </cell>
          <cell r="C6176" t="str">
            <v>MIKROPL.,  1,5, 7-LOCH Y-FORM T=0,8 MM</v>
          </cell>
          <cell r="D6176" t="str">
            <v>MICRO PL., 1.5, 7-HOLES,  Y-FORM,  0.8 MM</v>
          </cell>
        </row>
        <row r="6177">
          <cell r="B6177" t="str">
            <v>25-308-17-71</v>
          </cell>
          <cell r="C6177" t="str">
            <v>Mikropl.1,5 7-Loch Y-Form T=0,8 mm/ster</v>
          </cell>
          <cell r="D6177" t="str">
            <v>Micro Pl.1.5 7-Holes Y-Form 0.8 mm/ster</v>
          </cell>
        </row>
        <row r="6178">
          <cell r="B6178" t="str">
            <v>25-308-18-09</v>
          </cell>
          <cell r="C6178" t="str">
            <v>MIKROPL.,  1,5, 8-LOCH T-FORM T=0,8 MM</v>
          </cell>
          <cell r="D6178" t="str">
            <v>MICRO PL., 1.5, 8-HOLES,  T-FORM,  0.8 MM</v>
          </cell>
        </row>
        <row r="6179">
          <cell r="B6179" t="str">
            <v>25-308-18-71</v>
          </cell>
          <cell r="C6179" t="str">
            <v>Mikropl.1,5 8-Loch T-Form T=0,8 mm/ster</v>
          </cell>
          <cell r="D6179" t="str">
            <v>Micro Pl. 1.5 8-Holes T-Form 0.8 mm/ster</v>
          </cell>
        </row>
        <row r="6180">
          <cell r="B6180" t="str">
            <v>25-308-22-09</v>
          </cell>
          <cell r="C6180" t="str">
            <v>MIKRO MESH, 6 X 2-LOCH, T=0,8 MM</v>
          </cell>
          <cell r="D6180" t="str">
            <v>MICRO MESH, 6 X 2-HOLE, 0.8 MM</v>
          </cell>
        </row>
        <row r="6181">
          <cell r="B6181" t="str">
            <v>25-308-22-71</v>
          </cell>
          <cell r="C6181" t="str">
            <v>Mikro Mesh, 6 X 2-Loch, T=0,8 mm/steril</v>
          </cell>
          <cell r="D6181" t="str">
            <v>Micro Mesh, 6 X 2-Holes, 0.8 mm/ ster</v>
          </cell>
        </row>
        <row r="6182">
          <cell r="B6182" t="str">
            <v>25-308-24-09</v>
          </cell>
          <cell r="C6182" t="str">
            <v>MIKROPLATTE, 1,5, 24-LOCH,  T=0,8 MM</v>
          </cell>
          <cell r="D6182" t="str">
            <v>MICRO PLATE, 1.5, 24-HOLES,  0.8 MM</v>
          </cell>
        </row>
        <row r="6183">
          <cell r="B6183" t="str">
            <v>25-308-24-71</v>
          </cell>
          <cell r="C6183" t="str">
            <v>Mikropl. 1,5 24-Loch ger. T=0,8 mm/ster</v>
          </cell>
          <cell r="D6183" t="str">
            <v>Micro Plate 1.5 24-Holes  str. 0.8mm/ster</v>
          </cell>
        </row>
        <row r="6184">
          <cell r="B6184" t="str">
            <v>25-308-32-09</v>
          </cell>
          <cell r="C6184" t="str">
            <v>MIKROPL.,  1,5, ORBITA, 12-LOCH,  T=0,8 MM</v>
          </cell>
          <cell r="D6184" t="str">
            <v>MICRO PL., 1.5, ORBITA,12-HOLES, 0.8 MM</v>
          </cell>
        </row>
        <row r="6185">
          <cell r="B6185" t="str">
            <v>25-308-32-71</v>
          </cell>
          <cell r="C6185" t="str">
            <v>Mikropl.1,5 Orbita,12-Loch T=0,8 mm/ster</v>
          </cell>
          <cell r="D6185" t="str">
            <v>Micro Pl.1.5 Orbita 12-Holes,0.8 mm/ster</v>
          </cell>
        </row>
        <row r="6186">
          <cell r="B6186" t="str">
            <v>25-308-44-09</v>
          </cell>
          <cell r="C6186" t="str">
            <v>ARNETT PL., 2X2-L, Ø1,5; L-FORM,4  MM</v>
          </cell>
          <cell r="D6186" t="str">
            <v>2X2 HOLE PLATE  Ø1.5; L-SHAPE</v>
          </cell>
        </row>
        <row r="6187">
          <cell r="B6187" t="str">
            <v>25-308-47-09</v>
          </cell>
          <cell r="C6187" t="str">
            <v>ARNETT PL., 2X2-L, Ø1,5; L-FORM, 7 MM</v>
          </cell>
          <cell r="D6187" t="str">
            <v>2X2-HOLE  PLATE Ø1.5; L-SHAPE</v>
          </cell>
        </row>
        <row r="6188">
          <cell r="B6188" t="str">
            <v>25-308-50-09</v>
          </cell>
          <cell r="C6188" t="str">
            <v>ARNETT PL., 2X2-L, Ø1,5; L-FORM, 10 MM</v>
          </cell>
          <cell r="D6188" t="str">
            <v>2X2-HOLE  PLATE Ø1.5; L-SHAPE</v>
          </cell>
        </row>
        <row r="6189">
          <cell r="B6189" t="str">
            <v>25-308-84-09</v>
          </cell>
          <cell r="C6189" t="str">
            <v>ARNETT PL., 3X3-L, Ø1,5; L-FORM, 4 MM</v>
          </cell>
          <cell r="D6189" t="str">
            <v>3X3-HOLE  PLATE Ø1.5; L-SHAPE</v>
          </cell>
        </row>
        <row r="6190">
          <cell r="B6190" t="str">
            <v>25-308-87-09</v>
          </cell>
          <cell r="C6190" t="str">
            <v>ARNETT PL., 3X3-L, Ø1,5; L-FORM, 7 MM</v>
          </cell>
          <cell r="D6190" t="str">
            <v>3X3-HOLE  PLATE Ø1.5; L-SHAPE</v>
          </cell>
        </row>
        <row r="6191">
          <cell r="B6191" t="str">
            <v>25-308-90-09</v>
          </cell>
          <cell r="C6191" t="str">
            <v>ARNETT PL., 3X3-L, Ø1,5; L-FORM, 10 MM</v>
          </cell>
          <cell r="D6191" t="str">
            <v>3X3-HOLE  PLATE Ø1.5; L-SHAPE</v>
          </cell>
        </row>
        <row r="6192">
          <cell r="B6192" t="str">
            <v>25-310-04-09</v>
          </cell>
          <cell r="C6192" t="str">
            <v>MIKROPLATTE, 1,5, 4-LOCH, T=1,0 MM</v>
          </cell>
          <cell r="D6192" t="str">
            <v>MICRO PLATE, 1.5, 4-HOLES,  1.0 MM</v>
          </cell>
        </row>
        <row r="6193">
          <cell r="B6193" t="str">
            <v>25-310-04-71</v>
          </cell>
          <cell r="C6193" t="str">
            <v>Mikropl. 1,5 4-Loch ger. T=1,0 mm/steril</v>
          </cell>
          <cell r="D6193" t="str">
            <v>Micro Plate 1.5 4-Holes str. 1.0mm/ster</v>
          </cell>
        </row>
        <row r="6194">
          <cell r="B6194" t="str">
            <v>25-310-04-88</v>
          </cell>
          <cell r="C6194" t="str">
            <v>L1 Midface,  Sizer für 25-306/308/310-04,</v>
          </cell>
          <cell r="D6194" t="str">
            <v>L1 Midface,  Sizer for 25-306/308/310-04</v>
          </cell>
        </row>
        <row r="6195">
          <cell r="B6195" t="str">
            <v>25-310-05-09</v>
          </cell>
          <cell r="C6195" t="str">
            <v>Mikropl. 1,5, 4-Loch mit Steg, T=1,0 mm</v>
          </cell>
          <cell r="D6195" t="str">
            <v>Micro pl. 1.5, 4-hole with bar, 1.0 mm</v>
          </cell>
        </row>
        <row r="6196">
          <cell r="B6196" t="str">
            <v>25-310-05-71</v>
          </cell>
          <cell r="C6196" t="str">
            <v>Mikropl.1,5 4-Loch mit Steg T=1,0 mm/ste</v>
          </cell>
          <cell r="D6196" t="str">
            <v>Micro pl. 1.5 4-hole with bar, 1.0mm/ste</v>
          </cell>
        </row>
        <row r="6197">
          <cell r="B6197" t="str">
            <v>25-310-05-88</v>
          </cell>
          <cell r="C6197" t="str">
            <v>L1 Midface,  Sizer für 25-306/308/310-05</v>
          </cell>
          <cell r="D6197" t="str">
            <v>L1 Midface,  Sizer for 25-306/308/310-05</v>
          </cell>
        </row>
        <row r="6198">
          <cell r="B6198" t="str">
            <v>25-310-06-09</v>
          </cell>
          <cell r="C6198" t="str">
            <v>MIKROPL.,  1,5, 6-LOCH MIT STEG T=1,0 MM</v>
          </cell>
          <cell r="D6198" t="str">
            <v>MICRO-PL., 1.5, 6-HOLES,  SHORT, 1.0 MM</v>
          </cell>
        </row>
        <row r="6199">
          <cell r="B6199" t="str">
            <v>25-310-06-71</v>
          </cell>
          <cell r="C6199" t="str">
            <v>Mikropl.1,5 6-Loch ger. T=1,0 mm/ster</v>
          </cell>
          <cell r="D6199" t="str">
            <v>Micro Plate 1.5 6-Holes str. 1.0mm/ster</v>
          </cell>
        </row>
        <row r="6200">
          <cell r="B6200" t="str">
            <v>25-310-06-88</v>
          </cell>
          <cell r="C6200" t="str">
            <v>L1 Midface,  Sizer für 25-306/308/310-06</v>
          </cell>
          <cell r="D6200" t="str">
            <v>L1 Midface,  Sizer for 25-306/308/310-06</v>
          </cell>
        </row>
        <row r="6201">
          <cell r="B6201" t="str">
            <v>25-310-07-09</v>
          </cell>
          <cell r="C6201" t="str">
            <v>MIKROPL.,  1,5, 7-LOCH L-FORM T=1,0 MM</v>
          </cell>
          <cell r="D6201" t="str">
            <v>MICRO-PL., 1.5, 7-HOLES,  L-FORM, 1.0 MM</v>
          </cell>
        </row>
        <row r="6202">
          <cell r="B6202" t="str">
            <v>25-310-07-71</v>
          </cell>
          <cell r="C6202" t="str">
            <v>Mikropl.1,5 7-Loch, L-Form T=1,0 mm/ster</v>
          </cell>
          <cell r="D6202" t="str">
            <v>Micro Pl.1.5 7-Holes L-Form, 1.0 mm/ster</v>
          </cell>
        </row>
        <row r="6203">
          <cell r="B6203" t="str">
            <v>25-310-07-88</v>
          </cell>
          <cell r="C6203" t="str">
            <v>L1 Midface,  Sizer für 25-306/308/310-07</v>
          </cell>
          <cell r="D6203" t="str">
            <v>L1 Midface,  Sizer for 25-306/308/310-07</v>
          </cell>
        </row>
        <row r="6204">
          <cell r="B6204" t="str">
            <v>25-310-09-09</v>
          </cell>
          <cell r="C6204" t="str">
            <v>MIKROPL.,  1,5, 10-LOCH  L-FORM T=1,0 MM</v>
          </cell>
          <cell r="D6204" t="str">
            <v>MICRO-PL., 1.5, 10-HOLES,  L-FORM, 1.0 MM</v>
          </cell>
        </row>
        <row r="6205">
          <cell r="B6205" t="str">
            <v>25-310-09-71</v>
          </cell>
          <cell r="C6205" t="str">
            <v>Mikropl.1,5 10-Loch L-Form T=1,0 mm/ster</v>
          </cell>
          <cell r="D6205" t="str">
            <v>Micro Pl.1.5 10-Holes  L-Form,1.0  mm/ster</v>
          </cell>
        </row>
        <row r="6206">
          <cell r="B6206" t="str">
            <v>25-310-09-88</v>
          </cell>
          <cell r="C6206" t="str">
            <v>L1 Midface,  Sizer für 25-306/308/310-09</v>
          </cell>
          <cell r="D6206" t="str">
            <v>L1 Midface,  Sizer for 25-306/308/310-09</v>
          </cell>
        </row>
        <row r="6207">
          <cell r="B6207" t="str">
            <v>25-310-14-09</v>
          </cell>
          <cell r="C6207" t="str">
            <v>MIKROPL.,  1,5, 4-LOCH KREUZFORM T=1,0 MM</v>
          </cell>
          <cell r="D6207" t="str">
            <v>MICRO-PL.  1.5, 4-HOL, CROSS-SHAPE, 1.0MM</v>
          </cell>
        </row>
        <row r="6208">
          <cell r="B6208" t="str">
            <v>25-310-14-71</v>
          </cell>
          <cell r="C6208" t="str">
            <v>Mikropl.1,5 4-Loch Kreuzf. T=1,0 mm/ster</v>
          </cell>
          <cell r="D6208" t="str">
            <v>Micro Pl.1.5 4-Holes Cross-F. 1.0mm/ster</v>
          </cell>
        </row>
        <row r="6209">
          <cell r="B6209" t="str">
            <v>25-310-14-88</v>
          </cell>
          <cell r="C6209" t="str">
            <v>L1 Midface,  Sizer für 25-306/308/310-14</v>
          </cell>
          <cell r="D6209" t="str">
            <v>L1 Midface,  Sizer for 25-306/308/310-14</v>
          </cell>
        </row>
        <row r="6210">
          <cell r="B6210" t="str">
            <v>25-310-16-09</v>
          </cell>
          <cell r="C6210" t="str">
            <v>MIKROPL.,  1,5, 6-L. DOPP-Y-FORM T=1,0 MM</v>
          </cell>
          <cell r="D6210" t="str">
            <v>MICRO PL., 1.5, 6-HOL, DBL-Y-SHAPE,1.0MM</v>
          </cell>
        </row>
        <row r="6211">
          <cell r="B6211" t="str">
            <v>25-310-16-71</v>
          </cell>
          <cell r="C6211" t="str">
            <v>Mikropl.1,5 6-Lo Dopp-y-F.  T=1,0 mm/ster</v>
          </cell>
          <cell r="D6211" t="str">
            <v>Micro Pl.1.5 6-Holes Dbl-y-F. 1.0mm/ster</v>
          </cell>
        </row>
        <row r="6212">
          <cell r="B6212" t="str">
            <v>25-310-16-88</v>
          </cell>
          <cell r="C6212" t="str">
            <v>L1 Midface,  Sizer für 25-306/308/310-16</v>
          </cell>
          <cell r="D6212" t="str">
            <v>L1 Midface,  Sizer for 25-306/308/310-16</v>
          </cell>
        </row>
        <row r="6213">
          <cell r="B6213" t="str">
            <v>25-310-17-09</v>
          </cell>
          <cell r="C6213" t="str">
            <v>MIKROPL.,  1,5, 7-LOCH Y-FORM T=1,0 MM</v>
          </cell>
          <cell r="D6213" t="str">
            <v>MICRO PL., 1.5, 7-HOLES,  Y-FORM,  1.0 MM</v>
          </cell>
        </row>
        <row r="6214">
          <cell r="B6214" t="str">
            <v>25-310-17-71</v>
          </cell>
          <cell r="C6214" t="str">
            <v>Mikropl.1,5 7-Loch Y-Form T=1,0 mm/ster</v>
          </cell>
          <cell r="D6214" t="str">
            <v>Micro Pl.1.5 7-Holes Y-Form, 1.0 mm/ster</v>
          </cell>
        </row>
        <row r="6215">
          <cell r="B6215" t="str">
            <v>25-310-17-88</v>
          </cell>
          <cell r="C6215" t="str">
            <v>L1 Midface,  Sizer für 25-306/308/310-17</v>
          </cell>
          <cell r="D6215" t="str">
            <v>L1 Midface,  Sizer for 25-306/308/310-17</v>
          </cell>
        </row>
        <row r="6216">
          <cell r="B6216" t="str">
            <v>25-310-18-09</v>
          </cell>
          <cell r="C6216" t="str">
            <v>MIKROPL.,  1,5, 8-LOCH T-FORM T=1,0 MM</v>
          </cell>
          <cell r="D6216" t="str">
            <v>MICRO PL., 1.5, 8-HOLES,  T-FORM,  1.0 MM</v>
          </cell>
        </row>
        <row r="6217">
          <cell r="B6217" t="str">
            <v>25-310-18-71</v>
          </cell>
          <cell r="C6217" t="str">
            <v>Mikropl.1,5 8-Loch T-Form T=1,0 mm/ster</v>
          </cell>
          <cell r="D6217" t="str">
            <v>Micro Pl.1.5 8-Holes T-Form, 1.0 mm/ster</v>
          </cell>
        </row>
        <row r="6218">
          <cell r="B6218" t="str">
            <v>25-310-18-88</v>
          </cell>
          <cell r="C6218" t="str">
            <v>L1 Midface,  Sizer für 25-306/308/310-18</v>
          </cell>
          <cell r="D6218" t="str">
            <v>L1 Midface,  Sizer for 25-306/308/310-18</v>
          </cell>
        </row>
        <row r="6219">
          <cell r="B6219" t="str">
            <v>25-310-22-09</v>
          </cell>
          <cell r="C6219" t="str">
            <v>MIKRO MESH, 6 X 2-LOCH, T=1,0 MM</v>
          </cell>
          <cell r="D6219" t="str">
            <v>MICRO MESH, 6 X 2-HOLE, 1.0 MM</v>
          </cell>
        </row>
        <row r="6220">
          <cell r="B6220" t="str">
            <v>25-310-22-71</v>
          </cell>
          <cell r="C6220" t="str">
            <v>Mikro Mesh, 6 X 2-Loch, T=1,0 mm/steril</v>
          </cell>
          <cell r="D6220" t="str">
            <v>Micro Mesh, 6 X 2-Holes, 1.0 mm/ ster</v>
          </cell>
        </row>
        <row r="6221">
          <cell r="B6221" t="str">
            <v>25-310-22-88</v>
          </cell>
          <cell r="C6221" t="str">
            <v>L1 Midface,  Sizer für 25-306/308/310-22</v>
          </cell>
          <cell r="D6221" t="str">
            <v>L1 Midface,  Sizer for 25-306/308/310-22</v>
          </cell>
        </row>
        <row r="6222">
          <cell r="B6222" t="str">
            <v>25-310-24-09</v>
          </cell>
          <cell r="C6222" t="str">
            <v>MIKROPLATTE, 1,5, 24-LOCH,  T=1,0 MM</v>
          </cell>
          <cell r="D6222" t="str">
            <v>MICRO PLATE, 1.5, 24-HOLES,  1.0 MM</v>
          </cell>
        </row>
        <row r="6223">
          <cell r="B6223" t="str">
            <v>25-310-24-71</v>
          </cell>
          <cell r="C6223" t="str">
            <v>Mikropl. 1,5 24-Loch ger. T=1,0 mm/ster</v>
          </cell>
          <cell r="D6223" t="str">
            <v>Micro Plate 1.5 24-Holes  str. 1.0mm/ster</v>
          </cell>
        </row>
        <row r="6224">
          <cell r="B6224" t="str">
            <v>25-310-24-88</v>
          </cell>
          <cell r="C6224" t="str">
            <v>L1 Midface,  Sizer für 25-306/308/310-24</v>
          </cell>
          <cell r="D6224" t="str">
            <v>L1 Midface,  Sizer for 25-306/308/310-24</v>
          </cell>
        </row>
        <row r="6225">
          <cell r="B6225" t="str">
            <v>25-310-32-09</v>
          </cell>
          <cell r="C6225" t="str">
            <v>MIKROPL.,  1,5, ORBITA, 12-LOCH,  T=1,0 MM</v>
          </cell>
          <cell r="D6225" t="str">
            <v>MICRO PL., 1.5, ORBITA,12-HOLES, 1.0 MM</v>
          </cell>
        </row>
        <row r="6226">
          <cell r="B6226" t="str">
            <v>25-310-32-71</v>
          </cell>
          <cell r="C6226" t="str">
            <v>Mikropl.1,5 Orbita,12-Loch T=1,0 mm/ster</v>
          </cell>
          <cell r="D6226" t="str">
            <v>Micro Pl.1.5 Orbita 12-Holes,1.0 mm/ster</v>
          </cell>
        </row>
        <row r="6227">
          <cell r="B6227" t="str">
            <v>25-310-32-88</v>
          </cell>
          <cell r="C6227" t="str">
            <v>L1 Midface,  Sizer für 25-306/308/310-32</v>
          </cell>
          <cell r="D6227" t="str">
            <v>L1 Midface,  Sizer for 25-306/308/310-32</v>
          </cell>
        </row>
        <row r="6228">
          <cell r="B6228" t="str">
            <v>25-310-55-09</v>
          </cell>
          <cell r="C6228" t="str">
            <v>MIKROPL.,  1,5, 4-L, L-FORM, LI, KURZ</v>
          </cell>
          <cell r="D6228" t="str">
            <v>MICRO PL., 1.5, 4-H, L-SHAPE,  LE, SHORT</v>
          </cell>
        </row>
        <row r="6229">
          <cell r="B6229" t="str">
            <v>25-310-55-71</v>
          </cell>
          <cell r="C6229" t="str">
            <v>MIKROPL.1,5,4-L,L-FORM,LINKS,KURZ,STERIL</v>
          </cell>
          <cell r="D6229" t="str">
            <v>MICRO PL 1.5,4-H,L-SHAPE,LE,SHORT,STERIL</v>
          </cell>
        </row>
        <row r="6230">
          <cell r="B6230" t="str">
            <v>25-310-55-89</v>
          </cell>
          <cell r="C6230" t="str">
            <v>Template  für 25-310-55/25-311-55</v>
          </cell>
          <cell r="D6230" t="str">
            <v>Template  for 25-310-55/25-311-55</v>
          </cell>
        </row>
        <row r="6231">
          <cell r="B6231" t="str">
            <v>25-310-55-91</v>
          </cell>
          <cell r="C6231" t="str">
            <v>MIKROPL.,  1,5, 4-L, L-FORM, LI, KURZ</v>
          </cell>
          <cell r="D6231" t="str">
            <v>MICRO PL., 1.5, 4-H, L-SHAPE,  LE, SHORT</v>
          </cell>
        </row>
        <row r="6232">
          <cell r="B6232" t="str">
            <v>25-310-70-09</v>
          </cell>
          <cell r="C6232" t="str">
            <v>MIKROPL.,  1,5, 4-L, L-FORM, LI, MITTEL</v>
          </cell>
          <cell r="D6232" t="str">
            <v>MICRO PL., 1.5, 4-H, L-SHAPE,  LE, MEDIUM</v>
          </cell>
        </row>
        <row r="6233">
          <cell r="B6233" t="str">
            <v>25-310-70-71</v>
          </cell>
          <cell r="C6233" t="str">
            <v>MIKROPL.1,5, 4-L,L-FORM,LI,MITTEL,STERIL</v>
          </cell>
          <cell r="D6233" t="str">
            <v>MICRO PL 1.5,4-H,L-SHAPE,LE,MED, STERILE</v>
          </cell>
        </row>
        <row r="6234">
          <cell r="B6234" t="str">
            <v>25-310-70-88</v>
          </cell>
          <cell r="C6234" t="str">
            <v>L1 Midface,  Sizer für 25-310-70</v>
          </cell>
          <cell r="D6234" t="str">
            <v>L1 Midface,  Sizer for 25-310-70</v>
          </cell>
        </row>
        <row r="6235">
          <cell r="B6235" t="str">
            <v>25-310-70-89</v>
          </cell>
          <cell r="C6235" t="str">
            <v>Template  für 25-310-70/25-311-70</v>
          </cell>
          <cell r="D6235" t="str">
            <v>Template  for 25-310-70/25-311-70</v>
          </cell>
        </row>
        <row r="6236">
          <cell r="B6236" t="str">
            <v>25-310-70-91</v>
          </cell>
          <cell r="C6236" t="str">
            <v>MIKROPL.,  1,5, 4-L, L-FORM, LI, MITTEL</v>
          </cell>
          <cell r="D6236" t="str">
            <v>MICRO PL., 1.5, 4-H, L-SHAPE,  LE, MEDIUM</v>
          </cell>
        </row>
        <row r="6237">
          <cell r="B6237" t="str">
            <v>25-310-85-09</v>
          </cell>
          <cell r="C6237" t="str">
            <v>MIKROPL.,  1,5, 4-L, L-FORM, LI, LANG</v>
          </cell>
          <cell r="D6237" t="str">
            <v>MICRO PL., 1.5, 4-H, L-SHAPE,  LE, LONG</v>
          </cell>
        </row>
        <row r="6238">
          <cell r="B6238" t="str">
            <v>25-310-85-25</v>
          </cell>
          <cell r="C6238" t="str">
            <v>MIKROPL.,  1,5, 4-L, L-FORM, LI, LANG</v>
          </cell>
          <cell r="D6238" t="str">
            <v>MICRO PL., 1.5, 4-H, L-SHAPE,  LE, LONG</v>
          </cell>
        </row>
        <row r="6239">
          <cell r="B6239" t="str">
            <v>25-310-85-71</v>
          </cell>
          <cell r="C6239" t="str">
            <v>MIKROPL.1,5,4-L,L-FORM,LINKS,LANG,STERIL</v>
          </cell>
          <cell r="D6239" t="str">
            <v>MICRO PL 1.5,4-H,L-SHAPE,LE,LONG,STERILE</v>
          </cell>
        </row>
        <row r="6240">
          <cell r="B6240" t="str">
            <v>25-310-85-88</v>
          </cell>
          <cell r="C6240" t="str">
            <v>L1 Midface,  Sizer für 25-310-85</v>
          </cell>
          <cell r="D6240" t="str">
            <v>L1 Midface,  Sizer for 25-310-85</v>
          </cell>
        </row>
        <row r="6241">
          <cell r="B6241" t="str">
            <v>25-310-85-89</v>
          </cell>
          <cell r="C6241" t="str">
            <v>Template  für 25-310-85/25-311-85</v>
          </cell>
          <cell r="D6241" t="str">
            <v>Template  for 25-310-85/25-311-85</v>
          </cell>
        </row>
        <row r="6242">
          <cell r="B6242" t="str">
            <v>25-310-85-91</v>
          </cell>
          <cell r="C6242" t="str">
            <v>MIKROPL.,  1,5, 4-L, L-FORM, LI, LANG</v>
          </cell>
          <cell r="D6242" t="str">
            <v>MICRO PL., 1.5, 4-H, L-SHAPE,  LE, LONG</v>
          </cell>
        </row>
        <row r="6243">
          <cell r="B6243" t="str">
            <v>25-311-55-09</v>
          </cell>
          <cell r="C6243" t="str">
            <v>MIKROPL.,  1,5, 4-L, L-FORM, RE, KURZ</v>
          </cell>
          <cell r="D6243" t="str">
            <v>MICRO PL., 1.5, 4-H, L-SHAPE,  RI, SHORT</v>
          </cell>
        </row>
        <row r="6244">
          <cell r="B6244" t="str">
            <v>25-311-55-71</v>
          </cell>
          <cell r="C6244" t="str">
            <v>MIKROPL.1,5, 4-L,L-FORM,RE, KURZ, STERIL</v>
          </cell>
          <cell r="D6244" t="str">
            <v>MICRO PL 1.5,4-HO,L-SHAPE,RI,SHO,STERILE</v>
          </cell>
        </row>
        <row r="6245">
          <cell r="B6245" t="str">
            <v>25-311-55-91</v>
          </cell>
          <cell r="C6245" t="str">
            <v>MIKROPL.,  1,5, 4-L, L-FORM, RE, KURZ</v>
          </cell>
          <cell r="D6245" t="str">
            <v>MICRO PL., 1.5, 4-H, L-SHAPE,  RI, SHORT</v>
          </cell>
        </row>
        <row r="6246">
          <cell r="B6246" t="str">
            <v>25-311-70-09</v>
          </cell>
          <cell r="C6246" t="str">
            <v>MIKROPL.,  1,5, 4-L, L-FORM, RE, MITTEL</v>
          </cell>
          <cell r="D6246" t="str">
            <v>MICRO PL., 1.5, 4-H, L-SHAPE,  RI, MEDIUM</v>
          </cell>
        </row>
        <row r="6247">
          <cell r="B6247" t="str">
            <v>25-311-70-71</v>
          </cell>
          <cell r="C6247" t="str">
            <v>MIKROPL.1,5, 4-L,L-FORM,RE,MITTEL,STERIL</v>
          </cell>
          <cell r="D6247" t="str">
            <v>MICRO PL 1.5,4-HO,L-SHAPE,RI,MED,STERILE</v>
          </cell>
        </row>
        <row r="6248">
          <cell r="B6248" t="str">
            <v>25-311-70-88</v>
          </cell>
          <cell r="C6248" t="str">
            <v>L1 Midface,  Sizer für 25-311-70</v>
          </cell>
          <cell r="D6248" t="str">
            <v>L1 Midface,  Sizer for 25-311-70</v>
          </cell>
        </row>
        <row r="6249">
          <cell r="B6249" t="str">
            <v>25-311-70-91</v>
          </cell>
          <cell r="C6249" t="str">
            <v>MIKROPL.,  1,5, 4-L, L-FORM, RE, MITTEL</v>
          </cell>
          <cell r="D6249" t="str">
            <v>MICRO PL., 1.5, 4-H, L-SHAPE,  RI, MEDIUM</v>
          </cell>
        </row>
        <row r="6250">
          <cell r="B6250" t="str">
            <v>25-311-85-09</v>
          </cell>
          <cell r="C6250" t="str">
            <v>MIKROPL.,  1,5, 4-L, L-FORM, RE, LANG</v>
          </cell>
          <cell r="D6250" t="str">
            <v>MICRO PL., 1.5, 4-H, L-SHAPE,  RI, LONG</v>
          </cell>
        </row>
        <row r="6251">
          <cell r="B6251" t="str">
            <v>25-311-85-25</v>
          </cell>
          <cell r="C6251" t="str">
            <v>MIKROPL.,  1,5, 4-L, L-FORM, RE, LANG</v>
          </cell>
          <cell r="D6251" t="str">
            <v>MICRO PL., 1.5, 4-H, L-SHAPE,  RI, LONG</v>
          </cell>
        </row>
        <row r="6252">
          <cell r="B6252" t="str">
            <v>25-311-85-71</v>
          </cell>
          <cell r="C6252" t="str">
            <v>MIKROPL.1,5, 4-L,L-FORM,RE, LANG, STERIL</v>
          </cell>
          <cell r="D6252" t="str">
            <v>MICRO PL 1.5,4-H,L-SHAPE,RI,LONG,STERILE</v>
          </cell>
        </row>
        <row r="6253">
          <cell r="B6253" t="str">
            <v>25-311-85-88</v>
          </cell>
          <cell r="C6253" t="str">
            <v>L1 Midface,  Sizer für 25-311-85</v>
          </cell>
          <cell r="D6253" t="str">
            <v>L1 Midface,  Sizer for 25-311-85</v>
          </cell>
        </row>
        <row r="6254">
          <cell r="B6254" t="str">
            <v>25-311-85-91</v>
          </cell>
          <cell r="C6254" t="str">
            <v>MIKROPL.,  1,5, 4-L, L-FORM, RE, LANG</v>
          </cell>
          <cell r="D6254" t="str">
            <v>MICRO PL., 1.5, 4-H, L-SHAPE,  RI, LONG</v>
          </cell>
        </row>
        <row r="6255">
          <cell r="B6255" t="str">
            <v>25-312-55-09</v>
          </cell>
          <cell r="C6255" t="str">
            <v>MIKROPL.,  1,5, 4-L,L-FORM,LI,KURZ, 100GR</v>
          </cell>
          <cell r="D6255" t="str">
            <v>MICRO PL.,1.5,4-H,L-SHAPE,LE,SHORT,100DG</v>
          </cell>
        </row>
        <row r="6256">
          <cell r="B6256" t="str">
            <v>25-312-55-71</v>
          </cell>
          <cell r="C6256" t="str">
            <v>MIKROPL.,  1,5, 4-L,L-FORM,LI,KURZ, 100GR</v>
          </cell>
          <cell r="D6256" t="str">
            <v>MICRO PL.,1.5,4-H,L-SHAPE,LE,SHORT,100DG</v>
          </cell>
        </row>
        <row r="6257">
          <cell r="B6257" t="str">
            <v>25-312-55-89</v>
          </cell>
          <cell r="C6257" t="str">
            <v>Template  für 25-312-55/25-313-55</v>
          </cell>
          <cell r="D6257" t="str">
            <v>Template  for 25-312-55/25-313-55</v>
          </cell>
        </row>
        <row r="6258">
          <cell r="B6258" t="str">
            <v>25-312-55-91</v>
          </cell>
          <cell r="C6258" t="str">
            <v>MIKROPL.,  1,5, 4-L,L-FORM,LI,KURZ, 100GR</v>
          </cell>
          <cell r="D6258" t="str">
            <v>MICRO PL.,1.5,4-H,L-SHAPE,LE,SHORT,100DG</v>
          </cell>
        </row>
        <row r="6259">
          <cell r="B6259" t="str">
            <v>25-312-70-09</v>
          </cell>
          <cell r="C6259" t="str">
            <v>MIKROPL.,  1,5,4-L,L-FORM,LI,MITTEL,100GR</v>
          </cell>
          <cell r="D6259" t="str">
            <v>MICRO PL., 1.5,4-H,L-SHAPE,LE,MED.,100DG</v>
          </cell>
        </row>
        <row r="6260">
          <cell r="B6260" t="str">
            <v>25-312-70-71</v>
          </cell>
          <cell r="C6260" t="str">
            <v>MIKROPL.,  1,5,4-L,L-FORM,LI,MITTEL,100GR</v>
          </cell>
          <cell r="D6260" t="str">
            <v>MICRO PL., 1.5,4-H,L-SHAPE,LE,MED.,100DG</v>
          </cell>
        </row>
        <row r="6261">
          <cell r="B6261" t="str">
            <v>25-312-70-89</v>
          </cell>
          <cell r="C6261" t="str">
            <v>Template  für 25-312-70/25-313-70</v>
          </cell>
          <cell r="D6261" t="str">
            <v>Template  for 25-312-70/25-313-70</v>
          </cell>
        </row>
        <row r="6262">
          <cell r="B6262" t="str">
            <v>25-312-70-91</v>
          </cell>
          <cell r="C6262" t="str">
            <v>MIKROPL.,  1,5,4-L,L-FORM,LI,MITTEL,100GR</v>
          </cell>
          <cell r="D6262" t="str">
            <v>MICRO PL., 1.5,4-H,L-SHAPE,LE,MED.,100DG</v>
          </cell>
        </row>
        <row r="6263">
          <cell r="B6263" t="str">
            <v>25-312-85-09</v>
          </cell>
          <cell r="C6263" t="str">
            <v>MIKROPL.,  1,5, 4-L,L-FORM,LI,LANG, 100GR</v>
          </cell>
          <cell r="D6263" t="str">
            <v>MICRO PL., 1.5,4-H,L-SHAPE,LE,LONG,100DG</v>
          </cell>
        </row>
        <row r="6264">
          <cell r="B6264" t="str">
            <v>25-312-85-71</v>
          </cell>
          <cell r="C6264" t="str">
            <v>MIKROPL.,  1,5, 4-L,L-FORM,LI,LANG, 100GR</v>
          </cell>
          <cell r="D6264" t="str">
            <v>MICRO PL., 1.5,4-H,L-SHAPE,LE,LONG,100DG</v>
          </cell>
        </row>
        <row r="6265">
          <cell r="B6265" t="str">
            <v>25-312-85-89</v>
          </cell>
          <cell r="C6265" t="str">
            <v>Template  für 25-312-85/25-313-85</v>
          </cell>
          <cell r="D6265" t="str">
            <v>Template  for 25-312-85/25-313-85</v>
          </cell>
        </row>
        <row r="6266">
          <cell r="B6266" t="str">
            <v>25-312-85-91</v>
          </cell>
          <cell r="C6266" t="str">
            <v>MIKROPL.,  1,5, 4-L,L-FORM,LI,LANG, 100GR</v>
          </cell>
          <cell r="D6266" t="str">
            <v>MICRO PL., 1.5,4-H,L-SHAPE,LE,LONG,100DG</v>
          </cell>
        </row>
        <row r="6267">
          <cell r="B6267" t="str">
            <v>25-313-20-71</v>
          </cell>
          <cell r="C6267" t="str">
            <v>MIKPL., 4L, L-FORM, LI, KURZ,0,8MM,STERI</v>
          </cell>
          <cell r="D6267" t="str">
            <v>Micropl. 1.5,4hole,left,s,0,8mm,ster</v>
          </cell>
        </row>
        <row r="6268">
          <cell r="B6268" t="str">
            <v>25-313-20-91</v>
          </cell>
          <cell r="C6268" t="str">
            <v>MIKPL., 1,5, 4-L, L-FORM, LI, KURZ,0,8MM</v>
          </cell>
          <cell r="D6268" t="str">
            <v>Micropl. 1.5,4hole,left,s,0,8mm</v>
          </cell>
        </row>
        <row r="6269">
          <cell r="B6269" t="str">
            <v>25-313-21-71</v>
          </cell>
          <cell r="C6269" t="str">
            <v>MIKPL.,4-L, L-FORM, RE, KURZ,0,8MM,STERI</v>
          </cell>
          <cell r="D6269" t="str">
            <v>Micropl. 1.5,4hole,right,s,0,8mm,ster</v>
          </cell>
        </row>
        <row r="6270">
          <cell r="B6270" t="str">
            <v>25-313-21-91</v>
          </cell>
          <cell r="C6270" t="str">
            <v>MIKPL., 1,5, 4-L, L-FORM, RE, KURZ,0,8MM</v>
          </cell>
          <cell r="D6270" t="str">
            <v>Micropl. 1.5,4hole,right,s,0,8mm</v>
          </cell>
        </row>
        <row r="6271">
          <cell r="B6271" t="str">
            <v>25-313-22-71</v>
          </cell>
          <cell r="C6271" t="str">
            <v>MINIPL.,4-L,L-FORM, KURZ,LI,0,8MM,STERIL</v>
          </cell>
          <cell r="D6271" t="str">
            <v>Minipl.,2.0,4hole,left,s,0,8mm,ster</v>
          </cell>
        </row>
        <row r="6272">
          <cell r="B6272" t="str">
            <v>25-313-22-91</v>
          </cell>
          <cell r="C6272" t="str">
            <v>MINIPL., 2,0, 4-L,L-FORM, KURZ,LI,0,8MM</v>
          </cell>
          <cell r="D6272" t="str">
            <v>Minipl.,2.0,4hole,left,s,0,8mm</v>
          </cell>
        </row>
        <row r="6273">
          <cell r="B6273" t="str">
            <v>25-313-23-71</v>
          </cell>
          <cell r="C6273" t="str">
            <v>MINIPL.,4-L,L-FORM, KURZ,RE,0,8MM,STERIL</v>
          </cell>
          <cell r="D6273" t="str">
            <v>Minipl.,2.0,4hole,right,s,0,8mm,ster</v>
          </cell>
        </row>
        <row r="6274">
          <cell r="B6274" t="str">
            <v>25-313-23-91</v>
          </cell>
          <cell r="C6274" t="str">
            <v>MINIPL., 2,0, 4-L,L-FORM, KURZ,RE,0,8MM</v>
          </cell>
          <cell r="D6274" t="str">
            <v>Minipl.,2.0,4hole,right,s,0,8mm</v>
          </cell>
        </row>
        <row r="6275">
          <cell r="B6275" t="str">
            <v>25-313-24-71</v>
          </cell>
          <cell r="C6275" t="str">
            <v>MIKPL,4L,LFORM,LI,KURZ,100GR,0,8MM,STER.</v>
          </cell>
          <cell r="D6275" t="str">
            <v>Micropl. 1.5,4hole,left,s,100°,0,8mm,ste</v>
          </cell>
        </row>
        <row r="6276">
          <cell r="B6276" t="str">
            <v>25-313-24-91</v>
          </cell>
          <cell r="C6276" t="str">
            <v>MIKPL,1,5,4-L,L-FORM,LI,KURZ,100GR,0,8MM</v>
          </cell>
          <cell r="D6276" t="str">
            <v>Micropl. 1.5,4hole,left,s,100°,0,8mm</v>
          </cell>
        </row>
        <row r="6277">
          <cell r="B6277" t="str">
            <v>25-313-25-71</v>
          </cell>
          <cell r="C6277" t="str">
            <v>MIKPL,4L,LFORM,RE,KURZ,100GR,0,8MM,STER.</v>
          </cell>
          <cell r="D6277" t="str">
            <v>Micropl.1.5,4hole,right,s,100°,0,8mm,ste</v>
          </cell>
        </row>
        <row r="6278">
          <cell r="B6278" t="str">
            <v>25-313-25-91</v>
          </cell>
          <cell r="C6278" t="str">
            <v>MIKPL,1,5,4-L,L-FORM,RE,KURZ,100GR,0,8MM</v>
          </cell>
          <cell r="D6278" t="str">
            <v>Micropl. 1.5,4hole,right,s,100°,0,8mm</v>
          </cell>
        </row>
        <row r="6279">
          <cell r="B6279" t="str">
            <v>25-313-26-71</v>
          </cell>
          <cell r="C6279" t="str">
            <v>MINPL,4L,LFORM,RE,KURZ,100GR,0,8MM,STER.</v>
          </cell>
          <cell r="D6279" t="str">
            <v>Minipl,2.0,4hole,right,m,100°,0,8mm,ste</v>
          </cell>
        </row>
        <row r="6280">
          <cell r="B6280" t="str">
            <v>25-313-26-91</v>
          </cell>
          <cell r="C6280" t="str">
            <v>MINIPL,2,0,4L,L-FORM,MIT.,RE,100GR,0,8MM</v>
          </cell>
          <cell r="D6280" t="str">
            <v>Minipl.,2.0,4hole,right,m,100°,0,8mm</v>
          </cell>
        </row>
        <row r="6281">
          <cell r="B6281" t="str">
            <v>25-313-27-71</v>
          </cell>
          <cell r="C6281" t="str">
            <v>MINPL,4L,LFORM,LI,KURZ,100GR,0,8MM,STER.</v>
          </cell>
          <cell r="D6281" t="str">
            <v>Minipl,2.0,4hole,left,s,100°,0,8mm,ste</v>
          </cell>
        </row>
        <row r="6282">
          <cell r="B6282" t="str">
            <v>25-313-27-91</v>
          </cell>
          <cell r="C6282" t="str">
            <v>MINPL,2,0,4L,L-FORM,KURZ,LI,100GR,0,8MM</v>
          </cell>
          <cell r="D6282" t="str">
            <v>Minipl.,2.0,4hole,left,s,100°,0,8mm</v>
          </cell>
        </row>
        <row r="6283">
          <cell r="B6283" t="str">
            <v>25-313-28-71</v>
          </cell>
          <cell r="C6283" t="str">
            <v>MINIPL,4L,LFORM,KURZ,RE,100GR,1,0MM,STER</v>
          </cell>
          <cell r="D6283" t="str">
            <v>Minipl,2.0,4hole,right,m,100°,1,0mm,ste</v>
          </cell>
        </row>
        <row r="6284">
          <cell r="B6284" t="str">
            <v>25-313-28-91</v>
          </cell>
          <cell r="C6284" t="str">
            <v>MINIPL,2,0,4L,L-FORM,KURZ,RE,100GR,1,0MM</v>
          </cell>
          <cell r="D6284" t="str">
            <v>Minipl.,2.0,4hole,right,m,100°,1,0mm</v>
          </cell>
        </row>
        <row r="6285">
          <cell r="B6285" t="str">
            <v>25-313-29-71</v>
          </cell>
          <cell r="C6285" t="str">
            <v>MINIPL,4L,LFORM,KURZ,LI,100GR,1,0MM,STER</v>
          </cell>
          <cell r="D6285" t="str">
            <v>Minipl,2.0,4hole,left,s,100°,1,0mm,ste</v>
          </cell>
        </row>
        <row r="6286">
          <cell r="B6286" t="str">
            <v>25-313-29-91</v>
          </cell>
          <cell r="C6286" t="str">
            <v>MINIPL,2,0,4L,L-FORM,KURZ,LI,100GR,1,0MM</v>
          </cell>
          <cell r="D6286" t="str">
            <v>Minipl.,2.0,4hole,left,s,100°,1,0mm</v>
          </cell>
        </row>
        <row r="6287">
          <cell r="B6287" t="str">
            <v>25-313-30-71</v>
          </cell>
          <cell r="C6287" t="str">
            <v>MIKPL., 4L, L-FORM, LI, MIT.,0,8MM,STERI</v>
          </cell>
          <cell r="D6287" t="str">
            <v>Micropl. 1.5,4hole,left,m,0,8mm,ster</v>
          </cell>
        </row>
        <row r="6288">
          <cell r="B6288" t="str">
            <v>25-313-30-91</v>
          </cell>
          <cell r="C6288" t="str">
            <v>MIKPL., 1,5, 4-L, L-FORM, LI, MIT.,0,8MM</v>
          </cell>
          <cell r="D6288" t="str">
            <v>Micropl. 1.5,4hole,left,m,0,8mm</v>
          </cell>
        </row>
        <row r="6289">
          <cell r="B6289" t="str">
            <v>25-313-31-71</v>
          </cell>
          <cell r="C6289" t="str">
            <v>MIKPL.,4-L, L-FORM, RE, MIT.,0,8MM,STERI</v>
          </cell>
          <cell r="D6289" t="str">
            <v>Micropl. 1.5,4hole,right,m,0,8mm,ster</v>
          </cell>
        </row>
        <row r="6290">
          <cell r="B6290" t="str">
            <v>25-313-31-91</v>
          </cell>
          <cell r="C6290" t="str">
            <v>MIKPL., 1,5, 4-L, L-FORM, RE, MIT.,0,8MM</v>
          </cell>
          <cell r="D6290" t="str">
            <v>Micropl. 1.5,4hole,right,m,0,8mm</v>
          </cell>
        </row>
        <row r="6291">
          <cell r="B6291" t="str">
            <v>25-313-32-71</v>
          </cell>
          <cell r="C6291" t="str">
            <v>MINIPL.,4-L,L-FORM, MIT.,LI,0,8MM,STERIL</v>
          </cell>
          <cell r="D6291" t="str">
            <v>Minipl.,2.0,4hole,left,m,0,8mm,ster</v>
          </cell>
        </row>
        <row r="6292">
          <cell r="B6292" t="str">
            <v>25-313-32-91</v>
          </cell>
          <cell r="C6292" t="str">
            <v>MINIPL., 2,0, 4-L,L-FORM, MIT.,LI,0,8MM</v>
          </cell>
          <cell r="D6292" t="str">
            <v>Minipl.,2.0,4hole,left,m,0,8mm</v>
          </cell>
        </row>
        <row r="6293">
          <cell r="B6293" t="str">
            <v>25-313-33-71</v>
          </cell>
          <cell r="C6293" t="str">
            <v>MINIPL.,4-L,L-FORM, MIT.,RE,0,8MM,STERIL</v>
          </cell>
          <cell r="D6293" t="str">
            <v>Minipl.,2.0,4hole,right,m,0,8mm,ster</v>
          </cell>
        </row>
        <row r="6294">
          <cell r="B6294" t="str">
            <v>25-313-33-91</v>
          </cell>
          <cell r="C6294" t="str">
            <v>MINIPL., 2,0, 4-L,L-FORM, MIT.,RE,0,8MM</v>
          </cell>
          <cell r="D6294" t="str">
            <v>Minipl.,2.0,4hole,right,m,0,8mm</v>
          </cell>
        </row>
        <row r="6295">
          <cell r="B6295" t="str">
            <v>25-313-34-71</v>
          </cell>
          <cell r="C6295" t="str">
            <v>MIKPL,4L,LFORM,LI,MIT.,100GR,0,8MM,STER.</v>
          </cell>
          <cell r="D6295" t="str">
            <v>Micropl.1.5,4hole,left,m,100°,0,8mm,ste</v>
          </cell>
        </row>
        <row r="6296">
          <cell r="B6296" t="str">
            <v>25-313-34-91</v>
          </cell>
          <cell r="C6296" t="str">
            <v>MIKPL,1,5,4-L,L-FORM,LI,MIT.,100GR,0,8MM</v>
          </cell>
          <cell r="D6296" t="str">
            <v>Micropl. 1.5,4hole,left,m,100°,0,8mm</v>
          </cell>
        </row>
        <row r="6297">
          <cell r="B6297" t="str">
            <v>25-313-35-71</v>
          </cell>
          <cell r="C6297" t="str">
            <v>MIKPL,4L,LFORM,RE,MIT.,100GR,0,8MM,STER.</v>
          </cell>
          <cell r="D6297" t="str">
            <v>Micropl.1.5,4hole,right,m,100°,0,8mm,ste</v>
          </cell>
        </row>
        <row r="6298">
          <cell r="B6298" t="str">
            <v>25-313-35-91</v>
          </cell>
          <cell r="C6298" t="str">
            <v>MIKPL,1,5,4-L,L-FORM,RE,MIT.,100GR,0,8MM</v>
          </cell>
          <cell r="D6298" t="str">
            <v>Micropl. 1.5,4hole,right,m,100°,0,8mm</v>
          </cell>
        </row>
        <row r="6299">
          <cell r="B6299" t="str">
            <v>25-313-36-71</v>
          </cell>
          <cell r="C6299" t="str">
            <v>MINPL,4L,LFORM,RE,MIT.,100GR,0,8MM,STER.</v>
          </cell>
          <cell r="D6299" t="str">
            <v>Minipl.,2,0,4hole,right,m,100°,0,8mm,ste</v>
          </cell>
        </row>
        <row r="6300">
          <cell r="B6300" t="str">
            <v>25-313-36-91</v>
          </cell>
          <cell r="C6300" t="str">
            <v>MINIPL,2,0,4L,L-FORM,MIT.,RE,100GR,0,8MM</v>
          </cell>
          <cell r="D6300" t="str">
            <v>Minipl.,2,0,4hole,right,m,100°,0,8mm</v>
          </cell>
        </row>
        <row r="6301">
          <cell r="B6301" t="str">
            <v>25-313-37-71</v>
          </cell>
          <cell r="C6301" t="str">
            <v>MINPL,4L,LFORM,LI,MIT.,100GR,0,8MM,STER.</v>
          </cell>
          <cell r="D6301" t="str">
            <v>Minipl.,2,0,4hole,left,m,100°,0,8mm,ste</v>
          </cell>
        </row>
        <row r="6302">
          <cell r="B6302" t="str">
            <v>25-313-37-91</v>
          </cell>
          <cell r="C6302" t="str">
            <v>MINIPL,2,0,4L,L-FORM,MIT.,LI,100GR,0,8MM</v>
          </cell>
          <cell r="D6302" t="str">
            <v>Minipl.,2,0,4hole,left,m,100°,0,8mm</v>
          </cell>
        </row>
        <row r="6303">
          <cell r="B6303" t="str">
            <v>25-313-38-71</v>
          </cell>
          <cell r="C6303" t="str">
            <v>MINIPL,4L,LFORM,MIT.,RE,100GR,1,0MM,STER</v>
          </cell>
          <cell r="D6303" t="str">
            <v>Minipl.,2,0,4hole,right,m,100°,1,0mm,ste</v>
          </cell>
        </row>
        <row r="6304">
          <cell r="B6304" t="str">
            <v>25-313-38-91</v>
          </cell>
          <cell r="C6304" t="str">
            <v>MINIPL,2,0,4L,L-FORM,MIT.,RE,100GR,1,0MM</v>
          </cell>
          <cell r="D6304" t="str">
            <v>Minipl.,2,0,4hole,right,m,100°,1,0mm</v>
          </cell>
        </row>
        <row r="6305">
          <cell r="B6305" t="str">
            <v>25-313-39-71</v>
          </cell>
          <cell r="C6305" t="str">
            <v>MINIPL,4L,LFORM,MIT.,LI,100GR,1,0MM,STER</v>
          </cell>
          <cell r="D6305" t="str">
            <v>Minipl.,2,0,4hole,left,m,100°,1,0mm,ste</v>
          </cell>
        </row>
        <row r="6306">
          <cell r="B6306" t="str">
            <v>25-313-39-91</v>
          </cell>
          <cell r="C6306" t="str">
            <v>MINIPL,2,0,4L,L-FORM,MIT.,LI,100GR,1,0MM</v>
          </cell>
          <cell r="D6306" t="str">
            <v>Minipl.,2,0,4hole,left,m,100°,1,0mm</v>
          </cell>
        </row>
        <row r="6307">
          <cell r="B6307" t="str">
            <v>25-313-40-71</v>
          </cell>
          <cell r="C6307" t="str">
            <v>MIKPL., 4L, L-FORM, LI, LANG,0,8MM,STERI</v>
          </cell>
          <cell r="D6307" t="str">
            <v>Micropl. 1.5,4hole,left,l,0,8mm,ster</v>
          </cell>
        </row>
        <row r="6308">
          <cell r="B6308" t="str">
            <v>25-313-40-91</v>
          </cell>
          <cell r="C6308" t="str">
            <v>MIKPL., 1,5, 4-L, L-FORM, LI, LANG,0,8MM</v>
          </cell>
          <cell r="D6308" t="str">
            <v>Micropl. 1.5,4hole,left,l,0,8mm</v>
          </cell>
        </row>
        <row r="6309">
          <cell r="B6309" t="str">
            <v>25-313-41-71</v>
          </cell>
          <cell r="C6309" t="str">
            <v>MIKPL.,4-L, L-FORM, RE, LANG,0,8MM,STERI</v>
          </cell>
          <cell r="D6309" t="str">
            <v>Micropl. 1.5,4hole,right,l,0,8mm,ster</v>
          </cell>
        </row>
        <row r="6310">
          <cell r="B6310" t="str">
            <v>25-313-41-91</v>
          </cell>
          <cell r="C6310" t="str">
            <v>MIKPL., 1,5, 4-L, L-FORM, RE, LANG,0,8MM</v>
          </cell>
          <cell r="D6310" t="str">
            <v>Micropl. 1.5,4hole,right,l,0,8mm</v>
          </cell>
        </row>
        <row r="6311">
          <cell r="B6311" t="str">
            <v>25-313-42-71</v>
          </cell>
          <cell r="C6311" t="str">
            <v>MINIPL.,4-L,L-FORM, LANG,LI,0,8MM,STERIL</v>
          </cell>
          <cell r="D6311" t="str">
            <v>Minipl.,2.0,4hole,left,L,0,8mm,ster</v>
          </cell>
        </row>
        <row r="6312">
          <cell r="B6312" t="str">
            <v>25-313-42-91</v>
          </cell>
          <cell r="C6312" t="str">
            <v>MINIPL., 2,0, 4-L,L-FORM, LANG,LI,0,8MM</v>
          </cell>
          <cell r="D6312" t="str">
            <v>Minipl.,2.0,4hole,left,L,0,8mm</v>
          </cell>
        </row>
        <row r="6313">
          <cell r="B6313" t="str">
            <v>25-313-43-71</v>
          </cell>
          <cell r="C6313" t="str">
            <v>MINIPL.,4-L,L-FORM, LANG,RE,0,8MM,STERIL</v>
          </cell>
          <cell r="D6313" t="str">
            <v>Minipl.,2.0,4hole,right,L,0,8mm,ster</v>
          </cell>
        </row>
        <row r="6314">
          <cell r="B6314" t="str">
            <v>25-313-43-91</v>
          </cell>
          <cell r="C6314" t="str">
            <v>MINIPL., 2,0, 4-L,L-FORM, LANG,RE,0,8MM</v>
          </cell>
          <cell r="D6314" t="str">
            <v>Minipl.,2.0,4hole,right,L,0,8mm</v>
          </cell>
        </row>
        <row r="6315">
          <cell r="B6315" t="str">
            <v>25-313-44-71</v>
          </cell>
          <cell r="C6315" t="str">
            <v>MIKPL,4L,LFORM,LI,LANG,100GR,0,8MM,STER.</v>
          </cell>
          <cell r="D6315" t="str">
            <v>Micropl.1.5,4hole,left,l,100°,0,8mm,ster</v>
          </cell>
        </row>
        <row r="6316">
          <cell r="B6316" t="str">
            <v>25-313-44-91</v>
          </cell>
          <cell r="C6316" t="str">
            <v>MIKPL,1,5,4-L,L-FORM,LI,LANG,100GR,0,8MM</v>
          </cell>
          <cell r="D6316" t="str">
            <v>Micropl. 1.5,4hole,left,l,100°,0,8mm</v>
          </cell>
        </row>
        <row r="6317">
          <cell r="B6317" t="str">
            <v>25-313-45-71</v>
          </cell>
          <cell r="C6317" t="str">
            <v>MIKPL,4L,LFORM,RE,LANG,100GR,0,8MM,STER.</v>
          </cell>
          <cell r="D6317" t="str">
            <v>Micropl.1.5,4hole,right,l,100°,0,8mm,ste</v>
          </cell>
        </row>
        <row r="6318">
          <cell r="B6318" t="str">
            <v>25-313-45-91</v>
          </cell>
          <cell r="C6318" t="str">
            <v>MIKPL,1,5,4-L,L-FORM,RE,LANG,100GR,0,8MM</v>
          </cell>
          <cell r="D6318" t="str">
            <v>Micropl. 1.5,4hole,right,l,100°,0,8mm</v>
          </cell>
        </row>
        <row r="6319">
          <cell r="B6319" t="str">
            <v>25-313-46-71</v>
          </cell>
          <cell r="C6319" t="str">
            <v>MINPL,4L,LFORM,RE,LANG,100GR,0,8MM,STER.</v>
          </cell>
          <cell r="D6319" t="str">
            <v>Minipl.2,0,4hole,right,l,100°,0,8mm,ster</v>
          </cell>
        </row>
        <row r="6320">
          <cell r="B6320" t="str">
            <v>25-313-46-91</v>
          </cell>
          <cell r="C6320" t="str">
            <v>MINIPL,2,0,4L,L-FORM,LANG,RE,100GR,0,8MM</v>
          </cell>
          <cell r="D6320" t="str">
            <v>Minipl.2,0,4hole,right,l,100°,0,8mm</v>
          </cell>
        </row>
        <row r="6321">
          <cell r="B6321" t="str">
            <v>25-313-47-71</v>
          </cell>
          <cell r="C6321" t="str">
            <v>MINPL,4L,LFORM,LI,LANG,100GR,0,8MM,STER.</v>
          </cell>
          <cell r="D6321" t="str">
            <v>Minipl.2,0,4hole,left,l,100°,0,8mm,ster</v>
          </cell>
        </row>
        <row r="6322">
          <cell r="B6322" t="str">
            <v>25-313-47-91</v>
          </cell>
          <cell r="C6322" t="str">
            <v>MINIPL,2,0,4L,L-FORM,LANG,LI,100GR,0,8MM</v>
          </cell>
          <cell r="D6322" t="str">
            <v>Minipl.2,0,4hole,left,l,100°,0,8mm</v>
          </cell>
        </row>
        <row r="6323">
          <cell r="B6323" t="str">
            <v>25-313-48-71</v>
          </cell>
          <cell r="C6323" t="str">
            <v>MINIPL,4L,LFORM,LANG,RE,100GR,1,0MM,STER</v>
          </cell>
          <cell r="D6323" t="str">
            <v>Minipl.2,0,4hole,right,l,100°,1,0mm,ster</v>
          </cell>
        </row>
        <row r="6324">
          <cell r="B6324" t="str">
            <v>25-313-48-91</v>
          </cell>
          <cell r="C6324" t="str">
            <v>MINIPL,2,0,4L,L-FORM,LANG,RE,100GR,1,0MM</v>
          </cell>
          <cell r="D6324" t="str">
            <v>Minipl.2,0,4hole,right,l,100°,1,0mm</v>
          </cell>
        </row>
        <row r="6325">
          <cell r="B6325" t="str">
            <v>25-313-49-71</v>
          </cell>
          <cell r="C6325" t="str">
            <v>MINIPL,4L,LFORM,LANG,LI,100GR,1,0MM,STER</v>
          </cell>
          <cell r="D6325" t="str">
            <v>Minipl.2,0,4hole,left,l,100°,1,0mm,ster</v>
          </cell>
        </row>
        <row r="6326">
          <cell r="B6326" t="str">
            <v>25-313-49-91</v>
          </cell>
          <cell r="C6326" t="str">
            <v>MINIPL,2,0,4L,L-FORM,LANG,LI,100GR,1,0MM</v>
          </cell>
          <cell r="D6326" t="str">
            <v>Minipl.2,0,4hole,left,l,100°,1,0mm</v>
          </cell>
        </row>
        <row r="6327">
          <cell r="B6327" t="str">
            <v>25-313-55-09</v>
          </cell>
          <cell r="C6327" t="str">
            <v>MIKROPL.,  1,5, 4-L,L-FORM,RE,KURZ, 100GR</v>
          </cell>
          <cell r="D6327" t="str">
            <v>MICRO PL., 1.5,4-H,L-SH.,RI, SHORT,100DG</v>
          </cell>
        </row>
        <row r="6328">
          <cell r="B6328" t="str">
            <v>25-313-55-71</v>
          </cell>
          <cell r="C6328" t="str">
            <v>MIKROPL.,  1,5, 4-L,L-FORM,RE,KURZ, 100GR</v>
          </cell>
          <cell r="D6328" t="str">
            <v>MICRO PL., 1.5,4-H,L-SH.,RI, SHORT,100DG</v>
          </cell>
        </row>
        <row r="6329">
          <cell r="B6329" t="str">
            <v>25-313-55-91</v>
          </cell>
          <cell r="C6329" t="str">
            <v>MIKROPL.,  1,5, 4-L,L-FORM,RE,KURZ, 100GR</v>
          </cell>
          <cell r="D6329" t="str">
            <v>MICRO PL., 1.5,4-H,L-SH.,RI, SHORT,100DG</v>
          </cell>
        </row>
        <row r="6330">
          <cell r="B6330" t="str">
            <v>25-313-70-09</v>
          </cell>
          <cell r="C6330" t="str">
            <v>MIKROPL.,  1,5,4-L,L-FORM,RE,MITTEL,100GR</v>
          </cell>
          <cell r="D6330" t="str">
            <v>MICRO PL., 1.5,4-H,L-SHAPE,RI,MED.,100DG</v>
          </cell>
        </row>
        <row r="6331">
          <cell r="B6331" t="str">
            <v>25-313-70-71</v>
          </cell>
          <cell r="C6331" t="str">
            <v>MIKROPL.,  1,5,4-L,L-FORM,RE,MITTEL,100GR</v>
          </cell>
          <cell r="D6331" t="str">
            <v>MICRO PL., 1.5,4-H,L-SHAPE,RI,MED.,100DG</v>
          </cell>
        </row>
        <row r="6332">
          <cell r="B6332" t="str">
            <v>25-313-70-91</v>
          </cell>
          <cell r="C6332" t="str">
            <v>MIKROPL.,  1,5,4-L,L-FORM,RE,MITTEL,100GR</v>
          </cell>
          <cell r="D6332" t="str">
            <v>MICRO PL., 1.5,4-H,L-SHAPE,RI,MED.,100DG</v>
          </cell>
        </row>
        <row r="6333">
          <cell r="B6333" t="str">
            <v>25-313-85-09</v>
          </cell>
          <cell r="C6333" t="str">
            <v>MIKROPL.,  1,5, 4-L,L-FORM,RE,LANG, 100GR</v>
          </cell>
          <cell r="D6333" t="str">
            <v>MICRO PL., 1.5,4-H,L-SHAPE,RI,LONG,100DG</v>
          </cell>
        </row>
        <row r="6334">
          <cell r="B6334" t="str">
            <v>25-313-85-71</v>
          </cell>
          <cell r="C6334" t="str">
            <v>MIKROPL.,  1,5, 4-L,L-FORM,RE,LANG, 100GR</v>
          </cell>
          <cell r="D6334" t="str">
            <v>MICRO PL., 1.5,4-H,L-SHAPE,RI,LONG,100DG</v>
          </cell>
        </row>
        <row r="6335">
          <cell r="B6335" t="str">
            <v>25-313-85-91</v>
          </cell>
          <cell r="C6335" t="str">
            <v>MIKROPL.,  1,5, 4-L,L-FORM,RE,LANG, 100GR</v>
          </cell>
          <cell r="D6335" t="str">
            <v>MICRO PL., 1.5,4-H,L-SHAPE,RI,LONG,100DG</v>
          </cell>
        </row>
        <row r="6336">
          <cell r="B6336" t="str">
            <v>25-314-85-09</v>
          </cell>
          <cell r="C6336" t="str">
            <v>MIKROPL.,  1,5, 5-L,L-FORM,LI,LANG, 100GR</v>
          </cell>
          <cell r="D6336" t="str">
            <v>MICRO PL., 1.5,5-H,L-SHAPE,LE,LONG,100DG</v>
          </cell>
        </row>
        <row r="6337">
          <cell r="B6337" t="str">
            <v>25-314-85-71</v>
          </cell>
          <cell r="C6337" t="str">
            <v>MIKROPL.1,5,5-L,L-F,LI,LANG,100GR,STERIL</v>
          </cell>
          <cell r="D6337" t="str">
            <v>MICRO PL 1.5,5-H,L-SH,LE,LONG,100DG,STER</v>
          </cell>
        </row>
        <row r="6338">
          <cell r="B6338" t="str">
            <v>25-314-85-89</v>
          </cell>
          <cell r="C6338" t="str">
            <v>Template  für 25-314-85/25-315-85</v>
          </cell>
          <cell r="D6338" t="str">
            <v>Template  for 25-314-85/25-315-85</v>
          </cell>
        </row>
        <row r="6339">
          <cell r="B6339" t="str">
            <v>25-314-85-91</v>
          </cell>
          <cell r="C6339" t="str">
            <v>MIKROPL.,  1,5, 5-L,L-FORM,LI,LANG, 100GR</v>
          </cell>
          <cell r="D6339" t="str">
            <v>MICRO PL., 1.5,5-H,L-SHAPE,LE,LONG,100DG</v>
          </cell>
        </row>
        <row r="6340">
          <cell r="B6340" t="str">
            <v>25-315-06-09</v>
          </cell>
          <cell r="C6340" t="str">
            <v>MIKROPL.,  1,5, 6-LOCH, T-FORM</v>
          </cell>
          <cell r="D6340" t="str">
            <v>MICRO PL., 1.5, 6-HOLES,  T-SHAPE</v>
          </cell>
        </row>
        <row r="6341">
          <cell r="B6341" t="str">
            <v>25-315-06-71</v>
          </cell>
          <cell r="C6341" t="str">
            <v>MIKROPLATTE 1,5, 6-LOCH, T-FORM,  STERIL</v>
          </cell>
          <cell r="D6341" t="str">
            <v>MICRO PLATE 1.5, 6-HOLE, T-SHAPE,STERILE</v>
          </cell>
        </row>
        <row r="6342">
          <cell r="B6342" t="str">
            <v>25-315-06-89</v>
          </cell>
          <cell r="C6342" t="str">
            <v>Template  für 25-315-06</v>
          </cell>
          <cell r="D6342" t="str">
            <v>Template  for 25-315-06</v>
          </cell>
        </row>
        <row r="6343">
          <cell r="B6343" t="str">
            <v>25-315-06-91</v>
          </cell>
          <cell r="C6343" t="str">
            <v>MIKROPL.,  1,5, 6-LOCH, T-FORM</v>
          </cell>
          <cell r="D6343" t="str">
            <v>MICRO PL., 1.5, 6-HOLES,  T-SHAPE</v>
          </cell>
        </row>
        <row r="6344">
          <cell r="B6344" t="str">
            <v>25-315-85-09</v>
          </cell>
          <cell r="C6344" t="str">
            <v>MIKROPL.,  1,5, 5-L,L-FORM,RE,LANG, 100GR</v>
          </cell>
          <cell r="D6344" t="str">
            <v>MICRO PL., 1.5,5-H,L-SHAPE,RI,LONG,100DG</v>
          </cell>
        </row>
        <row r="6345">
          <cell r="B6345" t="str">
            <v>25-315-85-71</v>
          </cell>
          <cell r="C6345" t="str">
            <v>MIKROPL.1,5,5-L,L-F,RE,LANG,100GR,STERIL</v>
          </cell>
          <cell r="D6345" t="str">
            <v>MICRO PL 1.5,5-H,L-SH,RI,LONG,100DG,STER</v>
          </cell>
        </row>
        <row r="6346">
          <cell r="B6346" t="str">
            <v>25-315-85-91</v>
          </cell>
          <cell r="C6346" t="str">
            <v>MIKROPL.,  1,5, 5-L,L-FORM,RE,LANG, 100GR</v>
          </cell>
          <cell r="D6346" t="str">
            <v>MICRO PL., 1.5,5-H,L-SHAPE,RI,LONG,100DG</v>
          </cell>
        </row>
        <row r="6347">
          <cell r="B6347" t="str">
            <v>25-316-00-09</v>
          </cell>
          <cell r="C6347" t="str">
            <v>MIKROPL.,  1,5, 16-LOCH,  GERADE</v>
          </cell>
          <cell r="D6347" t="str">
            <v>MICRO PL., 1.5, 16-HOLE,  STRAIGHT</v>
          </cell>
        </row>
        <row r="6348">
          <cell r="B6348" t="str">
            <v>25-316-00-25</v>
          </cell>
          <cell r="C6348" t="str">
            <v>MIKROPL.,  1,5, 16-LOCH,  GERADE</v>
          </cell>
          <cell r="D6348" t="str">
            <v>MICRO PL., 1.5, 16-HOLE,  STRAIGHT</v>
          </cell>
        </row>
        <row r="6349">
          <cell r="B6349" t="str">
            <v>25-316-00-71</v>
          </cell>
          <cell r="C6349" t="str">
            <v>MIKROPLATTE 1,5, 16-LOCH,  GERADE,  STERIL</v>
          </cell>
          <cell r="D6349" t="str">
            <v>MICRO PL 1.5, 16-HOLE,  STRAIGHT,  STERILE</v>
          </cell>
        </row>
        <row r="6350">
          <cell r="B6350" t="str">
            <v>25-316-00-88</v>
          </cell>
          <cell r="C6350" t="str">
            <v>L1 Midface,  Sizer für 25-316-00</v>
          </cell>
          <cell r="D6350" t="str">
            <v>L1 Midface,  Sizer for 25-316-00</v>
          </cell>
        </row>
        <row r="6351">
          <cell r="B6351" t="str">
            <v>25-316-00-89</v>
          </cell>
          <cell r="C6351" t="str">
            <v>Template  für 25-316-00</v>
          </cell>
          <cell r="D6351" t="str">
            <v>Template  for 25-316-00</v>
          </cell>
        </row>
        <row r="6352">
          <cell r="B6352" t="str">
            <v>25-316-00-91</v>
          </cell>
          <cell r="C6352" t="str">
            <v>MIKROPL.,  1,5, 16-LOCH,  GERADE</v>
          </cell>
          <cell r="D6352" t="str">
            <v>MICRO PL., 1.5, 16-HOLE,  STRAIGHT</v>
          </cell>
        </row>
        <row r="6353">
          <cell r="B6353" t="str">
            <v>25-316-01-09</v>
          </cell>
          <cell r="C6353" t="str">
            <v>LP NEURO PLATTE, GERADE,  16-LOCH</v>
          </cell>
          <cell r="D6353" t="str">
            <v>LP NEURO PLATE, STRAIGHT,  16-HOLE</v>
          </cell>
        </row>
        <row r="6354">
          <cell r="B6354" t="str">
            <v>25-316-01-71</v>
          </cell>
          <cell r="C6354" t="str">
            <v>LP NEURO PLATTE, GERADE,  16-LOCH,  STER.</v>
          </cell>
          <cell r="D6354" t="str">
            <v>LP NEURO PLATE, STRAIGHT,  16-HOLE,  STER</v>
          </cell>
        </row>
        <row r="6355">
          <cell r="B6355" t="str">
            <v>25-316-06-91</v>
          </cell>
          <cell r="C6355" t="str">
            <v>MIKROPL.,  1,5, 6-L, T-FORM,  GEW.80-100GR</v>
          </cell>
          <cell r="D6355" t="str">
            <v>MICRO PL., 1.5, 6-H, T-SH.,ANGL.80-100DG</v>
          </cell>
        </row>
        <row r="6356">
          <cell r="B6356" t="str">
            <v>25-317-06-91</v>
          </cell>
          <cell r="C6356" t="str">
            <v>MIKROPL.,  1,5, 6-L, T-FORM,  GEW.100-80GR</v>
          </cell>
          <cell r="D6356" t="str">
            <v>MICRO PL., 1.5, 6-H, T-SH.,ANGL.100-80DG</v>
          </cell>
        </row>
        <row r="6357">
          <cell r="B6357" t="str">
            <v>25-320-00-09</v>
          </cell>
          <cell r="C6357" t="str">
            <v>MIKROPL.,  1,5, 20-LOCH,  GERADE</v>
          </cell>
          <cell r="D6357" t="str">
            <v>MICRO PL., 1.5, 20-HOLES,  STRAIGHT</v>
          </cell>
        </row>
        <row r="6358">
          <cell r="B6358" t="str">
            <v>25-320-00-71</v>
          </cell>
          <cell r="C6358" t="str">
            <v>MIKROPL.,  1,5, 20-LOCH,  GERADE</v>
          </cell>
          <cell r="D6358" t="str">
            <v>MICRO PL., 1.5, 20-HOLES,  STRAIGHT</v>
          </cell>
        </row>
        <row r="6359">
          <cell r="B6359" t="str">
            <v>25-320-00-89</v>
          </cell>
          <cell r="C6359" t="str">
            <v>Template  für 25-320-00</v>
          </cell>
          <cell r="D6359" t="str">
            <v>Template  for 25-320-00</v>
          </cell>
        </row>
        <row r="6360">
          <cell r="B6360" t="str">
            <v>25-320-00-91</v>
          </cell>
          <cell r="C6360" t="str">
            <v>MIKROPL.,  1,5, 20-LOCH,  GERADE</v>
          </cell>
          <cell r="D6360" t="str">
            <v>MICRO PL., 1.5, 20-HOLES,  STRAIGHT</v>
          </cell>
        </row>
        <row r="6361">
          <cell r="B6361" t="str">
            <v>25-320-20-09</v>
          </cell>
          <cell r="C6361" t="str">
            <v>Smart3D Symphysenplatte,2.0,8-L,T=1.0</v>
          </cell>
          <cell r="D6361" t="str">
            <v>Smart3D Symphysis  Pl.,2.0,8-h,T=1.0</v>
          </cell>
        </row>
        <row r="6362">
          <cell r="B6362" t="str">
            <v>25-320-20-71</v>
          </cell>
          <cell r="C6362" t="str">
            <v>Smart3D Symphysenplatte,2.0,8-Loch,T=1.0</v>
          </cell>
          <cell r="D6362" t="str">
            <v>Smart3D Symphysis  Pl.,2.0,8-h,T=1.0</v>
          </cell>
        </row>
        <row r="6363">
          <cell r="B6363" t="str">
            <v>25-320-21-09</v>
          </cell>
          <cell r="C6363" t="str">
            <v>Smart3D Symphysenplatte,2.0,12-L,T=1.0</v>
          </cell>
          <cell r="D6363" t="str">
            <v>Smart3D Symphysis  Pl.,2.0,12-h,T=1.0</v>
          </cell>
        </row>
        <row r="6364">
          <cell r="B6364" t="str">
            <v>25-320-21-71</v>
          </cell>
          <cell r="C6364" t="str">
            <v>Smart3D Symphysenplatte,2.0,12-L,T=1.0</v>
          </cell>
          <cell r="D6364" t="str">
            <v>Smart3D Symphysis  Pl.,2.0,12-h,T=1.0</v>
          </cell>
        </row>
        <row r="6365">
          <cell r="B6365" t="str">
            <v>25-320-22-09</v>
          </cell>
          <cell r="C6365" t="str">
            <v>Smart3D Li. Obl. Platte,2.0,6-L,li,T=1.0</v>
          </cell>
          <cell r="D6365" t="str">
            <v>Smart3D Li. Obli. Pl.,2.0,6-h,le,T=1.0</v>
          </cell>
        </row>
        <row r="6366">
          <cell r="B6366" t="str">
            <v>25-320-22-71</v>
          </cell>
          <cell r="C6366" t="str">
            <v>Smart3D Li. Obl. Platte,2.0,6-L,li,T=1.0</v>
          </cell>
          <cell r="D6366" t="str">
            <v>Smart3D Li. Obli. Pl.,2.0,6-h,le,T=1.0</v>
          </cell>
        </row>
        <row r="6367">
          <cell r="B6367" t="str">
            <v>25-320-23-09</v>
          </cell>
          <cell r="C6367" t="str">
            <v>Smart3D Li. Obl. Platte,2.0,6-L,re,T=1.0</v>
          </cell>
          <cell r="D6367" t="str">
            <v>Smart3D Li. Obli. Pl.,2.0,6-h,ri,T=1.0</v>
          </cell>
        </row>
        <row r="6368">
          <cell r="B6368" t="str">
            <v>25-320-23-71</v>
          </cell>
          <cell r="C6368" t="str">
            <v>Smart3D Li. Obl. Platte,2.0,6-L,re,T=1.0</v>
          </cell>
          <cell r="D6368" t="str">
            <v>Smart3D Li. Obli. Pl.,2.0,6-h,ri,T=1.0</v>
          </cell>
        </row>
        <row r="6369">
          <cell r="B6369" t="str">
            <v>25-320-24-09</v>
          </cell>
          <cell r="C6369" t="str">
            <v>Smart3D Kondylenplatte,2.0,9-L,li,T=1.0</v>
          </cell>
          <cell r="D6369" t="str">
            <v>Smart3D Condyle Pl.,2.0,9-h,le,T=1.0</v>
          </cell>
        </row>
        <row r="6370">
          <cell r="B6370" t="str">
            <v>25-320-24-71</v>
          </cell>
          <cell r="C6370" t="str">
            <v>Smart3D Kondylenplatte,2.0,9-L,li,T=1.0</v>
          </cell>
          <cell r="D6370" t="str">
            <v>Smart3D Condyle Pl.,2.0,9-h,le,T=1.0</v>
          </cell>
        </row>
        <row r="6371">
          <cell r="B6371" t="str">
            <v>25-320-25-09</v>
          </cell>
          <cell r="C6371" t="str">
            <v>Smart3D Kondylenplatte,2.0,9-L,re,T=1.0</v>
          </cell>
          <cell r="D6371" t="str">
            <v>Smart3D Condyle Pl.,2.0,9-h,ri,T=1.0</v>
          </cell>
        </row>
        <row r="6372">
          <cell r="B6372" t="str">
            <v>25-320-25-71</v>
          </cell>
          <cell r="C6372" t="str">
            <v>Smart3D Kondylenplatte,2.0,9-L,re,T=1.0</v>
          </cell>
          <cell r="D6372" t="str">
            <v>Smart3D Condyle Pl.,2.0,9-h,ri,T=1.0</v>
          </cell>
        </row>
        <row r="6373">
          <cell r="B6373" t="str">
            <v>25-320-28-09</v>
          </cell>
          <cell r="C6373" t="str">
            <v>Smart3D Zygomaplatte,1.5,9-L,li,T=0.6</v>
          </cell>
          <cell r="D6373" t="str">
            <v>Smart3D Zygoma Pl.,1.5.9-h,le,T=0.6</v>
          </cell>
        </row>
        <row r="6374">
          <cell r="B6374" t="str">
            <v>25-320-28-71</v>
          </cell>
          <cell r="C6374" t="str">
            <v>Smart3D Zygomaplatte,1.5,9-L,li,T=0.6</v>
          </cell>
          <cell r="D6374" t="str">
            <v>Smart3D Zygoma Pl.,1.5.9-h,le,T=0.6</v>
          </cell>
        </row>
        <row r="6375">
          <cell r="B6375" t="str">
            <v>25-320-29-09</v>
          </cell>
          <cell r="C6375" t="str">
            <v>Smart3D Zygomaplatte,1.5,9-L,re,T=0.6</v>
          </cell>
          <cell r="D6375" t="str">
            <v>Smart3D Zygoma Pl.,1.5.9-h,ri,T=0.6</v>
          </cell>
        </row>
        <row r="6376">
          <cell r="B6376" t="str">
            <v>25-320-29-71</v>
          </cell>
          <cell r="C6376" t="str">
            <v>Smart3D Zygomaplatte,1.5,9-L,re,T=0.6</v>
          </cell>
          <cell r="D6376" t="str">
            <v>Smart3D Zygoma Pl.,1.5.9-h,ri,T=0.6</v>
          </cell>
        </row>
        <row r="6377">
          <cell r="B6377" t="str">
            <v>25-320-30-09</v>
          </cell>
          <cell r="C6377" t="str">
            <v>Smart3D Zygomaplatte,1.5,11-L,li,T=0.6</v>
          </cell>
          <cell r="D6377" t="str">
            <v>Smart3D Zygoma Pl.,1.5.11-h,le,T=0.6</v>
          </cell>
        </row>
        <row r="6378">
          <cell r="B6378" t="str">
            <v>25-320-30-71</v>
          </cell>
          <cell r="C6378" t="str">
            <v>Smart3D Zygomaplatte,1.5,11-L,li,T=0.6</v>
          </cell>
          <cell r="D6378" t="str">
            <v>Smart3D Zygoma Pl.,1.5,11-h,le,T=0.6</v>
          </cell>
        </row>
        <row r="6379">
          <cell r="B6379" t="str">
            <v>25-320-31-09</v>
          </cell>
          <cell r="C6379" t="str">
            <v>Smart3D Zygomaplatte,1.5,11-L,re,T=0.6</v>
          </cell>
          <cell r="D6379" t="str">
            <v>Smart3D Zygoma Pl.,1.5.11-h,ri,T=0.6</v>
          </cell>
        </row>
        <row r="6380">
          <cell r="B6380" t="str">
            <v>25-320-31-71</v>
          </cell>
          <cell r="C6380" t="str">
            <v>Smart3D Zygomaplatte,1.5,11-L,re,T=0.6</v>
          </cell>
          <cell r="D6380" t="str">
            <v>Smart3D Zygoma Pl.,1.5.11-h,ri,T=0.6</v>
          </cell>
        </row>
        <row r="6381">
          <cell r="B6381" t="str">
            <v>25-320-32-09</v>
          </cell>
          <cell r="C6381" t="str">
            <v>Smart3D Paranasalplatte,1.5,7-L,li,T=0.6</v>
          </cell>
          <cell r="D6381" t="str">
            <v>Smart3D Paranasal  Pl.,1.5.7-h,le,T=0.6</v>
          </cell>
        </row>
        <row r="6382">
          <cell r="B6382" t="str">
            <v>25-320-32-71</v>
          </cell>
          <cell r="C6382" t="str">
            <v>Smart3D Paranasalplatte,1.5,7-L,li,T=0.6</v>
          </cell>
          <cell r="D6382" t="str">
            <v>Smart3D Paranasal  Pl.,1.5.7-h,le,T=0.6</v>
          </cell>
        </row>
        <row r="6383">
          <cell r="B6383" t="str">
            <v>25-320-33-09</v>
          </cell>
          <cell r="C6383" t="str">
            <v>Smart3D Paranasalplatte,1.5,7-L,re,T=0.6</v>
          </cell>
          <cell r="D6383" t="str">
            <v>Smart3D Paranasal  Pl.,1.5.7-h,ri,T=0.6</v>
          </cell>
        </row>
        <row r="6384">
          <cell r="B6384" t="str">
            <v>25-320-33-71</v>
          </cell>
          <cell r="C6384" t="str">
            <v>Smart3D Paranasalplatte,1.5,7-L,re,T=0.6</v>
          </cell>
          <cell r="D6384" t="str">
            <v>Smart3D Paranasal  Pl.,1.5.7-h,ri,T=0.6</v>
          </cell>
        </row>
        <row r="6385">
          <cell r="B6385" t="str">
            <v>25-320-34-09</v>
          </cell>
          <cell r="C6385" t="str">
            <v>Smart3D Zyg.-Para.  Pl.,1.5,21-L,li,T=0.6</v>
          </cell>
          <cell r="D6385" t="str">
            <v>Smart3D Zygo.-Para.Pl.,1.5,21-h,le,T=0.6</v>
          </cell>
        </row>
        <row r="6386">
          <cell r="B6386" t="str">
            <v>25-320-34-71</v>
          </cell>
          <cell r="C6386" t="str">
            <v>Smart3D Zyg.-Para.  Pl.,1.5,21-L,li,T=0.6</v>
          </cell>
          <cell r="D6386" t="str">
            <v>Smart3D Zygo.-Para.Pl.,1.5,21-h,le,T=0.6</v>
          </cell>
        </row>
        <row r="6387">
          <cell r="B6387" t="str">
            <v>25-320-35-09</v>
          </cell>
          <cell r="C6387" t="str">
            <v>Smart3D Zyg.-Para.  Pl.,1.5,21-L,re,T=0.6</v>
          </cell>
          <cell r="D6387" t="str">
            <v>Smart3D Zygo.-Para.Pl.,1.5,21-h,ri,T=0.6</v>
          </cell>
        </row>
        <row r="6388">
          <cell r="B6388" t="str">
            <v>25-320-35-71</v>
          </cell>
          <cell r="C6388" t="str">
            <v>Smart3D Zyg.-Para.  Pl.,1.5,21-L,re,T=0.6</v>
          </cell>
          <cell r="D6388" t="str">
            <v>Smart3D Zygo.-Para.Pl.,1.5,21-h,ri,T=0.6</v>
          </cell>
        </row>
        <row r="6389">
          <cell r="B6389" t="str">
            <v>25-320-55-09</v>
          </cell>
          <cell r="C6389" t="str">
            <v>MIKROPL.,  1,5, 5-LOCH, Y-FORM,  KURZ</v>
          </cell>
          <cell r="D6389" t="str">
            <v>MICRO PL., 1.5, 5-HOLES,  Y-SHAPE,  SHORT</v>
          </cell>
        </row>
        <row r="6390">
          <cell r="B6390" t="str">
            <v>25-320-55-71</v>
          </cell>
          <cell r="C6390" t="str">
            <v>MIKROPL.1,5, 5-LOCH,Y-FORM,KURZ,STERIL</v>
          </cell>
          <cell r="D6390" t="str">
            <v>MICRO PL.1.5, 5-HO.Y-SHAPE,SHORT,STERILE</v>
          </cell>
        </row>
        <row r="6391">
          <cell r="B6391" t="str">
            <v>25-320-55-89</v>
          </cell>
          <cell r="C6391" t="str">
            <v>Template  für 25-320-55</v>
          </cell>
          <cell r="D6391" t="str">
            <v>Template  for 25-320-55</v>
          </cell>
        </row>
        <row r="6392">
          <cell r="B6392" t="str">
            <v>25-320-55-91</v>
          </cell>
          <cell r="C6392" t="str">
            <v>MIKROPL.,  1,5, 5-LOCH, Y-FORM,  KURZ</v>
          </cell>
          <cell r="D6392" t="str">
            <v>MICRO PL., 1.5, 5-HOLES,  Y-SHAPE,  SHORT</v>
          </cell>
        </row>
        <row r="6393">
          <cell r="B6393" t="str">
            <v>25-320-70-09</v>
          </cell>
          <cell r="C6393" t="str">
            <v>MIKROPL.,  1,5, 5-LOCH, Y-FORM,  MITTEL</v>
          </cell>
          <cell r="D6393" t="str">
            <v>MICRO PL., 1.5, 5-HOLES,  Y-SHAPE,  MEDIUM</v>
          </cell>
        </row>
        <row r="6394">
          <cell r="B6394" t="str">
            <v>25-320-70-71</v>
          </cell>
          <cell r="C6394" t="str">
            <v>MIKROPL.1,5, 5-LOCH,Y-FORM,MITTEL,STERIL</v>
          </cell>
          <cell r="D6394" t="str">
            <v>MICRO PL 1.5,5-H,Y-SHAPE,RI,MED, STERILE</v>
          </cell>
        </row>
        <row r="6395">
          <cell r="B6395" t="str">
            <v>25-320-70-88</v>
          </cell>
          <cell r="C6395" t="str">
            <v>L1 Midface,  Sizer für 25-320-70</v>
          </cell>
          <cell r="D6395" t="str">
            <v>L1 Midface,  Sizer for 25-320-70</v>
          </cell>
        </row>
        <row r="6396">
          <cell r="B6396" t="str">
            <v>25-320-70-89</v>
          </cell>
          <cell r="C6396" t="str">
            <v>Template  für 25-320-70</v>
          </cell>
          <cell r="D6396" t="str">
            <v>Template  for 25-320-70</v>
          </cell>
        </row>
        <row r="6397">
          <cell r="B6397" t="str">
            <v>25-320-70-91</v>
          </cell>
          <cell r="C6397" t="str">
            <v>MIKROPL.,  1,5, 5-LOCH, Y-FORM,  MITTEL</v>
          </cell>
          <cell r="D6397" t="str">
            <v>MICRO PL., 1.5, 5-HOLES,  Y-SHAPE,  MEDIUM</v>
          </cell>
        </row>
        <row r="6398">
          <cell r="B6398" t="str">
            <v>25-320-71-09</v>
          </cell>
          <cell r="C6398" t="str">
            <v>LP NEURO PLATTE Y-FORM,  LANG</v>
          </cell>
          <cell r="D6398" t="str">
            <v>LP NEURO PLATE, Y-SHAPE,  LONG</v>
          </cell>
        </row>
        <row r="6399">
          <cell r="B6399" t="str">
            <v>25-320-71-71</v>
          </cell>
          <cell r="C6399" t="str">
            <v>LP NEURO PLATTE Y-FORM,  LANG, STER.</v>
          </cell>
          <cell r="D6399" t="str">
            <v>LP NEURO PLATE, Y-SHAPE,  LONG, STER</v>
          </cell>
        </row>
        <row r="6400">
          <cell r="B6400" t="str">
            <v>25-320-85-09</v>
          </cell>
          <cell r="C6400" t="str">
            <v>MIKROPL.,  1,5, 5-LOCH, Y-FORM,  LANG</v>
          </cell>
          <cell r="D6400" t="str">
            <v>MICRO PL., 1.5, 5-HOLES,  Y-PLATE, LONG</v>
          </cell>
        </row>
        <row r="6401">
          <cell r="B6401" t="str">
            <v>25-320-85-71</v>
          </cell>
          <cell r="C6401" t="str">
            <v>MIKROPL.,  1,5, 5-LOCH, Y-FORM,  LANG</v>
          </cell>
          <cell r="D6401" t="str">
            <v>MICRO PL., 1.5, 5-HOLES,  Y-PLATE, LONG</v>
          </cell>
        </row>
        <row r="6402">
          <cell r="B6402" t="str">
            <v>25-320-85-89</v>
          </cell>
          <cell r="C6402" t="str">
            <v>Template  für 25-320-85</v>
          </cell>
          <cell r="D6402" t="str">
            <v>Template  for 25-320-85</v>
          </cell>
        </row>
        <row r="6403">
          <cell r="B6403" t="str">
            <v>25-320-85-91</v>
          </cell>
          <cell r="C6403" t="str">
            <v>MIKROPL.,  1,5, 5-LOCH, Y-FORM,  LANG</v>
          </cell>
          <cell r="D6403" t="str">
            <v>MICRO PL., 1.5, 5-HOLES,  Y-PLATE, LONG</v>
          </cell>
        </row>
        <row r="6404">
          <cell r="B6404" t="str">
            <v>25-322-55-09</v>
          </cell>
          <cell r="C6404" t="str">
            <v>MIKROPL.,  1,5, 6-L, DOPPEL-Y-FORM, KURZ</v>
          </cell>
          <cell r="D6404" t="str">
            <v>MICRO PL., 1.5, 6-H, DBL-Y-SHAPE, SHORT</v>
          </cell>
        </row>
        <row r="6405">
          <cell r="B6405" t="str">
            <v>25-322-55-71</v>
          </cell>
          <cell r="C6405" t="str">
            <v>MIKROPL.1,5, 6-L,DOPP-Y-FORM,KURZ,STERIL</v>
          </cell>
          <cell r="D6405" t="str">
            <v>MICRO PL 1.5,6-H,DB-Y-FORM,SHORT,STERILE</v>
          </cell>
        </row>
        <row r="6406">
          <cell r="B6406" t="str">
            <v>25-322-55-89</v>
          </cell>
          <cell r="C6406" t="str">
            <v>Template  für 25-322-55</v>
          </cell>
          <cell r="D6406" t="str">
            <v>Template  for 25-322-55</v>
          </cell>
        </row>
        <row r="6407">
          <cell r="B6407" t="str">
            <v>25-322-55-91</v>
          </cell>
          <cell r="C6407" t="str">
            <v>MIKROPL.,  1,5, 6-L, DOPPEL-Y-FORM, KURZ</v>
          </cell>
          <cell r="D6407" t="str">
            <v>MICRO PL., 1.5, 6-H, DBL-Y-SHAPE, SHORT</v>
          </cell>
        </row>
        <row r="6408">
          <cell r="B6408" t="str">
            <v>25-322-70-09</v>
          </cell>
          <cell r="C6408" t="str">
            <v>MIKROPL.,  1,5, 6-L, DOPPEL-Y-FORM,MITTEL</v>
          </cell>
          <cell r="D6408" t="str">
            <v>MICRO PL., 1.5, 6-H, DBL-Y-SHAPE,MEDIUM</v>
          </cell>
        </row>
        <row r="6409">
          <cell r="B6409" t="str">
            <v>25-322-70-71</v>
          </cell>
          <cell r="C6409" t="str">
            <v>MIKROPL.1,5,6-L,DOP-Y-FORM,MITTEL,STERIL</v>
          </cell>
          <cell r="D6409" t="str">
            <v>MICRO PL.1.5,6-HO,DBL-Y-FORM,MED.STERILE</v>
          </cell>
        </row>
        <row r="6410">
          <cell r="B6410" t="str">
            <v>25-322-70-88</v>
          </cell>
          <cell r="C6410" t="str">
            <v>L1 Midface,  Sizer für 25-322-70</v>
          </cell>
          <cell r="D6410" t="str">
            <v>L1 Midface,  Sizer for 25-322-70</v>
          </cell>
        </row>
        <row r="6411">
          <cell r="B6411" t="str">
            <v>25-322-70-89</v>
          </cell>
          <cell r="C6411" t="str">
            <v>Template  für 25-322-70</v>
          </cell>
          <cell r="D6411" t="str">
            <v>Template  for 25-322-70</v>
          </cell>
        </row>
        <row r="6412">
          <cell r="B6412" t="str">
            <v>25-322-70-91</v>
          </cell>
          <cell r="C6412" t="str">
            <v>MIKROPL.,  1,5, 6-L, DOPPEL-Y-FORM,MITTEL</v>
          </cell>
          <cell r="D6412" t="str">
            <v>MICRO PL., 1.5, 6-H, DBL-Y-SHAPE,MEDIUM</v>
          </cell>
        </row>
        <row r="6413">
          <cell r="B6413" t="str">
            <v>25-322-71-09</v>
          </cell>
          <cell r="C6413" t="str">
            <v>LP NEURO PLATTE DOPPEL Y-FORM,  LANG</v>
          </cell>
          <cell r="D6413" t="str">
            <v>LP NEURO PLATE, DOUBLE Y-SHAPE,  LONG</v>
          </cell>
        </row>
        <row r="6414">
          <cell r="B6414" t="str">
            <v>25-322-71-71</v>
          </cell>
          <cell r="C6414" t="str">
            <v>LP NEURO PLATTE DOPPEL Y-FORM,LANG,STER.</v>
          </cell>
          <cell r="D6414" t="str">
            <v>LP NEURO PLATE,DOUBLE Y-SHAPE,LONG, STER</v>
          </cell>
        </row>
        <row r="6415">
          <cell r="B6415" t="str">
            <v>25-322-85-09</v>
          </cell>
          <cell r="C6415" t="str">
            <v>MIKROPL.,  1,5, 6-L, DOPPEL-Y-FORM, LANG</v>
          </cell>
          <cell r="D6415" t="str">
            <v>MICRO PL., 1.5, 6-H, DBL-Y-SHAPE, LONG</v>
          </cell>
        </row>
        <row r="6416">
          <cell r="B6416" t="str">
            <v>25-322-85-71</v>
          </cell>
          <cell r="C6416" t="str">
            <v>MIKROPL.1,5, 6-L,DOPP-Y-FORM,LANG,STERIL</v>
          </cell>
          <cell r="D6416" t="str">
            <v>MICRO PL 1.5,6-H,DBL-Y-FORM,LONG,STERILE</v>
          </cell>
        </row>
        <row r="6417">
          <cell r="B6417" t="str">
            <v>25-322-85-89</v>
          </cell>
          <cell r="C6417" t="str">
            <v>Template  für 25-322-85</v>
          </cell>
          <cell r="D6417" t="str">
            <v>Template  for 25-322-85</v>
          </cell>
        </row>
        <row r="6418">
          <cell r="B6418" t="str">
            <v>25-322-85-91</v>
          </cell>
          <cell r="C6418" t="str">
            <v>MIKROPL.,  1,5, 6-L, DOPPEL-Y-FORM, LANG</v>
          </cell>
          <cell r="D6418" t="str">
            <v>MICRO PL., 1.5, 6-H, DBL-Y-SHAPE, LONG</v>
          </cell>
        </row>
        <row r="6419">
          <cell r="B6419" t="str">
            <v>25-323-20-71</v>
          </cell>
          <cell r="C6419" t="str">
            <v>marPOR PE-Folie,38x50mm,t=1,5mm</v>
          </cell>
          <cell r="D6419" t="str">
            <v>marPOR PE-Sheet,38x50mm,t=1.5 mm</v>
          </cell>
        </row>
        <row r="6420">
          <cell r="B6420" t="str">
            <v>25-325-06-09</v>
          </cell>
          <cell r="C6420" t="str">
            <v>MIKROPL.,  1,5, ORBITA, 6-LOCH</v>
          </cell>
          <cell r="D6420" t="str">
            <v>MICRO PL., 1.5, ORBITA, 6-HOLES</v>
          </cell>
        </row>
        <row r="6421">
          <cell r="B6421" t="str">
            <v>25-325-06-71</v>
          </cell>
          <cell r="C6421" t="str">
            <v>MIKRO ORBITA PLATTE 1,5, 6-LOCH, STERIL</v>
          </cell>
          <cell r="D6421" t="str">
            <v>MICRO ORBITA PLATE 1.5, 6-HOLE, STERILE</v>
          </cell>
        </row>
        <row r="6422">
          <cell r="B6422" t="str">
            <v>25-325-06-89</v>
          </cell>
          <cell r="C6422" t="str">
            <v>Template  für 25-325-06</v>
          </cell>
          <cell r="D6422" t="str">
            <v>Template  for 25-325-06</v>
          </cell>
        </row>
        <row r="6423">
          <cell r="B6423" t="str">
            <v>25-325-06-91</v>
          </cell>
          <cell r="C6423" t="str">
            <v>MIKROPL.,  1,5, ORBITA, 6-LOCH</v>
          </cell>
          <cell r="D6423" t="str">
            <v>MICRO PL., 1.5, ORBITA, 6-HOLES</v>
          </cell>
        </row>
        <row r="6424">
          <cell r="B6424" t="str">
            <v>25-325-08-09</v>
          </cell>
          <cell r="C6424" t="str">
            <v>MIKROPL.,  1,5, ORBITA, 8-LOCH</v>
          </cell>
          <cell r="D6424" t="str">
            <v>MICRO PL., 1.5, ORBITA, 8-HOLES</v>
          </cell>
        </row>
        <row r="6425">
          <cell r="B6425" t="str">
            <v>25-325-08-25</v>
          </cell>
          <cell r="C6425" t="str">
            <v>MIKROPL.,  1,5, ORBITA, 8-LOCH</v>
          </cell>
          <cell r="D6425" t="str">
            <v>MICRO PL., 1.5, ORBITA, 8-HOLES</v>
          </cell>
        </row>
        <row r="6426">
          <cell r="B6426" t="str">
            <v>25-325-08-71</v>
          </cell>
          <cell r="C6426" t="str">
            <v>MIKRO ORBITA PLATTE 1,5, 8-LOCH, STERIL</v>
          </cell>
          <cell r="D6426" t="str">
            <v>MICRO ORBITA PLATE 1.5, 8-HOLE, STERILE</v>
          </cell>
        </row>
        <row r="6427">
          <cell r="B6427" t="str">
            <v>25-325-08-89</v>
          </cell>
          <cell r="C6427" t="str">
            <v>Template  für 25-325-08</v>
          </cell>
          <cell r="D6427" t="str">
            <v>Template  for 25-325-08</v>
          </cell>
        </row>
        <row r="6428">
          <cell r="B6428" t="str">
            <v>25-325-08-91</v>
          </cell>
          <cell r="C6428" t="str">
            <v>MIKROPL.,  1,5, ORBITA, 8-LOCH</v>
          </cell>
          <cell r="D6428" t="str">
            <v>MICRO PL., 1.5, ORBITA, 8-HOLES</v>
          </cell>
        </row>
        <row r="6429">
          <cell r="B6429" t="str">
            <v>25-325-10-09</v>
          </cell>
          <cell r="C6429" t="str">
            <v>MIKROPL.,  1,5, ORBITA,10-LOCH</v>
          </cell>
          <cell r="D6429" t="str">
            <v>MICRO PL., 1.5, ORBITA,10-HOLES</v>
          </cell>
        </row>
        <row r="6430">
          <cell r="B6430" t="str">
            <v>25-325-10-71</v>
          </cell>
          <cell r="C6430" t="str">
            <v>MIKRO ORBITA PLATTE 1,5,10-LOCH, STERIL</v>
          </cell>
          <cell r="D6430" t="str">
            <v>MICRO ORBITA PLATE 1.5,10-HOLE, STERILE</v>
          </cell>
        </row>
        <row r="6431">
          <cell r="B6431" t="str">
            <v>25-325-10-88</v>
          </cell>
          <cell r="C6431" t="str">
            <v>L1 Midface,  Sizer für 25-325-10</v>
          </cell>
          <cell r="D6431" t="str">
            <v>L1 Midface,  Sizer for 25-325-10</v>
          </cell>
        </row>
        <row r="6432">
          <cell r="B6432" t="str">
            <v>25-325-10-89</v>
          </cell>
          <cell r="C6432" t="str">
            <v>Template  für 25-325-10</v>
          </cell>
          <cell r="D6432" t="str">
            <v>Template  for 25-325-10</v>
          </cell>
        </row>
        <row r="6433">
          <cell r="B6433" t="str">
            <v>25-325-10-91</v>
          </cell>
          <cell r="C6433" t="str">
            <v>MIKROPL.,  1,5, ORBITA,10-LOCH</v>
          </cell>
          <cell r="D6433" t="str">
            <v>MICRO PL., 1.5, ORBITA,10-HOLES</v>
          </cell>
        </row>
        <row r="6434">
          <cell r="B6434" t="str">
            <v>25-326-55-09</v>
          </cell>
          <cell r="C6434" t="str">
            <v>MIKROPL.,  1,5, 4-LOCH, KREUZFORM</v>
          </cell>
          <cell r="D6434" t="str">
            <v>MICRO PL., 1.5, 4-HOLES,  CROSS-SHAPE</v>
          </cell>
        </row>
        <row r="6435">
          <cell r="B6435" t="str">
            <v>25-326-55-71</v>
          </cell>
          <cell r="C6435" t="str">
            <v>MIKROPL.,  1,5, 4-LOCH, KREUZFORM</v>
          </cell>
          <cell r="D6435" t="str">
            <v>MICRO PL., 1.5, 4-HOLES,  CROSS-SHAPE</v>
          </cell>
        </row>
        <row r="6436">
          <cell r="B6436" t="str">
            <v>25-326-55-89</v>
          </cell>
          <cell r="C6436" t="str">
            <v>Template  für 25-326-55</v>
          </cell>
          <cell r="D6436" t="str">
            <v>Template  for 25-326-55</v>
          </cell>
        </row>
        <row r="6437">
          <cell r="B6437" t="str">
            <v>25-326-55-91</v>
          </cell>
          <cell r="C6437" t="str">
            <v>MIKROPL.,  1,5, 4-LOCH, KREUZFORM</v>
          </cell>
          <cell r="D6437" t="str">
            <v>MICRO PL., 1.5, 4-HOLES,  CROSS-SHAPE</v>
          </cell>
        </row>
        <row r="6438">
          <cell r="B6438" t="str">
            <v>25-329-01-09</v>
          </cell>
          <cell r="C6438" t="str">
            <v>MIKROPL.,  1,5, 11-LOCH,  H-FORM</v>
          </cell>
          <cell r="D6438" t="str">
            <v>MICRO PL. 1.5, 11-HOL, H-FORM</v>
          </cell>
        </row>
        <row r="6439">
          <cell r="B6439" t="str">
            <v>25-329-01-71</v>
          </cell>
          <cell r="C6439" t="str">
            <v>MIKROPL.,  1,5, 11-LOCH,  H-FORM</v>
          </cell>
          <cell r="D6439" t="str">
            <v>MICRO PL. 1.5, 11-HOL, H-FORM</v>
          </cell>
        </row>
        <row r="6440">
          <cell r="B6440" t="str">
            <v>25-329-02-09</v>
          </cell>
          <cell r="C6440" t="str">
            <v>MIKROPL.,  1,5, 12-LOCH,  H-FORM</v>
          </cell>
          <cell r="D6440" t="str">
            <v>MICRO PL. 1.5, 12-HOL, H-FORM</v>
          </cell>
        </row>
        <row r="6441">
          <cell r="B6441" t="str">
            <v>25-329-02-71</v>
          </cell>
          <cell r="C6441" t="str">
            <v>MIKROPL.,  1,5, 12-LOCH,  H-FORM</v>
          </cell>
          <cell r="D6441" t="str">
            <v>MICRO PL. 1.5, 12-HOL, H-FORM</v>
          </cell>
        </row>
        <row r="6442">
          <cell r="B6442" t="str">
            <v>25-329-05-09</v>
          </cell>
          <cell r="C6442" t="str">
            <v>MIKROPL.,  1,5, 5-LOCH, Y-FORM</v>
          </cell>
          <cell r="D6442" t="str">
            <v>MICRO PL. 1.5, 5-HOL, Y-FORM</v>
          </cell>
        </row>
        <row r="6443">
          <cell r="B6443" t="str">
            <v>25-329-05-71</v>
          </cell>
          <cell r="C6443" t="str">
            <v>MIKROPL.,  1,5, 5-LOCH, Y-FORM</v>
          </cell>
          <cell r="D6443" t="str">
            <v>MICRO PL. 1.5, 5-HOL, Y-FORM</v>
          </cell>
        </row>
        <row r="6444">
          <cell r="B6444" t="str">
            <v>25-329-05-89</v>
          </cell>
          <cell r="C6444" t="str">
            <v>Template  für 25-329-05</v>
          </cell>
          <cell r="D6444" t="str">
            <v>Template  for 25-329-05</v>
          </cell>
        </row>
        <row r="6445">
          <cell r="B6445" t="str">
            <v>25-330-04-09</v>
          </cell>
          <cell r="C6445" t="str">
            <v>MIKROPL.,  1,0, 4-LOCH, GERADE</v>
          </cell>
          <cell r="D6445" t="str">
            <v>MICRO PL. 1.0, 4-HOLES,  STRAIGHT</v>
          </cell>
        </row>
        <row r="6446">
          <cell r="B6446" t="str">
            <v>25-330-04-71</v>
          </cell>
          <cell r="C6446" t="str">
            <v>MIKROPL.,  1,0, 4-LOCH, GERADE,  STERIL</v>
          </cell>
          <cell r="D6446" t="str">
            <v>MICRO PL. 1.0, 4-HOLES,STRAIGHT, STERILE</v>
          </cell>
        </row>
        <row r="6447">
          <cell r="B6447" t="str">
            <v>25-330-05-09</v>
          </cell>
          <cell r="C6447" t="str">
            <v>MIKROPL.,  1,5, 7-LOCH, L-FORM,LI.,100GR</v>
          </cell>
          <cell r="D6447" t="str">
            <v>MICRO PL. 1.5, 7-HOL, L-FORM, LE., 100DG</v>
          </cell>
        </row>
        <row r="6448">
          <cell r="B6448" t="str">
            <v>25-330-05-71</v>
          </cell>
          <cell r="C6448" t="str">
            <v>MIKROPL.,  1,5, 7-LOCH, L-FORM,LI.,100GR</v>
          </cell>
          <cell r="D6448" t="str">
            <v>MICRO PL. 1.5, 7-HOL, L-FORM, LE., 100DG</v>
          </cell>
        </row>
        <row r="6449">
          <cell r="B6449" t="str">
            <v>25-330-05-89</v>
          </cell>
          <cell r="C6449" t="str">
            <v>Template  für 25-330-05/25-331-05</v>
          </cell>
          <cell r="D6449" t="str">
            <v>Template  for 25-330-05/25-331-05</v>
          </cell>
        </row>
        <row r="6450">
          <cell r="B6450" t="str">
            <v>25-330-06-09</v>
          </cell>
          <cell r="C6450" t="str">
            <v>MIKROPL.,  1,0, 6-LOCH, GERADE</v>
          </cell>
          <cell r="D6450" t="str">
            <v>MICRO PL. 1.0, 6-HOLES,  STRAIGHT</v>
          </cell>
        </row>
        <row r="6451">
          <cell r="B6451" t="str">
            <v>25-330-06-71</v>
          </cell>
          <cell r="C6451" t="str">
            <v>MIKROPL.,  1,0, 6-LOCH, GERADE</v>
          </cell>
          <cell r="D6451" t="str">
            <v>MICRO PL. 1.0, 6-HOLES,  STRAIGHT</v>
          </cell>
        </row>
        <row r="6452">
          <cell r="B6452" t="str">
            <v>25-330-07-09</v>
          </cell>
          <cell r="C6452" t="str">
            <v>MIKROPL.,  1,5, 7-LOCH, T-FORM</v>
          </cell>
          <cell r="D6452" t="str">
            <v>MICRO PL. 1.5, 7-HOL, T-FORM</v>
          </cell>
        </row>
        <row r="6453">
          <cell r="B6453" t="str">
            <v>25-330-07-71</v>
          </cell>
          <cell r="C6453" t="str">
            <v>MIKROPL.,  1,5, 7-LOCH, T-FORM</v>
          </cell>
          <cell r="D6453" t="str">
            <v>MICRO PL. 1.5, 7-HOL, T-FORM</v>
          </cell>
        </row>
        <row r="6454">
          <cell r="B6454" t="str">
            <v>25-330-07-88</v>
          </cell>
          <cell r="C6454" t="str">
            <v>L1 Midface,  Sizer für 25-330-07</v>
          </cell>
          <cell r="D6454" t="str">
            <v>L1 Midface,  Sizer for 25-330-07</v>
          </cell>
        </row>
        <row r="6455">
          <cell r="B6455" t="str">
            <v>25-330-07-89</v>
          </cell>
          <cell r="C6455" t="str">
            <v>Template  für 25-330-07</v>
          </cell>
          <cell r="D6455" t="str">
            <v>Template  for 25-330-07</v>
          </cell>
        </row>
        <row r="6456">
          <cell r="B6456" t="str">
            <v>25-330-08-09</v>
          </cell>
          <cell r="C6456" t="str">
            <v>MIKROPL.,  1,0, 8-LOCH, GERADE</v>
          </cell>
          <cell r="D6456" t="str">
            <v>MICRO PL. 1.0, 8-HOLES,  STRAIGHT</v>
          </cell>
        </row>
        <row r="6457">
          <cell r="B6457" t="str">
            <v>25-330-08-71</v>
          </cell>
          <cell r="C6457" t="str">
            <v>MIKROPL.,  1,0, 8-LOCH, GERADE,  STERIL</v>
          </cell>
          <cell r="D6457" t="str">
            <v>MICRO PL. 1.0, 8-HOLES,STRAIGHT, STERILE</v>
          </cell>
        </row>
        <row r="6458">
          <cell r="B6458" t="str">
            <v>25-330-10-09</v>
          </cell>
          <cell r="C6458" t="str">
            <v>MIKROPL.,  1,5, 6-L, L-FORM,LI,LANG,100GR</v>
          </cell>
          <cell r="D6458" t="str">
            <v>MICRO PL., 1.5, 6-H, L-SH.,LE,LONG,100DG</v>
          </cell>
        </row>
        <row r="6459">
          <cell r="B6459" t="str">
            <v>25-330-10-71</v>
          </cell>
          <cell r="C6459" t="str">
            <v>MIKROPL,1,5,6-L,L-FORM,LI,LANG,100GR,STE</v>
          </cell>
          <cell r="D6459" t="str">
            <v>MICRO PL.,1.5,6H,L-SH.,LE,LONG,100DG,ST</v>
          </cell>
        </row>
        <row r="6460">
          <cell r="B6460" t="str">
            <v>25-330-10-91</v>
          </cell>
          <cell r="C6460" t="str">
            <v>MIKROPL.,  1,5, 6-L, L-FORM,LI,LANG,100GR</v>
          </cell>
          <cell r="D6460" t="str">
            <v>MICRO PL., 1.5, 6-H, L-SH.,LE,LONG,100DG</v>
          </cell>
        </row>
        <row r="6461">
          <cell r="B6461" t="str">
            <v>25-330-12-09</v>
          </cell>
          <cell r="C6461" t="str">
            <v>MIKROPL.,  1,0, 12-LOCH,  GERADE</v>
          </cell>
          <cell r="D6461" t="str">
            <v>MICRO PL. 1.0, 12-HOLES,  STRAIGHT</v>
          </cell>
        </row>
        <row r="6462">
          <cell r="B6462" t="str">
            <v>25-330-12-71</v>
          </cell>
          <cell r="C6462" t="str">
            <v>MIKROPL.,  1,0, 12-LOCH,  GERADE</v>
          </cell>
          <cell r="D6462" t="str">
            <v>MICRO PL. 1.0, 12-HOLES,  STRAIGHT</v>
          </cell>
        </row>
        <row r="6463">
          <cell r="B6463" t="str">
            <v>25-330-16-09</v>
          </cell>
          <cell r="C6463" t="str">
            <v>MIKROPL.,  1,0, 16-LOCH,  GERADE</v>
          </cell>
          <cell r="D6463" t="str">
            <v>MICRO PL. 1.0, 16-HOLES,  STRAIGHT</v>
          </cell>
        </row>
        <row r="6464">
          <cell r="B6464" t="str">
            <v>25-330-16-71</v>
          </cell>
          <cell r="C6464" t="str">
            <v>MIKROPL.,  1,0, 16-LOCH,  GERADE,  STERIL</v>
          </cell>
          <cell r="D6464" t="str">
            <v>MICRO PL. 1.0, 16-HOLE,STRAIGHT, STERILE</v>
          </cell>
        </row>
        <row r="6465">
          <cell r="B6465" t="str">
            <v>25-330-24-09</v>
          </cell>
          <cell r="C6465" t="str">
            <v>MIKROPLATTE 1,5, 24-LOCH,  GERADE</v>
          </cell>
          <cell r="D6465" t="str">
            <v>MICRO PL. 1.5, 24-HOL, STRAIGHT</v>
          </cell>
        </row>
        <row r="6466">
          <cell r="B6466" t="str">
            <v>25-330-24-71</v>
          </cell>
          <cell r="C6466" t="str">
            <v>MIKROPLATTE 1,5, 24-LOCH,  GERADE</v>
          </cell>
          <cell r="D6466" t="str">
            <v>MICRO PL. 1.5, 24-HOL, STRAIGHT</v>
          </cell>
        </row>
        <row r="6467">
          <cell r="B6467" t="str">
            <v>25-330-24-89</v>
          </cell>
          <cell r="C6467" t="str">
            <v>Template  für 25-330-24</v>
          </cell>
          <cell r="D6467" t="str">
            <v>Template  for 25-330-24</v>
          </cell>
        </row>
        <row r="6468">
          <cell r="B6468" t="str">
            <v>25-330-26-09</v>
          </cell>
          <cell r="C6468" t="str">
            <v>MIKROPLATTE 1,0, 34-LOCH,  GERADE</v>
          </cell>
          <cell r="D6468" t="str">
            <v>MICRO PL. 1.0, 34-HOL, STRAIGHT</v>
          </cell>
        </row>
        <row r="6469">
          <cell r="B6469" t="str">
            <v>25-330-26-71</v>
          </cell>
          <cell r="C6469" t="str">
            <v>MIKROPLATTE 1,0, 34-LOCH,  GERADE</v>
          </cell>
          <cell r="D6469" t="str">
            <v>MICRO PL. 1.0, 34-HOL, STRAIGHT</v>
          </cell>
        </row>
        <row r="6470">
          <cell r="B6470" t="str">
            <v>25-330-70-09</v>
          </cell>
          <cell r="C6470" t="str">
            <v>MIKROPL.,  1,5, 6-L, L-FORM,LI,KURZ,100GR</v>
          </cell>
          <cell r="D6470" t="str">
            <v>MICRO PL., 1.5, 6-H,L-SH.,LE,SHORT,100DG</v>
          </cell>
        </row>
        <row r="6471">
          <cell r="B6471" t="str">
            <v>25-330-70-71</v>
          </cell>
          <cell r="C6471" t="str">
            <v>MIKROPL.,  1,5, 6-L, L-FORM,LI,KURZ,100GR</v>
          </cell>
          <cell r="D6471" t="str">
            <v>MICRO PL., 1.5, 6-H,L-SH.,LE,SHORT,100DG</v>
          </cell>
        </row>
        <row r="6472">
          <cell r="B6472" t="str">
            <v>25-330-70-91</v>
          </cell>
          <cell r="C6472" t="str">
            <v>MIKROPL.,  1,5, 6-L, L-FORM,LI,KURZ,100GR</v>
          </cell>
          <cell r="D6472" t="str">
            <v>MICRO PL., 1.5, 6-H,L-SH.,LE,SHORT,100DG</v>
          </cell>
        </row>
        <row r="6473">
          <cell r="B6473" t="str">
            <v>25-330-85-09</v>
          </cell>
          <cell r="C6473" t="str">
            <v>MIKROPL.,  1,5,6-L,L-FORM,LI,MITTEL,100GR</v>
          </cell>
          <cell r="D6473" t="str">
            <v>MICRO PL., 1.5,6-H,L-SH.,LE,MEDIUM,100DG</v>
          </cell>
        </row>
        <row r="6474">
          <cell r="B6474" t="str">
            <v>25-330-85-71</v>
          </cell>
          <cell r="C6474" t="str">
            <v>MIKROPL.,1.5,6-L,L-FO,LI,MIT.,100GR,STE</v>
          </cell>
          <cell r="D6474" t="str">
            <v>MICRO PL.,1.5,6H,L-SH.,LE,MED.,100DG,STE</v>
          </cell>
        </row>
        <row r="6475">
          <cell r="B6475" t="str">
            <v>25-330-85-89</v>
          </cell>
          <cell r="C6475" t="str">
            <v>Template  für 25-330-85/25-331-85</v>
          </cell>
          <cell r="D6475" t="str">
            <v>Template  for 25-330-85/25-331-85</v>
          </cell>
        </row>
        <row r="6476">
          <cell r="B6476" t="str">
            <v>25-330-85-91</v>
          </cell>
          <cell r="C6476" t="str">
            <v>MIKROPL.,  1,5,6-L,L-FORM,LI,MITTEL,100GR</v>
          </cell>
          <cell r="D6476" t="str">
            <v>MICRO PL., 1.5,6-H,L-SH.,LE,MEDIUM,100DG</v>
          </cell>
        </row>
        <row r="6477">
          <cell r="B6477" t="str">
            <v>25-331-05-09</v>
          </cell>
          <cell r="C6477" t="str">
            <v>MIKROPLATTE 1,5, 7-LOCH,L-FORM,RE.100GR</v>
          </cell>
          <cell r="D6477" t="str">
            <v>MICRO PL. 1.5, 7-HOL, L-FORM, RI., 100DG</v>
          </cell>
        </row>
        <row r="6478">
          <cell r="B6478" t="str">
            <v>25-331-05-71</v>
          </cell>
          <cell r="C6478" t="str">
            <v>MIKROPLATTE 1,5, 7-LOCH,L-FORM,RE.100GR</v>
          </cell>
          <cell r="D6478" t="str">
            <v>MICRO PL. 1.5, 7-HOL, L-FORM, RI., 100DG</v>
          </cell>
        </row>
        <row r="6479">
          <cell r="B6479" t="str">
            <v>25-331-10-09</v>
          </cell>
          <cell r="C6479" t="str">
            <v>MIKROPL.,  1,5, 6-L, L-FORM,RE,LANG,100GR</v>
          </cell>
          <cell r="D6479" t="str">
            <v>MICRO PL., 1.5, 6-H, L-SH.,RI,LONG,100DG</v>
          </cell>
        </row>
        <row r="6480">
          <cell r="B6480" t="str">
            <v>25-331-10-71</v>
          </cell>
          <cell r="C6480" t="str">
            <v>MIKROPL,1,5,6-L,L-FORM,RE,LANG,100GR,ST</v>
          </cell>
          <cell r="D6480" t="str">
            <v>MICRO PL.,1.5,6H,L-SH.,RI,LONG,100DG,ST</v>
          </cell>
        </row>
        <row r="6481">
          <cell r="B6481" t="str">
            <v>25-331-10-91</v>
          </cell>
          <cell r="C6481" t="str">
            <v>MIKROPL.,  1,5, 6-L, L-FORM,RE,LANG,100GR</v>
          </cell>
          <cell r="D6481" t="str">
            <v>MICRO PL., 1.5, 6-H, L-SH.,RI,LONG,100DG</v>
          </cell>
        </row>
        <row r="6482">
          <cell r="B6482" t="str">
            <v>25-331-24-09</v>
          </cell>
          <cell r="C6482" t="str">
            <v>MIKROPL.,  1,0, 24-LOCH,  GERADE</v>
          </cell>
          <cell r="D6482" t="str">
            <v>MICRO PL. 1.0, 24-HOLES,  STRAIGHT</v>
          </cell>
        </row>
        <row r="6483">
          <cell r="B6483" t="str">
            <v>25-331-24-71</v>
          </cell>
          <cell r="C6483" t="str">
            <v>MIKROPL.,  1,0, 24-LOCH,  GERADE,  STERIL</v>
          </cell>
          <cell r="D6483" t="str">
            <v>MICRO PL. 1.0, 24-HOLES,  STRAIGHT,STE.</v>
          </cell>
        </row>
        <row r="6484">
          <cell r="B6484" t="str">
            <v>25-331-70-09</v>
          </cell>
          <cell r="C6484" t="str">
            <v>MIKROPL.,  1,5, 6-L, L-FORM,RE,KURZ,100GR</v>
          </cell>
          <cell r="D6484" t="str">
            <v>MICRO PL., 1.5, 6-H,L-SH.,RI,SHORT,100DG</v>
          </cell>
        </row>
        <row r="6485">
          <cell r="B6485" t="str">
            <v>25-331-70-71</v>
          </cell>
          <cell r="C6485" t="str">
            <v>MIKROPL.,  1,5, 6-L, L-FORM,RE,KURZ,100GR</v>
          </cell>
          <cell r="D6485" t="str">
            <v>MICRO PL., 1.5, 6-H,L-SH.,RI,SHORT,100DG</v>
          </cell>
        </row>
        <row r="6486">
          <cell r="B6486" t="str">
            <v>25-331-70-91</v>
          </cell>
          <cell r="C6486" t="str">
            <v>MIKROPL.,  1,5, 6-L, L-FORM,RE,KURZ,100GR</v>
          </cell>
          <cell r="D6486" t="str">
            <v>MICRO PL., 1.5, 6-H,L-SH.,RI,SHORT,100DG</v>
          </cell>
        </row>
        <row r="6487">
          <cell r="B6487" t="str">
            <v>25-331-85-09</v>
          </cell>
          <cell r="C6487" t="str">
            <v>MIKROPL.,  1,5,6-L,L-FORM,RE,MITTEL,100GR</v>
          </cell>
          <cell r="D6487" t="str">
            <v>MICRO PL., 1.5,6-H,L-SH.,RI,MEDIUM,100DG</v>
          </cell>
        </row>
        <row r="6488">
          <cell r="B6488" t="str">
            <v>25-331-85-71</v>
          </cell>
          <cell r="C6488" t="str">
            <v>MIKROPL.,1.5,6-L,L-FO,RE,MIT.,100GR,STE</v>
          </cell>
          <cell r="D6488" t="str">
            <v>MICRO PL.,1.5,6H,L-SH.,RI,MED.,100DG,STE</v>
          </cell>
        </row>
        <row r="6489">
          <cell r="B6489" t="str">
            <v>25-331-85-91</v>
          </cell>
          <cell r="C6489" t="str">
            <v>MIKROPL.,  1,5,6-L,L-FORM,RE,MITTEL,100GR</v>
          </cell>
          <cell r="D6489" t="str">
            <v>MICRO PL., 1.5,6-H,L-SH.,RI,MEDIUM,100DG</v>
          </cell>
        </row>
        <row r="6490">
          <cell r="B6490" t="str">
            <v>25-332-08-09</v>
          </cell>
          <cell r="C6490" t="str">
            <v>MIKROPL.,  1,0, ORBITA, 8-LOCH</v>
          </cell>
          <cell r="D6490" t="str">
            <v>MICRO PL., 1.0, ORBITA, 8-HOLES</v>
          </cell>
        </row>
        <row r="6491">
          <cell r="B6491" t="str">
            <v>25-332-08-71</v>
          </cell>
          <cell r="C6491" t="str">
            <v>MIKROPL.,  1,0, ORBITA, 8-LOCH, STERIL</v>
          </cell>
          <cell r="D6491" t="str">
            <v>MICRO PL., 1.0, ORBITA, 8-HOLES,  STERILE</v>
          </cell>
        </row>
        <row r="6492">
          <cell r="B6492" t="str">
            <v>25-332-10-09</v>
          </cell>
          <cell r="C6492" t="str">
            <v>MIKROPL.,  1,0, 10-LOCH,  GERADE</v>
          </cell>
          <cell r="D6492" t="str">
            <v>MICRO PL., 1.0, 10-HOLES,  STRAIGHT</v>
          </cell>
        </row>
        <row r="6493">
          <cell r="B6493" t="str">
            <v>25-332-10-71</v>
          </cell>
          <cell r="C6493" t="str">
            <v>MIKROPL.,  1,0, 10-LOCH,  GERADE,  STERIL</v>
          </cell>
          <cell r="D6493" t="str">
            <v>MICRO PL. 1.0, 10-H, STRAIGHT,  STERILE</v>
          </cell>
        </row>
        <row r="6494">
          <cell r="B6494" t="str">
            <v>25-333-05-09</v>
          </cell>
          <cell r="C6494" t="str">
            <v>MIKROPL.,  1,0, 5-L, L-FORM, LI, KURZ</v>
          </cell>
          <cell r="D6494" t="str">
            <v>MICRO PL., 1.0, 5-H, L-SHAPE,  LE, SHORT</v>
          </cell>
        </row>
        <row r="6495">
          <cell r="B6495" t="str">
            <v>25-333-05-71</v>
          </cell>
          <cell r="C6495" t="str">
            <v>MIKROPL.1,0, 5-L, L-FORM,LI,  KURZ,STERIL</v>
          </cell>
          <cell r="D6495" t="str">
            <v>MICRO PL 1.0,5-H,L-SHAPE,LE,SHORT,STERIL</v>
          </cell>
        </row>
        <row r="6496">
          <cell r="B6496" t="str">
            <v>25-333-08-09</v>
          </cell>
          <cell r="C6496" t="str">
            <v>MIKROPL.,  1,0, 8-L, L-FORM, LI, LANG</v>
          </cell>
          <cell r="D6496" t="str">
            <v>MICRO PL., 1.0, 8-H, L-SHAPE,  LE, LONG</v>
          </cell>
        </row>
        <row r="6497">
          <cell r="B6497" t="str">
            <v>25-333-08-71</v>
          </cell>
          <cell r="C6497" t="str">
            <v>MIKROPL.,  1,0, 8-L, L-FORM, LI, LANG,STE</v>
          </cell>
          <cell r="D6497" t="str">
            <v>MICRO PL., 1.0, 8-H, L-SH., LE, LONG,STE</v>
          </cell>
        </row>
        <row r="6498">
          <cell r="B6498" t="str">
            <v>25-334-05-09</v>
          </cell>
          <cell r="C6498" t="str">
            <v>MIKROPL.,  1,0, 5-L, L-FORM, RE, KURZ</v>
          </cell>
          <cell r="D6498" t="str">
            <v>MICRO PL., 1.0, 5-H, L-SHAPE,  RI, SHORT</v>
          </cell>
        </row>
        <row r="6499">
          <cell r="B6499" t="str">
            <v>25-334-05-71</v>
          </cell>
          <cell r="C6499" t="str">
            <v>MIKROPL.1,0, 5-L, L-FORM,RE, KURZ,STERIL</v>
          </cell>
          <cell r="D6499" t="str">
            <v>MICRO PL 1.0,5-H,L-SHAPE,RI,SHORT,STERIL</v>
          </cell>
        </row>
        <row r="6500">
          <cell r="B6500" t="str">
            <v>25-334-08-09</v>
          </cell>
          <cell r="C6500" t="str">
            <v>MIKROPL.,  1,0, 8-L, L-FORM, RE, LANG</v>
          </cell>
          <cell r="D6500" t="str">
            <v>MICRO PL., 1.0, 8-H, L-SHAPE,  RI, LONG</v>
          </cell>
        </row>
        <row r="6501">
          <cell r="B6501" t="str">
            <v>25-334-08-71</v>
          </cell>
          <cell r="C6501" t="str">
            <v>MIKROPL.,  1,0, 8-L, L-FORM, RE, LANG,STE</v>
          </cell>
          <cell r="D6501" t="str">
            <v>MICRO PL., 1.0, 8-H, L-SH., RI, LONG,STE</v>
          </cell>
        </row>
        <row r="6502">
          <cell r="B6502" t="str">
            <v>25-336-11-09</v>
          </cell>
          <cell r="C6502" t="str">
            <v>MIKRO-STUFENPL., 1,5, 4-L, LI/RE, MITTEL</v>
          </cell>
          <cell r="D6502" t="str">
            <v>MICRO STEP PL., 1.5, 4-H, LE/RI, MEDIUM</v>
          </cell>
        </row>
        <row r="6503">
          <cell r="B6503" t="str">
            <v>25-336-11-71</v>
          </cell>
          <cell r="C6503" t="str">
            <v>MIKRO-STUFENPL., 1,5, 4-L, LI/RE, MITTEL</v>
          </cell>
          <cell r="D6503" t="str">
            <v>VICRO STEP PL., 1.5, 4-H, LE/RI, MEDIUM</v>
          </cell>
        </row>
        <row r="6504">
          <cell r="B6504" t="str">
            <v>25-336-11-91</v>
          </cell>
          <cell r="C6504" t="str">
            <v>MIKRO-STUFENPL., 1,5, 4-L, LI/RE, MITTEL</v>
          </cell>
          <cell r="D6504" t="str">
            <v>MICRO STEP PL., 1.5, 4-H, LE/RI, MEDIUM</v>
          </cell>
        </row>
        <row r="6505">
          <cell r="B6505" t="str">
            <v>25-337-11-09</v>
          </cell>
          <cell r="C6505" t="str">
            <v>MIKRO-STUFENPL., 1,5, 4-L, RE/LI, MITTEL</v>
          </cell>
          <cell r="D6505" t="str">
            <v>MICRO STEP PL., 1.5, 4-H, RI/LE, MEDIUM</v>
          </cell>
        </row>
        <row r="6506">
          <cell r="B6506" t="str">
            <v>25-337-11-71</v>
          </cell>
          <cell r="C6506" t="str">
            <v>MIKRO-STUFENPL., 1,5, 4-L, RE/LI, MITTEL</v>
          </cell>
          <cell r="D6506" t="str">
            <v>MICRO STEP PL., 1.5, 4-H, RI/LE, MEDIUM</v>
          </cell>
        </row>
        <row r="6507">
          <cell r="B6507" t="str">
            <v>25-337-11-91</v>
          </cell>
          <cell r="C6507" t="str">
            <v>MIKRO-STUFENPL., 1,5, 4-L, RE/LI, MITTEL</v>
          </cell>
          <cell r="D6507" t="str">
            <v>MICRO STEP PL., 1.5, 4-H, RI/LE, MEDIUM</v>
          </cell>
        </row>
        <row r="6508">
          <cell r="B6508" t="str">
            <v>25-338-05-09</v>
          </cell>
          <cell r="C6508" t="str">
            <v>MIKROPL.,  1,0, 5-LOCH, T-FORM</v>
          </cell>
          <cell r="D6508" t="str">
            <v>MICRO PL., 1.0, 5-HOLES,  T-SHAPE</v>
          </cell>
        </row>
        <row r="6509">
          <cell r="B6509" t="str">
            <v>25-338-05-71</v>
          </cell>
          <cell r="C6509" t="str">
            <v>MIKROPL.,  1,0, 5-LOCH, T-FORM,  STERIL</v>
          </cell>
          <cell r="D6509" t="str">
            <v>MICRO PL., 1.0, 5-HOLES,  T-SHAPE,STERILE</v>
          </cell>
        </row>
        <row r="6510">
          <cell r="B6510" t="str">
            <v>25-338-07-09</v>
          </cell>
          <cell r="C6510" t="str">
            <v>MIKROPL.,  1,0, 7-LOCH, T-FORM</v>
          </cell>
          <cell r="D6510" t="str">
            <v>MICRO PL., 1.0, 7-HOLES,  T-SHAPE</v>
          </cell>
        </row>
        <row r="6511">
          <cell r="B6511" t="str">
            <v>25-338-07-71</v>
          </cell>
          <cell r="C6511" t="str">
            <v>MIKROPL.,  1,0, 7-LOCH, T-FORM</v>
          </cell>
          <cell r="D6511" t="str">
            <v>MICRO PL., 1.0, 7-HOLES,  T-SHAPE</v>
          </cell>
        </row>
        <row r="6512">
          <cell r="B6512" t="str">
            <v>25-338-12-09</v>
          </cell>
          <cell r="C6512" t="str">
            <v>MIKROPL.,  1,0, 12-LOCH,  T-FORM</v>
          </cell>
          <cell r="D6512" t="str">
            <v>MICRO PL., 1.0, 12-HOLES,  T-SHAPE</v>
          </cell>
        </row>
        <row r="6513">
          <cell r="B6513" t="str">
            <v>25-338-12-71</v>
          </cell>
          <cell r="C6513" t="str">
            <v>MIKROPL.,  1,0, 12-LOCH,  T-FORM</v>
          </cell>
          <cell r="D6513" t="str">
            <v>MICRO PL., 1.0, 12-HOLES,  T-SHAPE</v>
          </cell>
        </row>
        <row r="6514">
          <cell r="B6514" t="str">
            <v>25-340-11-09</v>
          </cell>
          <cell r="C6514" t="str">
            <v>MIKROPL.,  1,0, 11-LOCH,  H-FORM</v>
          </cell>
          <cell r="D6514" t="str">
            <v>MICRO PL., 1.0, 11-HOLES,  H-SHAPE</v>
          </cell>
        </row>
        <row r="6515">
          <cell r="B6515" t="str">
            <v>25-340-11-71</v>
          </cell>
          <cell r="C6515" t="str">
            <v>MIKROPL.,  1,0, 11-LOCH,  H-FORM</v>
          </cell>
          <cell r="D6515" t="str">
            <v>MICRO PL., 1.0, 11-HOLES,  H-SHAPE</v>
          </cell>
        </row>
        <row r="6516">
          <cell r="B6516" t="str">
            <v>25-342-06-09</v>
          </cell>
          <cell r="C6516" t="str">
            <v>MIKROPL.,  1,0, 6-LOCH, Y-FORM</v>
          </cell>
          <cell r="D6516" t="str">
            <v>MICRO PL., 1.0, 6-HOLES,  Y-FORM</v>
          </cell>
        </row>
        <row r="6517">
          <cell r="B6517" t="str">
            <v>25-342-06-71</v>
          </cell>
          <cell r="C6517" t="str">
            <v>MIKROPL.,  1,0, 6-LOCH, Y-FORM,  STERIL</v>
          </cell>
          <cell r="D6517" t="str">
            <v>MICRO PL., 1.0, 6-HOLES,  Y-FORM,  STERILE</v>
          </cell>
        </row>
        <row r="6518">
          <cell r="B6518" t="str">
            <v>25-342-13-09</v>
          </cell>
          <cell r="C6518" t="str">
            <v>MIKROPL.,  1,0, 13-LOCH,  Y-FORM</v>
          </cell>
          <cell r="D6518" t="str">
            <v>MICRO PL. 1.0, 13-HOL, Y-FORM</v>
          </cell>
        </row>
        <row r="6519">
          <cell r="B6519" t="str">
            <v>25-342-13-71</v>
          </cell>
          <cell r="C6519" t="str">
            <v>MIKROPL.,  1,0, 13-LOCH,  Y-FORM</v>
          </cell>
          <cell r="D6519" t="str">
            <v>MICRO PL. 1.0, 13-HOL, Y-FORM</v>
          </cell>
        </row>
        <row r="6520">
          <cell r="B6520" t="str">
            <v>25-344-06-09</v>
          </cell>
          <cell r="C6520" t="str">
            <v>MIKROPL.,  1,0, 6-L,DOPPEL-Y-FORM, KURZ</v>
          </cell>
          <cell r="D6520" t="str">
            <v>MICRO PL. 1.0, 6-H, DBL-Y-SHAPE, SHORT</v>
          </cell>
        </row>
        <row r="6521">
          <cell r="B6521" t="str">
            <v>25-344-06-71</v>
          </cell>
          <cell r="C6521" t="str">
            <v>MIKROPL.1,0, 6-L,DOPP-Y-FORM,KURZ,STERIL</v>
          </cell>
          <cell r="D6521" t="str">
            <v>MICRO PL 1.0,6-H,DBL-Y-FORM,SHORT,STERIL</v>
          </cell>
        </row>
        <row r="6522">
          <cell r="B6522" t="str">
            <v>25-344-07-09</v>
          </cell>
          <cell r="C6522" t="str">
            <v>MIKROPL.,  1,0, 7-L,DOPPEL-Y-FORM, MITTEL</v>
          </cell>
          <cell r="D6522" t="str">
            <v>MICRO PL. 1.0, 7-H, DBL-Y-SHAPE, MEDIUM</v>
          </cell>
        </row>
        <row r="6523">
          <cell r="B6523" t="str">
            <v>25-344-07-71</v>
          </cell>
          <cell r="C6523" t="str">
            <v>MIKROPL.,1.0, 7-L,DOP.-Y-FO., MITTEL,STE</v>
          </cell>
          <cell r="D6523" t="str">
            <v>MICRO PL. 1.0,7-H,DBL-Y-SHAPE,MEDIUM,STE</v>
          </cell>
        </row>
        <row r="6524">
          <cell r="B6524" t="str">
            <v>25-344-08-09</v>
          </cell>
          <cell r="C6524" t="str">
            <v>MIKROPL.,  1,0, 8-L,DOPPEL-Y-FORM, LANG</v>
          </cell>
          <cell r="D6524" t="str">
            <v>MICRO PL. 1.0, 8-H, DBL-Y-SHAPE, LONG</v>
          </cell>
        </row>
        <row r="6525">
          <cell r="B6525" t="str">
            <v>25-344-08-71</v>
          </cell>
          <cell r="C6525" t="str">
            <v>MIKROPL.,  1,0, 8-L,DOPPEL-Y-FORM, LANG</v>
          </cell>
          <cell r="D6525" t="str">
            <v>MICRO PL. 1.0, 8-H, DBL-Y-SHAPE, LONG</v>
          </cell>
        </row>
        <row r="6526">
          <cell r="B6526" t="str">
            <v>25-346-16-09</v>
          </cell>
          <cell r="C6526" t="str">
            <v>CHONDROSYNTHESE PLATTE H-MODELL  KLEIN</v>
          </cell>
          <cell r="D6526" t="str">
            <v>CHONDROSYNTHESIS PLATE H-TYPE SMALL</v>
          </cell>
        </row>
        <row r="6527">
          <cell r="B6527" t="str">
            <v>25-350-04-09</v>
          </cell>
          <cell r="C6527" t="str">
            <v>TI-CHAMPY MINIPL., 2,0, 4-LOCH, GERADE</v>
          </cell>
          <cell r="D6527" t="str">
            <v>TI-CHAMPY MINIPL., 2.0,4-HOLES, STRAIGHT</v>
          </cell>
        </row>
        <row r="6528">
          <cell r="B6528" t="str">
            <v>25-350-04-25</v>
          </cell>
          <cell r="C6528" t="str">
            <v>TI-CHAMPY MINIPL., 2,0, 4-LOCH, GERADE</v>
          </cell>
          <cell r="D6528" t="str">
            <v>TI-CHAMPY MINIPL., 2.0,4-HOLES, STRAIGHT</v>
          </cell>
        </row>
        <row r="6529">
          <cell r="B6529" t="str">
            <v>25-350-04-91</v>
          </cell>
          <cell r="C6529" t="str">
            <v>CHAMPY  MINIPL., 2,0, 4-LOCH, KURZ, GER.</v>
          </cell>
          <cell r="D6529" t="str">
            <v>CHAMPY  MINIPL., 2.0, 4-HOLES,  SHORT,STR.</v>
          </cell>
        </row>
        <row r="6530">
          <cell r="B6530" t="str">
            <v>25-350-06-09</v>
          </cell>
          <cell r="C6530" t="str">
            <v>TI-CHAMPY MINIPL., 2,0, 6-LOCH, GERADE</v>
          </cell>
          <cell r="D6530" t="str">
            <v>TI-CHAMPY MINIPL., 2.0,6-HOLES, STRAIGHT</v>
          </cell>
        </row>
        <row r="6531">
          <cell r="B6531" t="str">
            <v>25-350-06-91</v>
          </cell>
          <cell r="C6531" t="str">
            <v>CHAMPY  MINIPL., 2,0, 6-LOCH, KURZ, GER.</v>
          </cell>
          <cell r="D6531" t="str">
            <v>CHAMPY  MINIPL., 2.0, 6-HOLES,  SHORT,STR.</v>
          </cell>
        </row>
        <row r="6532">
          <cell r="B6532" t="str">
            <v>25-350-08-09</v>
          </cell>
          <cell r="C6532" t="str">
            <v>TI-CHAMPY MINIPL., 2,0, 8-LOCH, GERADE</v>
          </cell>
          <cell r="D6532" t="str">
            <v>TI-CHAMPY MINIPL., 2.0,8-HOLES, STRAIGHT</v>
          </cell>
        </row>
        <row r="6533">
          <cell r="B6533" t="str">
            <v>25-350-08-91</v>
          </cell>
          <cell r="C6533" t="str">
            <v>TI-CHAMPY MINIPL., 2,0, 8-LOCH, GERADE</v>
          </cell>
          <cell r="D6533" t="str">
            <v>TI-CHAMPY MINIPL., 2.0,8-HOLES, STRAIGHT</v>
          </cell>
        </row>
        <row r="6534">
          <cell r="B6534" t="str">
            <v>25-350-16-09</v>
          </cell>
          <cell r="C6534" t="str">
            <v>TI-CHAMPY MINIPL., 2,0, 16-LOCH,  GERADE</v>
          </cell>
          <cell r="D6534" t="str">
            <v>TI-CHAMPY MINIPL., 2.0,16-HOLES,STRAIGHT</v>
          </cell>
        </row>
        <row r="6535">
          <cell r="B6535" t="str">
            <v>25-350-16-91</v>
          </cell>
          <cell r="C6535" t="str">
            <v>TI-CHAMPY MINIPL., 2,0, 16-LOCH,  GERADE</v>
          </cell>
          <cell r="D6535" t="str">
            <v>TI-CHAMPY MINIPL., 2.0,16-HOLES,STRAIGHT</v>
          </cell>
        </row>
        <row r="6536">
          <cell r="B6536" t="str">
            <v>25-351-04-09</v>
          </cell>
          <cell r="C6536" t="str">
            <v>TI-CHAMPY MINIPL., 2,0, 4-L,GERADE, KURZ</v>
          </cell>
          <cell r="D6536" t="str">
            <v>TI-CHAMPY MINIPL., 2.0,4-HOLES,STR,SHORT</v>
          </cell>
        </row>
        <row r="6537">
          <cell r="B6537" t="str">
            <v>25-351-04-91</v>
          </cell>
          <cell r="C6537" t="str">
            <v>TI-CHAMPY MINIPL., 2,0, 4-L,GERADE, KURZ</v>
          </cell>
          <cell r="D6537" t="str">
            <v>TI-CHAMPY MINIPL., 2.0,4-HOLES,STR,SHORT</v>
          </cell>
        </row>
        <row r="6538">
          <cell r="B6538" t="str">
            <v>25-351-16-09</v>
          </cell>
          <cell r="C6538" t="str">
            <v>TI-CHAMPY MINIPL., 2,0,16-L,GERADE,0,8MM</v>
          </cell>
          <cell r="D6538" t="str">
            <v>TI-CHAMPY MINIPL., 2.0, 16-H, STR, 0.8MM</v>
          </cell>
        </row>
        <row r="6539">
          <cell r="B6539" t="str">
            <v>25-351-16-91</v>
          </cell>
          <cell r="C6539" t="str">
            <v>TI-CHAMPY MINIPL., 2,0,16-L,GERADE,0,8MM</v>
          </cell>
          <cell r="D6539" t="str">
            <v>TI-CHAMPY MINIPL., 2.0, 16-H, STR, 0.8MM</v>
          </cell>
        </row>
        <row r="6540">
          <cell r="B6540" t="str">
            <v>25-352-04-09</v>
          </cell>
          <cell r="C6540" t="str">
            <v>TI-CHAMPY MINIPL., 2,0, 4-L,GERADE, LANG</v>
          </cell>
          <cell r="D6540" t="str">
            <v>TI-CHAMPY MINIPL., 2.0,4-HOLES,STR, LONG</v>
          </cell>
        </row>
        <row r="6541">
          <cell r="B6541" t="str">
            <v>25-352-04-25</v>
          </cell>
          <cell r="C6541" t="str">
            <v>TI-CHAMPY MINIPL., 2,0, 4-L,GERADE, LANG</v>
          </cell>
          <cell r="D6541" t="str">
            <v>TI-CHAMPY MINIPL., 2.0,4-HOLES,STR, LONG</v>
          </cell>
        </row>
        <row r="6542">
          <cell r="B6542" t="str">
            <v>25-352-04-91</v>
          </cell>
          <cell r="C6542" t="str">
            <v>TI-CHAMPY MINIPL., 2,0, 4-L,GERADE, LANG</v>
          </cell>
          <cell r="D6542" t="str">
            <v>TI-CHAMPY MINIPL., 2.0,4-HOLES,STR, LONG</v>
          </cell>
        </row>
        <row r="6543">
          <cell r="B6543" t="str">
            <v>25-352-05-09</v>
          </cell>
          <cell r="C6543" t="str">
            <v>TI-CHAMPY MINIPL., 2,0, 5-L,Y-FORM, LANG</v>
          </cell>
          <cell r="D6543" t="str">
            <v>TI-CHAMPY MINIPL., 2.0,5-HOLES,Y-SH,LONG</v>
          </cell>
        </row>
        <row r="6544">
          <cell r="B6544" t="str">
            <v>25-352-05-91</v>
          </cell>
          <cell r="C6544" t="str">
            <v>TI-CHAMPY MINIPL., 2,0, 5-L,Y-FORM, LANG</v>
          </cell>
          <cell r="D6544" t="str">
            <v>TI-CHAMPY MINIPL., 2.0,5-HOLES,Y-SH,LONG</v>
          </cell>
        </row>
        <row r="6545">
          <cell r="B6545" t="str">
            <v>25-352-06-09</v>
          </cell>
          <cell r="C6545" t="str">
            <v>TI-CHAMPY MINIPL., 2,0, 6-L,GERADE, LANG</v>
          </cell>
          <cell r="D6545" t="str">
            <v>TI-CHAMPY MINIPL., 2.0,6-HOLES,STR, LONG</v>
          </cell>
        </row>
        <row r="6546">
          <cell r="B6546" t="str">
            <v>25-352-06-91</v>
          </cell>
          <cell r="C6546" t="str">
            <v>TI-CHAMPY MINIPL., 2,0, 6-L,GERADE, LANG</v>
          </cell>
          <cell r="D6546" t="str">
            <v>TI-CHAMPY MINIPL., 2.0,6-HOLES,STR, LONG</v>
          </cell>
        </row>
        <row r="6547">
          <cell r="B6547" t="str">
            <v>25-353-05-09</v>
          </cell>
          <cell r="C6547" t="str">
            <v>TI-CHAMPY MINIPL., 2,0, 5-L,Y-FORM, KURZ</v>
          </cell>
          <cell r="D6547" t="str">
            <v>TI-CHAMPY MINIPL.,2.0,5-HOLES,Y-SH,SHORT</v>
          </cell>
        </row>
        <row r="6548">
          <cell r="B6548" t="str">
            <v>25-353-05-91</v>
          </cell>
          <cell r="C6548" t="str">
            <v>TI-CHAMPY MINIPL., 2,0, 5-L,Y-FORM, KURZ</v>
          </cell>
          <cell r="D6548" t="str">
            <v>TI-CHAMPY MINIPL.,2.0,5-HOLES,Y-SH,SHORT</v>
          </cell>
        </row>
        <row r="6549">
          <cell r="B6549" t="str">
            <v>25-354-04-09</v>
          </cell>
          <cell r="C6549" t="str">
            <v>TI-CHAMPY MINIPL., 2,0, 4-L,Y-FORM, LANG</v>
          </cell>
          <cell r="D6549" t="str">
            <v>TI-CHAMPY MINIPL., 2.0,4-HOLES,Y-SH,LONG</v>
          </cell>
        </row>
        <row r="6550">
          <cell r="B6550" t="str">
            <v>25-354-04-91</v>
          </cell>
          <cell r="C6550" t="str">
            <v>TI-CHAMPY MINIPL., 2,0, 4-L,Y-FORM, LANG</v>
          </cell>
          <cell r="D6550" t="str">
            <v>TI-CHAMPY MINIPL., 2.0,4-HOLES,Y-SH,LONG</v>
          </cell>
        </row>
        <row r="6551">
          <cell r="B6551" t="str">
            <v>25-355-05-09</v>
          </cell>
          <cell r="C6551" t="str">
            <v>TI-CHAMPY MINIPL., 2,0,5-L,Y-FORM,M.STEG</v>
          </cell>
          <cell r="D6551" t="str">
            <v>TI-CHAMPY MINIPL., 2.0,5-HOLES,Y-SH,LONG</v>
          </cell>
        </row>
        <row r="6552">
          <cell r="B6552" t="str">
            <v>25-355-05-91</v>
          </cell>
          <cell r="C6552" t="str">
            <v>TI-CHAMPY MINIPL., 2,0,5-L,Y-FORM,M.STEG</v>
          </cell>
          <cell r="D6552" t="str">
            <v>TI-CHAMPY MINIPL., 2.0,5-HOLES,Y-SH,LONG</v>
          </cell>
        </row>
        <row r="6553">
          <cell r="B6553" t="str">
            <v>25-356-04-09</v>
          </cell>
          <cell r="C6553" t="str">
            <v>TI-CHAMPY MINIPL., 2,0, 4-L,T-FORM, KURZ</v>
          </cell>
          <cell r="D6553" t="str">
            <v>TI-CHAMPY MINIPL.,2.0,4-HOLES,T-SH,SHORT</v>
          </cell>
        </row>
        <row r="6554">
          <cell r="B6554" t="str">
            <v>25-356-04-91</v>
          </cell>
          <cell r="C6554" t="str">
            <v>TI-CHAMPY MINIPL., 2,0, 4-L,T-FORM, KURZ</v>
          </cell>
          <cell r="D6554" t="str">
            <v>TI-CHAMPY MINIPL.,2.0,4-HOLES,T-SH,SHORT</v>
          </cell>
        </row>
        <row r="6555">
          <cell r="B6555" t="str">
            <v>25-357-04-09</v>
          </cell>
          <cell r="C6555" t="str">
            <v>TI-CHAMPY MINIPL., 2,0, 4-L,T-FORM, LANG</v>
          </cell>
          <cell r="D6555" t="str">
            <v>TI-CHAMPY MINIPL., 2.0,4-HOLES,T-SH,LONG</v>
          </cell>
        </row>
        <row r="6556">
          <cell r="B6556" t="str">
            <v>25-357-04-91</v>
          </cell>
          <cell r="C6556" t="str">
            <v>TI-CHAMPY MINIPL., 2,0, 4-L,T-FORM, LANG</v>
          </cell>
          <cell r="D6556" t="str">
            <v>TI-CHAMPY MINIPL., 2.0,4-HOLES,T-SH,LONG</v>
          </cell>
        </row>
        <row r="6557">
          <cell r="B6557" t="str">
            <v>25-358-06-09</v>
          </cell>
          <cell r="C6557" t="str">
            <v>TI-CHAMPY MINIPL., 2,0, 6-L,T-FORM, KURZ</v>
          </cell>
          <cell r="D6557" t="str">
            <v>TI-CHAMPY MINIPL.,2.0,6-HOLES,T-SH,SHORT</v>
          </cell>
        </row>
        <row r="6558">
          <cell r="B6558" t="str">
            <v>25-358-06-91</v>
          </cell>
          <cell r="C6558" t="str">
            <v>TI-CHAMPY MINIPL., 2,0, 6-L,T-FORM, KURZ</v>
          </cell>
          <cell r="D6558" t="str">
            <v>TI-CHAMPY MINIPL.,2.0,6-HOLES,T-SH,SHORT</v>
          </cell>
        </row>
        <row r="6559">
          <cell r="B6559" t="str">
            <v>25-359-06-09</v>
          </cell>
          <cell r="C6559" t="str">
            <v>TI-CHAMPY MINIPL., 2,0, 6-L,T-FORM, LANG</v>
          </cell>
          <cell r="D6559" t="str">
            <v>TI-CHAMPY MINIPL., 2.0,6-HOLES,T-SH,LONG</v>
          </cell>
        </row>
        <row r="6560">
          <cell r="B6560" t="str">
            <v>25-359-06-91</v>
          </cell>
          <cell r="C6560" t="str">
            <v>TI-CHAMPY MINIPL., 2,0, 6-L,T-FORM, LANG</v>
          </cell>
          <cell r="D6560" t="str">
            <v>TI-CHAMPY MINIPL., 2.0,6-HOLES,T-SH,LONG</v>
          </cell>
        </row>
        <row r="6561">
          <cell r="B6561" t="str">
            <v>25-360-06-09</v>
          </cell>
          <cell r="C6561" t="str">
            <v>TI-CHAMPY MINIPL., 2,0, 6-LOCH, T-FORM</v>
          </cell>
          <cell r="D6561" t="str">
            <v>TI-CHAMPY MINIPL., 2.0, 6-HOLES,  T-SHAPE</v>
          </cell>
        </row>
        <row r="6562">
          <cell r="B6562" t="str">
            <v>25-360-06-91</v>
          </cell>
          <cell r="C6562" t="str">
            <v>TI-CHAMPY MINIPL., 2,0, 6-LOCH, T-FORM</v>
          </cell>
          <cell r="D6562" t="str">
            <v>TI-CHAMPY MINIPL., 2.0, 6-HOLES,  T-SHAPE</v>
          </cell>
        </row>
        <row r="6563">
          <cell r="B6563" t="str">
            <v>25-361-05-09</v>
          </cell>
          <cell r="C6563" t="str">
            <v>TI-CHAMPY MINIPL., 2,0,5-L,T-FORM,M.STEG</v>
          </cell>
          <cell r="D6563" t="str">
            <v>TI-CHAMPY MINIPL., 2.0,5-HOLES,T-SH,LONG</v>
          </cell>
        </row>
        <row r="6564">
          <cell r="B6564" t="str">
            <v>25-361-05-91</v>
          </cell>
          <cell r="C6564" t="str">
            <v>TI-CHAMPY MINIPL., 2,0,5-L,T-FORM,M.STEG</v>
          </cell>
          <cell r="D6564" t="str">
            <v>TI-CHAMPY MINIPL., 2.0,5-HOLES,T-SH,LONG</v>
          </cell>
        </row>
        <row r="6565">
          <cell r="B6565" t="str">
            <v>25-362-05-09</v>
          </cell>
          <cell r="C6565" t="str">
            <v>TI-CHAMPY MINIPL., 2,0,5-L,T-FO,100/80GR</v>
          </cell>
          <cell r="D6565" t="str">
            <v>TI-CHAMPY MINIPL., 2.0,5-H,T-SH,100/80DG</v>
          </cell>
        </row>
        <row r="6566">
          <cell r="B6566" t="str">
            <v>25-362-05-91</v>
          </cell>
          <cell r="C6566" t="str">
            <v>TI-CHAMPY MINIPL., 2,0,5-L,T-FO,100/80GR</v>
          </cell>
          <cell r="D6566" t="str">
            <v>TI-CHAMPY MINIPL., 2.0,5-H,T-SH,100/80DG</v>
          </cell>
        </row>
        <row r="6567">
          <cell r="B6567" t="str">
            <v>25-363-05-09</v>
          </cell>
          <cell r="C6567" t="str">
            <v>TI-CHAMPY MINIPL., 2,0,5-L,T-FO,80/100GR</v>
          </cell>
          <cell r="D6567" t="str">
            <v>TI-CHAMPY MINIPL., 2.0,5-H,T-SH,80/100DG</v>
          </cell>
        </row>
        <row r="6568">
          <cell r="B6568" t="str">
            <v>25-363-05-91</v>
          </cell>
          <cell r="C6568" t="str">
            <v>TI-CHAMPY MINIPL., 2,0,5-L,T-FO,80/100GR</v>
          </cell>
          <cell r="D6568" t="str">
            <v>TI-CHAMPY MINIPL., 2.0,5-H,T-SH,80/100DG</v>
          </cell>
        </row>
        <row r="6569">
          <cell r="B6569" t="str">
            <v>25-364-04-09</v>
          </cell>
          <cell r="C6569" t="str">
            <v>TI-CHAMPY MINIPL., 2,0, 4-LOCH,L-FORM,RE</v>
          </cell>
          <cell r="D6569" t="str">
            <v>TI-CHAMPY MINIPL., 2.0, 4-HOLES,L-SH, RI</v>
          </cell>
        </row>
        <row r="6570">
          <cell r="B6570" t="str">
            <v>25-364-04-25</v>
          </cell>
          <cell r="C6570" t="str">
            <v>TI-CHAMPY MINIPL., 2,0, 4-LOCH,L-FORM,RE</v>
          </cell>
          <cell r="D6570" t="str">
            <v>TI-CHAMPY MINIPL., 2.0, 4-HOLES,L-SH, RI</v>
          </cell>
        </row>
        <row r="6571">
          <cell r="B6571" t="str">
            <v>25-364-04-91</v>
          </cell>
          <cell r="C6571" t="str">
            <v>CHAMPY  MINIPL., 2,0, 4-L,L-FORM,RE, KURZ</v>
          </cell>
          <cell r="D6571" t="str">
            <v>CHAMPY  MINIPL., 2.0,4-H,L-SHAPE,RI,SHORT</v>
          </cell>
        </row>
        <row r="6572">
          <cell r="B6572" t="str">
            <v>25-365-04-09</v>
          </cell>
          <cell r="C6572" t="str">
            <v>TI-CHAMPY MINIPL., 2,0,4-L,L-F,RE,M.STEG</v>
          </cell>
          <cell r="D6572" t="str">
            <v>TI-CHAMPY MINIPL., 2.0,4-H,L-SH,RI, LONG</v>
          </cell>
        </row>
        <row r="6573">
          <cell r="B6573" t="str">
            <v>25-365-04-25</v>
          </cell>
          <cell r="C6573" t="str">
            <v>TI-CHAMPY MINIPL., 2,0,4-L,L-F,RE,M.STEG</v>
          </cell>
          <cell r="D6573" t="str">
            <v>TI-CHAMPY MINIPL., 2.0,4-H,L-SH,RI, LONG</v>
          </cell>
        </row>
        <row r="6574">
          <cell r="B6574" t="str">
            <v>25-365-04-91</v>
          </cell>
          <cell r="C6574" t="str">
            <v>CHAMPY  MINIPL., 2,0, 4-L,L-FORM,RE, LANG</v>
          </cell>
          <cell r="D6574" t="str">
            <v>CHAMPY  MINIPL., 2.0,4-H,L-SHAPE,RI, LONG</v>
          </cell>
        </row>
        <row r="6575">
          <cell r="B6575" t="str">
            <v>25-366-04-09</v>
          </cell>
          <cell r="C6575" t="str">
            <v>TI-CHAMPY MINIPL., 2,0, 4-LOCH,L-FORM,LI</v>
          </cell>
          <cell r="D6575" t="str">
            <v>TI-CHAMPY MINIPL., 2.0, 4-HOLES,L-SH, LE</v>
          </cell>
        </row>
        <row r="6576">
          <cell r="B6576" t="str">
            <v>25-366-04-25</v>
          </cell>
          <cell r="C6576" t="str">
            <v>TI-CHAMPY MINIPL., 2,0, 4-LOCH,L-FORM,LI</v>
          </cell>
          <cell r="D6576" t="str">
            <v>TI-CHAMPY MINIPL., 2.0, 4-HOLES,L-SH, LE</v>
          </cell>
        </row>
        <row r="6577">
          <cell r="B6577" t="str">
            <v>25-366-04-91</v>
          </cell>
          <cell r="C6577" t="str">
            <v>CHAMPY  MINIPL., 2,0, 4-L,L-FORM,LI, KURZ</v>
          </cell>
          <cell r="D6577" t="str">
            <v>CHAMPY  MINIPL., 2.0,4-H,L-SHAPE,LE,SHORT</v>
          </cell>
        </row>
        <row r="6578">
          <cell r="B6578" t="str">
            <v>25-367-04-09</v>
          </cell>
          <cell r="C6578" t="str">
            <v>TI-CHAMPY MINIPL., 2,0,4-L,L-F,LI,M.STEG</v>
          </cell>
          <cell r="D6578" t="str">
            <v>TI-CHAMPY MINIPL., 2.0,4-H,L-SH,LE, LONG</v>
          </cell>
        </row>
        <row r="6579">
          <cell r="B6579" t="str">
            <v>25-367-04-25</v>
          </cell>
          <cell r="C6579" t="str">
            <v>TI-CHAMPY MINIPL., 2,0,4-L,L-F,LI,M.STEG</v>
          </cell>
          <cell r="D6579" t="str">
            <v>TI-CHAMPY MINIPL., 2.0,4-H,L-SH,LE, LONG</v>
          </cell>
        </row>
        <row r="6580">
          <cell r="B6580" t="str">
            <v>25-367-04-91</v>
          </cell>
          <cell r="C6580" t="str">
            <v>CHAMPY  MINIPL., 2,0, 4-L,L-FORM,LI, LANG</v>
          </cell>
          <cell r="D6580" t="str">
            <v>CHAMPY  MINIPL., 2.0,4-H,L-SHAPE,LE, LONG</v>
          </cell>
        </row>
        <row r="6581">
          <cell r="B6581" t="str">
            <v>25-368-04-09</v>
          </cell>
          <cell r="C6581" t="str">
            <v>TI-CHAMPY MINIPL., 2,0, 6-LOCH, H-FORM</v>
          </cell>
          <cell r="D6581" t="str">
            <v>TI-CHAMPY MINIPL., 2.0, 6-HOLES,  H-SHAPE</v>
          </cell>
        </row>
        <row r="6582">
          <cell r="B6582" t="str">
            <v>25-368-04-91</v>
          </cell>
          <cell r="C6582" t="str">
            <v>TI-CHAMPY MINIPL., 2,0, 6-LOCH, H-FORM</v>
          </cell>
          <cell r="D6582" t="str">
            <v>TI-CHAMPY MINIPL., 2.0, 6-HOLES,  H-SHAPE</v>
          </cell>
        </row>
        <row r="6583">
          <cell r="B6583" t="str">
            <v>25-370-06-09</v>
          </cell>
          <cell r="C6583" t="str">
            <v>TI-CHAMPY MINIPL., 2,0,6-L,DOP.Y-F, KURZ</v>
          </cell>
          <cell r="D6583" t="str">
            <v>TI-CHAMPY MINIPL., 2.0,6-H,DBL-Y-SH, SHO</v>
          </cell>
        </row>
        <row r="6584">
          <cell r="B6584" t="str">
            <v>25-370-06-91</v>
          </cell>
          <cell r="C6584" t="str">
            <v>TI-CHAMPY MINIPL., 2,0,6-L,DOP.Y-F, KURZ</v>
          </cell>
          <cell r="D6584" t="str">
            <v>TI-CHAMPY MINIPL., 2.0,6-H,DBL-Y-SH, SHO</v>
          </cell>
        </row>
        <row r="6585">
          <cell r="B6585" t="str">
            <v>25-371-06-09</v>
          </cell>
          <cell r="C6585" t="str">
            <v>TI-CHAMPY MINIPL., 2,0,6-L,DOP.Y-F, LANG</v>
          </cell>
          <cell r="D6585" t="str">
            <v>TI-CHAMPY MINIPL., 2.0,6-H,DBL-Y-SH,LONG</v>
          </cell>
        </row>
        <row r="6586">
          <cell r="B6586" t="str">
            <v>25-371-06-91</v>
          </cell>
          <cell r="C6586" t="str">
            <v>TI-CHAMPY MINIPL., 2,0,6-L,DOP.Y-F, LANG</v>
          </cell>
          <cell r="D6586" t="str">
            <v>TI-CHAMPY MINIPL., 2.0,6-H,DBL-Y-SH,LONG</v>
          </cell>
        </row>
        <row r="6587">
          <cell r="B6587" t="str">
            <v>25-372-04-09</v>
          </cell>
          <cell r="C6587" t="str">
            <v>TI-CHAMPY MINIPL., 2,0,4-LOCH, KREUZFORM</v>
          </cell>
          <cell r="D6587" t="str">
            <v>TI-CHAMPY MINIPL., 2.0,4-H, CROSS-SHAPE</v>
          </cell>
        </row>
        <row r="6588">
          <cell r="B6588" t="str">
            <v>25-372-04-91</v>
          </cell>
          <cell r="C6588" t="str">
            <v>TI-CHAMPY MINIPL., 2,0,4-LOCH, KREUZFORM</v>
          </cell>
          <cell r="D6588" t="str">
            <v>TI-CHAMPY MINIPL., 2.0,4-H, CROSS-SHAPE</v>
          </cell>
        </row>
        <row r="6589">
          <cell r="B6589" t="str">
            <v>25-374-04-09</v>
          </cell>
          <cell r="C6589" t="str">
            <v>TI-CHAMPY MINIPL., 2,0,4-L,L-F,RE, 100GR</v>
          </cell>
          <cell r="D6589" t="str">
            <v>TI-CHAMPY MINIPL., 2.0,4-H,L-SH,RI,100DG</v>
          </cell>
        </row>
        <row r="6590">
          <cell r="B6590" t="str">
            <v>25-374-04-91</v>
          </cell>
          <cell r="C6590" t="str">
            <v>TI-CHAMPY MINIPL., 2,0,4-L,L-F,RE, 100GR</v>
          </cell>
          <cell r="D6590" t="str">
            <v>TI-CHAMPY MINIPL., 2.0,4-H,L-SH,RI,100DG</v>
          </cell>
        </row>
        <row r="6591">
          <cell r="B6591" t="str">
            <v>25-374-07-09</v>
          </cell>
          <cell r="C6591" t="str">
            <v>TI-CHAMPY MINIPL., 2,0,7-L,L-F,RE, 100GR</v>
          </cell>
          <cell r="D6591" t="str">
            <v>TI-CHAMPY MINIPL., 2.0,7-H,L-SH,RI,100DG</v>
          </cell>
        </row>
        <row r="6592">
          <cell r="B6592" t="str">
            <v>25-374-07-91</v>
          </cell>
          <cell r="C6592" t="str">
            <v>TI-CHAMPY MINIPL., 2,0,7-L,L-F,RE, 100GR</v>
          </cell>
          <cell r="D6592" t="str">
            <v>TI-CHAMPY MINIPL., 2.0,7-H,L-SH,RI,100DG</v>
          </cell>
        </row>
        <row r="6593">
          <cell r="B6593" t="str">
            <v>25-375-04-09</v>
          </cell>
          <cell r="C6593" t="str">
            <v>TI-CHAMPY MINIPL., 4-L,L-F,RE,M.ST,100GR</v>
          </cell>
          <cell r="D6593" t="str">
            <v>TI-CHAMPY MINIPL., 4-H,L-SH,RI,LO, 100DG</v>
          </cell>
        </row>
        <row r="6594">
          <cell r="B6594" t="str">
            <v>25-375-04-91</v>
          </cell>
          <cell r="C6594" t="str">
            <v>TI-CHAMPY MINIPL., 4-L,L-F,RE,M.ST,100GR</v>
          </cell>
          <cell r="D6594" t="str">
            <v>TI-CHAMPY MINIPL., 4-H,L-SH,RI,LO, 100DG</v>
          </cell>
        </row>
        <row r="6595">
          <cell r="B6595" t="str">
            <v>25-376-04-09</v>
          </cell>
          <cell r="C6595" t="str">
            <v>TI-CHAMPY MINIPL., 2,0,4-L,L-F,LI, 100GR</v>
          </cell>
          <cell r="D6595" t="str">
            <v>TI-CHAMPY MINIPL., 2.0,4-H,L-SH,LE,100DG</v>
          </cell>
        </row>
        <row r="6596">
          <cell r="B6596" t="str">
            <v>25-376-04-91</v>
          </cell>
          <cell r="C6596" t="str">
            <v>TI-CHAMPY MINIPL., 2,0,4-L,L-F,LI, 100GR</v>
          </cell>
          <cell r="D6596" t="str">
            <v>TI-CHAMPY MINIPL., 2.0,4-H,L-SH,LE,100DG</v>
          </cell>
        </row>
        <row r="6597">
          <cell r="B6597" t="str">
            <v>25-376-07-09</v>
          </cell>
          <cell r="C6597" t="str">
            <v>TI-CHAMPY MINIPL., 2,0,7-L,L-F,LI, 100GR</v>
          </cell>
          <cell r="D6597" t="str">
            <v>TI-CHAMPY MINIPL., 2.0,7-H,L-SH,LE,100DG</v>
          </cell>
        </row>
        <row r="6598">
          <cell r="B6598" t="str">
            <v>25-376-07-91</v>
          </cell>
          <cell r="C6598" t="str">
            <v>TI-CHAMPY MINIPL., 2,0,7-L,L-F,LI, 100GR</v>
          </cell>
          <cell r="D6598" t="str">
            <v>TI-CHAMPY MINIPL., 2.0,7-H,L-SH,LE,100DG</v>
          </cell>
        </row>
        <row r="6599">
          <cell r="B6599" t="str">
            <v>25-377-04-09</v>
          </cell>
          <cell r="C6599" t="str">
            <v>TI-CHAMPY MINIPL., 4-L,L-F,LI,M.ST,100GR</v>
          </cell>
          <cell r="D6599" t="str">
            <v>TI-CHAMPY MINIPL., 4-H,L-SH,LE,LO, 100DG</v>
          </cell>
        </row>
        <row r="6600">
          <cell r="B6600" t="str">
            <v>25-377-04-91</v>
          </cell>
          <cell r="C6600" t="str">
            <v>TI-CHAMPY MINIPL., 4-L,L-F,LI,M.ST,100GR</v>
          </cell>
          <cell r="D6600" t="str">
            <v>TI-CHAMPY MINIPL., 4-H,L-SH,LE,LO, 100DG</v>
          </cell>
        </row>
        <row r="6601">
          <cell r="B6601" t="str">
            <v>25-380-04-09</v>
          </cell>
          <cell r="C6601" t="str">
            <v>TI-CHAMPY-MAGDEB.-PL., 2,0,4-L,GER.,KURZ</v>
          </cell>
          <cell r="D6601" t="str">
            <v>TI-CHAMPY-MAGDEB-PL., 2.0, 4-H,STR,SHORT</v>
          </cell>
        </row>
        <row r="6602">
          <cell r="B6602" t="str">
            <v>25-380-04-71</v>
          </cell>
          <cell r="C6602" t="str">
            <v>TI-CHAMPY-MAGDEB.-PL., 2,0,4-L,GER.,KURZ</v>
          </cell>
          <cell r="D6602" t="str">
            <v>TI-CHAMPY-MAGDEB-PL., 2.0, 4-H,STR,SHORT</v>
          </cell>
        </row>
        <row r="6603">
          <cell r="B6603" t="str">
            <v>25-380-04-91</v>
          </cell>
          <cell r="C6603" t="str">
            <v>TI-CHAMPY-MAGDEB.-PL., 2,0,4-L,GER.,KURZ</v>
          </cell>
          <cell r="D6603" t="str">
            <v>TI-CHAMPY-MAGDEB-PL., 2.0, 4-H,STR,SHORT</v>
          </cell>
        </row>
        <row r="6604">
          <cell r="B6604" t="str">
            <v>25-382-04-09</v>
          </cell>
          <cell r="C6604" t="str">
            <v>TI-CHAMPY-MAGDEB.-PL., 2,0,4-L,GER.,LANG</v>
          </cell>
          <cell r="D6604" t="str">
            <v>TI-CHAMPY-MAGDEB-PL., 2.0, 4-H,STR, LONG</v>
          </cell>
        </row>
        <row r="6605">
          <cell r="B6605" t="str">
            <v>25-382-04-71</v>
          </cell>
          <cell r="C6605" t="str">
            <v>TI-CHAMPY-MAGDEB.-PL., 2,0,4-L,GER.,LANG</v>
          </cell>
          <cell r="D6605" t="str">
            <v>TI-CHAMPY-MAGDEB-PL., 2.0, 4-H,STR, LONG</v>
          </cell>
        </row>
        <row r="6606">
          <cell r="B6606" t="str">
            <v>25-382-04-91</v>
          </cell>
          <cell r="C6606" t="str">
            <v>TI-CHAMPY-MAGDEB.-PL., 2,0,4-L,GER.,LANG</v>
          </cell>
          <cell r="D6606" t="str">
            <v>TI-CHAMPY-MAGDEB-PL., 2.0, 4-H,STR, LONG</v>
          </cell>
        </row>
        <row r="6607">
          <cell r="B6607" t="str">
            <v>25-392-04-09</v>
          </cell>
          <cell r="C6607" t="str">
            <v>TI-CHAMPY-ARNHEM-PL., 2,0, 4-L,GER.,KURZ</v>
          </cell>
          <cell r="D6607" t="str">
            <v>TI-CHAMPY-ARNHEM-PL., 2.0, 4-H,STR,SHORT</v>
          </cell>
        </row>
        <row r="6608">
          <cell r="B6608" t="str">
            <v>25-392-04-71</v>
          </cell>
          <cell r="C6608" t="str">
            <v>TI-CHAMPY-ARNHEM-PL., 2,0, 4-L,GER.,KURZ</v>
          </cell>
          <cell r="D6608" t="str">
            <v>TI-CHAMPY-ARNHEM-PL., 2.0, 4-H,STR,SHORT</v>
          </cell>
        </row>
        <row r="6609">
          <cell r="B6609" t="str">
            <v>25-392-04-91</v>
          </cell>
          <cell r="C6609" t="str">
            <v>TI-CHAMPY-ARNHEM-PL., 2,0, 4-L,GER.,KURZ</v>
          </cell>
          <cell r="D6609" t="str">
            <v>TI-CHAMPY-ARNHEM-PL., 2.0, 4-H,STR,SHORT</v>
          </cell>
        </row>
        <row r="6610">
          <cell r="B6610" t="str">
            <v>25-394-04-09</v>
          </cell>
          <cell r="C6610" t="str">
            <v>TI-CHAMPY-ARNHEM-PL., 2,0, 4-L,GER.,LANG</v>
          </cell>
          <cell r="D6610" t="str">
            <v>TI-CHAMPY-ARNHEM-PL., 2.0, 4-H,STR, LONG</v>
          </cell>
        </row>
        <row r="6611">
          <cell r="B6611" t="str">
            <v>25-394-04-71</v>
          </cell>
          <cell r="C6611" t="str">
            <v>TI-CHAMPY-ARNHEM-PL., 2,0, 4-L,GER.,LANG</v>
          </cell>
          <cell r="D6611" t="str">
            <v>TI-CHAMPY-ARNHEM-PL., 2.0, 4-H,STR, LONG</v>
          </cell>
        </row>
        <row r="6612">
          <cell r="B6612" t="str">
            <v>25-394-04-91</v>
          </cell>
          <cell r="C6612" t="str">
            <v>TI-CHAMPY-ARNHEM-PL., 2,0, 4-L,GER.,LANG</v>
          </cell>
          <cell r="D6612" t="str">
            <v>TI-CHAMPY-ARNHEM-PL., 2.0, 4-H,STR, LONG</v>
          </cell>
        </row>
        <row r="6613">
          <cell r="B6613" t="str">
            <v>25-394-34-09</v>
          </cell>
          <cell r="C6613" t="str">
            <v>BSSO Platte,doppelreihig,1 Steg,2x4-Loch</v>
          </cell>
          <cell r="D6613" t="str">
            <v>BSSO Plate,double-row, 1 bar,2x4-Holes</v>
          </cell>
        </row>
        <row r="6614">
          <cell r="B6614" t="str">
            <v>25-395-08-09</v>
          </cell>
          <cell r="C6614" t="str">
            <v>TI-CHAMPY ORBITA PL., 2,0, 8-LOCH</v>
          </cell>
          <cell r="D6614" t="str">
            <v>TI-CHAMPY ORBITA PL., 2.0, 8-HOLES</v>
          </cell>
        </row>
        <row r="6615">
          <cell r="B6615" t="str">
            <v>25-395-08-91</v>
          </cell>
          <cell r="C6615" t="str">
            <v>TI-CHAMPY ORBITA PL., 2,0, 8-LOCH</v>
          </cell>
          <cell r="D6615" t="str">
            <v>TI-CHAMPY ORBITA PL., 2.0, 8-HOLES</v>
          </cell>
        </row>
        <row r="6616">
          <cell r="B6616" t="str">
            <v>25-395-10-09</v>
          </cell>
          <cell r="C6616" t="str">
            <v>TI-CHAMPY ORBITA PL., 2,0, 10-LOCH</v>
          </cell>
          <cell r="D6616" t="str">
            <v>TI-CHAMPY ORBITA PL., 2.0, 10-HOLES</v>
          </cell>
        </row>
        <row r="6617">
          <cell r="B6617" t="str">
            <v>25-395-10-91</v>
          </cell>
          <cell r="C6617" t="str">
            <v>TI-CHAMPY ORBITA PL., 2,0, 10-LOCH</v>
          </cell>
          <cell r="D6617" t="str">
            <v>TI-CHAMPY ORBITA PL., 2.0, 10-HOLES</v>
          </cell>
        </row>
        <row r="6618">
          <cell r="B6618" t="str">
            <v>25-395-12-09</v>
          </cell>
          <cell r="C6618" t="str">
            <v>TI-CHAMPY ORBITA PL., 2,0, 12-LOCH</v>
          </cell>
          <cell r="D6618" t="str">
            <v>TI-CHAMPY ORBITA PL., 2.0, 12-HOLES</v>
          </cell>
        </row>
        <row r="6619">
          <cell r="B6619" t="str">
            <v>25-395-12-91</v>
          </cell>
          <cell r="C6619" t="str">
            <v>TI-CHAMPY ORBITA PL., 2,0, 12-LOCH</v>
          </cell>
          <cell r="D6619" t="str">
            <v>TI-CHAMPY ORBITA PL., 2.0, 12-HOLES</v>
          </cell>
        </row>
        <row r="6620">
          <cell r="B6620" t="str">
            <v>25-395-34-09</v>
          </cell>
          <cell r="C6620" t="str">
            <v>BSSO Platte,doppelreihig m.Steg,2x4-Loch</v>
          </cell>
          <cell r="D6620" t="str">
            <v>BSSO Plate,double-row with bar,2x4-Holes</v>
          </cell>
        </row>
        <row r="6621">
          <cell r="B6621" t="str">
            <v>25-396-19-09</v>
          </cell>
          <cell r="C6621" t="str">
            <v>MINIPLATTE 2,0, 6-LOCH, GER., GROSS</v>
          </cell>
          <cell r="D6621" t="str">
            <v>MINIPLATE  2.0, 6-HOLE, STR., LARGE</v>
          </cell>
        </row>
        <row r="6622">
          <cell r="B6622" t="str">
            <v>25-396-29-09</v>
          </cell>
          <cell r="C6622" t="str">
            <v>ARNETT MINIPL. 2,0, 4-LOCH, GER., KLEIN</v>
          </cell>
          <cell r="D6622" t="str">
            <v>ARNETT MINIPL. 2,0, 4-HOLE, STR., SMALL</v>
          </cell>
        </row>
        <row r="6623">
          <cell r="B6623" t="str">
            <v>25-396-29-71</v>
          </cell>
          <cell r="C6623" t="str">
            <v>ARNETT MINIPL. 2,0, 4-LOCH, GER., KLEIN</v>
          </cell>
          <cell r="D6623" t="str">
            <v>ARNETT MINIPL. 2,0, 4-HOLE, STR., SMALL</v>
          </cell>
        </row>
        <row r="6624">
          <cell r="B6624" t="str">
            <v>25-396-29-89</v>
          </cell>
          <cell r="C6624" t="str">
            <v>Template  für 25-396-29</v>
          </cell>
          <cell r="D6624" t="str">
            <v>Template  for 25-396-29</v>
          </cell>
        </row>
        <row r="6625">
          <cell r="B6625" t="str">
            <v>25-396-34-09</v>
          </cell>
          <cell r="C6625" t="str">
            <v>ARNETT MINIPL. 2,0, 4-LOCH, GER., MITTEL</v>
          </cell>
          <cell r="D6625" t="str">
            <v>ARNETT MINIPL. 2,0, 4-HOLE, STR., MEDIUM</v>
          </cell>
        </row>
        <row r="6626">
          <cell r="B6626" t="str">
            <v>25-396-34-71</v>
          </cell>
          <cell r="C6626" t="str">
            <v>ARNETT MINIPL. 2,0, 4-LOCH, GER., MITTEL</v>
          </cell>
          <cell r="D6626" t="str">
            <v>ARNETT MINIPL. 2,0, 4-HOLE, STR., MEDIUM</v>
          </cell>
        </row>
        <row r="6627">
          <cell r="B6627" t="str">
            <v>25-396-34-89</v>
          </cell>
          <cell r="C6627" t="str">
            <v>Template  für 25-396-34</v>
          </cell>
          <cell r="D6627" t="str">
            <v>Template  for 25-396-34</v>
          </cell>
        </row>
        <row r="6628">
          <cell r="B6628" t="str">
            <v>25-396-39-09</v>
          </cell>
          <cell r="C6628" t="str">
            <v>ARNETT MINIPL. 2,0, 4-LOCH, GER., GROSS</v>
          </cell>
          <cell r="D6628" t="str">
            <v>ARNETT MINIPL. 2,0, 4-HOLE, STR., LARGE</v>
          </cell>
        </row>
        <row r="6629">
          <cell r="B6629" t="str">
            <v>25-396-39-71</v>
          </cell>
          <cell r="C6629" t="str">
            <v>ARNETT MINIPL. 2,0, 4-LOCH, GER., GROSS</v>
          </cell>
          <cell r="D6629" t="str">
            <v>ARNETT MINIPL. 2,0, 4-HOLE, STR., LARGE</v>
          </cell>
        </row>
        <row r="6630">
          <cell r="B6630" t="str">
            <v>25-396-39-89</v>
          </cell>
          <cell r="C6630" t="str">
            <v>Template  für 25-396-39</v>
          </cell>
          <cell r="D6630" t="str">
            <v>Template  for 25-396-39</v>
          </cell>
        </row>
        <row r="6631">
          <cell r="B6631" t="str">
            <v>25-396-44-09</v>
          </cell>
          <cell r="C6631" t="str">
            <v>ARNETT MINIPL. 2,0, 4-LOCH, GER., XL</v>
          </cell>
          <cell r="D6631" t="str">
            <v>ARNETT MINIPL. 2,0, 4-HOLE, STR., XL</v>
          </cell>
        </row>
        <row r="6632">
          <cell r="B6632" t="str">
            <v>25-396-44-71</v>
          </cell>
          <cell r="C6632" t="str">
            <v>ARNETT MINIPL. 2,0, 4-LOCH, GER., XL</v>
          </cell>
          <cell r="D6632" t="str">
            <v>ARNETT MINIPL. 2,0, 4-HOLE, STR., XL</v>
          </cell>
        </row>
        <row r="6633">
          <cell r="B6633" t="str">
            <v>25-396-44-89</v>
          </cell>
          <cell r="C6633" t="str">
            <v>Template  für 25-396-44</v>
          </cell>
          <cell r="D6633" t="str">
            <v>Template  for 25-396-44</v>
          </cell>
        </row>
        <row r="6634">
          <cell r="B6634" t="str">
            <v>25-396-56-09</v>
          </cell>
          <cell r="C6634" t="str">
            <v>ARNETT MINIPL. 2,0, 6-LOCH, GER., GROSS</v>
          </cell>
          <cell r="D6634" t="str">
            <v>ARNETT MINIPL. 2,0, 6-HOLE, STR., LARGE</v>
          </cell>
        </row>
        <row r="6635">
          <cell r="B6635" t="str">
            <v>25-396-56-71</v>
          </cell>
          <cell r="C6635" t="str">
            <v>ARNETT MINIPL. 2,0, 6-LOCH, GER., GROSS</v>
          </cell>
          <cell r="D6635" t="str">
            <v>ARNETT MINIPL. 2,0, 6-HOLE, STR., LARGE</v>
          </cell>
        </row>
        <row r="6636">
          <cell r="B6636" t="str">
            <v>25-396-56-89</v>
          </cell>
          <cell r="C6636" t="str">
            <v>Template  für 25-396-56</v>
          </cell>
          <cell r="D6636" t="str">
            <v>Template  for 25-396-56</v>
          </cell>
        </row>
        <row r="6637">
          <cell r="B6637" t="str">
            <v>25-397-27-09</v>
          </cell>
          <cell r="C6637" t="str">
            <v>ARNETT MINIPL. 2,0, L-FORM 0,8MM, KLEIN</v>
          </cell>
          <cell r="D6637" t="str">
            <v>ARNETT MINIPL. 2,0, L-SHAPE 0,8MM, SMALL</v>
          </cell>
        </row>
        <row r="6638">
          <cell r="B6638" t="str">
            <v>25-397-27-71</v>
          </cell>
          <cell r="C6638" t="str">
            <v>ARNETT MINIPL. 2,0, L-FORM 0,8MM, KLEIN</v>
          </cell>
          <cell r="D6638" t="str">
            <v>ARNETT MINIPL. 2,0, L-SHAPE 0,8MM, SMALL</v>
          </cell>
        </row>
        <row r="6639">
          <cell r="B6639" t="str">
            <v>25-397-27-89</v>
          </cell>
          <cell r="C6639" t="str">
            <v>Template  für 25-397-27</v>
          </cell>
          <cell r="D6639" t="str">
            <v>Template  for 25-397-27</v>
          </cell>
        </row>
        <row r="6640">
          <cell r="B6640" t="str">
            <v>25-397-31-09</v>
          </cell>
          <cell r="C6640" t="str">
            <v>ARNETT MINIPL. 2,0, L-FORM 0,8MM, MITTEL</v>
          </cell>
          <cell r="D6640" t="str">
            <v>ARNETT MINIPL. 2,0, L-SHAPE 0,8MM MEDIUM</v>
          </cell>
        </row>
        <row r="6641">
          <cell r="B6641" t="str">
            <v>25-397-31-71</v>
          </cell>
          <cell r="C6641" t="str">
            <v>ARNETT MINIPL. 2,0, L-FORM 0,8MM, MITTEL</v>
          </cell>
          <cell r="D6641" t="str">
            <v>ARNETT MINIPL. 2,0, L-SHAPE 0,8MM MEDIUM</v>
          </cell>
        </row>
        <row r="6642">
          <cell r="B6642" t="str">
            <v>25-397-31-89</v>
          </cell>
          <cell r="C6642" t="str">
            <v>Template  für 25-397-31</v>
          </cell>
          <cell r="D6642" t="str">
            <v>Template  for 25-397-31</v>
          </cell>
        </row>
        <row r="6643">
          <cell r="B6643" t="str">
            <v>25-397-35-09</v>
          </cell>
          <cell r="C6643" t="str">
            <v>ARNETT MINIPL. 2,0, L-FORM 0,8MM, GROSS</v>
          </cell>
          <cell r="D6643" t="str">
            <v>ARNETT MINIPL. 2,0, L-SHAPE 0,8MM, LARGE</v>
          </cell>
        </row>
        <row r="6644">
          <cell r="B6644" t="str">
            <v>25-397-35-71</v>
          </cell>
          <cell r="C6644" t="str">
            <v>ARNETT MINIPL. 2,0, L-FORM 0,8MM, GROSS</v>
          </cell>
          <cell r="D6644" t="str">
            <v>ARNETT MINIPL. 2,0, L-SHAPE 0,8MM, LARGE</v>
          </cell>
        </row>
        <row r="6645">
          <cell r="B6645" t="str">
            <v>25-397-35-89</v>
          </cell>
          <cell r="C6645" t="str">
            <v>Template  für 25-397-35</v>
          </cell>
          <cell r="D6645" t="str">
            <v>Template  for 25-397-35</v>
          </cell>
        </row>
        <row r="6646">
          <cell r="B6646" t="str">
            <v>25-397-39-09</v>
          </cell>
          <cell r="C6646" t="str">
            <v>ARNETT MINIPL. 2,0, L-FORM 1,0MM, XL</v>
          </cell>
          <cell r="D6646" t="str">
            <v>ARNETT MINIPL. 2,0, L-SHAPE 1,0MM, XL</v>
          </cell>
        </row>
        <row r="6647">
          <cell r="B6647" t="str">
            <v>25-397-39-71</v>
          </cell>
          <cell r="C6647" t="str">
            <v>ARNETT MINIPL. 2,0, L-FORM 1,0MM, XL</v>
          </cell>
          <cell r="D6647" t="str">
            <v>ARNETT MINIPL. 2,0, L-SHAPE 1,0MM, XL</v>
          </cell>
        </row>
        <row r="6648">
          <cell r="B6648" t="str">
            <v>25-397-39-89</v>
          </cell>
          <cell r="C6648" t="str">
            <v>Template  für 25-397-39</v>
          </cell>
          <cell r="D6648" t="str">
            <v>Template  for 25-397-39</v>
          </cell>
        </row>
        <row r="6649">
          <cell r="B6649" t="str">
            <v>25-398-27-09</v>
          </cell>
          <cell r="C6649" t="str">
            <v>ARNETT MINIPL. 2,0, C-FORM 0,8MM, KLEIN</v>
          </cell>
          <cell r="D6649" t="str">
            <v>ARNETT MINIPL. 2,0, C-SHAPE 0,8MM, SMALL</v>
          </cell>
        </row>
        <row r="6650">
          <cell r="B6650" t="str">
            <v>25-398-27-71</v>
          </cell>
          <cell r="C6650" t="str">
            <v>ARNETT MINIPL. 2,0, C-FORM 0,8MM, KLEIN</v>
          </cell>
          <cell r="D6650" t="str">
            <v>ARNETT MINIPL. 2,0, C-SHAPE 0,8MM, SMALL</v>
          </cell>
        </row>
        <row r="6651">
          <cell r="B6651" t="str">
            <v>25-398-27-89</v>
          </cell>
          <cell r="C6651" t="str">
            <v>Template  für 25-398-27</v>
          </cell>
          <cell r="D6651" t="str">
            <v>Template  for 25-398-27</v>
          </cell>
        </row>
        <row r="6652">
          <cell r="B6652" t="str">
            <v>25-398-31-09</v>
          </cell>
          <cell r="C6652" t="str">
            <v>ARNETT MINIPL. 2,0, C-FORM 0,8MM, MITTEL</v>
          </cell>
          <cell r="D6652" t="str">
            <v>ARNETT MINIPL. 2,0, C-SHAPE 0,8MM MEDIUM</v>
          </cell>
        </row>
        <row r="6653">
          <cell r="B6653" t="str">
            <v>25-398-31-71</v>
          </cell>
          <cell r="C6653" t="str">
            <v>ARNETT MINIPL. 2,0, C-FORM 0,8MM, MITTEL</v>
          </cell>
          <cell r="D6653" t="str">
            <v>ARNETT MINIPL. 2,0, C-SHAPE 0,8MM MEDIUM</v>
          </cell>
        </row>
        <row r="6654">
          <cell r="B6654" t="str">
            <v>25-398-31-89</v>
          </cell>
          <cell r="C6654" t="str">
            <v>Template  für 25-398-31</v>
          </cell>
          <cell r="D6654" t="str">
            <v>Template  for 25-398-31</v>
          </cell>
        </row>
        <row r="6655">
          <cell r="B6655" t="str">
            <v>25-398-35-09</v>
          </cell>
          <cell r="C6655" t="str">
            <v>ARNETT MINIPL. 2,0, C-FORM 0,8MM, GROSS</v>
          </cell>
          <cell r="D6655" t="str">
            <v>ARNETT MINIPL. 2,0, C-SHAPE 0,8MM, LARGE</v>
          </cell>
        </row>
        <row r="6656">
          <cell r="B6656" t="str">
            <v>25-398-35-71</v>
          </cell>
          <cell r="C6656" t="str">
            <v>ARNETT MINIPL. 2,0, C-FORM 0,8MM, GROSS</v>
          </cell>
          <cell r="D6656" t="str">
            <v>ARNETT MINIPL. 2,0, C-SHAPE 0,8MM, LARGE</v>
          </cell>
        </row>
        <row r="6657">
          <cell r="B6657" t="str">
            <v>25-398-35-89</v>
          </cell>
          <cell r="C6657" t="str">
            <v>Template  für 25-398-35</v>
          </cell>
          <cell r="D6657" t="str">
            <v>Template  for 25-398-35</v>
          </cell>
        </row>
        <row r="6658">
          <cell r="B6658" t="str">
            <v>25-398-39-09</v>
          </cell>
          <cell r="C6658" t="str">
            <v>ARNETT MINIPL. 2,0, C-FORM 1,0MM, XL</v>
          </cell>
          <cell r="D6658" t="str">
            <v>ARNETT MINIPL. 2,0, C-SHAPE 1,0MM, XL</v>
          </cell>
        </row>
        <row r="6659">
          <cell r="B6659" t="str">
            <v>25-398-39-71</v>
          </cell>
          <cell r="C6659" t="str">
            <v>ARNETT MINIPL. 2,0, C-FORM 1,0MM, XL</v>
          </cell>
          <cell r="D6659" t="str">
            <v>ARNETT MINIPL. 2,0, C-SHAPE 1,0MM, XL</v>
          </cell>
        </row>
        <row r="6660">
          <cell r="B6660" t="str">
            <v>25-398-39-89</v>
          </cell>
          <cell r="C6660" t="str">
            <v>Template  für 25-398-39</v>
          </cell>
          <cell r="D6660" t="str">
            <v>Template  for 25-398-39</v>
          </cell>
        </row>
        <row r="6661">
          <cell r="B6661" t="str">
            <v>25-399-26-09</v>
          </cell>
          <cell r="C6661" t="str">
            <v>ARNETT MINIPL. 2,0, T-FORM 0,8MM, KLEIN</v>
          </cell>
          <cell r="D6661" t="str">
            <v>ARNETT MINIPL. 2,0, T-SHAPE 0,8MM, SMALL</v>
          </cell>
        </row>
        <row r="6662">
          <cell r="B6662" t="str">
            <v>25-399-26-71</v>
          </cell>
          <cell r="C6662" t="str">
            <v>ARNETT MINIPL. 2,0, T-FORM 0,8MM, KLEIN</v>
          </cell>
          <cell r="D6662" t="str">
            <v>ARNETT MINIPL. 2,0, T-SHAPE 0,8MM, SMALL</v>
          </cell>
        </row>
        <row r="6663">
          <cell r="B6663" t="str">
            <v>25-399-26-89</v>
          </cell>
          <cell r="C6663" t="str">
            <v>Template  für 25-399-26</v>
          </cell>
          <cell r="D6663" t="str">
            <v>Template  for 25-399-26</v>
          </cell>
        </row>
        <row r="6664">
          <cell r="B6664" t="str">
            <v>25-399-32-09</v>
          </cell>
          <cell r="C6664" t="str">
            <v>ARNETT MINIPL. 2,0, T-FORM 0,8MM, MITTEL</v>
          </cell>
          <cell r="D6664" t="str">
            <v>ARNETT MINIPL. 2,0, T-SHAPE 0,8MM MEDIUM</v>
          </cell>
        </row>
        <row r="6665">
          <cell r="B6665" t="str">
            <v>25-399-32-71</v>
          </cell>
          <cell r="C6665" t="str">
            <v>ARNETT MINIPL. 2,0, T-FORM 0,8MM, MITTEL</v>
          </cell>
          <cell r="D6665" t="str">
            <v>ARNETT MINIPL. 2,0, T-SHAPE 0,8MM MEDIUM</v>
          </cell>
        </row>
        <row r="6666">
          <cell r="B6666" t="str">
            <v>25-399-32-89</v>
          </cell>
          <cell r="C6666" t="str">
            <v>Template  für 25-399-32</v>
          </cell>
          <cell r="D6666" t="str">
            <v>Template  for 25-399-32</v>
          </cell>
        </row>
        <row r="6667">
          <cell r="B6667" t="str">
            <v>25-399-37-09</v>
          </cell>
          <cell r="C6667" t="str">
            <v>ARNETT MINIPL. 2,0, T-FORM 1,0MM, GROSS</v>
          </cell>
          <cell r="D6667" t="str">
            <v>ARNETT MINIPL. 2,0, T-SHAPE 1,0MM, LARGE</v>
          </cell>
        </row>
        <row r="6668">
          <cell r="B6668" t="str">
            <v>25-399-37-71</v>
          </cell>
          <cell r="C6668" t="str">
            <v>ARNETT MINIPL. 2,0, T-FORM 1,0MM, GROSS</v>
          </cell>
          <cell r="D6668" t="str">
            <v>ARNETT MINIPL. 2,0, T-SHAPE 1,0MM, LARGE</v>
          </cell>
        </row>
        <row r="6669">
          <cell r="B6669" t="str">
            <v>25-399-37-89</v>
          </cell>
          <cell r="C6669" t="str">
            <v>Template  für 25-399-37</v>
          </cell>
          <cell r="D6669" t="str">
            <v>Template  for 25-399-37</v>
          </cell>
        </row>
        <row r="6670">
          <cell r="B6670" t="str">
            <v>25-400-06-09</v>
          </cell>
          <cell r="C6670" t="str">
            <v>PAPE GERLACH  REKONPLATTE,2,0,10-LOCH,GER</v>
          </cell>
          <cell r="D6670" t="str">
            <v>PAPE GERLACH  RECONPLATE,2.0,10-HOLES,STR</v>
          </cell>
        </row>
        <row r="6671">
          <cell r="B6671" t="str">
            <v>25-400-06-71</v>
          </cell>
          <cell r="C6671" t="str">
            <v>PAPE GERLACH  REKONPLATTE,2,0,10-LOCH,GER</v>
          </cell>
          <cell r="D6671" t="str">
            <v>PAPE GERLACH  RECONPLATE,2.0,10-HOLES,STR</v>
          </cell>
        </row>
        <row r="6672">
          <cell r="B6672" t="str">
            <v>25-400-06-91</v>
          </cell>
          <cell r="C6672" t="str">
            <v>PAPE GERLACH  REKONPLATTE,2,0,10-LOCH,GER</v>
          </cell>
          <cell r="D6672" t="str">
            <v>PAPE GERLACH  RECONPLATE,2.0,10-HOLES,STR</v>
          </cell>
        </row>
        <row r="6673">
          <cell r="B6673" t="str">
            <v>25-400-09-09</v>
          </cell>
          <cell r="C6673" t="str">
            <v>PAPE GERLACH  REKONPLATTE,2,0,15-LOCH,GER</v>
          </cell>
          <cell r="D6673" t="str">
            <v>PAPE GERLACH  RECONPLATE,2.0,15-HOLES,STR</v>
          </cell>
        </row>
        <row r="6674">
          <cell r="B6674" t="str">
            <v>25-400-09-71</v>
          </cell>
          <cell r="C6674" t="str">
            <v>PAPE GERLACH  REKONPLATTE,2,0,15-LOCH,GER</v>
          </cell>
          <cell r="D6674" t="str">
            <v>PAPE GERLACH  RECONPLATE,2.0,15-HOLES,STR</v>
          </cell>
        </row>
        <row r="6675">
          <cell r="B6675" t="str">
            <v>25-400-09-91</v>
          </cell>
          <cell r="C6675" t="str">
            <v>PAPE GERLACH  REKONPLATTE,2,0,15-LOCH,GER</v>
          </cell>
          <cell r="D6675" t="str">
            <v>PAPE GERLACH  RECONPLATE,2.0,15-HOLES,STR</v>
          </cell>
        </row>
        <row r="6676">
          <cell r="B6676" t="str">
            <v>25-400-12-09</v>
          </cell>
          <cell r="C6676" t="str">
            <v>PAPE GERLACH  REKONPLATTE,2,0,20-LOCH,GER</v>
          </cell>
          <cell r="D6676" t="str">
            <v>PAPE GERLACH  RECONPLATE,2.0,20-HOLES,STR</v>
          </cell>
        </row>
        <row r="6677">
          <cell r="B6677" t="str">
            <v>25-400-12-71</v>
          </cell>
          <cell r="C6677" t="str">
            <v>PAPE GERLACH  REKONPLATTE,2,0,20-LOCH,GER</v>
          </cell>
          <cell r="D6677" t="str">
            <v>PAPE GERLACH  RECONPLATE,2.0,20-HOLES,STR</v>
          </cell>
        </row>
        <row r="6678">
          <cell r="B6678" t="str">
            <v>25-400-12-91</v>
          </cell>
          <cell r="C6678" t="str">
            <v>PAPE GERLACH  REKONPLATTE,2,0,20-LOCH,GER</v>
          </cell>
          <cell r="D6678" t="str">
            <v>PAPE GERLACH  RECONPLATE,2.0,20-HOLES,STR</v>
          </cell>
        </row>
        <row r="6679">
          <cell r="B6679" t="str">
            <v>25-400-15-09</v>
          </cell>
          <cell r="C6679" t="str">
            <v>PAPE GERLACH  REKONPLATTE,2,0,25-LOCH,GER</v>
          </cell>
          <cell r="D6679" t="str">
            <v>PAPE GERLACH  RECONPLATE,2.0,25-HOLES,STR</v>
          </cell>
        </row>
        <row r="6680">
          <cell r="B6680" t="str">
            <v>25-400-15-71</v>
          </cell>
          <cell r="C6680" t="str">
            <v>PAPE GERLACH  REKONPLATTE,2,0,25-LOCH,GER</v>
          </cell>
          <cell r="D6680" t="str">
            <v>PAPE GERLACH  RECONPLATE,2.0,25-HOLES,STR</v>
          </cell>
        </row>
        <row r="6681">
          <cell r="B6681" t="str">
            <v>25-400-15-91</v>
          </cell>
          <cell r="C6681" t="str">
            <v>PAPE GERLACH  REKONPLATTE,2,0,25-LOCH,GER</v>
          </cell>
          <cell r="D6681" t="str">
            <v>PAPE GERLACH  RECONPLATE,2.0,25-HOLES,STR</v>
          </cell>
        </row>
        <row r="6682">
          <cell r="B6682" t="str">
            <v>25-400-18-09</v>
          </cell>
          <cell r="C6682" t="str">
            <v>PAPE GERLACH  REKONPLATTE,2,0,30-LOCH,GER</v>
          </cell>
          <cell r="D6682" t="str">
            <v>PAPE GERLACH  RECONPLATE,2.0,30-HOLES,STR</v>
          </cell>
        </row>
        <row r="6683">
          <cell r="B6683" t="str">
            <v>25-400-18-71</v>
          </cell>
          <cell r="C6683" t="str">
            <v>PAPE GERLACH  REKONPLATTE,2,0,30-LOCH,GER</v>
          </cell>
          <cell r="D6683" t="str">
            <v>PAPE GERLACH  RECONPLATE,2.0,30-HOLES,STR</v>
          </cell>
        </row>
        <row r="6684">
          <cell r="B6684" t="str">
            <v>25-400-18-91</v>
          </cell>
          <cell r="C6684" t="str">
            <v>PAPE GERLACH  REKONPLATTE,2,0,30-LOCH,GER</v>
          </cell>
          <cell r="D6684" t="str">
            <v>PAPE GERLACH  RECONPLATE,2.0,30-HOLES,STR</v>
          </cell>
        </row>
        <row r="6685">
          <cell r="B6685" t="str">
            <v>25-400-21-09</v>
          </cell>
          <cell r="C6685" t="str">
            <v>PAPE GERLACH  REKONPLATTE,2,0,35-LOCH,GER</v>
          </cell>
          <cell r="D6685" t="str">
            <v>PAPE GERLACH  RECONPLATE,2.0,35-HOLES,STR</v>
          </cell>
        </row>
        <row r="6686">
          <cell r="B6686" t="str">
            <v>25-400-21-71</v>
          </cell>
          <cell r="C6686" t="str">
            <v>PAPE GERLACH  REKONPLATTE,2,0,35-LOCH,GER</v>
          </cell>
          <cell r="D6686" t="str">
            <v>PAPE GERLACH  RECONPLATE,2.0,35-HOLES,STR</v>
          </cell>
        </row>
        <row r="6687">
          <cell r="B6687" t="str">
            <v>25-400-21-91</v>
          </cell>
          <cell r="C6687" t="str">
            <v>PAPE GERLACH  REKONPLATTE,2,0,35-LOCH,GER</v>
          </cell>
          <cell r="D6687" t="str">
            <v>PAPE GERLACH  RECONPLATE,2.0,35-HOLES,STR</v>
          </cell>
        </row>
        <row r="6688">
          <cell r="B6688" t="str">
            <v>25-400-24-09</v>
          </cell>
          <cell r="C6688" t="str">
            <v>PAPE GERLACH  REKONPLATTE,2,0,40-LOCH,GER</v>
          </cell>
          <cell r="D6688" t="str">
            <v>PAPE GERLACH  RECONPLATE,2.0,40-HOLES,STR</v>
          </cell>
        </row>
        <row r="6689">
          <cell r="B6689" t="str">
            <v>25-400-24-91</v>
          </cell>
          <cell r="C6689" t="str">
            <v>PAPE GERLACH  REKONPLATTE,2,0,40-LOCH,GER</v>
          </cell>
          <cell r="D6689" t="str">
            <v>PAPE GERLACH  RECONPLATE,2.0,40-HOLES,STR</v>
          </cell>
        </row>
        <row r="6690">
          <cell r="B6690" t="str">
            <v>25-401-30-09</v>
          </cell>
          <cell r="C6690" t="str">
            <v>BSSO GLEITPLATTE KOELN, 30MM</v>
          </cell>
          <cell r="D6690" t="str">
            <v>BSSO SLIDING PLATE COLOGNE,  30MM</v>
          </cell>
        </row>
        <row r="6691">
          <cell r="B6691" t="str">
            <v>25-401-30-71</v>
          </cell>
          <cell r="C6691" t="str">
            <v>BSSO GLEITPLATTE KOELN, 30MM</v>
          </cell>
          <cell r="D6691" t="str">
            <v>BSSO SLIDING PLATE COLOGNE,  30MM</v>
          </cell>
        </row>
        <row r="6692">
          <cell r="B6692" t="str">
            <v>25-401-35-09</v>
          </cell>
          <cell r="C6692" t="str">
            <v>BSSO GLEITPLATTE KOELN, 35MM</v>
          </cell>
          <cell r="D6692" t="str">
            <v>BSSO SLIDING PLATE COLOGNE,  35MM</v>
          </cell>
        </row>
        <row r="6693">
          <cell r="B6693" t="str">
            <v>25-401-35-71</v>
          </cell>
          <cell r="C6693" t="str">
            <v>BSSO GLEITPLATTE KOELN, 35MM</v>
          </cell>
          <cell r="D6693" t="str">
            <v>BSSO SLIDING PLATE COLOGNE,  35MM</v>
          </cell>
        </row>
        <row r="6694">
          <cell r="B6694" t="str">
            <v>25-401-36-09</v>
          </cell>
          <cell r="C6694" t="str">
            <v>BSSO Gleitplatte,2.0,6-L,S,T=1.0</v>
          </cell>
          <cell r="D6694" t="str">
            <v>BSSO sliding plate,2.0,6-h,S,T=1.0</v>
          </cell>
        </row>
        <row r="6695">
          <cell r="B6695" t="str">
            <v>25-401-37-09</v>
          </cell>
          <cell r="C6695" t="str">
            <v>BSSO Gleitplatte,2.0,6-L,M,T=1.0</v>
          </cell>
          <cell r="D6695" t="str">
            <v>BSSO sliding plate,2.0,6-h,M,T=1.0</v>
          </cell>
        </row>
        <row r="6696">
          <cell r="B6696" t="str">
            <v>25-401-38-09</v>
          </cell>
          <cell r="C6696" t="str">
            <v>BSSO Gleitplatte,2.0,6-L,L,T=1.0</v>
          </cell>
          <cell r="D6696" t="str">
            <v>BSSO sliding plate,2.0,6-h,L,T=1.0</v>
          </cell>
        </row>
        <row r="6697">
          <cell r="B6697" t="str">
            <v>25-401-39-09</v>
          </cell>
          <cell r="C6697" t="str">
            <v>Gleiter für Gleitplatten,2.0/2.3,T=1.0</v>
          </cell>
          <cell r="D6697" t="str">
            <v>Slider for sliding plates,2.0/2.3,T=1.0</v>
          </cell>
        </row>
        <row r="6698">
          <cell r="B6698" t="str">
            <v>25-401-40-09</v>
          </cell>
          <cell r="C6698" t="str">
            <v>BSSO GLEITPLATTE KOELN, 40MM</v>
          </cell>
          <cell r="D6698" t="str">
            <v>BSSO SLIDING PLATE COLOGNE,  40MM</v>
          </cell>
        </row>
        <row r="6699">
          <cell r="B6699" t="str">
            <v>25-401-40-71</v>
          </cell>
          <cell r="C6699" t="str">
            <v>BSSO GLEITPLATTE KOELN, 40MM</v>
          </cell>
          <cell r="D6699" t="str">
            <v>BSSO SLIDING PLATE COLOGNE,  40MM</v>
          </cell>
        </row>
        <row r="6700">
          <cell r="B6700" t="str">
            <v>25-401-43-09</v>
          </cell>
          <cell r="C6700" t="str">
            <v>Ramus Gleitplatte,2.0,10-L,re,T=1.2,M</v>
          </cell>
          <cell r="D6700" t="str">
            <v>Ramus sliding plate,2.0,10-h,ri,T=1.2,M</v>
          </cell>
        </row>
        <row r="6701">
          <cell r="B6701" t="str">
            <v>25-401-44-09</v>
          </cell>
          <cell r="C6701" t="str">
            <v>Ramus Gleitplatte,2.0,10-L,li,T=1.2,M</v>
          </cell>
          <cell r="D6701" t="str">
            <v>Ramus sliding plate,2.0,10-h,le,T=1.2,M</v>
          </cell>
        </row>
        <row r="6702">
          <cell r="B6702" t="str">
            <v>25-402-99-07</v>
          </cell>
          <cell r="C6702" t="str">
            <v>STANDARDGRIFF ALLEIN F.MIKROSYSTEM 1,5MM</v>
          </cell>
          <cell r="D6702" t="str">
            <v>STANDARD  HANDLE ONLY F.MICROSYSTEM 1,5MM</v>
          </cell>
        </row>
        <row r="6703">
          <cell r="B6703" t="str">
            <v>25-406-99-07</v>
          </cell>
          <cell r="C6703" t="str">
            <v>STANDARDGRIFF ALLEIN F. MINISYSTEM 2,0MM</v>
          </cell>
          <cell r="D6703" t="str">
            <v>STANDARD  HANDLE ONLY F.MINI SYSTEM 2.0MM</v>
          </cell>
        </row>
        <row r="6704">
          <cell r="B6704" t="str">
            <v>25-407-03-04</v>
          </cell>
          <cell r="C6704" t="str">
            <v>SCHRAUBENDREHERHANDGRIFF,SILIKON,RUND L</v>
          </cell>
          <cell r="D6704" t="str">
            <v>SCREWDRIVER HANDLE,SILICONE,ROUND L</v>
          </cell>
        </row>
        <row r="6705">
          <cell r="B6705" t="str">
            <v>25-407-04-04</v>
          </cell>
          <cell r="C6705" t="str">
            <v>SCHRAUBENDREHERHANDGRIFF,SILIKON,FLACH L</v>
          </cell>
          <cell r="D6705" t="str">
            <v>SCREWDRIVER HANDLE,SILICONE,FLAT L</v>
          </cell>
        </row>
        <row r="6706">
          <cell r="B6706" t="str">
            <v>25-407-05-04</v>
          </cell>
          <cell r="C6706" t="str">
            <v>Schr.Dreherhandgriff,drehbar,flach,kurz</v>
          </cell>
          <cell r="D6706" t="str">
            <v>Screwdriver handle,rotating,flat,short</v>
          </cell>
        </row>
        <row r="6707">
          <cell r="B6707" t="str">
            <v>25-407-10-04</v>
          </cell>
          <cell r="C6707" t="str">
            <v>Schr.dreherhandgriff, Silikon rot, flach</v>
          </cell>
          <cell r="D6707" t="str">
            <v>Screwdriver handle, silicone red, flat,L</v>
          </cell>
        </row>
        <row r="6708">
          <cell r="B6708" t="str">
            <v>25-410-00-07</v>
          </cell>
          <cell r="C6708" t="str">
            <v>HANDGRIFF FUER RATSCHE  SCHRAUBENDREHER</v>
          </cell>
          <cell r="D6708" t="str">
            <v>HANDLE FOR RATCHED  SCREWDRIVER</v>
          </cell>
        </row>
        <row r="6709">
          <cell r="B6709" t="str">
            <v>25-411-00-07</v>
          </cell>
          <cell r="C6709" t="str">
            <v>RATSCHENHANDGRIFF, FLACH</v>
          </cell>
          <cell r="D6709" t="str">
            <v>RATCHET  HANDLE,  FLAT</v>
          </cell>
        </row>
        <row r="6710">
          <cell r="B6710" t="str">
            <v>25-412-12-07</v>
          </cell>
          <cell r="C6710" t="str">
            <v>MARTIN-MIKRO TC-MODELLIERZANGE</v>
          </cell>
          <cell r="D6710" t="str">
            <v>MARTIN-MICRO MODELLING PLIER</v>
          </cell>
        </row>
        <row r="6711">
          <cell r="B6711" t="str">
            <v>25-416-13-07</v>
          </cell>
          <cell r="C6711" t="str">
            <v>MARTIN-MIKRO BIEGEZANGE</v>
          </cell>
          <cell r="D6711" t="str">
            <v>MARTIN-MICRO BENDING  PLIERS</v>
          </cell>
        </row>
        <row r="6712">
          <cell r="B6712" t="str">
            <v>25-416-14-07</v>
          </cell>
          <cell r="C6712" t="str">
            <v>L1 Midface 3-Pkt-Biegezange, 1.5 Micro</v>
          </cell>
          <cell r="D6712" t="str">
            <v>L1 Midface 3-prong-bender, 1.5 Micro</v>
          </cell>
        </row>
        <row r="6713">
          <cell r="B6713" t="str">
            <v>25-416-15-07</v>
          </cell>
          <cell r="C6713" t="str">
            <v>CHAMPY  BIEGEZANGE</v>
          </cell>
          <cell r="D6713" t="str">
            <v>CHAMPY  BENDING  PLIERS</v>
          </cell>
        </row>
        <row r="6714">
          <cell r="B6714" t="str">
            <v>25-417-15-07</v>
          </cell>
          <cell r="C6714" t="str">
            <v>BIEGEZANGE F. MITTELGESICHTS-SYSTEM 1,5</v>
          </cell>
          <cell r="D6714" t="str">
            <v>BENDING  PLIERS FOR MIDFACE  SYSTEM 1.5</v>
          </cell>
        </row>
        <row r="6715">
          <cell r="B6715" t="str">
            <v>25-417-16-07</v>
          </cell>
          <cell r="C6715" t="str">
            <v>L1 Midface 3-Pkt-Biegezange, 1.5 Midface</v>
          </cell>
          <cell r="D6715" t="str">
            <v>L1 Midface 3-prong-bender, 1.5 Midface</v>
          </cell>
        </row>
        <row r="6716">
          <cell r="B6716" t="str">
            <v>25-420-15-07</v>
          </cell>
          <cell r="C6716" t="str">
            <v>GEWEBESCHUTZHÜLSE F. MITTELGES.-SYSTEM</v>
          </cell>
          <cell r="D6716" t="str">
            <v>PROTECTION SLEEVE F. MIDFACE  SYSTEM</v>
          </cell>
        </row>
        <row r="6717">
          <cell r="B6717" t="str">
            <v>25-420-16-07</v>
          </cell>
          <cell r="C6717" t="str">
            <v>MARTIN TC-SEITENSCHNEIDER</v>
          </cell>
          <cell r="D6717" t="str">
            <v>MARTIN TC-PLATE  SHEARS</v>
          </cell>
        </row>
        <row r="6718">
          <cell r="B6718" t="str">
            <v>25-420-18-07</v>
          </cell>
          <cell r="C6718" t="str">
            <v>CHAMPY  TC-SEITENSCHNEIDER</v>
          </cell>
          <cell r="D6718" t="str">
            <v>CHAMPY  TC-PLATE  SHEARS</v>
          </cell>
        </row>
        <row r="6719">
          <cell r="B6719" t="str">
            <v>25-422-10-07</v>
          </cell>
          <cell r="C6719" t="str">
            <v>CENTRE DRIVE BONE GRAFT SCHRAUBEND.1,0MM</v>
          </cell>
          <cell r="D6719" t="str">
            <v>CENTRE DRIVE BONE GRAFT SCREWDRIVER1.0MM</v>
          </cell>
        </row>
        <row r="6720">
          <cell r="B6720" t="str">
            <v>25-422-15-07</v>
          </cell>
          <cell r="C6720" t="str">
            <v>CENTRE DRIVE BONE GRAFT SCHRAUBEND.1,5MM</v>
          </cell>
          <cell r="D6720" t="str">
            <v>CENTRE DRIVE BONE GRAFT SCREWDRIVER1.5MM</v>
          </cell>
        </row>
        <row r="6721">
          <cell r="B6721" t="str">
            <v>25-422-20-07</v>
          </cell>
          <cell r="C6721" t="str">
            <v>CENTRE DRIVE BONE GRAFT SCHRAUBEND.2,0MM</v>
          </cell>
          <cell r="D6721" t="str">
            <v>CENTRE DRIVE BONE GRAFT SCREWDRIVER2.0MM</v>
          </cell>
        </row>
        <row r="6722">
          <cell r="B6722" t="str">
            <v>25-424-15-07</v>
          </cell>
          <cell r="C6722" t="str">
            <v>MAXDRIVE  BONE GRAFT SCHRAUBENDR.1,5MM</v>
          </cell>
          <cell r="D6722" t="str">
            <v>MAXDRIVE  BONE GRAFT SCREWDRIVER 1.5MM</v>
          </cell>
        </row>
        <row r="6723">
          <cell r="B6723" t="str">
            <v>25-424-20-07</v>
          </cell>
          <cell r="C6723" t="str">
            <v>MAXDRIVE  BONE GRAFT SCHRAUBENDR.2,0MM</v>
          </cell>
          <cell r="D6723" t="str">
            <v>MAXDRIVE  BONE GRAFT SCREWDRIVER 2,0MM</v>
          </cell>
        </row>
        <row r="6724">
          <cell r="B6724" t="str">
            <v>25-428-98-07</v>
          </cell>
          <cell r="C6724" t="str">
            <v>SCHRAUBENDREHERKLINGE CENTRE DRIVE 1,0MM</v>
          </cell>
          <cell r="D6724" t="str">
            <v>SCREWDRIVER BLADE CENTRE DRIVE 1.0 MM</v>
          </cell>
        </row>
        <row r="6725">
          <cell r="B6725" t="str">
            <v>25-430-98-07</v>
          </cell>
          <cell r="C6725" t="str">
            <v>SCHRAUBENDREHERKLINGE CENTRE DRIVE 1,5MM</v>
          </cell>
          <cell r="D6725" t="str">
            <v>SCREWDRIVER BLADE CENTRE DRIVE 1.5 MM</v>
          </cell>
        </row>
        <row r="6726">
          <cell r="B6726" t="str">
            <v>25-431-98-07</v>
          </cell>
          <cell r="C6726" t="str">
            <v>SCHRAUBENDREHERKLINGE CENTRE DRIVE 1,5MM</v>
          </cell>
          <cell r="D6726" t="str">
            <v>SCREWDRIVER BLADE CENTRE DRIVE 1.5 MM</v>
          </cell>
        </row>
        <row r="6727">
          <cell r="B6727" t="str">
            <v>25-432-16-07</v>
          </cell>
          <cell r="C6727" t="str">
            <v>CENTRE-DRIVE SCHRDREHER1,5MM</v>
          </cell>
          <cell r="D6727" t="str">
            <v>CENTRE-DRIVE SCREWDR.   1.5MM</v>
          </cell>
        </row>
        <row r="6728">
          <cell r="B6728" t="str">
            <v>25-433-97-07</v>
          </cell>
          <cell r="C6728" t="str">
            <v>SCHRAUBENDREHERKLINGE MAXDR. 1,5MM NEURO</v>
          </cell>
          <cell r="D6728" t="str">
            <v>SCREWDRIVER BLADE MAXDR. 1.5 MM NEURO</v>
          </cell>
        </row>
        <row r="6729">
          <cell r="B6729" t="str">
            <v>25-433-98-07</v>
          </cell>
          <cell r="C6729" t="str">
            <v>Klinge, maxDrive  1,5mm, 120mm</v>
          </cell>
          <cell r="D6729" t="str">
            <v>MaxDrive  SD blade 1.5mm, 120mm length</v>
          </cell>
        </row>
        <row r="6730">
          <cell r="B6730" t="str">
            <v>25-434-98-07</v>
          </cell>
          <cell r="C6730" t="str">
            <v>SCHRAUBENDREHERKLINGE CENTRE DR. 2,0/2,3</v>
          </cell>
          <cell r="D6730" t="str">
            <v>SCREWDRIVER BLADE CENTRE DR. 2.0/2.3 MM</v>
          </cell>
        </row>
        <row r="6731">
          <cell r="B6731" t="str">
            <v>25-435-10-07</v>
          </cell>
          <cell r="C6731" t="str">
            <v>LINDORF  PLATTEN-HALTEINSTRUMENT 1.0MM SY</v>
          </cell>
          <cell r="D6731" t="str">
            <v>LINDORF  PLATE HOLDING  INSTR.1.0MM SYSTEM</v>
          </cell>
        </row>
        <row r="6732">
          <cell r="B6732" t="str">
            <v>25-435-15-07</v>
          </cell>
          <cell r="C6732" t="str">
            <v>Lindorf Plattenhalter 1.5 Micro</v>
          </cell>
          <cell r="D6732" t="str">
            <v>LINDORF  PLATE HOLDING  INSTRUMENT 1.5MM</v>
          </cell>
        </row>
        <row r="6733">
          <cell r="B6733" t="str">
            <v>25-435-20-07</v>
          </cell>
          <cell r="C6733" t="str">
            <v>LINDORF  PLATTEN-HALTEINSTR.2.0MM MARTIN</v>
          </cell>
          <cell r="D6733" t="str">
            <v>LINDORF  PLATE HOLDING  INSTR.2.0MM MARTIN</v>
          </cell>
        </row>
        <row r="6734">
          <cell r="B6734" t="str">
            <v>25-435-25-07</v>
          </cell>
          <cell r="C6734" t="str">
            <v>LINDORF  PLATTEN-HALTEINSTR.2.0MM CHAMPY</v>
          </cell>
          <cell r="D6734" t="str">
            <v>LINDORF  PLATE HOLDING  INSTR.2.0MM CHAMPY</v>
          </cell>
        </row>
        <row r="6735">
          <cell r="B6735" t="str">
            <v>25-435-30-07</v>
          </cell>
          <cell r="C6735" t="str">
            <v>LINDORF  PLATTENHALTEINSTRUM., F. MIDIPL.</v>
          </cell>
          <cell r="D6735" t="str">
            <v>LINDORF  PLATE HOLDING  INSTR.F.MIDI PLATE</v>
          </cell>
        </row>
        <row r="6736">
          <cell r="B6736" t="str">
            <v>25-435-35-07</v>
          </cell>
          <cell r="C6736" t="str">
            <v>LINDORF  PLATTEN-HALTEINSTRUMENT 2.3MM</v>
          </cell>
          <cell r="D6736" t="str">
            <v>LINDORF  PLATE HOLDING  INSTRUMENT 2,3 MM</v>
          </cell>
        </row>
        <row r="6737">
          <cell r="B6737" t="str">
            <v>25-435-55-07</v>
          </cell>
          <cell r="C6737" t="str">
            <v>Lindorf Plattenhalteinstr. 1.5 Midface</v>
          </cell>
          <cell r="D6737" t="str">
            <v>Lindorf plate holding instrument  1.5 Mid</v>
          </cell>
        </row>
        <row r="6738">
          <cell r="B6738" t="str">
            <v>25-436-97-07</v>
          </cell>
          <cell r="C6738" t="str">
            <v>MAXDRIVE  FUNKTIONST. 1.5 NEURO, L 58MM</v>
          </cell>
          <cell r="D6738" t="str">
            <v>MAXDRIVE  SCREWDR.BLADE 1.5 NEURO, L58MM</v>
          </cell>
        </row>
        <row r="6739">
          <cell r="B6739" t="str">
            <v>25-438-35-07</v>
          </cell>
          <cell r="C6739" t="str">
            <v>BYRD SCHRAUBE  3,5 MM F. SCHRAUBENDREHER</v>
          </cell>
          <cell r="D6739" t="str">
            <v>BYRD SCREW 3.5 MM F. SCREWDRIVER HANDLE</v>
          </cell>
        </row>
        <row r="6740">
          <cell r="B6740" t="str">
            <v>25-438-97-07</v>
          </cell>
          <cell r="C6740" t="str">
            <v>SCHRAUBENDREHERKLINGE MAXDRIVE  1,5MM</v>
          </cell>
          <cell r="D6740" t="str">
            <v>SCREWDRIVER BLADE MAXDRIVE  1.5 MM</v>
          </cell>
        </row>
        <row r="6741">
          <cell r="B6741" t="str">
            <v>25-438-98-07</v>
          </cell>
          <cell r="C6741" t="str">
            <v>Abdrückhülse für 25-438-97-07</v>
          </cell>
          <cell r="D6741" t="str">
            <v>Pressure sleeve for 25-438-97-07</v>
          </cell>
        </row>
        <row r="6742">
          <cell r="B6742" t="str">
            <v>25-439-19-07</v>
          </cell>
          <cell r="C6742" t="str">
            <v>IN-SITU HAMMER/BIEGEINSTR. N. ARNETT</v>
          </cell>
          <cell r="D6742" t="str">
            <v>BSSO IN-PLACE  HAMMER/BENDER ACC. ARNETT</v>
          </cell>
        </row>
        <row r="6743">
          <cell r="B6743" t="str">
            <v>25-439-91-07</v>
          </cell>
          <cell r="C6743" t="str">
            <v>Schraubendreherklinge oneDrive  1,5 mm, L</v>
          </cell>
          <cell r="D6743" t="str">
            <v>Screwdriver blade oneDrive  1.5 mm, L</v>
          </cell>
        </row>
        <row r="6744">
          <cell r="B6744" t="str">
            <v>25-439-92-07</v>
          </cell>
          <cell r="C6744" t="str">
            <v>Schraubendreherklinge oneDrive  1,5 80 mm</v>
          </cell>
          <cell r="D6744" t="str">
            <v>Screwdriver blade oneDrive  1.5 80 mm</v>
          </cell>
        </row>
        <row r="6745">
          <cell r="B6745" t="str">
            <v>25-441-16-07</v>
          </cell>
          <cell r="C6745" t="str">
            <v>MIKRO PLATTEN  FASSPINZETTE</v>
          </cell>
          <cell r="D6745" t="str">
            <v>MINI-PLATE HOLDING  FORCEPS</v>
          </cell>
        </row>
        <row r="6746">
          <cell r="B6746" t="str">
            <v>25-441-18-07</v>
          </cell>
          <cell r="C6746" t="str">
            <v>MINI-PLATTEN FASSPINZETTE</v>
          </cell>
          <cell r="D6746" t="str">
            <v>MINI-PLATE HOLDING  FORCEPS</v>
          </cell>
        </row>
        <row r="6747">
          <cell r="B6747" t="str">
            <v>25-447-03-07</v>
          </cell>
          <cell r="C6747" t="str">
            <v>Vorbohrer  1,0 x 50 x 3 mm, Dental</v>
          </cell>
          <cell r="D6747" t="str">
            <v>Twist Drill 1,0 x 50 x 3 mm, dental</v>
          </cell>
        </row>
        <row r="6748">
          <cell r="B6748" t="str">
            <v>25-447-05-07</v>
          </cell>
          <cell r="C6748" t="str">
            <v>Vorbohrer  1,0 x 50 x 5 mm, Dental</v>
          </cell>
          <cell r="D6748" t="str">
            <v>Twist Drill 1,0 x 50 x 5 mm, dental</v>
          </cell>
        </row>
        <row r="6749">
          <cell r="B6749" t="str">
            <v>25-447-13-07</v>
          </cell>
          <cell r="C6749" t="str">
            <v>Vorbohrer  1,0 x 50 x 13 mm, Dental</v>
          </cell>
          <cell r="D6749" t="str">
            <v>Twist Drill 1,0 x 50 x 13 mm, dental</v>
          </cell>
        </row>
        <row r="6750">
          <cell r="B6750" t="str">
            <v>25-448-12-91</v>
          </cell>
          <cell r="C6750" t="str">
            <v>Vorbohrer  1,3x61mm, 12mm Stop, O-Schaft</v>
          </cell>
          <cell r="D6750" t="str">
            <v>Twist Drill 1.3x61mm, 12mm stop, O-Shaft</v>
          </cell>
        </row>
        <row r="6751">
          <cell r="B6751" t="str">
            <v>25-449-05-07</v>
          </cell>
          <cell r="C6751" t="str">
            <v>VORBOHRER 1,5 X 50 X 5MM, JKUPPLUNG</v>
          </cell>
          <cell r="D6751" t="str">
            <v>TWIST DRILL 1.5X50X5MM, J-NOTCH</v>
          </cell>
        </row>
        <row r="6752">
          <cell r="B6752" t="str">
            <v>25-449-05-71</v>
          </cell>
          <cell r="C6752" t="str">
            <v>VORBOHRER 1,5 X 50 X 5 MM,JKUPPL,STERIL</v>
          </cell>
          <cell r="D6752" t="str">
            <v>TWIST DRILL 1.5X50X5  MM,J-NOTCH,STERILE</v>
          </cell>
        </row>
        <row r="6753">
          <cell r="B6753" t="str">
            <v>25-449-05-91</v>
          </cell>
          <cell r="C6753" t="str">
            <v>VORBOHRER 1,5 X 50 X 5MM, JKUPPLUNG</v>
          </cell>
          <cell r="D6753" t="str">
            <v>TWIST DRILL 1.5X50X5MM, J-NOTCH</v>
          </cell>
        </row>
        <row r="6754">
          <cell r="B6754" t="str">
            <v>25-449-07-07</v>
          </cell>
          <cell r="C6754" t="str">
            <v>VORBOHRER 1,5 X 50 X 7MM, JKUPPLUNG</v>
          </cell>
          <cell r="D6754" t="str">
            <v>TWIST DRILL 1.5X50X7MM, J-NOTCH</v>
          </cell>
        </row>
        <row r="6755">
          <cell r="B6755" t="str">
            <v>25-449-07-71</v>
          </cell>
          <cell r="C6755" t="str">
            <v>VORBOHRER 1,5 X 50 X 7 MM,JKUPPL,STERIL</v>
          </cell>
          <cell r="D6755" t="str">
            <v>TWIST DRILL 1.5X50X7  MM,J-NOTCH,STERILE</v>
          </cell>
        </row>
        <row r="6756">
          <cell r="B6756" t="str">
            <v>25-449-07-91</v>
          </cell>
          <cell r="C6756" t="str">
            <v>VORBOHRER 1,5 X 50 X 7MM, JKUPPLUNG</v>
          </cell>
          <cell r="D6756" t="str">
            <v>TWIST DRILL 1.5 X 50 X 7MM, J-NOTCH</v>
          </cell>
        </row>
        <row r="6757">
          <cell r="B6757" t="str">
            <v>25-449-09-07</v>
          </cell>
          <cell r="C6757" t="str">
            <v>VORBOHRER 1,5 X 50 X 9MM, JKUPPLUNG</v>
          </cell>
          <cell r="D6757" t="str">
            <v>TWIST DRILL 1.5 X 50 X 9MM, J-NOTCH</v>
          </cell>
        </row>
        <row r="6758">
          <cell r="B6758" t="str">
            <v>25-449-09-71</v>
          </cell>
          <cell r="C6758" t="str">
            <v>VORBOHRER 1,5X50X9MM,JKUPPL,STERIL</v>
          </cell>
          <cell r="D6758" t="str">
            <v>TWIST DRILL 1.5X50X9MM,J-NOTCH,STERILE</v>
          </cell>
        </row>
        <row r="6759">
          <cell r="B6759" t="str">
            <v>25-449-09-91</v>
          </cell>
          <cell r="C6759" t="str">
            <v>VORBOHRER 1,5 X 50 X 9MM, JKUPPLUNG</v>
          </cell>
          <cell r="D6759" t="str">
            <v>TWIST DRILL 1.5 X 50 X 9MM, J-NOTCH</v>
          </cell>
        </row>
        <row r="6760">
          <cell r="B6760" t="str">
            <v>25-449-11-07</v>
          </cell>
          <cell r="C6760" t="str">
            <v>VORBOHRER 1,5 X 50 X 11MM, JKUPPLUNG</v>
          </cell>
          <cell r="D6760" t="str">
            <v>TWIST DRILL 1.5 X 50 X 11MM, J-NOTCH</v>
          </cell>
        </row>
        <row r="6761">
          <cell r="B6761" t="str">
            <v>25-449-11-91</v>
          </cell>
          <cell r="C6761" t="str">
            <v>VORBOHRER 1,5 X 50 X 11MM, JKUPPLUNG</v>
          </cell>
          <cell r="D6761" t="str">
            <v>TWIST DRILL 1.5 X 50 X 11MM, J-NOTCH</v>
          </cell>
        </row>
        <row r="6762">
          <cell r="B6762" t="str">
            <v>25-449-16-07</v>
          </cell>
          <cell r="C6762" t="str">
            <v>VORBOHRER 1.5 X 50 X 21MM, JKUPPLUNG</v>
          </cell>
          <cell r="D6762" t="str">
            <v>TWIST DRILL 1.5 X 50 X 21MM, J-NOTCH</v>
          </cell>
        </row>
        <row r="6763">
          <cell r="B6763" t="str">
            <v>25-449-16-71</v>
          </cell>
          <cell r="C6763" t="str">
            <v>VORBOHRER 1.5 X 50 X21 MM,JKUPPL,STERIL</v>
          </cell>
          <cell r="D6763" t="str">
            <v>TWIST DRILL 1.5X50X21  MM,J-NOTCH,STERILE</v>
          </cell>
        </row>
        <row r="6764">
          <cell r="B6764" t="str">
            <v>25-449-16-91</v>
          </cell>
          <cell r="C6764" t="str">
            <v>VORBOHRER 1.5 X 50 X 21MM, JKUPPLUNG</v>
          </cell>
          <cell r="D6764" t="str">
            <v>TWIST DRILL 1.5 X 50 X 21MM, J-NOTCH</v>
          </cell>
        </row>
        <row r="6765">
          <cell r="B6765" t="str">
            <v>25-451-12-91</v>
          </cell>
          <cell r="C6765" t="str">
            <v>Vorbohrer  1,1x61mm, 12mm Stop, O-Schaft</v>
          </cell>
          <cell r="D6765" t="str">
            <v>Twist Drill 1.1x61mm, 12mm stop, O-Shaft</v>
          </cell>
        </row>
        <row r="6766">
          <cell r="B6766" t="str">
            <v>25-452-00-07</v>
          </cell>
          <cell r="C6766" t="str">
            <v>VORBOHRER 1,1 X 50MM, JKUPPLUNG</v>
          </cell>
          <cell r="D6766" t="str">
            <v>TWIST DRILL 1.1 X 50MM, J-NOTCH</v>
          </cell>
        </row>
        <row r="6767">
          <cell r="B6767" t="str">
            <v>25-452-00-71</v>
          </cell>
          <cell r="C6767" t="str">
            <v>VORBOHRER 1,1 X 50MM, JKUPPL, STERIL</v>
          </cell>
          <cell r="D6767" t="str">
            <v>TWIST DRILL 1.1 X 50MM, J-NOTCH,  STERILE</v>
          </cell>
        </row>
        <row r="6768">
          <cell r="B6768" t="str">
            <v>25-452-00-91</v>
          </cell>
          <cell r="C6768" t="str">
            <v>VORBOHRER 1,1 X 50MM, JKUPPLUNG</v>
          </cell>
          <cell r="D6768" t="str">
            <v>TWIST DRILL 1.1 X 50MM, J-NOTCH</v>
          </cell>
        </row>
        <row r="6769">
          <cell r="B6769" t="str">
            <v>25-452-03-07</v>
          </cell>
          <cell r="C6769" t="str">
            <v>VORBOHRER 1,1 X 50 X 3,5MM, JKUPPLUNG</v>
          </cell>
          <cell r="D6769" t="str">
            <v>TWIST DRILL 1.1 X 50 X 3.5MM, J-NOTCH</v>
          </cell>
        </row>
        <row r="6770">
          <cell r="B6770" t="str">
            <v>25-452-03-91</v>
          </cell>
          <cell r="C6770" t="str">
            <v>VORBOHRER 1,1 X 50 X 3,5MM, JKUPPLUNG</v>
          </cell>
          <cell r="D6770" t="str">
            <v>TWIST DRILL 1.1 X 50 X 3.5MM, J-NOTCH</v>
          </cell>
        </row>
        <row r="6771">
          <cell r="B6771" t="str">
            <v>25-452-05-07</v>
          </cell>
          <cell r="C6771" t="str">
            <v>VORBOHRER 1,1 X 50 X 5MM, JKUPPLUNG</v>
          </cell>
          <cell r="D6771" t="str">
            <v>TWIST DRILL 1.1 X 50 X 5MM, J-NOTCH</v>
          </cell>
        </row>
        <row r="6772">
          <cell r="B6772" t="str">
            <v>25-452-05-71</v>
          </cell>
          <cell r="C6772" t="str">
            <v>VORBOHRER 1,1X50X5MM,JKUPPL,STERIL</v>
          </cell>
          <cell r="D6772" t="str">
            <v>TWIST DRILL 1.1X50X5MM,J-NOTCH,STERIL</v>
          </cell>
        </row>
        <row r="6773">
          <cell r="B6773" t="str">
            <v>25-452-05-91</v>
          </cell>
          <cell r="C6773" t="str">
            <v>VORBOHRER 1,1 X 50 X 5MM, JKUPPLUNG</v>
          </cell>
          <cell r="D6773" t="str">
            <v>TWIST DRILL 1.1 X 50 X 5MM, J-NOTCH</v>
          </cell>
        </row>
        <row r="6774">
          <cell r="B6774" t="str">
            <v>25-452-07-07</v>
          </cell>
          <cell r="C6774" t="str">
            <v>VORBOHRER 1,1 X 50 X 7MM, JKUPPLUNG</v>
          </cell>
          <cell r="D6774" t="str">
            <v>TWIST DRILL 1.1 X 50 X 7MM, J-NOTCH</v>
          </cell>
        </row>
        <row r="6775">
          <cell r="B6775" t="str">
            <v>25-452-07-71</v>
          </cell>
          <cell r="C6775" t="str">
            <v>VORBOHRER 1,1X50X7MM,JKUPPL, STERIL</v>
          </cell>
          <cell r="D6775" t="str">
            <v>TWIST DRILL 1.1X50X7MM,J-NOTCH, STERILE</v>
          </cell>
        </row>
        <row r="6776">
          <cell r="B6776" t="str">
            <v>25-452-07-91</v>
          </cell>
          <cell r="C6776" t="str">
            <v>VORBOHRER 1,1 X 50 X 7MM, JKUPPLUNG</v>
          </cell>
          <cell r="D6776" t="str">
            <v>TWIST DRILL 1.1 X 50 X 7MM, J-NOTCH</v>
          </cell>
        </row>
        <row r="6777">
          <cell r="B6777" t="str">
            <v>25-452-09-07</v>
          </cell>
          <cell r="C6777" t="str">
            <v>VORBOHRER 1,1 X 50 X 9MM, JKUPPLUNG</v>
          </cell>
          <cell r="D6777" t="str">
            <v>TWIST DRILL 1.1 X 50 X 9MM, J-NOTCH</v>
          </cell>
        </row>
        <row r="6778">
          <cell r="B6778" t="str">
            <v>25-452-09-71</v>
          </cell>
          <cell r="C6778" t="str">
            <v>VORBOHRER 1,1X50X9MM,JKUPPL, STERIL</v>
          </cell>
          <cell r="D6778" t="str">
            <v>TWIST DRILL 1.1X50X9MM,J-NOTCH, STERILE</v>
          </cell>
        </row>
        <row r="6779">
          <cell r="B6779" t="str">
            <v>25-452-09-91</v>
          </cell>
          <cell r="C6779" t="str">
            <v>VORBOHRER 1,1 X 50 X 9MM, JKUPPLUNG</v>
          </cell>
          <cell r="D6779" t="str">
            <v>TWIST DRILL 1.1 X 50 X 9MM, J-NOTCH</v>
          </cell>
        </row>
        <row r="6780">
          <cell r="B6780" t="str">
            <v>25-452-15-07</v>
          </cell>
          <cell r="C6780" t="str">
            <v>VORBOHRER 1,1 X 50 X 15MM, JKUPPLUNG</v>
          </cell>
          <cell r="D6780" t="str">
            <v>TWIST DRILL 1.1 X 50 X 15MM, J-NOTCH</v>
          </cell>
        </row>
        <row r="6781">
          <cell r="B6781" t="str">
            <v>25-452-15-71</v>
          </cell>
          <cell r="C6781" t="str">
            <v>VORBOHRER 1,1X50X15MM,J-KUPPL. STERIL</v>
          </cell>
          <cell r="D6781" t="str">
            <v>TWIST DRILL 1.1X50X15MM, CONN-J, STERILE</v>
          </cell>
        </row>
        <row r="6782">
          <cell r="B6782" t="str">
            <v>25-452-15-91</v>
          </cell>
          <cell r="C6782" t="str">
            <v>VORBOHRER 1,1 X 50 X 15MM, JKUPPLUNG</v>
          </cell>
          <cell r="D6782" t="str">
            <v>TWIST DRILL 1.1 X 50 X 15MM, J-NOTCH</v>
          </cell>
        </row>
        <row r="6783">
          <cell r="B6783" t="str">
            <v>25-452-57-07</v>
          </cell>
          <cell r="C6783" t="str">
            <v>VORBOHRER 1,1 X 105 X 7MM, JKUPPLUNG</v>
          </cell>
          <cell r="D6783" t="str">
            <v>TWIST DRILL 1.1 X 105 X 7MM, J-NOTCH</v>
          </cell>
        </row>
        <row r="6784">
          <cell r="B6784" t="str">
            <v>25-452-57-71</v>
          </cell>
          <cell r="C6784" t="str">
            <v>VORBOHRER 1,1 X 105 X 7MM, JKUPPLUNG STE</v>
          </cell>
          <cell r="D6784" t="str">
            <v>TWIST DRILL 1.1 X 105 X 7MM, J-NOTCH</v>
          </cell>
        </row>
        <row r="6785">
          <cell r="B6785" t="str">
            <v>25-452-61-07</v>
          </cell>
          <cell r="C6785" t="str">
            <v>VORBOHRER 1,1 X 105 X 21MM, JKUPPLUNG</v>
          </cell>
          <cell r="D6785" t="str">
            <v>TWIST DRILL 1.1 X 105 X 21MM, J-NOTCH</v>
          </cell>
        </row>
        <row r="6786">
          <cell r="B6786" t="str">
            <v>25-452-61-71</v>
          </cell>
          <cell r="C6786" t="str">
            <v>VORBOHRER 1,1 X 105 X 21MM, JKUPPLUNG ST</v>
          </cell>
          <cell r="D6786" t="str">
            <v>TWIST DRILL 1.1 X 105 X 21MM, J-NOTCH</v>
          </cell>
        </row>
        <row r="6787">
          <cell r="B6787" t="str">
            <v>25-454-00-71</v>
          </cell>
          <cell r="C6787" t="str">
            <v>Vorbohrer  0,7 x 50mm, J-Kupplung, steril</v>
          </cell>
          <cell r="D6787" t="str">
            <v>Twist drill 0.7 x 50mm, J-Notch, sterile</v>
          </cell>
        </row>
        <row r="6788">
          <cell r="B6788" t="str">
            <v>25-454-00-91</v>
          </cell>
          <cell r="C6788" t="str">
            <v>Vorbohrer  0,7 x 50 mm, J-Kupplung</v>
          </cell>
          <cell r="D6788" t="str">
            <v>Twist drill 0.7 x 50mm, J-Notch</v>
          </cell>
        </row>
        <row r="6789">
          <cell r="B6789" t="str">
            <v>25-454-03-07</v>
          </cell>
          <cell r="C6789" t="str">
            <v>VORBOHRER 0,7 X 50 X 3MM, JKUPPLUNG</v>
          </cell>
          <cell r="D6789" t="str">
            <v>TWIST DRILL 0.7 X 50 X 3MM, J-NOTCH</v>
          </cell>
        </row>
        <row r="6790">
          <cell r="B6790" t="str">
            <v>25-454-03-71</v>
          </cell>
          <cell r="C6790" t="str">
            <v>VORBOHRER 0,7X50X3  MM, J-KUPPL.,  STERIL</v>
          </cell>
          <cell r="D6790" t="str">
            <v>TWIST DRILL 0.7X50X3MM, J-NOTCH,  STERILE</v>
          </cell>
        </row>
        <row r="6791">
          <cell r="B6791" t="str">
            <v>25-454-03-91</v>
          </cell>
          <cell r="C6791" t="str">
            <v>VORBOHRER 0,7 X 50 X 3MM, JKUPPLUNG</v>
          </cell>
          <cell r="D6791" t="str">
            <v>TWIST DRILL 0.7 X 50 X 3MM, J-NOTCH</v>
          </cell>
        </row>
        <row r="6792">
          <cell r="B6792" t="str">
            <v>25-454-05-07</v>
          </cell>
          <cell r="C6792" t="str">
            <v>VORBOHRER 0,7 X 50 X 5MM, JKUPPLUNG</v>
          </cell>
          <cell r="D6792" t="str">
            <v>TWIST DRILL 0.7 X 50 X 5MM, J-NOTCH</v>
          </cell>
        </row>
        <row r="6793">
          <cell r="B6793" t="str">
            <v>25-454-05-71</v>
          </cell>
          <cell r="C6793" t="str">
            <v>VORBOHRER 0,7X50X5  MM, J-KUPPL.,  STERIL</v>
          </cell>
          <cell r="D6793" t="str">
            <v>TWIST DRILL 0.7X50X5MM, J-NOTCH,  STERILE</v>
          </cell>
        </row>
        <row r="6794">
          <cell r="B6794" t="str">
            <v>25-454-05-91</v>
          </cell>
          <cell r="C6794" t="str">
            <v>VORBOHRER 0,7 X 50 X 5MM, JKUPPLUNG</v>
          </cell>
          <cell r="D6794" t="str">
            <v>TWIST DRILL 0.7 X 50 X 5MM, J-NOTCH</v>
          </cell>
        </row>
        <row r="6795">
          <cell r="B6795" t="str">
            <v>25-454-07-07</v>
          </cell>
          <cell r="C6795" t="str">
            <v>VORBOHRER 0,7 X 50 X 7MM, JKUPPLUNG</v>
          </cell>
          <cell r="D6795" t="str">
            <v>TWIST DRILL 0.7 X 50 X 7MM, J-NOTCH</v>
          </cell>
        </row>
        <row r="6796">
          <cell r="B6796" t="str">
            <v>25-454-07-71</v>
          </cell>
          <cell r="C6796" t="str">
            <v>VORBOHRER 0,7X50X7  MM, J-KUPPL.,  STERIL</v>
          </cell>
          <cell r="D6796" t="str">
            <v>TWIST DRILL 0.7X50X7MM, J-NOTCH,  STERILE</v>
          </cell>
        </row>
        <row r="6797">
          <cell r="B6797" t="str">
            <v>25-454-07-91</v>
          </cell>
          <cell r="C6797" t="str">
            <v>VORBOHRER 0,7 X 50 X 7MM, JKUPPLUNG</v>
          </cell>
          <cell r="D6797" t="str">
            <v>TWIST DRILL 0.7 X 50 X 7MM, J-NOTCH</v>
          </cell>
        </row>
        <row r="6798">
          <cell r="B6798" t="str">
            <v>25-456-15-07</v>
          </cell>
          <cell r="C6798" t="str">
            <v>ROSEBUD.  BOHRER</v>
          </cell>
          <cell r="D6798" t="str">
            <v>ROSEBUD.  BUR</v>
          </cell>
        </row>
        <row r="6799">
          <cell r="B6799" t="str">
            <v>25-457-05-07</v>
          </cell>
          <cell r="C6799" t="str">
            <v>VORBOHRER 0,8 X 50 X 5MM, JKUPPLUNG</v>
          </cell>
          <cell r="D6799" t="str">
            <v>TWIST DRILL 0.8 X 50 X 5MM, J-NOTCH</v>
          </cell>
        </row>
        <row r="6800">
          <cell r="B6800" t="str">
            <v>25-457-05-71</v>
          </cell>
          <cell r="C6800" t="str">
            <v>VORBOHRER 0,8X50X5  MM, J-KUPPL.,  STERIL</v>
          </cell>
          <cell r="D6800" t="str">
            <v>TWIST DRILL 0.8X50X5MM, J-NOTCH,  STERILE</v>
          </cell>
        </row>
        <row r="6801">
          <cell r="B6801" t="str">
            <v>25-457-05-91</v>
          </cell>
          <cell r="C6801" t="str">
            <v>VORBOHRER 0,8 X 50 X 5MM, JKUPPLUNG</v>
          </cell>
          <cell r="D6801" t="str">
            <v>TWIST DRILL 0.8 X 50 X 5MM, J-NOTCH</v>
          </cell>
        </row>
        <row r="6802">
          <cell r="B6802" t="str">
            <v>25-457-07-71</v>
          </cell>
          <cell r="C6802" t="str">
            <v>VORBOHRER 0,8X50X7  MM, J-KUPPL.,  STERIL</v>
          </cell>
          <cell r="D6802" t="str">
            <v>TWIST DRILL 0.8X50X7MM, J-NOTCH,  STERILE</v>
          </cell>
        </row>
        <row r="6803">
          <cell r="B6803" t="str">
            <v>25-457-07-91</v>
          </cell>
          <cell r="C6803" t="str">
            <v>VORBOHRER 0,8 X 50 X 7 MM, JKUPPLUNG</v>
          </cell>
          <cell r="D6803" t="str">
            <v>TWIST DRILL 0.8 X 50 X 7 MM, J-NOTCH</v>
          </cell>
        </row>
        <row r="6804">
          <cell r="B6804" t="str">
            <v>25-458-05-07</v>
          </cell>
          <cell r="C6804" t="str">
            <v>Vorbohrer  1,1 x 45 x 5 mm, Dental</v>
          </cell>
          <cell r="D6804" t="str">
            <v>Twist Drill 1,1 x 45 x 5 mm, dental</v>
          </cell>
        </row>
        <row r="6805">
          <cell r="B6805" t="str">
            <v>25-458-07-07</v>
          </cell>
          <cell r="C6805" t="str">
            <v>Vorbohrer  1,1 x 45 x 7 mm, Dental</v>
          </cell>
          <cell r="D6805" t="str">
            <v>Twist Drill 1,1 x 45 x 7 mm, dental</v>
          </cell>
        </row>
        <row r="6806">
          <cell r="B6806" t="str">
            <v>25-458-15-07</v>
          </cell>
          <cell r="C6806" t="str">
            <v>Vorbohrer  1,1 x 45 x 15 mm, Dental</v>
          </cell>
          <cell r="D6806" t="str">
            <v>Twist Drill 1,1 x 45 x 15 mm, dental</v>
          </cell>
        </row>
        <row r="6807">
          <cell r="B6807" t="str">
            <v>25-458-16-07</v>
          </cell>
          <cell r="C6807" t="str">
            <v>VORBOHRER 1,5 X 70 X 10MM, JKUPPLUNG</v>
          </cell>
          <cell r="D6807" t="str">
            <v>TWIST DRILL 1.5 X 70 X 10MM, J-NOTCH</v>
          </cell>
        </row>
        <row r="6808">
          <cell r="B6808" t="str">
            <v>25-458-16-91</v>
          </cell>
          <cell r="C6808" t="str">
            <v>VORBOHRER 1,5 X 70 X 10MM, JKUPPLUNG</v>
          </cell>
          <cell r="D6808" t="str">
            <v>TWIST DRILL 1.5 X 70 X 10MM, J-NOTCH</v>
          </cell>
        </row>
        <row r="6809">
          <cell r="B6809" t="str">
            <v>25-459-05-07</v>
          </cell>
          <cell r="C6809" t="str">
            <v>Vorbohrer  1,5 x 45 x 5 mm, Dental</v>
          </cell>
          <cell r="D6809" t="str">
            <v>Twist Drill 1,5 x 45 x 5 mm, dental</v>
          </cell>
        </row>
        <row r="6810">
          <cell r="B6810" t="str">
            <v>25-459-07-07</v>
          </cell>
          <cell r="C6810" t="str">
            <v>Vorbohrer  Dental 1,5 x 7</v>
          </cell>
          <cell r="D6810" t="str">
            <v>Twist Drill 1,5 x 45 x 7 mm, dental</v>
          </cell>
        </row>
        <row r="6811">
          <cell r="B6811" t="str">
            <v>25-459-15-07</v>
          </cell>
          <cell r="C6811" t="str">
            <v>Vorbohrer  1,5 x 45 x 15 mm, Dental</v>
          </cell>
          <cell r="D6811" t="str">
            <v>Twist Drill 1,5 x 45 x 15 mm, dental</v>
          </cell>
        </row>
        <row r="6812">
          <cell r="B6812" t="str">
            <v>25-460-07-07</v>
          </cell>
          <cell r="C6812" t="str">
            <v>VORBOHRER 1,9X70X7MM, J-KUPPLUNG</v>
          </cell>
          <cell r="D6812" t="str">
            <v>TWIST DRILL 1,9X70X7MM, J-NOTCH</v>
          </cell>
        </row>
        <row r="6813">
          <cell r="B6813" t="str">
            <v>25-460-07-71</v>
          </cell>
          <cell r="C6813" t="str">
            <v>VORBOHRER 1,9X70X7MM, J-KUPPLUNG</v>
          </cell>
          <cell r="D6813" t="str">
            <v>TWIST DRILL 1,9X70X7MM, J-NOTCH</v>
          </cell>
        </row>
        <row r="6814">
          <cell r="B6814" t="str">
            <v>25-460-09-07</v>
          </cell>
          <cell r="C6814" t="str">
            <v>VORBOHRER 1,9X70X9MM, J-KUPPLUNG</v>
          </cell>
          <cell r="D6814" t="str">
            <v>TWIST DRILL 1,9X70X9MM, J-NOTCH</v>
          </cell>
        </row>
        <row r="6815">
          <cell r="B6815" t="str">
            <v>25-460-09-71</v>
          </cell>
          <cell r="C6815" t="str">
            <v>VORBOHRER 1,9X70X9MM, J-KUPPLUNG</v>
          </cell>
          <cell r="D6815" t="str">
            <v>TWIST DRILL 1,9X70X9MM, J-NOTCH</v>
          </cell>
        </row>
        <row r="6816">
          <cell r="B6816" t="str">
            <v>25-460-19-07</v>
          </cell>
          <cell r="C6816" t="str">
            <v>VORBOHRER 1,9 X 70 MM, JKUPPLUNG</v>
          </cell>
          <cell r="D6816" t="str">
            <v>TWIST DRILL 1.9 X 70 MM,  J-NOTCH</v>
          </cell>
        </row>
        <row r="6817">
          <cell r="B6817" t="str">
            <v>25-460-19-71</v>
          </cell>
          <cell r="C6817" t="str">
            <v>VORBOHRER 1,9 X 70 MM, JKUPPLUNG</v>
          </cell>
          <cell r="D6817" t="str">
            <v>TWIST DRILL 1.9 X 70 MM,  J-NOTCH</v>
          </cell>
        </row>
        <row r="6818">
          <cell r="B6818" t="str">
            <v>25-461-07-71</v>
          </cell>
          <cell r="C6818" t="str">
            <v>Vorbohrer  1,5 X 55 X 7 mm, J-Kupplung</v>
          </cell>
          <cell r="D6818" t="str">
            <v>Twist drill 1.5 X 55 X 7 mm, J-notch</v>
          </cell>
        </row>
        <row r="6819">
          <cell r="B6819" t="str">
            <v>25-461-07-91</v>
          </cell>
          <cell r="C6819" t="str">
            <v>Vorbohrer  1,5 X 55 X 7 mm, J-Kupplung</v>
          </cell>
          <cell r="D6819" t="str">
            <v>Twist drill 1.5 X 55 X 7 mm, J-notch</v>
          </cell>
        </row>
        <row r="6820">
          <cell r="B6820" t="str">
            <v>25-461-16-07</v>
          </cell>
          <cell r="C6820" t="str">
            <v>VORBOHRER 1,5 X 70MM, JKUPPLUNG</v>
          </cell>
          <cell r="D6820" t="str">
            <v>TWIST DRILL 1.5 X 70MM, J-NOTCH</v>
          </cell>
        </row>
        <row r="6821">
          <cell r="B6821" t="str">
            <v>25-461-16-71</v>
          </cell>
          <cell r="C6821" t="str">
            <v>Vorbohrer  1,5 X 70 mm, J-Kupplung</v>
          </cell>
          <cell r="D6821" t="str">
            <v>Twist drill 1.5 X 70 mm, J-notch</v>
          </cell>
        </row>
        <row r="6822">
          <cell r="B6822" t="str">
            <v>25-461-16-91</v>
          </cell>
          <cell r="C6822" t="str">
            <v>VORBOHRER 1,5 X 70MM, JKUPPLUNG</v>
          </cell>
          <cell r="D6822" t="str">
            <v>TWIST DRILL 1.5 X 70MM, J-NOTCH</v>
          </cell>
        </row>
        <row r="6823">
          <cell r="B6823" t="str">
            <v>25-462-19-07</v>
          </cell>
          <cell r="C6823" t="str">
            <v>VORBOHRER 1,9 X 105 MM, JKUPPLUNG</v>
          </cell>
          <cell r="D6823" t="str">
            <v>TWIST DRILL 1.9 X 105 MM, J-NOTCH</v>
          </cell>
        </row>
        <row r="6824">
          <cell r="B6824" t="str">
            <v>25-462-19-21</v>
          </cell>
          <cell r="C6824" t="str">
            <v>VORBOHRER 1,9 X 105 MM, GRAD.JKUPPLUNG</v>
          </cell>
          <cell r="D6824" t="str">
            <v>TWIST DRILL 1.9 X 105 MM, GRAD. J-NOTCH</v>
          </cell>
        </row>
        <row r="6825">
          <cell r="B6825" t="str">
            <v>25-462-19-71</v>
          </cell>
          <cell r="C6825" t="str">
            <v>VORBOHRER 1,9 X 105 MM, JKUPPLUNG</v>
          </cell>
          <cell r="D6825" t="str">
            <v>TWIST DRILL 1.9 X 105 MM, J-NOTCH</v>
          </cell>
        </row>
        <row r="6826">
          <cell r="B6826" t="str">
            <v>25-469-11-07</v>
          </cell>
          <cell r="C6826" t="str">
            <v>VORBOHRER 1,5 X 115MM, JKUPPLUNG</v>
          </cell>
          <cell r="D6826" t="str">
            <v>TWIST DRILL 1.5 X 115MM, J-NOTCH</v>
          </cell>
        </row>
        <row r="6827">
          <cell r="B6827" t="str">
            <v>25-469-11-71</v>
          </cell>
          <cell r="C6827" t="str">
            <v>VORBOHRER 1,5 X115 MM, JKUPPL, STERIL</v>
          </cell>
          <cell r="D6827" t="str">
            <v>TWIST DRILL 1.5 X115 MM,J-NOTCH, STERILE</v>
          </cell>
        </row>
        <row r="6828">
          <cell r="B6828" t="str">
            <v>25-471-00-07</v>
          </cell>
          <cell r="C6828" t="str">
            <v>TRANSBUKKAL-SYSTEM 2,0/2,3MM</v>
          </cell>
          <cell r="D6828" t="str">
            <v>TRANSBUCCAL SYSTEM 2.0/2,3 MM</v>
          </cell>
        </row>
        <row r="6829">
          <cell r="B6829" t="str">
            <v>25-471-15-07</v>
          </cell>
          <cell r="C6829" t="str">
            <v>TROKAR</v>
          </cell>
          <cell r="D6829" t="str">
            <v>TROCAR</v>
          </cell>
        </row>
        <row r="6830">
          <cell r="B6830" t="str">
            <v>25-471-20-07</v>
          </cell>
          <cell r="C6830" t="str">
            <v>BOHRHUELSE</v>
          </cell>
          <cell r="D6830" t="str">
            <v>DRILL GUIDE</v>
          </cell>
        </row>
        <row r="6831">
          <cell r="B6831" t="str">
            <v>25-472-00-07</v>
          </cell>
          <cell r="C6831" t="str">
            <v>WEICHTEILHALTER, SATZ</v>
          </cell>
          <cell r="D6831" t="str">
            <v>SOFT TISSUE RETRACTOR, SET</v>
          </cell>
        </row>
        <row r="6832">
          <cell r="B6832" t="str">
            <v>25-472-05-07</v>
          </cell>
          <cell r="C6832" t="str">
            <v>Weichteilhalter Griff mit Kanüle</v>
          </cell>
          <cell r="D6832" t="str">
            <v>Handle f.soft tissue retractor  w.cannula</v>
          </cell>
        </row>
        <row r="6833">
          <cell r="B6833" t="str">
            <v>25-472-10-07</v>
          </cell>
          <cell r="C6833" t="str">
            <v>Weichteilhalter für 25-472-00-07</v>
          </cell>
          <cell r="D6833" t="str">
            <v>Soft tissue retractor  for 25-472-00-07</v>
          </cell>
        </row>
        <row r="6834">
          <cell r="B6834" t="str">
            <v>25-472-15-07</v>
          </cell>
          <cell r="C6834" t="str">
            <v>TROKAR ALLEINE, 2,0-2,7 MM</v>
          </cell>
          <cell r="D6834" t="str">
            <v>TROCAR ONLY, 2.0-2.7 MM</v>
          </cell>
        </row>
        <row r="6835">
          <cell r="B6835" t="str">
            <v>25-472-20-07</v>
          </cell>
          <cell r="C6835" t="str">
            <v>BOHRHUELSE ALLEINE, 2,0-2,7 MM</v>
          </cell>
          <cell r="D6835" t="str">
            <v>DRILL GUIDE ONLY, 2.0-2.7 MM</v>
          </cell>
        </row>
        <row r="6836">
          <cell r="B6836" t="str">
            <v>25-472-25-07</v>
          </cell>
          <cell r="C6836" t="str">
            <v>WANGENHALTER KNOPF</v>
          </cell>
          <cell r="D6836" t="str">
            <v>CHEEKRETRACTOR, RING TYPE</v>
          </cell>
        </row>
        <row r="6837">
          <cell r="B6837" t="str">
            <v>25-472-30-07</v>
          </cell>
          <cell r="C6837" t="str">
            <v>WANGENHALTER OFFEN</v>
          </cell>
          <cell r="D6837" t="str">
            <v>CHEEKRETRACTOR, BLADE TYPE</v>
          </cell>
        </row>
        <row r="6838">
          <cell r="B6838" t="str">
            <v>25-472-90-07</v>
          </cell>
          <cell r="C6838" t="str">
            <v>SD-KLINGE  FÜR 25-472-25  UND 25-472-30</v>
          </cell>
          <cell r="D6838" t="str">
            <v>SD-BIT FOR 25-472-25  AND 25-472-30</v>
          </cell>
        </row>
        <row r="6839">
          <cell r="B6839" t="str">
            <v>25-473-00-01</v>
          </cell>
          <cell r="C6839" t="str">
            <v>WEICHTEILHALTER, SATZ MOD.N.RASSE</v>
          </cell>
          <cell r="D6839" t="str">
            <v>RASSE MOD.SOFT  TISSUE RETRACTOR,SET</v>
          </cell>
        </row>
        <row r="6840">
          <cell r="B6840" t="str">
            <v>25-473-22-07</v>
          </cell>
          <cell r="C6840" t="str">
            <v>TROKARHUELSENFASSZANGE F.-473-00  N.RASSE</v>
          </cell>
          <cell r="D6840" t="str">
            <v>RASSE HOL.FORCEPS F.SOFT TIS.RET.-473-00</v>
          </cell>
        </row>
        <row r="6841">
          <cell r="B6841" t="str">
            <v>25-474-00-01</v>
          </cell>
          <cell r="C6841" t="str">
            <v>WEICHTEILHALTER, KOMPLETT</v>
          </cell>
          <cell r="D6841" t="str">
            <v>SOFT TISSUE RETRACTOR</v>
          </cell>
        </row>
        <row r="6842">
          <cell r="B6842" t="str">
            <v>25-474-05-01</v>
          </cell>
          <cell r="C6842" t="str">
            <v>WEICHTEILHALTER, ALLEIN</v>
          </cell>
          <cell r="D6842" t="str">
            <v>SOFT TISSUE RETRACTOR,ONLY</v>
          </cell>
        </row>
        <row r="6843">
          <cell r="B6843" t="str">
            <v>25-474-15-01</v>
          </cell>
          <cell r="C6843" t="str">
            <v>TROKAR ALLEIN, ZU 24-474-00-01</v>
          </cell>
          <cell r="D6843" t="str">
            <v>TROCAR ONLY F. 24-474-00-01</v>
          </cell>
        </row>
        <row r="6844">
          <cell r="B6844" t="str">
            <v>25-474-25-07</v>
          </cell>
          <cell r="C6844" t="str">
            <v>WANGENHALTER KNOPF,CROSS DRIVE</v>
          </cell>
          <cell r="D6844" t="str">
            <v>CHEEKRETRACTOR, RING TYPE,CROSS DRIVE</v>
          </cell>
        </row>
        <row r="6845">
          <cell r="B6845" t="str">
            <v>25-474-30-07</v>
          </cell>
          <cell r="C6845" t="str">
            <v>WANGENHALTER OFFEN, CROSS DRIVE</v>
          </cell>
          <cell r="D6845" t="str">
            <v>CHEEKRETRACTOR, BLADE TYPE, CROSS DRIVE</v>
          </cell>
        </row>
        <row r="6846">
          <cell r="B6846" t="str">
            <v>25-478-00-07</v>
          </cell>
          <cell r="C6846" t="str">
            <v>WEICHTEILHALTER,SATZ MOD.N.RASSE,D 2,0MM</v>
          </cell>
          <cell r="D6846" t="str">
            <v>RASSE MOD.SOFT  TISSUE RETRACT.SET, 2,0MM</v>
          </cell>
        </row>
        <row r="6847">
          <cell r="B6847" t="str">
            <v>25-478-15-07</v>
          </cell>
          <cell r="C6847" t="str">
            <v>TROKAR ALLEINE FUER 25-478-00</v>
          </cell>
          <cell r="D6847" t="str">
            <v>TROCAR ONLY FOR 25-478-00</v>
          </cell>
        </row>
        <row r="6848">
          <cell r="B6848" t="str">
            <v>25-478-20-07</v>
          </cell>
          <cell r="C6848" t="str">
            <v>BOHRHUELSE ALLEINE FUER 25-478-00</v>
          </cell>
          <cell r="D6848" t="str">
            <v>DRILL GUIDE ONLY FOR 25-478-00</v>
          </cell>
        </row>
        <row r="6849">
          <cell r="B6849" t="str">
            <v>25-478-22-07</v>
          </cell>
          <cell r="C6849" t="str">
            <v>TROKARHUELSENFASSZANGE F.-478-00  N.RASSE</v>
          </cell>
          <cell r="D6849" t="str">
            <v>RASSE HOL.FORCEPS F.SOFT TIS.RET.-478-00</v>
          </cell>
        </row>
        <row r="6850">
          <cell r="B6850" t="str">
            <v>25-480-15-07</v>
          </cell>
          <cell r="C6850" t="str">
            <v>Klinge mit Haltehülse  maxDrive  1,5mm</v>
          </cell>
          <cell r="D6850" t="str">
            <v>Blade w. holding sleeve maxDrive  1.5mm</v>
          </cell>
        </row>
        <row r="6851">
          <cell r="B6851" t="str">
            <v>25-480-20-07</v>
          </cell>
          <cell r="C6851" t="str">
            <v>Klinge mit Haltehülse  maxDrive  2,0/2,3mm</v>
          </cell>
          <cell r="D6851" t="str">
            <v>Blade w.holding  sleeve maxDrive2.0/2.3mm</v>
          </cell>
        </row>
        <row r="6852">
          <cell r="B6852" t="str">
            <v>25-480-99-07</v>
          </cell>
          <cell r="C6852" t="str">
            <v>GRIFF ALLEIN FUER  25-480-13</v>
          </cell>
          <cell r="D6852" t="str">
            <v>HANDLE ONLY FOR 25-480-13</v>
          </cell>
        </row>
        <row r="6853">
          <cell r="B6853" t="str">
            <v>25-485-97-07</v>
          </cell>
          <cell r="C6853" t="str">
            <v>SCHRAUBENDREHERKLINGE MAXDR. 1,5MM NEURO</v>
          </cell>
          <cell r="D6853" t="str">
            <v>SCREWDRIVER BLADE MAXDR. 1.5 MM NEURO</v>
          </cell>
        </row>
        <row r="6854">
          <cell r="B6854" t="str">
            <v>25-486-13-07</v>
          </cell>
          <cell r="C6854" t="str">
            <v>MIKRO TC-MODELLIERZANGE 13CM</v>
          </cell>
          <cell r="D6854" t="str">
            <v>MICRO MODELLING PLIERS 13CM</v>
          </cell>
        </row>
        <row r="6855">
          <cell r="B6855" t="str">
            <v>25-486-15-07</v>
          </cell>
          <cell r="C6855" t="str">
            <v>MAXDRIVE  SCHRAUBENDREHER 1,5 MM</v>
          </cell>
          <cell r="D6855" t="str">
            <v>SCREWDRIVER MAXDRIVE  1.5 MM</v>
          </cell>
        </row>
        <row r="6856">
          <cell r="B6856" t="str">
            <v>25-486-17-07</v>
          </cell>
          <cell r="C6856" t="str">
            <v>MAXDRIVE  SCHRAUBENDREHER 2,0/2,3 MM</v>
          </cell>
          <cell r="D6856" t="str">
            <v>SCREWDRIVER MAXDRIVE  2.0/2.3 MM</v>
          </cell>
        </row>
        <row r="6857">
          <cell r="B6857" t="str">
            <v>25-486-97-07</v>
          </cell>
          <cell r="C6857" t="str">
            <v>SCHRAUBENDREHERKLINGE MAXDR.2,0/2,3MM, L</v>
          </cell>
          <cell r="D6857" t="str">
            <v>SCREWDRIVER BLADE MAXDRIVE  2.0/2.3 MM, L</v>
          </cell>
        </row>
        <row r="6858">
          <cell r="B6858" t="str">
            <v>25-486-98-07</v>
          </cell>
          <cell r="C6858" t="str">
            <v>SCHRAUBENDREHERKLINGE MAXDR.2,0MM,94MM</v>
          </cell>
          <cell r="D6858" t="str">
            <v>SCREWDRIVER BLADE MAXDR. 2.0/2.3MM, 94MM</v>
          </cell>
        </row>
        <row r="6859">
          <cell r="B6859" t="str">
            <v>25-487-97-07</v>
          </cell>
          <cell r="C6859" t="str">
            <v>SCHRAUBENDREHERKLINGE MAXDRIVE  2,7 MM</v>
          </cell>
          <cell r="D6859" t="str">
            <v>SCREWDRIVER BLADE MAXDRIVE  2.7 MM</v>
          </cell>
        </row>
        <row r="6860">
          <cell r="B6860" t="str">
            <v>25-488-12-07</v>
          </cell>
          <cell r="C6860" t="str">
            <v>MIKRO BIEGEZANGE</v>
          </cell>
          <cell r="D6860" t="str">
            <v>MICRO BENDING  PLIERS</v>
          </cell>
        </row>
        <row r="6861">
          <cell r="B6861" t="str">
            <v>25-489-97-07</v>
          </cell>
          <cell r="C6861" t="str">
            <v>SCHRAUBENDREHERKLINGE MAXDRIVE  1,5MM</v>
          </cell>
          <cell r="D6861" t="str">
            <v>SCREWDRIVER BLADE MAXDRIVE  1.5 MM</v>
          </cell>
        </row>
        <row r="6862">
          <cell r="B6862" t="str">
            <v>25-490-11-07</v>
          </cell>
          <cell r="C6862" t="str">
            <v>MIKRO PLATTENSCHNEIDER</v>
          </cell>
          <cell r="D6862" t="str">
            <v>MICRO PLATE CUTTER</v>
          </cell>
        </row>
        <row r="6863">
          <cell r="B6863" t="str">
            <v>25-491-97-07</v>
          </cell>
          <cell r="C6863" t="str">
            <v>SCHRAUBENDREHERKLINGE MAXDR.2,0/2,3MM,M</v>
          </cell>
          <cell r="D6863" t="str">
            <v>SCREWDRIVER BLADE MAXDRIVE  2.0/2.3 MM, M</v>
          </cell>
        </row>
        <row r="6864">
          <cell r="B6864" t="str">
            <v>25-492-98-07</v>
          </cell>
          <cell r="C6864" t="str">
            <v>SCHRAUBENDREHERKLINGE CENTRE DRIVE 1,0MM</v>
          </cell>
          <cell r="D6864" t="str">
            <v>SCREWDRIVER BLADE CENTRE DRIVE 1.0 MM</v>
          </cell>
        </row>
        <row r="6865">
          <cell r="B6865" t="str">
            <v>25-494-13-07</v>
          </cell>
          <cell r="C6865" t="str">
            <v>CENTRE-DRIVE SCHRAUBENDREHER 1,0MM</v>
          </cell>
          <cell r="D6865" t="str">
            <v>CENTRE-DRIVE SCREWDR.   1.0MM</v>
          </cell>
        </row>
        <row r="6866">
          <cell r="B6866" t="str">
            <v>25-496-15-09</v>
          </cell>
          <cell r="C6866" t="str">
            <v>PLATTENFASSPINZETTE</v>
          </cell>
          <cell r="D6866" t="str">
            <v>PLATE HOLDING  FORCEPS</v>
          </cell>
        </row>
        <row r="6867">
          <cell r="B6867" t="str">
            <v>25-500-00-07</v>
          </cell>
          <cell r="C6867" t="str">
            <v>L1 ReconGuide UK-Resektionsschablone</v>
          </cell>
          <cell r="D6867" t="str">
            <v>L1 ReconGuide Mandible  resection  guide</v>
          </cell>
        </row>
        <row r="6868">
          <cell r="B6868" t="str">
            <v>25-500-20-07</v>
          </cell>
          <cell r="C6868" t="str">
            <v>L1 ReconGuide Fibula-Resektionsschablone</v>
          </cell>
          <cell r="D6868" t="str">
            <v>L1 ReconGuide Fibula resection  guide</v>
          </cell>
        </row>
        <row r="6869">
          <cell r="B6869" t="str">
            <v>25-500-35-07</v>
          </cell>
          <cell r="C6869" t="str">
            <v>L1 ReconGuide Sechskant-Klinge, L</v>
          </cell>
          <cell r="D6869" t="str">
            <v>L1 ReconGuide hexagonal  blade, L</v>
          </cell>
        </row>
        <row r="6870">
          <cell r="B6870" t="str">
            <v>25-500-40-07</v>
          </cell>
          <cell r="C6870" t="str">
            <v>L1 ReconGuide Bohrführung 2.0 mm</v>
          </cell>
          <cell r="D6870" t="str">
            <v>L1 ReconGuide drill guide 2.0 mm</v>
          </cell>
        </row>
        <row r="6871">
          <cell r="B6871" t="str">
            <v>25-500-45-07</v>
          </cell>
          <cell r="C6871" t="str">
            <v>3-Pkt-Biegezange f. Minipl. 2.0 f. Guide</v>
          </cell>
          <cell r="D6871" t="str">
            <v>3-prong-bender f. mini pl. 2.0 f. guide</v>
          </cell>
        </row>
        <row r="6872">
          <cell r="B6872" t="str">
            <v>25-510-12-07</v>
          </cell>
          <cell r="C6872" t="str">
            <v>BIEGEZANGE 12CM</v>
          </cell>
          <cell r="D6872" t="str">
            <v>BENDING  PLIERS        12CM</v>
          </cell>
        </row>
        <row r="6873">
          <cell r="B6873" t="str">
            <v>25-514-13-07</v>
          </cell>
          <cell r="C6873" t="str">
            <v>BIEGEZANGE MIT STIFT,FUER  2.3MM SYSTEM</v>
          </cell>
          <cell r="D6873" t="str">
            <v>BENDINGPLIERS WITH PIN,FOR 2.3MM SYSTEM</v>
          </cell>
        </row>
        <row r="6874">
          <cell r="B6874" t="str">
            <v>25-516-13-07</v>
          </cell>
          <cell r="C6874" t="str">
            <v>MODELLIERZANGE 13CM</v>
          </cell>
          <cell r="D6874" t="str">
            <v>MODELLING PLIERS   5 1/4</v>
          </cell>
        </row>
        <row r="6875">
          <cell r="B6875" t="str">
            <v>25-516-14-07</v>
          </cell>
          <cell r="C6875" t="str">
            <v>L1 Biegezange, gebogen</v>
          </cell>
          <cell r="D6875" t="str">
            <v>L1 bending pliers, curved</v>
          </cell>
        </row>
        <row r="6876">
          <cell r="B6876" t="str">
            <v>25-540-98-07</v>
          </cell>
          <cell r="C6876" t="str">
            <v>SCHRAUBENDREHERKLINGE CENTRE DR. 2,0/2,3</v>
          </cell>
          <cell r="D6876" t="str">
            <v>SCREWDRIVER BLADE CENTRE DR. 2.0/2.3 MM</v>
          </cell>
        </row>
        <row r="6877">
          <cell r="B6877" t="str">
            <v>25-542-17-07</v>
          </cell>
          <cell r="C6877" t="str">
            <v>CENTRE-DRIVE SCHRAUBENDR.2MM</v>
          </cell>
          <cell r="D6877" t="str">
            <v>CENTRE-DRIVE SCREWDRIVER 2MM</v>
          </cell>
        </row>
        <row r="6878">
          <cell r="B6878" t="str">
            <v>25-550-04-09</v>
          </cell>
          <cell r="C6878" t="str">
            <v>MINIPL., 2,0, 4-LOCH, GERADE</v>
          </cell>
          <cell r="D6878" t="str">
            <v>MINIPL., 2.0, 4-HOLES,  STRAIGHT</v>
          </cell>
        </row>
        <row r="6879">
          <cell r="B6879" t="str">
            <v>25-550-04-25</v>
          </cell>
          <cell r="C6879" t="str">
            <v>MINIPL., 2,0, 4-LOCH, GERADE</v>
          </cell>
          <cell r="D6879" t="str">
            <v>MINIPL., 2.0, 4-HOLES,  STRAIGHT</v>
          </cell>
        </row>
        <row r="6880">
          <cell r="B6880" t="str">
            <v>25-550-04-71</v>
          </cell>
          <cell r="C6880" t="str">
            <v>MINIPLATTE 2,0, 4-LOCH, GERADE,  STERIL</v>
          </cell>
          <cell r="D6880" t="str">
            <v>MINI PLATE 2.0, 4-HOLE, STRAIGHT,STERILE</v>
          </cell>
        </row>
        <row r="6881">
          <cell r="B6881" t="str">
            <v>25-550-04-89</v>
          </cell>
          <cell r="C6881" t="str">
            <v>Template  für 25-550-04/50-360-04</v>
          </cell>
          <cell r="D6881" t="str">
            <v>Template  for 25-550-04/50-360-04</v>
          </cell>
        </row>
        <row r="6882">
          <cell r="B6882" t="str">
            <v>25-550-04-91</v>
          </cell>
          <cell r="C6882" t="str">
            <v>MINIPL., 2,0, 4-LOCH, GERADE</v>
          </cell>
          <cell r="D6882" t="str">
            <v>MINIPL., 2.0, 4-HOLES,  STRAIGHT</v>
          </cell>
        </row>
        <row r="6883">
          <cell r="B6883" t="str">
            <v>25-550-06-09</v>
          </cell>
          <cell r="C6883" t="str">
            <v>MINIPL., 2,0, 6-LOCH, GERADE</v>
          </cell>
          <cell r="D6883" t="str">
            <v>MINIPL., 2.0, 6-HOLES,  STRAIGHT</v>
          </cell>
        </row>
        <row r="6884">
          <cell r="B6884" t="str">
            <v>25-550-06-25</v>
          </cell>
          <cell r="C6884" t="str">
            <v>MINIPL., 2,0, 6-LOCH, GERADE</v>
          </cell>
          <cell r="D6884" t="str">
            <v>MINIPL., 2.0, 6-HOLES,  STRAIGHT</v>
          </cell>
        </row>
        <row r="6885">
          <cell r="B6885" t="str">
            <v>25-550-06-71</v>
          </cell>
          <cell r="C6885" t="str">
            <v>MINIPLATTE 2,0, 6-LOCH, GERADE,  STERIL</v>
          </cell>
          <cell r="D6885" t="str">
            <v>MINI PLATE 2.0, 6-HOLE, STRAIGHT,STERILE</v>
          </cell>
        </row>
        <row r="6886">
          <cell r="B6886" t="str">
            <v>25-550-06-89</v>
          </cell>
          <cell r="C6886" t="str">
            <v>Template  für 25-550-06/50-366-06</v>
          </cell>
          <cell r="D6886" t="str">
            <v>Template  for 25-550-06/50-366-06</v>
          </cell>
        </row>
        <row r="6887">
          <cell r="B6887" t="str">
            <v>25-550-06-91</v>
          </cell>
          <cell r="C6887" t="str">
            <v>MINIPL., 2,0, 6-LOCH, GERADE</v>
          </cell>
          <cell r="D6887" t="str">
            <v>MINIPL., 2.0, 6-HOLES,  STRAIGHT</v>
          </cell>
        </row>
        <row r="6888">
          <cell r="B6888" t="str">
            <v>25-550-08-09</v>
          </cell>
          <cell r="C6888" t="str">
            <v>MINIPL., 2,0, 8-LOCH, GERADE</v>
          </cell>
          <cell r="D6888" t="str">
            <v>MINIPL., 2.0, 8-HOLES,  STRAIGHT</v>
          </cell>
        </row>
        <row r="6889">
          <cell r="B6889" t="str">
            <v>25-550-08-71</v>
          </cell>
          <cell r="C6889" t="str">
            <v>MINIPLATTE 2,0, 8-LOCH, GERADE,  STERIL</v>
          </cell>
          <cell r="D6889" t="str">
            <v>MINI PLATE 2.0, 8-HOLE, STRAIGHT,STERILE</v>
          </cell>
        </row>
        <row r="6890">
          <cell r="B6890" t="str">
            <v>25-550-08-89</v>
          </cell>
          <cell r="C6890" t="str">
            <v>Template  für 25-550-08/50-370-08</v>
          </cell>
          <cell r="D6890" t="str">
            <v>Template  for 25-550-08/50-370-08</v>
          </cell>
        </row>
        <row r="6891">
          <cell r="B6891" t="str">
            <v>25-550-08-91</v>
          </cell>
          <cell r="C6891" t="str">
            <v>MINIPL., 2,0, 8-LOCH, GERADE</v>
          </cell>
          <cell r="D6891" t="str">
            <v>MINIPL., 2.0, 8-HOLES,  STRAIGHT</v>
          </cell>
        </row>
        <row r="6892">
          <cell r="B6892" t="str">
            <v>25-550-16-09</v>
          </cell>
          <cell r="C6892" t="str">
            <v>MINIPL., 2,0,16-LOCH, GERADE</v>
          </cell>
          <cell r="D6892" t="str">
            <v>MINIPL., 2.0,16-HOLES, STRAIGHT</v>
          </cell>
        </row>
        <row r="6893">
          <cell r="B6893" t="str">
            <v>25-550-16-25</v>
          </cell>
          <cell r="C6893" t="str">
            <v>MINIPL., 2,0,16-LOCH, GERADE</v>
          </cell>
          <cell r="D6893" t="str">
            <v>MINIPL., 2.0,16-HOLES, STRAIGHT</v>
          </cell>
        </row>
        <row r="6894">
          <cell r="B6894" t="str">
            <v>25-550-16-71</v>
          </cell>
          <cell r="C6894" t="str">
            <v>MINIPLATTE 2,0, 16-LOCH,  GERADE,  STERIL</v>
          </cell>
          <cell r="D6894" t="str">
            <v>MINI PLATE 2.0,16-HOLE, STRAIGHT,STERILE</v>
          </cell>
        </row>
        <row r="6895">
          <cell r="B6895" t="str">
            <v>25-550-16-89</v>
          </cell>
          <cell r="C6895" t="str">
            <v>Template  für 25-550-16/50-368-16</v>
          </cell>
          <cell r="D6895" t="str">
            <v>Template  for 25-550-16/50-368-16</v>
          </cell>
        </row>
        <row r="6896">
          <cell r="B6896" t="str">
            <v>25-550-16-91</v>
          </cell>
          <cell r="C6896" t="str">
            <v>MINIPL., 2,0,16-LOCH, GERADE</v>
          </cell>
          <cell r="D6896" t="str">
            <v>MINIPL., 2.0,16-HOLES, STRAIGHT</v>
          </cell>
        </row>
        <row r="6897">
          <cell r="B6897" t="str">
            <v>25-550-40-09</v>
          </cell>
          <cell r="C6897" t="str">
            <v>MINIPL. 2,0, 40-LOCH,  GERADE,  1,0MM</v>
          </cell>
          <cell r="D6897" t="str">
            <v>MINIPL. 2.0, 40-HOLES,  STRAIGHT,  1.0 MM</v>
          </cell>
        </row>
        <row r="6898">
          <cell r="B6898" t="str">
            <v>25-550-40-71</v>
          </cell>
          <cell r="C6898" t="str">
            <v>MINIPL. 2,0, 40-LOCH,  GERADE,  1,0MM</v>
          </cell>
          <cell r="D6898" t="str">
            <v>MINIPL. 2.0, 40-HOLES,  STRAIGHT,  1.0 MM</v>
          </cell>
        </row>
        <row r="6899">
          <cell r="B6899" t="str">
            <v>25-550-45-71</v>
          </cell>
          <cell r="C6899" t="str">
            <v>Sterilkit Mini, 2x25-550-04, 8x25-872-05</v>
          </cell>
          <cell r="D6899" t="str">
            <v>Sterile kit Mini,2x25-550-04,8x25-872-05</v>
          </cell>
        </row>
        <row r="6900">
          <cell r="B6900" t="str">
            <v>25-550-46-71</v>
          </cell>
          <cell r="C6900" t="str">
            <v>Sterilkit Mini, 2x25-550-06, 8x25-872-05</v>
          </cell>
          <cell r="D6900" t="str">
            <v>Sterile kit Mini,2x25-550-06,8x25-872-05</v>
          </cell>
        </row>
        <row r="6901">
          <cell r="B6901" t="str">
            <v>25-551-02-09</v>
          </cell>
          <cell r="C6901" t="str">
            <v>MINIPL., 2,0, 2-LOCH, GERADE,  KURZ</v>
          </cell>
          <cell r="D6901" t="str">
            <v>MINIPL., 2.0, 2-HOLES,  STRAIGHT,  SHORT</v>
          </cell>
        </row>
        <row r="6902">
          <cell r="B6902" t="str">
            <v>25-551-02-71</v>
          </cell>
          <cell r="C6902" t="str">
            <v>MINIPL., 2,0, 2-LOCH, GERADE,  KURZ</v>
          </cell>
          <cell r="D6902" t="str">
            <v>MINIPL., 2.0, 2-HOLES,  STRAIGHT,  SHORT</v>
          </cell>
        </row>
        <row r="6903">
          <cell r="B6903" t="str">
            <v>25-551-02-91</v>
          </cell>
          <cell r="C6903" t="str">
            <v>MINIPL., 2,0, 2-LOCH, GERADE,  KURZ</v>
          </cell>
          <cell r="D6903" t="str">
            <v>MINIPL., 2.0, 2-HOLES,  STRAIGHT,  SHORT</v>
          </cell>
        </row>
        <row r="6904">
          <cell r="B6904" t="str">
            <v>25-551-04-09</v>
          </cell>
          <cell r="C6904" t="str">
            <v>MINIPL., 2,0, 4-LOCH, GERADE,  KURZ</v>
          </cell>
          <cell r="D6904" t="str">
            <v>MINIPL., 2.0, 4-HOLES,  STRAIGHT,  SHORT</v>
          </cell>
        </row>
        <row r="6905">
          <cell r="B6905" t="str">
            <v>25-551-04-25</v>
          </cell>
          <cell r="C6905" t="str">
            <v>MINIPL., 2,0, 4-LOCH, GERADE,  KURZ</v>
          </cell>
          <cell r="D6905" t="str">
            <v>MINIPL., 2.0, 4-HOLES,  STRAIGHT,  SHORT</v>
          </cell>
        </row>
        <row r="6906">
          <cell r="B6906" t="str">
            <v>25-551-04-71</v>
          </cell>
          <cell r="C6906" t="str">
            <v>MINIPL.2,0, 4-LOCH, GERADE,  KURZ, STERIL</v>
          </cell>
          <cell r="D6906" t="str">
            <v>MINI PLATE 2.0,4-HOLE,STRA,SHORT,STERILE</v>
          </cell>
        </row>
        <row r="6907">
          <cell r="B6907" t="str">
            <v>25-551-04-89</v>
          </cell>
          <cell r="C6907" t="str">
            <v>Template  für 25-551-04/50-362-04</v>
          </cell>
          <cell r="D6907" t="str">
            <v>Template  for 25-551-04/50-362-04</v>
          </cell>
        </row>
        <row r="6908">
          <cell r="B6908" t="str">
            <v>25-551-04-91</v>
          </cell>
          <cell r="C6908" t="str">
            <v>MINIPL., 2,0, 4-LOCH, GERADE,  KURZ</v>
          </cell>
          <cell r="D6908" t="str">
            <v>MINIPL., 2.0, 4-HOLES,  STRAIGHT,  SHORT</v>
          </cell>
        </row>
        <row r="6909">
          <cell r="B6909" t="str">
            <v>25-552-04-09</v>
          </cell>
          <cell r="C6909" t="str">
            <v>MINIPL., 2,0, 4-LOCH, GERADE,  LANG</v>
          </cell>
          <cell r="D6909" t="str">
            <v>MINIPL., 2.0, 4-HOLES,  STRAIGHT,  LONG</v>
          </cell>
        </row>
        <row r="6910">
          <cell r="B6910" t="str">
            <v>25-552-04-25</v>
          </cell>
          <cell r="C6910" t="str">
            <v>MINIPL., 2,0, 4-LOCH, GERADE,  LANG</v>
          </cell>
          <cell r="D6910" t="str">
            <v>MINIPL., 2.0, 4-HOLES,  STRAIGHT,  LONG</v>
          </cell>
        </row>
        <row r="6911">
          <cell r="B6911" t="str">
            <v>25-552-04-71</v>
          </cell>
          <cell r="C6911" t="str">
            <v>MINIPL.2,0, 4-LOCH, GERADE,  LANG, STERIL</v>
          </cell>
          <cell r="D6911" t="str">
            <v>MINI PLATE 2.0,4-HOLE,STRAI,LONG,STERILE</v>
          </cell>
        </row>
        <row r="6912">
          <cell r="B6912" t="str">
            <v>25-552-04-89</v>
          </cell>
          <cell r="C6912" t="str">
            <v>Template  für 25-552-04/50-364-04</v>
          </cell>
          <cell r="D6912" t="str">
            <v>Template  for 25-552-04/50-364-04</v>
          </cell>
        </row>
        <row r="6913">
          <cell r="B6913" t="str">
            <v>25-552-04-91</v>
          </cell>
          <cell r="C6913" t="str">
            <v>MINIPL., 2,0, 4-LOCH, GERADE,  LANG</v>
          </cell>
          <cell r="D6913" t="str">
            <v>MINIPL., 2.0, 4-HOLES,  STRAIGHT,  LONG</v>
          </cell>
        </row>
        <row r="6914">
          <cell r="B6914" t="str">
            <v>25-552-06-09</v>
          </cell>
          <cell r="C6914" t="str">
            <v>MINIPL., 2,0, 6-LOCH, GERADE,  LANG</v>
          </cell>
          <cell r="D6914" t="str">
            <v>MINIPL., 2.0, 6-HOLES,  STRAIGHT,  LONG</v>
          </cell>
        </row>
        <row r="6915">
          <cell r="B6915" t="str">
            <v>25-552-06-25</v>
          </cell>
          <cell r="C6915" t="str">
            <v>MINIPL., 2,0, 6-LOCH, GERADE,  LANG</v>
          </cell>
          <cell r="D6915" t="str">
            <v>MINIPL., 2.0, 6-HOLES,  STRAIGHT,  LONG</v>
          </cell>
        </row>
        <row r="6916">
          <cell r="B6916" t="str">
            <v>25-552-06-71</v>
          </cell>
          <cell r="C6916" t="str">
            <v>MINIPL.2,0, 6-LOCH, GERADE,  LANG, STERIL</v>
          </cell>
          <cell r="D6916" t="str">
            <v>MINI PLATE 2.0,6-HOLE,STRAI,LONG,STERILE</v>
          </cell>
        </row>
        <row r="6917">
          <cell r="B6917" t="str">
            <v>25-552-06-89</v>
          </cell>
          <cell r="C6917" t="str">
            <v>Template  für 25-552-06/50-368-06</v>
          </cell>
          <cell r="D6917" t="str">
            <v>Template  for 25-552-06/50-368-06</v>
          </cell>
        </row>
        <row r="6918">
          <cell r="B6918" t="str">
            <v>25-552-06-91</v>
          </cell>
          <cell r="C6918" t="str">
            <v>MINIPL., 2,0, 6-LOCH, GERADE,  LANG</v>
          </cell>
          <cell r="D6918" t="str">
            <v>MINIPL., 2.0, 6-HOLES,  STRAIGHT,  LONG</v>
          </cell>
        </row>
        <row r="6919">
          <cell r="B6919" t="str">
            <v>25-553-05-09</v>
          </cell>
          <cell r="C6919" t="str">
            <v>MINIPL., 2,0, 5-LOCH, Y-FORM,  KURZ</v>
          </cell>
          <cell r="D6919" t="str">
            <v>MINIPL., 2.0, 5-HOLES,  Y-SHAPE,  SHORT</v>
          </cell>
        </row>
        <row r="6920">
          <cell r="B6920" t="str">
            <v>25-553-05-71</v>
          </cell>
          <cell r="C6920" t="str">
            <v>MINIPL.2,0, 5-LOCH, Y-FORM,  KURZ, STERIL</v>
          </cell>
          <cell r="D6920" t="str">
            <v>MINI PLATE 2.0,5-HOLE,Y-SH,SHORT,STERILE</v>
          </cell>
        </row>
        <row r="6921">
          <cell r="B6921" t="str">
            <v>25-553-05-89</v>
          </cell>
          <cell r="C6921" t="str">
            <v>Template  für 25-553-05/50-390-05</v>
          </cell>
          <cell r="D6921" t="str">
            <v>Template  for 25-553-05/50-390-05</v>
          </cell>
        </row>
        <row r="6922">
          <cell r="B6922" t="str">
            <v>25-553-05-91</v>
          </cell>
          <cell r="C6922" t="str">
            <v>MINIPL., 2,0, 5-LOCH, Y-FORM,  KURZ</v>
          </cell>
          <cell r="D6922" t="str">
            <v>MINIPL., 2.0, 5-HOLES,  Y-SHAPE,  SHORT</v>
          </cell>
        </row>
        <row r="6923">
          <cell r="B6923" t="str">
            <v>25-554-04-09</v>
          </cell>
          <cell r="C6923" t="str">
            <v>MINIPL., 2,0, 5-LOCH, Y-FORM,  LANG</v>
          </cell>
          <cell r="D6923" t="str">
            <v>MINIPL., 2.0, 5-HOLES,  Y-SHAPE,  LONG</v>
          </cell>
        </row>
        <row r="6924">
          <cell r="B6924" t="str">
            <v>25-554-04-71</v>
          </cell>
          <cell r="C6924" t="str">
            <v>MINIPL., 2,0, 5-LOCH, Y-FORM,  LANG</v>
          </cell>
          <cell r="D6924" t="str">
            <v>MINIPL., 2.0, 5-HOLES,  Y-SHAPE,  LONG</v>
          </cell>
        </row>
        <row r="6925">
          <cell r="B6925" t="str">
            <v>25-554-04-89</v>
          </cell>
          <cell r="C6925" t="str">
            <v>Template  für 25-554-04/50-391-05</v>
          </cell>
          <cell r="D6925" t="str">
            <v>Template  for 25-554-04/50-391-05</v>
          </cell>
        </row>
        <row r="6926">
          <cell r="B6926" t="str">
            <v>25-554-04-91</v>
          </cell>
          <cell r="C6926" t="str">
            <v>MINIPL., 2,0, 5-LOCH, Y-FORM,  LANG</v>
          </cell>
          <cell r="D6926" t="str">
            <v>MINIPL., 2.0, 5-HOLES,  Y-SHAPE,  LONG</v>
          </cell>
        </row>
        <row r="6927">
          <cell r="B6927" t="str">
            <v>25-560-06-09</v>
          </cell>
          <cell r="C6927" t="str">
            <v>MINIPL., 2,0, 6-LOCH, T-FORM</v>
          </cell>
          <cell r="D6927" t="str">
            <v>MINIPL., 2.0, 6-HOLES,  T-SHAPE</v>
          </cell>
        </row>
        <row r="6928">
          <cell r="B6928" t="str">
            <v>25-560-06-71</v>
          </cell>
          <cell r="C6928" t="str">
            <v>MINIPL., 2,0, 6-LOCH, T-FORM</v>
          </cell>
          <cell r="D6928" t="str">
            <v>MINIPL., 2.0, 6-HOLES,  T-SHAPE</v>
          </cell>
        </row>
        <row r="6929">
          <cell r="B6929" t="str">
            <v>25-560-06-89</v>
          </cell>
          <cell r="C6929" t="str">
            <v>Template  für 25-560-06/50-386-06</v>
          </cell>
          <cell r="D6929" t="str">
            <v>Template  for 25-560-06/50-386-06</v>
          </cell>
        </row>
        <row r="6930">
          <cell r="B6930" t="str">
            <v>25-560-06-91</v>
          </cell>
          <cell r="C6930" t="str">
            <v>MINIPL., 2,0, 6-LOCH, T-FORM</v>
          </cell>
          <cell r="D6930" t="str">
            <v>MINIPL., 2.0, 6-HOLES,  T-SHAPE</v>
          </cell>
        </row>
        <row r="6931">
          <cell r="B6931" t="str">
            <v>25-561-05-09</v>
          </cell>
          <cell r="C6931" t="str">
            <v>MINIPL., 2,0, 5-LOCH, T-FORM,  LANG</v>
          </cell>
          <cell r="D6931" t="str">
            <v>MINIPL., 2.0, 5-HOLES,  T-SHAPE,  LONG</v>
          </cell>
        </row>
        <row r="6932">
          <cell r="B6932" t="str">
            <v>25-561-05-71</v>
          </cell>
          <cell r="C6932" t="str">
            <v>MINIPL., 2,0, 5-LOCH, T-FORM,  LANG</v>
          </cell>
          <cell r="D6932" t="str">
            <v>MINIPL., 2.0, 5-HOLES,  T-SHAPE,  LONG</v>
          </cell>
        </row>
        <row r="6933">
          <cell r="B6933" t="str">
            <v>25-561-05-91</v>
          </cell>
          <cell r="C6933" t="str">
            <v>MINIPL., 2,0, 5-LOCH, T-FORM,  LANG</v>
          </cell>
          <cell r="D6933" t="str">
            <v>MINIPL., 2.0, 5-HOLES,  T-SHAPE,  LONG</v>
          </cell>
        </row>
        <row r="6934">
          <cell r="B6934" t="str">
            <v>25-562-05-09</v>
          </cell>
          <cell r="C6934" t="str">
            <v>MINIPL., 2,0, 5-L,T-FORM,MITTEL,80/100GR</v>
          </cell>
          <cell r="D6934" t="str">
            <v>MINIPL., 2.0, 5-H,T-SHAPE,MED., 80/100DG</v>
          </cell>
        </row>
        <row r="6935">
          <cell r="B6935" t="str">
            <v>25-562-05-71</v>
          </cell>
          <cell r="C6935" t="str">
            <v>MINIPL., 2,0, 5-L,T-FORM,MITTEL,80/100GR</v>
          </cell>
          <cell r="D6935" t="str">
            <v>MINIPL., 2.0, 5-H,T-SHAPE,MED., 80/100DG</v>
          </cell>
        </row>
        <row r="6936">
          <cell r="B6936" t="str">
            <v>25-562-05-91</v>
          </cell>
          <cell r="C6936" t="str">
            <v>MINIPL., 2,0, 5-L,T-FORM,MITTEL,80/100GR</v>
          </cell>
          <cell r="D6936" t="str">
            <v>MINIPL., 2.0, 5-H,T-SHAPE,MED., 80/100DG</v>
          </cell>
        </row>
        <row r="6937">
          <cell r="B6937" t="str">
            <v>25-563-05-09</v>
          </cell>
          <cell r="C6937" t="str">
            <v>MINIPL., 2,0, 5-L,T-FORM,MITTEL,100/80GR</v>
          </cell>
          <cell r="D6937" t="str">
            <v>MINIPL., 2.0, 5-H,T-SHAPE,MED., 100/80DG</v>
          </cell>
        </row>
        <row r="6938">
          <cell r="B6938" t="str">
            <v>25-563-05-71</v>
          </cell>
          <cell r="C6938" t="str">
            <v>MINIPL., 2,0, 5-L,T-FORM,MITTEL,100/80GR</v>
          </cell>
          <cell r="D6938" t="str">
            <v>MINIPL., 2.0, 5-H,T-SHAPE,MED., 100/80DG</v>
          </cell>
        </row>
        <row r="6939">
          <cell r="B6939" t="str">
            <v>25-563-05-91</v>
          </cell>
          <cell r="C6939" t="str">
            <v>MINIPL., 2,0, 5-L,T-FORM,MITTEL,100/80GR</v>
          </cell>
          <cell r="D6939" t="str">
            <v>MINIPL., 2.0, 5-H,T-SHAPE,MED., 100/80DG</v>
          </cell>
        </row>
        <row r="6940">
          <cell r="B6940" t="str">
            <v>25-564-04-09</v>
          </cell>
          <cell r="C6940" t="str">
            <v>MINIPL., 2,0, 4-LOCH, L-FORM, RE, KURZ</v>
          </cell>
          <cell r="D6940" t="str">
            <v>MINIPL., 2.0, 4-HOLES,  L-SHAPE,  RI,SHORT</v>
          </cell>
        </row>
        <row r="6941">
          <cell r="B6941" t="str">
            <v>25-564-04-71</v>
          </cell>
          <cell r="C6941" t="str">
            <v>MINIPL.2,0, 4-LOCH,L-FORM,RE,KURZ,STERIL</v>
          </cell>
          <cell r="D6941" t="str">
            <v>MINI PLATE 2.0,4-H,L-SH,RI,SHORT,STERILE</v>
          </cell>
        </row>
        <row r="6942">
          <cell r="B6942" t="str">
            <v>25-564-04-91</v>
          </cell>
          <cell r="C6942" t="str">
            <v>MINIPL., 2,0, 4-LOCH, L-FORM, RE, KURZ</v>
          </cell>
          <cell r="D6942" t="str">
            <v>MINIPL., 2.0, 4-HOLES,  L-SHAPE,  RI,SHORT</v>
          </cell>
        </row>
        <row r="6943">
          <cell r="B6943" t="str">
            <v>25-565-04-09</v>
          </cell>
          <cell r="C6943" t="str">
            <v>MINIPL., 2,0, 4-LOCH, L-FORM, RE, LANG</v>
          </cell>
          <cell r="D6943" t="str">
            <v>MINIPL., 2.0, 4-HOLES,  L-SHAPE,  RI, LONG</v>
          </cell>
        </row>
        <row r="6944">
          <cell r="B6944" t="str">
            <v>25-565-04-71</v>
          </cell>
          <cell r="C6944" t="str">
            <v>MINIPL.2,0, 4-LOCH,L-FORM,RE,LANG,STERIL</v>
          </cell>
          <cell r="D6944" t="str">
            <v>MINI PLATE 2.0,4-H,L-SHA,RI,LONG,STERILE</v>
          </cell>
        </row>
        <row r="6945">
          <cell r="B6945" t="str">
            <v>25-565-04-91</v>
          </cell>
          <cell r="C6945" t="str">
            <v>MINIPL., 2,0, 4-LOCH, L-FORM, RE, LANG</v>
          </cell>
          <cell r="D6945" t="str">
            <v>MINIPL., 2.0, 4-HOLES,  L-SHAPE,  RI, LONG</v>
          </cell>
        </row>
        <row r="6946">
          <cell r="B6946" t="str">
            <v>25-566-04-09</v>
          </cell>
          <cell r="C6946" t="str">
            <v>MINIPL., 2,0, 4-LOCH, L-FORM, LI, KURZ</v>
          </cell>
          <cell r="D6946" t="str">
            <v>MINIPL., 2.0, 4-HOLES,  L-SHAPE,  LE,SHORT</v>
          </cell>
        </row>
        <row r="6947">
          <cell r="B6947" t="str">
            <v>25-566-04-71</v>
          </cell>
          <cell r="C6947" t="str">
            <v>MINIPL.2,0, 4-LOCH,L-FORM,LI,KURZ,STERIL</v>
          </cell>
          <cell r="D6947" t="str">
            <v>MINI PLATE 2.0,4-H,L-SH,LE,SHORT,STERILE</v>
          </cell>
        </row>
        <row r="6948">
          <cell r="B6948" t="str">
            <v>25-566-04-89</v>
          </cell>
          <cell r="C6948" t="str">
            <v>Template  f. 25-564/566-04/ 50-371/373-04</v>
          </cell>
          <cell r="D6948" t="str">
            <v>Template  f. 25-564/566-04/ 50-371/373-04</v>
          </cell>
        </row>
        <row r="6949">
          <cell r="B6949" t="str">
            <v>25-566-04-91</v>
          </cell>
          <cell r="C6949" t="str">
            <v>MINIPL., 2,0, 4-LOCH, L-FORM, LI, KURZ</v>
          </cell>
          <cell r="D6949" t="str">
            <v>MINIPL., 2.0, 4-HOLES,  L-SHAPE,  LE,SHORT</v>
          </cell>
        </row>
        <row r="6950">
          <cell r="B6950" t="str">
            <v>25-567-04-09</v>
          </cell>
          <cell r="C6950" t="str">
            <v>MINIPL., 2,0, 4-LOCH, L-FORM, LI, LANG</v>
          </cell>
          <cell r="D6950" t="str">
            <v>MINIPL., 2.0, 4-HOLES,  L-SHAPE,  LE, LONG</v>
          </cell>
        </row>
        <row r="6951">
          <cell r="B6951" t="str">
            <v>25-567-04-25</v>
          </cell>
          <cell r="C6951" t="str">
            <v>MINIPL., 2,0, 4-LOCH, L-FORM, LI, LANG</v>
          </cell>
          <cell r="D6951" t="str">
            <v>MINIPL., 2.0, 4-HOLES,  L-SHAPE,  LE, LONG</v>
          </cell>
        </row>
        <row r="6952">
          <cell r="B6952" t="str">
            <v>25-567-04-71</v>
          </cell>
          <cell r="C6952" t="str">
            <v>MINIPL.2,0, 4-LOCH,L-FORM,LI,LANG,STERIL</v>
          </cell>
          <cell r="D6952" t="str">
            <v>MINI PLATE 2.0,4-H,L-SHA,LE,LONG,STERILE</v>
          </cell>
        </row>
        <row r="6953">
          <cell r="B6953" t="str">
            <v>25-567-04-89</v>
          </cell>
          <cell r="C6953" t="str">
            <v>Template  f. 25-565/567-04/ 50-379/381-04</v>
          </cell>
          <cell r="D6953" t="str">
            <v>Template  f. 25-565/567-04/ 50-379/381-04</v>
          </cell>
        </row>
        <row r="6954">
          <cell r="B6954" t="str">
            <v>25-567-04-91</v>
          </cell>
          <cell r="C6954" t="str">
            <v>MINIPL., 2,0, 4-LOCH, L-FORM, LI, LANG</v>
          </cell>
          <cell r="D6954" t="str">
            <v>MINIPL., 2.0, 4-HOLES,  L-SHAPE,  LE, LONG</v>
          </cell>
        </row>
        <row r="6955">
          <cell r="B6955" t="str">
            <v>25-568-04-09</v>
          </cell>
          <cell r="C6955" t="str">
            <v>MINIPL., 2,0, 4-LOCH, H-FORM</v>
          </cell>
          <cell r="D6955" t="str">
            <v>MINIPL., 2.0, 4-HOLES,  H-SHAPE</v>
          </cell>
        </row>
        <row r="6956">
          <cell r="B6956" t="str">
            <v>25-568-04-71</v>
          </cell>
          <cell r="C6956" t="str">
            <v>MINIPL., 2,0, 4-LOCH, H-FORM</v>
          </cell>
          <cell r="D6956" t="str">
            <v>MINIPL., 2.0, 4-HOLES,  H-SHAPE</v>
          </cell>
        </row>
        <row r="6957">
          <cell r="B6957" t="str">
            <v>25-568-04-91</v>
          </cell>
          <cell r="C6957" t="str">
            <v>MINIPL., 2,0, 4-LOCH, H-FORM</v>
          </cell>
          <cell r="D6957" t="str">
            <v>MINIPL., 2.0, 4-HOLES,  H-SHAPE</v>
          </cell>
        </row>
        <row r="6958">
          <cell r="B6958" t="str">
            <v>25-568-06-71</v>
          </cell>
          <cell r="C6958" t="str">
            <v>MINIPL., 2,0, 6-LOCH, H-FORM</v>
          </cell>
          <cell r="D6958" t="str">
            <v>MINIPL., 2.0, 6-HOLES,  H-SHAPE</v>
          </cell>
        </row>
        <row r="6959">
          <cell r="B6959" t="str">
            <v>25-568-06-91</v>
          </cell>
          <cell r="C6959" t="str">
            <v>MINIPL., 2,0, 6-LOCH, H-FORM</v>
          </cell>
          <cell r="D6959" t="str">
            <v>MINIPL., 2.0, 6-HOLES,  H-SHAPE</v>
          </cell>
        </row>
        <row r="6960">
          <cell r="B6960" t="str">
            <v>25-569-04-09</v>
          </cell>
          <cell r="C6960" t="str">
            <v>MINIPL., 2,0, 4-LOCH, L-FORM, MITTEL, RE</v>
          </cell>
          <cell r="D6960" t="str">
            <v>MINIPL., 2.0, 4-HOLES,  L-SHAPE,  MED.,RI</v>
          </cell>
        </row>
        <row r="6961">
          <cell r="B6961" t="str">
            <v>25-569-04-25</v>
          </cell>
          <cell r="C6961" t="str">
            <v>MINIPL., 2,0, 4-LOCH, L-FORM, MITTEL, RE</v>
          </cell>
          <cell r="D6961" t="str">
            <v>MINIPL., 2.0, 4-HOLES,  L-SHAPE,  MED.,RI</v>
          </cell>
        </row>
        <row r="6962">
          <cell r="B6962" t="str">
            <v>25-569-04-71</v>
          </cell>
          <cell r="C6962" t="str">
            <v>MINIPL.2,0, 4-LO,L-FORM,MITTEL,RE,STERIL</v>
          </cell>
          <cell r="D6962" t="str">
            <v>MINI PLATE 2.0,4-HO,L-SHA,MED,RI,STERILE</v>
          </cell>
        </row>
        <row r="6963">
          <cell r="B6963" t="str">
            <v>25-569-04-91</v>
          </cell>
          <cell r="C6963" t="str">
            <v>MINIPL., 2,0, 4-LOCH, L-FORM, MITTEL, RE</v>
          </cell>
          <cell r="D6963" t="str">
            <v>MINIPL., 2.0, 4-HOLES,  L-SHAPE,  MED.,RI</v>
          </cell>
        </row>
        <row r="6964">
          <cell r="B6964" t="str">
            <v>25-570-06-09</v>
          </cell>
          <cell r="C6964" t="str">
            <v>MINIPL., 2,0, 6-LOCH, DOP.Y-FORM, MITTEL</v>
          </cell>
          <cell r="D6964" t="str">
            <v>MINIPL., 2.0, 6-HOLES,  DBL-Y-SHAPE, MED.</v>
          </cell>
        </row>
        <row r="6965">
          <cell r="B6965" t="str">
            <v>25-570-06-71</v>
          </cell>
          <cell r="C6965" t="str">
            <v>MINIPL.2,0, 6-LO,DO.Y-FORM,MITTEL,STERIL</v>
          </cell>
          <cell r="D6965" t="str">
            <v>MINIPL.2.0, 6-HO.DBL-Y-SHAPE,MED.STERIL</v>
          </cell>
        </row>
        <row r="6966">
          <cell r="B6966" t="str">
            <v>25-570-06-89</v>
          </cell>
          <cell r="C6966" t="str">
            <v>Template  für 25-570-06/50-397-06</v>
          </cell>
          <cell r="D6966" t="str">
            <v>Template  for 25-570-06/50-397-06</v>
          </cell>
        </row>
        <row r="6967">
          <cell r="B6967" t="str">
            <v>25-570-06-91</v>
          </cell>
          <cell r="C6967" t="str">
            <v>MINIPL., 2,0, 6-LOCH, DOP.Y-FORM, MITTEL</v>
          </cell>
          <cell r="D6967" t="str">
            <v>MINIPL., 2.0, 6-HOLES,  DBL-Y-SHAPE, MED.</v>
          </cell>
        </row>
        <row r="6968">
          <cell r="B6968" t="str">
            <v>25-571-04-09</v>
          </cell>
          <cell r="C6968" t="str">
            <v>MINIPL., 2,0, 4-LOCH, L-FORM, MITTEL</v>
          </cell>
          <cell r="D6968" t="str">
            <v>MINIPL., 2.0, 4-HOLES,  L-SHAPE,  MED.</v>
          </cell>
        </row>
        <row r="6969">
          <cell r="B6969" t="str">
            <v>25-571-04-25</v>
          </cell>
          <cell r="C6969" t="str">
            <v>MINIPL., 2,0, 4-LOCH, L-FORM, MITTEL</v>
          </cell>
          <cell r="D6969" t="str">
            <v>MINIPL., 2.0, 4-HOLES,  L-SHAPE,  MED.</v>
          </cell>
        </row>
        <row r="6970">
          <cell r="B6970" t="str">
            <v>25-571-04-71</v>
          </cell>
          <cell r="C6970" t="str">
            <v>MINIPL.2,0, 4-LO,L-FORM,MITTEL,LI,STERIL</v>
          </cell>
          <cell r="D6970" t="str">
            <v>MINI PLATE 2.0,4-HO,L-SHA,MED,LE,STERILE</v>
          </cell>
        </row>
        <row r="6971">
          <cell r="B6971" t="str">
            <v>25-571-04-89</v>
          </cell>
          <cell r="C6971" t="str">
            <v>Template  f. 25-569/571-04/ 50-375/377-04</v>
          </cell>
          <cell r="D6971" t="str">
            <v>Template  f. 25-569/571-04/ 50-375/377-04</v>
          </cell>
        </row>
        <row r="6972">
          <cell r="B6972" t="str">
            <v>25-571-04-91</v>
          </cell>
          <cell r="C6972" t="str">
            <v>MINIPL., 2,0, 4-LOCH, L-FORM, MITTEL</v>
          </cell>
          <cell r="D6972" t="str">
            <v>MINIPL., 2.0, 4-HOLES,  L-SHAPE,  MED.</v>
          </cell>
        </row>
        <row r="6973">
          <cell r="B6973" t="str">
            <v>25-573-06-09</v>
          </cell>
          <cell r="C6973" t="str">
            <v>MINIPL., 2,0, 6-LOCH, DOP.Y-FORM, KURZ</v>
          </cell>
          <cell r="D6973" t="str">
            <v>MINIPL., 2.0, 6-HOLES,  DBL-Y-SHAPE,SHORT</v>
          </cell>
        </row>
        <row r="6974">
          <cell r="B6974" t="str">
            <v>25-573-06-71</v>
          </cell>
          <cell r="C6974" t="str">
            <v>MINIPL.2,0,6-LOCH,DOP-Y-FORM,KURZ,STERIL</v>
          </cell>
          <cell r="D6974" t="str">
            <v>MINI PLATE 2.0,6-H,DBL-Y-SHAPE,SHORT,STE</v>
          </cell>
        </row>
        <row r="6975">
          <cell r="B6975" t="str">
            <v>25-573-06-89</v>
          </cell>
          <cell r="C6975" t="str">
            <v>Template  für 25-573-06/50-396-06</v>
          </cell>
          <cell r="D6975" t="str">
            <v>Template  for 25-573-06/50-396-06</v>
          </cell>
        </row>
        <row r="6976">
          <cell r="B6976" t="str">
            <v>25-573-06-91</v>
          </cell>
          <cell r="C6976" t="str">
            <v>MINIPL., 2,0, 6-LOCH, DOP.Y-FORM, KURZ</v>
          </cell>
          <cell r="D6976" t="str">
            <v>MINIPL., 2.0, 6-HOLES,  DBL-Y-SHAPE,SHORT</v>
          </cell>
        </row>
        <row r="6977">
          <cell r="B6977" t="str">
            <v>25-574-05-09</v>
          </cell>
          <cell r="C6977" t="str">
            <v>MINIPL., 2,0, 5-LOCH, LANG, RE</v>
          </cell>
          <cell r="D6977" t="str">
            <v>MINIPL., 2.0, 5-HOLES,  LONG, RI</v>
          </cell>
        </row>
        <row r="6978">
          <cell r="B6978" t="str">
            <v>25-574-05-71</v>
          </cell>
          <cell r="C6978" t="str">
            <v>MINIPL., 2,0, 5-LOCH, L-FORM, RE</v>
          </cell>
          <cell r="D6978" t="str">
            <v>MINIPL., 2.0, 5-HOLES,  L-SHAPE,  RI</v>
          </cell>
        </row>
        <row r="6979">
          <cell r="B6979" t="str">
            <v>25-574-05-91</v>
          </cell>
          <cell r="C6979" t="str">
            <v>MINIPL., 2,0, 5-LOCH, L-FORM, RE</v>
          </cell>
          <cell r="D6979" t="str">
            <v>MINIPL., 2.0, 5-HOLES,  L-SHAPE,  RI</v>
          </cell>
        </row>
        <row r="6980">
          <cell r="B6980" t="str">
            <v>25-575-05-09</v>
          </cell>
          <cell r="C6980" t="str">
            <v>MINIPL., 2,0, 5-LOCH, LANG, LI</v>
          </cell>
          <cell r="D6980" t="str">
            <v>MINIPL., 2.0, 5-HOLES,  LONG, LE</v>
          </cell>
        </row>
        <row r="6981">
          <cell r="B6981" t="str">
            <v>25-575-05-71</v>
          </cell>
          <cell r="C6981" t="str">
            <v>MINIPL., 2,0, 5-LOCH, L-FORM, LI</v>
          </cell>
          <cell r="D6981" t="str">
            <v>MINIPL., 2.0, 5-HOLES,  L-SHAPE,  LE</v>
          </cell>
        </row>
        <row r="6982">
          <cell r="B6982" t="str">
            <v>25-575-05-91</v>
          </cell>
          <cell r="C6982" t="str">
            <v>MINIPL., 2,0, 5-LOCH, L-FORM, LI</v>
          </cell>
          <cell r="D6982" t="str">
            <v>MINIPL., 2.0, 5-HOLES,  L-SHAPE,  LE</v>
          </cell>
        </row>
        <row r="6983">
          <cell r="B6983" t="str">
            <v>25-576-06-09</v>
          </cell>
          <cell r="C6983" t="str">
            <v>MINIPL., 2,0, 6-LOCH, L-FORM, KURZ, RE</v>
          </cell>
          <cell r="D6983" t="str">
            <v>MINIPL., 2.0, 6-HOLES,  L-SHAPE,  SHORT,RI</v>
          </cell>
        </row>
        <row r="6984">
          <cell r="B6984" t="str">
            <v>25-576-06-71</v>
          </cell>
          <cell r="C6984" t="str">
            <v>MINIPL., 2,0, 6-LOCH, L-FORM, KURZ, RE</v>
          </cell>
          <cell r="D6984" t="str">
            <v>MINIPL., 2.0, 6-HOLES,  L-SHAPE,  SHORT,RI</v>
          </cell>
        </row>
        <row r="6985">
          <cell r="B6985" t="str">
            <v>25-576-06-91</v>
          </cell>
          <cell r="C6985" t="str">
            <v>MINIPL., 2,0, 6-LOCH, L-FORM, KURZ, RE</v>
          </cell>
          <cell r="D6985" t="str">
            <v>MINIPL., 2.0, 6-HOLES,  L-SHAPE,  SHORT,RI</v>
          </cell>
        </row>
        <row r="6986">
          <cell r="B6986" t="str">
            <v>25-577-06-09</v>
          </cell>
          <cell r="C6986" t="str">
            <v>MINIPL., 2,0, 6-LOCH, L-FORM, KURZ, LI</v>
          </cell>
          <cell r="D6986" t="str">
            <v>MINIPL., 2.0, 6-HOLES,  L-SHAPE,  SHORT,LE</v>
          </cell>
        </row>
        <row r="6987">
          <cell r="B6987" t="str">
            <v>25-577-06-71</v>
          </cell>
          <cell r="C6987" t="str">
            <v>MINIPL., 2,0, 6-LOCH, L-FORM, KURZ, LI</v>
          </cell>
          <cell r="D6987" t="str">
            <v>MINIPL., 2.0, 6-HOLES,  L-SHAPE,  SHORT,LE</v>
          </cell>
        </row>
        <row r="6988">
          <cell r="B6988" t="str">
            <v>25-577-06-91</v>
          </cell>
          <cell r="C6988" t="str">
            <v>MINIPL., 2,0, 6-LOCH, L-FORM, KURZ, LI</v>
          </cell>
          <cell r="D6988" t="str">
            <v>MINIPL., 2.0, 6-HOLES,  L-SHAPE,  SHORT,LE</v>
          </cell>
        </row>
        <row r="6989">
          <cell r="B6989" t="str">
            <v>25-578-06-09</v>
          </cell>
          <cell r="C6989" t="str">
            <v>MINIPL., 2,0, 6-LOCH, L-FORM, LANG, RE</v>
          </cell>
          <cell r="D6989" t="str">
            <v>MINIPL., 2.0, 6-HOLES,  L-SHAPE,  LONG, RI</v>
          </cell>
        </row>
        <row r="6990">
          <cell r="B6990" t="str">
            <v>25-578-06-71</v>
          </cell>
          <cell r="C6990" t="str">
            <v>MINIPL., 2,0, 6-LOCH, L-FORM, LANG, RE</v>
          </cell>
          <cell r="D6990" t="str">
            <v>MINIPL., 2.0, 6-HOLES,  L-SHAPE,  LONG, RI</v>
          </cell>
        </row>
        <row r="6991">
          <cell r="B6991" t="str">
            <v>25-578-06-91</v>
          </cell>
          <cell r="C6991" t="str">
            <v>MINIPL., 2,0, 6-LOCH, L-FORM, LANG, RE</v>
          </cell>
          <cell r="D6991" t="str">
            <v>MINIPL., 2.0, 6-HOLES,  L-SHAPE,  LONG, RI</v>
          </cell>
        </row>
        <row r="6992">
          <cell r="B6992" t="str">
            <v>25-579-06-09</v>
          </cell>
          <cell r="C6992" t="str">
            <v>MINIPL., 2,0, 6-LOCH, L-FORM, LANG, LI</v>
          </cell>
          <cell r="D6992" t="str">
            <v>MINIPL., 2.0, 6-HOLES,  L-SHAPE,  LONG, LE</v>
          </cell>
        </row>
        <row r="6993">
          <cell r="B6993" t="str">
            <v>25-579-06-71</v>
          </cell>
          <cell r="C6993" t="str">
            <v>MINIPL., 2,0, 6-LOCH, L-FORM, LANG, LI</v>
          </cell>
          <cell r="D6993" t="str">
            <v>MINIPL., 2.0, 6-HOLES,  L-SHAPE,  LONG, LE</v>
          </cell>
        </row>
        <row r="6994">
          <cell r="B6994" t="str">
            <v>25-579-06-91</v>
          </cell>
          <cell r="C6994" t="str">
            <v>MINIPL., 2,0, 6-LOCH, L-FORM, LANG, LI</v>
          </cell>
          <cell r="D6994" t="str">
            <v>MINIPL., 2.0, 6-HOLES,  L-SHAPE,  LONG, LE</v>
          </cell>
        </row>
        <row r="6995">
          <cell r="B6995" t="str">
            <v>25-601-05-71</v>
          </cell>
          <cell r="C6995" t="str">
            <v>TI-CENTRE-DRIVE MIKRO-SCHRAUBEN 1,2X5MM</v>
          </cell>
          <cell r="D6995" t="str">
            <v>TI-CENTRE-DRIVE MICRO SCREWS 1,2X5MM</v>
          </cell>
        </row>
        <row r="6996">
          <cell r="B6996" t="str">
            <v>25-601-07-71</v>
          </cell>
          <cell r="C6996" t="str">
            <v>TI-CENTRE-DRIVE MIKRO-SCHRAUBEN 1,2X7MM</v>
          </cell>
          <cell r="D6996" t="str">
            <v>TI-CENTRE-DRIVE MICRO SCREWS 1,2X7MM</v>
          </cell>
        </row>
        <row r="6997">
          <cell r="B6997" t="str">
            <v>25-601-09-71</v>
          </cell>
          <cell r="C6997" t="str">
            <v>TI-CENTRE-DRIVE MIKRO-SCHRAUBEN 1,2X9MM</v>
          </cell>
          <cell r="D6997" t="str">
            <v>TI-CENTRE-DRIVE MICRO SCREWS 1,2X9MM</v>
          </cell>
        </row>
        <row r="6998">
          <cell r="B6998" t="str">
            <v>25-601-11-71</v>
          </cell>
          <cell r="C6998" t="str">
            <v>TI-CENTRE-DRIVE MIKRO-SCHRAUBEN 1,2X11MM</v>
          </cell>
          <cell r="D6998" t="str">
            <v>TI-CENTRE-DRIVE MICRO SCREWS 1,2X11MM</v>
          </cell>
        </row>
        <row r="6999">
          <cell r="B6999" t="str">
            <v>25-601-13-71</v>
          </cell>
          <cell r="C6999" t="str">
            <v>TI-CENTRE-DRIVE MIKRO-SCHRAUBEN 1,2X13MM</v>
          </cell>
          <cell r="D6999" t="str">
            <v>TI-CENTRE-DRIVE MICRO SCREWS 1,2X13MM</v>
          </cell>
        </row>
        <row r="7000">
          <cell r="B7000" t="str">
            <v>25-660-02-09</v>
          </cell>
          <cell r="C7000" t="str">
            <v>TI-CENTRE-DRIVE MIKRO-SCHRAUBEN 1X2MM</v>
          </cell>
          <cell r="D7000" t="str">
            <v>TI-CENTRE-DRIVE MICRO SCREWS 1X2MM</v>
          </cell>
        </row>
        <row r="7001">
          <cell r="B7001" t="str">
            <v>25-660-03-09</v>
          </cell>
          <cell r="C7001" t="str">
            <v>TI-CENTRE-DRIVE MIKRO-SCHRAUBEN 1X3MM</v>
          </cell>
          <cell r="D7001" t="str">
            <v>TI-CENTRE-DRIVE MICRO SCREWS 1X3MM</v>
          </cell>
        </row>
        <row r="7002">
          <cell r="B7002" t="str">
            <v>25-660-03-71</v>
          </cell>
          <cell r="C7002" t="str">
            <v>TI-CENTRE-DRIVE SCHRAUBE  1X3MM, STERIL</v>
          </cell>
          <cell r="D7002" t="str">
            <v>TI-CENTRE  DRIVE SCREW 1.0X3MM,  STERILE</v>
          </cell>
        </row>
        <row r="7003">
          <cell r="B7003" t="str">
            <v>25-660-03-75</v>
          </cell>
          <cell r="C7003" t="str">
            <v>TI-CENTRE  DRIVE MIKRO-SCHR. 1X3MM STERIL</v>
          </cell>
          <cell r="D7003" t="str">
            <v>TI-CENTRE  DRIVE SCREWS 1.0X3MM,  STERILE</v>
          </cell>
        </row>
        <row r="7004">
          <cell r="B7004" t="str">
            <v>25-660-04-09</v>
          </cell>
          <cell r="C7004" t="str">
            <v>TI-CENTRE-DRIVE MIKRO-SCHRAUBEN 1X4MM</v>
          </cell>
          <cell r="D7004" t="str">
            <v>TI-CENTRE-DRIVE MICRO SCREWS 1X4MM</v>
          </cell>
        </row>
        <row r="7005">
          <cell r="B7005" t="str">
            <v>25-660-04-25</v>
          </cell>
          <cell r="C7005" t="str">
            <v>TI-CENTRE-DRIVE MIKRO-SCHRAUBEN 1X4MM</v>
          </cell>
          <cell r="D7005" t="str">
            <v>TI-CENTRE-DRIVE MICRO SCREWS 1X4MM</v>
          </cell>
        </row>
        <row r="7006">
          <cell r="B7006" t="str">
            <v>25-660-04-71</v>
          </cell>
          <cell r="C7006" t="str">
            <v>TI-CENTRE-DRIVE SCHRAUBE  1X4MM, STERIL</v>
          </cell>
          <cell r="D7006" t="str">
            <v>TI-CENTRE  DRIVE SCREW 1.0X4MM,  STERILE</v>
          </cell>
        </row>
        <row r="7007">
          <cell r="B7007" t="str">
            <v>25-660-04-75</v>
          </cell>
          <cell r="C7007" t="str">
            <v>TI-CENTRE  DRIVE MIKRO-SCHR. 1X4MM STERIL</v>
          </cell>
          <cell r="D7007" t="str">
            <v>TI-CENTRE  DRIVE SCREWS 1.0X4MM,  STERILE</v>
          </cell>
        </row>
        <row r="7008">
          <cell r="B7008" t="str">
            <v>25-660-05-09</v>
          </cell>
          <cell r="C7008" t="str">
            <v>TI-CENTRE-DRIVE MIKRO-SCHRAUBEN 1X5MM</v>
          </cell>
          <cell r="D7008" t="str">
            <v>TI-CENTRE-DRIVE MICRO SCREWS 1X5MM</v>
          </cell>
        </row>
        <row r="7009">
          <cell r="B7009" t="str">
            <v>25-660-05-25</v>
          </cell>
          <cell r="C7009" t="str">
            <v>TI-CENTRE-DRIVE MIKRO-SCHRAUBEN 1X5MM</v>
          </cell>
          <cell r="D7009" t="str">
            <v>TI-CENTRE-DRIVE MICRO SCREWS 1X5MM</v>
          </cell>
        </row>
        <row r="7010">
          <cell r="B7010" t="str">
            <v>25-660-05-50</v>
          </cell>
          <cell r="C7010" t="str">
            <v>TI-CENTRE-DR.MIKRO-SCHR. 1X5MM,NEUTRAL</v>
          </cell>
          <cell r="D7010" t="str">
            <v>TI-CENTRE-DR.MICRO SCREWS1X5MM,NEUTRAL</v>
          </cell>
        </row>
        <row r="7011">
          <cell r="B7011" t="str">
            <v>25-660-05-71</v>
          </cell>
          <cell r="C7011" t="str">
            <v>TI-CENTRE-DRIVE SCHRAUBE  1X5MM, STERIL</v>
          </cell>
          <cell r="D7011" t="str">
            <v>TI-CENTRE  DRIVE SCREW 1.0X5MM,  STERILE</v>
          </cell>
        </row>
        <row r="7012">
          <cell r="B7012" t="str">
            <v>25-660-05-75</v>
          </cell>
          <cell r="C7012" t="str">
            <v>TI-CENTRE  DRIVE MIKRO-SCHR. 1X5MM STERIL</v>
          </cell>
          <cell r="D7012" t="str">
            <v>TI-CENTRE  DRIVE SCREWS 1.0X5MM,  STERILE</v>
          </cell>
        </row>
        <row r="7013">
          <cell r="B7013" t="str">
            <v>25-660-06-09</v>
          </cell>
          <cell r="C7013" t="str">
            <v>TI-CENTRE-DRIVE MIKRO-SCHRAUBEN 1X6MM</v>
          </cell>
          <cell r="D7013" t="str">
            <v>TI-CENTRE-DRIVE MICRO SCREWS 1X6MM</v>
          </cell>
        </row>
        <row r="7014">
          <cell r="B7014" t="str">
            <v>25-660-06-71</v>
          </cell>
          <cell r="C7014" t="str">
            <v>TI-CENTRE-DRIVE SCHRAUBE  1X6MM, STERIL</v>
          </cell>
          <cell r="D7014" t="str">
            <v>TI-CENTRE  DRIVE SCREW 1.0X6MM,  STERILE</v>
          </cell>
        </row>
        <row r="7015">
          <cell r="B7015" t="str">
            <v>25-660-06-75</v>
          </cell>
          <cell r="C7015" t="str">
            <v>TI-CENTRE-DRIVE MIKRO-SCHR. 1X6MM,STERIL</v>
          </cell>
          <cell r="D7015" t="str">
            <v>TI-CENTRE-DRIVE MICRO SCREWS 1X6MM,STE</v>
          </cell>
        </row>
        <row r="7016">
          <cell r="B7016" t="str">
            <v>25-660-07-09</v>
          </cell>
          <cell r="C7016" t="str">
            <v>TI-CENTRE-DRIVE MIKRO-SCHRAUBEN 1X7MM</v>
          </cell>
          <cell r="D7016" t="str">
            <v>TI-CENTRE-DRIVE MICRO SCREWS 1X7MM</v>
          </cell>
        </row>
        <row r="7017">
          <cell r="B7017" t="str">
            <v>25-660-07-71</v>
          </cell>
          <cell r="C7017" t="str">
            <v>TI-CENTRE-DRIVE SCHRAUBE  1X7MM, STERIL</v>
          </cell>
          <cell r="D7017" t="str">
            <v>TI-CENTRE  DRIVE SCREW 1.0X7MM,  STERILE</v>
          </cell>
        </row>
        <row r="7018">
          <cell r="B7018" t="str">
            <v>25-660-07-75</v>
          </cell>
          <cell r="C7018" t="str">
            <v>TI-CENTRE  DRIVE MIKRO-SCHR. 1X7MM STERIL</v>
          </cell>
          <cell r="D7018" t="str">
            <v>TI-CENTRE  DRIVE SCREWS 1.0X7MM,  STERILE</v>
          </cell>
        </row>
        <row r="7019">
          <cell r="B7019" t="str">
            <v>25-660-09-09</v>
          </cell>
          <cell r="C7019" t="str">
            <v>TI-CENTRE-DRIVE MIKRO-SCHRAUBEN 1X9MM</v>
          </cell>
          <cell r="D7019" t="str">
            <v>TI-CENTRE-DRIVE MICRO SCREWS 1X9MM</v>
          </cell>
        </row>
        <row r="7020">
          <cell r="B7020" t="str">
            <v>25-660-09-25</v>
          </cell>
          <cell r="C7020" t="str">
            <v>TI-CENTRE-DRIVE MIKRO-SCHRAUBEN 1X9MM</v>
          </cell>
          <cell r="D7020" t="str">
            <v>TI-CENTRE-DRIVE MICRO SCREWS 1X9MM</v>
          </cell>
        </row>
        <row r="7021">
          <cell r="B7021" t="str">
            <v>25-660-09-71</v>
          </cell>
          <cell r="C7021" t="str">
            <v>TI-CENTRE-DRIVE SCHRAUBE  1X9MM, STERIL</v>
          </cell>
          <cell r="D7021" t="str">
            <v>TI-CENTRE  DRIVE SCREW 1.0X9MM,  STERILE</v>
          </cell>
        </row>
        <row r="7022">
          <cell r="B7022" t="str">
            <v>25-660-11-09</v>
          </cell>
          <cell r="C7022" t="str">
            <v>TI-CENTRE-DRIVE MIKRO-SCHRAUBEN 1X11MM</v>
          </cell>
          <cell r="D7022" t="str">
            <v>TI-CENTRE-DRIVE MICRO SCREWS 1X11MM</v>
          </cell>
        </row>
        <row r="7023">
          <cell r="B7023" t="str">
            <v>25-660-11-71</v>
          </cell>
          <cell r="C7023" t="str">
            <v>TI-CENTRE-DRIVE SCHRAUBE  1X11MM,  STERIL</v>
          </cell>
          <cell r="D7023" t="str">
            <v>TI-CENTRE  DRIVE SCREW 1.0X11MM, STERILE</v>
          </cell>
        </row>
        <row r="7024">
          <cell r="B7024" t="str">
            <v>25-660-11-75</v>
          </cell>
          <cell r="C7024" t="str">
            <v>TI-CENTRE  DRIVE MIKRO-SCHR 1X11MM  STERIL</v>
          </cell>
          <cell r="D7024" t="str">
            <v>TI-CENTRE  DRIVE SCREWS 1.0X11MM, STERILE</v>
          </cell>
        </row>
        <row r="7025">
          <cell r="B7025" t="str">
            <v>25-660-13-09</v>
          </cell>
          <cell r="C7025" t="str">
            <v>TI-CENTRE-DRIVE MIKRO-SCHRAUBEN 1X13MM</v>
          </cell>
          <cell r="D7025" t="str">
            <v>TI-CENTRE-DRIVE MICRO SCREWS 1X13MM</v>
          </cell>
        </row>
        <row r="7026">
          <cell r="B7026" t="str">
            <v>25-660-13-71</v>
          </cell>
          <cell r="C7026" t="str">
            <v>TI-CENTRE-DRIVE SCHRAUBE  1X13MM,  STERIL</v>
          </cell>
          <cell r="D7026" t="str">
            <v>TI-CENTRE  DRIVE SCREW 1.0X13MM, STERILE</v>
          </cell>
        </row>
        <row r="7027">
          <cell r="B7027" t="str">
            <v>25-660-13-75</v>
          </cell>
          <cell r="C7027" t="str">
            <v>TI-CENTRE  DRIVE MIKRO-SCHR 1X13MM  STERIL</v>
          </cell>
          <cell r="D7027" t="str">
            <v>TI-CENTRE  DRIVE SCREWS 1.0X13MM, STERILE</v>
          </cell>
        </row>
        <row r="7028">
          <cell r="B7028" t="str">
            <v>25-661-03-09</v>
          </cell>
          <cell r="C7028" t="str">
            <v>TI-CENTRE-DRIVE NOTFALLSCHR.1,2X3MM</v>
          </cell>
          <cell r="D7028" t="str">
            <v>TI-CENTRE-DRIVE EMERG. SCREWS 1.2X3MM</v>
          </cell>
        </row>
        <row r="7029">
          <cell r="B7029" t="str">
            <v>25-661-03-25</v>
          </cell>
          <cell r="C7029" t="str">
            <v>TI-CENTRE-DRIVE NOTFALLSCHR.1,2X3MM</v>
          </cell>
          <cell r="D7029" t="str">
            <v>TI-CENTRE-DRIVE EMERG. SCREWS 1.2X3MM</v>
          </cell>
        </row>
        <row r="7030">
          <cell r="B7030" t="str">
            <v>25-661-03-71</v>
          </cell>
          <cell r="C7030" t="str">
            <v>TI-CENTRE-DRIVE NOTFALLSC 1,2X3MM  STERIL</v>
          </cell>
          <cell r="D7030" t="str">
            <v>TI-CENTRE  DRIVE EMERG.SCREW 1.2X3MM,STER</v>
          </cell>
        </row>
        <row r="7031">
          <cell r="B7031" t="str">
            <v>25-661-03-75</v>
          </cell>
          <cell r="C7031" t="str">
            <v>TI-CENTRE  DRIVE NOTFALLSC 1,2X3MM  STERIL</v>
          </cell>
          <cell r="D7031" t="str">
            <v>TI-CENTRE  DRIVE EMERG.SCREWS 1.2X3MM,STE</v>
          </cell>
        </row>
        <row r="7032">
          <cell r="B7032" t="str">
            <v>25-661-05-09</v>
          </cell>
          <cell r="C7032" t="str">
            <v>TI-CENTRE-DRIVE NOTFALLSCHR.1,2X5MM</v>
          </cell>
          <cell r="D7032" t="str">
            <v>TI-CENTRE-DRIVE EMERG. SCREWS 1.2X5MM</v>
          </cell>
        </row>
        <row r="7033">
          <cell r="B7033" t="str">
            <v>25-661-05-71</v>
          </cell>
          <cell r="C7033" t="str">
            <v>TI-CENTRE-DRIVE NOTFALLSC 1,2X5MM  STERIL</v>
          </cell>
          <cell r="D7033" t="str">
            <v>TI-CENTRE  DRIVE EMERG.SCREW 1.2X5MM,STER</v>
          </cell>
        </row>
        <row r="7034">
          <cell r="B7034" t="str">
            <v>25-661-05-75</v>
          </cell>
          <cell r="C7034" t="str">
            <v>TI-CENTRE  DRIVE NOTFALLSC 1,2X5MM  STERIL</v>
          </cell>
          <cell r="D7034" t="str">
            <v>TI-CENTRE  DRIVE EMERG.SCREWS 1.2X5MM,STE</v>
          </cell>
        </row>
        <row r="7035">
          <cell r="B7035" t="str">
            <v>25-662-04-09</v>
          </cell>
          <cell r="C7035" t="str">
            <v>TI-CENTRE-DRIVE MINI-SCHRAUBEN 2X4MM</v>
          </cell>
          <cell r="D7035" t="str">
            <v>TI-CENTRE-DRIVE MINI SCREWS 2X4MM</v>
          </cell>
        </row>
        <row r="7036">
          <cell r="B7036" t="str">
            <v>25-662-04-75</v>
          </cell>
          <cell r="C7036" t="str">
            <v>TI-CENTRE  DRIVE SCHRAUBEN 2,0X4MM,STERIL</v>
          </cell>
          <cell r="D7036" t="str">
            <v>TI-CENTRE  DRIVE SCREWS 2.0X4MM,  STERILE</v>
          </cell>
        </row>
        <row r="7037">
          <cell r="B7037" t="str">
            <v>25-662-05-09</v>
          </cell>
          <cell r="C7037" t="str">
            <v>TI-CENTRE-DRIVE MINI-SCHRAUBEN 2X5MM</v>
          </cell>
          <cell r="D7037" t="str">
            <v>TI-CENTRE-DRIVE MINI SCREWS 2X5MM</v>
          </cell>
        </row>
        <row r="7038">
          <cell r="B7038" t="str">
            <v>25-662-05-25</v>
          </cell>
          <cell r="C7038" t="str">
            <v>TI-CENTRE-DRIVE MINI-SCHRAUBEN 2X5MM</v>
          </cell>
          <cell r="D7038" t="str">
            <v>TI-CENTRE-DRIVE MINI SCREWS 2X5MM</v>
          </cell>
        </row>
        <row r="7039">
          <cell r="B7039" t="str">
            <v>25-662-05-72</v>
          </cell>
          <cell r="C7039" t="str">
            <v>TI-CENTRE  DRIVE SCHRAUBEN 2,0X5MM,STERIL</v>
          </cell>
          <cell r="D7039" t="str">
            <v>TI-CENTRE  DRIVE SCREWS 2.0 X 5MM,STERILE</v>
          </cell>
        </row>
        <row r="7040">
          <cell r="B7040" t="str">
            <v>25-662-05-75</v>
          </cell>
          <cell r="C7040" t="str">
            <v>TI-CENTRE  DRIVE SCHRAUBEN 2,0X5MM,STERIL</v>
          </cell>
          <cell r="D7040" t="str">
            <v>TI-CENTRE  DRIVE SCREWS 2.0 X 5MM,STERILE</v>
          </cell>
        </row>
        <row r="7041">
          <cell r="B7041" t="str">
            <v>25-662-07-09</v>
          </cell>
          <cell r="C7041" t="str">
            <v>TI-CENTRE-DRIVE MINI-SCHRAUBEN 2X7MM</v>
          </cell>
          <cell r="D7041" t="str">
            <v>TI-CENTRE-DRIVE MINI SCREWS 2X7MM</v>
          </cell>
        </row>
        <row r="7042">
          <cell r="B7042" t="str">
            <v>25-662-07-25</v>
          </cell>
          <cell r="C7042" t="str">
            <v>TI-CENTRE-DRIVE MINI-SCHRAUBEN 2X7MM</v>
          </cell>
          <cell r="D7042" t="str">
            <v>TI-CENTRE-DRIVE MINI SCREWS 2X7MM</v>
          </cell>
        </row>
        <row r="7043">
          <cell r="B7043" t="str">
            <v>25-662-07-72</v>
          </cell>
          <cell r="C7043" t="str">
            <v>TI-CENTRE  DRIVE SCHRAUBEN 2,0X7MM,STERIL</v>
          </cell>
          <cell r="D7043" t="str">
            <v>TI-CENTRE  DRIVE SCREWS 2.0 X 7MM,STERILE</v>
          </cell>
        </row>
        <row r="7044">
          <cell r="B7044" t="str">
            <v>25-662-07-75</v>
          </cell>
          <cell r="C7044" t="str">
            <v>TI-CENTRE  DRIVE SCHRAUBEN 2,0X7MM,STERIL</v>
          </cell>
          <cell r="D7044" t="str">
            <v>TI-CENTRE  DRIVE SCREWS 2.0 X 7MM,STERILE</v>
          </cell>
        </row>
        <row r="7045">
          <cell r="B7045" t="str">
            <v>25-662-09-09</v>
          </cell>
          <cell r="C7045" t="str">
            <v>TI-CENTRE-DRIVE MINI-SCHRAUBEN 2X9MM</v>
          </cell>
          <cell r="D7045" t="str">
            <v>TI-CENTRE-DRIVE MINI SCREWS 2X9MM</v>
          </cell>
        </row>
        <row r="7046">
          <cell r="B7046" t="str">
            <v>25-662-09-25</v>
          </cell>
          <cell r="C7046" t="str">
            <v>TI-CENTRE-DRIVE MINI-SCHRAUBEN 2X9MM</v>
          </cell>
          <cell r="D7046" t="str">
            <v>TI-CENTRE-DRIVE MINI SCREWS 2X9MM</v>
          </cell>
        </row>
        <row r="7047">
          <cell r="B7047" t="str">
            <v>25-662-09-75</v>
          </cell>
          <cell r="C7047" t="str">
            <v>TI-CENTRE  DRIVE SCHRAUBEN 2,0X9MM,STERIL</v>
          </cell>
          <cell r="D7047" t="str">
            <v>TI-CENTRE  DRIVE SCREWS 2.0 X 9MM,STERILE</v>
          </cell>
        </row>
        <row r="7048">
          <cell r="B7048" t="str">
            <v>25-662-11-09</v>
          </cell>
          <cell r="C7048" t="str">
            <v>TI-CENTRE-DRIVE MINI-SCHRAUBEN 2X11MM</v>
          </cell>
          <cell r="D7048" t="str">
            <v>TI-CENTRE-DRIVE MINI SCREWS 2X11MM</v>
          </cell>
        </row>
        <row r="7049">
          <cell r="B7049" t="str">
            <v>25-662-11-25</v>
          </cell>
          <cell r="C7049" t="str">
            <v>TI-CENTRE-DRIVE MINI-SCHRAUBEN 2X11MM</v>
          </cell>
          <cell r="D7049" t="str">
            <v>TI-CENTRE-DRIVE MINI SCREWS 2X11MM</v>
          </cell>
        </row>
        <row r="7050">
          <cell r="B7050" t="str">
            <v>25-662-11-72</v>
          </cell>
          <cell r="C7050" t="str">
            <v>TI-CENTRE  DRIVE SCHRAUBEN 2 X11MM,STERIL</v>
          </cell>
          <cell r="D7050" t="str">
            <v>TI-CENTRE  DRIVE SCREWS 2.0 X11MM,STERILE</v>
          </cell>
        </row>
        <row r="7051">
          <cell r="B7051" t="str">
            <v>25-662-11-75</v>
          </cell>
          <cell r="C7051" t="str">
            <v>TI-CENTRE  DRIVE SCHRAUBEN 2 X11MM,STERIL</v>
          </cell>
          <cell r="D7051" t="str">
            <v>TI-CENTRE  DRIVE SCREWS 2.0 X11MM,STERILE</v>
          </cell>
        </row>
        <row r="7052">
          <cell r="B7052" t="str">
            <v>25-662-13-09</v>
          </cell>
          <cell r="C7052" t="str">
            <v>TI-CENTRE-DRIVE MINI-SCHRAUBEN 2X13MM</v>
          </cell>
          <cell r="D7052" t="str">
            <v>TI-CENTRE-DRIVE MINI SCREWS 2X13MM</v>
          </cell>
        </row>
        <row r="7053">
          <cell r="B7053" t="str">
            <v>25-662-13-25</v>
          </cell>
          <cell r="C7053" t="str">
            <v>TI-CENTRE-DRIVE MINI-SCHRAUBEN 2X13MM</v>
          </cell>
          <cell r="D7053" t="str">
            <v>TI-CENTRE-DRIVE MINI SCREWS 2X13MM</v>
          </cell>
        </row>
        <row r="7054">
          <cell r="B7054" t="str">
            <v>25-662-13-72</v>
          </cell>
          <cell r="C7054" t="str">
            <v>TI-CENTRE  DRIVE SCHRAUBEN 2 X13MM,STERIL</v>
          </cell>
          <cell r="D7054" t="str">
            <v>TI-CENTRE  DRIVE SCREWS 2.0 X13MM,STERILE</v>
          </cell>
        </row>
        <row r="7055">
          <cell r="B7055" t="str">
            <v>25-662-13-75</v>
          </cell>
          <cell r="C7055" t="str">
            <v>TI-CENTRE  DRIVE SCHRAUBEN 2 X13MM,STERIL</v>
          </cell>
          <cell r="D7055" t="str">
            <v>TI-CENTRE  DRIVE SCREWS 2.0 X13MM,STERILE</v>
          </cell>
        </row>
        <row r="7056">
          <cell r="B7056" t="str">
            <v>25-662-15-09</v>
          </cell>
          <cell r="C7056" t="str">
            <v>TI-CENTRE-DRIVE MINI-SCHRAUBEN 2X15MM</v>
          </cell>
          <cell r="D7056" t="str">
            <v>TI-CENTRE-DRIVE MINI SCREWS 2X15MM</v>
          </cell>
        </row>
        <row r="7057">
          <cell r="B7057" t="str">
            <v>25-662-15-25</v>
          </cell>
          <cell r="C7057" t="str">
            <v>TI-CENTRE-DRIVE MINI-SCHRAUBEN 2X15MM</v>
          </cell>
          <cell r="D7057" t="str">
            <v>TI-CENTRE-DRIVE MINI SCREWS 2X15MM</v>
          </cell>
        </row>
        <row r="7058">
          <cell r="B7058" t="str">
            <v>25-662-15-72</v>
          </cell>
          <cell r="C7058" t="str">
            <v>TI-CENTRE  DRIVE SCHRAUBEN 2 X15MM,STERIL</v>
          </cell>
          <cell r="D7058" t="str">
            <v>TI-CENTRE  DRIVE SCREWS 2.0 X15MM,STERILE</v>
          </cell>
        </row>
        <row r="7059">
          <cell r="B7059" t="str">
            <v>25-662-15-75</v>
          </cell>
          <cell r="C7059" t="str">
            <v>TI-CENTRE  DRIVE SCHRAUBEN 2 X15MM,STERIL</v>
          </cell>
          <cell r="D7059" t="str">
            <v>TI-CENTRE  DRIVE SCREWS 2.0 X15MM,STERILE</v>
          </cell>
        </row>
        <row r="7060">
          <cell r="B7060" t="str">
            <v>25-662-17-09</v>
          </cell>
          <cell r="C7060" t="str">
            <v>TI-CENTRE-DRIVE MINI-SCHRAUBEN 2X17MM</v>
          </cell>
          <cell r="D7060" t="str">
            <v>TI-CENTRE-DRIVE MINI SCREWS 2X17MM</v>
          </cell>
        </row>
        <row r="7061">
          <cell r="B7061" t="str">
            <v>25-662-17-72</v>
          </cell>
          <cell r="C7061" t="str">
            <v>TI-CENTRE-DRIVE SCHRAUBEN 2X17MM,  STERIL</v>
          </cell>
          <cell r="D7061" t="str">
            <v>TI-CENTRE-DRIVE SCREWS 2.0X17MM,STERILE</v>
          </cell>
        </row>
        <row r="7062">
          <cell r="B7062" t="str">
            <v>25-662-17-75</v>
          </cell>
          <cell r="C7062" t="str">
            <v>TI-CENTRE  DRIVE SCHRAUB.2,0X17MM,STERIL</v>
          </cell>
          <cell r="D7062" t="str">
            <v>TI-CENTRE-DRIVE SCREWS 2.0X17MM,STERILE</v>
          </cell>
        </row>
        <row r="7063">
          <cell r="B7063" t="str">
            <v>25-662-19-09</v>
          </cell>
          <cell r="C7063" t="str">
            <v>TI-CENTRE-DRIVE MINI-SCHRAUBEN 2X19MM</v>
          </cell>
          <cell r="D7063" t="str">
            <v>TI-CENTRE-DRIVE MINI SCREWS 2X19MM</v>
          </cell>
        </row>
        <row r="7064">
          <cell r="B7064" t="str">
            <v>25-662-19-72</v>
          </cell>
          <cell r="C7064" t="str">
            <v>TI-CENTRE-DRIVE SCHRAUBEN 2X19MM,  STERIL</v>
          </cell>
          <cell r="D7064" t="str">
            <v>TI-CENTRE-DRIVE SCREWS 2.0X19MM,STERILE</v>
          </cell>
        </row>
        <row r="7065">
          <cell r="B7065" t="str">
            <v>25-662-19-75</v>
          </cell>
          <cell r="C7065" t="str">
            <v>TI-CENTRE  DRIVE SCHRAUB.2,0X19MM,STERIL</v>
          </cell>
          <cell r="D7065" t="str">
            <v>TI-CENTRE-DRIVE SCREWS 2.0X19MM,STERILE</v>
          </cell>
        </row>
        <row r="7066">
          <cell r="B7066" t="str">
            <v>25-663-05-09</v>
          </cell>
          <cell r="C7066" t="str">
            <v>TI-CENTRE-DRIVE SCHRAUBEN 2,3X5MM</v>
          </cell>
          <cell r="D7066" t="str">
            <v>TI-CENTRE-DRIVE SCREWS 2.3X5MM</v>
          </cell>
        </row>
        <row r="7067">
          <cell r="B7067" t="str">
            <v>25-663-07-09</v>
          </cell>
          <cell r="C7067" t="str">
            <v>TI-CENTRE-DRIVE SCHRAUBEN 2,3X7MM</v>
          </cell>
          <cell r="D7067" t="str">
            <v>TI-CENTRE-DRIVE SCREWS 2.3X7MM</v>
          </cell>
        </row>
        <row r="7068">
          <cell r="B7068" t="str">
            <v>25-663-07-25</v>
          </cell>
          <cell r="C7068" t="str">
            <v>TI-CENTRE-DRIVE SCHRAUBEN 2,3X7MM</v>
          </cell>
          <cell r="D7068" t="str">
            <v>TI-CENTRE-DRIVE SCREWS 2.3X7MM</v>
          </cell>
        </row>
        <row r="7069">
          <cell r="B7069" t="str">
            <v>25-663-07-75</v>
          </cell>
          <cell r="C7069" t="str">
            <v>TI-CENTRE  DRIVE SCHRAUBEN 2,3X7MM,STERIL</v>
          </cell>
          <cell r="D7069" t="str">
            <v>TI-CENTRE  DRIVE SCREWS 2.3 X 7MM,STERILE</v>
          </cell>
        </row>
        <row r="7070">
          <cell r="B7070" t="str">
            <v>25-663-09-09</v>
          </cell>
          <cell r="C7070" t="str">
            <v>TI-CENTRE-DRIVE SCHRAUBEN 2,3X9MM</v>
          </cell>
          <cell r="D7070" t="str">
            <v>TI-CENTRE-DRIVE SCREWS 2.3X9MM</v>
          </cell>
        </row>
        <row r="7071">
          <cell r="B7071" t="str">
            <v>25-663-09-25</v>
          </cell>
          <cell r="C7071" t="str">
            <v>TI-CENTRE-DRIVE SCHRAUBEN 2,3X9MM</v>
          </cell>
          <cell r="D7071" t="str">
            <v>TI-CENTRE-DRIVE SCREWS 2.3X9MM</v>
          </cell>
        </row>
        <row r="7072">
          <cell r="B7072" t="str">
            <v>25-663-11-09</v>
          </cell>
          <cell r="C7072" t="str">
            <v>TI-CENTRE-DRIVE SCHRAUBEN 2,3X11MM</v>
          </cell>
          <cell r="D7072" t="str">
            <v>TI-CENTRE-DRIVE SCREWS 2.3X11MM</v>
          </cell>
        </row>
        <row r="7073">
          <cell r="B7073" t="str">
            <v>25-663-11-25</v>
          </cell>
          <cell r="C7073" t="str">
            <v>TI-CENTRE-DRIVE SCHRAUBEN 2,3X11MM</v>
          </cell>
          <cell r="D7073" t="str">
            <v>TI-CENTRE-DRIVE SCREWS 2.3X11MM</v>
          </cell>
        </row>
        <row r="7074">
          <cell r="B7074" t="str">
            <v>25-663-13-09</v>
          </cell>
          <cell r="C7074" t="str">
            <v>TI-CENTRE-DRIVE SCHRAUBEN 2,3X13MM</v>
          </cell>
          <cell r="D7074" t="str">
            <v>TI-CENTRE-DRIVE SCREWS 2.3X13MM</v>
          </cell>
        </row>
        <row r="7075">
          <cell r="B7075" t="str">
            <v>25-663-15-09</v>
          </cell>
          <cell r="C7075" t="str">
            <v>TI-CENTRE-DRIVE SCHRAUBEN 2,3X15MM</v>
          </cell>
          <cell r="D7075" t="str">
            <v>TI-CENTRE-DRIVE SCREWS 2.3X15MM</v>
          </cell>
        </row>
        <row r="7076">
          <cell r="B7076" t="str">
            <v>25-663-15-25</v>
          </cell>
          <cell r="C7076" t="str">
            <v>TI-CENTRE-DRIVE SCHRAUBEN 2,3X15MM</v>
          </cell>
          <cell r="D7076" t="str">
            <v>TI-CENTRE-DRIVE SCREWS 2.3X15MM</v>
          </cell>
        </row>
        <row r="7077">
          <cell r="B7077" t="str">
            <v>25-663-17-09</v>
          </cell>
          <cell r="C7077" t="str">
            <v>TI-CENTRE-DRIVE SCHRAUBEN 2,3X17MM</v>
          </cell>
          <cell r="D7077" t="str">
            <v>TI-CENTRE-DRIVE SCREWS 2.3X17MM</v>
          </cell>
        </row>
        <row r="7078">
          <cell r="B7078" t="str">
            <v>25-663-19-09</v>
          </cell>
          <cell r="C7078" t="str">
            <v>TI-CENTRE-DRIVE SCHRAUBEN 2,3X19MM</v>
          </cell>
          <cell r="D7078" t="str">
            <v>TI-CENTRE-DRIVE SCREWS 2.3X19MM</v>
          </cell>
        </row>
        <row r="7079">
          <cell r="B7079" t="str">
            <v>25-663-45-09</v>
          </cell>
          <cell r="C7079" t="str">
            <v>TI-CENTRE-DRIVE NOTFALLSCHR.2,3X5MM</v>
          </cell>
          <cell r="D7079" t="str">
            <v>TI-CENTRE-DRIVE EMERG. SCREWS 2.3X5MM</v>
          </cell>
        </row>
        <row r="7080">
          <cell r="B7080" t="str">
            <v>25-663-45-25</v>
          </cell>
          <cell r="C7080" t="str">
            <v>TI-CENTRE-DRIVE NOTFALLSCHR.2,3X5MM</v>
          </cell>
          <cell r="D7080" t="str">
            <v>TI-CENTRE-DRIVE EMERG. SCREWS 2.3X5MM</v>
          </cell>
        </row>
        <row r="7081">
          <cell r="B7081" t="str">
            <v>25-663-47-09</v>
          </cell>
          <cell r="C7081" t="str">
            <v>TI-CENTRE-DRIVE NOTFALLSCHR.2,3X7MM</v>
          </cell>
          <cell r="D7081" t="str">
            <v>TI-CENTRE-DRIVE EMERG. SCREWS 2.3X7MM</v>
          </cell>
        </row>
        <row r="7082">
          <cell r="B7082" t="str">
            <v>25-663-47-75</v>
          </cell>
          <cell r="C7082" t="str">
            <v>TI-CENTRE  DRIVE NOTFALLSC 2,3X7MM,STERIL</v>
          </cell>
          <cell r="D7082" t="str">
            <v>TI-CENTRE  DRIVE EMERG.SCREWS 2.3X7MM,STE</v>
          </cell>
        </row>
        <row r="7083">
          <cell r="B7083" t="str">
            <v>25-663-49-09</v>
          </cell>
          <cell r="C7083" t="str">
            <v>TI-CENTRE-DRIVE NOTFALLSCHR.2,3X9MM</v>
          </cell>
          <cell r="D7083" t="str">
            <v>TI-CENTRE-DRIVE EMERG. SCREWS 2.3X9MM</v>
          </cell>
        </row>
        <row r="7084">
          <cell r="B7084" t="str">
            <v>25-663-49-25</v>
          </cell>
          <cell r="C7084" t="str">
            <v>TI-CENTRE-DRIVE NOTFALLSCHR.2,3X9MM</v>
          </cell>
          <cell r="D7084" t="str">
            <v>TI-CENTRE-DRIVE EMERG. SCREWS 2.3X9MM</v>
          </cell>
        </row>
        <row r="7085">
          <cell r="B7085" t="str">
            <v>25-663-49-75</v>
          </cell>
          <cell r="C7085" t="str">
            <v>TI-CENTRE-DRIVE NOTFALLSC.2,3X9MM,STERIL</v>
          </cell>
          <cell r="D7085" t="str">
            <v>TI-CENTRE-DRIVE EMERG.SCREWS 2.3X9MM,STE</v>
          </cell>
        </row>
        <row r="7086">
          <cell r="B7086" t="str">
            <v>25-664-09-09</v>
          </cell>
          <cell r="C7086" t="str">
            <v>TI-CENTRE-DRIVE NOTFALLSCHR.2,5X9MM</v>
          </cell>
          <cell r="D7086" t="str">
            <v>TI-CENTRE-DRIVE EMERG. SCREWS 2.5X9MM</v>
          </cell>
        </row>
        <row r="7087">
          <cell r="B7087" t="str">
            <v>25-664-13-09</v>
          </cell>
          <cell r="C7087" t="str">
            <v>TI-CENTRE-DRIVE NOTFALLSCHR.2,5X13MM</v>
          </cell>
          <cell r="D7087" t="str">
            <v>TI-CENTRE-DRIVE EMERG. SCREWS 2.5X13MM</v>
          </cell>
        </row>
        <row r="7088">
          <cell r="B7088" t="str">
            <v>25-664-17-09</v>
          </cell>
          <cell r="C7088" t="str">
            <v>TI-CENTRE-DRIVE NOTFALLSCHR.2,5X17MM</v>
          </cell>
          <cell r="D7088" t="str">
            <v>TI-CENTRE-DRIVE EMERG. SCREWS 2.5X17MM</v>
          </cell>
        </row>
        <row r="7089">
          <cell r="B7089" t="str">
            <v>25-665-03-09</v>
          </cell>
          <cell r="C7089" t="str">
            <v>TI-CENTRE-DRIVE MIKRO-SCHR.1,5X3,5MM</v>
          </cell>
          <cell r="D7089" t="str">
            <v>TI-CENTRE-DRIVE MICRO SCREWS 1.5X3.5MM</v>
          </cell>
        </row>
        <row r="7090">
          <cell r="B7090" t="str">
            <v>25-665-03-25</v>
          </cell>
          <cell r="C7090" t="str">
            <v>TI-CENTRE-DRIVE MIKRO-SCHR.1,5X3,5MM</v>
          </cell>
          <cell r="D7090" t="str">
            <v>TI-CENTRE-DRIVE MICRO SCREWS 1.5X3.5MM</v>
          </cell>
        </row>
        <row r="7091">
          <cell r="B7091" t="str">
            <v>25-665-03-72</v>
          </cell>
          <cell r="C7091" t="str">
            <v>TI-CENTRE  DRIVE SCHRAUB.1,5X3,5MM,STERIL</v>
          </cell>
          <cell r="D7091" t="str">
            <v>TI-CENTRE  DRIVE SCREWS 1.5X3.5MM,STERILE</v>
          </cell>
        </row>
        <row r="7092">
          <cell r="B7092" t="str">
            <v>25-665-03-75</v>
          </cell>
          <cell r="C7092" t="str">
            <v>TI-CENTRE  DRIVE SCHRAUB.1,5X3,5MM,STERIL</v>
          </cell>
          <cell r="D7092" t="str">
            <v>TI-CENTRE  DRIVE SCREWS 1.5X3.5MM,STERILE</v>
          </cell>
        </row>
        <row r="7093">
          <cell r="B7093" t="str">
            <v>25-665-04-09</v>
          </cell>
          <cell r="C7093" t="str">
            <v>TI-CENTRE-DRIVE MIKRO-SCHR.1,5X4MM</v>
          </cell>
          <cell r="D7093" t="str">
            <v>TI-CENTRE-DRIVE MICRO SCREWS 1.5X4MM</v>
          </cell>
        </row>
        <row r="7094">
          <cell r="B7094" t="str">
            <v>25-665-04-25</v>
          </cell>
          <cell r="C7094" t="str">
            <v>TI-CENTRE-DRIVE MIKRO-SCHR.1,5X4MM</v>
          </cell>
          <cell r="D7094" t="str">
            <v>TI-CENTRE-DRIVE MICRO SCREWS 1.5X4MM</v>
          </cell>
        </row>
        <row r="7095">
          <cell r="B7095" t="str">
            <v>25-665-04-72</v>
          </cell>
          <cell r="C7095" t="str">
            <v>TI-CENTRE  DRIVE SCHRAUBEN 1,5X4MM,STERIL</v>
          </cell>
          <cell r="D7095" t="str">
            <v>TI-CENTRE  DRIVE SCREWS 1.5 X 4MM,STERILE</v>
          </cell>
        </row>
        <row r="7096">
          <cell r="B7096" t="str">
            <v>25-665-04-75</v>
          </cell>
          <cell r="C7096" t="str">
            <v>TI-CENTRE  DRIVE SCHRAUBEN 1,5X4MM,STERIL</v>
          </cell>
          <cell r="D7096" t="str">
            <v>TI-CENTRE  DRIVE SCREWS 1.5 X 4MM,STERILE</v>
          </cell>
        </row>
        <row r="7097">
          <cell r="B7097" t="str">
            <v>25-665-05-09</v>
          </cell>
          <cell r="C7097" t="str">
            <v>TI-CENTRE-DRIVE MIKRO-SCHR.1,5X5MM</v>
          </cell>
          <cell r="D7097" t="str">
            <v>TI-CENTRE-DRIVE MICRO SCREWS 1.5X5MM</v>
          </cell>
        </row>
        <row r="7098">
          <cell r="B7098" t="str">
            <v>25-665-05-25</v>
          </cell>
          <cell r="C7098" t="str">
            <v>TI-CENTRE-DRIVE MIKRO-SCHR.1,5X5MM</v>
          </cell>
          <cell r="D7098" t="str">
            <v>TI-CENTRE-DRIVE MICRO SCREWS 1.5X5MM</v>
          </cell>
        </row>
        <row r="7099">
          <cell r="B7099" t="str">
            <v>25-665-05-72</v>
          </cell>
          <cell r="C7099" t="str">
            <v>TI-CENTRE  DRIVE SCHRAUBEN 1,5X5MM,STERIL</v>
          </cell>
          <cell r="D7099" t="str">
            <v>TI-CENTRE  DRIVE SCREWS 1.5 X 5MM,STERILE</v>
          </cell>
        </row>
        <row r="7100">
          <cell r="B7100" t="str">
            <v>25-665-05-75</v>
          </cell>
          <cell r="C7100" t="str">
            <v>TI-CENTRE  DRIVE SCHRAUBEN 1,5X5MM,STERIL</v>
          </cell>
          <cell r="D7100" t="str">
            <v>TI-CENTRE  DRIVE SCREWS 1.5 X 5MM,STERILE</v>
          </cell>
        </row>
        <row r="7101">
          <cell r="B7101" t="str">
            <v>25-665-06-09</v>
          </cell>
          <cell r="C7101" t="str">
            <v>TI-CENTRE-DRIVE MIKRO-SCHR.1,5X6MM</v>
          </cell>
          <cell r="D7101" t="str">
            <v>TI-CENTRE-DRIVE MICRO SCREWS 1.5X6MM</v>
          </cell>
        </row>
        <row r="7102">
          <cell r="B7102" t="str">
            <v>25-665-06-25</v>
          </cell>
          <cell r="C7102" t="str">
            <v>TI-CENTRE-DRIVE MIKRO-SCHR.1,5X6MM</v>
          </cell>
          <cell r="D7102" t="str">
            <v>TI-CENTRE-DRIVE MICRO SCREWS 1.5X6MM</v>
          </cell>
        </row>
        <row r="7103">
          <cell r="B7103" t="str">
            <v>25-665-06-75</v>
          </cell>
          <cell r="C7103" t="str">
            <v>TI-CENTRE  DRIVE SCHRAUBEN 1,5X6MM,STERIL</v>
          </cell>
          <cell r="D7103" t="str">
            <v>TI-CENTRE  DRIVE SCREWS 1.5 X 6MM,STERILE</v>
          </cell>
        </row>
        <row r="7104">
          <cell r="B7104" t="str">
            <v>25-665-07-09</v>
          </cell>
          <cell r="C7104" t="str">
            <v>TI-CENTRE-DRIVE MIKRO-SCHR.1,5X7MM</v>
          </cell>
          <cell r="D7104" t="str">
            <v>TI-CENTRE-DRIVE MICRO SCREWS 1.5X7MM</v>
          </cell>
        </row>
        <row r="7105">
          <cell r="B7105" t="str">
            <v>25-665-07-21</v>
          </cell>
          <cell r="C7105" t="str">
            <v>Ti-Centre-Dr.Mikro-Schr.1,5x7mm,neutral</v>
          </cell>
          <cell r="D7105" t="str">
            <v>Ti-centre-dr.micro srews1.5x7mm,neutral</v>
          </cell>
        </row>
        <row r="7106">
          <cell r="B7106" t="str">
            <v>25-665-07-25</v>
          </cell>
          <cell r="C7106" t="str">
            <v>TI-CENTRE-DRIVE MIKRO-SCHR.1,5X7MM</v>
          </cell>
          <cell r="D7106" t="str">
            <v>TI-CENTRE-DRIVE MICRO SCREWS 1.5X7MM</v>
          </cell>
        </row>
        <row r="7107">
          <cell r="B7107" t="str">
            <v>25-665-07-72</v>
          </cell>
          <cell r="C7107" t="str">
            <v>TI-CENTRE  DRIVE SCHRAUBEN 1,5X7MM,STERIL</v>
          </cell>
          <cell r="D7107" t="str">
            <v>TI-CENTRE  DRIVE SCREWS 1.5 X 7MM,STERILE</v>
          </cell>
        </row>
        <row r="7108">
          <cell r="B7108" t="str">
            <v>25-665-07-75</v>
          </cell>
          <cell r="C7108" t="str">
            <v>TI-CENTRE  DRIVE SCHRAUBEN 1,5X7MM,STERIL</v>
          </cell>
          <cell r="D7108" t="str">
            <v>TI-CENTRE  DRIVE SCREWS 1.5 X 7MM,STERILE</v>
          </cell>
        </row>
        <row r="7109">
          <cell r="B7109" t="str">
            <v>25-665-08-09</v>
          </cell>
          <cell r="C7109" t="str">
            <v>TI-CENTRE-DRIVE MIKRO-SCHR.1,5X8MM</v>
          </cell>
          <cell r="D7109" t="str">
            <v>TI-CENTRE-DRIVE MICRO SCREWS 1.5X8MM</v>
          </cell>
        </row>
        <row r="7110">
          <cell r="B7110" t="str">
            <v>25-665-08-75</v>
          </cell>
          <cell r="C7110" t="str">
            <v>TI-CENTRE-DRIVE SCHRAUBEN 1,5X8MM,STERIL</v>
          </cell>
          <cell r="D7110" t="str">
            <v>TI-CENTRE-DRIVE SCREWS 1.5X8MM,STERILE</v>
          </cell>
        </row>
        <row r="7111">
          <cell r="B7111" t="str">
            <v>25-665-09-09</v>
          </cell>
          <cell r="C7111" t="str">
            <v>TI-CENTRE-DRIVE MIKRO-SCHR.1,5X9MM</v>
          </cell>
          <cell r="D7111" t="str">
            <v>TI-CENTRE-DRIVE MICRO SCREWS 1.5X9MM</v>
          </cell>
        </row>
        <row r="7112">
          <cell r="B7112" t="str">
            <v>25-665-09-21</v>
          </cell>
          <cell r="C7112" t="str">
            <v>TI-CENTRE-DR.MIKRO-SCHR.1,5X9MM,NEUTRAL</v>
          </cell>
          <cell r="D7112" t="str">
            <v>TI-CENTRE-DR.MICRO SCREWS1.5X9MM,NEUTRAL</v>
          </cell>
        </row>
        <row r="7113">
          <cell r="B7113" t="str">
            <v>25-665-09-25</v>
          </cell>
          <cell r="C7113" t="str">
            <v>TI-CENTRE-DRIVE MIKRO-SCHR.1,5X9MM</v>
          </cell>
          <cell r="D7113" t="str">
            <v>TI-CENTRE-DRIVE MICRO SCREWS 1.5X9MM</v>
          </cell>
        </row>
        <row r="7114">
          <cell r="B7114" t="str">
            <v>25-665-09-72</v>
          </cell>
          <cell r="C7114" t="str">
            <v>TI-CENTRE  DRIVE SCHRAUBEN 1,5X9MM,STERIL</v>
          </cell>
          <cell r="D7114" t="str">
            <v>TI-CENTRE  DRIVE SCREWS 1.5 X 9MM,STERILE</v>
          </cell>
        </row>
        <row r="7115">
          <cell r="B7115" t="str">
            <v>25-665-09-75</v>
          </cell>
          <cell r="C7115" t="str">
            <v>TI-CENTRE  DRIVE SCHRAUBEN 1,5X9MM,STERIL</v>
          </cell>
          <cell r="D7115" t="str">
            <v>TI-CENTRE  DRIVE SCREWS 1.5 X 9MM,STERILE</v>
          </cell>
        </row>
        <row r="7116">
          <cell r="B7116" t="str">
            <v>25-665-11-09</v>
          </cell>
          <cell r="C7116" t="str">
            <v>TI-CENTRE-DRIVE MIKRO-SCHR.1,5X11MM</v>
          </cell>
          <cell r="D7116" t="str">
            <v>TI-CENTRE-DRIVE MICRO SCREWS 1.5X11MM</v>
          </cell>
        </row>
        <row r="7117">
          <cell r="B7117" t="str">
            <v>25-665-11-21</v>
          </cell>
          <cell r="C7117" t="str">
            <v>TI-CENTRE-DR.MIKRO-SCHR.1,5X11MM,NEUTRAL</v>
          </cell>
          <cell r="D7117" t="str">
            <v>TI-CENTRE-DR.MICRO SCREW1.5X11MM,NEUTRAL</v>
          </cell>
        </row>
        <row r="7118">
          <cell r="B7118" t="str">
            <v>25-665-11-72</v>
          </cell>
          <cell r="C7118" t="str">
            <v>TI-CENTRE  DRIVE SCHRAUB.  1,5X11MM,STERIL</v>
          </cell>
          <cell r="D7118" t="str">
            <v>TI-CENTRE  DRIVE SCREWS 1.5 X11MM,STERILE</v>
          </cell>
        </row>
        <row r="7119">
          <cell r="B7119" t="str">
            <v>25-665-11-75</v>
          </cell>
          <cell r="C7119" t="str">
            <v>TI-CENTRE  DRIVE SCHRAUB.  1,5X11MM,STERIL</v>
          </cell>
          <cell r="D7119" t="str">
            <v>TI-CENTRE  DRIVE SCREWS 1.5 X11MM,STERILE</v>
          </cell>
        </row>
        <row r="7120">
          <cell r="B7120" t="str">
            <v>25-665-13-09</v>
          </cell>
          <cell r="C7120" t="str">
            <v>TI-CENTRE-DRIVE MIKRO-SCHR.1,5X13MM</v>
          </cell>
          <cell r="D7120" t="str">
            <v>TI-CENTRE-DRIVE MICRO SCREWS 1.5X13MM</v>
          </cell>
        </row>
        <row r="7121">
          <cell r="B7121" t="str">
            <v>25-665-13-75</v>
          </cell>
          <cell r="C7121" t="str">
            <v>TI-CENTRE  DRIVE SCHRAUB.1,5X13MM,STERIL</v>
          </cell>
          <cell r="D7121" t="str">
            <v>TI-CENTRE-DRIVE SCREWS 1.5X13MM,STERILE</v>
          </cell>
        </row>
        <row r="7122">
          <cell r="B7122" t="str">
            <v>25-665-15-09</v>
          </cell>
          <cell r="C7122" t="str">
            <v>TI-CENTRE-DRIVE MIKRO-SCHR.1,5X15MM</v>
          </cell>
          <cell r="D7122" t="str">
            <v>TI-CENTRE-DRIVE MICRO SCREWS 1.5X15MM</v>
          </cell>
        </row>
        <row r="7123">
          <cell r="B7123" t="str">
            <v>25-665-15-72</v>
          </cell>
          <cell r="C7123" t="str">
            <v>TI-CENTRE  DRIVE SCHRAUB.  1,5X15MM,STERIL</v>
          </cell>
          <cell r="D7123" t="str">
            <v>TI-CENTRE  DRIVE SCREWS 1.5X15MM, STERILE</v>
          </cell>
        </row>
        <row r="7124">
          <cell r="B7124" t="str">
            <v>25-665-15-75</v>
          </cell>
          <cell r="C7124" t="str">
            <v>TI-CENTRE  DRIVE SCHRAUB.1,5X15MM,STERIL</v>
          </cell>
          <cell r="D7124" t="str">
            <v>TI-CENTRE  DRIVE SCREWS 1.5X15MM,STERILE</v>
          </cell>
        </row>
        <row r="7125">
          <cell r="B7125" t="str">
            <v>25-666-03-09</v>
          </cell>
          <cell r="C7125" t="str">
            <v>TI-CENTRE-DRIVE NOTFALLSCHR.1,8X3,5MM</v>
          </cell>
          <cell r="D7125" t="str">
            <v>TI-CENTRE-DRIVE EMERG.SCREWS 1.8X3.5MM</v>
          </cell>
        </row>
        <row r="7126">
          <cell r="B7126" t="str">
            <v>25-666-03-72</v>
          </cell>
          <cell r="C7126" t="str">
            <v>TI-CENTRE  DRIVE NOTFALLSCH 1,8X3,5MM,STE</v>
          </cell>
          <cell r="D7126" t="str">
            <v>TI-CENTRE  DRIVE EMERG.SCREWS 1.8X3.5MM,S</v>
          </cell>
        </row>
        <row r="7127">
          <cell r="B7127" t="str">
            <v>25-666-03-75</v>
          </cell>
          <cell r="C7127" t="str">
            <v>TI-CENTRE  DRIVE NOTFALLSCH 1,8X3,5MM,STE</v>
          </cell>
          <cell r="D7127" t="str">
            <v>TI-CENTRE  DRIVE EMERG.SCREWS 1.8X3.5MM,S</v>
          </cell>
        </row>
        <row r="7128">
          <cell r="B7128" t="str">
            <v>25-666-05-09</v>
          </cell>
          <cell r="C7128" t="str">
            <v>TI-CENTRE-DRIVE NOTFALLSCHR.1,8X5MM</v>
          </cell>
          <cell r="D7128" t="str">
            <v>TI-CENTRE-DRIVE EMERG.SCREWS 1.8X5MM</v>
          </cell>
        </row>
        <row r="7129">
          <cell r="B7129" t="str">
            <v>25-666-05-72</v>
          </cell>
          <cell r="C7129" t="str">
            <v>TI-CENTRE  DRIVE NOTFALLSC 1,8X5MM,STERIL</v>
          </cell>
          <cell r="D7129" t="str">
            <v>TI-CENTRE  DRIVE EMERG.SCREWS 1.8X5MM,STE</v>
          </cell>
        </row>
        <row r="7130">
          <cell r="B7130" t="str">
            <v>25-666-05-75</v>
          </cell>
          <cell r="C7130" t="str">
            <v>TI-CENTRE  DRIVE NOTFALLSC 1,8X5MM,STERIL</v>
          </cell>
          <cell r="D7130" t="str">
            <v>TI-CENTRE  DRIVE EMERG.SCREWS 1.8X5MM,STE</v>
          </cell>
        </row>
        <row r="7131">
          <cell r="B7131" t="str">
            <v>25-666-07-09</v>
          </cell>
          <cell r="C7131" t="str">
            <v>TI-CENTRE-DRIVE NOTFALLSCHR.1,8X7MM</v>
          </cell>
          <cell r="D7131" t="str">
            <v>TI-CENTRE-DRIVE EMERG.SCREWS 1.8X7MM</v>
          </cell>
        </row>
        <row r="7132">
          <cell r="B7132" t="str">
            <v>25-666-07-25</v>
          </cell>
          <cell r="C7132" t="str">
            <v>TI-CENTRE-DRIVE NOTFALLSCHR.1,8X7MM</v>
          </cell>
          <cell r="D7132" t="str">
            <v>TI-CENTRE-DRIVE EMERG.SCREWS 1.8X7MM</v>
          </cell>
        </row>
        <row r="7133">
          <cell r="B7133" t="str">
            <v>25-666-07-72</v>
          </cell>
          <cell r="C7133" t="str">
            <v>TI-CENTRE  DRIVE NOTFALLSC 1,8X7MM,STERIL</v>
          </cell>
          <cell r="D7133" t="str">
            <v>TI-CENTRE  DRIVE EMERG.SCREWS 1.8X7MM,STE</v>
          </cell>
        </row>
        <row r="7134">
          <cell r="B7134" t="str">
            <v>25-666-07-75</v>
          </cell>
          <cell r="C7134" t="str">
            <v>TI-CENTRE  DRIVE NOTFALLSC 1,8X7MM,STERIL</v>
          </cell>
          <cell r="D7134" t="str">
            <v>TI-CENTRE  DRIVE EMERG.SCREWS 1.8X7MM,STE</v>
          </cell>
        </row>
        <row r="7135">
          <cell r="B7135" t="str">
            <v>25-667-90-09</v>
          </cell>
          <cell r="C7135" t="str">
            <v>CENTRE DRIVE SCHRAUBENLOCHVERSCHLUSS</v>
          </cell>
          <cell r="D7135" t="str">
            <v>CENTRE DRIVE SPACER SCREWS</v>
          </cell>
        </row>
        <row r="7136">
          <cell r="B7136" t="str">
            <v>25-668-04-09</v>
          </cell>
          <cell r="C7136" t="str">
            <v>TI-CENTRE-DRIVE DFS 1,5X4MM</v>
          </cell>
          <cell r="D7136" t="str">
            <v>TI-CENTRE-DRIVE DFS 1.5X4MM</v>
          </cell>
        </row>
        <row r="7137">
          <cell r="B7137" t="str">
            <v>25-668-04-72</v>
          </cell>
          <cell r="C7137" t="str">
            <v>TI-CENTRE  DRIVE DFS 1,5 X 4 MM, STERIL</v>
          </cell>
          <cell r="D7137" t="str">
            <v>TI-CENTRE  DRIVE DFS 1.5 X 4 MM, STERILE</v>
          </cell>
        </row>
        <row r="7138">
          <cell r="B7138" t="str">
            <v>25-668-04-75</v>
          </cell>
          <cell r="C7138" t="str">
            <v>TI-CENTRE  DRIVE DFS 1,5 X 4 MM, STERIL</v>
          </cell>
          <cell r="D7138" t="str">
            <v>TI-CENTRE  DRIVE DFS 1.5 X 4 MM, STERILE</v>
          </cell>
        </row>
        <row r="7139">
          <cell r="B7139" t="str">
            <v>25-668-05-09</v>
          </cell>
          <cell r="C7139" t="str">
            <v>TI-CENTRE-DRIVE DFS 1,5X5MM</v>
          </cell>
          <cell r="D7139" t="str">
            <v>TI-CENTRE-DRIVE DFS 1.5X5MM</v>
          </cell>
        </row>
        <row r="7140">
          <cell r="B7140" t="str">
            <v>25-668-05-25</v>
          </cell>
          <cell r="C7140" t="str">
            <v>TI-CENTRE-DRIVE DFS 1,5X5MM</v>
          </cell>
          <cell r="D7140" t="str">
            <v>TI-CENTRE-DRIVE DFS 1.5X5MM</v>
          </cell>
        </row>
        <row r="7141">
          <cell r="B7141" t="str">
            <v>25-668-05-75</v>
          </cell>
          <cell r="C7141" t="str">
            <v>TI-CENTRE  DRIVE DFS 1,5 X 5 MM, STERIL</v>
          </cell>
          <cell r="D7141" t="str">
            <v>TI-CENTRE  DRIVE DFS 1.5 X 5 MM, STERILE</v>
          </cell>
        </row>
        <row r="7142">
          <cell r="B7142" t="str">
            <v>25-668-06-09</v>
          </cell>
          <cell r="C7142" t="str">
            <v>TI-CENTRE-DRIVE DFS 1,5X6MM</v>
          </cell>
          <cell r="D7142" t="str">
            <v>TI-CENTRE-DRIVE DFS 1.5X6MM</v>
          </cell>
        </row>
        <row r="7143">
          <cell r="B7143" t="str">
            <v>25-668-06-75</v>
          </cell>
          <cell r="C7143" t="str">
            <v>TI-CENTRE-DRIVE DFS 1,5X6MM,STERIL</v>
          </cell>
          <cell r="D7143" t="str">
            <v>TI-CENTRE-DRIVE DFS 1.5X6MM,STERILE</v>
          </cell>
        </row>
        <row r="7144">
          <cell r="B7144" t="str">
            <v>25-668-07-09</v>
          </cell>
          <cell r="C7144" t="str">
            <v>TI-CENTRE-DRIVE DFS 1,5X7MM</v>
          </cell>
          <cell r="D7144" t="str">
            <v>TI-CENTRE-DRIVE DFS 1.5X7MM</v>
          </cell>
        </row>
        <row r="7145">
          <cell r="B7145" t="str">
            <v>25-668-07-75</v>
          </cell>
          <cell r="C7145" t="str">
            <v>TI-CENTRE  DRIVE DFS 1,5 X 7 MM, STERIL</v>
          </cell>
          <cell r="D7145" t="str">
            <v>TI-CENTRE  DRIVE DFS 1.5 X 7 MM, STERILE</v>
          </cell>
        </row>
        <row r="7146">
          <cell r="B7146" t="str">
            <v>25-669-05-09</v>
          </cell>
          <cell r="C7146" t="str">
            <v>TI-CENTRE-DRIVE DFS 2X5MM</v>
          </cell>
          <cell r="D7146" t="str">
            <v>TI-CENTRE-DRIVE DFS 2X5MM</v>
          </cell>
        </row>
        <row r="7147">
          <cell r="B7147" t="str">
            <v>25-669-05-25</v>
          </cell>
          <cell r="C7147" t="str">
            <v>TI-CENTRE-DRIVE DFS 2X5MM</v>
          </cell>
          <cell r="D7147" t="str">
            <v>TI-CENTRE-DRIVE DFS 2X5MM</v>
          </cell>
        </row>
        <row r="7148">
          <cell r="B7148" t="str">
            <v>25-669-05-75</v>
          </cell>
          <cell r="C7148" t="str">
            <v>TI-CENTRE  DRIVE DFS 2,0 X 5 MM, STERIL</v>
          </cell>
          <cell r="D7148" t="str">
            <v>TI-CENTRE  DRIVE DFS 2.0 X 5 MM, STERILE</v>
          </cell>
        </row>
        <row r="7149">
          <cell r="B7149" t="str">
            <v>25-669-07-09</v>
          </cell>
          <cell r="C7149" t="str">
            <v>TI-CENTRE-DRIVE DFS 2X7MM</v>
          </cell>
          <cell r="D7149" t="str">
            <v>TI-CENTRE-DRIVE DFS 2X7MM</v>
          </cell>
        </row>
        <row r="7150">
          <cell r="B7150" t="str">
            <v>25-669-07-25</v>
          </cell>
          <cell r="C7150" t="str">
            <v>TI-CENTRE-DRIVE DFS 2X7MM</v>
          </cell>
          <cell r="D7150" t="str">
            <v>TI-CENTRE-DRIVE DFS 2X7MM</v>
          </cell>
        </row>
        <row r="7151">
          <cell r="B7151" t="str">
            <v>25-669-07-72</v>
          </cell>
          <cell r="C7151" t="str">
            <v>TI-CENTRE  DRIVE DFS 2,0 X 7 MM, STERIL</v>
          </cell>
          <cell r="D7151" t="str">
            <v>TI-CENTRE  DRIVE DFS 2.0 X 7 MM, STERILE</v>
          </cell>
        </row>
        <row r="7152">
          <cell r="B7152" t="str">
            <v>25-669-07-75</v>
          </cell>
          <cell r="C7152" t="str">
            <v>TI-CENTRE  DRIVE DFS 2,0 X 7 MM, STERIL</v>
          </cell>
          <cell r="D7152" t="str">
            <v>TI-CENTRE  DRIVE DFS 2.0 X 7 MM, STERILE</v>
          </cell>
        </row>
        <row r="7153">
          <cell r="B7153" t="str">
            <v>25-750-04-09</v>
          </cell>
          <cell r="C7153" t="str">
            <v>MINIPLATTE 4-LOCH GERADE T=1,0 MM</v>
          </cell>
          <cell r="D7153" t="str">
            <v>MINI PLATE 4-HOLES STRAIGHT  T=1.0 MM</v>
          </cell>
        </row>
        <row r="7154">
          <cell r="B7154" t="str">
            <v>25-750-04-71</v>
          </cell>
          <cell r="C7154" t="str">
            <v>MINIPLATTE 4-LOCH GERADE T=1,0MM  STERIL</v>
          </cell>
          <cell r="D7154" t="str">
            <v>MINI PLATE 4-HOLES STR. T=1.0MM,  STERILE</v>
          </cell>
        </row>
        <row r="7155">
          <cell r="B7155" t="str">
            <v>25-750-14-09</v>
          </cell>
          <cell r="C7155" t="str">
            <v>MINIPLATTE 14-LOCH  GERADE T=1,0 MM</v>
          </cell>
          <cell r="D7155" t="str">
            <v>MINI PLATE 14-HOLES  STRAIGHT  T=1.0 MM</v>
          </cell>
        </row>
        <row r="7156">
          <cell r="B7156" t="str">
            <v>25-750-14-71</v>
          </cell>
          <cell r="C7156" t="str">
            <v>MINIPL. 14-LOCH  GERADE T=1,0MM,  STERIL</v>
          </cell>
          <cell r="D7156" t="str">
            <v>MINI PLATE 14-HOLES  STR. T=1.0MM  STERILE</v>
          </cell>
        </row>
        <row r="7157">
          <cell r="B7157" t="str">
            <v>25-750-16-09</v>
          </cell>
          <cell r="C7157" t="str">
            <v>Miniplatte  16-Loch gerade T=1,0 mm</v>
          </cell>
          <cell r="D7157" t="str">
            <v>Mini plate 16-holes straight T=1.0 mm</v>
          </cell>
        </row>
        <row r="7158">
          <cell r="B7158" t="str">
            <v>25-750-16-71</v>
          </cell>
          <cell r="C7158" t="str">
            <v>Minipl. 16-Loch gerade T=1,0mm,  steril</v>
          </cell>
          <cell r="D7158" t="str">
            <v>Mini plate 16-holes str. T=1.0mm  sterile</v>
          </cell>
        </row>
        <row r="7159">
          <cell r="B7159" t="str">
            <v>25-750-54-04</v>
          </cell>
          <cell r="C7159" t="str">
            <v>Template  für 25-750-04</v>
          </cell>
          <cell r="D7159" t="str">
            <v>Template  for 25-750-04</v>
          </cell>
        </row>
        <row r="7160">
          <cell r="B7160" t="str">
            <v>25-750-64-04</v>
          </cell>
          <cell r="C7160" t="str">
            <v>Template  für 25-750-14</v>
          </cell>
          <cell r="D7160" t="str">
            <v>Template  for 25-750-14</v>
          </cell>
        </row>
        <row r="7161">
          <cell r="B7161" t="str">
            <v>25-750-66-04</v>
          </cell>
          <cell r="C7161" t="str">
            <v>Template  für 25-750-16</v>
          </cell>
          <cell r="D7161" t="str">
            <v>Template  for 25-750-16</v>
          </cell>
        </row>
        <row r="7162">
          <cell r="B7162" t="str">
            <v>25-751-18-09</v>
          </cell>
          <cell r="C7162" t="str">
            <v>Miniplatte  18-Loch gerade T=1,5 mm</v>
          </cell>
          <cell r="D7162" t="str">
            <v>Mini plate 18-holes straight T=1.5 mm</v>
          </cell>
        </row>
        <row r="7163">
          <cell r="B7163" t="str">
            <v>25-751-18-71</v>
          </cell>
          <cell r="C7163" t="str">
            <v>Minipl. 18-Loch gerade T=1,5mm,  steril</v>
          </cell>
          <cell r="D7163" t="str">
            <v>Mini plate 18-holes str. T=1.5mm  sterile</v>
          </cell>
        </row>
        <row r="7164">
          <cell r="B7164" t="str">
            <v>25-751-68-04</v>
          </cell>
          <cell r="C7164" t="str">
            <v>Template  für 25-751-18</v>
          </cell>
          <cell r="D7164" t="str">
            <v>Template  for 25-751-18</v>
          </cell>
        </row>
        <row r="7165">
          <cell r="B7165" t="str">
            <v>25-752-04-09</v>
          </cell>
          <cell r="C7165" t="str">
            <v>MINIPLATTE 4-LOCH GERADE M.STEG T=1,0 MM</v>
          </cell>
          <cell r="D7165" t="str">
            <v>MINI PL.4HOLE  STRAIG.W.INT.SPACE T=1.0MM</v>
          </cell>
        </row>
        <row r="7166">
          <cell r="B7166" t="str">
            <v>25-752-04-71</v>
          </cell>
          <cell r="C7166" t="str">
            <v>MINIPLATTE 4-LOCH GERADE M.STEG T=1,0 MM</v>
          </cell>
          <cell r="D7166" t="str">
            <v>MINI PL.4HOLE  STRAIG.W.INT.SPACE T=1.0MM</v>
          </cell>
        </row>
        <row r="7167">
          <cell r="B7167" t="str">
            <v>25-752-06-09</v>
          </cell>
          <cell r="C7167" t="str">
            <v>MINIPLATTE 6-LOCH GERADE M.STEG T=1,0 MM</v>
          </cell>
          <cell r="D7167" t="str">
            <v>MINI PL.6HOLE  STRAIG.W.INT.SPACE T=1.0MM</v>
          </cell>
        </row>
        <row r="7168">
          <cell r="B7168" t="str">
            <v>25-752-06-71</v>
          </cell>
          <cell r="C7168" t="str">
            <v>MINIPL.6-LOCH GER. M.STEG T=1,0MM  STERIL</v>
          </cell>
          <cell r="D7168" t="str">
            <v>MINI PL. 6-HOLES STR. T=1.0MM,  STERILE</v>
          </cell>
        </row>
        <row r="7169">
          <cell r="B7169" t="str">
            <v>25-752-54-04</v>
          </cell>
          <cell r="C7169" t="str">
            <v>Template  für 25-752-04</v>
          </cell>
          <cell r="D7169" t="str">
            <v>Template  for 25-752-04</v>
          </cell>
        </row>
        <row r="7170">
          <cell r="B7170" t="str">
            <v>25-752-56-04</v>
          </cell>
          <cell r="C7170" t="str">
            <v>Template  für 25-752-06</v>
          </cell>
          <cell r="D7170" t="str">
            <v>Template  for 25-752-06</v>
          </cell>
        </row>
        <row r="7171">
          <cell r="B7171" t="str">
            <v>25-755-00-71</v>
          </cell>
          <cell r="C7171" t="str">
            <v>L1 Minipl. 2.0 f. Guide, 5-L,Symph.,blau</v>
          </cell>
          <cell r="D7171" t="str">
            <v>L1 Mini pl. 2.0 f. guide,5-H,symph,blue</v>
          </cell>
        </row>
        <row r="7172">
          <cell r="B7172" t="str">
            <v>25-755-00-91</v>
          </cell>
          <cell r="C7172" t="str">
            <v>L1 Minipl. 2.0 f. Guide, 5-L,Symph.,blau</v>
          </cell>
          <cell r="D7172" t="str">
            <v>L1 Mini pl. 2.0 f. guide,5-H,symph,blue</v>
          </cell>
        </row>
        <row r="7173">
          <cell r="B7173" t="str">
            <v>25-755-01-71</v>
          </cell>
          <cell r="C7173" t="str">
            <v>L1 Minipl. 2.0 f. Guide, 5-L,Symph.,grün</v>
          </cell>
          <cell r="D7173" t="str">
            <v>L1 Mini pl. 2.0 f. guide,5-H,symph,green</v>
          </cell>
        </row>
        <row r="7174">
          <cell r="B7174" t="str">
            <v>25-755-01-91</v>
          </cell>
          <cell r="C7174" t="str">
            <v>L1 Minipl. 2.0 f. Guide, 5-L,Symph.,grün</v>
          </cell>
          <cell r="D7174" t="str">
            <v>L1 Mini pl. 2.0 f. guide,5-H,symph,green</v>
          </cell>
        </row>
        <row r="7175">
          <cell r="B7175" t="str">
            <v>25-755-02-71</v>
          </cell>
          <cell r="C7175" t="str">
            <v>L1 Minipl. 2.0 f. Guide, 4-L, gerade</v>
          </cell>
          <cell r="D7175" t="str">
            <v>L1 Mini pl. 2.0 f. guide, 4-H, straight</v>
          </cell>
        </row>
        <row r="7176">
          <cell r="B7176" t="str">
            <v>25-755-02-91</v>
          </cell>
          <cell r="C7176" t="str">
            <v>L1 Minipl. 2.0 f. Guide, 4-L, gerade</v>
          </cell>
          <cell r="D7176" t="str">
            <v>L1 Mini pl. 2.0 f. guide, 4-H, straight</v>
          </cell>
        </row>
        <row r="7177">
          <cell r="B7177" t="str">
            <v>25-755-03-71</v>
          </cell>
          <cell r="C7177" t="str">
            <v>L1 Minipl. 2.0 f. Guide, 5-L, gerade</v>
          </cell>
          <cell r="D7177" t="str">
            <v>L1 Mini pl. 2.0 f. guide, 5-H, straight</v>
          </cell>
        </row>
        <row r="7178">
          <cell r="B7178" t="str">
            <v>25-755-03-91</v>
          </cell>
          <cell r="C7178" t="str">
            <v>L1 Minipl. 2.0 f. Guide, 5-L, gerade</v>
          </cell>
          <cell r="D7178" t="str">
            <v>L1 Mini pl. 2.0 f. guide, 5-H, straight</v>
          </cell>
        </row>
        <row r="7179">
          <cell r="B7179" t="str">
            <v>25-755-04-71</v>
          </cell>
          <cell r="C7179" t="str">
            <v>L1 Minipl. 2.0 f. Guide, 6-L, gerade</v>
          </cell>
          <cell r="D7179" t="str">
            <v>L1 Mini pl. 2.0 f. guide, 6-H, straight</v>
          </cell>
        </row>
        <row r="7180">
          <cell r="B7180" t="str">
            <v>25-755-04-91</v>
          </cell>
          <cell r="C7180" t="str">
            <v>L1 Minipl. 2.0 f. Guide, 6-L, gerade</v>
          </cell>
          <cell r="D7180" t="str">
            <v>L1 Mini pl. 2.0 f. guide, 6-H, straight</v>
          </cell>
        </row>
        <row r="7181">
          <cell r="B7181" t="str">
            <v>25-755-05-71</v>
          </cell>
          <cell r="C7181" t="str">
            <v>L1 Minipl. 2.0 f. Guide, 4-L, Symphyse</v>
          </cell>
          <cell r="D7181" t="str">
            <v>L1 Mini pl. 2.0 f. guide, 4-H, symphysis</v>
          </cell>
        </row>
        <row r="7182">
          <cell r="B7182" t="str">
            <v>25-755-05-91</v>
          </cell>
          <cell r="C7182" t="str">
            <v>L1 Minipl. 2.0 f. Guide, 4-L, Symphyse</v>
          </cell>
          <cell r="D7182" t="str">
            <v>L1 Mini pl. 2.0 f. guide, 4-H, symphysis</v>
          </cell>
        </row>
        <row r="7183">
          <cell r="B7183" t="str">
            <v>25-755-06-71</v>
          </cell>
          <cell r="C7183" t="str">
            <v>L1 Minipl. 2.0 f. Guide, 5-L, Symphyse</v>
          </cell>
          <cell r="D7183" t="str">
            <v>L1 Mini pl. 2.0 f. guide, 5-H, symphysis</v>
          </cell>
        </row>
        <row r="7184">
          <cell r="B7184" t="str">
            <v>25-755-06-91</v>
          </cell>
          <cell r="C7184" t="str">
            <v>L1 Minipl. 2.0 f. Guide, 5-L, Symphyse</v>
          </cell>
          <cell r="D7184" t="str">
            <v>L1 Mini pl. 2.0 f. guide, 5-H, symphysis</v>
          </cell>
        </row>
        <row r="7185">
          <cell r="B7185" t="str">
            <v>25-755-07-71</v>
          </cell>
          <cell r="C7185" t="str">
            <v>L1 Minipl. 2.0 f. Guide, 6-L, Symphyse</v>
          </cell>
          <cell r="D7185" t="str">
            <v>L1 Mini pl. 2.0 f. guide, 6-H, symphysis</v>
          </cell>
        </row>
        <row r="7186">
          <cell r="B7186" t="str">
            <v>25-755-07-91</v>
          </cell>
          <cell r="C7186" t="str">
            <v>L1 Minipl. 2.0 f. Guide, 6-L, Symphyse</v>
          </cell>
          <cell r="D7186" t="str">
            <v>L1 Mini pl. 2.0 f. guide, 6-H, symphysis</v>
          </cell>
        </row>
        <row r="7187">
          <cell r="B7187" t="str">
            <v>25-755-08-71</v>
          </cell>
          <cell r="C7187" t="str">
            <v>L1 Minipl. 2.0 f. Guide, 4-L, gewinkelt</v>
          </cell>
          <cell r="D7187" t="str">
            <v>L1 Mini pl. 2.0 f. guide, 4-H, angled</v>
          </cell>
        </row>
        <row r="7188">
          <cell r="B7188" t="str">
            <v>25-755-08-91</v>
          </cell>
          <cell r="C7188" t="str">
            <v>L1 Minipl. 2.0 f. Guide, 4-L, gewinkelt</v>
          </cell>
          <cell r="D7188" t="str">
            <v>L1 Mini pl. 2.0 f. guide, 4-H, angled</v>
          </cell>
        </row>
        <row r="7189">
          <cell r="B7189" t="str">
            <v>25-755-09-71</v>
          </cell>
          <cell r="C7189" t="str">
            <v>L1 Minipl. 2.0 f. Guide, 3+2-L,gewinkelt</v>
          </cell>
          <cell r="D7189" t="str">
            <v>L1 Mini pl. 2.0 f. guide, 3+2-H, angled</v>
          </cell>
        </row>
        <row r="7190">
          <cell r="B7190" t="str">
            <v>25-755-09-91</v>
          </cell>
          <cell r="C7190" t="str">
            <v>L1 Minipl. 2.0 f. Guide, 3+2-L,gewinkelt</v>
          </cell>
          <cell r="D7190" t="str">
            <v>L1 Mini pl. 2.0 f. guide, 3+2-H, angled</v>
          </cell>
        </row>
        <row r="7191">
          <cell r="B7191" t="str">
            <v>25-755-10-71</v>
          </cell>
          <cell r="C7191" t="str">
            <v>L1 Minipl. 2.0 f. Guide, 2+3-L,gewinkelt</v>
          </cell>
          <cell r="D7191" t="str">
            <v>L1 Mini pl. 2.0 f. guide, 2+3-H, angled</v>
          </cell>
        </row>
        <row r="7192">
          <cell r="B7192" t="str">
            <v>25-755-10-91</v>
          </cell>
          <cell r="C7192" t="str">
            <v>L1 Minipl. 2.0 f. Guide, 2+3-L,gewinkelt</v>
          </cell>
          <cell r="D7192" t="str">
            <v>L1 Mini pl. 2.0 f. guide, 2+3-H, angled</v>
          </cell>
        </row>
        <row r="7193">
          <cell r="B7193" t="str">
            <v>25-755-11-71</v>
          </cell>
          <cell r="C7193" t="str">
            <v>L1 Minipl. 2.0 f. Guide, 6-L, gewinkelt</v>
          </cell>
          <cell r="D7193" t="str">
            <v>L1 Mini pl. 2.0 f. guide, 6-H, angled</v>
          </cell>
        </row>
        <row r="7194">
          <cell r="B7194" t="str">
            <v>25-755-11-91</v>
          </cell>
          <cell r="C7194" t="str">
            <v>L1 Minipl. 2.0 f. Guide, 6-L, gewinkelt</v>
          </cell>
          <cell r="D7194" t="str">
            <v>L1 Mini pl. 2.0 f. guide, 6-H, angled</v>
          </cell>
        </row>
        <row r="7195">
          <cell r="B7195" t="str">
            <v>25-765-03-09</v>
          </cell>
          <cell r="C7195" t="str">
            <v>ONEDRIVE  SCHRAUBEN 1,5X3,5MM</v>
          </cell>
          <cell r="D7195" t="str">
            <v>ONEDRIVE  SCREWS 1,5X3,5MM</v>
          </cell>
        </row>
        <row r="7196">
          <cell r="B7196" t="str">
            <v>25-765-03-61</v>
          </cell>
          <cell r="C7196" t="str">
            <v>ONEDRIVE  SCHRAUBE  1,5X3,5MM</v>
          </cell>
          <cell r="D7196" t="str">
            <v>ONEDRIVE  SCREW 1.5X3.5MM</v>
          </cell>
        </row>
        <row r="7197">
          <cell r="B7197" t="str">
            <v>25-765-03-71</v>
          </cell>
          <cell r="C7197" t="str">
            <v>ONEDRIVE  SCHR. 1,5X3,5MM,STER</v>
          </cell>
          <cell r="D7197" t="str">
            <v>ONEDRIVE  SCREW 1.5X3.5MM,STER</v>
          </cell>
        </row>
        <row r="7198">
          <cell r="B7198" t="str">
            <v>25-765-03-74</v>
          </cell>
          <cell r="C7198" t="str">
            <v>ONEDRIVE  SCHR. 1,5X3,5MM,STER</v>
          </cell>
          <cell r="D7198" t="str">
            <v>ONEDRIVE  SCREWS 1.5X3.5MM,STE</v>
          </cell>
        </row>
        <row r="7199">
          <cell r="B7199" t="str">
            <v>25-765-04-09</v>
          </cell>
          <cell r="C7199" t="str">
            <v>ONEDRIVE  SCHRAUBEN 1,5X4MM</v>
          </cell>
          <cell r="D7199" t="str">
            <v>ONEDRIVE  SCREWS 1.5X4MM</v>
          </cell>
        </row>
        <row r="7200">
          <cell r="B7200" t="str">
            <v>25-765-04-61</v>
          </cell>
          <cell r="C7200" t="str">
            <v>ONEDRIVE  SCHRAUBE  1,5X4MM</v>
          </cell>
          <cell r="D7200" t="str">
            <v>ONEDRIVE  SCREW 1.5X4MM</v>
          </cell>
        </row>
        <row r="7201">
          <cell r="B7201" t="str">
            <v>25-765-04-71</v>
          </cell>
          <cell r="C7201" t="str">
            <v>ONEDRIVE  SCHR. 1,5X4MM,STERIL</v>
          </cell>
          <cell r="D7201" t="str">
            <v>ONEDRIVE  SCREW 1.5X4MM,STER.</v>
          </cell>
        </row>
        <row r="7202">
          <cell r="B7202" t="str">
            <v>25-765-04-74</v>
          </cell>
          <cell r="C7202" t="str">
            <v>ONEDRIVE  SCHR. 1,5X4MM,STERIL</v>
          </cell>
          <cell r="D7202" t="str">
            <v>ONEDRIVE  SCREWS 1.5X4MM,STE</v>
          </cell>
        </row>
        <row r="7203">
          <cell r="B7203" t="str">
            <v>25-765-05-09</v>
          </cell>
          <cell r="C7203" t="str">
            <v>ONEDRIVE  SCHRAUBEN 1,5X5MM</v>
          </cell>
          <cell r="D7203" t="str">
            <v>ONEDRIVE  SCREWS 1.5X5MM</v>
          </cell>
        </row>
        <row r="7204">
          <cell r="B7204" t="str">
            <v>25-765-05-61</v>
          </cell>
          <cell r="C7204" t="str">
            <v>ONEDRIVE  SCHRAUBE  1,5X5MM</v>
          </cell>
          <cell r="D7204" t="str">
            <v>ONEDRIVE  SCREW 1.5X5MM</v>
          </cell>
        </row>
        <row r="7205">
          <cell r="B7205" t="str">
            <v>25-765-05-71</v>
          </cell>
          <cell r="C7205" t="str">
            <v>ONEDRIVE  SCHR. 1,5X5MM,STERIL</v>
          </cell>
          <cell r="D7205" t="str">
            <v>ONEDRIVE  SCREW 1.5X5MM,STER.</v>
          </cell>
        </row>
        <row r="7206">
          <cell r="B7206" t="str">
            <v>25-765-05-74</v>
          </cell>
          <cell r="C7206" t="str">
            <v>ONEDRIVE  SCHR. 1,5X5MM,STERIL</v>
          </cell>
          <cell r="D7206" t="str">
            <v>ONEDRIVE  SCREWS 1.5X5MM,STE</v>
          </cell>
        </row>
        <row r="7207">
          <cell r="B7207" t="str">
            <v>25-765-06-09</v>
          </cell>
          <cell r="C7207" t="str">
            <v>ONEDRIVE  SCHRAUBEN 1,5X6MM</v>
          </cell>
          <cell r="D7207" t="str">
            <v>ONEDRIVE  SCREWS 1.5X6MM</v>
          </cell>
        </row>
        <row r="7208">
          <cell r="B7208" t="str">
            <v>25-765-06-61</v>
          </cell>
          <cell r="C7208" t="str">
            <v>ONEDRIVE  SCHRAUBE  1,5X6MM</v>
          </cell>
          <cell r="D7208" t="str">
            <v>ONEDRIVE  SCREW 1.5X6MM</v>
          </cell>
        </row>
        <row r="7209">
          <cell r="B7209" t="str">
            <v>25-765-06-71</v>
          </cell>
          <cell r="C7209" t="str">
            <v>ONEDRIVE  SCHR. 1,5X6MM,STERIL</v>
          </cell>
          <cell r="D7209" t="str">
            <v>ONEDRIVE  SCREW 1.5X6MM,STER.</v>
          </cell>
        </row>
        <row r="7210">
          <cell r="B7210" t="str">
            <v>25-765-06-74</v>
          </cell>
          <cell r="C7210" t="str">
            <v>ONEDRIVE  SCHR. 1,5X6MM,STERIL</v>
          </cell>
          <cell r="D7210" t="str">
            <v>ONEDRIVE  SCREWS 1.5X6MM,STE</v>
          </cell>
        </row>
        <row r="7211">
          <cell r="B7211" t="str">
            <v>25-765-07-09</v>
          </cell>
          <cell r="C7211" t="str">
            <v>ONEDRIVE  SCHRAUBEN 1,5X7MM</v>
          </cell>
          <cell r="D7211" t="str">
            <v>ONEDRIVE  SCREWS 1.5X7MM</v>
          </cell>
        </row>
        <row r="7212">
          <cell r="B7212" t="str">
            <v>25-765-07-61</v>
          </cell>
          <cell r="C7212" t="str">
            <v>ONEDRIVE  SCHRAUBE  1,5X7MM</v>
          </cell>
          <cell r="D7212" t="str">
            <v>ONEDRIVE  SCREW 1.5X7MM</v>
          </cell>
        </row>
        <row r="7213">
          <cell r="B7213" t="str">
            <v>25-765-07-71</v>
          </cell>
          <cell r="C7213" t="str">
            <v>ONEDRIVE  SCHR. 1,5X7MM,STERIL</v>
          </cell>
          <cell r="D7213" t="str">
            <v>ONEDRIVE  SCREW 1.5X7MM,STER.</v>
          </cell>
        </row>
        <row r="7214">
          <cell r="B7214" t="str">
            <v>25-765-07-74</v>
          </cell>
          <cell r="C7214" t="str">
            <v>ONEDRIVE  SCHR. 1,5X7MM,STERIL</v>
          </cell>
          <cell r="D7214" t="str">
            <v>ONEDRIVE  SCREWS 1.5X7MM,STE</v>
          </cell>
        </row>
        <row r="7215">
          <cell r="B7215" t="str">
            <v>25-765-09-09</v>
          </cell>
          <cell r="C7215" t="str">
            <v>ONEDRIVE  SCHRAUBEN 1,5X9MM</v>
          </cell>
          <cell r="D7215" t="str">
            <v>ONEDRIVE  SCREWS 1.5X9MM</v>
          </cell>
        </row>
        <row r="7216">
          <cell r="B7216" t="str">
            <v>25-765-09-61</v>
          </cell>
          <cell r="C7216" t="str">
            <v>ONEDRIVE  SCHRAUBE  1,5X9MM</v>
          </cell>
          <cell r="D7216" t="str">
            <v>ONEDRIVE  SCREW 1.5X9MM</v>
          </cell>
        </row>
        <row r="7217">
          <cell r="B7217" t="str">
            <v>25-765-09-71</v>
          </cell>
          <cell r="C7217" t="str">
            <v>ONEDRIVE  SCHR. 1,5X9MM,STERIL</v>
          </cell>
          <cell r="D7217" t="str">
            <v>ONEDRIVE  SCREW 1.5X9MM,STER.</v>
          </cell>
        </row>
        <row r="7218">
          <cell r="B7218" t="str">
            <v>25-765-09-74</v>
          </cell>
          <cell r="C7218" t="str">
            <v>ONEDRIVE  SCHR. 1,5X9MM,STERIL</v>
          </cell>
          <cell r="D7218" t="str">
            <v>ONEDRIVE  SCREWS 1.5X9MM,STE</v>
          </cell>
        </row>
        <row r="7219">
          <cell r="B7219" t="str">
            <v>25-765-11-09</v>
          </cell>
          <cell r="C7219" t="str">
            <v>ONEDRIVE  SCHRAUBEN 1,5X11MM</v>
          </cell>
          <cell r="D7219" t="str">
            <v>ONEDRIVE  SCREWS 1.5X11MM</v>
          </cell>
        </row>
        <row r="7220">
          <cell r="B7220" t="str">
            <v>25-765-11-61</v>
          </cell>
          <cell r="C7220" t="str">
            <v>ONEDRIVE  SCHRAUBE  1,5X11MM</v>
          </cell>
          <cell r="D7220" t="str">
            <v>ONEDRIVE  SCREW 1.5X11MM</v>
          </cell>
        </row>
        <row r="7221">
          <cell r="B7221" t="str">
            <v>25-765-11-71</v>
          </cell>
          <cell r="C7221" t="str">
            <v>ONEDRIVE  SCHR. 1,5X11MM,STERIL</v>
          </cell>
          <cell r="D7221" t="str">
            <v>ONEDRIVE  SCREW 1.5X11MM,STER.</v>
          </cell>
        </row>
        <row r="7222">
          <cell r="B7222" t="str">
            <v>25-765-11-74</v>
          </cell>
          <cell r="C7222" t="str">
            <v>ONEDRIVE  SCHR. 1,5X11MM,STERIL</v>
          </cell>
          <cell r="D7222" t="str">
            <v>ONEDRIVE  SCREWS 1.5X11MM,STE</v>
          </cell>
        </row>
        <row r="7223">
          <cell r="B7223" t="str">
            <v>25-765-13-09</v>
          </cell>
          <cell r="C7223" t="str">
            <v>ONEDRIVE  SCHRAUBEN 1,5X13MM</v>
          </cell>
          <cell r="D7223" t="str">
            <v>ONEDRIVE  SCREWS 1.5X13MM</v>
          </cell>
        </row>
        <row r="7224">
          <cell r="B7224" t="str">
            <v>25-765-13-61</v>
          </cell>
          <cell r="C7224" t="str">
            <v>ONEDRIVE  SCHRAUBE  1,5X13MM</v>
          </cell>
          <cell r="D7224" t="str">
            <v>ONEDRIVE  SCREW 1.5X13MM</v>
          </cell>
        </row>
        <row r="7225">
          <cell r="B7225" t="str">
            <v>25-765-13-71</v>
          </cell>
          <cell r="C7225" t="str">
            <v>ONEDRIVE  SCHR. 1,5X13MM,STERIL</v>
          </cell>
          <cell r="D7225" t="str">
            <v>ONEDRIVE  SCREW 1.5X13MM,STER.</v>
          </cell>
        </row>
        <row r="7226">
          <cell r="B7226" t="str">
            <v>25-765-13-74</v>
          </cell>
          <cell r="C7226" t="str">
            <v>ONEDRIVE  SCHR. 1,5X13MM,STERIL</v>
          </cell>
          <cell r="D7226" t="str">
            <v>ONEDRIVE  SCREWS 1.5X13MM,STE</v>
          </cell>
        </row>
        <row r="7227">
          <cell r="B7227" t="str">
            <v>25-765-15-09</v>
          </cell>
          <cell r="C7227" t="str">
            <v>ONEDRIVE  SCHRAUBEN 1,5X15MM</v>
          </cell>
          <cell r="D7227" t="str">
            <v>ONEDRIVE  SCREWS 1.5X15MM</v>
          </cell>
        </row>
        <row r="7228">
          <cell r="B7228" t="str">
            <v>25-765-15-61</v>
          </cell>
          <cell r="C7228" t="str">
            <v>ONEDRIVE  SCHRAUBE  1,5X15MM</v>
          </cell>
          <cell r="D7228" t="str">
            <v>ONEDRIVE  SCREW 1.5X15MM</v>
          </cell>
        </row>
        <row r="7229">
          <cell r="B7229" t="str">
            <v>25-765-15-71</v>
          </cell>
          <cell r="C7229" t="str">
            <v>ONEDRIVE  SCHR. 1,5X15MM,STERIL</v>
          </cell>
          <cell r="D7229" t="str">
            <v>ONEDRIVE  SCREW 1.5X15MM,STER.</v>
          </cell>
        </row>
        <row r="7230">
          <cell r="B7230" t="str">
            <v>25-765-15-74</v>
          </cell>
          <cell r="C7230" t="str">
            <v>ONEDRIVE  SCHR. 1,5X15MM,STERIL</v>
          </cell>
          <cell r="D7230" t="str">
            <v>ONEDRIVE  SCREWS 1.5X15MM,STE</v>
          </cell>
        </row>
        <row r="7231">
          <cell r="B7231" t="str">
            <v>25-765-17-09</v>
          </cell>
          <cell r="C7231" t="str">
            <v>ONEDRIVE  SCHRAUBEN 1,5X17MM</v>
          </cell>
          <cell r="D7231" t="str">
            <v>ONEDRIVE  SCREWS 1.5X17MM</v>
          </cell>
        </row>
        <row r="7232">
          <cell r="B7232" t="str">
            <v>25-765-17-61</v>
          </cell>
          <cell r="C7232" t="str">
            <v>ONEDRIVE  SCHRAUBE  1,5X17MM</v>
          </cell>
          <cell r="D7232" t="str">
            <v>ONEDRIVE  SCREW 1.5X17MM</v>
          </cell>
        </row>
        <row r="7233">
          <cell r="B7233" t="str">
            <v>25-765-17-71</v>
          </cell>
          <cell r="C7233" t="str">
            <v>ONEDRIVE  SCHR. 1,5X17MM,STERIL</v>
          </cell>
          <cell r="D7233" t="str">
            <v>ONEDRIVE  SCREW 1.5X17MM,STER.</v>
          </cell>
        </row>
        <row r="7234">
          <cell r="B7234" t="str">
            <v>25-765-19-09</v>
          </cell>
          <cell r="C7234" t="str">
            <v>ONEDRIVE  SCHRAUBEN 1,5X19MM</v>
          </cell>
          <cell r="D7234" t="str">
            <v>ONEDRIVE  SCREWS 1.5X19MM</v>
          </cell>
        </row>
        <row r="7235">
          <cell r="B7235" t="str">
            <v>25-765-19-61</v>
          </cell>
          <cell r="C7235" t="str">
            <v>ONEDRIVE  SCHRAUBE  1,5X19MM</v>
          </cell>
          <cell r="D7235" t="str">
            <v>ONEDRIVE  SCREW 1.5X19MM</v>
          </cell>
        </row>
        <row r="7236">
          <cell r="B7236" t="str">
            <v>25-765-19-71</v>
          </cell>
          <cell r="C7236" t="str">
            <v>ONEDRIVE  SCHR. 1,5X19MM,STERIL</v>
          </cell>
          <cell r="D7236" t="str">
            <v>ONEDRIVE  SCREW 1.5X19MM,STER.</v>
          </cell>
        </row>
        <row r="7237">
          <cell r="B7237" t="str">
            <v>25-766-04-09</v>
          </cell>
          <cell r="C7237" t="str">
            <v>ONEDRIVE  NOTFALL  DFS SCHRAUBEN 1,8X4MM</v>
          </cell>
          <cell r="D7237" t="str">
            <v>ONEDRIVE  EMERGENCY DFS SCREWS 1,8X4MM</v>
          </cell>
        </row>
        <row r="7238">
          <cell r="B7238" t="str">
            <v>25-766-04-61</v>
          </cell>
          <cell r="C7238" t="str">
            <v>ONEDRIVE  NOTFALL  DFS SCHRAUBE  1,8X4MM</v>
          </cell>
          <cell r="D7238" t="str">
            <v>ONEDRIVE  EMERGENCY DFS SCREW 1,8X4MM</v>
          </cell>
        </row>
        <row r="7239">
          <cell r="B7239" t="str">
            <v>25-766-04-71</v>
          </cell>
          <cell r="C7239" t="str">
            <v>ONEDRIVE  NOTFALL  DFS SCHR. 1,8X4MM,STERI</v>
          </cell>
          <cell r="D7239" t="str">
            <v>ONEDRIVE  EMERG. DFS SCREW 1,8X4MM,STER.</v>
          </cell>
        </row>
        <row r="7240">
          <cell r="B7240" t="str">
            <v>25-766-05-09</v>
          </cell>
          <cell r="C7240" t="str">
            <v>ONEDRIVE  NOTFALL  DFS SCHRAUBEN 1,8X5MM</v>
          </cell>
          <cell r="D7240" t="str">
            <v>ONEDRIVE  EMERGENCY DFS SCREWS 1,8X5MM</v>
          </cell>
        </row>
        <row r="7241">
          <cell r="B7241" t="str">
            <v>25-766-05-61</v>
          </cell>
          <cell r="C7241" t="str">
            <v>ONEDRIVE  NOTFALL  DFS SCHRAUBE  1,8X5MM</v>
          </cell>
          <cell r="D7241" t="str">
            <v>ONEDRIVE  EMERGENCY DFS SCREW 1,8X5MM</v>
          </cell>
        </row>
        <row r="7242">
          <cell r="B7242" t="str">
            <v>25-766-05-71</v>
          </cell>
          <cell r="C7242" t="str">
            <v>ONEDRIVE  NOTFALL  DFS SCHR. 1,8X5MM,STERI</v>
          </cell>
          <cell r="D7242" t="str">
            <v>ONEDRIVE  EMERG. DFS SCREW 1,8X5MM,STER.</v>
          </cell>
        </row>
        <row r="7243">
          <cell r="B7243" t="str">
            <v>25-766-07-09</v>
          </cell>
          <cell r="C7243" t="str">
            <v>ONEDRIVE  NOTFALL  DFS SCHRAUBEN 1,8X7MM</v>
          </cell>
          <cell r="D7243" t="str">
            <v>ONEDRIVE  EMERGENCY DFS SCREWS 1,8X7MM</v>
          </cell>
        </row>
        <row r="7244">
          <cell r="B7244" t="str">
            <v>25-766-07-61</v>
          </cell>
          <cell r="C7244" t="str">
            <v>ONEDRIVE  NOTFALL  DFS SCHRAUBE  1,8X7MM</v>
          </cell>
          <cell r="D7244" t="str">
            <v>ONEDRIVE  EMERGENCY DFS SCREW 1,8X7MM</v>
          </cell>
        </row>
        <row r="7245">
          <cell r="B7245" t="str">
            <v>25-766-07-71</v>
          </cell>
          <cell r="C7245" t="str">
            <v>ONEDRIVE  NOTFALL  DFS SCHR. 1,8X7MM,STERI</v>
          </cell>
          <cell r="D7245" t="str">
            <v>ONEDRIVE  EMERG. DFS SCREW 1,8X7MM,STER.</v>
          </cell>
        </row>
        <row r="7246">
          <cell r="B7246" t="str">
            <v>25-768-03-09</v>
          </cell>
          <cell r="C7246" t="str">
            <v>oneDrive  Drill-Free  Schrauben  1,5x3,5mm</v>
          </cell>
          <cell r="D7246" t="str">
            <v>oneDrive  Drill-Free  Screws 1,5x3,5mm</v>
          </cell>
        </row>
        <row r="7247">
          <cell r="B7247" t="str">
            <v>25-768-03-61</v>
          </cell>
          <cell r="C7247" t="str">
            <v>ONEDRIVE  DRILL-FREE SCHRAUBE  1,5X3,5MM</v>
          </cell>
          <cell r="D7247" t="str">
            <v>ONEDRIVE  DRILL-FREE SCREW 1.5X3.5MM</v>
          </cell>
        </row>
        <row r="7248">
          <cell r="B7248" t="str">
            <v>25-768-03-71</v>
          </cell>
          <cell r="C7248" t="str">
            <v>ONEDRIVE  DRILL-FREE SCHR. 1,5X3,5MM,STER</v>
          </cell>
          <cell r="D7248" t="str">
            <v>ONEDRIVE  DRILL-FREE SCREW 1.5X3.5MM,STER</v>
          </cell>
        </row>
        <row r="7249">
          <cell r="B7249" t="str">
            <v>25-768-03-74</v>
          </cell>
          <cell r="C7249" t="str">
            <v>oneDrive  Drill-Free  Schr. 1,5x3,5mm,ster</v>
          </cell>
          <cell r="D7249" t="str">
            <v>oneDrive  Drill-Free  Screws 1.5x3.5mm,ste</v>
          </cell>
        </row>
        <row r="7250">
          <cell r="B7250" t="str">
            <v>25-768-04-09</v>
          </cell>
          <cell r="C7250" t="str">
            <v>oneDrive  Drill-Free  Schrauben  1,5x4mm</v>
          </cell>
          <cell r="D7250" t="str">
            <v>oneDrive  Drill-Free  Screws 1.5x4mm</v>
          </cell>
        </row>
        <row r="7251">
          <cell r="B7251" t="str">
            <v>25-768-04-61</v>
          </cell>
          <cell r="C7251" t="str">
            <v>ONEDRIVE  DRILL-FREE SCHRAUBE  1,5X4MM</v>
          </cell>
          <cell r="D7251" t="str">
            <v>ONEDRIVE  DRILL-FREE SCREW 1.5X4MM</v>
          </cell>
        </row>
        <row r="7252">
          <cell r="B7252" t="str">
            <v>25-768-04-71</v>
          </cell>
          <cell r="C7252" t="str">
            <v>ONEDRIVE  DRILL-FREE SCHR. 1,5X4MM,STERIL</v>
          </cell>
          <cell r="D7252" t="str">
            <v>ONEDRIVE  DRILL-FREE SCREW 1.5X4MM,STER.</v>
          </cell>
        </row>
        <row r="7253">
          <cell r="B7253" t="str">
            <v>25-768-04-74</v>
          </cell>
          <cell r="C7253" t="str">
            <v>oneDrive  Drill-Free  Schr. 1,5x4mm,steril</v>
          </cell>
          <cell r="D7253" t="str">
            <v>oneDrive  Drill-Free  Screws 1.5x4mm,ste</v>
          </cell>
        </row>
        <row r="7254">
          <cell r="B7254" t="str">
            <v>25-768-05-09</v>
          </cell>
          <cell r="C7254" t="str">
            <v>oneDrive  Drill-Free  Schrauben  1,5x5mm</v>
          </cell>
          <cell r="D7254" t="str">
            <v>oneDrive  Drill-Free  Screws 1.5x5mm</v>
          </cell>
        </row>
        <row r="7255">
          <cell r="B7255" t="str">
            <v>25-768-05-61</v>
          </cell>
          <cell r="C7255" t="str">
            <v>ONEDRIVE  DRILL-FREE SCHRAUBE  1,5X5MM</v>
          </cell>
          <cell r="D7255" t="str">
            <v>ONEDRIVE  DRILL-FREE SCREW 1.5X5MM</v>
          </cell>
        </row>
        <row r="7256">
          <cell r="B7256" t="str">
            <v>25-768-05-71</v>
          </cell>
          <cell r="C7256" t="str">
            <v>ONEDRIVE  DRILL-FREE SCHR. 1,5X5MM,STERIL</v>
          </cell>
          <cell r="D7256" t="str">
            <v>ONEDRIVE  DRILL-FREE SCREW 1.5X5MM,STER.</v>
          </cell>
        </row>
        <row r="7257">
          <cell r="B7257" t="str">
            <v>25-768-05-74</v>
          </cell>
          <cell r="C7257" t="str">
            <v>oneDrive  Drill-Free  Schr. 1,5x5mm,steril</v>
          </cell>
          <cell r="D7257" t="str">
            <v>oneDrive  Drill-Free  Screws 1.5x5mm,ste</v>
          </cell>
        </row>
        <row r="7258">
          <cell r="B7258" t="str">
            <v>25-768-06-09</v>
          </cell>
          <cell r="C7258" t="str">
            <v>oneDrive  Drill-Free  Schrauben  1,5x6mm</v>
          </cell>
          <cell r="D7258" t="str">
            <v>oneDrive  Drill-Free  Screws 1.5x6mm</v>
          </cell>
        </row>
        <row r="7259">
          <cell r="B7259" t="str">
            <v>25-768-06-61</v>
          </cell>
          <cell r="C7259" t="str">
            <v>ONEDRIVE  DRILL-FREE SCHRAUBE  1,5X6MM</v>
          </cell>
          <cell r="D7259" t="str">
            <v>ONEDRIVE  DRILL-FREE SCREW 1.5X6MM</v>
          </cell>
        </row>
        <row r="7260">
          <cell r="B7260" t="str">
            <v>25-768-06-71</v>
          </cell>
          <cell r="C7260" t="str">
            <v>ONEDRIVE  DRILL-FREE SCHR. 1,5X6MM,STERIL</v>
          </cell>
          <cell r="D7260" t="str">
            <v>ONEDRIVE  DRILL-FREE SCREW 1.5X6MM,STER.</v>
          </cell>
        </row>
        <row r="7261">
          <cell r="B7261" t="str">
            <v>25-768-06-74</v>
          </cell>
          <cell r="C7261" t="str">
            <v>oneDrive  Drill-Free  Schr. 1,5x6mm,steril</v>
          </cell>
          <cell r="D7261" t="str">
            <v>oneDrive  Drill-Free  Screws 1.5x6mm,ste</v>
          </cell>
        </row>
        <row r="7262">
          <cell r="B7262" t="str">
            <v>25-768-07-09</v>
          </cell>
          <cell r="C7262" t="str">
            <v>oneDrive  Drill-Free  Schrauben  1,5x7mm</v>
          </cell>
          <cell r="D7262" t="str">
            <v>oneDrive  Drill-Free  Screws 1.5x7mm</v>
          </cell>
        </row>
        <row r="7263">
          <cell r="B7263" t="str">
            <v>25-768-07-61</v>
          </cell>
          <cell r="C7263" t="str">
            <v>ONEDRIVE  DRILL-FREE SCHRAUBE  1,5X7MM</v>
          </cell>
          <cell r="D7263" t="str">
            <v>ONEDRIVE  DRILL-FREE SCREW 1.5X7MM</v>
          </cell>
        </row>
        <row r="7264">
          <cell r="B7264" t="str">
            <v>25-768-07-71</v>
          </cell>
          <cell r="C7264" t="str">
            <v>ONEDRIVE  DRILL-FREE SCHR. 1,5X7MM,STERIL</v>
          </cell>
          <cell r="D7264" t="str">
            <v>ONEDRIVE  DRILL-FREE SCREW 1.5X7MM,STER.</v>
          </cell>
        </row>
        <row r="7265">
          <cell r="B7265" t="str">
            <v>25-768-07-74</v>
          </cell>
          <cell r="C7265" t="str">
            <v>oneDrive  Drill-Free  Schr. 1,5x7mm,steril</v>
          </cell>
          <cell r="D7265" t="str">
            <v>oneDrive  Drill-Free  Screws 1.5x7mm,ste</v>
          </cell>
        </row>
        <row r="7266">
          <cell r="B7266" t="str">
            <v>25-870-03-61</v>
          </cell>
          <cell r="C7266" t="str">
            <v>MAXDRIVE  SCHRAUBE  1,2X3MM</v>
          </cell>
          <cell r="D7266" t="str">
            <v>MAXDRIVE  SCREW 1.2X3MM</v>
          </cell>
        </row>
        <row r="7267">
          <cell r="B7267" t="str">
            <v>25-870-03-71</v>
          </cell>
          <cell r="C7267" t="str">
            <v>MAXDRIVE  SCHRAUBE  1,2 X 3 MM, STERIL</v>
          </cell>
          <cell r="D7267" t="str">
            <v>MAXDRIVE  SCREW 1,2 X 3 MM, STERILE</v>
          </cell>
        </row>
        <row r="7268">
          <cell r="B7268" t="str">
            <v>25-870-04-61</v>
          </cell>
          <cell r="C7268" t="str">
            <v>MAXDRIVE  SCHRAUBE  1,2X4MM</v>
          </cell>
          <cell r="D7268" t="str">
            <v>MAXDRIVE  SCREW 1.2X4MM</v>
          </cell>
        </row>
        <row r="7269">
          <cell r="B7269" t="str">
            <v>25-870-04-71</v>
          </cell>
          <cell r="C7269" t="str">
            <v>MAXDRIVE  SCHRAUBE  1,2 X 4 MM, STERIL</v>
          </cell>
          <cell r="D7269" t="str">
            <v>MAXDRIVE  SCREW 1,2 X 4 MM, STERILE</v>
          </cell>
        </row>
        <row r="7270">
          <cell r="B7270" t="str">
            <v>25-870-05-61</v>
          </cell>
          <cell r="C7270" t="str">
            <v>MAXDRIVE  SCHRAUBE  1,2X5MM</v>
          </cell>
          <cell r="D7270" t="str">
            <v>MAXDRIVE  SCREW 1.2X5MM</v>
          </cell>
        </row>
        <row r="7271">
          <cell r="B7271" t="str">
            <v>25-870-05-71</v>
          </cell>
          <cell r="C7271" t="str">
            <v>MAXDRIVE  SCHRAUBE  1,2 X 5 MM, STERIL</v>
          </cell>
          <cell r="D7271" t="str">
            <v>MAXDRIVE  SCREW 1,2 X 5 MM, STERILE</v>
          </cell>
        </row>
        <row r="7272">
          <cell r="B7272" t="str">
            <v>25-870-06-61</v>
          </cell>
          <cell r="C7272" t="str">
            <v>MAXDRIVE  SCHRAUBE  1,2X6MM</v>
          </cell>
          <cell r="D7272" t="str">
            <v>MAXDRIVE  SCREW 1.2X6MM</v>
          </cell>
        </row>
        <row r="7273">
          <cell r="B7273" t="str">
            <v>25-870-06-71</v>
          </cell>
          <cell r="C7273" t="str">
            <v>MAXDRIVE  SCHRAUBE  1,2 X 6 MM, STERIL</v>
          </cell>
          <cell r="D7273" t="str">
            <v>MAXDRIVE  SCREW 1,2 X 6 MM, STERILE</v>
          </cell>
        </row>
        <row r="7274">
          <cell r="B7274" t="str">
            <v>25-870-09-61</v>
          </cell>
          <cell r="C7274" t="str">
            <v>MAXDRIVE  SCHRAUBE  1,2X9MM</v>
          </cell>
          <cell r="D7274" t="str">
            <v>MAXDRIVE  SCREW 1.2X9MM</v>
          </cell>
        </row>
        <row r="7275">
          <cell r="B7275" t="str">
            <v>25-870-09-71</v>
          </cell>
          <cell r="C7275" t="str">
            <v>MAXDRIVE  SCHRAUBE  1,2 X 9 MM, STERIL</v>
          </cell>
          <cell r="D7275" t="str">
            <v>MAXDRIVE  SCREW 1,2 X 9 MM, STERILE</v>
          </cell>
        </row>
        <row r="7276">
          <cell r="B7276" t="str">
            <v>25-870-11-61</v>
          </cell>
          <cell r="C7276" t="str">
            <v>MAXDRIVE  SCHRAUBE  1,2X11MM</v>
          </cell>
          <cell r="D7276" t="str">
            <v>MAXDRIVE  SCREW 1.2X11MM</v>
          </cell>
        </row>
        <row r="7277">
          <cell r="B7277" t="str">
            <v>25-870-11-71</v>
          </cell>
          <cell r="C7277" t="str">
            <v>MAXDRIVE  SCHRAUBE  1,2 X 11 MM, STERIL</v>
          </cell>
          <cell r="D7277" t="str">
            <v>MAXDRIVE  SCREW 1,2 X 11 MM, STERILE</v>
          </cell>
        </row>
        <row r="7278">
          <cell r="B7278" t="str">
            <v>25-870-13-61</v>
          </cell>
          <cell r="C7278" t="str">
            <v>MAXDRIVE  SCHRAUBE  1,2X13MM</v>
          </cell>
          <cell r="D7278" t="str">
            <v>MAXDRIVE  SCREW 1.2X13MM</v>
          </cell>
        </row>
        <row r="7279">
          <cell r="B7279" t="str">
            <v>25-870-13-71</v>
          </cell>
          <cell r="C7279" t="str">
            <v>MAXDRIVE  SCHRAUBE  1,2 X 13 MM, STERIL</v>
          </cell>
          <cell r="D7279" t="str">
            <v>MAXDRIVE  SCREW 1,2 X 13 MM, STERILE</v>
          </cell>
        </row>
        <row r="7280">
          <cell r="B7280" t="str">
            <v>25-870-97-07</v>
          </cell>
          <cell r="C7280" t="str">
            <v>SCHRAUBENDREHERKLINGE MAXDRIVE  1,2MM, M</v>
          </cell>
          <cell r="D7280" t="str">
            <v>SCREWDRIVER BLADE MAXDRIVE, 1.2MM, M</v>
          </cell>
        </row>
        <row r="7281">
          <cell r="B7281" t="str">
            <v>25-870-98-07</v>
          </cell>
          <cell r="C7281" t="str">
            <v>SCHRAUBENDREHERKLINGE MAXDRIVE  1,2 MM, L</v>
          </cell>
          <cell r="D7281" t="str">
            <v>SCREWDRIVER BLADE MAXDRIVE  1.2 MM, L</v>
          </cell>
        </row>
        <row r="7282">
          <cell r="B7282" t="str">
            <v>25-871-97-04</v>
          </cell>
          <cell r="C7282" t="str">
            <v>Abdrückhülse für 25-870-97-07</v>
          </cell>
          <cell r="D7282" t="str">
            <v>Screwdriver Device for 25-870-97-07</v>
          </cell>
        </row>
        <row r="7283">
          <cell r="B7283" t="str">
            <v>25-872-04-09</v>
          </cell>
          <cell r="C7283" t="str">
            <v>MAXDRIVE  SCHRAUBEN 2,0X4MM</v>
          </cell>
          <cell r="D7283" t="str">
            <v>MAXDRIVE  SCREWS 2.0X4MM</v>
          </cell>
        </row>
        <row r="7284">
          <cell r="B7284" t="str">
            <v>25-872-04-61</v>
          </cell>
          <cell r="C7284" t="str">
            <v>MAXDRIVE  SCHRAUBE  2,0X4MM</v>
          </cell>
          <cell r="D7284" t="str">
            <v>MAXDRIVE  SCREW 2.0X4MM</v>
          </cell>
        </row>
        <row r="7285">
          <cell r="B7285" t="str">
            <v>25-872-04-71</v>
          </cell>
          <cell r="C7285" t="str">
            <v>MAXDRIVE  SCHRAUBE  2,0X4MM,  STERIL</v>
          </cell>
          <cell r="D7285" t="str">
            <v>MAXDRIVE  SCREW 2.0X4MM,  STERILE</v>
          </cell>
        </row>
        <row r="7286">
          <cell r="B7286" t="str">
            <v>25-872-04-75</v>
          </cell>
          <cell r="C7286" t="str">
            <v>MAXDRIVE  SCHRAUBEN 2,0X4MM,  STERIL</v>
          </cell>
          <cell r="D7286" t="str">
            <v>MAXDRIVE  SCREWS 2.0X4MM,  STERILE</v>
          </cell>
        </row>
        <row r="7287">
          <cell r="B7287" t="str">
            <v>25-872-04-91</v>
          </cell>
          <cell r="C7287" t="str">
            <v>MAXDRIVE  SCHRAUBEN 2,0X4MM</v>
          </cell>
          <cell r="D7287" t="str">
            <v>SCREW, MAXDRIVE  2.0 X 4 MM</v>
          </cell>
        </row>
        <row r="7288">
          <cell r="B7288" t="str">
            <v>25-872-05-09</v>
          </cell>
          <cell r="C7288" t="str">
            <v>MAXDRIVE  SCHRAUBEN 2,0X5MM</v>
          </cell>
          <cell r="D7288" t="str">
            <v>MAXDRIVE  SCREWS 2.0X5MM</v>
          </cell>
        </row>
        <row r="7289">
          <cell r="B7289" t="str">
            <v>25-872-05-25</v>
          </cell>
          <cell r="C7289" t="str">
            <v>MAXDRIVE  SCHRAUBEN 2,0X5MM</v>
          </cell>
          <cell r="D7289" t="str">
            <v>MAXDRIVE  SCREWS 2.0X5MM</v>
          </cell>
        </row>
        <row r="7290">
          <cell r="B7290" t="str">
            <v>25-872-05-61</v>
          </cell>
          <cell r="C7290" t="str">
            <v>MAXDRIVE  SCHRAUBE  2,0X5MM</v>
          </cell>
          <cell r="D7290" t="str">
            <v>MAXDRIVE  SCREW 2.0X5MM</v>
          </cell>
        </row>
        <row r="7291">
          <cell r="B7291" t="str">
            <v>25-872-05-71</v>
          </cell>
          <cell r="C7291" t="str">
            <v>MAXDRIVE  SCHRAUBE  2,0X5MM,  STERIL</v>
          </cell>
          <cell r="D7291" t="str">
            <v>MAXDRIVE  SCREW 2.0X5MM,  STERILE</v>
          </cell>
        </row>
        <row r="7292">
          <cell r="B7292" t="str">
            <v>25-872-05-75</v>
          </cell>
          <cell r="C7292" t="str">
            <v>MAXDRIVE  SCHRAUBEN 2,0X5MM,  STERIL</v>
          </cell>
          <cell r="D7292" t="str">
            <v>MAXDRIVE  SCREWS 2.0X5MM,  STERILE</v>
          </cell>
        </row>
        <row r="7293">
          <cell r="B7293" t="str">
            <v>25-872-05-91</v>
          </cell>
          <cell r="C7293" t="str">
            <v>MAXDRIVE  SCHRAUBE  2,0X5MM</v>
          </cell>
          <cell r="D7293" t="str">
            <v>MAXDRIVE  SCREW 2.0X5MM</v>
          </cell>
        </row>
        <row r="7294">
          <cell r="B7294" t="str">
            <v>25-872-06-09</v>
          </cell>
          <cell r="C7294" t="str">
            <v>MAXDRIVE  SCHRAUBEN 2,0X6MM</v>
          </cell>
          <cell r="D7294" t="str">
            <v>MAXDRIVE  SCREWS 2.0X6MM</v>
          </cell>
        </row>
        <row r="7295">
          <cell r="B7295" t="str">
            <v>25-872-06-61</v>
          </cell>
          <cell r="C7295" t="str">
            <v>MAXDRIVE  SCHRAUBE  2,0X6MM</v>
          </cell>
          <cell r="D7295" t="str">
            <v>MAXDRIVE  SCREW 2.0X6MM</v>
          </cell>
        </row>
        <row r="7296">
          <cell r="B7296" t="str">
            <v>25-872-06-71</v>
          </cell>
          <cell r="C7296" t="str">
            <v>MAXDRIVE  SCHRAUBE  2,0X6MM,  STERIL</v>
          </cell>
          <cell r="D7296" t="str">
            <v>MAXDRIVE  SCREW 2.0X6MM,  STERILE</v>
          </cell>
        </row>
        <row r="7297">
          <cell r="B7297" t="str">
            <v>25-872-06-75</v>
          </cell>
          <cell r="C7297" t="str">
            <v>MAXDRIVE  SCHRAUBEN 2,0X6MM,  STERIL</v>
          </cell>
          <cell r="D7297" t="str">
            <v>MAXDRIVE  SCREWS 2.0X6MM,  STERILE</v>
          </cell>
        </row>
        <row r="7298">
          <cell r="B7298" t="str">
            <v>25-872-06-91</v>
          </cell>
          <cell r="C7298" t="str">
            <v>MAXDRIVE  SCHRAUBEN 2,0X6MM</v>
          </cell>
          <cell r="D7298" t="str">
            <v>MAXDRIVE  SCREWS 2.0X6MM</v>
          </cell>
        </row>
        <row r="7299">
          <cell r="B7299" t="str">
            <v>25-872-07-09</v>
          </cell>
          <cell r="C7299" t="str">
            <v>MAXDRIVE  SCHRAUBEN 2,0X7MM</v>
          </cell>
          <cell r="D7299" t="str">
            <v>MAXDRIVE  SCREWS 2.0X7MM</v>
          </cell>
        </row>
        <row r="7300">
          <cell r="B7300" t="str">
            <v>25-872-07-25</v>
          </cell>
          <cell r="C7300" t="str">
            <v>MAXDRIVE  SCHRAUBEN 2,0X7MM</v>
          </cell>
          <cell r="D7300" t="str">
            <v>MAXDRIVE  SCREWS 2.0X7MM</v>
          </cell>
        </row>
        <row r="7301">
          <cell r="B7301" t="str">
            <v>25-872-07-61</v>
          </cell>
          <cell r="C7301" t="str">
            <v>MAXDRIVE  SCHRAUBE  2,0X7MM</v>
          </cell>
          <cell r="D7301" t="str">
            <v>MAXDRIVE  SCREW 2.0X7MM</v>
          </cell>
        </row>
        <row r="7302">
          <cell r="B7302" t="str">
            <v>25-872-07-71</v>
          </cell>
          <cell r="C7302" t="str">
            <v>MAXDRIVE  SCHRAUBE  2,0X7MM,  STERIL</v>
          </cell>
          <cell r="D7302" t="str">
            <v>MAXDRIVE  SCREW 2.0X7MM,  STERILE</v>
          </cell>
        </row>
        <row r="7303">
          <cell r="B7303" t="str">
            <v>25-872-07-75</v>
          </cell>
          <cell r="C7303" t="str">
            <v>MAXDRIVE  SCHRAUBEN 2,0X7MM,  STERIL</v>
          </cell>
          <cell r="D7303" t="str">
            <v>MAXDRIVE  SCREWS 2.0X7MM,  STERILE</v>
          </cell>
        </row>
        <row r="7304">
          <cell r="B7304" t="str">
            <v>25-872-07-91</v>
          </cell>
          <cell r="C7304" t="str">
            <v>MAXDRIVE  SCHRAUBE  2,0X7MM</v>
          </cell>
          <cell r="D7304" t="str">
            <v>MAXDRIVE  SCREW 2.0X7MM</v>
          </cell>
        </row>
        <row r="7305">
          <cell r="B7305" t="str">
            <v>25-872-09-09</v>
          </cell>
          <cell r="C7305" t="str">
            <v>MAXDRIVE  SCHRAUBEN 2,0X9MM</v>
          </cell>
          <cell r="D7305" t="str">
            <v>MAXDRIVE  SCREWS 2.0X9MM</v>
          </cell>
        </row>
        <row r="7306">
          <cell r="B7306" t="str">
            <v>25-872-09-25</v>
          </cell>
          <cell r="C7306" t="str">
            <v>MAXDRIVE  SCHRAUBEN 2,0X9MM</v>
          </cell>
          <cell r="D7306" t="str">
            <v>MAXDRIVE  SCREWS 2.0X9MM</v>
          </cell>
        </row>
        <row r="7307">
          <cell r="B7307" t="str">
            <v>25-872-09-61</v>
          </cell>
          <cell r="C7307" t="str">
            <v>MAXDRIVE  SCHRAUBE  2,0X9MM</v>
          </cell>
          <cell r="D7307" t="str">
            <v>MAXDRIVE  SCREW 2.0X9MM</v>
          </cell>
        </row>
        <row r="7308">
          <cell r="B7308" t="str">
            <v>25-872-09-71</v>
          </cell>
          <cell r="C7308" t="str">
            <v>MAXDRIVE  SCHRAUBE  2,0X9MM,  STERIL</v>
          </cell>
          <cell r="D7308" t="str">
            <v>MAXDRIVE  SCREW 2.0X9MM,  STERILE</v>
          </cell>
        </row>
        <row r="7309">
          <cell r="B7309" t="str">
            <v>25-872-09-75</v>
          </cell>
          <cell r="C7309" t="str">
            <v>MAXDRIVE  SCHRAUBEN 2,0X9MM,  STERIL</v>
          </cell>
          <cell r="D7309" t="str">
            <v>MAXDRIVE  SCREWS 2.0X9MM,  STERILE</v>
          </cell>
        </row>
        <row r="7310">
          <cell r="B7310" t="str">
            <v>25-872-09-91</v>
          </cell>
          <cell r="C7310" t="str">
            <v>MAXDRIVE  SCHRAUBE  2,0X9MM</v>
          </cell>
          <cell r="D7310" t="str">
            <v>MAXDRIVE  SCREW 2.0X9MM</v>
          </cell>
        </row>
        <row r="7311">
          <cell r="B7311" t="str">
            <v>25-872-11-09</v>
          </cell>
          <cell r="C7311" t="str">
            <v>MAXDRIVE  SCHRAUBEN 2,0X11MM</v>
          </cell>
          <cell r="D7311" t="str">
            <v>MAXDRIVE  SCREWS 2.0X11MM</v>
          </cell>
        </row>
        <row r="7312">
          <cell r="B7312" t="str">
            <v>25-872-11-25</v>
          </cell>
          <cell r="C7312" t="str">
            <v>MAXDRIVE  SCHRAUBEN 2,0X11MM</v>
          </cell>
          <cell r="D7312" t="str">
            <v>MAXDRIVE  SCREWS 2.0X11MM</v>
          </cell>
        </row>
        <row r="7313">
          <cell r="B7313" t="str">
            <v>25-872-11-61</v>
          </cell>
          <cell r="C7313" t="str">
            <v>MAXDRIVE  SCHRAUBE  2,0X11MM</v>
          </cell>
          <cell r="D7313" t="str">
            <v>MAXDRIVE  SCREW 2.0X11MM</v>
          </cell>
        </row>
        <row r="7314">
          <cell r="B7314" t="str">
            <v>25-872-11-71</v>
          </cell>
          <cell r="C7314" t="str">
            <v>MAXDRIVE  SCHRAUBE  2,0X11MM, STERIL</v>
          </cell>
          <cell r="D7314" t="str">
            <v>MAXDRIVE  SCREW 2.0X11MM, STERILE</v>
          </cell>
        </row>
        <row r="7315">
          <cell r="B7315" t="str">
            <v>25-872-11-75</v>
          </cell>
          <cell r="C7315" t="str">
            <v>MAXDRIVE  SCHRAUBEN 2,0X11MM, STERIL</v>
          </cell>
          <cell r="D7315" t="str">
            <v>MAXDRIVE  SCREWS 2.0X11MM  STERILE</v>
          </cell>
        </row>
        <row r="7316">
          <cell r="B7316" t="str">
            <v>25-872-11-91</v>
          </cell>
          <cell r="C7316" t="str">
            <v>MAXDRIVE  SCHRAUBEN 2,0X11MM</v>
          </cell>
          <cell r="D7316" t="str">
            <v>MAXDRIVE  SCREWS 2.0X11MM</v>
          </cell>
        </row>
        <row r="7317">
          <cell r="B7317" t="str">
            <v>25-872-13-09</v>
          </cell>
          <cell r="C7317" t="str">
            <v>MAXDRIVE  SCHRAUBEN 2,0X13MM</v>
          </cell>
          <cell r="D7317" t="str">
            <v>MAXDRIVE  SCREWS 2.0X13MM</v>
          </cell>
        </row>
        <row r="7318">
          <cell r="B7318" t="str">
            <v>25-872-13-25</v>
          </cell>
          <cell r="C7318" t="str">
            <v>MAXDRIVE  SCHRAUBEN 2,0X13MM</v>
          </cell>
          <cell r="D7318" t="str">
            <v>MAXDRIVE  SCREWS 2.0X13MM</v>
          </cell>
        </row>
        <row r="7319">
          <cell r="B7319" t="str">
            <v>25-872-13-61</v>
          </cell>
          <cell r="C7319" t="str">
            <v>MAXDRIVE  SCHRAUBE  2,0X13MM</v>
          </cell>
          <cell r="D7319" t="str">
            <v>MAXDRIVE  SCREW 2.0X13MM</v>
          </cell>
        </row>
        <row r="7320">
          <cell r="B7320" t="str">
            <v>25-872-13-71</v>
          </cell>
          <cell r="C7320" t="str">
            <v>MAXDRIVE  SCHRAUBE  2,0X13MM, STERIL</v>
          </cell>
          <cell r="D7320" t="str">
            <v>MAXDRIVE  SCREW 2.0X13MM, STERILE</v>
          </cell>
        </row>
        <row r="7321">
          <cell r="B7321" t="str">
            <v>25-872-13-75</v>
          </cell>
          <cell r="C7321" t="str">
            <v>MAXDRIVE  SCHRAUBEN 2,0X13MM, STERIL</v>
          </cell>
          <cell r="D7321" t="str">
            <v>MAXDRIVE  SCREWS 2.0X13MM, STERILE</v>
          </cell>
        </row>
        <row r="7322">
          <cell r="B7322" t="str">
            <v>25-872-13-91</v>
          </cell>
          <cell r="C7322" t="str">
            <v>MAXDRIVE  SCHRAUBEN 2,0X13MM</v>
          </cell>
          <cell r="D7322" t="str">
            <v>MAXDRIVE  SCREWS 2.0X13MM</v>
          </cell>
        </row>
        <row r="7323">
          <cell r="B7323" t="str">
            <v>25-872-15-09</v>
          </cell>
          <cell r="C7323" t="str">
            <v>MAXDRIVE  SCHRAUBEN 2,0X15MM</v>
          </cell>
          <cell r="D7323" t="str">
            <v>MAXDRIVE  SCREWS 2.0X15MM</v>
          </cell>
        </row>
        <row r="7324">
          <cell r="B7324" t="str">
            <v>25-872-15-25</v>
          </cell>
          <cell r="C7324" t="str">
            <v>MAXDRIVE  SCHRAUBEN 2,0X15MM</v>
          </cell>
          <cell r="D7324" t="str">
            <v>MAXDRIVE  SCREWS 2.0X15MM</v>
          </cell>
        </row>
        <row r="7325">
          <cell r="B7325" t="str">
            <v>25-872-15-61</v>
          </cell>
          <cell r="C7325" t="str">
            <v>MAXDRIVE  SCHRAUBE  2,0X15MM</v>
          </cell>
          <cell r="D7325" t="str">
            <v>MAXDRIVE  SCREW 2.0X15MM</v>
          </cell>
        </row>
        <row r="7326">
          <cell r="B7326" t="str">
            <v>25-872-15-71</v>
          </cell>
          <cell r="C7326" t="str">
            <v>MAXDRIVE  SCHRAUBE  2,0X15MM, STERIL</v>
          </cell>
          <cell r="D7326" t="str">
            <v>MAXDRIVE  SCREW 2.0X15MM, STERILE</v>
          </cell>
        </row>
        <row r="7327">
          <cell r="B7327" t="str">
            <v>25-872-15-75</v>
          </cell>
          <cell r="C7327" t="str">
            <v>MAXDRIVE  SCHRAUBEN 2,0X15MM, STERIL</v>
          </cell>
          <cell r="D7327" t="str">
            <v>MAXDRIVE  SCREWS 2.0X15MM, STERILE</v>
          </cell>
        </row>
        <row r="7328">
          <cell r="B7328" t="str">
            <v>25-872-15-91</v>
          </cell>
          <cell r="C7328" t="str">
            <v>MAXDRIVE  SCHRAUBEN 2,0X15MM</v>
          </cell>
          <cell r="D7328" t="str">
            <v>MAXDRIVE  SCREWS 2.0X15MM</v>
          </cell>
        </row>
        <row r="7329">
          <cell r="B7329" t="str">
            <v>25-872-17-09</v>
          </cell>
          <cell r="C7329" t="str">
            <v>MAXDRIVE  SCHRAUBEN 2,0X17MM</v>
          </cell>
          <cell r="D7329" t="str">
            <v>MAXDRIVE  SCREWS 2.0X17MM</v>
          </cell>
        </row>
        <row r="7330">
          <cell r="B7330" t="str">
            <v>25-872-17-61</v>
          </cell>
          <cell r="C7330" t="str">
            <v>MAXDRIVE  SCHRAUBE  2,0X17MM</v>
          </cell>
          <cell r="D7330" t="str">
            <v>MAXDRIVE  SCREW 2.0X17MM</v>
          </cell>
        </row>
        <row r="7331">
          <cell r="B7331" t="str">
            <v>25-872-17-71</v>
          </cell>
          <cell r="C7331" t="str">
            <v>MAXDRIVE  SCHRAUBE  2,0X17MM, STERIL</v>
          </cell>
          <cell r="D7331" t="str">
            <v>MAXDRIVE  SCREW 2.0X17MM, STERILE</v>
          </cell>
        </row>
        <row r="7332">
          <cell r="B7332" t="str">
            <v>25-872-17-75</v>
          </cell>
          <cell r="C7332" t="str">
            <v>MAXDRIVE  SCHRAUBEN 2,0X17MM, STERIL</v>
          </cell>
          <cell r="D7332" t="str">
            <v>MAXDRIVE  SCREWS 2.0X17MM, STERILE</v>
          </cell>
        </row>
        <row r="7333">
          <cell r="B7333" t="str">
            <v>25-872-17-91</v>
          </cell>
          <cell r="C7333" t="str">
            <v>MAXDRIVE  SCHRAUBEN 2,0X17MM</v>
          </cell>
          <cell r="D7333" t="str">
            <v>MAXDRIVE  SCREWS 2.0X17MM</v>
          </cell>
        </row>
        <row r="7334">
          <cell r="B7334" t="str">
            <v>25-872-19-09</v>
          </cell>
          <cell r="C7334" t="str">
            <v>MAXDRIVE  SCHRAUBEN 2,0X19MM</v>
          </cell>
          <cell r="D7334" t="str">
            <v>MAXDRIVE  SCREWS 2.0X19MM</v>
          </cell>
        </row>
        <row r="7335">
          <cell r="B7335" t="str">
            <v>25-872-19-61</v>
          </cell>
          <cell r="C7335" t="str">
            <v>MAXDRIVE  SCHRAUBE  2,0X19MM</v>
          </cell>
          <cell r="D7335" t="str">
            <v>MAXDRIVE  SCREW 2.0X19MM</v>
          </cell>
        </row>
        <row r="7336">
          <cell r="B7336" t="str">
            <v>25-872-19-71</v>
          </cell>
          <cell r="C7336" t="str">
            <v>MAXDRIVE  SCHRAUBE  2,0X19MM, STERIL</v>
          </cell>
          <cell r="D7336" t="str">
            <v>MAXDRIVE  SCREW 2.0X19MM, STERILE</v>
          </cell>
        </row>
        <row r="7337">
          <cell r="B7337" t="str">
            <v>25-872-19-91</v>
          </cell>
          <cell r="C7337" t="str">
            <v>MAXDRIVE  SCHRAUBEN 2,0X19MM</v>
          </cell>
          <cell r="D7337" t="str">
            <v>MAXDRIVE  SCREWS 2.0X19MM</v>
          </cell>
        </row>
        <row r="7338">
          <cell r="B7338" t="str">
            <v>25-873-04-09</v>
          </cell>
          <cell r="C7338" t="str">
            <v>MAXDRIVE  SCHRAUBEN 2,3X4MM</v>
          </cell>
          <cell r="D7338" t="str">
            <v>MAXDRIVE  SCREWS 2.3X4MM</v>
          </cell>
        </row>
        <row r="7339">
          <cell r="B7339" t="str">
            <v>25-873-04-61</v>
          </cell>
          <cell r="C7339" t="str">
            <v>MAXDRIVE  SCHRAUBE  2,3X4MM</v>
          </cell>
          <cell r="D7339" t="str">
            <v>MAXDRIVE  SCREW 2.3X4MM</v>
          </cell>
        </row>
        <row r="7340">
          <cell r="B7340" t="str">
            <v>25-873-04-71</v>
          </cell>
          <cell r="C7340" t="str">
            <v>MAXDRIVE  SCHRAUBE  2,3X4MM,  STERIL</v>
          </cell>
          <cell r="D7340" t="str">
            <v>MAXDRIVE  SCREW 2.3X4MM,  STERILE</v>
          </cell>
        </row>
        <row r="7341">
          <cell r="B7341" t="str">
            <v>25-873-04-75</v>
          </cell>
          <cell r="C7341" t="str">
            <v>MAXDRIVE  SCHRAUBEN 2,3X4MM,  STERIL</v>
          </cell>
          <cell r="D7341" t="str">
            <v>MAXDRIVE  SCREWS 2.3X4MM,  STERILE</v>
          </cell>
        </row>
        <row r="7342">
          <cell r="B7342" t="str">
            <v>25-873-05-09</v>
          </cell>
          <cell r="C7342" t="str">
            <v>MAXDRIVE  SCHRAUBEN 2,3X5MM</v>
          </cell>
          <cell r="D7342" t="str">
            <v>MAXDRIVE  SCREWS 2.3X5MM</v>
          </cell>
        </row>
        <row r="7343">
          <cell r="B7343" t="str">
            <v>25-873-05-25</v>
          </cell>
          <cell r="C7343" t="str">
            <v>MAXDRIVE  SCHRAUBEN 2,3X5MM</v>
          </cell>
          <cell r="D7343" t="str">
            <v>MAXDRIVE  SCREWS 2.3X5MM</v>
          </cell>
        </row>
        <row r="7344">
          <cell r="B7344" t="str">
            <v>25-873-05-61</v>
          </cell>
          <cell r="C7344" t="str">
            <v>MAXDRIVE  SCHRAUBE  2,3X5MM</v>
          </cell>
          <cell r="D7344" t="str">
            <v>MAXDRIVE  SCREW 2.3X5MM</v>
          </cell>
        </row>
        <row r="7345">
          <cell r="B7345" t="str">
            <v>25-873-05-71</v>
          </cell>
          <cell r="C7345" t="str">
            <v>MAXDRIVE  SCHRAUBE  2,3X5MM,  STERIL</v>
          </cell>
          <cell r="D7345" t="str">
            <v>MAXDRIVE  SCREW 2.3X5MM,  STERILE</v>
          </cell>
        </row>
        <row r="7346">
          <cell r="B7346" t="str">
            <v>25-873-05-75</v>
          </cell>
          <cell r="C7346" t="str">
            <v>MAXDRIVE  SCHRAUBEN 2,3X5MM,  STERIL</v>
          </cell>
          <cell r="D7346" t="str">
            <v>MAXDRIVE  SCREWS 2.3X5MM,  STERILE</v>
          </cell>
        </row>
        <row r="7347">
          <cell r="B7347" t="str">
            <v>25-873-05-91</v>
          </cell>
          <cell r="C7347" t="str">
            <v>maxDrive  Schraube  2,3 X 5 MM</v>
          </cell>
          <cell r="D7347" t="str">
            <v>maxDrive  Screw 2.3 X 5 MM</v>
          </cell>
        </row>
        <row r="7348">
          <cell r="B7348" t="str">
            <v>25-873-06-09</v>
          </cell>
          <cell r="C7348" t="str">
            <v>MAXDRIVE  SCHRAUBEN 2,3X6MM</v>
          </cell>
          <cell r="D7348" t="str">
            <v>MAXDRIVE  SCREWS 2.3X6MM</v>
          </cell>
        </row>
        <row r="7349">
          <cell r="B7349" t="str">
            <v>25-873-06-61</v>
          </cell>
          <cell r="C7349" t="str">
            <v>MAXDRIVE  SCHRAUBE  2,3X6MM</v>
          </cell>
          <cell r="D7349" t="str">
            <v>MAXDRIVE  SCREW 2.3X6MM</v>
          </cell>
        </row>
        <row r="7350">
          <cell r="B7350" t="str">
            <v>25-873-06-71</v>
          </cell>
          <cell r="C7350" t="str">
            <v>MAXDRIVE  SCHRAUBE  2,3X6MM,  STERIL</v>
          </cell>
          <cell r="D7350" t="str">
            <v>MAXDRIVE  SCREW 2.3X6MM,  STERILE</v>
          </cell>
        </row>
        <row r="7351">
          <cell r="B7351" t="str">
            <v>25-873-06-75</v>
          </cell>
          <cell r="C7351" t="str">
            <v>MAXDRIVE  SCHRAUBEN 2,3X6MM,  STERIL</v>
          </cell>
          <cell r="D7351" t="str">
            <v>MAXDRIVE  SCREWS 2.3X6MM,  STERILE</v>
          </cell>
        </row>
        <row r="7352">
          <cell r="B7352" t="str">
            <v>25-873-07-09</v>
          </cell>
          <cell r="C7352" t="str">
            <v>MAXDRIVE  SCHRAUBEN 2,3X7MM</v>
          </cell>
          <cell r="D7352" t="str">
            <v>MAXDRIVE  SCREWS 2.3X7MM</v>
          </cell>
        </row>
        <row r="7353">
          <cell r="B7353" t="str">
            <v>25-873-07-25</v>
          </cell>
          <cell r="C7353" t="str">
            <v>MAXDRIVE  SCHRAUBEN 2,3X7MM</v>
          </cell>
          <cell r="D7353" t="str">
            <v>MAXDRIVE  SCREWS 2.3X7MM</v>
          </cell>
        </row>
        <row r="7354">
          <cell r="B7354" t="str">
            <v>25-873-07-61</v>
          </cell>
          <cell r="C7354" t="str">
            <v>MAXDRIVE  SCHRAUBE  2,3X7MM</v>
          </cell>
          <cell r="D7354" t="str">
            <v>MAXDRIVE  SCREW 2.3X7MM</v>
          </cell>
        </row>
        <row r="7355">
          <cell r="B7355" t="str">
            <v>25-873-07-71</v>
          </cell>
          <cell r="C7355" t="str">
            <v>MAXDRIVE  SCHRAUBE  2,3X7MM,  STERIL</v>
          </cell>
          <cell r="D7355" t="str">
            <v>MAXDRIVE  SCREW 2.3X7MM,  STERILE</v>
          </cell>
        </row>
        <row r="7356">
          <cell r="B7356" t="str">
            <v>25-873-07-75</v>
          </cell>
          <cell r="C7356" t="str">
            <v>MAXDRIVE  SCHRAUBEN 2,3X7MM,  STERIL</v>
          </cell>
          <cell r="D7356" t="str">
            <v>MAXDRIVE  SCREWS 2.3X7MM,  STERILE</v>
          </cell>
        </row>
        <row r="7357">
          <cell r="B7357" t="str">
            <v>25-873-07-91</v>
          </cell>
          <cell r="C7357" t="str">
            <v>maxDrive  Schraube  2,3 X 7 MM</v>
          </cell>
          <cell r="D7357" t="str">
            <v>maxDrive  Screw 2.3 X 7 MM</v>
          </cell>
        </row>
        <row r="7358">
          <cell r="B7358" t="str">
            <v>25-873-09-09</v>
          </cell>
          <cell r="C7358" t="str">
            <v>MAXDRIVE  SCHRAUBEN 2,3X9MM</v>
          </cell>
          <cell r="D7358" t="str">
            <v>MAXDRIVE  SCREWS 2.3X9MM</v>
          </cell>
        </row>
        <row r="7359">
          <cell r="B7359" t="str">
            <v>25-873-09-25</v>
          </cell>
          <cell r="C7359" t="str">
            <v>MAXDRIVE  SCHRAUBEN 2,3X9MM</v>
          </cell>
          <cell r="D7359" t="str">
            <v>MAXDRIVE  SCREWS 2.3X9MM</v>
          </cell>
        </row>
        <row r="7360">
          <cell r="B7360" t="str">
            <v>25-873-09-61</v>
          </cell>
          <cell r="C7360" t="str">
            <v>MAXDRIVE  SCHRAUBE  2,3X9MM</v>
          </cell>
          <cell r="D7360" t="str">
            <v>MAXDRIVE  SCREW 2.3X9MM</v>
          </cell>
        </row>
        <row r="7361">
          <cell r="B7361" t="str">
            <v>25-873-09-71</v>
          </cell>
          <cell r="C7361" t="str">
            <v>MAXDRIVE  SCHRAUBE  2,3X9MM,  STERIL</v>
          </cell>
          <cell r="D7361" t="str">
            <v>MAXDRIVE  SCREW 2.3X9MM,  STERILE</v>
          </cell>
        </row>
        <row r="7362">
          <cell r="B7362" t="str">
            <v>25-873-09-75</v>
          </cell>
          <cell r="C7362" t="str">
            <v>MAXDRIVE  SCHRAUBEN 2,3X9MM,  STERIL</v>
          </cell>
          <cell r="D7362" t="str">
            <v>MAXDRIVE  SCREWS 2.3X9MM,  STERILE</v>
          </cell>
        </row>
        <row r="7363">
          <cell r="B7363" t="str">
            <v>25-873-09-91</v>
          </cell>
          <cell r="C7363" t="str">
            <v>maxDrive  Schraube  2,3 X 9 MM</v>
          </cell>
          <cell r="D7363" t="str">
            <v>maxDrive  Screw 2.3 X 9 MM</v>
          </cell>
        </row>
        <row r="7364">
          <cell r="B7364" t="str">
            <v>25-873-11-09</v>
          </cell>
          <cell r="C7364" t="str">
            <v>MAXDRIVE  SCHRAUBEN 2,3X11MM</v>
          </cell>
          <cell r="D7364" t="str">
            <v>MAXDRIVE  SCREWS 2.3X11MM</v>
          </cell>
        </row>
        <row r="7365">
          <cell r="B7365" t="str">
            <v>25-873-11-25</v>
          </cell>
          <cell r="C7365" t="str">
            <v>MAXDRIVE  SCHRAUBEN 2,3X11MM</v>
          </cell>
          <cell r="D7365" t="str">
            <v>MAXDRIVE  SCREWS 2.3X11MM</v>
          </cell>
        </row>
        <row r="7366">
          <cell r="B7366" t="str">
            <v>25-873-11-61</v>
          </cell>
          <cell r="C7366" t="str">
            <v>MAXDRIVE  SCHRAUBE  2,3X11MM</v>
          </cell>
          <cell r="D7366" t="str">
            <v>MAXDRIVE  SCREW 2.3X11MM</v>
          </cell>
        </row>
        <row r="7367">
          <cell r="B7367" t="str">
            <v>25-873-11-71</v>
          </cell>
          <cell r="C7367" t="str">
            <v>MAXDRIVE  SCHRAUBE  2,3X11MM, STERIL</v>
          </cell>
          <cell r="D7367" t="str">
            <v>MAXDRIVE  SCREW 2.3X11MM, STERILE</v>
          </cell>
        </row>
        <row r="7368">
          <cell r="B7368" t="str">
            <v>25-873-11-75</v>
          </cell>
          <cell r="C7368" t="str">
            <v>MAXDRIVE  SCHRAUBEN 2,3X11MM, STERIL</v>
          </cell>
          <cell r="D7368" t="str">
            <v>MAXDRIVE  SCREWS 2.3X11MM, STERILE</v>
          </cell>
        </row>
        <row r="7369">
          <cell r="B7369" t="str">
            <v>25-873-11-91</v>
          </cell>
          <cell r="C7369" t="str">
            <v>maxDrive  Schraube  2,3 X 11 MM</v>
          </cell>
          <cell r="D7369" t="str">
            <v>maxDrive  Screw 2.3 X 11 MM</v>
          </cell>
        </row>
        <row r="7370">
          <cell r="B7370" t="str">
            <v>25-873-13-09</v>
          </cell>
          <cell r="C7370" t="str">
            <v>MAXDRIVE  SCHRAUBEN 2,3X13MM</v>
          </cell>
          <cell r="D7370" t="str">
            <v>MAXDRIVE  SCREWS 2.3X13MM</v>
          </cell>
        </row>
        <row r="7371">
          <cell r="B7371" t="str">
            <v>25-873-13-61</v>
          </cell>
          <cell r="C7371" t="str">
            <v>MAXDRIVE  SCHRAUBE  2,3X13MM</v>
          </cell>
          <cell r="D7371" t="str">
            <v>MAXDRIVE  SCREW 2.3X13MM</v>
          </cell>
        </row>
        <row r="7372">
          <cell r="B7372" t="str">
            <v>25-873-13-71</v>
          </cell>
          <cell r="C7372" t="str">
            <v>MAXDRIVE  SCHRAUBE  2,3X13MM, STERIL</v>
          </cell>
          <cell r="D7372" t="str">
            <v>MAXDRIVE  SCREW 2.3X13MM, STERILE</v>
          </cell>
        </row>
        <row r="7373">
          <cell r="B7373" t="str">
            <v>25-873-13-75</v>
          </cell>
          <cell r="C7373" t="str">
            <v>MAXDRIVE  SCHRAUBEN 2,3X13MM, STERIL</v>
          </cell>
          <cell r="D7373" t="str">
            <v>MAXDRIVE  SCREWS 2.3X13MM, STERILE</v>
          </cell>
        </row>
        <row r="7374">
          <cell r="B7374" t="str">
            <v>25-873-13-91</v>
          </cell>
          <cell r="C7374" t="str">
            <v>maxDrive  Schraube  2,3 X 13 MM</v>
          </cell>
          <cell r="D7374" t="str">
            <v>maxDrive  Screw 2.3 X 13 MM</v>
          </cell>
        </row>
        <row r="7375">
          <cell r="B7375" t="str">
            <v>25-873-15-09</v>
          </cell>
          <cell r="C7375" t="str">
            <v>MAXDRIVE  SCHRAUBEN 2,3X15MM</v>
          </cell>
          <cell r="D7375" t="str">
            <v>MAXDRIVE  SCREWS 2.3X15MM</v>
          </cell>
        </row>
        <row r="7376">
          <cell r="B7376" t="str">
            <v>25-873-15-61</v>
          </cell>
          <cell r="C7376" t="str">
            <v>MAXDRIVE  SCHRAUBE  2,3X15MM</v>
          </cell>
          <cell r="D7376" t="str">
            <v>MAXDRIVE  SCREW 2.3X15MM</v>
          </cell>
        </row>
        <row r="7377">
          <cell r="B7377" t="str">
            <v>25-873-15-71</v>
          </cell>
          <cell r="C7377" t="str">
            <v>MAXDRIVE  SCHRAUBE  2,3X15MM, STERIL</v>
          </cell>
          <cell r="D7377" t="str">
            <v>MAXDRIVE  SCREW 2.3X15MM, STERILE</v>
          </cell>
        </row>
        <row r="7378">
          <cell r="B7378" t="str">
            <v>25-873-15-75</v>
          </cell>
          <cell r="C7378" t="str">
            <v>MAXDRIVE  SCHRAUBEN 2,3X15MM, STERIL</v>
          </cell>
          <cell r="D7378" t="str">
            <v>MAXDRIVE  SCREWS 2.3X15MM, STERILE</v>
          </cell>
        </row>
        <row r="7379">
          <cell r="B7379" t="str">
            <v>25-873-15-91</v>
          </cell>
          <cell r="C7379" t="str">
            <v>maxDrive  Schraube  2,3 X 15 MM</v>
          </cell>
          <cell r="D7379" t="str">
            <v>maxDrive  Screw 2.3 X 15 MM</v>
          </cell>
        </row>
        <row r="7380">
          <cell r="B7380" t="str">
            <v>25-873-17-09</v>
          </cell>
          <cell r="C7380" t="str">
            <v>MAXDRIVE  SCHRAUBEN 2,3X17MM</v>
          </cell>
          <cell r="D7380" t="str">
            <v>MAXDRIVE  SCREWS 2.3X17MM</v>
          </cell>
        </row>
        <row r="7381">
          <cell r="B7381" t="str">
            <v>25-873-17-61</v>
          </cell>
          <cell r="C7381" t="str">
            <v>MAXDRIVE  SCHRAUBE  2,3X17MM</v>
          </cell>
          <cell r="D7381" t="str">
            <v>MAXDRIVE  SCREW 2.3X17MM</v>
          </cell>
        </row>
        <row r="7382">
          <cell r="B7382" t="str">
            <v>25-873-17-71</v>
          </cell>
          <cell r="C7382" t="str">
            <v>MAXDRIVE  SCHRAUBE  2,3X17MM, STERIL</v>
          </cell>
          <cell r="D7382" t="str">
            <v>MAXDRIVE  SCREW 2.3X17MM, STERILE</v>
          </cell>
        </row>
        <row r="7383">
          <cell r="B7383" t="str">
            <v>25-873-17-75</v>
          </cell>
          <cell r="C7383" t="str">
            <v>MAXDRIVE  SCHRAUBEN 2,3X17MM, STERIL</v>
          </cell>
          <cell r="D7383" t="str">
            <v>MAXDRIVE  SCREWS 2.3X17MM, STERILE</v>
          </cell>
        </row>
        <row r="7384">
          <cell r="B7384" t="str">
            <v>25-873-17-91</v>
          </cell>
          <cell r="C7384" t="str">
            <v>MAXDRIVE  SCHRAUBE  2,3X17MM</v>
          </cell>
          <cell r="D7384" t="str">
            <v>MAXDRIVE  SCREW 2.3X17MM</v>
          </cell>
        </row>
        <row r="7385">
          <cell r="B7385" t="str">
            <v>25-873-19-09</v>
          </cell>
          <cell r="C7385" t="str">
            <v>MAXDRIVE  SCHRAUBEN 2,3X19MM</v>
          </cell>
          <cell r="D7385" t="str">
            <v>MAXDRIVE  SCREWS 2.3X19MM</v>
          </cell>
        </row>
        <row r="7386">
          <cell r="B7386" t="str">
            <v>25-873-19-61</v>
          </cell>
          <cell r="C7386" t="str">
            <v>MAXDRIVE  SCHRAUBE  2,3X19MM</v>
          </cell>
          <cell r="D7386" t="str">
            <v>MAXDRIVE  SCREW 2.3X19MM</v>
          </cell>
        </row>
        <row r="7387">
          <cell r="B7387" t="str">
            <v>25-873-19-71</v>
          </cell>
          <cell r="C7387" t="str">
            <v>MAXDRIVE  SCHRAUBE  2,3X19MM, STERIL</v>
          </cell>
          <cell r="D7387" t="str">
            <v>MAXDRIVE  SCREW 2.3X19MM, STERILE</v>
          </cell>
        </row>
        <row r="7388">
          <cell r="B7388" t="str">
            <v>25-873-19-91</v>
          </cell>
          <cell r="C7388" t="str">
            <v>MAXDRIVE  SCHRAUBE  2,3X19MM</v>
          </cell>
          <cell r="D7388" t="str">
            <v>MAXDRIVE  SCREW 2.3X19MM</v>
          </cell>
        </row>
        <row r="7389">
          <cell r="B7389" t="str">
            <v>25-873-21-09</v>
          </cell>
          <cell r="C7389" t="str">
            <v>MAXDRIVE  SCHRAUBEN 2,3X21MM</v>
          </cell>
          <cell r="D7389" t="str">
            <v>MAXDRIVE  SCREWS 2.3X21MM</v>
          </cell>
        </row>
        <row r="7390">
          <cell r="B7390" t="str">
            <v>25-873-21-61</v>
          </cell>
          <cell r="C7390" t="str">
            <v>MAXDRIVE  SCHRAUBE  2,3X21MM</v>
          </cell>
          <cell r="D7390" t="str">
            <v>MAXDRIVE  SCREW 2.3X21MM</v>
          </cell>
        </row>
        <row r="7391">
          <cell r="B7391" t="str">
            <v>25-873-23-09</v>
          </cell>
          <cell r="C7391" t="str">
            <v>MAXDRIVE  SCHRAUBEN 2,3X23MM</v>
          </cell>
          <cell r="D7391" t="str">
            <v>MAXDRIVE  SCREWS 2.3X23MM</v>
          </cell>
        </row>
        <row r="7392">
          <cell r="B7392" t="str">
            <v>25-873-23-61</v>
          </cell>
          <cell r="C7392" t="str">
            <v>MAXDRIVE  SCHRAUBE  2,3X23MM</v>
          </cell>
          <cell r="D7392" t="str">
            <v>MAXDRIVE  SCREW 2.3X23MM</v>
          </cell>
        </row>
        <row r="7393">
          <cell r="B7393" t="str">
            <v>25-873-25-09</v>
          </cell>
          <cell r="C7393" t="str">
            <v>MAXDRIVE  SCHRAUBEN 2,3X25MM</v>
          </cell>
          <cell r="D7393" t="str">
            <v>MAXDRIVE  SCREWS 2.3X25MM</v>
          </cell>
        </row>
        <row r="7394">
          <cell r="B7394" t="str">
            <v>25-873-44-09</v>
          </cell>
          <cell r="C7394" t="str">
            <v>MAXDRIVE  NOTFALL  SCHRAUBEN 2,3X4MM</v>
          </cell>
          <cell r="D7394" t="str">
            <v>MAXDRIVE  EMERGENCY SCREWS 2.3X4MM</v>
          </cell>
        </row>
        <row r="7395">
          <cell r="B7395" t="str">
            <v>25-873-44-61</v>
          </cell>
          <cell r="C7395" t="str">
            <v>MAXDRIVE  NOTFALL  SCHRAUBE  2,3X4MM</v>
          </cell>
          <cell r="D7395" t="str">
            <v>MAXDRIVE  EMERGENCY SCREW 2.3X4MM</v>
          </cell>
        </row>
        <row r="7396">
          <cell r="B7396" t="str">
            <v>25-873-44-71</v>
          </cell>
          <cell r="C7396" t="str">
            <v>MAXDRIVE  NOTFALL  SCHR. 2,3X4MM,  STERIL</v>
          </cell>
          <cell r="D7396" t="str">
            <v>MAXDRIVE  EMERG. SCREW 2.3X4MM,  STERILE</v>
          </cell>
        </row>
        <row r="7397">
          <cell r="B7397" t="str">
            <v>25-873-44-75</v>
          </cell>
          <cell r="C7397" t="str">
            <v>MAXDRIVE  NOTFALL  SCH. 2,3X4MM,  STERIL</v>
          </cell>
          <cell r="D7397" t="str">
            <v>MAXDRIVE  EMERG. SCREWS 2.3X4MM,  STERILE</v>
          </cell>
        </row>
        <row r="7398">
          <cell r="B7398" t="str">
            <v>25-873-45-09</v>
          </cell>
          <cell r="C7398" t="str">
            <v>MAXDRIVE  NOTFALL  SCHRAUBEN 2,3X5MM</v>
          </cell>
          <cell r="D7398" t="str">
            <v>MAXDRIVE  EMERGENCY SCREWS 2.3X5MM</v>
          </cell>
        </row>
        <row r="7399">
          <cell r="B7399" t="str">
            <v>25-873-45-25</v>
          </cell>
          <cell r="C7399" t="str">
            <v>MAXDRIVE  NOTFALL  SCHRAUBEN 2,3X5MM</v>
          </cell>
          <cell r="D7399" t="str">
            <v>MAXDRIVE  EMERGENCY SCREWS 2.3X5MM</v>
          </cell>
        </row>
        <row r="7400">
          <cell r="B7400" t="str">
            <v>25-873-45-61</v>
          </cell>
          <cell r="C7400" t="str">
            <v>MAXDRIVE  NOTFALL  SCHRAUBE  2,3X5MM</v>
          </cell>
          <cell r="D7400" t="str">
            <v>MAXDRIVE  EMERGENCY SCREW 2.3X5MM</v>
          </cell>
        </row>
        <row r="7401">
          <cell r="B7401" t="str">
            <v>25-873-45-71</v>
          </cell>
          <cell r="C7401" t="str">
            <v>MAXDRIVE  NOTFALL  SCHR. 2,3X5MM,  STERIL</v>
          </cell>
          <cell r="D7401" t="str">
            <v>MAXDRIVE  EMERG. SCREW 2.3X5MM,  STERILE</v>
          </cell>
        </row>
        <row r="7402">
          <cell r="B7402" t="str">
            <v>25-873-45-75</v>
          </cell>
          <cell r="C7402" t="str">
            <v>MAXDRIVE  NOTFALL  SCH. 2,3X5MM,  STERIL</v>
          </cell>
          <cell r="D7402" t="str">
            <v>MAXDRIVE  EMERG. SCREWS 2.3X5MM,  STERILE</v>
          </cell>
        </row>
        <row r="7403">
          <cell r="B7403" t="str">
            <v>25-873-45-91</v>
          </cell>
          <cell r="C7403" t="str">
            <v>MAXDRIVE  NOTFALL  SCHRAUBE  2,3X5MM</v>
          </cell>
          <cell r="D7403" t="str">
            <v>MAXDRIVE  EMERGENCY SCREW 2.3X5MM</v>
          </cell>
        </row>
        <row r="7404">
          <cell r="B7404" t="str">
            <v>25-873-47-09</v>
          </cell>
          <cell r="C7404" t="str">
            <v>MAXDRIVE  NOTFALL  SCHRAUBEN 2,3X7MM</v>
          </cell>
          <cell r="D7404" t="str">
            <v>MAXDRIVE  EMERGENCY SCREWS 2.3X7MM</v>
          </cell>
        </row>
        <row r="7405">
          <cell r="B7405" t="str">
            <v>25-873-47-25</v>
          </cell>
          <cell r="C7405" t="str">
            <v>MAXDRIVE  NOTFALL  SCHRAUBEN 2,3X7MM</v>
          </cell>
          <cell r="D7405" t="str">
            <v>MAXDRIVE  EMERGENCY SCREWS 2.3X7MM</v>
          </cell>
        </row>
        <row r="7406">
          <cell r="B7406" t="str">
            <v>25-873-47-61</v>
          </cell>
          <cell r="C7406" t="str">
            <v>MAXDRIVE  NOTFALL  SCHRAUBE  2,3X7MM</v>
          </cell>
          <cell r="D7406" t="str">
            <v>MAXDRIVE  EMERGENCY SCREW 2.3X7MM</v>
          </cell>
        </row>
        <row r="7407">
          <cell r="B7407" t="str">
            <v>25-873-47-71</v>
          </cell>
          <cell r="C7407" t="str">
            <v>MAXDRIVE  NOTFALL  SCHR. 2,3X7MM,  STERIL</v>
          </cell>
          <cell r="D7407" t="str">
            <v>MAXDRIVE  EMERG. SCREW 2.3X7MM,  STERILE</v>
          </cell>
        </row>
        <row r="7408">
          <cell r="B7408" t="str">
            <v>25-873-47-75</v>
          </cell>
          <cell r="C7408" t="str">
            <v>MAXDRIVE  NOTFALL  SCH. 2,3X7MM,  STERIL</v>
          </cell>
          <cell r="D7408" t="str">
            <v>MAXDRIVE  EMERG. SCREWS 2.3X7MM,  STERILE</v>
          </cell>
        </row>
        <row r="7409">
          <cell r="B7409" t="str">
            <v>25-873-47-91</v>
          </cell>
          <cell r="C7409" t="str">
            <v>MAXDRIVE  NOTFALL  SCHRAUBE  2,3X7MM</v>
          </cell>
          <cell r="D7409" t="str">
            <v>MAXDRIVE  EMERGENCY SCREW 2.3X7MM</v>
          </cell>
        </row>
        <row r="7410">
          <cell r="B7410" t="str">
            <v>25-873-49-09</v>
          </cell>
          <cell r="C7410" t="str">
            <v>MAXDRIVE  NOTFALL  SCHRAUBEN 2,3X9MM</v>
          </cell>
          <cell r="D7410" t="str">
            <v>MAXDRIVE  EMERGENCY SCREWS 2.3X9MM</v>
          </cell>
        </row>
        <row r="7411">
          <cell r="B7411" t="str">
            <v>25-873-49-61</v>
          </cell>
          <cell r="C7411" t="str">
            <v>MAXDRIVE  NOTFALL  SCHRAUBE  2,3X9MM</v>
          </cell>
          <cell r="D7411" t="str">
            <v>MAXDRIVE  EMERGENCY SCREW 2.3X9MM</v>
          </cell>
        </row>
        <row r="7412">
          <cell r="B7412" t="str">
            <v>25-873-49-71</v>
          </cell>
          <cell r="C7412" t="str">
            <v>MAXDRIVE  NOTFALL  SCHR. 2,3X9MM,  STERIL</v>
          </cell>
          <cell r="D7412" t="str">
            <v>MAXDRIVE  EMERG. SCREW 2.3X9MM,  STERILE</v>
          </cell>
        </row>
        <row r="7413">
          <cell r="B7413" t="str">
            <v>25-873-49-91</v>
          </cell>
          <cell r="C7413" t="str">
            <v>MAXDRIVE  NOTFALL  SCHRAUBEN 2,3X9MM</v>
          </cell>
          <cell r="D7413" t="str">
            <v>MAXDRIVE  EMERGENCY SCREWS 2.3X9MM</v>
          </cell>
        </row>
        <row r="7414">
          <cell r="B7414" t="str">
            <v>25-874-05-09</v>
          </cell>
          <cell r="C7414" t="str">
            <v>MAXDRIVE  NOTFALL  SCHRAUBEN 2,5X5MM</v>
          </cell>
          <cell r="D7414" t="str">
            <v>MAXDRIVE  EMERGENCY SCREWS 2.5X5MM</v>
          </cell>
        </row>
        <row r="7415">
          <cell r="B7415" t="str">
            <v>25-874-05-61</v>
          </cell>
          <cell r="C7415" t="str">
            <v>MAXDRIVE  NOTFALL  SCHRAUBE  2,5X5MM</v>
          </cell>
          <cell r="D7415" t="str">
            <v>MAXDRIVE  EMERGENCY SCREW 2.5X5MM</v>
          </cell>
        </row>
        <row r="7416">
          <cell r="B7416" t="str">
            <v>25-874-05-71</v>
          </cell>
          <cell r="C7416" t="str">
            <v>MAXDRIVE  NOTFALL  SCH. 2,5X5MM,  STERIL</v>
          </cell>
          <cell r="D7416" t="str">
            <v>MAXDRIVE  EMERG. SCREW 2.5X5MM,  STERILE</v>
          </cell>
        </row>
        <row r="7417">
          <cell r="B7417" t="str">
            <v>25-874-05-75</v>
          </cell>
          <cell r="C7417" t="str">
            <v>MAXDRIVE  NOTFALL  SCH. 2,5X5MM,  STERIL</v>
          </cell>
          <cell r="D7417" t="str">
            <v>MAXDRIVE  EMERG. SCREWS 2.5X5MM,  STERILE</v>
          </cell>
        </row>
        <row r="7418">
          <cell r="B7418" t="str">
            <v>25-874-06-61</v>
          </cell>
          <cell r="C7418" t="str">
            <v>MAXDRIVE  NOTFALL  SCHRAUBE  2,5X6MM</v>
          </cell>
          <cell r="D7418" t="str">
            <v>MAXDRIVE  EMERGENCY SCREW 2.5X6MM</v>
          </cell>
        </row>
        <row r="7419">
          <cell r="B7419" t="str">
            <v>25-874-07-09</v>
          </cell>
          <cell r="C7419" t="str">
            <v>MAXDRIVE  NOTFALL  SCHRAUBEN 2,5X7MM</v>
          </cell>
          <cell r="D7419" t="str">
            <v>MAXDRIVE  EMERGENCY SCREWS 2.5X7MM</v>
          </cell>
        </row>
        <row r="7420">
          <cell r="B7420" t="str">
            <v>25-874-07-61</v>
          </cell>
          <cell r="C7420" t="str">
            <v>MAXDRIVE  NOTFALL  SCHRAUBE  2,5X7MM</v>
          </cell>
          <cell r="D7420" t="str">
            <v>MAXDRIVE  EMERGENCY SCREW 2.5X7MM</v>
          </cell>
        </row>
        <row r="7421">
          <cell r="B7421" t="str">
            <v>25-874-07-71</v>
          </cell>
          <cell r="C7421" t="str">
            <v>MAXDRIVE  NOTFALL  SCH. 2,5X7MM,  STERIL</v>
          </cell>
          <cell r="D7421" t="str">
            <v>MAXDRIVE  EMERG. SCREW 2.5X7MM,  STERILE</v>
          </cell>
        </row>
        <row r="7422">
          <cell r="B7422" t="str">
            <v>25-874-07-75</v>
          </cell>
          <cell r="C7422" t="str">
            <v>MAXDRIVE  NOTFALL  SCH 2,5X7MM,  STERIL</v>
          </cell>
          <cell r="D7422" t="str">
            <v>MAXDRIVE  EMERG. SCREWS 2.5X7MM,  STERILE</v>
          </cell>
        </row>
        <row r="7423">
          <cell r="B7423" t="str">
            <v>25-874-09-09</v>
          </cell>
          <cell r="C7423" t="str">
            <v>MAXDRIVE  NOTFALL  SCHRAUBEN 2,5X9MM</v>
          </cell>
          <cell r="D7423" t="str">
            <v>MAXDRIVE  EMERGENCY SCREWS 2.5X9MM</v>
          </cell>
        </row>
        <row r="7424">
          <cell r="B7424" t="str">
            <v>25-874-09-61</v>
          </cell>
          <cell r="C7424" t="str">
            <v>MAXDRIVE  NOTFALL  SCHRAUBE  2,5X9MM</v>
          </cell>
          <cell r="D7424" t="str">
            <v>MAXDRIVE  EMERGENCY SCREW 2.5X9MM</v>
          </cell>
        </row>
        <row r="7425">
          <cell r="B7425" t="str">
            <v>25-874-09-71</v>
          </cell>
          <cell r="C7425" t="str">
            <v>MAXDRIVE  NOTFALL  SCH. 2,5X9MM,  STERIL</v>
          </cell>
          <cell r="D7425" t="str">
            <v>MAXDRIVE  EMERG. SCREW 2.5X9MM,  STERILE</v>
          </cell>
        </row>
        <row r="7426">
          <cell r="B7426" t="str">
            <v>25-874-13-09</v>
          </cell>
          <cell r="C7426" t="str">
            <v>MAXDRIVE  NOTFALL  SCHRAUBEN 2,5X13MM</v>
          </cell>
          <cell r="D7426" t="str">
            <v>MAXDRIVE  EMERGENCY SCREWS 2.5X13MM</v>
          </cell>
        </row>
        <row r="7427">
          <cell r="B7427" t="str">
            <v>25-874-13-61</v>
          </cell>
          <cell r="C7427" t="str">
            <v>MAXDRIVE  NOTFALL  SCHRAUBE  2,5X13MM</v>
          </cell>
          <cell r="D7427" t="str">
            <v>MAXDRIVE  EMERGENCY SCREW 2.5X13MM</v>
          </cell>
        </row>
        <row r="7428">
          <cell r="B7428" t="str">
            <v>25-874-13-71</v>
          </cell>
          <cell r="C7428" t="str">
            <v>MAXDRIVE  NOTFALL  SCH. 2,5X13MM, STERIL</v>
          </cell>
          <cell r="D7428" t="str">
            <v>MAXDRIVE  EMERG. SCREW 2.5X13MM, STERILE</v>
          </cell>
        </row>
        <row r="7429">
          <cell r="B7429" t="str">
            <v>25-874-17-09</v>
          </cell>
          <cell r="C7429" t="str">
            <v>MAXDRIVE  NOTFALL  SCHRAUBEN 2,5X17MM</v>
          </cell>
          <cell r="D7429" t="str">
            <v>MAXDRIVE  EMERGENCY SCREWS 2.5X17MM</v>
          </cell>
        </row>
        <row r="7430">
          <cell r="B7430" t="str">
            <v>25-874-17-61</v>
          </cell>
          <cell r="C7430" t="str">
            <v>MAXDRIVE  NOTFALL  SCHRAUBE  2,5X17MM</v>
          </cell>
          <cell r="D7430" t="str">
            <v>MAXDRIVE  EMERGENCY SCREW 2.5X17MM</v>
          </cell>
        </row>
        <row r="7431">
          <cell r="B7431" t="str">
            <v>25-874-17-71</v>
          </cell>
          <cell r="C7431" t="str">
            <v>MAXDRIVE  NOTFALL  SCH. 2,5X17MM, STERIL</v>
          </cell>
          <cell r="D7431" t="str">
            <v>MAXDRIVE  EMERG. SCREW 2.5X17MM, STERILE</v>
          </cell>
        </row>
        <row r="7432">
          <cell r="B7432" t="str">
            <v>25-875-03-09</v>
          </cell>
          <cell r="C7432" t="str">
            <v>MAXDRIVE  SCHRAUBEN 1,5X3,5MM</v>
          </cell>
          <cell r="D7432" t="str">
            <v>MAXDRIVE  SCREWS 1.5X3.5MM</v>
          </cell>
        </row>
        <row r="7433">
          <cell r="B7433" t="str">
            <v>25-875-03-61</v>
          </cell>
          <cell r="C7433" t="str">
            <v>MAXDRIVE  SCHRAUBE  1,5X3,5MM</v>
          </cell>
          <cell r="D7433" t="str">
            <v>MAXDRIVE  SCREW 1.5X3.5MM</v>
          </cell>
        </row>
        <row r="7434">
          <cell r="B7434" t="str">
            <v>25-875-03-71</v>
          </cell>
          <cell r="C7434" t="str">
            <v>MAXDRIVE  SCHRAUBE  1,5X3,5MM, STERIL</v>
          </cell>
          <cell r="D7434" t="str">
            <v>MAXDRIVE  SCREW 1.5X3.5MM, STERILE</v>
          </cell>
        </row>
        <row r="7435">
          <cell r="B7435" t="str">
            <v>25-875-03-75</v>
          </cell>
          <cell r="C7435" t="str">
            <v>MAXDRIVE  SCHRAUBEN 1,5X3,5MM, STERIL</v>
          </cell>
          <cell r="D7435" t="str">
            <v>MAXDRIVE  SCREWS 1.5X3.5MM, STERILE</v>
          </cell>
        </row>
        <row r="7436">
          <cell r="B7436" t="str">
            <v>25-875-04-09</v>
          </cell>
          <cell r="C7436" t="str">
            <v>MAXDRIVE  SCHRAUBEN 1,5X4MM</v>
          </cell>
          <cell r="D7436" t="str">
            <v>MAXDRIVE  SCREWS 1.5X4MM</v>
          </cell>
        </row>
        <row r="7437">
          <cell r="B7437" t="str">
            <v>25-875-04-25</v>
          </cell>
          <cell r="C7437" t="str">
            <v>MAXDRIVE  SCHRAUBEN 1,5X4MM</v>
          </cell>
          <cell r="D7437" t="str">
            <v>MAXDRIVE  SCREWS 1.5X4MM</v>
          </cell>
        </row>
        <row r="7438">
          <cell r="B7438" t="str">
            <v>25-875-04-61</v>
          </cell>
          <cell r="C7438" t="str">
            <v>MAXDRIVE  SCHRAUBE  1,5X4MM</v>
          </cell>
          <cell r="D7438" t="str">
            <v>MAXDRIVE  SCREW 1.5X4MM</v>
          </cell>
        </row>
        <row r="7439">
          <cell r="B7439" t="str">
            <v>25-875-04-71</v>
          </cell>
          <cell r="C7439" t="str">
            <v>MAXDRIVE  SCHRAUBE  1,5X4MM,  STERIL</v>
          </cell>
          <cell r="D7439" t="str">
            <v>MAXDRIVE  SCREW 1.5X4MM,  STERILE</v>
          </cell>
        </row>
        <row r="7440">
          <cell r="B7440" t="str">
            <v>25-875-04-75</v>
          </cell>
          <cell r="C7440" t="str">
            <v>MAXDRIVE  SCHRAUBEN 1,5X4MM,  STERIL</v>
          </cell>
          <cell r="D7440" t="str">
            <v>MAXDRIVE  SCREWS 1.5X4MM,  STERILE</v>
          </cell>
        </row>
        <row r="7441">
          <cell r="B7441" t="str">
            <v>25-875-05-09</v>
          </cell>
          <cell r="C7441" t="str">
            <v>MAXDRIVE  SCHRAUBEN 1,5X5MM</v>
          </cell>
          <cell r="D7441" t="str">
            <v>MAXDRIVE  SCREWS 1.5X5MM</v>
          </cell>
        </row>
        <row r="7442">
          <cell r="B7442" t="str">
            <v>25-875-05-25</v>
          </cell>
          <cell r="C7442" t="str">
            <v>MAXDRIVE  SCHRAUBEN 1,5X5MM</v>
          </cell>
          <cell r="D7442" t="str">
            <v>MAXDRIVE  SCREWS 1.5X5MM</v>
          </cell>
        </row>
        <row r="7443">
          <cell r="B7443" t="str">
            <v>25-875-05-61</v>
          </cell>
          <cell r="C7443" t="str">
            <v>MAXDRIVE  SCHRAUBE  1,5X5MM</v>
          </cell>
          <cell r="D7443" t="str">
            <v>MAXDRIVE  SCREW 1.5X5MM</v>
          </cell>
        </row>
        <row r="7444">
          <cell r="B7444" t="str">
            <v>25-875-05-71</v>
          </cell>
          <cell r="C7444" t="str">
            <v>MAXDRIVE  SCHRAUBE  1,5X5MM,  STERIL</v>
          </cell>
          <cell r="D7444" t="str">
            <v>MAXDRIVE  SCREW 1.5X5MM,  STERILE</v>
          </cell>
        </row>
        <row r="7445">
          <cell r="B7445" t="str">
            <v>25-875-05-75</v>
          </cell>
          <cell r="C7445" t="str">
            <v>MAXDRIVE  SCHRAUBEN 1,5X5MM,  STERIL</v>
          </cell>
          <cell r="D7445" t="str">
            <v>MAXDRIVE  SCREWS 1.5X5MM,  STERILE</v>
          </cell>
        </row>
        <row r="7446">
          <cell r="B7446" t="str">
            <v>25-875-05-91</v>
          </cell>
          <cell r="C7446" t="str">
            <v>MAXDRIVE  SCHRAUBE  1,5X5MM</v>
          </cell>
          <cell r="D7446" t="str">
            <v>SCREW, MAXDRIVE  1.5 X 5 MM</v>
          </cell>
        </row>
        <row r="7447">
          <cell r="B7447" t="str">
            <v>25-875-06-09</v>
          </cell>
          <cell r="C7447" t="str">
            <v>MAXDRIVE  SCHRAUBEN 1,5X6MM</v>
          </cell>
          <cell r="D7447" t="str">
            <v>MAXDRIVE  SCREWS 1.5X6MM</v>
          </cell>
        </row>
        <row r="7448">
          <cell r="B7448" t="str">
            <v>25-875-06-61</v>
          </cell>
          <cell r="C7448" t="str">
            <v>MAXDRIVE  SCHRAUBE  1,5X6MM</v>
          </cell>
          <cell r="D7448" t="str">
            <v>MAXDRIVE  SCREW 1.5X6MM</v>
          </cell>
        </row>
        <row r="7449">
          <cell r="B7449" t="str">
            <v>25-875-06-71</v>
          </cell>
          <cell r="C7449" t="str">
            <v>MAXDRIVE  SCHRAUBE  1,5X6MM,  STERIL</v>
          </cell>
          <cell r="D7449" t="str">
            <v>MAXDRIVE  SCREW 1.5X6MM,  STERILE</v>
          </cell>
        </row>
        <row r="7450">
          <cell r="B7450" t="str">
            <v>25-875-06-75</v>
          </cell>
          <cell r="C7450" t="str">
            <v>MAXDRIVE  SCHRAUBEN 1,5X6MM,  STERIL</v>
          </cell>
          <cell r="D7450" t="str">
            <v>MAXDRIVE  SCREWS 1.5X6MM,  STERILE</v>
          </cell>
        </row>
        <row r="7451">
          <cell r="B7451" t="str">
            <v>25-875-06-91</v>
          </cell>
          <cell r="C7451" t="str">
            <v>MAXDRIVE  SCHRAUBE  1,5X6MM</v>
          </cell>
          <cell r="D7451" t="str">
            <v>SCREW, MAXDRIVE  1.5 X 6 MM</v>
          </cell>
        </row>
        <row r="7452">
          <cell r="B7452" t="str">
            <v>25-875-07-09</v>
          </cell>
          <cell r="C7452" t="str">
            <v>MAXDRIVE  SCHRAUBEN 1,5X7MM</v>
          </cell>
          <cell r="D7452" t="str">
            <v>MAXDRIVE  SCREWS 1.5X7MM</v>
          </cell>
        </row>
        <row r="7453">
          <cell r="B7453" t="str">
            <v>25-875-07-25</v>
          </cell>
          <cell r="C7453" t="str">
            <v>MAXDRIVE  SCHRAUBEN 1,5X7MM</v>
          </cell>
          <cell r="D7453" t="str">
            <v>MAXDRIVE  SCREWS 1.5X7MM</v>
          </cell>
        </row>
        <row r="7454">
          <cell r="B7454" t="str">
            <v>25-875-07-61</v>
          </cell>
          <cell r="C7454" t="str">
            <v>MAXDRIVE  SCHRAUBE  1,5X7MM</v>
          </cell>
          <cell r="D7454" t="str">
            <v>MAXDRIVE  SCREW 1.5X7MM</v>
          </cell>
        </row>
        <row r="7455">
          <cell r="B7455" t="str">
            <v>25-875-07-71</v>
          </cell>
          <cell r="C7455" t="str">
            <v>MAXDRIVE  SCHRAUBE  1,5X7MM,  STERIL</v>
          </cell>
          <cell r="D7455" t="str">
            <v>MAXDRIVE  SCREW 1.5X7MM,  STERILE</v>
          </cell>
        </row>
        <row r="7456">
          <cell r="B7456" t="str">
            <v>25-875-07-75</v>
          </cell>
          <cell r="C7456" t="str">
            <v>MAXDRIVE  SCHRAUBEN 1,5X7MM,  STERIL</v>
          </cell>
          <cell r="D7456" t="str">
            <v>MAXDRIVE  SCREWS 1.5X7MM,  STERILE</v>
          </cell>
        </row>
        <row r="7457">
          <cell r="B7457" t="str">
            <v>25-875-07-91</v>
          </cell>
          <cell r="C7457" t="str">
            <v>MAXDRIVE  SCHRAUBE  1,5X7MM</v>
          </cell>
          <cell r="D7457" t="str">
            <v>SCREW, MAXDRIVE  1.5 X 7 MM</v>
          </cell>
        </row>
        <row r="7458">
          <cell r="B7458" t="str">
            <v>25-875-08-09</v>
          </cell>
          <cell r="C7458" t="str">
            <v>MAXDRIVE  SCHRAUBEN 1,5X8MM</v>
          </cell>
          <cell r="D7458" t="str">
            <v>MAXDRIVE  SCREWS 1.5X8MM</v>
          </cell>
        </row>
        <row r="7459">
          <cell r="B7459" t="str">
            <v>25-875-08-61</v>
          </cell>
          <cell r="C7459" t="str">
            <v>MAXDRIVE  SCHRAUBE  1,5X8MM</v>
          </cell>
          <cell r="D7459" t="str">
            <v>MAXDRIVE  SCREW 1.5X8MM</v>
          </cell>
        </row>
        <row r="7460">
          <cell r="B7460" t="str">
            <v>25-875-08-71</v>
          </cell>
          <cell r="C7460" t="str">
            <v>MAXDRIVE  SCHRAUBE  1,5X8MM,  STERIL</v>
          </cell>
          <cell r="D7460" t="str">
            <v>MAXDRIVE  SCREW 1.5X8MM,  STERILE</v>
          </cell>
        </row>
        <row r="7461">
          <cell r="B7461" t="str">
            <v>25-875-08-75</v>
          </cell>
          <cell r="C7461" t="str">
            <v>MAXDRIVE  SCHRAUBEN 1,5X8MM,  STERIL</v>
          </cell>
          <cell r="D7461" t="str">
            <v>MAXDRIVE  SCREWS 1.5X8MM,  STERILE</v>
          </cell>
        </row>
        <row r="7462">
          <cell r="B7462" t="str">
            <v>25-875-08-91</v>
          </cell>
          <cell r="C7462" t="str">
            <v>MAXDRIVE  SCHRAUBEN 1,5X8MM</v>
          </cell>
          <cell r="D7462" t="str">
            <v>SCREW, MAXDRIVE  1.5 X 8 MM</v>
          </cell>
        </row>
        <row r="7463">
          <cell r="B7463" t="str">
            <v>25-875-09-09</v>
          </cell>
          <cell r="C7463" t="str">
            <v>MAXDRIVE  SCHRAUBEN 1,5X9MM</v>
          </cell>
          <cell r="D7463" t="str">
            <v>MAXDRIVE  SCREWS 1.5X9MM</v>
          </cell>
        </row>
        <row r="7464">
          <cell r="B7464" t="str">
            <v>25-875-09-25</v>
          </cell>
          <cell r="C7464" t="str">
            <v>MAXDRIVE  SCHRAUBEN 1,5X9MM</v>
          </cell>
          <cell r="D7464" t="str">
            <v>MAXDRIVE  SCREWS 1.5X9MM</v>
          </cell>
        </row>
        <row r="7465">
          <cell r="B7465" t="str">
            <v>25-875-09-61</v>
          </cell>
          <cell r="C7465" t="str">
            <v>MAXDRIVE  SCHRAUBE  1,5X9MM</v>
          </cell>
          <cell r="D7465" t="str">
            <v>MAXDRIVE  SCREW 1.5X9MM</v>
          </cell>
        </row>
        <row r="7466">
          <cell r="B7466" t="str">
            <v>25-875-09-71</v>
          </cell>
          <cell r="C7466" t="str">
            <v>MAXDRIVE  SCHRAUBE  1,5X9MM,  STERIL</v>
          </cell>
          <cell r="D7466" t="str">
            <v>MAXDRIVE  SCREW 1.5X9MM,  STERILE</v>
          </cell>
        </row>
        <row r="7467">
          <cell r="B7467" t="str">
            <v>25-875-09-75</v>
          </cell>
          <cell r="C7467" t="str">
            <v>MAXDRIVE  SCHRAUBEN 1,5X9MM,  STERIL</v>
          </cell>
          <cell r="D7467" t="str">
            <v>MAXDRIVE  SCREWS 1.5X9MM,  STERILE</v>
          </cell>
        </row>
        <row r="7468">
          <cell r="B7468" t="str">
            <v>25-875-09-91</v>
          </cell>
          <cell r="C7468" t="str">
            <v>MAXDRIVE  SCHRAUBEN 1,5X9MM</v>
          </cell>
          <cell r="D7468" t="str">
            <v>SCREW, MAXDRIVE  1.5 X 9 MM</v>
          </cell>
        </row>
        <row r="7469">
          <cell r="B7469" t="str">
            <v>25-875-11-09</v>
          </cell>
          <cell r="C7469" t="str">
            <v>MAXDRIVE  SCHRAUBEN 1,5X11MM</v>
          </cell>
          <cell r="D7469" t="str">
            <v>MAXDRIVE  SCREWS 1.5X11MM</v>
          </cell>
        </row>
        <row r="7470">
          <cell r="B7470" t="str">
            <v>25-875-11-61</v>
          </cell>
          <cell r="C7470" t="str">
            <v>MAXDRIVE  SCHRAUBE  1,5X11MM</v>
          </cell>
          <cell r="D7470" t="str">
            <v>MAXDRIVE  SCREW 1.5X11MM</v>
          </cell>
        </row>
        <row r="7471">
          <cell r="B7471" t="str">
            <v>25-875-11-71</v>
          </cell>
          <cell r="C7471" t="str">
            <v>MAXDRIVE  SCHRAUBE  1,5X11MM, STERIL</v>
          </cell>
          <cell r="D7471" t="str">
            <v>MAXDRIVE  SCREW 1.5X11MM, STERILE</v>
          </cell>
        </row>
        <row r="7472">
          <cell r="B7472" t="str">
            <v>25-875-11-75</v>
          </cell>
          <cell r="C7472" t="str">
            <v>MAXDRIVE  SCHRAUBEN 1,5X11MM, STERIL</v>
          </cell>
          <cell r="D7472" t="str">
            <v>MAXDRIVE  SCREWS 1.5X11MM, STERILE</v>
          </cell>
        </row>
        <row r="7473">
          <cell r="B7473" t="str">
            <v>25-875-11-91</v>
          </cell>
          <cell r="C7473" t="str">
            <v>MAXDRIVE  SCHRAUBEN 1,5X11MM</v>
          </cell>
          <cell r="D7473" t="str">
            <v>SCREW, MAXDRIVE  1.5 X 11 MM</v>
          </cell>
        </row>
        <row r="7474">
          <cell r="B7474" t="str">
            <v>25-875-13-09</v>
          </cell>
          <cell r="C7474" t="str">
            <v>MAXDRIVE  SCHRAUBEN 1,5X13MM</v>
          </cell>
          <cell r="D7474" t="str">
            <v>MAXDRIVE  SCREWS 1.5X13MM</v>
          </cell>
        </row>
        <row r="7475">
          <cell r="B7475" t="str">
            <v>25-875-13-61</v>
          </cell>
          <cell r="C7475" t="str">
            <v>MAXDRIVE  SCHRAUBE  1,5X13MM</v>
          </cell>
          <cell r="D7475" t="str">
            <v>MAXDRIVE  SCREW 1.5X13MM</v>
          </cell>
        </row>
        <row r="7476">
          <cell r="B7476" t="str">
            <v>25-875-13-71</v>
          </cell>
          <cell r="C7476" t="str">
            <v>MAXDRIVE  SCHRAUBE  1,5X13MM, STERIL</v>
          </cell>
          <cell r="D7476" t="str">
            <v>MAXDRIVE  SCREW 1.5X13MM, STERILE</v>
          </cell>
        </row>
        <row r="7477">
          <cell r="B7477" t="str">
            <v>25-875-13-75</v>
          </cell>
          <cell r="C7477" t="str">
            <v>MAXDRIVE  SCHRAUBEN 1,5X13MM, STERIL</v>
          </cell>
          <cell r="D7477" t="str">
            <v>MAXDRIVE  SCREWS 1.5X13MM, STERILE</v>
          </cell>
        </row>
        <row r="7478">
          <cell r="B7478" t="str">
            <v>25-875-13-91</v>
          </cell>
          <cell r="C7478" t="str">
            <v>MAXDRIVE  SCHRAUBEN 1,5X13MM</v>
          </cell>
          <cell r="D7478" t="str">
            <v>SCREW, MAXDRIVE  1.5 X 13 MM</v>
          </cell>
        </row>
        <row r="7479">
          <cell r="B7479" t="str">
            <v>25-875-15-09</v>
          </cell>
          <cell r="C7479" t="str">
            <v>MAXDRIVE  SCHRAUBEN 1,5X15MM</v>
          </cell>
          <cell r="D7479" t="str">
            <v>MAXDRIVE  SCREWS 1.5X15MM</v>
          </cell>
        </row>
        <row r="7480">
          <cell r="B7480" t="str">
            <v>25-875-15-61</v>
          </cell>
          <cell r="C7480" t="str">
            <v>MAXDRIVE  SCHRAUBE  1,5X15MM</v>
          </cell>
          <cell r="D7480" t="str">
            <v>MAXDRIVE  SCREW 1.5X15MM</v>
          </cell>
        </row>
        <row r="7481">
          <cell r="B7481" t="str">
            <v>25-875-15-71</v>
          </cell>
          <cell r="C7481" t="str">
            <v>MAXDRIVE  SCHRAUBE  1,5X15MM, STERIL</v>
          </cell>
          <cell r="D7481" t="str">
            <v>MAXDRIVE  SCREW 1.5X15MM, STERILE</v>
          </cell>
        </row>
        <row r="7482">
          <cell r="B7482" t="str">
            <v>25-875-15-75</v>
          </cell>
          <cell r="C7482" t="str">
            <v>MAXDRIVE  SCHRAUBEN 1,5X15MM, STERIL</v>
          </cell>
          <cell r="D7482" t="str">
            <v>MAXDRIVE  SCREWS 1.5X15MM, STERILE</v>
          </cell>
        </row>
        <row r="7483">
          <cell r="B7483" t="str">
            <v>25-875-15-91</v>
          </cell>
          <cell r="C7483" t="str">
            <v>MAXDRIVE  SCHRAUBEN 1,5X15MM</v>
          </cell>
          <cell r="D7483" t="str">
            <v>SCREW, MAXDRIVE  1.5 X 15 MM</v>
          </cell>
        </row>
        <row r="7484">
          <cell r="B7484" t="str">
            <v>25-875-17-09</v>
          </cell>
          <cell r="C7484" t="str">
            <v>MAXDRIVE  SCHRAUBEN 1,5X17MM</v>
          </cell>
          <cell r="D7484" t="str">
            <v>MAXDRIVE  SCREWS 1.5X17MM</v>
          </cell>
        </row>
        <row r="7485">
          <cell r="B7485" t="str">
            <v>25-875-17-61</v>
          </cell>
          <cell r="C7485" t="str">
            <v>MAXDRIVE  SCHRAUBE  1,5X17MM</v>
          </cell>
          <cell r="D7485" t="str">
            <v>MAXDRIVE  SCREW 1.5X17MM</v>
          </cell>
        </row>
        <row r="7486">
          <cell r="B7486" t="str">
            <v>25-875-17-91</v>
          </cell>
          <cell r="C7486" t="str">
            <v>MAXDRIVE  SCHRAUBEN 1,5X17MM</v>
          </cell>
          <cell r="D7486" t="str">
            <v>SCREW, MAXDRIVE  1.5 X 17 MM</v>
          </cell>
        </row>
        <row r="7487">
          <cell r="B7487" t="str">
            <v>25-875-19-09</v>
          </cell>
          <cell r="C7487" t="str">
            <v>MAXDRIVE  SCHRAUBEN 1,5X19MM</v>
          </cell>
          <cell r="D7487" t="str">
            <v>MAXDRIVE  SCREWS 1.5X19MM</v>
          </cell>
        </row>
        <row r="7488">
          <cell r="B7488" t="str">
            <v>25-875-19-61</v>
          </cell>
          <cell r="C7488" t="str">
            <v>MAXDRIVE  SCHRAUBE  1,5X19MM</v>
          </cell>
          <cell r="D7488" t="str">
            <v>MAXDRIVE  SCREW 1.5X19MM</v>
          </cell>
        </row>
        <row r="7489">
          <cell r="B7489" t="str">
            <v>25-875-19-91</v>
          </cell>
          <cell r="C7489" t="str">
            <v>MAXDRIVE  SCHRAUBE  1,5X19MM</v>
          </cell>
          <cell r="D7489" t="str">
            <v>SCREW, MAXDRIVE  1.5 X 19 MM</v>
          </cell>
        </row>
        <row r="7490">
          <cell r="B7490" t="str">
            <v>25-875-21-09</v>
          </cell>
          <cell r="C7490" t="str">
            <v>MAXDRIVE  SCHRAUBEN 1,5X21MM</v>
          </cell>
          <cell r="D7490" t="str">
            <v>MAXDRIVE  SCREWS 1.5X21MM</v>
          </cell>
        </row>
        <row r="7491">
          <cell r="B7491" t="str">
            <v>25-875-21-61</v>
          </cell>
          <cell r="C7491" t="str">
            <v>MAXDRIVE  SCHRAUBE  1,5X21MM</v>
          </cell>
          <cell r="D7491" t="str">
            <v>MAXDRIVE  SCREW 1.5X21MM</v>
          </cell>
        </row>
        <row r="7492">
          <cell r="B7492" t="str">
            <v>25-875-33-09</v>
          </cell>
          <cell r="C7492" t="str">
            <v>MAXDRIVE  SCHRAUBEN 1,5X3,5MM, NEURO</v>
          </cell>
          <cell r="D7492" t="str">
            <v>MAXDRIVE  SCREWS 1.5X3.5MM, NEURO</v>
          </cell>
        </row>
        <row r="7493">
          <cell r="B7493" t="str">
            <v>25-875-33-75</v>
          </cell>
          <cell r="C7493" t="str">
            <v>MAXDRIVE  SCHRAUBEN 1,5X3,5MM, NEURO, STE</v>
          </cell>
          <cell r="D7493" t="str">
            <v>MAXDRIVE  SCREWS 1.5X3.5MM, NEURO, STE</v>
          </cell>
        </row>
        <row r="7494">
          <cell r="B7494" t="str">
            <v>25-875-34-09</v>
          </cell>
          <cell r="C7494" t="str">
            <v>MAXDRIVE  SCHRAUBEN 1,5X4MM,  NEURO</v>
          </cell>
          <cell r="D7494" t="str">
            <v>MAXDRIVE  SCREWS 1.5X4MM,  NEURO</v>
          </cell>
        </row>
        <row r="7495">
          <cell r="B7495" t="str">
            <v>25-875-34-75</v>
          </cell>
          <cell r="C7495" t="str">
            <v>MAXDRIVE  SCHRAUBEN 1,5X4MM,  NEURO, STE</v>
          </cell>
          <cell r="D7495" t="str">
            <v>MAXDRIVE  SCREWS 1.5X4MM,  NEURO, STE</v>
          </cell>
        </row>
        <row r="7496">
          <cell r="B7496" t="str">
            <v>25-875-35-09</v>
          </cell>
          <cell r="C7496" t="str">
            <v>MAXDRIVE  SCHRAUBEN 1,5X5MM,  NEURO</v>
          </cell>
          <cell r="D7496" t="str">
            <v>MAXDRIVE  SCREWS 1.5X5MM,  NEURO</v>
          </cell>
        </row>
        <row r="7497">
          <cell r="B7497" t="str">
            <v>25-875-35-75</v>
          </cell>
          <cell r="C7497" t="str">
            <v>MAXDRIVE  SCHRAUBEN 1,5X5MM,  NEURO, STE</v>
          </cell>
          <cell r="D7497" t="str">
            <v>MAXDRIVE  SCREWS 1.5X5MM,  NEURO, STE</v>
          </cell>
        </row>
        <row r="7498">
          <cell r="B7498" t="str">
            <v>25-876-03-09</v>
          </cell>
          <cell r="C7498" t="str">
            <v>MAXDRIVE  NOTFALL  SCHRAUBEN 1,8X3,5MM</v>
          </cell>
          <cell r="D7498" t="str">
            <v>MAXDRIVE  EMERGENCY SCREWS 1.8X3.5MM</v>
          </cell>
        </row>
        <row r="7499">
          <cell r="B7499" t="str">
            <v>25-876-03-61</v>
          </cell>
          <cell r="C7499" t="str">
            <v>MAXDRIVE  NOTFALL  SCHRAUBE  1,8X3,5MM</v>
          </cell>
          <cell r="D7499" t="str">
            <v>MAXDRIVE  EMERGENCY SCREW 1.8X3.5MM</v>
          </cell>
        </row>
        <row r="7500">
          <cell r="B7500" t="str">
            <v>25-876-03-71</v>
          </cell>
          <cell r="C7500" t="str">
            <v>MAXDRIVE  NOTFALL  SCHR. 1,8X3,5MM, STERIL</v>
          </cell>
          <cell r="D7500" t="str">
            <v>MAXDRIVE  EMERG. SCREW 1.8X3.5MM, STERIL</v>
          </cell>
        </row>
        <row r="7501">
          <cell r="B7501" t="str">
            <v>25-876-03-75</v>
          </cell>
          <cell r="C7501" t="str">
            <v>MAXDRIVE  NOTFALL  SCH. 1,8X3,5MM, STERIL</v>
          </cell>
          <cell r="D7501" t="str">
            <v>MAXDRIVE  EMERG. SCREWS 1.8X3.5MM, STERIL</v>
          </cell>
        </row>
        <row r="7502">
          <cell r="B7502" t="str">
            <v>25-876-04-09</v>
          </cell>
          <cell r="C7502" t="str">
            <v>MAXDRIVE  NOTFALL  SCHRAUBEN 1,8X4MM</v>
          </cell>
          <cell r="D7502" t="str">
            <v>MAXDRIVE  EMERGENCY SCREWS 1.8X4MM</v>
          </cell>
        </row>
        <row r="7503">
          <cell r="B7503" t="str">
            <v>25-876-04-61</v>
          </cell>
          <cell r="C7503" t="str">
            <v>MAXDRIVE  NOTFALL  SCHRAUBE  1,8X4MM</v>
          </cell>
          <cell r="D7503" t="str">
            <v>MAXDRIVE  EMERGENCY SCREW 1.8X4MM</v>
          </cell>
        </row>
        <row r="7504">
          <cell r="B7504" t="str">
            <v>25-876-04-91</v>
          </cell>
          <cell r="C7504" t="str">
            <v>MAXDRIVE  NOTFALL  SCHRAUBEN 1,8X4MM</v>
          </cell>
          <cell r="D7504" t="str">
            <v>SCREW MAXDRIVE  DRILL FREE EMER. 1.8X4</v>
          </cell>
        </row>
        <row r="7505">
          <cell r="B7505" t="str">
            <v>25-876-05-09</v>
          </cell>
          <cell r="C7505" t="str">
            <v>MAXDRIVE  NOTFALL  SCHRAUBEN 1,8X5MM</v>
          </cell>
          <cell r="D7505" t="str">
            <v>MAXDRIVE  EMERGENCY SCREWS 1.8X5MM</v>
          </cell>
        </row>
        <row r="7506">
          <cell r="B7506" t="str">
            <v>25-876-05-61</v>
          </cell>
          <cell r="C7506" t="str">
            <v>MAXDRIVE  NOTFALL  SCHRAUBE  1,8X5MM</v>
          </cell>
          <cell r="D7506" t="str">
            <v>MAXDRIVE  EMERGENCY SCREW 1.8X5MM</v>
          </cell>
        </row>
        <row r="7507">
          <cell r="B7507" t="str">
            <v>25-876-05-71</v>
          </cell>
          <cell r="C7507" t="str">
            <v>MAXDRIVE  NOTFALL  SCHR. 1,8X5MM,  STERIL</v>
          </cell>
          <cell r="D7507" t="str">
            <v>MAXDRIVE  EMERG. SCREW 1.8X5MM,  STERIL</v>
          </cell>
        </row>
        <row r="7508">
          <cell r="B7508" t="str">
            <v>25-876-05-75</v>
          </cell>
          <cell r="C7508" t="str">
            <v>MAXDRIVE  NOTFALL  SCH. 1,8X5MM,  STERIL</v>
          </cell>
          <cell r="D7508" t="str">
            <v>MAXDRIVE  EMERG. SCREWS 1.8X5MM,  STERILE</v>
          </cell>
        </row>
        <row r="7509">
          <cell r="B7509" t="str">
            <v>25-876-05-91</v>
          </cell>
          <cell r="C7509" t="str">
            <v>MAXDRIVE  NOTFALL  SCHRAUBE  1,8X5MM</v>
          </cell>
          <cell r="D7509" t="str">
            <v>MAXDRIVE  EMERGENCY SCREW 1.8X5MM</v>
          </cell>
        </row>
        <row r="7510">
          <cell r="B7510" t="str">
            <v>25-876-07-09</v>
          </cell>
          <cell r="C7510" t="str">
            <v>MAXDRIVE  NOTFALL  SCHRAUBEN 1,8X7MM</v>
          </cell>
          <cell r="D7510" t="str">
            <v>MAXDRIVE  EMERGENCY SCREWS 1.8X7MM</v>
          </cell>
        </row>
        <row r="7511">
          <cell r="B7511" t="str">
            <v>25-876-07-25</v>
          </cell>
          <cell r="C7511" t="str">
            <v>MAXDRIVE  NOTFALL  SCHRAUBEN 1,8X7MM</v>
          </cell>
          <cell r="D7511" t="str">
            <v>MAXDRIVE  EMERGENCY SCREWS 1.8X7MM</v>
          </cell>
        </row>
        <row r="7512">
          <cell r="B7512" t="str">
            <v>25-876-07-61</v>
          </cell>
          <cell r="C7512" t="str">
            <v>MAXDRIVE  NOTFALL  SCHRAUBE  1,8X7MM</v>
          </cell>
          <cell r="D7512" t="str">
            <v>MAXDRIVE  EMERGENCY SCREW 1.8X7MM</v>
          </cell>
        </row>
        <row r="7513">
          <cell r="B7513" t="str">
            <v>25-876-07-71</v>
          </cell>
          <cell r="C7513" t="str">
            <v>MAXDRIVE  NOTFALL  SCHR. 1,8X7MM,  STERIL</v>
          </cell>
          <cell r="D7513" t="str">
            <v>MAXDRIVE  EMERG. SCREW 1.8X7MM,  STERIL</v>
          </cell>
        </row>
        <row r="7514">
          <cell r="B7514" t="str">
            <v>25-876-07-75</v>
          </cell>
          <cell r="C7514" t="str">
            <v>MAXDRIVE  NOTFALL  SCH. 1,8X7MM,  STERIL</v>
          </cell>
          <cell r="D7514" t="str">
            <v>MAXDRIVE  EMERG. SCREWS 1.8X7MM,  STERILE</v>
          </cell>
        </row>
        <row r="7515">
          <cell r="B7515" t="str">
            <v>25-876-07-91</v>
          </cell>
          <cell r="C7515" t="str">
            <v>MAXDRIVE  NOTFALL  SCHRAUBE  1,8X7MM</v>
          </cell>
          <cell r="D7515" t="str">
            <v>SCREW MAXDRIVE  DRILL FREE EMER. 1.8X7</v>
          </cell>
        </row>
        <row r="7516">
          <cell r="B7516" t="str">
            <v>25-878-03-09</v>
          </cell>
          <cell r="C7516" t="str">
            <v>MAXDRIVE  DRILL-FREE SCHRAUBEN 1,5X3,5MM</v>
          </cell>
          <cell r="D7516" t="str">
            <v>MAXDRIVE  DRILL-FREE SCREWS 1,5X3,5MM</v>
          </cell>
        </row>
        <row r="7517">
          <cell r="B7517" t="str">
            <v>25-878-03-61</v>
          </cell>
          <cell r="C7517" t="str">
            <v>MAXDRIVE  DRILL-FREE SCHRAUBE  1,5X3,5MM</v>
          </cell>
          <cell r="D7517" t="str">
            <v>MAXDRIVE  DRILL-FREE SCREW 1.5X3.5MM</v>
          </cell>
        </row>
        <row r="7518">
          <cell r="B7518" t="str">
            <v>25-878-03-71</v>
          </cell>
          <cell r="C7518" t="str">
            <v>MAXDRIVE  DRILL-FREE SCHR. 1,5X3,5MM,STER</v>
          </cell>
          <cell r="D7518" t="str">
            <v>MAXDRIVE  DRILL-FREE SCREW 1.5X3.5MM,STER</v>
          </cell>
        </row>
        <row r="7519">
          <cell r="B7519" t="str">
            <v>25-878-04-09</v>
          </cell>
          <cell r="C7519" t="str">
            <v>MAXDRIVE  DRILL-FREE SCHRAUBEN 1,5X4MM</v>
          </cell>
          <cell r="D7519" t="str">
            <v>MAXDRIVE  DRILL-FREE SCREWS 1.5X4MM</v>
          </cell>
        </row>
        <row r="7520">
          <cell r="B7520" t="str">
            <v>25-878-04-61</v>
          </cell>
          <cell r="C7520" t="str">
            <v>MAXDRIVE  DRILL-FREE SCHRAUBE  1,5X4MM</v>
          </cell>
          <cell r="D7520" t="str">
            <v>MAXDRIVE  DRILL-FREE SCREW 1.5X4MM</v>
          </cell>
        </row>
        <row r="7521">
          <cell r="B7521" t="str">
            <v>25-878-04-71</v>
          </cell>
          <cell r="C7521" t="str">
            <v>MAXDRIVE  DRILL-FREE SCHR. 1,5X4MM,STERIL</v>
          </cell>
          <cell r="D7521" t="str">
            <v>MAXDRIVE  DRILL-FREE SCREW 1.5X4MM,STER.</v>
          </cell>
        </row>
        <row r="7522">
          <cell r="B7522" t="str">
            <v>25-878-04-75</v>
          </cell>
          <cell r="C7522" t="str">
            <v>MAXDRIVE  DRILL-FREE SCHR. 1,5X4MM,STE</v>
          </cell>
          <cell r="D7522" t="str">
            <v>MAXDRIVE  DRILL-FREE SCREWS 1.5X4MM,STE</v>
          </cell>
        </row>
        <row r="7523">
          <cell r="B7523" t="str">
            <v>25-878-05-09</v>
          </cell>
          <cell r="C7523" t="str">
            <v>MAXDRIVE  DRILL-FREE SCHRAUBEN 1,5X5MM</v>
          </cell>
          <cell r="D7523" t="str">
            <v>MAXDRIVE  DRILL-FREE SCREWS 1.5X5MM</v>
          </cell>
        </row>
        <row r="7524">
          <cell r="B7524" t="str">
            <v>25-878-05-25</v>
          </cell>
          <cell r="C7524" t="str">
            <v>MAXDRIVE  DRILL-FREE SCHRAUBEN 1,5X5MM</v>
          </cell>
          <cell r="D7524" t="str">
            <v>MAXDRIVE  DRILL-FREE SCREWS 1.5X5MM</v>
          </cell>
        </row>
        <row r="7525">
          <cell r="B7525" t="str">
            <v>25-878-05-61</v>
          </cell>
          <cell r="C7525" t="str">
            <v>MAXDRIVE  DRILL-FREE SCHRAUBE  1,5X5MM</v>
          </cell>
          <cell r="D7525" t="str">
            <v>MAXDRIVE  DRILL-FREE SCREW 1.5X5MM</v>
          </cell>
        </row>
        <row r="7526">
          <cell r="B7526" t="str">
            <v>25-878-05-71</v>
          </cell>
          <cell r="C7526" t="str">
            <v>MAXDRIVE  DRILL-FREE SCHR. 1,5X5MM,STERIL</v>
          </cell>
          <cell r="D7526" t="str">
            <v>MAXDRIVE  DRILL-FREE SCREW 1.5X5MM,STER.</v>
          </cell>
        </row>
        <row r="7527">
          <cell r="B7527" t="str">
            <v>25-878-05-75</v>
          </cell>
          <cell r="C7527" t="str">
            <v>MAXDRIVE  DFS 1,5 X 5 MM, STERIL</v>
          </cell>
          <cell r="D7527" t="str">
            <v>MAXDRIVE  DFS 1.5 X 5 MM, STERILE</v>
          </cell>
        </row>
        <row r="7528">
          <cell r="B7528" t="str">
            <v>25-878-05-91</v>
          </cell>
          <cell r="C7528" t="str">
            <v>MAXDRIVE  DRILL-FREE SCHRAUBEN 1,5X5MM</v>
          </cell>
          <cell r="D7528" t="str">
            <v>SCREW, MAXDRIVE, DRILL FREE 1.5 X 5 MM</v>
          </cell>
        </row>
        <row r="7529">
          <cell r="B7529" t="str">
            <v>25-878-06-09</v>
          </cell>
          <cell r="C7529" t="str">
            <v>MAXDRIVE  DRILL-FREE SCHRAUBEN 1,5X6MM</v>
          </cell>
          <cell r="D7529" t="str">
            <v>MAXDRIVE  DRILL-FREE SCREWS 1.5X6MM</v>
          </cell>
        </row>
        <row r="7530">
          <cell r="B7530" t="str">
            <v>25-878-06-61</v>
          </cell>
          <cell r="C7530" t="str">
            <v>MAXDRIVE  DRILL-FREE SCHRAUBE  1,5X6MM</v>
          </cell>
          <cell r="D7530" t="str">
            <v>MAXDRIVE  DRILL-FREE SCREW 1.5X6MM</v>
          </cell>
        </row>
        <row r="7531">
          <cell r="B7531" t="str">
            <v>25-878-06-71</v>
          </cell>
          <cell r="C7531" t="str">
            <v>MAXDRIVE  DRILL-FREE SCHR. 1,5X6MM,STERIL</v>
          </cell>
          <cell r="D7531" t="str">
            <v>MAXDRIVE  DRILL-FREE SCREW 1.5X6MM,STER.</v>
          </cell>
        </row>
        <row r="7532">
          <cell r="B7532" t="str">
            <v>25-878-06-75</v>
          </cell>
          <cell r="C7532" t="str">
            <v>MAXDRIVE  DFS 1,5 X 6 MM, STERIL</v>
          </cell>
          <cell r="D7532" t="str">
            <v>MAXDRIVE  DFS 1.5 X 6 MM, STERILE</v>
          </cell>
        </row>
        <row r="7533">
          <cell r="B7533" t="str">
            <v>25-878-06-91</v>
          </cell>
          <cell r="C7533" t="str">
            <v>MAXDRIVE  DRILL-FREE SCHRAUBEN 1,5X6MM</v>
          </cell>
          <cell r="D7533" t="str">
            <v>SCREW, MAXDRIVE, DRILL FREE 1.5 X 6 MM</v>
          </cell>
        </row>
        <row r="7534">
          <cell r="B7534" t="str">
            <v>25-878-07-09</v>
          </cell>
          <cell r="C7534" t="str">
            <v>MAXDRIVE  DRILL-FREE SCHRAUBEN 1,5X7MM</v>
          </cell>
          <cell r="D7534" t="str">
            <v>MAXDRIVE  DRILL-FREE SCREWS 1.5X7MM</v>
          </cell>
        </row>
        <row r="7535">
          <cell r="B7535" t="str">
            <v>25-878-07-25</v>
          </cell>
          <cell r="C7535" t="str">
            <v>MAXDRIVE  DRILL-FREE SCHRAUBEN 1,5X7MM</v>
          </cell>
          <cell r="D7535" t="str">
            <v>MAXDRIVE  DRILL-FREE SCREWS 1.5X7MM</v>
          </cell>
        </row>
        <row r="7536">
          <cell r="B7536" t="str">
            <v>25-878-07-61</v>
          </cell>
          <cell r="C7536" t="str">
            <v>MAXDRIVE  DRILL-FREE SCHRAUBE  1,5X7MM</v>
          </cell>
          <cell r="D7536" t="str">
            <v>MAXDRIVE  DRILL-FREE SCREW 1.5X7MM</v>
          </cell>
        </row>
        <row r="7537">
          <cell r="B7537" t="str">
            <v>25-878-07-71</v>
          </cell>
          <cell r="C7537" t="str">
            <v>MAXDRIVE  DRILL-FREE SCHR. 1,5X7MM,STERIL</v>
          </cell>
          <cell r="D7537" t="str">
            <v>MAXDRIVE  DRILL-FREE SCREW 1.5X7MM,STER.</v>
          </cell>
        </row>
        <row r="7538">
          <cell r="B7538" t="str">
            <v>25-878-07-75</v>
          </cell>
          <cell r="C7538" t="str">
            <v>MAXDRIVE  DFS 1,5 X 7 MM, STERIL</v>
          </cell>
          <cell r="D7538" t="str">
            <v>MAXDRIVE  DFS 1.5 X 7 MM, STERILE</v>
          </cell>
        </row>
        <row r="7539">
          <cell r="B7539" t="str">
            <v>25-878-07-91</v>
          </cell>
          <cell r="C7539" t="str">
            <v>MAXDRIVE  DRILL-FREE SCHRAUBEN 1,5X7MM</v>
          </cell>
          <cell r="D7539" t="str">
            <v>SCREW, MAXDRIVE, DRILL FREE 1.5 X 7 MM</v>
          </cell>
        </row>
        <row r="7540">
          <cell r="B7540" t="str">
            <v>25-879-05-09</v>
          </cell>
          <cell r="C7540" t="str">
            <v>MAXDRIVE  DRILL-FREE SCHRAUBEN 2,0X5MM</v>
          </cell>
          <cell r="D7540" t="str">
            <v>MAXDRIVE  DRILL-FREE SCREWS 2.0X5MM</v>
          </cell>
        </row>
        <row r="7541">
          <cell r="B7541" t="str">
            <v>25-879-05-25</v>
          </cell>
          <cell r="C7541" t="str">
            <v>MAXDRIVE  DRILL-FREE SCHRAUBEN 2,0X5MM</v>
          </cell>
          <cell r="D7541" t="str">
            <v>MAXDRIVE  DRILL-FREE SCREWS 2.0X5MM</v>
          </cell>
        </row>
        <row r="7542">
          <cell r="B7542" t="str">
            <v>25-879-05-61</v>
          </cell>
          <cell r="C7542" t="str">
            <v>MAXDRIVE  DRILL-FREE SCHRAUBE  2,0X5MM</v>
          </cell>
          <cell r="D7542" t="str">
            <v>MAXDRIVE  DRILL-FREE SCREW 2.0X5MM</v>
          </cell>
        </row>
        <row r="7543">
          <cell r="B7543" t="str">
            <v>25-879-05-71</v>
          </cell>
          <cell r="C7543" t="str">
            <v>MAXDRIVE  DFS 2,0 X 5 MM, STERIL</v>
          </cell>
          <cell r="D7543" t="str">
            <v>MAXDRIVE  DFS 2.0X5MM,  STERILE</v>
          </cell>
        </row>
        <row r="7544">
          <cell r="B7544" t="str">
            <v>25-879-05-75</v>
          </cell>
          <cell r="C7544" t="str">
            <v>MAXDRIVE  DFS 2,0 X 5 MM, STERIL</v>
          </cell>
          <cell r="D7544" t="str">
            <v>MAXDRIVE  DFS 2.0X5MM,  STERILE</v>
          </cell>
        </row>
        <row r="7545">
          <cell r="B7545" t="str">
            <v>25-879-05-91</v>
          </cell>
          <cell r="C7545" t="str">
            <v>MAXDRIVE  DRILL-FREE SCHRAUBEN 2,0X5MM</v>
          </cell>
          <cell r="D7545" t="str">
            <v>MAXDRIVE  DRILL-FREE SCREWS 2.0X5MM</v>
          </cell>
        </row>
        <row r="7546">
          <cell r="B7546" t="str">
            <v>25-879-06-09</v>
          </cell>
          <cell r="C7546" t="str">
            <v>MAXDRIVE  DRILL-FREE SCHRAUBEN 2,0X6MM</v>
          </cell>
          <cell r="D7546" t="str">
            <v>MAXDRIVE  DRILL-FREE SCREWS 2.0X6MM</v>
          </cell>
        </row>
        <row r="7547">
          <cell r="B7547" t="str">
            <v>25-879-06-25</v>
          </cell>
          <cell r="C7547" t="str">
            <v>MAXDRIVE  DRILL-FREE SCHRAUBEN 2,0X6MM</v>
          </cell>
          <cell r="D7547" t="str">
            <v>MAXDRIVE  DRILL-FREE SCREWS 2.0X6MM</v>
          </cell>
        </row>
        <row r="7548">
          <cell r="B7548" t="str">
            <v>25-879-06-61</v>
          </cell>
          <cell r="C7548" t="str">
            <v>MAXDRIVE  DRILL-FREE SCHRAUBE  2,0X6MM</v>
          </cell>
          <cell r="D7548" t="str">
            <v>MAXDRIVE  DRILL-FREE SCREW 2.0X6MM</v>
          </cell>
        </row>
        <row r="7549">
          <cell r="B7549" t="str">
            <v>25-879-06-71</v>
          </cell>
          <cell r="C7549" t="str">
            <v>MAXDRIVE  DFS 2,0 X 6 MM, STERIL</v>
          </cell>
          <cell r="D7549" t="str">
            <v>MAXDRIVE  DFS 2.0X6MM,  STERILE</v>
          </cell>
        </row>
        <row r="7550">
          <cell r="B7550" t="str">
            <v>25-879-06-91</v>
          </cell>
          <cell r="C7550" t="str">
            <v>MAXDRIVE  DRILL-FREE SCHRAUBEN 2,0X6MM</v>
          </cell>
          <cell r="D7550" t="str">
            <v>MAXDRIVE  DRILL-FREE SCREWS 2.0X6MM</v>
          </cell>
        </row>
        <row r="7551">
          <cell r="B7551" t="str">
            <v>25-879-07-09</v>
          </cell>
          <cell r="C7551" t="str">
            <v>MAXDRIVE  DRILL-FREE SCHRAUBEN 2,0X7MM</v>
          </cell>
          <cell r="D7551" t="str">
            <v>MAXDRIVE  DRILL-FREE SCREWS 2.0X7MM</v>
          </cell>
        </row>
        <row r="7552">
          <cell r="B7552" t="str">
            <v>25-879-07-61</v>
          </cell>
          <cell r="C7552" t="str">
            <v>MAXDRIVE  DRILL-FREE SCHRAUBE  2,0X7MM</v>
          </cell>
          <cell r="D7552" t="str">
            <v>MAXDRIVE  DRILL-FREE SCREW 2.0X7MM</v>
          </cell>
        </row>
        <row r="7553">
          <cell r="B7553" t="str">
            <v>25-879-07-71</v>
          </cell>
          <cell r="C7553" t="str">
            <v>MAXDRIVE  DFS 2,0 X 7 MM, STERIL</v>
          </cell>
          <cell r="D7553" t="str">
            <v>MAXDRIVE  DFS 2.0X7MM,  STERILE</v>
          </cell>
        </row>
        <row r="7554">
          <cell r="B7554" t="str">
            <v>25-879-07-75</v>
          </cell>
          <cell r="C7554" t="str">
            <v>MAXDRIVE  DFS 2,0 X 7 MM, STERIL</v>
          </cell>
          <cell r="D7554" t="str">
            <v>MAXDRIVE  DFS 2.0X7MM,  STERILE</v>
          </cell>
        </row>
        <row r="7555">
          <cell r="B7555" t="str">
            <v>25-879-07-91</v>
          </cell>
          <cell r="C7555" t="str">
            <v>maxDrive  Drill-Free  2,0X7MM  RPE Distr.</v>
          </cell>
          <cell r="D7555" t="str">
            <v>maxDrive  Drill-Free  2,0X7MM  RPE Distr.</v>
          </cell>
        </row>
        <row r="7556">
          <cell r="B7556" t="str">
            <v>25-879-09-09</v>
          </cell>
          <cell r="C7556" t="str">
            <v>MAXDRIVE  DRILL-FREE SCHRAUBEN 2,0X9MM</v>
          </cell>
          <cell r="D7556" t="str">
            <v>MAXDRIVE  DRILL-FREE SCREWS 2.0X9MM</v>
          </cell>
        </row>
        <row r="7557">
          <cell r="B7557" t="str">
            <v>25-879-09-61</v>
          </cell>
          <cell r="C7557" t="str">
            <v>MAXDRIVE  DRILL-FREE SCHRAUBE  2,0X9MM</v>
          </cell>
          <cell r="D7557" t="str">
            <v>MAXDRIVE  DRILL-FREE SCREW 2.0X9MM</v>
          </cell>
        </row>
        <row r="7558">
          <cell r="B7558" t="str">
            <v>25-879-09-71</v>
          </cell>
          <cell r="C7558" t="str">
            <v>MAXDRIVE  DFS 2,0 X 9 MM, STERIL</v>
          </cell>
          <cell r="D7558" t="str">
            <v>MAXDRIVE  DFS 2.0X9MM,  STERILE</v>
          </cell>
        </row>
        <row r="7559">
          <cell r="B7559" t="str">
            <v>25-879-09-75</v>
          </cell>
          <cell r="C7559" t="str">
            <v>MAXDRIVE  DFS 2,0 X 9 MM, STERIL</v>
          </cell>
          <cell r="D7559" t="str">
            <v>MAXDRIVE  DFS 2.0X9MM,  STERILE</v>
          </cell>
        </row>
        <row r="7560">
          <cell r="B7560" t="str">
            <v>25-882-05-09</v>
          </cell>
          <cell r="C7560" t="str">
            <v>MAXDRIVE  VERRIEGELUNGSSCHR.2,0X5MM</v>
          </cell>
          <cell r="D7560" t="str">
            <v>MAXDRIVE  LOCKING  SCREWS 2.0X5MM</v>
          </cell>
        </row>
        <row r="7561">
          <cell r="B7561" t="str">
            <v>25-882-05-61</v>
          </cell>
          <cell r="C7561" t="str">
            <v>MAXDRIVE  VERRIEGELUNGSSCHR. 2,0X5MM</v>
          </cell>
          <cell r="D7561" t="str">
            <v>MAXDRIVE  LOCKING  SCREW 2.0X5MM</v>
          </cell>
        </row>
        <row r="7562">
          <cell r="B7562" t="str">
            <v>25-882-05-71</v>
          </cell>
          <cell r="C7562" t="str">
            <v>MAXDRIVE  VER.-SCHRAUBE 2,0X5MM  STERIL</v>
          </cell>
          <cell r="D7562" t="str">
            <v>MAXDRIVE  LOCKING  SCREW 2.0X5MM  STERILE</v>
          </cell>
        </row>
        <row r="7563">
          <cell r="B7563" t="str">
            <v>25-882-05-75</v>
          </cell>
          <cell r="C7563" t="str">
            <v>MAXDRIVE  VER.-SCHRAUBE 2,0X5MM  STERIL</v>
          </cell>
          <cell r="D7563" t="str">
            <v>MAXDRIVE  LOCKING  SCREWS 2.0X5MM  STERILE</v>
          </cell>
        </row>
        <row r="7564">
          <cell r="B7564" t="str">
            <v>25-882-05-91</v>
          </cell>
          <cell r="C7564" t="str">
            <v>maxDrive  Verriegelungsschr. 2,0 X 5 MM</v>
          </cell>
          <cell r="D7564" t="str">
            <v>maxDrive  Locking Screw 2.0 X 5 MM</v>
          </cell>
        </row>
        <row r="7565">
          <cell r="B7565" t="str">
            <v>25-882-06-61</v>
          </cell>
          <cell r="C7565" t="str">
            <v>MAXDRIVE  VERRIEGELUNGSSCHR. 2,0X6MM</v>
          </cell>
          <cell r="D7565" t="str">
            <v>MAXDRIVE  LOCKING  SCREW 2.0X6MM</v>
          </cell>
        </row>
        <row r="7566">
          <cell r="B7566" t="str">
            <v>25-882-07-09</v>
          </cell>
          <cell r="C7566" t="str">
            <v>MAXDRIVE  VERRIEGELUNGSSCHR.2,0X7MM</v>
          </cell>
          <cell r="D7566" t="str">
            <v>MAXDRIVE  LOCKING  SCREWS 2.0X7MM</v>
          </cell>
        </row>
        <row r="7567">
          <cell r="B7567" t="str">
            <v>25-882-07-61</v>
          </cell>
          <cell r="C7567" t="str">
            <v>MAXDRIVE  VERRIEGELUNGSSCHR. 2,0X7MM</v>
          </cell>
          <cell r="D7567" t="str">
            <v>MAXDRIVE  LOCKING  SCREW 2.0X7MM</v>
          </cell>
        </row>
        <row r="7568">
          <cell r="B7568" t="str">
            <v>25-882-07-71</v>
          </cell>
          <cell r="C7568" t="str">
            <v>MAXDRIVE  VER.-SCHRAUBE 2,0X7MM  STERIL</v>
          </cell>
          <cell r="D7568" t="str">
            <v>MAXDRIVE  LOCKING  SCREW 2.0X7MM  STERILE</v>
          </cell>
        </row>
        <row r="7569">
          <cell r="B7569" t="str">
            <v>25-882-07-75</v>
          </cell>
          <cell r="C7569" t="str">
            <v>MAXDRIVE  VER.-SCHRAUBE 2,0X7MM  STERIL</v>
          </cell>
          <cell r="D7569" t="str">
            <v>MAXDRIVE  LOCKING  SCREWS 2.0X7MM  STERILE</v>
          </cell>
        </row>
        <row r="7570">
          <cell r="B7570" t="str">
            <v>25-882-07-91</v>
          </cell>
          <cell r="C7570" t="str">
            <v>maxDrive  Verriegelungsschr. 2,0 X 7 MM</v>
          </cell>
          <cell r="D7570" t="str">
            <v>maxDrive  Locking Screw 2.0 X 7 MM</v>
          </cell>
        </row>
        <row r="7571">
          <cell r="B7571" t="str">
            <v>25-882-09-09</v>
          </cell>
          <cell r="C7571" t="str">
            <v>MAXDRIVE  VERRIEGELUNGSSCHR.2,0X9MM</v>
          </cell>
          <cell r="D7571" t="str">
            <v>MAXDRIVE  LOCKING  SCREWS 2.0X9MM</v>
          </cell>
        </row>
        <row r="7572">
          <cell r="B7572" t="str">
            <v>25-882-09-61</v>
          </cell>
          <cell r="C7572" t="str">
            <v>MAXDRIVE  VERRIEGELUNGSSCHR. 2,0X9MM</v>
          </cell>
          <cell r="D7572" t="str">
            <v>MAXDRIVE  LOCKING  SCREW 2.0X9MM</v>
          </cell>
        </row>
        <row r="7573">
          <cell r="B7573" t="str">
            <v>25-882-09-71</v>
          </cell>
          <cell r="C7573" t="str">
            <v>MAXDRIVE  VER.-SCHRAUBE 2,0X9MM  STERIL</v>
          </cell>
          <cell r="D7573" t="str">
            <v>MAXDRIVE  LOCKING  SCREW 2.0X9MM  STERILE</v>
          </cell>
        </row>
        <row r="7574">
          <cell r="B7574" t="str">
            <v>25-882-09-75</v>
          </cell>
          <cell r="C7574" t="str">
            <v>MAXDRIVE  VER.-SCHRAUBE 2,0X9MM  STERIL</v>
          </cell>
          <cell r="D7574" t="str">
            <v>MAXDRIVE  LOCKING  SCREWS 2.0X9MM  STERILE</v>
          </cell>
        </row>
        <row r="7575">
          <cell r="B7575" t="str">
            <v>25-882-09-91</v>
          </cell>
          <cell r="C7575" t="str">
            <v>maxDrive  Verriegelungsschr. 2,0 X 9 MM</v>
          </cell>
          <cell r="D7575" t="str">
            <v>maxDrive  Locking Screw 2.0 X 9 MM</v>
          </cell>
        </row>
        <row r="7576">
          <cell r="B7576" t="str">
            <v>25-882-11-09</v>
          </cell>
          <cell r="C7576" t="str">
            <v>MAXDRIVE  VERRIEGELUNGSSCHR.2,0X11MM</v>
          </cell>
          <cell r="D7576" t="str">
            <v>MAXDRIVE  LOCKING  SCREWS 2.0X11MM</v>
          </cell>
        </row>
        <row r="7577">
          <cell r="B7577" t="str">
            <v>25-882-11-61</v>
          </cell>
          <cell r="C7577" t="str">
            <v>MAXDRIVE  VERRIEGELUNGSSCHR. 2,0X11MM</v>
          </cell>
          <cell r="D7577" t="str">
            <v>MAXDRIVE  LOCKING  SCREW 2.0X11MM</v>
          </cell>
        </row>
        <row r="7578">
          <cell r="B7578" t="str">
            <v>25-882-11-71</v>
          </cell>
          <cell r="C7578" t="str">
            <v>MAXDRIVE  VER.-SCHRAUBE 2,0X11MM  STERIL</v>
          </cell>
          <cell r="D7578" t="str">
            <v>MAXDRIVE  LOCKING  SCREW 2.0X11MM  STERILE</v>
          </cell>
        </row>
        <row r="7579">
          <cell r="B7579" t="str">
            <v>25-882-11-75</v>
          </cell>
          <cell r="C7579" t="str">
            <v>MAXDRIVE  VER.-SCHRAUBE 2,0X11MM  STERIL</v>
          </cell>
          <cell r="D7579" t="str">
            <v>MAXDRIVE  LOCKING  SCREWS 2.0X11MM  STERILE</v>
          </cell>
        </row>
        <row r="7580">
          <cell r="B7580" t="str">
            <v>25-882-11-91</v>
          </cell>
          <cell r="C7580" t="str">
            <v>MAXDRIVE  VERRIEGELUNGSSCHR.2,0X11MM</v>
          </cell>
          <cell r="D7580" t="str">
            <v>MAXDRIVE  LOCKING  SCREWS 2.0X11MM</v>
          </cell>
        </row>
        <row r="7581">
          <cell r="B7581" t="str">
            <v>25-882-13-09</v>
          </cell>
          <cell r="C7581" t="str">
            <v>MAXDRIVE  VERRIEGELUNGSSCHR.2,0X13MM</v>
          </cell>
          <cell r="D7581" t="str">
            <v>MAXDRIVE  LOCKING  SCREWS 2.0X13MM</v>
          </cell>
        </row>
        <row r="7582">
          <cell r="B7582" t="str">
            <v>25-882-13-61</v>
          </cell>
          <cell r="C7582" t="str">
            <v>MAXDRIVE  VERRIEGELUNGSSCHR. 2,0X13MM</v>
          </cell>
          <cell r="D7582" t="str">
            <v>MAXDRIVE  LOCKING  SCREW 2.0X13MM</v>
          </cell>
        </row>
        <row r="7583">
          <cell r="B7583" t="str">
            <v>25-882-13-71</v>
          </cell>
          <cell r="C7583" t="str">
            <v>MAXDRIVE  VER.-SCHRAUBE 2,0X13MM  STERIL</v>
          </cell>
          <cell r="D7583" t="str">
            <v>MAXDRIVE  LOCKING  SCREW 2.0X13MM  STERILE</v>
          </cell>
        </row>
        <row r="7584">
          <cell r="B7584" t="str">
            <v>25-882-13-75</v>
          </cell>
          <cell r="C7584" t="str">
            <v>MAXDRIVE  VER.-SCHRAUBE 2,0X13MM  STERIL</v>
          </cell>
          <cell r="D7584" t="str">
            <v>MAXDRIVE  LOCKING  SCREWS 2.0X13MM  STERILE</v>
          </cell>
        </row>
        <row r="7585">
          <cell r="B7585" t="str">
            <v>25-882-13-91</v>
          </cell>
          <cell r="C7585" t="str">
            <v>MAXDRIVE  VERRIEGELUNGSSCHR.2,0X13MM</v>
          </cell>
          <cell r="D7585" t="str">
            <v>MAXDRIVE  LOCKING  SCREWS 2.0X13MM</v>
          </cell>
        </row>
        <row r="7586">
          <cell r="B7586" t="str">
            <v>25-882-15-09</v>
          </cell>
          <cell r="C7586" t="str">
            <v>MAXDRIVE  VERRIEGELUNGSSCHR.2,0X15MM</v>
          </cell>
          <cell r="D7586" t="str">
            <v>MAXDRIVE  LOCKING  SCREWS 2.0X15MM</v>
          </cell>
        </row>
        <row r="7587">
          <cell r="B7587" t="str">
            <v>25-882-15-61</v>
          </cell>
          <cell r="C7587" t="str">
            <v>MAXDRIVE  VERRIEGELUNGSSCHR. 2,0X15MM</v>
          </cell>
          <cell r="D7587" t="str">
            <v>MAXDRIVE  LOCKING  SCREW 2.0X15MM</v>
          </cell>
        </row>
        <row r="7588">
          <cell r="B7588" t="str">
            <v>25-882-15-71</v>
          </cell>
          <cell r="C7588" t="str">
            <v>MAXDRIVE  VER.-SCHRAUBE 2,0X15MM  STERIL</v>
          </cell>
          <cell r="D7588" t="str">
            <v>MAXDRIVE  LOCKING  SCREW 2.0X15MM  STERILE</v>
          </cell>
        </row>
        <row r="7589">
          <cell r="B7589" t="str">
            <v>25-882-15-75</v>
          </cell>
          <cell r="C7589" t="str">
            <v>MAXDRIVE  VER.-SCHRAUBE 2,0X15MM  STERIL</v>
          </cell>
          <cell r="D7589" t="str">
            <v>MAXDRIVE  LOCKING  SCREWS 2.0X15MM  STERILE</v>
          </cell>
        </row>
        <row r="7590">
          <cell r="B7590" t="str">
            <v>25-882-15-91</v>
          </cell>
          <cell r="C7590" t="str">
            <v>MAXDRIVE  VERRIEGELUNGSSCHR.2,0X15MM</v>
          </cell>
          <cell r="D7590" t="str">
            <v>MAXDRIVE  LOCKING  SCREWS 2.0X15MM</v>
          </cell>
        </row>
        <row r="7591">
          <cell r="B7591" t="str">
            <v>25-882-17-09</v>
          </cell>
          <cell r="C7591" t="str">
            <v>MAXDRIVE  VERRIEGELUNGSSCHR.2,0X17MM</v>
          </cell>
          <cell r="D7591" t="str">
            <v>MAXDRIVE  LOCKING  SCREWS 2.0X17MM</v>
          </cell>
        </row>
        <row r="7592">
          <cell r="B7592" t="str">
            <v>25-882-17-61</v>
          </cell>
          <cell r="C7592" t="str">
            <v>MAXDRIVE  VERRIEGELUNGSSCHR. 2,0X17MM</v>
          </cell>
          <cell r="D7592" t="str">
            <v>MAXDRIVE  LOCKING  SCREW 2.0X17MM</v>
          </cell>
        </row>
        <row r="7593">
          <cell r="B7593" t="str">
            <v>25-882-17-71</v>
          </cell>
          <cell r="C7593" t="str">
            <v>MAXDRIVE  VER.-SCHRAUBE 2,0X17MM  STERIL</v>
          </cell>
          <cell r="D7593" t="str">
            <v>MAXDRIVE  LOCKING  SCREW 2.0X17MM  STERILE</v>
          </cell>
        </row>
        <row r="7594">
          <cell r="B7594" t="str">
            <v>25-882-17-75</v>
          </cell>
          <cell r="C7594" t="str">
            <v>MAXDRIVE  VER.-SCHRAUBE 2,0X17MM  STERIL</v>
          </cell>
          <cell r="D7594" t="str">
            <v>MAXDRIVE  LOCKING  SCREWS 2.0X17MM  STERILE</v>
          </cell>
        </row>
        <row r="7595">
          <cell r="B7595" t="str">
            <v>25-882-17-91</v>
          </cell>
          <cell r="C7595" t="str">
            <v>MAXDRIVE  VERRIEGELUNGSSCHR.2,0X17MM</v>
          </cell>
          <cell r="D7595" t="str">
            <v>MAXDRIVE  LOCKING  SCREWS 2.0X17MM</v>
          </cell>
        </row>
        <row r="7596">
          <cell r="B7596" t="str">
            <v>25-882-19-09</v>
          </cell>
          <cell r="C7596" t="str">
            <v>MAXDRIVE  VERRIEGELUNGSSCHR.2,0X19MM</v>
          </cell>
          <cell r="D7596" t="str">
            <v>MAXDRIVE  LOCKING  SCREWS 2.0X19MM</v>
          </cell>
        </row>
        <row r="7597">
          <cell r="B7597" t="str">
            <v>25-882-19-61</v>
          </cell>
          <cell r="C7597" t="str">
            <v>MAXDRIVE  VERRIEGELUNGSSCHR. 2,0X19MM</v>
          </cell>
          <cell r="D7597" t="str">
            <v>MAXDRIVE  LOCKING  SCREW 2.0X19MM</v>
          </cell>
        </row>
        <row r="7598">
          <cell r="B7598" t="str">
            <v>25-882-19-71</v>
          </cell>
          <cell r="C7598" t="str">
            <v>MAXDRIVE  VER.-SCHRAUBE 2,0X19MM  STERIL</v>
          </cell>
          <cell r="D7598" t="str">
            <v>MAXDRIVE  LOCKING  SCREW 2.0X19MM  STERILE</v>
          </cell>
        </row>
        <row r="7599">
          <cell r="B7599" t="str">
            <v>25-882-19-75</v>
          </cell>
          <cell r="C7599" t="str">
            <v>MAXDRIVE  VER.-SCHRAUBE 2,0X19MM  STERIL</v>
          </cell>
          <cell r="D7599" t="str">
            <v>MAXDRIVE  LOCKING  SCREWS 2.0X19MM  STERILE</v>
          </cell>
        </row>
        <row r="7600">
          <cell r="B7600" t="str">
            <v>25-882-19-91</v>
          </cell>
          <cell r="C7600" t="str">
            <v>MAXDRIVE  VERRIEGELUNGSSCHR.2,0X19MM</v>
          </cell>
          <cell r="D7600" t="str">
            <v>MAXDRIVE  LOCKING  SCREWS 2.0X19MM</v>
          </cell>
        </row>
        <row r="7601">
          <cell r="B7601" t="str">
            <v>25-882-90-09</v>
          </cell>
          <cell r="C7601" t="str">
            <v>Verschlussschraube maxDrive  2,0/2,3</v>
          </cell>
          <cell r="D7601" t="str">
            <v>Spacer maxDrive  2,0/2,3 Threadlock  TS</v>
          </cell>
        </row>
        <row r="7602">
          <cell r="B7602" t="str">
            <v>25-882-90-75</v>
          </cell>
          <cell r="C7602" t="str">
            <v>Verschlussschraube maxDrive  2,0/2,3</v>
          </cell>
          <cell r="D7602" t="str">
            <v>Spacer maxDrive  2,0/2,3 Threadlock  TS</v>
          </cell>
        </row>
        <row r="7603">
          <cell r="B7603" t="str">
            <v>25-883-05-09</v>
          </cell>
          <cell r="C7603" t="str">
            <v>MAXDRIVE  VERRIEGELUNGSSCHR.2,3X5MM</v>
          </cell>
          <cell r="D7603" t="str">
            <v>MAXDRIVE  LOCKING  SCREWS 2.3X5MM</v>
          </cell>
        </row>
        <row r="7604">
          <cell r="B7604" t="str">
            <v>25-883-05-61</v>
          </cell>
          <cell r="C7604" t="str">
            <v>MAXDRIVE  VERRIEGELUNGSSCHR. 2,3X5MM</v>
          </cell>
          <cell r="D7604" t="str">
            <v>MAXDRIVE  LOCKING  SCREW 2.3X5MM</v>
          </cell>
        </row>
        <row r="7605">
          <cell r="B7605" t="str">
            <v>25-883-05-71</v>
          </cell>
          <cell r="C7605" t="str">
            <v>MAXDRIVE  VER.-SCHRAUBE 2,3X5MM  STERIL</v>
          </cell>
          <cell r="D7605" t="str">
            <v>MAXDRIVE  LOCKING  SCREW 2.3X5MM  STERILE</v>
          </cell>
        </row>
        <row r="7606">
          <cell r="B7606" t="str">
            <v>25-883-05-75</v>
          </cell>
          <cell r="C7606" t="str">
            <v>MAXDRIVE  VER.-SCHRAUBE 2,3X5MM  STERIL</v>
          </cell>
          <cell r="D7606" t="str">
            <v>MAXDRIVE  LOCKING  SCREWS 2.3X5MM  STERILE</v>
          </cell>
        </row>
        <row r="7607">
          <cell r="B7607" t="str">
            <v>25-883-05-91</v>
          </cell>
          <cell r="C7607" t="str">
            <v>maxDrive  Verriegelungsschr. 2,3 X 5 MM</v>
          </cell>
          <cell r="D7607" t="str">
            <v>maxDrive  Locking Screw 2.3 X 5 MM</v>
          </cell>
        </row>
        <row r="7608">
          <cell r="B7608" t="str">
            <v>25-883-07-09</v>
          </cell>
          <cell r="C7608" t="str">
            <v>MAXDRIVE  VERRIEGELUNGSSCHR.2,3X7MM</v>
          </cell>
          <cell r="D7608" t="str">
            <v>MAXDRIVE  LOCKING  SCREWS 2.3X7MM</v>
          </cell>
        </row>
        <row r="7609">
          <cell r="B7609" t="str">
            <v>25-883-07-61</v>
          </cell>
          <cell r="C7609" t="str">
            <v>MAXDRIVE  VERRIEGELUNGSSCHR. 2,3X7MM</v>
          </cell>
          <cell r="D7609" t="str">
            <v>MAXDRIVE  LOCKING  SCREW 2.3X7MM</v>
          </cell>
        </row>
        <row r="7610">
          <cell r="B7610" t="str">
            <v>25-883-07-71</v>
          </cell>
          <cell r="C7610" t="str">
            <v>MAXDRIVE  VER.-SCHRAUBE 2,3X7MM  STERIL</v>
          </cell>
          <cell r="D7610" t="str">
            <v>MAXDRIVE  LOCKING  SCREW 2.3X7MM  STERILE</v>
          </cell>
        </row>
        <row r="7611">
          <cell r="B7611" t="str">
            <v>25-883-07-75</v>
          </cell>
          <cell r="C7611" t="str">
            <v>MAXDRIVE  VER.-SCHRAUBE 2,3X7MM  STERIL</v>
          </cell>
          <cell r="D7611" t="str">
            <v>MAXDRIVE  LOCKING  SCREWS 2.3X7MM  STERILE</v>
          </cell>
        </row>
        <row r="7612">
          <cell r="B7612" t="str">
            <v>25-883-07-91</v>
          </cell>
          <cell r="C7612" t="str">
            <v>maxDrive  Verriegelungsschr. 2,3 X 7 MM</v>
          </cell>
          <cell r="D7612" t="str">
            <v>maxDrive  Locking Screw 2.3 X 7 MM</v>
          </cell>
        </row>
        <row r="7613">
          <cell r="B7613" t="str">
            <v>25-883-09-09</v>
          </cell>
          <cell r="C7613" t="str">
            <v>MAXDRIVE  VERRIEGELUNGSSCHR.2,3X9MM</v>
          </cell>
          <cell r="D7613" t="str">
            <v>MAXDRIVE  LOCKING  SCREWS 2.3X9MM</v>
          </cell>
        </row>
        <row r="7614">
          <cell r="B7614" t="str">
            <v>25-883-09-61</v>
          </cell>
          <cell r="C7614" t="str">
            <v>MAXDRIVE  VERRIEGELUNGSSCHR. 2,3X9MM</v>
          </cell>
          <cell r="D7614" t="str">
            <v>MAXDRIVE  LOCKING  SCREW 2.3X9MM</v>
          </cell>
        </row>
        <row r="7615">
          <cell r="B7615" t="str">
            <v>25-883-09-71</v>
          </cell>
          <cell r="C7615" t="str">
            <v>MAXDRIVE  VER.-SCHRAUBE 2,3X9MM  STERIL</v>
          </cell>
          <cell r="D7615" t="str">
            <v>MAXDRIVE  LOCKING  SCREW 2.3X9MM  STERILE</v>
          </cell>
        </row>
        <row r="7616">
          <cell r="B7616" t="str">
            <v>25-883-09-75</v>
          </cell>
          <cell r="C7616" t="str">
            <v>MAXDRIVE  VER.-SCHRAUBE 2,3X9MM  STERIL</v>
          </cell>
          <cell r="D7616" t="str">
            <v>MAXDRIVE  LOCKING  SCREWS 2.3X9MM  STERILE</v>
          </cell>
        </row>
        <row r="7617">
          <cell r="B7617" t="str">
            <v>25-883-09-91</v>
          </cell>
          <cell r="C7617" t="str">
            <v>maxDrive  Verriegelungsschr. 2,3 X 9 MM</v>
          </cell>
          <cell r="D7617" t="str">
            <v>maxDrive  Locking Screw 2.3 X 9 MM</v>
          </cell>
        </row>
        <row r="7618">
          <cell r="B7618" t="str">
            <v>25-883-11-09</v>
          </cell>
          <cell r="C7618" t="str">
            <v>MAXDRIVE  VERRIEGELUNGSSCHR.2,3X11MM</v>
          </cell>
          <cell r="D7618" t="str">
            <v>MAXDRIVE  LOCKING  SCREWS 2.3X11MM</v>
          </cell>
        </row>
        <row r="7619">
          <cell r="B7619" t="str">
            <v>25-883-11-61</v>
          </cell>
          <cell r="C7619" t="str">
            <v>MAXDRIVE  VERRIEGELUNGSSCHR. 2,3X11MM</v>
          </cell>
          <cell r="D7619" t="str">
            <v>MAXDRIVE  LOCKING  SCREW 2.3X11MM</v>
          </cell>
        </row>
        <row r="7620">
          <cell r="B7620" t="str">
            <v>25-883-11-71</v>
          </cell>
          <cell r="C7620" t="str">
            <v>MAXDRIVE  VER.-SCHRAUBE 2,3X11MM  STERIL</v>
          </cell>
          <cell r="D7620" t="str">
            <v>MAXDRIVE  LOCKING  SCREW 2.3X11MM  STERILE</v>
          </cell>
        </row>
        <row r="7621">
          <cell r="B7621" t="str">
            <v>25-883-11-75</v>
          </cell>
          <cell r="C7621" t="str">
            <v>MAXDRIVE  VER.-SCHRAUBE 2,3X11MM  STERIL</v>
          </cell>
          <cell r="D7621" t="str">
            <v>MAXDRIVE  LOCKING  SCREWS 2.3X11MM  STERILE</v>
          </cell>
        </row>
        <row r="7622">
          <cell r="B7622" t="str">
            <v>25-883-11-91</v>
          </cell>
          <cell r="C7622" t="str">
            <v>maxDrive  Verriegelungsschr. 2,3 X 11 MM</v>
          </cell>
          <cell r="D7622" t="str">
            <v>maxDrive  Locking Screw 2.3 X 11 MM</v>
          </cell>
        </row>
        <row r="7623">
          <cell r="B7623" t="str">
            <v>25-883-13-09</v>
          </cell>
          <cell r="C7623" t="str">
            <v>MAXDRIVE  VERRIEGELUNGSSCHR.2,3X13MM</v>
          </cell>
          <cell r="D7623" t="str">
            <v>MAXDRIVE  LOCKING  SCREWS 2.3X13MM</v>
          </cell>
        </row>
        <row r="7624">
          <cell r="B7624" t="str">
            <v>25-883-13-61</v>
          </cell>
          <cell r="C7624" t="str">
            <v>MAXDRIVE  VERRIEGELUNGSSCHR. 2,3X13MM</v>
          </cell>
          <cell r="D7624" t="str">
            <v>MAXDRIVE  LOCKING  SCREW 2.3X13MM</v>
          </cell>
        </row>
        <row r="7625">
          <cell r="B7625" t="str">
            <v>25-883-13-71</v>
          </cell>
          <cell r="C7625" t="str">
            <v>MAXDRIVE  VER.-SCHRAUBE 2,3X13MM  STERIL</v>
          </cell>
          <cell r="D7625" t="str">
            <v>MAXDRIVE  LOCKING  SCREW 2.3X13MM  STERILE</v>
          </cell>
        </row>
        <row r="7626">
          <cell r="B7626" t="str">
            <v>25-883-13-75</v>
          </cell>
          <cell r="C7626" t="str">
            <v>MAXDRIVE  VER.-SCHRAUBE 2,3X13MM  STERIL</v>
          </cell>
          <cell r="D7626" t="str">
            <v>MAXDRIVE  LOCKING  SCREWS 2.3X13MM  STERILE</v>
          </cell>
        </row>
        <row r="7627">
          <cell r="B7627" t="str">
            <v>25-883-13-91</v>
          </cell>
          <cell r="C7627" t="str">
            <v>maxDrive  Verriegelungsschr. 2,3 X 13 MM</v>
          </cell>
          <cell r="D7627" t="str">
            <v>maxDrive  Locking Screw 2.3 X 13 MM</v>
          </cell>
        </row>
        <row r="7628">
          <cell r="B7628" t="str">
            <v>25-883-15-09</v>
          </cell>
          <cell r="C7628" t="str">
            <v>MAXDRIVE  VERRIEGELUNGSSCHR.2,3X15MM</v>
          </cell>
          <cell r="D7628" t="str">
            <v>MAXDRIVE  LOCKING  SCREWS 2.3X15MM</v>
          </cell>
        </row>
        <row r="7629">
          <cell r="B7629" t="str">
            <v>25-883-15-61</v>
          </cell>
          <cell r="C7629" t="str">
            <v>MAXDRIVE  VERRIEGELUNGSSCHR. 2,3X15MM</v>
          </cell>
          <cell r="D7629" t="str">
            <v>MAXDRIVE  LOCKING  SCREW 2.3X15MM</v>
          </cell>
        </row>
        <row r="7630">
          <cell r="B7630" t="str">
            <v>25-883-15-71</v>
          </cell>
          <cell r="C7630" t="str">
            <v>MAXDRIVE  VER.-SCHRAUBE 2,3X15MM  STERIL</v>
          </cell>
          <cell r="D7630" t="str">
            <v>MAXDRIVE  LOCKING  SCREW 2.3X15MM  STERILE</v>
          </cell>
        </row>
        <row r="7631">
          <cell r="B7631" t="str">
            <v>25-883-15-75</v>
          </cell>
          <cell r="C7631" t="str">
            <v>MAXDRIVE  VER.-SCHRAUBE 2,3X15MM  STERIL</v>
          </cell>
          <cell r="D7631" t="str">
            <v>MAXDRIVE  LOCKING  SCREWS 2.3X15MM  STERILE</v>
          </cell>
        </row>
        <row r="7632">
          <cell r="B7632" t="str">
            <v>25-883-15-91</v>
          </cell>
          <cell r="C7632" t="str">
            <v>maxDrive  Verriegelungsschr. 2,3 X 15 MM</v>
          </cell>
          <cell r="D7632" t="str">
            <v>maxDrive  Locking Screw 2.3 X 15 MM</v>
          </cell>
        </row>
        <row r="7633">
          <cell r="B7633" t="str">
            <v>25-883-17-09</v>
          </cell>
          <cell r="C7633" t="str">
            <v>MAXDRIVE  VERRIEGELUNGSSCHR.2,3X17MM</v>
          </cell>
          <cell r="D7633" t="str">
            <v>MAXDRIVE  LOCKING  SCREWS 2.3X17MM</v>
          </cell>
        </row>
        <row r="7634">
          <cell r="B7634" t="str">
            <v>25-883-17-61</v>
          </cell>
          <cell r="C7634" t="str">
            <v>MAXDRIVE  VERRIEGELUNGSSCHR. 2,3X17MM</v>
          </cell>
          <cell r="D7634" t="str">
            <v>MAXDRIVE  LOCKING  SCREW 2.3X17MM</v>
          </cell>
        </row>
        <row r="7635">
          <cell r="B7635" t="str">
            <v>25-883-17-71</v>
          </cell>
          <cell r="C7635" t="str">
            <v>MAXDRIVE  VER.-SCHRAUBE 2,3X17MM  STERIL</v>
          </cell>
          <cell r="D7635" t="str">
            <v>MAXDRIVE  LOCKING  SCREW 2.3X17MM  STERILE</v>
          </cell>
        </row>
        <row r="7636">
          <cell r="B7636" t="str">
            <v>25-883-17-75</v>
          </cell>
          <cell r="C7636" t="str">
            <v>MAXDRIVE  VER.-SCHRAUBE 2,3X17MM  STERIL</v>
          </cell>
          <cell r="D7636" t="str">
            <v>MAXDRIVE  LOCKING  SCREWS 2.3X17MM  STERILE</v>
          </cell>
        </row>
        <row r="7637">
          <cell r="B7637" t="str">
            <v>25-883-17-91</v>
          </cell>
          <cell r="C7637" t="str">
            <v>MAXDRIVE  VERRIEGELUNGSSCHR.2,3X17MM</v>
          </cell>
          <cell r="D7637" t="str">
            <v>MAXDRIVE  LOCKING  SCREWS 2.3X17MM</v>
          </cell>
        </row>
        <row r="7638">
          <cell r="B7638" t="str">
            <v>25-883-19-09</v>
          </cell>
          <cell r="C7638" t="str">
            <v>MAXDRIVE  VERRIEGELUNGSSCHR.2,3X19MM</v>
          </cell>
          <cell r="D7638" t="str">
            <v>MAXDRIVE  LOCKING  SCREWS 2.3X19MM</v>
          </cell>
        </row>
        <row r="7639">
          <cell r="B7639" t="str">
            <v>25-883-19-61</v>
          </cell>
          <cell r="C7639" t="str">
            <v>MAXDRIVE  VERRIEGELUNGSSCHR. 2,3X19MM</v>
          </cell>
          <cell r="D7639" t="str">
            <v>MAXDRIVE  LOCKING  SCREW 2.3X19MM</v>
          </cell>
        </row>
        <row r="7640">
          <cell r="B7640" t="str">
            <v>25-883-19-71</v>
          </cell>
          <cell r="C7640" t="str">
            <v>MAXDRIVE  VER.-SCHRAUBE 2,3X19MM  STERIL</v>
          </cell>
          <cell r="D7640" t="str">
            <v>MAXDRIVE  LOCKING  SCREW 2.3X19MM  STERILE</v>
          </cell>
        </row>
        <row r="7641">
          <cell r="B7641" t="str">
            <v>25-883-19-75</v>
          </cell>
          <cell r="C7641" t="str">
            <v>MAXDRIVE  VER.-SCHRAUBE 2,3X19MM  STERIL</v>
          </cell>
          <cell r="D7641" t="str">
            <v>MAXDRIVE  LOCKING  SCREWS 2.3X19MM  STERILE</v>
          </cell>
        </row>
        <row r="7642">
          <cell r="B7642" t="str">
            <v>25-883-19-91</v>
          </cell>
          <cell r="C7642" t="str">
            <v>MAXDRIVE  VERRIEGELUNGSSCHR.2,3X19MM</v>
          </cell>
          <cell r="D7642" t="str">
            <v>MAXDRIVE  LOCKING  SCREWS 2.3X19MM</v>
          </cell>
        </row>
        <row r="7643">
          <cell r="B7643" t="str">
            <v>25-883-90-09</v>
          </cell>
          <cell r="C7643" t="str">
            <v>Verschlussschraube maxDrive  2,0/2,3</v>
          </cell>
          <cell r="D7643" t="str">
            <v>Spacer maxDrive  2,0/2,3 Threadlock  TS</v>
          </cell>
        </row>
        <row r="7644">
          <cell r="B7644" t="str">
            <v>25-883-90-75</v>
          </cell>
          <cell r="C7644" t="str">
            <v>Verschlussschraube maxDrive  2,0/2,3</v>
          </cell>
          <cell r="D7644" t="str">
            <v>Spacer maxDrive  2,0/2,3 Threadlock  TS</v>
          </cell>
        </row>
        <row r="7645">
          <cell r="B7645" t="str">
            <v>25-886-06-61</v>
          </cell>
          <cell r="C7645" t="str">
            <v>MAXDRIVE  SCHRAUBE  2,7X6MM</v>
          </cell>
          <cell r="D7645" t="str">
            <v>MAXDRIVE  SCREW 2.7X6MM</v>
          </cell>
        </row>
        <row r="7646">
          <cell r="B7646" t="str">
            <v>25-886-08-09</v>
          </cell>
          <cell r="C7646" t="str">
            <v>MAXDRIVE  SCHRAUBE  2,7X8 MM</v>
          </cell>
          <cell r="D7646" t="str">
            <v>MAXDRIVE  SCREW 2.7X8 MM</v>
          </cell>
        </row>
        <row r="7647">
          <cell r="B7647" t="str">
            <v>25-886-08-61</v>
          </cell>
          <cell r="C7647" t="str">
            <v>MAXDRIVE  SCHRAUBE  2,7X8MM</v>
          </cell>
          <cell r="D7647" t="str">
            <v>MAXDRIVE  SCREW 2.7X8MM</v>
          </cell>
        </row>
        <row r="7648">
          <cell r="B7648" t="str">
            <v>25-886-08-71</v>
          </cell>
          <cell r="C7648" t="str">
            <v>MAXDRIVE  SCHRAUBE  2,7X8 MM, STERIL</v>
          </cell>
          <cell r="D7648" t="str">
            <v>MAXDRIVE  SCREW 2.7X8  MM, STERILE</v>
          </cell>
        </row>
        <row r="7649">
          <cell r="B7649" t="str">
            <v>25-886-08-75</v>
          </cell>
          <cell r="C7649" t="str">
            <v>MAXDRIVE  SCHRAUBE  2,7X8 MM, STERIL</v>
          </cell>
          <cell r="D7649" t="str">
            <v>MAXDRIVE  SCREW 2.7X8  MM, STERILE</v>
          </cell>
        </row>
        <row r="7650">
          <cell r="B7650" t="str">
            <v>25-886-08-91</v>
          </cell>
          <cell r="C7650" t="str">
            <v>maxDrive  Schraube  2,7 X 8 MM</v>
          </cell>
          <cell r="D7650" t="str">
            <v>maxDrive  Screw 2.7 X 8 MM</v>
          </cell>
        </row>
        <row r="7651">
          <cell r="B7651" t="str">
            <v>25-886-09-09</v>
          </cell>
          <cell r="C7651" t="str">
            <v>MAXDRIVE  SCHRAUBE  2,7X9 MM</v>
          </cell>
          <cell r="D7651" t="str">
            <v>MAXDRIVE  SCREW 2.7X9 MM</v>
          </cell>
        </row>
        <row r="7652">
          <cell r="B7652" t="str">
            <v>25-886-09-61</v>
          </cell>
          <cell r="C7652" t="str">
            <v>MAXDRIVE  SCHRAUBE  2,7X9MM</v>
          </cell>
          <cell r="D7652" t="str">
            <v>MAXDRIVE  SCREW 2.7X9MM</v>
          </cell>
        </row>
        <row r="7653">
          <cell r="B7653" t="str">
            <v>25-886-09-71</v>
          </cell>
          <cell r="C7653" t="str">
            <v>MAXDRIVE  SCHRAUBE  2,7X9 MM STERIL</v>
          </cell>
          <cell r="D7653" t="str">
            <v>MAXDRIVE  SCREW 2.7X9 MM STERILE</v>
          </cell>
        </row>
        <row r="7654">
          <cell r="B7654" t="str">
            <v>25-886-09-75</v>
          </cell>
          <cell r="C7654" t="str">
            <v>MAXDRIVE  SCHRAUBE  2,7X9 MM STERIL</v>
          </cell>
          <cell r="D7654" t="str">
            <v>MAXDRIVE  SCREW 2.7X9 MM STERILE</v>
          </cell>
        </row>
        <row r="7655">
          <cell r="B7655" t="str">
            <v>25-886-10-09</v>
          </cell>
          <cell r="C7655" t="str">
            <v>MAXDRIVE  SCHRAUBE  2,7X10 MM</v>
          </cell>
          <cell r="D7655" t="str">
            <v>MAXDRIVE  SCREW 2.7X10 MM</v>
          </cell>
        </row>
        <row r="7656">
          <cell r="B7656" t="str">
            <v>25-886-10-61</v>
          </cell>
          <cell r="C7656" t="str">
            <v>MAXDRIVE  SCHRAUBE  2,7X10MM</v>
          </cell>
          <cell r="D7656" t="str">
            <v>MAXDRIVE  SCREW 2.7X10MM</v>
          </cell>
        </row>
        <row r="7657">
          <cell r="B7657" t="str">
            <v>25-886-10-71</v>
          </cell>
          <cell r="C7657" t="str">
            <v>MAXDRIVE  SCHRAUBE  2,7X10 MM, STERIL</v>
          </cell>
          <cell r="D7657" t="str">
            <v>MAXDRIVE  SCREW 2.7X10  MM, STERILE</v>
          </cell>
        </row>
        <row r="7658">
          <cell r="B7658" t="str">
            <v>25-886-10-75</v>
          </cell>
          <cell r="C7658" t="str">
            <v>MAXDRIVE  SCHRAUBE  2,7X10 MM, STERIL</v>
          </cell>
          <cell r="D7658" t="str">
            <v>MAXDRIVE  SCREW 2.7X10 MM, STERILE</v>
          </cell>
        </row>
        <row r="7659">
          <cell r="B7659" t="str">
            <v>25-886-10-91</v>
          </cell>
          <cell r="C7659" t="str">
            <v>maxDrive  Schraube  2,7 X 10 MM</v>
          </cell>
          <cell r="D7659" t="str">
            <v>maxDrive  Screw 2.7 X 10 MM</v>
          </cell>
        </row>
        <row r="7660">
          <cell r="B7660" t="str">
            <v>25-886-11-09</v>
          </cell>
          <cell r="C7660" t="str">
            <v>MAXDRIVE  SCHRAUBE  2,7X11 MM</v>
          </cell>
          <cell r="D7660" t="str">
            <v>MAXDRIVE  SCREW 2.7X11 MM</v>
          </cell>
        </row>
        <row r="7661">
          <cell r="B7661" t="str">
            <v>25-886-11-61</v>
          </cell>
          <cell r="C7661" t="str">
            <v>MAXDRIVE  SCHRAUBE  2,7X11MM</v>
          </cell>
          <cell r="D7661" t="str">
            <v>MAXDRIVE  SCREW 2.7X11MM</v>
          </cell>
        </row>
        <row r="7662">
          <cell r="B7662" t="str">
            <v>25-886-11-71</v>
          </cell>
          <cell r="C7662" t="str">
            <v>MAXDRIVE  SCHRAUBE  2,7X11 MM STERIL</v>
          </cell>
          <cell r="D7662" t="str">
            <v>MAXDRIVE  SCREW 2.7X11 MM STERILE</v>
          </cell>
        </row>
        <row r="7663">
          <cell r="B7663" t="str">
            <v>25-886-11-75</v>
          </cell>
          <cell r="C7663" t="str">
            <v>MAXDRIVE  SCHRAUBE  2,7X11 MM STERIL</v>
          </cell>
          <cell r="D7663" t="str">
            <v>MAXDRIVE  SCREW 2.7X11 MM STERILE</v>
          </cell>
        </row>
        <row r="7664">
          <cell r="B7664" t="str">
            <v>25-886-12-09</v>
          </cell>
          <cell r="C7664" t="str">
            <v>MAXDRIVE  SCHRAUBE  2,7X12 MM</v>
          </cell>
          <cell r="D7664" t="str">
            <v>MAXDRIVE  SCREW 2.7X12 MM</v>
          </cell>
        </row>
        <row r="7665">
          <cell r="B7665" t="str">
            <v>25-886-12-61</v>
          </cell>
          <cell r="C7665" t="str">
            <v>MAXDRIVE  SCHRAUBE  2,7X12MM</v>
          </cell>
          <cell r="D7665" t="str">
            <v>MAXDRIVE  SCREW 2.7X12MM</v>
          </cell>
        </row>
        <row r="7666">
          <cell r="B7666" t="str">
            <v>25-886-12-71</v>
          </cell>
          <cell r="C7666" t="str">
            <v>MAXDRIVE  SCHRAUBE  2,7X12 MM, STERIL</v>
          </cell>
          <cell r="D7666" t="str">
            <v>MAXDRIVE  SCREW 2.7X12  MM, STERILE</v>
          </cell>
        </row>
        <row r="7667">
          <cell r="B7667" t="str">
            <v>25-886-12-75</v>
          </cell>
          <cell r="C7667" t="str">
            <v>MAXDRIVE  SCHRAUBE  2,7X12 MM, STERIL</v>
          </cell>
          <cell r="D7667" t="str">
            <v>MAXDRIVE  SCREW 2.7X12 MM, STERILE</v>
          </cell>
        </row>
        <row r="7668">
          <cell r="B7668" t="str">
            <v>25-886-12-91</v>
          </cell>
          <cell r="C7668" t="str">
            <v>maxDrive  Schraube  2,7 X 12 MM</v>
          </cell>
          <cell r="D7668" t="str">
            <v>maxDrive  Screw 2.7 X 12 MM</v>
          </cell>
        </row>
        <row r="7669">
          <cell r="B7669" t="str">
            <v>25-886-13-09</v>
          </cell>
          <cell r="C7669" t="str">
            <v>MAXDRIVE  SCHRAUBE  2,7X13 MM</v>
          </cell>
          <cell r="D7669" t="str">
            <v>MAXDRIVE  SCREW 2.7X13 MM</v>
          </cell>
        </row>
        <row r="7670">
          <cell r="B7670" t="str">
            <v>25-886-13-61</v>
          </cell>
          <cell r="C7670" t="str">
            <v>MAXDRIVE  SCHRAUBE  2,7X13MM</v>
          </cell>
          <cell r="D7670" t="str">
            <v>MAXDRIVE  SCREW 2.7X13MM</v>
          </cell>
        </row>
        <row r="7671">
          <cell r="B7671" t="str">
            <v>25-886-13-71</v>
          </cell>
          <cell r="C7671" t="str">
            <v>MAXDRIVE  SCHRAUBE  2,7X13 MM STERIL</v>
          </cell>
          <cell r="D7671" t="str">
            <v>MAXDRIVE  SCREW 2.7X13 MM STERILE</v>
          </cell>
        </row>
        <row r="7672">
          <cell r="B7672" t="str">
            <v>25-886-13-75</v>
          </cell>
          <cell r="C7672" t="str">
            <v>MAXDRIVE  SCHRAUBE  2,7X13 MM STERIL</v>
          </cell>
          <cell r="D7672" t="str">
            <v>MAXDRIVE  SCREW 2.7X13 MM STERILE</v>
          </cell>
        </row>
        <row r="7673">
          <cell r="B7673" t="str">
            <v>25-886-14-09</v>
          </cell>
          <cell r="C7673" t="str">
            <v>MAXDRIVE  SCHRAUBE  2,7X14 MM</v>
          </cell>
          <cell r="D7673" t="str">
            <v>MAXDRIVE  SCREW 2.7X14 MM</v>
          </cell>
        </row>
        <row r="7674">
          <cell r="B7674" t="str">
            <v>25-886-14-61</v>
          </cell>
          <cell r="C7674" t="str">
            <v>MAXDRIVE  SCHRAUBE  2,7X14MM</v>
          </cell>
          <cell r="D7674" t="str">
            <v>MAXDRIVE  SCREW 2.7X14MM</v>
          </cell>
        </row>
        <row r="7675">
          <cell r="B7675" t="str">
            <v>25-886-14-71</v>
          </cell>
          <cell r="C7675" t="str">
            <v>MAXDRIVE  SCHRAUBE  2,7X14 MM, STERIL</v>
          </cell>
          <cell r="D7675" t="str">
            <v>MAXDRIVE  SCREW 2.7X14  MM, STERILE</v>
          </cell>
        </row>
        <row r="7676">
          <cell r="B7676" t="str">
            <v>25-886-14-75</v>
          </cell>
          <cell r="C7676" t="str">
            <v>MAXDRIVE  SCHRAUBE  2,7X14 MM, STERIL</v>
          </cell>
          <cell r="D7676" t="str">
            <v>MAXDRIVE  SCREW 2.7X14 MM, STERILE</v>
          </cell>
        </row>
        <row r="7677">
          <cell r="B7677" t="str">
            <v>25-886-14-91</v>
          </cell>
          <cell r="C7677" t="str">
            <v>maxDrive  Schraube  2,7 X 14 MM</v>
          </cell>
          <cell r="D7677" t="str">
            <v>maxDrive  Screw 2.7 X 14 MM</v>
          </cell>
        </row>
        <row r="7678">
          <cell r="B7678" t="str">
            <v>25-886-15-09</v>
          </cell>
          <cell r="C7678" t="str">
            <v>MAXDRIVE  SCHRAUBE  2,7X15 MM</v>
          </cell>
          <cell r="D7678" t="str">
            <v>MAXDRIVE  SCREW 2.7X15 MM</v>
          </cell>
        </row>
        <row r="7679">
          <cell r="B7679" t="str">
            <v>25-886-15-61</v>
          </cell>
          <cell r="C7679" t="str">
            <v>MAXDRIVE  SCHRAUBE  2,7X15MM</v>
          </cell>
          <cell r="D7679" t="str">
            <v>MAXDRIVE  SCREW 2.7X15MM</v>
          </cell>
        </row>
        <row r="7680">
          <cell r="B7680" t="str">
            <v>25-886-15-71</v>
          </cell>
          <cell r="C7680" t="str">
            <v>MAXDRIVE  SCHRAUBE  2,7X15 MM STERIL</v>
          </cell>
          <cell r="D7680" t="str">
            <v>MAXDRIVE  SCREW 2.7X15 MM STERILE</v>
          </cell>
        </row>
        <row r="7681">
          <cell r="B7681" t="str">
            <v>25-886-15-75</v>
          </cell>
          <cell r="C7681" t="str">
            <v>MAXDRIVE  SCHRAUBE  2,7X15 MM STERIL</v>
          </cell>
          <cell r="D7681" t="str">
            <v>MAXDRIVE  SCREW 2.7X15 MM STERILE</v>
          </cell>
        </row>
        <row r="7682">
          <cell r="B7682" t="str">
            <v>25-886-15-91</v>
          </cell>
          <cell r="C7682" t="str">
            <v>MAXDRIVE  SCHRAUBE  2,7X15 MM</v>
          </cell>
          <cell r="D7682" t="str">
            <v>MAXDRIVE  SCREW 2.7X15 MM</v>
          </cell>
        </row>
        <row r="7683">
          <cell r="B7683" t="str">
            <v>25-886-16-09</v>
          </cell>
          <cell r="C7683" t="str">
            <v>MAXDRIVE  SCHRAUBE  2,7X16 MM</v>
          </cell>
          <cell r="D7683" t="str">
            <v>MAXDRIVE  SCREW 2.7X16 MM</v>
          </cell>
        </row>
        <row r="7684">
          <cell r="B7684" t="str">
            <v>25-886-16-61</v>
          </cell>
          <cell r="C7684" t="str">
            <v>MAXDRIVE  SCHRAUBE  2,7X16MM</v>
          </cell>
          <cell r="D7684" t="str">
            <v>MAXDRIVE  SCREW 2.7X16MM</v>
          </cell>
        </row>
        <row r="7685">
          <cell r="B7685" t="str">
            <v>25-886-16-71</v>
          </cell>
          <cell r="C7685" t="str">
            <v>MAXDRIVE  SCHRAUBE  2,7X16 MM, STERIL</v>
          </cell>
          <cell r="D7685" t="str">
            <v>MAXDRIVE  SCREW 2.7X16  MM, STERILE</v>
          </cell>
        </row>
        <row r="7686">
          <cell r="B7686" t="str">
            <v>25-886-16-75</v>
          </cell>
          <cell r="C7686" t="str">
            <v>MAXDRIVE  SCHRAUBE  2,7X16 MM, STERIL</v>
          </cell>
          <cell r="D7686" t="str">
            <v>MAXDRIVE  SCREW 2.7X16 MM, STERILE</v>
          </cell>
        </row>
        <row r="7687">
          <cell r="B7687" t="str">
            <v>25-886-16-91</v>
          </cell>
          <cell r="C7687" t="str">
            <v>maxDrive  Schraube  2,7 X 16 MM</v>
          </cell>
          <cell r="D7687" t="str">
            <v>maxDrive  Screw 2.7 X 16 MM</v>
          </cell>
        </row>
        <row r="7688">
          <cell r="B7688" t="str">
            <v>25-886-17-09</v>
          </cell>
          <cell r="C7688" t="str">
            <v>MAXDRIVE  SCHRAUBE  2,7X17 MM</v>
          </cell>
          <cell r="D7688" t="str">
            <v>MAXDRIVE  SCREW 2.7X17 MM</v>
          </cell>
        </row>
        <row r="7689">
          <cell r="B7689" t="str">
            <v>25-886-17-61</v>
          </cell>
          <cell r="C7689" t="str">
            <v>MAXDRIVE  SCHRAUBE  2,7X17MM</v>
          </cell>
          <cell r="D7689" t="str">
            <v>MAXDRIVE  SCREW 2.7X17MM</v>
          </cell>
        </row>
        <row r="7690">
          <cell r="B7690" t="str">
            <v>25-886-17-71</v>
          </cell>
          <cell r="C7690" t="str">
            <v>MAXDRIVE  SCHRAUBE  2,7X17 MM STERIL</v>
          </cell>
          <cell r="D7690" t="str">
            <v>MAXDRIVE  SCREW 2.7X17 MM STERILE</v>
          </cell>
        </row>
        <row r="7691">
          <cell r="B7691" t="str">
            <v>25-886-17-75</v>
          </cell>
          <cell r="C7691" t="str">
            <v>MAXDRIVE  SCHRAUBE  2,7X17 MM STERIL</v>
          </cell>
          <cell r="D7691" t="str">
            <v>MAXDRIVE  SCREW 2.7X17 MM STERILE</v>
          </cell>
        </row>
        <row r="7692">
          <cell r="B7692" t="str">
            <v>25-886-18-09</v>
          </cell>
          <cell r="C7692" t="str">
            <v>MAXDRIVE  SCHRAUBE  2,7X18 MM</v>
          </cell>
          <cell r="D7692" t="str">
            <v>MAXDRIVE  SCREW 2.7X18 MM</v>
          </cell>
        </row>
        <row r="7693">
          <cell r="B7693" t="str">
            <v>25-886-18-61</v>
          </cell>
          <cell r="C7693" t="str">
            <v>MAXDRIVE  SCHRAUBE  2,7X18MM</v>
          </cell>
          <cell r="D7693" t="str">
            <v>MAXDRIVE  SCREW 2.7X18MM</v>
          </cell>
        </row>
        <row r="7694">
          <cell r="B7694" t="str">
            <v>25-886-18-71</v>
          </cell>
          <cell r="C7694" t="str">
            <v>MAXDRIVE  SCHRAUBE  2,7X18 MM, STERIL</v>
          </cell>
          <cell r="D7694" t="str">
            <v>MAXDRIVE  SCREW 2.7X18  MM, STERILE</v>
          </cell>
        </row>
        <row r="7695">
          <cell r="B7695" t="str">
            <v>25-886-18-75</v>
          </cell>
          <cell r="C7695" t="str">
            <v>MAXDRIVE  SCHRAUBE  2,7X18 MM, STERIL</v>
          </cell>
          <cell r="D7695" t="str">
            <v>MAXDRIVE  SCREW 2.7X18 MM, STERILE</v>
          </cell>
        </row>
        <row r="7696">
          <cell r="B7696" t="str">
            <v>25-886-18-91</v>
          </cell>
          <cell r="C7696" t="str">
            <v>maxDrive  Schraube  2,7 X 18 MM</v>
          </cell>
          <cell r="D7696" t="str">
            <v>maxDrive  Screw 2.7 X 18 MM</v>
          </cell>
        </row>
        <row r="7697">
          <cell r="B7697" t="str">
            <v>25-886-19-09</v>
          </cell>
          <cell r="C7697" t="str">
            <v>MAXDRIVE  SCHRAUBE  2,7X19 MM</v>
          </cell>
          <cell r="D7697" t="str">
            <v>MAXDRIVE  SCREW 2.7X19 MM</v>
          </cell>
        </row>
        <row r="7698">
          <cell r="B7698" t="str">
            <v>25-886-19-61</v>
          </cell>
          <cell r="C7698" t="str">
            <v>MAXDRIVE  SCHRAUBE  2,7X19MM</v>
          </cell>
          <cell r="D7698" t="str">
            <v>MAXDRIVE  SCREW 2.7X19MM</v>
          </cell>
        </row>
        <row r="7699">
          <cell r="B7699" t="str">
            <v>25-886-19-71</v>
          </cell>
          <cell r="C7699" t="str">
            <v>MAXDRIVE  SCHRAUBE  2,7X19 MM STERIL</v>
          </cell>
          <cell r="D7699" t="str">
            <v>MAXDRIVE  SCREW 2.7X19 MM STERILE</v>
          </cell>
        </row>
        <row r="7700">
          <cell r="B7700" t="str">
            <v>25-886-19-75</v>
          </cell>
          <cell r="C7700" t="str">
            <v>MAXDRIVE  SCHRAUBE  2,7X19 MM STERIL</v>
          </cell>
          <cell r="D7700" t="str">
            <v>MAXDRIVE  SCREW 2.7X19 MM STERILE</v>
          </cell>
        </row>
        <row r="7701">
          <cell r="B7701" t="str">
            <v>25-886-20-09</v>
          </cell>
          <cell r="C7701" t="str">
            <v>MAXDRIVE  SCHRAUBE  2,7X20 MM</v>
          </cell>
          <cell r="D7701" t="str">
            <v>MAXDRIVE  SCREW 2.7X20 MM</v>
          </cell>
        </row>
        <row r="7702">
          <cell r="B7702" t="str">
            <v>25-886-20-61</v>
          </cell>
          <cell r="C7702" t="str">
            <v>MAXDRIVE  SCHRAUBE  2,7X20MM</v>
          </cell>
          <cell r="D7702" t="str">
            <v>MAXDRIVE  SCREW 2.7X20MM</v>
          </cell>
        </row>
        <row r="7703">
          <cell r="B7703" t="str">
            <v>25-886-20-71</v>
          </cell>
          <cell r="C7703" t="str">
            <v>MAXDRIVE  SCHRAUBE  2,7X20 MM, STERIL</v>
          </cell>
          <cell r="D7703" t="str">
            <v>MAXDRIVE  SCREW 2.7X20  MM, STERILE</v>
          </cell>
        </row>
        <row r="7704">
          <cell r="B7704" t="str">
            <v>25-886-20-75</v>
          </cell>
          <cell r="C7704" t="str">
            <v>MAXDRIVE  SCHRAUBE  2,7X20 MM, STERIL</v>
          </cell>
          <cell r="D7704" t="str">
            <v>MAXDRIVE  SCREW 2.7X20 MM, STERILE</v>
          </cell>
        </row>
        <row r="7705">
          <cell r="B7705" t="str">
            <v>25-887-05-09</v>
          </cell>
          <cell r="C7705" t="str">
            <v>MAXDRIVE  VERRIEGELUNGSSCHR.2,7X5MM</v>
          </cell>
          <cell r="D7705" t="str">
            <v>MAXDRIVE  LOCKING  SCREWS 2.7X5MM</v>
          </cell>
        </row>
        <row r="7706">
          <cell r="B7706" t="str">
            <v>25-887-05-61</v>
          </cell>
          <cell r="C7706" t="str">
            <v>MAXDRIVE  VERRIEGELUNGSSCHR. 2,7X5MM</v>
          </cell>
          <cell r="D7706" t="str">
            <v>MAXDRIVE  LOCKING  SCREW 2.7X5MM</v>
          </cell>
        </row>
        <row r="7707">
          <cell r="B7707" t="str">
            <v>25-887-07-09</v>
          </cell>
          <cell r="C7707" t="str">
            <v>MAXDRIVE  VERRIEGELUNGSSCHR.2,7X7MM</v>
          </cell>
          <cell r="D7707" t="str">
            <v>MAXDRIVE  LOCKING  SCREWS 2.7X7MM</v>
          </cell>
        </row>
        <row r="7708">
          <cell r="B7708" t="str">
            <v>25-887-07-61</v>
          </cell>
          <cell r="C7708" t="str">
            <v>MAXDRIVE  VERRIEGELUNGSSCHR. 2,7X7MM</v>
          </cell>
          <cell r="D7708" t="str">
            <v>MAXDRIVE  LOCKING  SCREW 2.7X7MM</v>
          </cell>
        </row>
        <row r="7709">
          <cell r="B7709" t="str">
            <v>25-887-07-71</v>
          </cell>
          <cell r="C7709" t="str">
            <v>MAXDRIVE  VERRIEGELUNGSSCHR.2,7X7MM STER.</v>
          </cell>
          <cell r="D7709" t="str">
            <v>MAXDRIVE  LOCKING  SCREW 2.7X7MM  STERILE</v>
          </cell>
        </row>
        <row r="7710">
          <cell r="B7710" t="str">
            <v>25-887-07-75</v>
          </cell>
          <cell r="C7710" t="str">
            <v>MAXDRIVE  VERRIEGELUNGSSCHR.2,7X7MM STER.</v>
          </cell>
          <cell r="D7710" t="str">
            <v>MAXDRIVE  SCREWS 2.7X7MM  STERILE</v>
          </cell>
        </row>
        <row r="7711">
          <cell r="B7711" t="str">
            <v>25-887-07-91</v>
          </cell>
          <cell r="C7711" t="str">
            <v>maxDrive  Verriegelungsschr. 2,7 X 7 MM</v>
          </cell>
          <cell r="D7711" t="str">
            <v>maxDrive  Locking Screw 2.7 X 7 MM</v>
          </cell>
        </row>
        <row r="7712">
          <cell r="B7712" t="str">
            <v>25-887-09-09</v>
          </cell>
          <cell r="C7712" t="str">
            <v>MAXDRIVE  VERRIEGELUNGSSCHR.2,7X9MM</v>
          </cell>
          <cell r="D7712" t="str">
            <v>MAXDRIVE  LOCKING  SCREWS 2.7X9MM</v>
          </cell>
        </row>
        <row r="7713">
          <cell r="B7713" t="str">
            <v>25-887-09-61</v>
          </cell>
          <cell r="C7713" t="str">
            <v>MAXDRIVE  VERRIEGELUNGSSCHR. 2,7X9MM</v>
          </cell>
          <cell r="D7713" t="str">
            <v>MAXDRIVE  LOCKING  SCREW 2.7X9MM</v>
          </cell>
        </row>
        <row r="7714">
          <cell r="B7714" t="str">
            <v>25-887-09-71</v>
          </cell>
          <cell r="C7714" t="str">
            <v>MAXDRIVE  VERRIEGELUNGSSCHR.2,7X9MM STER.</v>
          </cell>
          <cell r="D7714" t="str">
            <v>MAXDRIVE  LOCKING  SCREW 2.7X9MM  STERILE</v>
          </cell>
        </row>
        <row r="7715">
          <cell r="B7715" t="str">
            <v>25-887-09-75</v>
          </cell>
          <cell r="C7715" t="str">
            <v>MAXDRIVE  VERRIEGELUNGSSCHR.2,7X9MM STER.</v>
          </cell>
          <cell r="D7715" t="str">
            <v>MAXDRIVE  SCREWS 2.7X9MM  STERILE</v>
          </cell>
        </row>
        <row r="7716">
          <cell r="B7716" t="str">
            <v>25-887-09-91</v>
          </cell>
          <cell r="C7716" t="str">
            <v>maxDrive  Verriegelungsschr. 2,7 X 9 MM</v>
          </cell>
          <cell r="D7716" t="str">
            <v>maxDrive  Locking Screw 2.7 X 9 MM</v>
          </cell>
        </row>
        <row r="7717">
          <cell r="B7717" t="str">
            <v>25-887-11-09</v>
          </cell>
          <cell r="C7717" t="str">
            <v>MAXDRIVE  VERRIEGELUNGSSCHR.2,7X11MM</v>
          </cell>
          <cell r="D7717" t="str">
            <v>MAXDRIVE  LOCKING  SCREWS 2.7X11MM</v>
          </cell>
        </row>
        <row r="7718">
          <cell r="B7718" t="str">
            <v>25-887-11-61</v>
          </cell>
          <cell r="C7718" t="str">
            <v>MAXDRIVE  VERRIEGELUNGSSCHR. 2,7X11MM</v>
          </cell>
          <cell r="D7718" t="str">
            <v>MAXDRIVE  LOCKING  SCREW 2.7X11MM</v>
          </cell>
        </row>
        <row r="7719">
          <cell r="B7719" t="str">
            <v>25-887-11-71</v>
          </cell>
          <cell r="C7719" t="str">
            <v>MAXDRIVE  VERRIEGELUNGSSCHR.2,7X11MM STER</v>
          </cell>
          <cell r="D7719" t="str">
            <v>MAXDRIVE  LOCKING  SCREW 2.7X11MM  STERILE</v>
          </cell>
        </row>
        <row r="7720">
          <cell r="B7720" t="str">
            <v>25-887-11-75</v>
          </cell>
          <cell r="C7720" t="str">
            <v>MAXDRIVE  VERRIEGELUNGSSCHR.2,7X11MM STER</v>
          </cell>
          <cell r="D7720" t="str">
            <v>MAXDRIVE  SCREWS 2.7X11MM  STERILE</v>
          </cell>
        </row>
        <row r="7721">
          <cell r="B7721" t="str">
            <v>25-887-11-91</v>
          </cell>
          <cell r="C7721" t="str">
            <v>maxDrive  Verriegelungsschr. 2,7 X 11 MM</v>
          </cell>
          <cell r="D7721" t="str">
            <v>maxDrive  Locking Screw 2.7 X 11 MM</v>
          </cell>
        </row>
        <row r="7722">
          <cell r="B7722" t="str">
            <v>25-887-13-09</v>
          </cell>
          <cell r="C7722" t="str">
            <v>MAXDRIVE  VERRIEGELUNGSSCHR.2,7X13MM</v>
          </cell>
          <cell r="D7722" t="str">
            <v>MAXDRIVE  LOCKING  SCREWS 2.7X13MM</v>
          </cell>
        </row>
        <row r="7723">
          <cell r="B7723" t="str">
            <v>25-887-13-61</v>
          </cell>
          <cell r="C7723" t="str">
            <v>MAXDRIVE  VERRIEGELUNGSSCHR. 2,7X13MM</v>
          </cell>
          <cell r="D7723" t="str">
            <v>MAXDRIVE  LOCKING  SCREW 2.7X13MM</v>
          </cell>
        </row>
        <row r="7724">
          <cell r="B7724" t="str">
            <v>25-887-13-71</v>
          </cell>
          <cell r="C7724" t="str">
            <v>MAXDRIVE  VERRIEGELUNGSSCHR.2,7X13MM STER</v>
          </cell>
          <cell r="D7724" t="str">
            <v>MAXDRIVE  LOCKING  SCREW 2.7X13MM  STERILE</v>
          </cell>
        </row>
        <row r="7725">
          <cell r="B7725" t="str">
            <v>25-887-13-75</v>
          </cell>
          <cell r="C7725" t="str">
            <v>MAXDRIVE  VERRIEGELUNGSSCHR.2,7X13MM STER</v>
          </cell>
          <cell r="D7725" t="str">
            <v>MAXDRIVE  SCREWS 2.7X13MM  STERILE</v>
          </cell>
        </row>
        <row r="7726">
          <cell r="B7726" t="str">
            <v>25-887-13-91</v>
          </cell>
          <cell r="C7726" t="str">
            <v>maxDrive  Verriegelungsschr. 2,7 X 13 MM</v>
          </cell>
          <cell r="D7726" t="str">
            <v>maxDrive  Locking Screw 2.7 X 13 MM</v>
          </cell>
        </row>
        <row r="7727">
          <cell r="B7727" t="str">
            <v>25-887-15-09</v>
          </cell>
          <cell r="C7727" t="str">
            <v>MAXDRIVE  VERRIEGELUNGSSCHR.2,7X15MM</v>
          </cell>
          <cell r="D7727" t="str">
            <v>MAXDRIVE  LOCKING  SCREWS 2.7X15MM</v>
          </cell>
        </row>
        <row r="7728">
          <cell r="B7728" t="str">
            <v>25-887-15-61</v>
          </cell>
          <cell r="C7728" t="str">
            <v>MAXDRIVE  VERRIEGELUNGSSCHR. 2,7X15MM</v>
          </cell>
          <cell r="D7728" t="str">
            <v>MAXDRIVE  LOCKING  SCREW 2.7X15MM</v>
          </cell>
        </row>
        <row r="7729">
          <cell r="B7729" t="str">
            <v>25-887-15-71</v>
          </cell>
          <cell r="C7729" t="str">
            <v>MAXDRIVE  VERRIEGELUNGSSCHR.2,7X15MM STER</v>
          </cell>
          <cell r="D7729" t="str">
            <v>MAXDRIVE  LOCKING  SCREW 2.7X15MM  STERILE</v>
          </cell>
        </row>
        <row r="7730">
          <cell r="B7730" t="str">
            <v>25-887-15-75</v>
          </cell>
          <cell r="C7730" t="str">
            <v>MAXDRIVE  VERRIEGELUNGSSCHR.2,7X15MM STER</v>
          </cell>
          <cell r="D7730" t="str">
            <v>MAXDRIVE  SCREWS 2.7X15MM  STERILE</v>
          </cell>
        </row>
        <row r="7731">
          <cell r="B7731" t="str">
            <v>25-887-15-91</v>
          </cell>
          <cell r="C7731" t="str">
            <v>MaxDrive  Verriegelungsschr. 2,7 X 15 MM</v>
          </cell>
          <cell r="D7731" t="str">
            <v>maxDrive  Locking Screw 2.7 X 15 MM</v>
          </cell>
        </row>
        <row r="7732">
          <cell r="B7732" t="str">
            <v>25-887-17-09</v>
          </cell>
          <cell r="C7732" t="str">
            <v>MAXDRIVE  VERRIEGELUNGSSCHR.2,7X17MM</v>
          </cell>
          <cell r="D7732" t="str">
            <v>MAXDRIVE  LOCKING  SCREWS 2.7X17MM</v>
          </cell>
        </row>
        <row r="7733">
          <cell r="B7733" t="str">
            <v>25-887-17-61</v>
          </cell>
          <cell r="C7733" t="str">
            <v>MAXDRIVE  VERRIEGELUNGSSCHR. 2,7X17MM</v>
          </cell>
          <cell r="D7733" t="str">
            <v>MAXDRIVE  LOCKING  SCREW 2.7X17MM</v>
          </cell>
        </row>
        <row r="7734">
          <cell r="B7734" t="str">
            <v>25-887-17-71</v>
          </cell>
          <cell r="C7734" t="str">
            <v>MAXDRIVE  VERRIEGELUNGSSCHR.2,7X17MM STER</v>
          </cell>
          <cell r="D7734" t="str">
            <v>MAXDRIVE  LOCKING  SCREW 2.7X17MM  STERILE</v>
          </cell>
        </row>
        <row r="7735">
          <cell r="B7735" t="str">
            <v>25-887-17-75</v>
          </cell>
          <cell r="C7735" t="str">
            <v>MAXDRIVE  VERRIEGELUNGSSCHR.2,7X17MM STER</v>
          </cell>
          <cell r="D7735" t="str">
            <v>MAXDRIVE  SCREWS 2.7X17MM  STERILE</v>
          </cell>
        </row>
        <row r="7736">
          <cell r="B7736" t="str">
            <v>25-887-17-91</v>
          </cell>
          <cell r="C7736" t="str">
            <v>maxDrive  Verriegelungsschr. 2,7 X 17 MM</v>
          </cell>
          <cell r="D7736" t="str">
            <v>maxDrive  Locking Screw 2.7 X 17 MM</v>
          </cell>
        </row>
        <row r="7737">
          <cell r="B7737" t="str">
            <v>25-887-19-09</v>
          </cell>
          <cell r="C7737" t="str">
            <v>MAXDRIVE  VERRIEGELUNGSSCHR.2,7X19MM</v>
          </cell>
          <cell r="D7737" t="str">
            <v>MAXDRIVE  LOCKING  SCREWS 2.7X19MM</v>
          </cell>
        </row>
        <row r="7738">
          <cell r="B7738" t="str">
            <v>25-887-19-61</v>
          </cell>
          <cell r="C7738" t="str">
            <v>MAXDRIVE  VERRIEGELUNGSSCHR. 2,7X19MM</v>
          </cell>
          <cell r="D7738" t="str">
            <v>MAXDRIVE  LOCKING  SCREW 2.7X19MM</v>
          </cell>
        </row>
        <row r="7739">
          <cell r="B7739" t="str">
            <v>25-887-19-71</v>
          </cell>
          <cell r="C7739" t="str">
            <v>MAXDRIVE  VERRIEGELUNGSSCHR.2,7X19MM STER</v>
          </cell>
          <cell r="D7739" t="str">
            <v>MAXDRIVE  LOCKING  SCREW 2.7X19MM  STERILE</v>
          </cell>
        </row>
        <row r="7740">
          <cell r="B7740" t="str">
            <v>25-887-19-75</v>
          </cell>
          <cell r="C7740" t="str">
            <v>MAXDRIVE  VERRIEGELUNGSSCHR.2,7X19MM STER</v>
          </cell>
          <cell r="D7740" t="str">
            <v>MAXDRIVE  SCREWS 2.7X19MM  STERILE</v>
          </cell>
        </row>
        <row r="7741">
          <cell r="B7741" t="str">
            <v>25-887-19-91</v>
          </cell>
          <cell r="C7741" t="str">
            <v>maxDrive  Verriegelungsschr. 2,7 X 19 MM</v>
          </cell>
          <cell r="D7741" t="str">
            <v>maxDrive  Locking Screw 2.7 X 19 MM</v>
          </cell>
        </row>
        <row r="7742">
          <cell r="B7742" t="str">
            <v>25-887-90-09</v>
          </cell>
          <cell r="C7742" t="str">
            <v>Verschlussschraube maxDrive  2.7</v>
          </cell>
          <cell r="D7742" t="str">
            <v>Spacer maxDrive  2.7 Threadlock  TS</v>
          </cell>
        </row>
        <row r="7743">
          <cell r="B7743" t="str">
            <v>25-887-90-75</v>
          </cell>
          <cell r="C7743" t="str">
            <v>Verschlussschraube maxDrive  2.7</v>
          </cell>
          <cell r="D7743" t="str">
            <v>Spacer maxDrive  2.7 Threadlock  TS</v>
          </cell>
        </row>
        <row r="7744">
          <cell r="B7744" t="str">
            <v>25-931-15-07</v>
          </cell>
          <cell r="C7744" t="str">
            <v>smartDrive  Schraubendreherklinge 1,5 (M)</v>
          </cell>
          <cell r="D7744" t="str">
            <v>smartDrive  Screwdriver Blade 1.5 (M)</v>
          </cell>
        </row>
        <row r="7745">
          <cell r="B7745" t="str">
            <v>25-931-20-07</v>
          </cell>
          <cell r="C7745" t="str">
            <v>smartDrive  Schraubendreherklinge 2,0 (M)</v>
          </cell>
          <cell r="D7745" t="str">
            <v>smartDrive  Screwdriver Blade 2.0 (M)</v>
          </cell>
        </row>
        <row r="7746">
          <cell r="B7746" t="str">
            <v>25-931-35-07</v>
          </cell>
          <cell r="C7746" t="str">
            <v>Gewebeschutzhülse mit Trichter</v>
          </cell>
          <cell r="D7746" t="str">
            <v>Soft tissue sleeve with funnel</v>
          </cell>
        </row>
        <row r="7747">
          <cell r="B7747" t="str">
            <v>25-932-15-07</v>
          </cell>
          <cell r="C7747" t="str">
            <v>smartDrive  Schraubendreherklinge 1,5 (L)</v>
          </cell>
          <cell r="D7747" t="str">
            <v>smartDrive  Screwdriver Blade 1.5 (L)</v>
          </cell>
        </row>
        <row r="7748">
          <cell r="B7748" t="str">
            <v>25-932-20-07</v>
          </cell>
          <cell r="C7748" t="str">
            <v>smartDrive  Schraubendreherklinge 2,0 (L)</v>
          </cell>
          <cell r="D7748" t="str">
            <v>smartDrive  Screwdriver Blade 2.0 (L)</v>
          </cell>
        </row>
        <row r="7749">
          <cell r="B7749" t="str">
            <v>26-012-05-09</v>
          </cell>
          <cell r="C7749" t="str">
            <v>smartDrive  STANDARD  SCHR. 1,2x5 MM</v>
          </cell>
          <cell r="D7749" t="str">
            <v>smartDrive  STANDARD  SCREW 1.2x5 MM</v>
          </cell>
        </row>
        <row r="7750">
          <cell r="B7750" t="str">
            <v>26-012-05-71</v>
          </cell>
          <cell r="C7750" t="str">
            <v>smartDrive  STANDARD  SCHR. 1,2x5 MM, STE</v>
          </cell>
          <cell r="D7750" t="str">
            <v>smartDrive  STANDARD  SCREW 1.2x5 MM, STE</v>
          </cell>
        </row>
        <row r="7751">
          <cell r="B7751" t="str">
            <v>26-012-06-09</v>
          </cell>
          <cell r="C7751" t="str">
            <v>smartDrive  STANDARD  SCHR. 1,2x6 MM</v>
          </cell>
          <cell r="D7751" t="str">
            <v>smartDrive  STANDARD  SCREW 1.2x6 MM</v>
          </cell>
        </row>
        <row r="7752">
          <cell r="B7752" t="str">
            <v>26-012-06-71</v>
          </cell>
          <cell r="C7752" t="str">
            <v>smartDrive  STANDARD  SCHR. 1,2x6 MM, STE</v>
          </cell>
          <cell r="D7752" t="str">
            <v>smartDrive  STANDARD  SCREW 1.2x6 MM, STE</v>
          </cell>
        </row>
        <row r="7753">
          <cell r="B7753" t="str">
            <v>26-012-07-09</v>
          </cell>
          <cell r="C7753" t="str">
            <v>smartDrive  STANDARD  SCHR. 1,2x7 MM</v>
          </cell>
          <cell r="D7753" t="str">
            <v>smartDrive  STANDARD  SCREW 1.2x7 MM</v>
          </cell>
        </row>
        <row r="7754">
          <cell r="B7754" t="str">
            <v>26-012-07-71</v>
          </cell>
          <cell r="C7754" t="str">
            <v>smartDrive  STANDARD  SCHR. 1,2x7 MM, STE</v>
          </cell>
          <cell r="D7754" t="str">
            <v>smartDrive  STANDARD  SCREW 1.2x7 MM, STE</v>
          </cell>
        </row>
        <row r="7755">
          <cell r="B7755" t="str">
            <v>26-012-08-09</v>
          </cell>
          <cell r="C7755" t="str">
            <v>smartDrive  STANDARD  SCHR. 1,2x8 MM</v>
          </cell>
          <cell r="D7755" t="str">
            <v>smartDrive  STANDARD  SCREW 1.2x8 MM</v>
          </cell>
        </row>
        <row r="7756">
          <cell r="B7756" t="str">
            <v>26-012-08-71</v>
          </cell>
          <cell r="C7756" t="str">
            <v>smartDrive  STANDARD  SCHR. 1,2x8 MM, STE</v>
          </cell>
          <cell r="D7756" t="str">
            <v>smartDrive  STANDARD  SCREW 1.2x8 MM, STE</v>
          </cell>
        </row>
        <row r="7757">
          <cell r="B7757" t="str">
            <v>26-012-09-09</v>
          </cell>
          <cell r="C7757" t="str">
            <v>smartDrive  STANDARD  SCHR. 1,2x9 MM</v>
          </cell>
          <cell r="D7757" t="str">
            <v>smartDrive  STANDARD  SCREW 1.2x9 MM</v>
          </cell>
        </row>
        <row r="7758">
          <cell r="B7758" t="str">
            <v>26-012-09-71</v>
          </cell>
          <cell r="C7758" t="str">
            <v>smartDrive  STANDARD  SCHR. 1,2x9 MM, STE</v>
          </cell>
          <cell r="D7758" t="str">
            <v>smartDrive  STANDARD  SCREW 1.2x9 MM, STE</v>
          </cell>
        </row>
        <row r="7759">
          <cell r="B7759" t="str">
            <v>26-012-10-09</v>
          </cell>
          <cell r="C7759" t="str">
            <v>smartDrive  STANDARD  SCHR. 1,2x10 MM</v>
          </cell>
          <cell r="D7759" t="str">
            <v>smartDrive  STANDARD  SCREW 1.2x10 MM</v>
          </cell>
        </row>
        <row r="7760">
          <cell r="B7760" t="str">
            <v>26-012-10-71</v>
          </cell>
          <cell r="C7760" t="str">
            <v>smartDrive  STANDARD  SCHR. 1,2x10 MM, STE</v>
          </cell>
          <cell r="D7760" t="str">
            <v>smartDrive  STANDARD  SCREW 1.2x10 MM, STE</v>
          </cell>
        </row>
        <row r="7761">
          <cell r="B7761" t="str">
            <v>26-012-11-09</v>
          </cell>
          <cell r="C7761" t="str">
            <v>smartDrive  STANDARD  SCHR. 1,2x11 MM</v>
          </cell>
          <cell r="D7761" t="str">
            <v>smartDrive  STANDARD  SCREW 1.2x11 MM</v>
          </cell>
        </row>
        <row r="7762">
          <cell r="B7762" t="str">
            <v>26-012-11-71</v>
          </cell>
          <cell r="C7762" t="str">
            <v>smartDrive  STANDARD  SCHR. 1,2x11 MM, STE</v>
          </cell>
          <cell r="D7762" t="str">
            <v>smartDrive  STANDARD  SCREW 1.2x11 MM, STE</v>
          </cell>
        </row>
        <row r="7763">
          <cell r="B7763" t="str">
            <v>26-012-12-09</v>
          </cell>
          <cell r="C7763" t="str">
            <v>smartDrive  STANDARD  SCHR. 1,2x12 MM</v>
          </cell>
          <cell r="D7763" t="str">
            <v>smartDrive  STANDARD  SCREW 1.2x12 MM</v>
          </cell>
        </row>
        <row r="7764">
          <cell r="B7764" t="str">
            <v>26-012-12-71</v>
          </cell>
          <cell r="C7764" t="str">
            <v>smartDrive  STANDARD  SCHR. 1,2x12 MM, STE</v>
          </cell>
          <cell r="D7764" t="str">
            <v>smartDrive  STANDARD  SCREW 1.2x12 MM, STE</v>
          </cell>
        </row>
        <row r="7765">
          <cell r="B7765" t="str">
            <v>26-012-13-09</v>
          </cell>
          <cell r="C7765" t="str">
            <v>smartDrive  STANDARD  SCHR. 1,2x13 MM</v>
          </cell>
          <cell r="D7765" t="str">
            <v>smartDrive  STANDARD  SCREW 1.2x13 MM</v>
          </cell>
        </row>
        <row r="7766">
          <cell r="B7766" t="str">
            <v>26-012-13-71</v>
          </cell>
          <cell r="C7766" t="str">
            <v>smartDrive  STANDARD  SCHR. 1,2x13 MM, STE</v>
          </cell>
          <cell r="D7766" t="str">
            <v>smartDrive  STANDARD  SCREW 1.2x13 MM, STE</v>
          </cell>
        </row>
        <row r="7767">
          <cell r="B7767" t="str">
            <v>26-012-14-09</v>
          </cell>
          <cell r="C7767" t="str">
            <v>smartDrive  STANDARD  SCHR. 1,2x14 MM</v>
          </cell>
          <cell r="D7767" t="str">
            <v>smartDrive  STANDARD  SCREW 1.2x14 MM</v>
          </cell>
        </row>
        <row r="7768">
          <cell r="B7768" t="str">
            <v>26-012-14-71</v>
          </cell>
          <cell r="C7768" t="str">
            <v>smartDrive  STANDARD  SCHR. 1,2x14 MM, STE</v>
          </cell>
          <cell r="D7768" t="str">
            <v>smartDrive  STANDARD  SCREW 1.2x14 MM, STE</v>
          </cell>
        </row>
        <row r="7769">
          <cell r="B7769" t="str">
            <v>26-014-06-09</v>
          </cell>
          <cell r="C7769" t="str">
            <v>smartDrive  WINKELST.  SCHR. 1,5x6 MM</v>
          </cell>
          <cell r="D7769" t="str">
            <v>smartDrive  LOCKING  SCREW 1.5x6 MM</v>
          </cell>
        </row>
        <row r="7770">
          <cell r="B7770" t="str">
            <v>26-014-06-71</v>
          </cell>
          <cell r="C7770" t="str">
            <v>smartDrive  WINKELST.  SCHR. 1,5x6 MM, STE</v>
          </cell>
          <cell r="D7770" t="str">
            <v>smartDrive  LOCKING  SCREW 1.5x6 MM, STE</v>
          </cell>
        </row>
        <row r="7771">
          <cell r="B7771" t="str">
            <v>26-014-06-91</v>
          </cell>
          <cell r="C7771" t="str">
            <v>smartDrive  WINKELST.  SCHR. 1,5x6 MM</v>
          </cell>
          <cell r="D7771" t="str">
            <v>smartDrive  LOCKING  SCREW 1.5x6 MM</v>
          </cell>
        </row>
        <row r="7772">
          <cell r="B7772" t="str">
            <v>26-014-07-09</v>
          </cell>
          <cell r="C7772" t="str">
            <v>smartDrive  WINKELST.  SCHR. 1,5x7 MM</v>
          </cell>
          <cell r="D7772" t="str">
            <v>smartDrive  LOCKING  SCREW 1.5x7 MM</v>
          </cell>
        </row>
        <row r="7773">
          <cell r="B7773" t="str">
            <v>26-014-07-71</v>
          </cell>
          <cell r="C7773" t="str">
            <v>smartDrive  WINKELST.  SCHR. 1,5x7 MM, STE</v>
          </cell>
          <cell r="D7773" t="str">
            <v>smartDrive  LOCKING  SCREW 1.5x7 MM, STE</v>
          </cell>
        </row>
        <row r="7774">
          <cell r="B7774" t="str">
            <v>26-014-07-91</v>
          </cell>
          <cell r="C7774" t="str">
            <v>smartDrive  WINKELST.  SCHR. 1,5x7 MM</v>
          </cell>
          <cell r="D7774" t="str">
            <v>smartDrive  LOCKING  SCREW 1.5x7 MM</v>
          </cell>
        </row>
        <row r="7775">
          <cell r="B7775" t="str">
            <v>26-014-08-09</v>
          </cell>
          <cell r="C7775" t="str">
            <v>smartDrive  WINKELST.  SCHR. 1,5x8 MM</v>
          </cell>
          <cell r="D7775" t="str">
            <v>smartDrive  LOCKING  SCREW 1.5x8 MM</v>
          </cell>
        </row>
        <row r="7776">
          <cell r="B7776" t="str">
            <v>26-014-08-71</v>
          </cell>
          <cell r="C7776" t="str">
            <v>smartDrive  WINKELST.  SCHR. 1,5x8 MM, STE</v>
          </cell>
          <cell r="D7776" t="str">
            <v>smartDrive  LOCKING  SCREW 1.5x8 MM, STE</v>
          </cell>
        </row>
        <row r="7777">
          <cell r="B7777" t="str">
            <v>26-014-08-91</v>
          </cell>
          <cell r="C7777" t="str">
            <v>smartDrive  WINKELST.  SCHR. 1,5x8 MM</v>
          </cell>
          <cell r="D7777" t="str">
            <v>smartDrive  LOCKING  SCREW 1.5x8 MM</v>
          </cell>
        </row>
        <row r="7778">
          <cell r="B7778" t="str">
            <v>26-014-09-09</v>
          </cell>
          <cell r="C7778" t="str">
            <v>smartDrive  WINKELST.  SCHR. 1,5x9 MM</v>
          </cell>
          <cell r="D7778" t="str">
            <v>smartDrive  LOCKING  SCREW 1.5x9 MM</v>
          </cell>
        </row>
        <row r="7779">
          <cell r="B7779" t="str">
            <v>26-014-09-71</v>
          </cell>
          <cell r="C7779" t="str">
            <v>smartDrive  WINKELST.  SCHR. 1,5x9 MM, STE</v>
          </cell>
          <cell r="D7779" t="str">
            <v>smartDrive  LOCKING  SCREW 1.5x9 MM, STE</v>
          </cell>
        </row>
        <row r="7780">
          <cell r="B7780" t="str">
            <v>26-014-09-91</v>
          </cell>
          <cell r="C7780" t="str">
            <v>smartDrive  WINKELST.  SCHR. 1,5x9 MM</v>
          </cell>
          <cell r="D7780" t="str">
            <v>smartDrive  LOCKING  SCREW 1.5x9 MM</v>
          </cell>
        </row>
        <row r="7781">
          <cell r="B7781" t="str">
            <v>26-014-10-09</v>
          </cell>
          <cell r="C7781" t="str">
            <v>smartDrive  WINKELST.  SCHR. 1,5x10 MM</v>
          </cell>
          <cell r="D7781" t="str">
            <v>smartDrive  LOCKING  SCREW 1.5x10 MM</v>
          </cell>
        </row>
        <row r="7782">
          <cell r="B7782" t="str">
            <v>26-014-10-71</v>
          </cell>
          <cell r="C7782" t="str">
            <v>smartDrive  WINKELST.  SCHR. 1,5x10 MM,STE</v>
          </cell>
          <cell r="D7782" t="str">
            <v>smartDrive  LOCKING  SCREW 1.5x10 MM, STE</v>
          </cell>
        </row>
        <row r="7783">
          <cell r="B7783" t="str">
            <v>26-014-10-91</v>
          </cell>
          <cell r="C7783" t="str">
            <v>smartDrive  WINKELST.  SCHR. 1,5x10 MM</v>
          </cell>
          <cell r="D7783" t="str">
            <v>smartDrive  LOCKING  SCREW 1.5x10 MM</v>
          </cell>
        </row>
        <row r="7784">
          <cell r="B7784" t="str">
            <v>26-014-11-09</v>
          </cell>
          <cell r="C7784" t="str">
            <v>smartDrive  WINKELST.  SCHR. 1,5x11 MM</v>
          </cell>
          <cell r="D7784" t="str">
            <v>smartDrive  LOCKING  SCREW 1.5x11 MM</v>
          </cell>
        </row>
        <row r="7785">
          <cell r="B7785" t="str">
            <v>26-014-11-71</v>
          </cell>
          <cell r="C7785" t="str">
            <v>smartDrive  WINKELST.  SCHR. 1,5x11 MM,STE</v>
          </cell>
          <cell r="D7785" t="str">
            <v>smartDrive  LOCKING  SCREW 1.5x11 MM, STE</v>
          </cell>
        </row>
        <row r="7786">
          <cell r="B7786" t="str">
            <v>26-014-11-91</v>
          </cell>
          <cell r="C7786" t="str">
            <v>smartDrive  WINKELST.  SCHR. 1,5x11 MM</v>
          </cell>
          <cell r="D7786" t="str">
            <v>smartDrive  LOCKING  SCREW 1.5x11 MM</v>
          </cell>
        </row>
        <row r="7787">
          <cell r="B7787" t="str">
            <v>26-014-12-09</v>
          </cell>
          <cell r="C7787" t="str">
            <v>smartDrive  WINKELST.  SCHR. 1,5x12 MM</v>
          </cell>
          <cell r="D7787" t="str">
            <v>smartDrive  LOCKING  SCREW 1.5x12 MM</v>
          </cell>
        </row>
        <row r="7788">
          <cell r="B7788" t="str">
            <v>26-014-12-71</v>
          </cell>
          <cell r="C7788" t="str">
            <v>smartDrive  WINKELST.  SCHR. 1,5x12 MM,STE</v>
          </cell>
          <cell r="D7788" t="str">
            <v>smartDrive  LOCKING  SCREW 1.5x12 MM, STE</v>
          </cell>
        </row>
        <row r="7789">
          <cell r="B7789" t="str">
            <v>26-014-12-91</v>
          </cell>
          <cell r="C7789" t="str">
            <v>smartDrive  WINKELST.  SCHR. 1,5x12 MM</v>
          </cell>
          <cell r="D7789" t="str">
            <v>smartDrive  LOCKING  SCREW 1.5x12 MM</v>
          </cell>
        </row>
        <row r="7790">
          <cell r="B7790" t="str">
            <v>26-014-13-09</v>
          </cell>
          <cell r="C7790" t="str">
            <v>smartDrive  WINKELST.  SCHR. 1,5x13 MM</v>
          </cell>
          <cell r="D7790" t="str">
            <v>smartDrive  LOCKING  SCREW 1.5x13 MM</v>
          </cell>
        </row>
        <row r="7791">
          <cell r="B7791" t="str">
            <v>26-014-13-71</v>
          </cell>
          <cell r="C7791" t="str">
            <v>smartDrive  WINKELST.  SCHR. 1,5x13 MM,STE</v>
          </cell>
          <cell r="D7791" t="str">
            <v>smartDrive  LOCKING  SCREW 1.5x13 MM, STE</v>
          </cell>
        </row>
        <row r="7792">
          <cell r="B7792" t="str">
            <v>26-014-13-91</v>
          </cell>
          <cell r="C7792" t="str">
            <v>smartDrive  WINKELST.  SCHR. 1,5x13 MM</v>
          </cell>
          <cell r="D7792" t="str">
            <v>smartDrive  LOCKING  SCREW 1.5x13 MM</v>
          </cell>
        </row>
        <row r="7793">
          <cell r="B7793" t="str">
            <v>26-014-14-09</v>
          </cell>
          <cell r="C7793" t="str">
            <v>smartDrive  WINKELST.  SCHR. 1,5x14 MM</v>
          </cell>
          <cell r="D7793" t="str">
            <v>smartDrive  LOCKING  SCREW 1.5x14 MM</v>
          </cell>
        </row>
        <row r="7794">
          <cell r="B7794" t="str">
            <v>26-014-14-71</v>
          </cell>
          <cell r="C7794" t="str">
            <v>smartDrive  WINKELST.  SCHR. 1,5x14 MM,STE</v>
          </cell>
          <cell r="D7794" t="str">
            <v>smartDrive  LOCKING  SCREW 1.5x14 MM, STE</v>
          </cell>
        </row>
        <row r="7795">
          <cell r="B7795" t="str">
            <v>26-014-14-91</v>
          </cell>
          <cell r="C7795" t="str">
            <v>smartDrive  WINKELST.  SCHR. 1,5x14 MM</v>
          </cell>
          <cell r="D7795" t="str">
            <v>smartDrive  LOCKING  SCREW 1.5x14 MM</v>
          </cell>
        </row>
        <row r="7796">
          <cell r="B7796" t="str">
            <v>26-014-15-09</v>
          </cell>
          <cell r="C7796" t="str">
            <v>smartDrive  WINKELST.  SCHR. 1,5x15 MM</v>
          </cell>
          <cell r="D7796" t="str">
            <v>smartDrive  LOCKING  SCREW 1.5x15 MM</v>
          </cell>
        </row>
        <row r="7797">
          <cell r="B7797" t="str">
            <v>26-014-15-71</v>
          </cell>
          <cell r="C7797" t="str">
            <v>smartDrive  WINKELST.  SCHR. 1,5x15 MM,STE</v>
          </cell>
          <cell r="D7797" t="str">
            <v>smartDrive  LOCKING  SCREW 1.5x15 MM, STE</v>
          </cell>
        </row>
        <row r="7798">
          <cell r="B7798" t="str">
            <v>26-014-15-91</v>
          </cell>
          <cell r="C7798" t="str">
            <v>smartDrive  WINKELST.  SCHR. 1,5x15 MM</v>
          </cell>
          <cell r="D7798" t="str">
            <v>smartDrive  LOCKING  SCREW 1.5x15 MM</v>
          </cell>
        </row>
        <row r="7799">
          <cell r="B7799" t="str">
            <v>26-014-16-09</v>
          </cell>
          <cell r="C7799" t="str">
            <v>smartDrive  WINKELST.  SCHR. 1,5x16 MM</v>
          </cell>
          <cell r="D7799" t="str">
            <v>smartDrive  LOCKING  SCREW 1.5x16 MM</v>
          </cell>
        </row>
        <row r="7800">
          <cell r="B7800" t="str">
            <v>26-014-16-71</v>
          </cell>
          <cell r="C7800" t="str">
            <v>smartDrive  WINKELST.  SCHR. 1,5x16 MM,STE</v>
          </cell>
          <cell r="D7800" t="str">
            <v>smartDrive  LOCKING  SCREW 1.5x16 MM, STE</v>
          </cell>
        </row>
        <row r="7801">
          <cell r="B7801" t="str">
            <v>26-014-16-91</v>
          </cell>
          <cell r="C7801" t="str">
            <v>smartDrive  WINKELST.  SCHR. 1,5x16 MM</v>
          </cell>
          <cell r="D7801" t="str">
            <v>smartDrive  LOCKING  SCREW 1.5x16 MM</v>
          </cell>
        </row>
        <row r="7802">
          <cell r="B7802" t="str">
            <v>26-014-17-09</v>
          </cell>
          <cell r="C7802" t="str">
            <v>smartDrive  WINKELST.  SCHR. 1,5x17 MM</v>
          </cell>
          <cell r="D7802" t="str">
            <v>smartDrive  LOCKING  SCREW 1.5x17 MM</v>
          </cell>
        </row>
        <row r="7803">
          <cell r="B7803" t="str">
            <v>26-014-17-71</v>
          </cell>
          <cell r="C7803" t="str">
            <v>smartDrive  WINKELST.  SCHR. 1,5x17 MM,STE</v>
          </cell>
          <cell r="D7803" t="str">
            <v>smartDrive  LOCKING  SCREW 1.5x17 MM, STE</v>
          </cell>
        </row>
        <row r="7804">
          <cell r="B7804" t="str">
            <v>26-014-17-91</v>
          </cell>
          <cell r="C7804" t="str">
            <v>smartDrive  WINKELST.  SCHR. 1,5x17 MM</v>
          </cell>
          <cell r="D7804" t="str">
            <v>smartDrive  LOCKING  SCREW 1.5x17 MM</v>
          </cell>
        </row>
        <row r="7805">
          <cell r="B7805" t="str">
            <v>26-014-18-09</v>
          </cell>
          <cell r="C7805" t="str">
            <v>smartDrive  WINKELST.  SCHR. 1,5x18 MM</v>
          </cell>
          <cell r="D7805" t="str">
            <v>smartDrive  LOCKING  SCREW 1.5x18 MM</v>
          </cell>
        </row>
        <row r="7806">
          <cell r="B7806" t="str">
            <v>26-014-18-71</v>
          </cell>
          <cell r="C7806" t="str">
            <v>smartDrive  WINKELST.  SCHR. 1,5x18 MM,STE</v>
          </cell>
          <cell r="D7806" t="str">
            <v>smartDrive  LOCKING  SCREW 1.5x18 MM, STE</v>
          </cell>
        </row>
        <row r="7807">
          <cell r="B7807" t="str">
            <v>26-014-18-91</v>
          </cell>
          <cell r="C7807" t="str">
            <v>smartDrive  WINKELST.  SCHR. 1,5x18 MM</v>
          </cell>
          <cell r="D7807" t="str">
            <v>smartDrive  LOCKING  SCREW 1.5x18 MM</v>
          </cell>
        </row>
        <row r="7808">
          <cell r="B7808" t="str">
            <v>26-014-19-09</v>
          </cell>
          <cell r="C7808" t="str">
            <v>smartDrive  WINKELST.  SCHR. 1,5x19 MM</v>
          </cell>
          <cell r="D7808" t="str">
            <v>smartDrive  LOCKING  SCREW 1.5x19 MM</v>
          </cell>
        </row>
        <row r="7809">
          <cell r="B7809" t="str">
            <v>26-014-19-71</v>
          </cell>
          <cell r="C7809" t="str">
            <v>smartDrive  WINKELST.  SCHR. 1,5x19 MM,STE</v>
          </cell>
          <cell r="D7809" t="str">
            <v>smartDrive  LOCKING  SCREW 1.5x19 MM, STE</v>
          </cell>
        </row>
        <row r="7810">
          <cell r="B7810" t="str">
            <v>26-014-19-91</v>
          </cell>
          <cell r="C7810" t="str">
            <v>smartDrive  WINKELST.  SCHR. 1,5x19 MM</v>
          </cell>
          <cell r="D7810" t="str">
            <v>martDrive  LOCKING  SCREW 1.5x19 MM</v>
          </cell>
        </row>
        <row r="7811">
          <cell r="B7811" t="str">
            <v>26-014-20-09</v>
          </cell>
          <cell r="C7811" t="str">
            <v>smartDrive  WINKELST.  SCHR. 1,5x20 MM</v>
          </cell>
          <cell r="D7811" t="str">
            <v>smartDrive  LOCKING  SCREW 1.5x20 MM</v>
          </cell>
        </row>
        <row r="7812">
          <cell r="B7812" t="str">
            <v>26-014-20-71</v>
          </cell>
          <cell r="C7812" t="str">
            <v>smartDrive  WINKELST.  SCHR. 1,5x20 MM,STE</v>
          </cell>
          <cell r="D7812" t="str">
            <v>smartDrive  LOCKING  SCREW 1.5x20 MM, STE</v>
          </cell>
        </row>
        <row r="7813">
          <cell r="B7813" t="str">
            <v>26-014-20-91</v>
          </cell>
          <cell r="C7813" t="str">
            <v>smartDrive  WINKELST.  SCHR. 1,5x20 MM</v>
          </cell>
          <cell r="D7813" t="str">
            <v>smartDrive  LOCKING  SCREW 1.5x20 MM</v>
          </cell>
        </row>
        <row r="7814">
          <cell r="B7814" t="str">
            <v>26-015-06-09</v>
          </cell>
          <cell r="C7814" t="str">
            <v>smartDrive  STANDARD  SCHR. 1,5x6 MM</v>
          </cell>
          <cell r="D7814" t="str">
            <v>smartDrive  STANDARD  SCREW 1.5x6 MM</v>
          </cell>
        </row>
        <row r="7815">
          <cell r="B7815" t="str">
            <v>26-015-06-71</v>
          </cell>
          <cell r="C7815" t="str">
            <v>smartDrive  STANDARD  SCHR. 1,5x6 MM, STE</v>
          </cell>
          <cell r="D7815" t="str">
            <v>smartDrive  STANDARD  SCREW 1.5x6 MM, STE</v>
          </cell>
        </row>
        <row r="7816">
          <cell r="B7816" t="str">
            <v>26-015-06-91</v>
          </cell>
          <cell r="C7816" t="str">
            <v>smartDrive  STANDARD  SCHR. 1,5x6 MM</v>
          </cell>
          <cell r="D7816" t="str">
            <v>smartDrive  STANDARD  SCREW 1.5x6 MM</v>
          </cell>
        </row>
        <row r="7817">
          <cell r="B7817" t="str">
            <v>26-015-07-09</v>
          </cell>
          <cell r="C7817" t="str">
            <v>smartDrive  STANDARD  SCHR. 1,5x7 MM</v>
          </cell>
          <cell r="D7817" t="str">
            <v>smartDrive  STANDARD  SCREW 1.5x7 MM</v>
          </cell>
        </row>
        <row r="7818">
          <cell r="B7818" t="str">
            <v>26-015-07-71</v>
          </cell>
          <cell r="C7818" t="str">
            <v>smartDrive  STANDARD  SCHR. 1,5x7 MM, STE</v>
          </cell>
          <cell r="D7818" t="str">
            <v>smartDrive  STANDARD  SCREW 1.5x7 MM, STE</v>
          </cell>
        </row>
        <row r="7819">
          <cell r="B7819" t="str">
            <v>26-015-07-91</v>
          </cell>
          <cell r="C7819" t="str">
            <v>smartDrive  STANDARD  SCHR. 1,5x7 MM</v>
          </cell>
          <cell r="D7819" t="str">
            <v>smartDrive  STANDARD  SCREW 1.5x7 MM</v>
          </cell>
        </row>
        <row r="7820">
          <cell r="B7820" t="str">
            <v>26-015-08-09</v>
          </cell>
          <cell r="C7820" t="str">
            <v>smartDrive  STANDARD  SCHR. 1,5x8 MM</v>
          </cell>
          <cell r="D7820" t="str">
            <v>smartDrive  STANDARD  SCREW 1.5x8 MM</v>
          </cell>
        </row>
        <row r="7821">
          <cell r="B7821" t="str">
            <v>26-015-08-71</v>
          </cell>
          <cell r="C7821" t="str">
            <v>smartDrive  STANDARD  SCHR. 1,5x8 MM, STE</v>
          </cell>
          <cell r="D7821" t="str">
            <v>smartDrive  STANDARD  SCREW 1.5x8 MM, STE</v>
          </cell>
        </row>
        <row r="7822">
          <cell r="B7822" t="str">
            <v>26-015-08-91</v>
          </cell>
          <cell r="C7822" t="str">
            <v>smartDrive  STANDARD  SCHR. 1,5x8 MM</v>
          </cell>
          <cell r="D7822" t="str">
            <v>smartDrive  STANDARD  SCREW 1.5x8 MM</v>
          </cell>
        </row>
        <row r="7823">
          <cell r="B7823" t="str">
            <v>26-015-09-09</v>
          </cell>
          <cell r="C7823" t="str">
            <v>smartDrive  STANDARD  SCHR. 1,5x9 MM</v>
          </cell>
          <cell r="D7823" t="str">
            <v>smartDrive  STANDARD  SCREW 1.5x9 MM</v>
          </cell>
        </row>
        <row r="7824">
          <cell r="B7824" t="str">
            <v>26-015-09-71</v>
          </cell>
          <cell r="C7824" t="str">
            <v>smartDrive  STANDARD  SCHR. 1,5x9 MM, STE</v>
          </cell>
          <cell r="D7824" t="str">
            <v>smartDrive  STANDARD  SCREW 1.5x9 MM, STE</v>
          </cell>
        </row>
        <row r="7825">
          <cell r="B7825" t="str">
            <v>26-015-09-91</v>
          </cell>
          <cell r="C7825" t="str">
            <v>smartDrive  STANDARD  SCHR. 1,5x9 MM</v>
          </cell>
          <cell r="D7825" t="str">
            <v>smartDrive  STANDARD  SCREW 1.5x9 MM</v>
          </cell>
        </row>
        <row r="7826">
          <cell r="B7826" t="str">
            <v>26-015-10-09</v>
          </cell>
          <cell r="C7826" t="str">
            <v>smartDrive  STANDARD  SCHR. 1,5x10 MM</v>
          </cell>
          <cell r="D7826" t="str">
            <v>smartDrive  STANDARD  SCREW 1.5x10 MM</v>
          </cell>
        </row>
        <row r="7827">
          <cell r="B7827" t="str">
            <v>26-015-10-71</v>
          </cell>
          <cell r="C7827" t="str">
            <v>smartDrive  STANDARD  SCHR. 1,5x10 MM, STE</v>
          </cell>
          <cell r="D7827" t="str">
            <v>smartDrive  STANDARD  SCREW 1.5x10 MM, STE</v>
          </cell>
        </row>
        <row r="7828">
          <cell r="B7828" t="str">
            <v>26-015-10-91</v>
          </cell>
          <cell r="C7828" t="str">
            <v>smartDrive  STANDARD  SCHR. 1,5x10 MM</v>
          </cell>
          <cell r="D7828" t="str">
            <v>smartDrive  STANDARD  SCREW 1.5x10 MM</v>
          </cell>
        </row>
        <row r="7829">
          <cell r="B7829" t="str">
            <v>26-015-11-09</v>
          </cell>
          <cell r="C7829" t="str">
            <v>smartDrive  STANDARD  SCHR. 1,5x11 MM</v>
          </cell>
          <cell r="D7829" t="str">
            <v>smartDrive  STANDARD  SCREW 1.5x11 MM</v>
          </cell>
        </row>
        <row r="7830">
          <cell r="B7830" t="str">
            <v>26-015-11-71</v>
          </cell>
          <cell r="C7830" t="str">
            <v>smartDrive  STANDARD  SCHR. 1,5x11 MM, STE</v>
          </cell>
          <cell r="D7830" t="str">
            <v>smartDrive  STANDARD  SCREW 1.5x11 MM, STE</v>
          </cell>
        </row>
        <row r="7831">
          <cell r="B7831" t="str">
            <v>26-015-11-91</v>
          </cell>
          <cell r="C7831" t="str">
            <v>smartDrive  STANDARD  SCHR. 1,5x11 MM</v>
          </cell>
          <cell r="D7831" t="str">
            <v>smartDrive  STANDARD  SCREW 1.5x11 MM</v>
          </cell>
        </row>
        <row r="7832">
          <cell r="B7832" t="str">
            <v>26-015-12-09</v>
          </cell>
          <cell r="C7832" t="str">
            <v>smartDrive  STANDARD  SCHR. 1,5x12 MM</v>
          </cell>
          <cell r="D7832" t="str">
            <v>smartDrive  STANDARD  SCREW 1.5x12 MM</v>
          </cell>
        </row>
        <row r="7833">
          <cell r="B7833" t="str">
            <v>26-015-12-71</v>
          </cell>
          <cell r="C7833" t="str">
            <v>smartDrive  STANDARD  SCHR. 1,5x12 MM, STE</v>
          </cell>
          <cell r="D7833" t="str">
            <v>smartDrive  STANDARD  SCREW 1.5x12 MM, STE</v>
          </cell>
        </row>
        <row r="7834">
          <cell r="B7834" t="str">
            <v>26-015-12-91</v>
          </cell>
          <cell r="C7834" t="str">
            <v>smartDrive  STANDARD  SCHR. 1,5x12 MM</v>
          </cell>
          <cell r="D7834" t="str">
            <v>martDrive  STANDARD  SCREW 1.5x12 MM</v>
          </cell>
        </row>
        <row r="7835">
          <cell r="B7835" t="str">
            <v>26-015-13-09</v>
          </cell>
          <cell r="C7835" t="str">
            <v>smartDrive  STANDARD  SCHR. 1,5x13 MM</v>
          </cell>
          <cell r="D7835" t="str">
            <v>smartDrive  STANDARD  SCREW 1.5x13 MM</v>
          </cell>
        </row>
        <row r="7836">
          <cell r="B7836" t="str">
            <v>26-015-13-71</v>
          </cell>
          <cell r="C7836" t="str">
            <v>smartDrive  STANDARD  SCHR. 1,5x13 MM, STE</v>
          </cell>
          <cell r="D7836" t="str">
            <v>smartDrive  STANDARD  SCREW 1.5x13 MM, STE</v>
          </cell>
        </row>
        <row r="7837">
          <cell r="B7837" t="str">
            <v>26-015-13-91</v>
          </cell>
          <cell r="C7837" t="str">
            <v>smartDrive  STANDARD  SCHR. 1,5x13 MM</v>
          </cell>
          <cell r="D7837" t="str">
            <v>smartDrive  STANDARD  SCREW 1.5x13 MM</v>
          </cell>
        </row>
        <row r="7838">
          <cell r="B7838" t="str">
            <v>26-015-14-09</v>
          </cell>
          <cell r="C7838" t="str">
            <v>smartDrive  STANDARD  SCHR. 1,5x14 MM</v>
          </cell>
          <cell r="D7838" t="str">
            <v>smartDrive  STANDARD  SCREW 1.5x14 MM</v>
          </cell>
        </row>
        <row r="7839">
          <cell r="B7839" t="str">
            <v>26-015-14-71</v>
          </cell>
          <cell r="C7839" t="str">
            <v>smartDrive  STANDARD  SCHR. 1,5x14 MM, STE</v>
          </cell>
          <cell r="D7839" t="str">
            <v>smartDrive  STANDARD  SCREW 1.5x14 MM, STE</v>
          </cell>
        </row>
        <row r="7840">
          <cell r="B7840" t="str">
            <v>26-015-14-91</v>
          </cell>
          <cell r="C7840" t="str">
            <v>smartDrive  STANDARD  SCHR. 1,5x14 MM</v>
          </cell>
          <cell r="D7840" t="str">
            <v>smartDrive  STANDARD  SCREW 1.5x14 MM</v>
          </cell>
        </row>
        <row r="7841">
          <cell r="B7841" t="str">
            <v>26-015-15-09</v>
          </cell>
          <cell r="C7841" t="str">
            <v>smartDrive  STANDARD  SCHR. 1,5x15 MM</v>
          </cell>
          <cell r="D7841" t="str">
            <v>smartDrive  STANDARD  SCREW 1.5x15 MM</v>
          </cell>
        </row>
        <row r="7842">
          <cell r="B7842" t="str">
            <v>26-015-15-71</v>
          </cell>
          <cell r="C7842" t="str">
            <v>smartDrive  STANDARD  SCHR. 1,5x15 MM, STE</v>
          </cell>
          <cell r="D7842" t="str">
            <v>smartDrive  STANDARD  SCREW 1.5x15 MM, STE</v>
          </cell>
        </row>
        <row r="7843">
          <cell r="B7843" t="str">
            <v>26-015-15-91</v>
          </cell>
          <cell r="C7843" t="str">
            <v>smartDrive  STANDARD  SCHR. 1,5x15 MM</v>
          </cell>
          <cell r="D7843" t="str">
            <v>smartDrive  STANDARD  SCREW 1.5x15 MM</v>
          </cell>
        </row>
        <row r="7844">
          <cell r="B7844" t="str">
            <v>26-015-16-09</v>
          </cell>
          <cell r="C7844" t="str">
            <v>smartDrive  STANDARD  SCHR. 1,5x16 MM</v>
          </cell>
          <cell r="D7844" t="str">
            <v>smartDrive  STANDARD  SCREW 1.5x16 MM</v>
          </cell>
        </row>
        <row r="7845">
          <cell r="B7845" t="str">
            <v>26-015-16-71</v>
          </cell>
          <cell r="C7845" t="str">
            <v>smartDrive  STANDARD  SCHR. 1,5x16 MM, STE</v>
          </cell>
          <cell r="D7845" t="str">
            <v>smartDrive  STANDARD  SCREW 1.5x16 MM, STE</v>
          </cell>
        </row>
        <row r="7846">
          <cell r="B7846" t="str">
            <v>26-015-16-91</v>
          </cell>
          <cell r="C7846" t="str">
            <v>smartDrive  STANDARD  SCHR. 1,5x16 MM</v>
          </cell>
          <cell r="D7846" t="str">
            <v>smartDrive  STANDARD  SCREW 1.5x16 MM</v>
          </cell>
        </row>
        <row r="7847">
          <cell r="B7847" t="str">
            <v>26-015-17-09</v>
          </cell>
          <cell r="C7847" t="str">
            <v>smartDrive  STANDARD  SCHR. 1,5x17 MM</v>
          </cell>
          <cell r="D7847" t="str">
            <v>smartDrive  STANDARD  SCREW 1.5x17 MM</v>
          </cell>
        </row>
        <row r="7848">
          <cell r="B7848" t="str">
            <v>26-015-17-71</v>
          </cell>
          <cell r="C7848" t="str">
            <v>smartDrive  STANDARD  SCHR. 1,5x17 MM, STE</v>
          </cell>
          <cell r="D7848" t="str">
            <v>smartDrive  STANDARD  SCREW 1.5x17 MM, STE</v>
          </cell>
        </row>
        <row r="7849">
          <cell r="B7849" t="str">
            <v>26-015-17-91</v>
          </cell>
          <cell r="C7849" t="str">
            <v>smartDrive  STANDARD  SCHR. 1,5x17 MM</v>
          </cell>
          <cell r="D7849" t="str">
            <v>smartDrive  STANDARD  SCREW 1.5x17 MM</v>
          </cell>
        </row>
        <row r="7850">
          <cell r="B7850" t="str">
            <v>26-015-18-09</v>
          </cell>
          <cell r="C7850" t="str">
            <v>smartDrive  STANDARD  SCHR. 1,5x18 MM</v>
          </cell>
          <cell r="D7850" t="str">
            <v>smartDrive  STANDARD  SCREW 1.5x18 MM</v>
          </cell>
        </row>
        <row r="7851">
          <cell r="B7851" t="str">
            <v>26-015-18-71</v>
          </cell>
          <cell r="C7851" t="str">
            <v>smartDrive  STANDARD  SCHR. 1,5x18 MM, STE</v>
          </cell>
          <cell r="D7851" t="str">
            <v>smartDrive  STANDARD  SCREW 1.5x18 MM, STE</v>
          </cell>
        </row>
        <row r="7852">
          <cell r="B7852" t="str">
            <v>26-015-18-91</v>
          </cell>
          <cell r="C7852" t="str">
            <v>smartDrive  STANDARD  SCHR. 1,5x18 MM</v>
          </cell>
          <cell r="D7852" t="str">
            <v>smartDrive  STANDARD  SCREW 1.5x18 MM</v>
          </cell>
        </row>
        <row r="7853">
          <cell r="B7853" t="str">
            <v>26-015-19-09</v>
          </cell>
          <cell r="C7853" t="str">
            <v>smartDrive  STANDARD  SCHR. 1,5x19 MM</v>
          </cell>
          <cell r="D7853" t="str">
            <v>smartDrive  STANDARD  SCREW 1.5x19 MM</v>
          </cell>
        </row>
        <row r="7854">
          <cell r="B7854" t="str">
            <v>26-015-19-71</v>
          </cell>
          <cell r="C7854" t="str">
            <v>smartDrive  STANDARD  SCHR. 1,5x19 MM, STE</v>
          </cell>
          <cell r="D7854" t="str">
            <v>smartDrive  STANDARD  SCREW 1.5x19 MM, STE</v>
          </cell>
        </row>
        <row r="7855">
          <cell r="B7855" t="str">
            <v>26-015-19-91</v>
          </cell>
          <cell r="C7855" t="str">
            <v>smartDrive  STANDARD  SCHR. 1,5x19 MM</v>
          </cell>
          <cell r="D7855" t="str">
            <v>smartDrive  STANDARD  SCREW 1.5x19 MM</v>
          </cell>
        </row>
        <row r="7856">
          <cell r="B7856" t="str">
            <v>26-015-20-09</v>
          </cell>
          <cell r="C7856" t="str">
            <v>smartDrive  STANDARD  SCHR. 1,5x20 MM</v>
          </cell>
          <cell r="D7856" t="str">
            <v>smartDrive  STANDARD  SCREW 1.5x20 MM</v>
          </cell>
        </row>
        <row r="7857">
          <cell r="B7857" t="str">
            <v>26-015-20-71</v>
          </cell>
          <cell r="C7857" t="str">
            <v>smartDrive  STANDARD  SCHR. 1,5x20 MM, STE</v>
          </cell>
          <cell r="D7857" t="str">
            <v>smartDrive  STANDARD  SCREW 1.5x20 MM, STE</v>
          </cell>
        </row>
        <row r="7858">
          <cell r="B7858" t="str">
            <v>26-015-20-91</v>
          </cell>
          <cell r="C7858" t="str">
            <v>smartDrive  STANDARD  SCHR. 1,5x20 MM</v>
          </cell>
          <cell r="D7858" t="str">
            <v>smartDrive  STANDARD  SCREW 1.5x20 MM</v>
          </cell>
        </row>
        <row r="7859">
          <cell r="B7859" t="str">
            <v>26-019-06-09</v>
          </cell>
          <cell r="C7859" t="str">
            <v>smartDrive  WINKELST.  SCHR. 2,0x6 MM</v>
          </cell>
          <cell r="D7859" t="str">
            <v>smartDrive  LOCKING  SCREW 2.0x6 MM</v>
          </cell>
        </row>
        <row r="7860">
          <cell r="B7860" t="str">
            <v>26-019-06-71</v>
          </cell>
          <cell r="C7860" t="str">
            <v>smartDrive  WINKELST.  SCHR. 2,0x6 MM, STE</v>
          </cell>
          <cell r="D7860" t="str">
            <v>smartDrive  LOCKING  SCREW 2.0x6 MM, STE</v>
          </cell>
        </row>
        <row r="7861">
          <cell r="B7861" t="str">
            <v>26-019-06-91</v>
          </cell>
          <cell r="C7861" t="str">
            <v>smartDrive  WINKELST.  SCHR. 2,0x6 MM</v>
          </cell>
          <cell r="D7861" t="str">
            <v>smartDrive  LOCKING  SCREW 2.0x6 MM</v>
          </cell>
        </row>
        <row r="7862">
          <cell r="B7862" t="str">
            <v>26-019-07-09</v>
          </cell>
          <cell r="C7862" t="str">
            <v>smartDrive  WINKELST.  SCHR. 2,0x7 MM</v>
          </cell>
          <cell r="D7862" t="str">
            <v>smartDrive  LOCKING  SCREW 2.0x7 MM</v>
          </cell>
        </row>
        <row r="7863">
          <cell r="B7863" t="str">
            <v>26-019-07-71</v>
          </cell>
          <cell r="C7863" t="str">
            <v>smartDrive  WINKELST.  SCHR. 2,0x7 MM, STE</v>
          </cell>
          <cell r="D7863" t="str">
            <v>smartDrive  LOCKING  SCREW 2.0x7 MM, STE</v>
          </cell>
        </row>
        <row r="7864">
          <cell r="B7864" t="str">
            <v>26-019-07-91</v>
          </cell>
          <cell r="C7864" t="str">
            <v>smartDrive  WINKELST.  SCHR. 2,0x7 MM</v>
          </cell>
          <cell r="D7864" t="str">
            <v>smartDrive  LOCKING  SCREW 2.0x7 MM</v>
          </cell>
        </row>
        <row r="7865">
          <cell r="B7865" t="str">
            <v>26-019-08-09</v>
          </cell>
          <cell r="C7865" t="str">
            <v>smartDrive  WINKELST.  SCHR. 2,0x8 MM</v>
          </cell>
          <cell r="D7865" t="str">
            <v>smartDrive  LOCKING  SCREW 2.0x8 MM</v>
          </cell>
        </row>
        <row r="7866">
          <cell r="B7866" t="str">
            <v>26-019-08-71</v>
          </cell>
          <cell r="C7866" t="str">
            <v>smartDrive  WINKELST.  SCHR. 2,0x8 MM, STE</v>
          </cell>
          <cell r="D7866" t="str">
            <v>smartDrive  LOCKING  SCREW 2.0x8 MM, STE</v>
          </cell>
        </row>
        <row r="7867">
          <cell r="B7867" t="str">
            <v>26-019-08-91</v>
          </cell>
          <cell r="C7867" t="str">
            <v>smartDrive  WINKELST.  SCHR. 2,0x8 MM</v>
          </cell>
          <cell r="D7867" t="str">
            <v>smartDrive  LOCKING  SCREW 2.0x8 MM</v>
          </cell>
        </row>
        <row r="7868">
          <cell r="B7868" t="str">
            <v>26-019-09-09</v>
          </cell>
          <cell r="C7868" t="str">
            <v>smartDrive  WINKELST.  SCHR. 2,0x9 MM</v>
          </cell>
          <cell r="D7868" t="str">
            <v>smartDrive  LOCKING  SCREW 2.0x9 MM</v>
          </cell>
        </row>
        <row r="7869">
          <cell r="B7869" t="str">
            <v>26-019-09-71</v>
          </cell>
          <cell r="C7869" t="str">
            <v>smartDrive  WINKELST.  SCHR. 2,0x9 MM, STE</v>
          </cell>
          <cell r="D7869" t="str">
            <v>smartDrive  LOCKING  SCREW 2.0x9 MM, STE</v>
          </cell>
        </row>
        <row r="7870">
          <cell r="B7870" t="str">
            <v>26-019-09-91</v>
          </cell>
          <cell r="C7870" t="str">
            <v>smartDrive  WINKELST.  SCHR. 2,0x9 MM</v>
          </cell>
          <cell r="D7870" t="str">
            <v>smartDrive  LOCKING  SCREW 2.0x9 MM</v>
          </cell>
        </row>
        <row r="7871">
          <cell r="B7871" t="str">
            <v>26-019-10-09</v>
          </cell>
          <cell r="C7871" t="str">
            <v>smartDrive  WINKELST.  SCHR. 2,0x10 MM</v>
          </cell>
          <cell r="D7871" t="str">
            <v>smartDrive  LOCKING  SCREW 2.0x10 MM</v>
          </cell>
        </row>
        <row r="7872">
          <cell r="B7872" t="str">
            <v>26-019-10-71</v>
          </cell>
          <cell r="C7872" t="str">
            <v>smartDrive  WINKELST.  SCHR. 2,0x10 MM,STE</v>
          </cell>
          <cell r="D7872" t="str">
            <v>smartDrive  LOCKING  SCREW 2.0x10 MM, STE</v>
          </cell>
        </row>
        <row r="7873">
          <cell r="B7873" t="str">
            <v>26-019-10-91</v>
          </cell>
          <cell r="C7873" t="str">
            <v>smartDrive  WINKELST.  SCHR. 2,0x10 MM</v>
          </cell>
          <cell r="D7873" t="str">
            <v>smartDrive  LOCKING  SCREW 2.0x10 MM</v>
          </cell>
        </row>
        <row r="7874">
          <cell r="B7874" t="str">
            <v>26-019-11-09</v>
          </cell>
          <cell r="C7874" t="str">
            <v>smartDrive  WINKELST.  SCHR. 2,0x11 MM</v>
          </cell>
          <cell r="D7874" t="str">
            <v>smartDrive  LOCKING  SCREW 2.0x11 MM</v>
          </cell>
        </row>
        <row r="7875">
          <cell r="B7875" t="str">
            <v>26-019-11-71</v>
          </cell>
          <cell r="C7875" t="str">
            <v>smartDrive  WINKELST.  SCHR. 2,0x11 MM,STE</v>
          </cell>
          <cell r="D7875" t="str">
            <v>smartDrive  LOCKING  SCREW 2.0x11 MM, STE</v>
          </cell>
        </row>
        <row r="7876">
          <cell r="B7876" t="str">
            <v>26-019-11-91</v>
          </cell>
          <cell r="C7876" t="str">
            <v>smartDrive  WINKELST.  SCHR. 2,0x11 MM</v>
          </cell>
          <cell r="D7876" t="str">
            <v>smartDrive  LOCKING  SCREW 2.0x11 MM</v>
          </cell>
        </row>
        <row r="7877">
          <cell r="B7877" t="str">
            <v>26-019-12-09</v>
          </cell>
          <cell r="C7877" t="str">
            <v>smartDrive  WINKELST.  SCHR. 2,0x12 MM</v>
          </cell>
          <cell r="D7877" t="str">
            <v>smartDrive  LOCKING  SCREW 2.0x12 MM</v>
          </cell>
        </row>
        <row r="7878">
          <cell r="B7878" t="str">
            <v>26-019-12-71</v>
          </cell>
          <cell r="C7878" t="str">
            <v>smartDrive  WINKELST.  SCHR. 2,0x12 MM,STE</v>
          </cell>
          <cell r="D7878" t="str">
            <v>smartDrive  LOCKING  SCREW 2.0x12 MM, STE</v>
          </cell>
        </row>
        <row r="7879">
          <cell r="B7879" t="str">
            <v>26-019-12-91</v>
          </cell>
          <cell r="C7879" t="str">
            <v>smartDrive  WINKELST.  SCHR. 2,0x12 MM</v>
          </cell>
          <cell r="D7879" t="str">
            <v>smartDrive  LOCKING  SCREW 2.0x12 MM</v>
          </cell>
        </row>
        <row r="7880">
          <cell r="B7880" t="str">
            <v>26-019-13-09</v>
          </cell>
          <cell r="C7880" t="str">
            <v>smartDrive  WINKELST.  SCHR. 2,0x13 MM</v>
          </cell>
          <cell r="D7880" t="str">
            <v>smartDrive  LOCKING  SCREW 2.0x13 MM</v>
          </cell>
        </row>
        <row r="7881">
          <cell r="B7881" t="str">
            <v>26-019-13-71</v>
          </cell>
          <cell r="C7881" t="str">
            <v>smartDrive  WINKELST.  SCHR. 2,0x13 MM,STE</v>
          </cell>
          <cell r="D7881" t="str">
            <v>smartDrive  LOCKING  SCREW 2.0x13 MM, STE</v>
          </cell>
        </row>
        <row r="7882">
          <cell r="B7882" t="str">
            <v>26-019-13-91</v>
          </cell>
          <cell r="C7882" t="str">
            <v>smartDrive  WINKELST.  SCHR. 2,0x13 MM</v>
          </cell>
          <cell r="D7882" t="str">
            <v>smartDrive  LOCKING  SCREW 2.0x13 MM</v>
          </cell>
        </row>
        <row r="7883">
          <cell r="B7883" t="str">
            <v>26-019-14-09</v>
          </cell>
          <cell r="C7883" t="str">
            <v>smartDrive  WINKELST.  SCHR. 2,0x14 MM</v>
          </cell>
          <cell r="D7883" t="str">
            <v>smartDrive  LOCKING  SCREW 2.0x14 MM</v>
          </cell>
        </row>
        <row r="7884">
          <cell r="B7884" t="str">
            <v>26-019-14-71</v>
          </cell>
          <cell r="C7884" t="str">
            <v>smartDrive  WINKELST.  SCHR. 2,0x14 MM,STE</v>
          </cell>
          <cell r="D7884" t="str">
            <v>smartDrive  LOCKING  SCREW 2.0x14 MM, STE</v>
          </cell>
        </row>
        <row r="7885">
          <cell r="B7885" t="str">
            <v>26-019-14-91</v>
          </cell>
          <cell r="C7885" t="str">
            <v>smartDrive  WINKELST.  SCHR. 2,0x14 MM</v>
          </cell>
          <cell r="D7885" t="str">
            <v>smartDrive  LOCKING  SCREW 2.0x14 MM</v>
          </cell>
        </row>
        <row r="7886">
          <cell r="B7886" t="str">
            <v>26-019-15-09</v>
          </cell>
          <cell r="C7886" t="str">
            <v>smartDrive  WINKELST.  SCHR. 2,0x15 MM</v>
          </cell>
          <cell r="D7886" t="str">
            <v>smartDrive  LOCKING  SCREW 2.0x15 MM</v>
          </cell>
        </row>
        <row r="7887">
          <cell r="B7887" t="str">
            <v>26-019-15-71</v>
          </cell>
          <cell r="C7887" t="str">
            <v>smartDrive  WINKELST.  SCHR. 2,0x15 MM,STE</v>
          </cell>
          <cell r="D7887" t="str">
            <v>smartDrive  LOCKING  SCREW 2.0x15 MM, STE</v>
          </cell>
        </row>
        <row r="7888">
          <cell r="B7888" t="str">
            <v>26-019-15-91</v>
          </cell>
          <cell r="C7888" t="str">
            <v>smartDrive  WINKELST.  SCHR. 2,0x15 MM</v>
          </cell>
          <cell r="D7888" t="str">
            <v>smartDrive  LOCKING  SCREW 2.0x15 MM</v>
          </cell>
        </row>
        <row r="7889">
          <cell r="B7889" t="str">
            <v>26-019-16-09</v>
          </cell>
          <cell r="C7889" t="str">
            <v>smartDrive  WINKELST.  SCHR. 2,0x16 MM</v>
          </cell>
          <cell r="D7889" t="str">
            <v>smartDrive  LOCKING  SCREW 2.0x16 MM</v>
          </cell>
        </row>
        <row r="7890">
          <cell r="B7890" t="str">
            <v>26-019-16-71</v>
          </cell>
          <cell r="C7890" t="str">
            <v>smartDrive  WINKELST.  SCHR. 2,0x16 MM,STE</v>
          </cell>
          <cell r="D7890" t="str">
            <v>smartDrive  LOCKING  SCREW 2.0x16 MM, STE</v>
          </cell>
        </row>
        <row r="7891">
          <cell r="B7891" t="str">
            <v>26-019-16-91</v>
          </cell>
          <cell r="C7891" t="str">
            <v>smartDrive  WINKELST.  SCHR. 2,0x16 MM</v>
          </cell>
          <cell r="D7891" t="str">
            <v>smartDrive  LOCKING  SCREW 2.0x16 MM</v>
          </cell>
        </row>
        <row r="7892">
          <cell r="B7892" t="str">
            <v>26-019-17-09</v>
          </cell>
          <cell r="C7892" t="str">
            <v>smartDrive  WINKELST.  SCHR. 2,0 x 17 TI</v>
          </cell>
          <cell r="D7892" t="str">
            <v>smartDrive  LOCK. SCREW 2,0 x 17 TI</v>
          </cell>
        </row>
        <row r="7893">
          <cell r="B7893" t="str">
            <v>26-019-17-71</v>
          </cell>
          <cell r="C7893" t="str">
            <v>smartDrive  WINKELST.  SCHR. 2,0x17 MM,STE</v>
          </cell>
          <cell r="D7893" t="str">
            <v>smartDrive  LOCKING  SCREW 2.0x17 MM, STE</v>
          </cell>
        </row>
        <row r="7894">
          <cell r="B7894" t="str">
            <v>26-019-17-91</v>
          </cell>
          <cell r="C7894" t="str">
            <v>smartDrive  WINKELST.  SCHR. 2,0x17 MM</v>
          </cell>
          <cell r="D7894" t="str">
            <v>smartDrive  LOCKING  SCREW 2.0x17 MM</v>
          </cell>
        </row>
        <row r="7895">
          <cell r="B7895" t="str">
            <v>26-019-18-09</v>
          </cell>
          <cell r="C7895" t="str">
            <v>smartDrive  WINKELST.  SCHR. 2,0x18 MM</v>
          </cell>
          <cell r="D7895" t="str">
            <v>smartDrive  LOCKING  SCREW 2.0x18 MM</v>
          </cell>
        </row>
        <row r="7896">
          <cell r="B7896" t="str">
            <v>26-019-18-71</v>
          </cell>
          <cell r="C7896" t="str">
            <v>smartDrive  WINKELST.  SCHR. 2,0x18 MM,STE</v>
          </cell>
          <cell r="D7896" t="str">
            <v>smartDrive  LOCKING  SCREW 2.0x18 MM, STE</v>
          </cell>
        </row>
        <row r="7897">
          <cell r="B7897" t="str">
            <v>26-019-18-91</v>
          </cell>
          <cell r="C7897" t="str">
            <v>smartDrive  WINKELST.  SCHR. 2,0x18 MM</v>
          </cell>
          <cell r="D7897" t="str">
            <v>smartDrive  LOCKING  SCREW 2.0x18 MM</v>
          </cell>
        </row>
        <row r="7898">
          <cell r="B7898" t="str">
            <v>26-019-19-09</v>
          </cell>
          <cell r="C7898" t="str">
            <v>smartDrive  WINKELST.  SCHR. 2,0x19 MM</v>
          </cell>
          <cell r="D7898" t="str">
            <v>smartDrive  LOCKING  SCREW 2.0x19 MM</v>
          </cell>
        </row>
        <row r="7899">
          <cell r="B7899" t="str">
            <v>26-019-19-71</v>
          </cell>
          <cell r="C7899" t="str">
            <v>smartDrive  WINKELST.  SCHR. 2,0x19 MM,STE</v>
          </cell>
          <cell r="D7899" t="str">
            <v>smartDrive  LOCKING  SCREW 2.0x19 MM, STE</v>
          </cell>
        </row>
        <row r="7900">
          <cell r="B7900" t="str">
            <v>26-019-19-91</v>
          </cell>
          <cell r="C7900" t="str">
            <v>smartDrive  WINKELST.  SCHR. 2,0x19 MM</v>
          </cell>
          <cell r="D7900" t="str">
            <v>smartDrive  LOCKING  SCREW 2.0x19 MM</v>
          </cell>
        </row>
        <row r="7901">
          <cell r="B7901" t="str">
            <v>26-019-20-09</v>
          </cell>
          <cell r="C7901" t="str">
            <v>smartDrive  WINKELST.  SCHR. 2,0x20 MM</v>
          </cell>
          <cell r="D7901" t="str">
            <v>smartDrive  LOCKING  SCREW 2.0x20 MM</v>
          </cell>
        </row>
        <row r="7902">
          <cell r="B7902" t="str">
            <v>26-019-20-71</v>
          </cell>
          <cell r="C7902" t="str">
            <v>smartDrive  WINKELST.  SCHR. 2,0x20 MM,STE</v>
          </cell>
          <cell r="D7902" t="str">
            <v>smartDrive  LOCKING  SCREW 2.0x20 MM, STE</v>
          </cell>
        </row>
        <row r="7903">
          <cell r="B7903" t="str">
            <v>26-019-20-91</v>
          </cell>
          <cell r="C7903" t="str">
            <v>smartDrive  WINKELST.  SCHR. 2,0x20 MM</v>
          </cell>
          <cell r="D7903" t="str">
            <v>smartDrive  LOCKING  SCREW 2.0x20 MM</v>
          </cell>
        </row>
        <row r="7904">
          <cell r="B7904" t="str">
            <v>26-019-22-09</v>
          </cell>
          <cell r="C7904" t="str">
            <v>smartDrive  WINKELST.  SCHR. 2,0x22 MM</v>
          </cell>
          <cell r="D7904" t="str">
            <v>smartDrive  LOCKING  SCREW 2.0x22 MM</v>
          </cell>
        </row>
        <row r="7905">
          <cell r="B7905" t="str">
            <v>26-019-22-71</v>
          </cell>
          <cell r="C7905" t="str">
            <v>smartDrive  WINKELST.  SCHR. 2,0x22 MM,STE</v>
          </cell>
          <cell r="D7905" t="str">
            <v>smartDrive  LOCKING  SCREW 2.0x22 MM, STE</v>
          </cell>
        </row>
        <row r="7906">
          <cell r="B7906" t="str">
            <v>26-019-24-09</v>
          </cell>
          <cell r="C7906" t="str">
            <v>smartDrive  WINKELST.  SCHR. 2,0x24 MM</v>
          </cell>
          <cell r="D7906" t="str">
            <v>smartDrive  LOCKING  SCREW 2.0x24 MM</v>
          </cell>
        </row>
        <row r="7907">
          <cell r="B7907" t="str">
            <v>26-019-24-71</v>
          </cell>
          <cell r="C7907" t="str">
            <v>smartDrive  WINKELST.  SCHR. 2,0x24 MM,STE</v>
          </cell>
          <cell r="D7907" t="str">
            <v>smartDrive  LOCKING  SCREW 2.0x24 MM, STE</v>
          </cell>
        </row>
        <row r="7908">
          <cell r="B7908" t="str">
            <v>26-019-26-09</v>
          </cell>
          <cell r="C7908" t="str">
            <v>smartDrive  WINKELST.  SCHR. 2,0x26 MM</v>
          </cell>
          <cell r="D7908" t="str">
            <v>smartDrive  LOCKING  SCREW 2.0x26 MM</v>
          </cell>
        </row>
        <row r="7909">
          <cell r="B7909" t="str">
            <v>26-019-26-71</v>
          </cell>
          <cell r="C7909" t="str">
            <v>smartDrive  WINKELST.  SCHR. 2,0x26 MM,STE</v>
          </cell>
          <cell r="D7909" t="str">
            <v>smartDrive  LOCKING  SCREW 2.0x26 MM, STE</v>
          </cell>
        </row>
        <row r="7910">
          <cell r="B7910" t="str">
            <v>26-019-28-09</v>
          </cell>
          <cell r="C7910" t="str">
            <v>smartDrive  WINKELST.  SCHR. 2,0x28 MM</v>
          </cell>
          <cell r="D7910" t="str">
            <v>smartDrive  LOCKING  SCREW 2.0x28 MM</v>
          </cell>
        </row>
        <row r="7911">
          <cell r="B7911" t="str">
            <v>26-019-28-71</v>
          </cell>
          <cell r="C7911" t="str">
            <v>smartDrive  WINKELST.  SCHR. 2,0x28 MM,STE</v>
          </cell>
          <cell r="D7911" t="str">
            <v>smartDrive  LOCKING  SCREW 2.0x28 MM, STE</v>
          </cell>
        </row>
        <row r="7912">
          <cell r="B7912" t="str">
            <v>26-019-30-09</v>
          </cell>
          <cell r="C7912" t="str">
            <v>smartDrive  WINKELST.  SCHR. 2,0x30 MM</v>
          </cell>
          <cell r="D7912" t="str">
            <v>smartDrive  LOCKING  SCREW 2.0x30 MM</v>
          </cell>
        </row>
        <row r="7913">
          <cell r="B7913" t="str">
            <v>26-019-30-71</v>
          </cell>
          <cell r="C7913" t="str">
            <v>smartDrive  WINKELST.  SCHR. 2,0x30 MM,STE</v>
          </cell>
          <cell r="D7913" t="str">
            <v>smartDrive  LOCKING  SCREW 2.0x30 MM, STE</v>
          </cell>
        </row>
        <row r="7914">
          <cell r="B7914" t="str">
            <v>26-020-06-09</v>
          </cell>
          <cell r="C7914" t="str">
            <v>smartDrive  STANDARD  SCHR. 2,0x6 MM</v>
          </cell>
          <cell r="D7914" t="str">
            <v>smartDrive  STANDARD  SCREW 2.0x6 MM</v>
          </cell>
        </row>
        <row r="7915">
          <cell r="B7915" t="str">
            <v>26-020-06-71</v>
          </cell>
          <cell r="C7915" t="str">
            <v>smartDrive  STANDARD  SCHR. 2,0x6 MM, STE</v>
          </cell>
          <cell r="D7915" t="str">
            <v>smartDrive  STANDARD  SCREW 2.0x6 MM, STE</v>
          </cell>
        </row>
        <row r="7916">
          <cell r="B7916" t="str">
            <v>26-020-06-91</v>
          </cell>
          <cell r="C7916" t="str">
            <v>smartDrive  STANDARD  SCHR. 2,0x6 MM</v>
          </cell>
          <cell r="D7916" t="str">
            <v>smartDrive  STANDARD  SCREW 2.0x6 MM</v>
          </cell>
        </row>
        <row r="7917">
          <cell r="B7917" t="str">
            <v>26-020-07-09</v>
          </cell>
          <cell r="C7917" t="str">
            <v>smartDrive  STANDARD  SCHR. 2,0x7 MM</v>
          </cell>
          <cell r="D7917" t="str">
            <v>smartDrive  STANDARD  SCREW 2.0x7 MM</v>
          </cell>
        </row>
        <row r="7918">
          <cell r="B7918" t="str">
            <v>26-020-07-71</v>
          </cell>
          <cell r="C7918" t="str">
            <v>smartDrive  STANDARD  SCHR. 2,0x7 MM, STE</v>
          </cell>
          <cell r="D7918" t="str">
            <v>smartDrive  STANDARD  SCREW 2.0x7 MM, STE</v>
          </cell>
        </row>
        <row r="7919">
          <cell r="B7919" t="str">
            <v>26-020-07-91</v>
          </cell>
          <cell r="C7919" t="str">
            <v>smartDrive  STANDARD  SCHR. 2,0x7 MM</v>
          </cell>
          <cell r="D7919" t="str">
            <v>smartDrive  STANDARD  SCREW 2.0x7 MM</v>
          </cell>
        </row>
        <row r="7920">
          <cell r="B7920" t="str">
            <v>26-020-08-09</v>
          </cell>
          <cell r="C7920" t="str">
            <v>smartDrive  STANDARD  SCHR. 2,0x8 MM</v>
          </cell>
          <cell r="D7920" t="str">
            <v>smartDrive  STANDARD  SCREW 2.0x8 MM</v>
          </cell>
        </row>
        <row r="7921">
          <cell r="B7921" t="str">
            <v>26-020-08-71</v>
          </cell>
          <cell r="C7921" t="str">
            <v>smartDrive  STANDARD  SCHR. 2,0x8 MM, STE</v>
          </cell>
          <cell r="D7921" t="str">
            <v>smartDrive  STANDARD  SCREW 2.0x8 MM, STE</v>
          </cell>
        </row>
        <row r="7922">
          <cell r="B7922" t="str">
            <v>26-020-08-91</v>
          </cell>
          <cell r="C7922" t="str">
            <v>smartDrive  STANDARD  SCHR. 2,0x8 MM</v>
          </cell>
          <cell r="D7922" t="str">
            <v>smartDrive  STANDARD  SCREW 2.0x8 MM</v>
          </cell>
        </row>
        <row r="7923">
          <cell r="B7923" t="str">
            <v>26-020-09-09</v>
          </cell>
          <cell r="C7923" t="str">
            <v>smartDrive  STANDARD  SCHR. 2,0x9 MM</v>
          </cell>
          <cell r="D7923" t="str">
            <v>smartDrive  STANDARD  SCREW 2.0x9 MM</v>
          </cell>
        </row>
        <row r="7924">
          <cell r="B7924" t="str">
            <v>26-020-09-71</v>
          </cell>
          <cell r="C7924" t="str">
            <v>smartDrive  STANDARD  SCHR. 2,0x9 MM, STE</v>
          </cell>
          <cell r="D7924" t="str">
            <v>smartDrive  STANDARD  SCREW 2.0x9 MM, STE</v>
          </cell>
        </row>
        <row r="7925">
          <cell r="B7925" t="str">
            <v>26-020-09-91</v>
          </cell>
          <cell r="C7925" t="str">
            <v>smartDrive  STANDARD  SCHR. 2,0x9 MM</v>
          </cell>
          <cell r="D7925" t="str">
            <v>smartDrive  STANDARD  SCREW 2.0x9 MM</v>
          </cell>
        </row>
        <row r="7926">
          <cell r="B7926" t="str">
            <v>26-020-10-09</v>
          </cell>
          <cell r="C7926" t="str">
            <v>smartDrive  STANDARD  SCHR. 2,0x10 MM</v>
          </cell>
          <cell r="D7926" t="str">
            <v>smartDrive  STANDARD  SCREW 2.0x10 MM</v>
          </cell>
        </row>
        <row r="7927">
          <cell r="B7927" t="str">
            <v>26-020-10-71</v>
          </cell>
          <cell r="C7927" t="str">
            <v>smartDrive  STANDARD  SCHR. 2,0x10 MM, STE</v>
          </cell>
          <cell r="D7927" t="str">
            <v>smartDrive  STANDARD  SCREW 2.0x10 MM, STE</v>
          </cell>
        </row>
        <row r="7928">
          <cell r="B7928" t="str">
            <v>26-020-10-91</v>
          </cell>
          <cell r="C7928" t="str">
            <v>smartDrive  STANDARD  SCHR. 2,0x10 MM</v>
          </cell>
          <cell r="D7928" t="str">
            <v>smartDrive  STANDARD  SCREW 2.0x10 MM</v>
          </cell>
        </row>
        <row r="7929">
          <cell r="B7929" t="str">
            <v>26-020-11-09</v>
          </cell>
          <cell r="C7929" t="str">
            <v>smartDrive  STANDARD  SCHR. 2,0x11 MM</v>
          </cell>
          <cell r="D7929" t="str">
            <v>smartDrive  STANDARD  SCREW 2.0x11 MM</v>
          </cell>
        </row>
        <row r="7930">
          <cell r="B7930" t="str">
            <v>26-020-11-71</v>
          </cell>
          <cell r="C7930" t="str">
            <v>smartDrive  STANDARD  SCHR. 2,0x11 MM, STE</v>
          </cell>
          <cell r="D7930" t="str">
            <v>smartDrive  STANDARD  SCREW 2.0x11 MM, STE</v>
          </cell>
        </row>
        <row r="7931">
          <cell r="B7931" t="str">
            <v>26-020-11-91</v>
          </cell>
          <cell r="C7931" t="str">
            <v>smartDrive  STANDARD  SCHR. 2,0x11 MM</v>
          </cell>
          <cell r="D7931" t="str">
            <v>smartDrive  STANDARD  SCREW 2.0x11 MM</v>
          </cell>
        </row>
        <row r="7932">
          <cell r="B7932" t="str">
            <v>26-020-12-09</v>
          </cell>
          <cell r="C7932" t="str">
            <v>smartDrive  STANDARD  SCHR. 2,0x12 MM</v>
          </cell>
          <cell r="D7932" t="str">
            <v>smartDrive  STANDARD  SCREW 2.0x12 MM</v>
          </cell>
        </row>
        <row r="7933">
          <cell r="B7933" t="str">
            <v>26-020-12-71</v>
          </cell>
          <cell r="C7933" t="str">
            <v>smartDrive  STANDARD  SCHR. 2,0x12 MM, STE</v>
          </cell>
          <cell r="D7933" t="str">
            <v>smartDrive  STANDARD  SCREW 2.0x12 MM, STE</v>
          </cell>
        </row>
        <row r="7934">
          <cell r="B7934" t="str">
            <v>26-020-12-91</v>
          </cell>
          <cell r="C7934" t="str">
            <v>smartDrive  STANDARD  SCHR. 2,0x12 MM</v>
          </cell>
          <cell r="D7934" t="str">
            <v>smartDrive  STANDARD  SCREW 2.0x12 MM</v>
          </cell>
        </row>
        <row r="7935">
          <cell r="B7935" t="str">
            <v>26-020-13-09</v>
          </cell>
          <cell r="C7935" t="str">
            <v>smartDrive  STANDARD  SCHR. 2,0x13 MM</v>
          </cell>
          <cell r="D7935" t="str">
            <v>smartDrive  STANDARD  SCREW 2.0x13 MM</v>
          </cell>
        </row>
        <row r="7936">
          <cell r="B7936" t="str">
            <v>26-020-13-71</v>
          </cell>
          <cell r="C7936" t="str">
            <v>smartDrive  STANDARD  SCHR. 2,0x13 MM, STE</v>
          </cell>
          <cell r="D7936" t="str">
            <v>smartDrive  STANDARD  SCREW 2.0x13 MM, STE</v>
          </cell>
        </row>
        <row r="7937">
          <cell r="B7937" t="str">
            <v>26-020-13-91</v>
          </cell>
          <cell r="C7937" t="str">
            <v>smartDrive  STANDARD  SCHR. 2,0x13 MM</v>
          </cell>
          <cell r="D7937" t="str">
            <v>smartDrive  STANDARD  SCREW 2.0x13 MM</v>
          </cell>
        </row>
        <row r="7938">
          <cell r="B7938" t="str">
            <v>26-020-14-09</v>
          </cell>
          <cell r="C7938" t="str">
            <v>smartDrive  STANDARD  SCHR. 2,0x14 MM</v>
          </cell>
          <cell r="D7938" t="str">
            <v>smartDrive  STANDARD  SCREW 2.0x14 MM</v>
          </cell>
        </row>
        <row r="7939">
          <cell r="B7939" t="str">
            <v>26-020-14-71</v>
          </cell>
          <cell r="C7939" t="str">
            <v>smartDrive  STANDARD  SCHR. 2,0x14 MM, STE</v>
          </cell>
          <cell r="D7939" t="str">
            <v>smartDrive  STANDARD  SCREW 2.0x14 MM, STE</v>
          </cell>
        </row>
        <row r="7940">
          <cell r="B7940" t="str">
            <v>26-020-14-91</v>
          </cell>
          <cell r="C7940" t="str">
            <v>smartDrive  STANDARD  SCHR. 2,0x14 MM</v>
          </cell>
          <cell r="D7940" t="str">
            <v>smartDrive  STANDARD  SCREW 2.0x14 MM</v>
          </cell>
        </row>
        <row r="7941">
          <cell r="B7941" t="str">
            <v>26-020-15-09</v>
          </cell>
          <cell r="C7941" t="str">
            <v>smartDrive  STANDARD  SCHR. 2,0x15 MM</v>
          </cell>
          <cell r="D7941" t="str">
            <v>smartDrive  STANDARD  SCREW 2.0x15 MM</v>
          </cell>
        </row>
        <row r="7942">
          <cell r="B7942" t="str">
            <v>26-020-15-71</v>
          </cell>
          <cell r="C7942" t="str">
            <v>smartDrive  STANDARD  SCHR. 2,0x15 MM, STE</v>
          </cell>
          <cell r="D7942" t="str">
            <v>smartDrive  STANDARD  SCREW 2.0x15 MM, STE</v>
          </cell>
        </row>
        <row r="7943">
          <cell r="B7943" t="str">
            <v>26-020-15-91</v>
          </cell>
          <cell r="C7943" t="str">
            <v>smartDrive  STANDARD  SCHR. 2,0x15 MM</v>
          </cell>
          <cell r="D7943" t="str">
            <v>smartDrive  STANDARD  SCREW 2.0x15 MM</v>
          </cell>
        </row>
        <row r="7944">
          <cell r="B7944" t="str">
            <v>26-020-16-09</v>
          </cell>
          <cell r="C7944" t="str">
            <v>smartDrive  STANDARD  SCHR. 2,0x16 MM</v>
          </cell>
          <cell r="D7944" t="str">
            <v>smartDrive  STANDARD  SCREW 2.0x16 MM</v>
          </cell>
        </row>
        <row r="7945">
          <cell r="B7945" t="str">
            <v>26-020-16-71</v>
          </cell>
          <cell r="C7945" t="str">
            <v>smartDrive  STANDARD  SCHR. 2,0x16 MM, STE</v>
          </cell>
          <cell r="D7945" t="str">
            <v>smartDrive  STANDARD  SCREW 2.0x16 MM, STE</v>
          </cell>
        </row>
        <row r="7946">
          <cell r="B7946" t="str">
            <v>26-020-16-91</v>
          </cell>
          <cell r="C7946" t="str">
            <v>smartDrive  STANDARD  SCHR. 2,0x16 MM</v>
          </cell>
          <cell r="D7946" t="str">
            <v>smartDrive  STANDARD  SCREW 2.0x16 MM</v>
          </cell>
        </row>
        <row r="7947">
          <cell r="B7947" t="str">
            <v>26-020-17-09</v>
          </cell>
          <cell r="C7947" t="str">
            <v>smartDrive  STANDARD  SCHR. 2,0x17 MM</v>
          </cell>
          <cell r="D7947" t="str">
            <v>smartDrive  STANDARD  SCREW 2.0x17 MM</v>
          </cell>
        </row>
        <row r="7948">
          <cell r="B7948" t="str">
            <v>26-020-17-71</v>
          </cell>
          <cell r="C7948" t="str">
            <v>smartDrive  STANDARD  SCHR. 2,0x17 MM, STE</v>
          </cell>
          <cell r="D7948" t="str">
            <v>smartDrive  STANDARD  SCREW 2.0x17 MM, STE</v>
          </cell>
        </row>
        <row r="7949">
          <cell r="B7949" t="str">
            <v>26-020-17-91</v>
          </cell>
          <cell r="C7949" t="str">
            <v>smartDrive  STANDARD  SCHR. 2,0x17 MM</v>
          </cell>
          <cell r="D7949" t="str">
            <v>smartDrive  STANDARD  SCREW 2.0x17 MM</v>
          </cell>
        </row>
        <row r="7950">
          <cell r="B7950" t="str">
            <v>26-020-18-09</v>
          </cell>
          <cell r="C7950" t="str">
            <v>smartDrive  STANDARD  SCHR. 2,0x18 MM</v>
          </cell>
          <cell r="D7950" t="str">
            <v>smartDrive  STANDARD  SCREW 2.0x18 MM</v>
          </cell>
        </row>
        <row r="7951">
          <cell r="B7951" t="str">
            <v>26-020-18-71</v>
          </cell>
          <cell r="C7951" t="str">
            <v>smartDrive  STANDARD  SCHR. 2,0x18 MM, STE</v>
          </cell>
          <cell r="D7951" t="str">
            <v>smartDrive  STANDARD  SCREW 2.0x18 MM, STE</v>
          </cell>
        </row>
        <row r="7952">
          <cell r="B7952" t="str">
            <v>26-020-18-91</v>
          </cell>
          <cell r="C7952" t="str">
            <v>smartDrive  STANDARD  SCHR. 2,0x18 MM</v>
          </cell>
          <cell r="D7952" t="str">
            <v>smartDrive  STANDARD  SCREW 2.0x18 MM</v>
          </cell>
        </row>
        <row r="7953">
          <cell r="B7953" t="str">
            <v>26-020-19-09</v>
          </cell>
          <cell r="C7953" t="str">
            <v>smartDrive  STANDARD  SCHR. 2,0x19 MM</v>
          </cell>
          <cell r="D7953" t="str">
            <v>smartDrive  STANDARD  SCREW 2.0x19 MM</v>
          </cell>
        </row>
        <row r="7954">
          <cell r="B7954" t="str">
            <v>26-020-19-71</v>
          </cell>
          <cell r="C7954" t="str">
            <v>smartDrive  STANDARD  SCHR. 2,0x19 MM, STE</v>
          </cell>
          <cell r="D7954" t="str">
            <v>smartDrive  STANDARD  SCREW 2.0x19 MM, STE</v>
          </cell>
        </row>
        <row r="7955">
          <cell r="B7955" t="str">
            <v>26-020-19-91</v>
          </cell>
          <cell r="C7955" t="str">
            <v>smartDrive  STANDARD  SCHR. 2,0x19 MM</v>
          </cell>
          <cell r="D7955" t="str">
            <v>smartDrive  STANDARD  SCREW 2.0x19 MM</v>
          </cell>
        </row>
        <row r="7956">
          <cell r="B7956" t="str">
            <v>26-020-20-09</v>
          </cell>
          <cell r="C7956" t="str">
            <v>smartDrive  STANDARD  SCHR. 2,0x20 MM</v>
          </cell>
          <cell r="D7956" t="str">
            <v>smartDrive  STANDARD  SCREW 2.0x20 MM</v>
          </cell>
        </row>
        <row r="7957">
          <cell r="B7957" t="str">
            <v>26-020-20-71</v>
          </cell>
          <cell r="C7957" t="str">
            <v>smartDrive  STANDARD  SCHR. 2,0x20 MM, STE</v>
          </cell>
          <cell r="D7957" t="str">
            <v>smartDrive  STANDARD  SCREW 2.0x20 MM, STE</v>
          </cell>
        </row>
        <row r="7958">
          <cell r="B7958" t="str">
            <v>26-020-20-91</v>
          </cell>
          <cell r="C7958" t="str">
            <v>smartDrive  STANDARD  SCHR. 2,0x20 MM</v>
          </cell>
          <cell r="D7958" t="str">
            <v>smartDrive  STANDARD  SCREW 2.0x20 MM</v>
          </cell>
        </row>
        <row r="7959">
          <cell r="B7959" t="str">
            <v>26-020-22-09</v>
          </cell>
          <cell r="C7959" t="str">
            <v>smartDrive  STANDARD  SCHR. 2,0x22 MM</v>
          </cell>
          <cell r="D7959" t="str">
            <v>smartDrive  STANDARD  SCREW 2.0x22 MM</v>
          </cell>
        </row>
        <row r="7960">
          <cell r="B7960" t="str">
            <v>26-020-22-71</v>
          </cell>
          <cell r="C7960" t="str">
            <v>smartDrive  STANDARD  SCHR. 2,0x22 MM, STE</v>
          </cell>
          <cell r="D7960" t="str">
            <v>smartDrive  STANDARD  SCREW 2.0x22 MM, STE</v>
          </cell>
        </row>
        <row r="7961">
          <cell r="B7961" t="str">
            <v>26-020-24-09</v>
          </cell>
          <cell r="C7961" t="str">
            <v>smartDrive  STANDARD  SCHR. 2,0x24 MM</v>
          </cell>
          <cell r="D7961" t="str">
            <v>smartDrive  STANDARD  SCREW 2.0x24 MM</v>
          </cell>
        </row>
        <row r="7962">
          <cell r="B7962" t="str">
            <v>26-020-24-71</v>
          </cell>
          <cell r="C7962" t="str">
            <v>smartDrive  STANDARD  SCHR. 2,0x24 MM, STE</v>
          </cell>
          <cell r="D7962" t="str">
            <v>smartDrive  STANDARD  SCREW 2.0x24 MM, STE</v>
          </cell>
        </row>
        <row r="7963">
          <cell r="B7963" t="str">
            <v>26-020-26-09</v>
          </cell>
          <cell r="C7963" t="str">
            <v>smartDrive  STANDARD  SCHR. 2,0x26 MM</v>
          </cell>
          <cell r="D7963" t="str">
            <v>smartDrive  STANDARD  SCREW 2.0x26 MM</v>
          </cell>
        </row>
        <row r="7964">
          <cell r="B7964" t="str">
            <v>26-020-26-71</v>
          </cell>
          <cell r="C7964" t="str">
            <v>smartDrive  STANDARD  SCHR. 2,0x26 MM, STE</v>
          </cell>
          <cell r="D7964" t="str">
            <v>smartDrive  STANDARD  SCREW 2.0x26 MM, STE</v>
          </cell>
        </row>
        <row r="7965">
          <cell r="B7965" t="str">
            <v>26-020-28-09</v>
          </cell>
          <cell r="C7965" t="str">
            <v>smartDrive  STANDARD  SCHR. 2,0x28 MM</v>
          </cell>
          <cell r="D7965" t="str">
            <v>smartDrive  STANDARD  SCREW 2.0x28 MM</v>
          </cell>
        </row>
        <row r="7966">
          <cell r="B7966" t="str">
            <v>26-020-28-71</v>
          </cell>
          <cell r="C7966" t="str">
            <v>smartDrive  STANDARD  SCHR. 2,0x28 MM, STE</v>
          </cell>
          <cell r="D7966" t="str">
            <v>smartDrive  STANDARD  SCREW 2.0x28 MM, STE</v>
          </cell>
        </row>
        <row r="7967">
          <cell r="B7967" t="str">
            <v>26-020-30-09</v>
          </cell>
          <cell r="C7967" t="str">
            <v>smartDrive  STANDARD  SCHR. 2,0x30 MM</v>
          </cell>
          <cell r="D7967" t="str">
            <v>smartDrive  STANDARD  SCREW 2.0x30 MM</v>
          </cell>
        </row>
        <row r="7968">
          <cell r="B7968" t="str">
            <v>26-020-30-71</v>
          </cell>
          <cell r="C7968" t="str">
            <v>smartDrive  STANDARD  SCHR. 2,0x30 MM, STE</v>
          </cell>
          <cell r="D7968" t="str">
            <v>smartDrive  STANDARD  SCREW 2.0x30 MM, STE</v>
          </cell>
        </row>
        <row r="7969">
          <cell r="B7969" t="str">
            <v>26-022-06-09</v>
          </cell>
          <cell r="C7969" t="str">
            <v>smartDrive  WINKELST.  SCHR. 2,3x6 MM</v>
          </cell>
          <cell r="D7969" t="str">
            <v>smartDrive  LOCKING  SCREW 2.3x6 MM</v>
          </cell>
        </row>
        <row r="7970">
          <cell r="B7970" t="str">
            <v>26-022-06-71</v>
          </cell>
          <cell r="C7970" t="str">
            <v>smartDrive  WINKELST.  SCHR. 2,3x6 MM, STE</v>
          </cell>
          <cell r="D7970" t="str">
            <v>smartDrive  LOCKING  SCREW 2.3x6 MM, STE</v>
          </cell>
        </row>
        <row r="7971">
          <cell r="B7971" t="str">
            <v>26-022-06-91</v>
          </cell>
          <cell r="C7971" t="str">
            <v>smartDrive  WINKELST.  SCHR. 2,3x6 MM</v>
          </cell>
          <cell r="D7971" t="str">
            <v>smartDrive  LOCKING  SCREW 2.3x6 MM</v>
          </cell>
        </row>
        <row r="7972">
          <cell r="B7972" t="str">
            <v>26-022-07-09</v>
          </cell>
          <cell r="C7972" t="str">
            <v>smartDrive  WINKELST.  SCHR. 2,3x7 MM</v>
          </cell>
          <cell r="D7972" t="str">
            <v>smartDrive  LOCKING  SCREW 2.3x7 MM</v>
          </cell>
        </row>
        <row r="7973">
          <cell r="B7973" t="str">
            <v>26-022-07-71</v>
          </cell>
          <cell r="C7973" t="str">
            <v>smartDrive  WINKELST.  SCHR. 2,3x7 MM, STE</v>
          </cell>
          <cell r="D7973" t="str">
            <v>smartDrive  LOCKING  SCREW 2.3x7 MM, STE</v>
          </cell>
        </row>
        <row r="7974">
          <cell r="B7974" t="str">
            <v>26-022-07-91</v>
          </cell>
          <cell r="C7974" t="str">
            <v>smartDrive  WINKELST.  SCHR. 2,3x7 MM</v>
          </cell>
          <cell r="D7974" t="str">
            <v>smartDrive  LOCKING  SCREW 2.3x7 MM</v>
          </cell>
        </row>
        <row r="7975">
          <cell r="B7975" t="str">
            <v>26-022-08-09</v>
          </cell>
          <cell r="C7975" t="str">
            <v>smartDrive  WINKELST.  SCHR. 2,3x8 MM</v>
          </cell>
          <cell r="D7975" t="str">
            <v>smartDrive  LOCKING  SCREW 2.3x8 MM</v>
          </cell>
        </row>
        <row r="7976">
          <cell r="B7976" t="str">
            <v>26-022-08-71</v>
          </cell>
          <cell r="C7976" t="str">
            <v>smartDrive  WINKELST.  SCHR. 2,3x8 MM, STE</v>
          </cell>
          <cell r="D7976" t="str">
            <v>smartDrive  LOCKING  SCREW 2.3x8 MM, STE</v>
          </cell>
        </row>
        <row r="7977">
          <cell r="B7977" t="str">
            <v>26-022-08-91</v>
          </cell>
          <cell r="C7977" t="str">
            <v>smartDrive  WINKELST.  SCHR. 2,3x8 MM</v>
          </cell>
          <cell r="D7977" t="str">
            <v>smartDrive  LOCKING  SCREW 2.3x8 MM</v>
          </cell>
        </row>
        <row r="7978">
          <cell r="B7978" t="str">
            <v>26-022-09-09</v>
          </cell>
          <cell r="C7978" t="str">
            <v>smartDrive  WINKELST.  SCHR. 2,3x9 MM</v>
          </cell>
          <cell r="D7978" t="str">
            <v>smartDrive  LOCKING  SCREW 2.3x9 MM</v>
          </cell>
        </row>
        <row r="7979">
          <cell r="B7979" t="str">
            <v>26-022-09-71</v>
          </cell>
          <cell r="C7979" t="str">
            <v>smartDrive  WINKELST.  SCHR. 2,3x9 MM, STE</v>
          </cell>
          <cell r="D7979" t="str">
            <v>smartDrive  LOCKING  SCREW 2.3x9 MM, STE</v>
          </cell>
        </row>
        <row r="7980">
          <cell r="B7980" t="str">
            <v>26-022-09-91</v>
          </cell>
          <cell r="C7980" t="str">
            <v>smartDrive  WINKELST.  SCHR. 2,3x9 MM</v>
          </cell>
          <cell r="D7980" t="str">
            <v>smartDrive  LOCKING  SCREW 2.3x9 MM</v>
          </cell>
        </row>
        <row r="7981">
          <cell r="B7981" t="str">
            <v>26-022-10-09</v>
          </cell>
          <cell r="C7981" t="str">
            <v>smartDrive  WINKELST.  SCHR. 2,3x10 MM</v>
          </cell>
          <cell r="D7981" t="str">
            <v>smartDrive  LOCKING  SCREW 2.3x10 MM</v>
          </cell>
        </row>
        <row r="7982">
          <cell r="B7982" t="str">
            <v>26-022-10-71</v>
          </cell>
          <cell r="C7982" t="str">
            <v>smartDrive  WINKELST.  SCHR. 2,3x10 MM,STE</v>
          </cell>
          <cell r="D7982" t="str">
            <v>smartDrive  LOCKING  SCREW 2.3x10 MM, STE</v>
          </cell>
        </row>
        <row r="7983">
          <cell r="B7983" t="str">
            <v>26-022-10-91</v>
          </cell>
          <cell r="C7983" t="str">
            <v>smartDrive  WINKELST.  SCHR. 2,3x10 MM</v>
          </cell>
          <cell r="D7983" t="str">
            <v>smartDrive  LOCKING  SCREW 2.3x10 MM</v>
          </cell>
        </row>
        <row r="7984">
          <cell r="B7984" t="str">
            <v>26-022-11-09</v>
          </cell>
          <cell r="C7984" t="str">
            <v>smartDrive  WINKELST.  SCHR. 2,3x11 MM</v>
          </cell>
          <cell r="D7984" t="str">
            <v>smartDrive  LOCKING  SCREW 2.3x11 MM</v>
          </cell>
        </row>
        <row r="7985">
          <cell r="B7985" t="str">
            <v>26-022-11-71</v>
          </cell>
          <cell r="C7985" t="str">
            <v>smartDrive  WINKELST.  SCHR. 2,3x11 MM,STE</v>
          </cell>
          <cell r="D7985" t="str">
            <v>smartDrive  LOCKING  SCREW 2.3x11 MM, STE</v>
          </cell>
        </row>
        <row r="7986">
          <cell r="B7986" t="str">
            <v>26-022-11-91</v>
          </cell>
          <cell r="C7986" t="str">
            <v>smartDrive  WINKELST.  SCHR. 2,3x11 MM</v>
          </cell>
          <cell r="D7986" t="str">
            <v>smartDrive  LOCKING  SCREW 2.3x11 MM</v>
          </cell>
        </row>
        <row r="7987">
          <cell r="B7987" t="str">
            <v>26-022-12-09</v>
          </cell>
          <cell r="C7987" t="str">
            <v>smartDrive  WINKELST.  SCHR. 2,3x12 MM</v>
          </cell>
          <cell r="D7987" t="str">
            <v>smartDrive  LOCKING  SCREW 2.3x12 MM</v>
          </cell>
        </row>
        <row r="7988">
          <cell r="B7988" t="str">
            <v>26-022-12-71</v>
          </cell>
          <cell r="C7988" t="str">
            <v>smartDrive  WINKELST.  SCHR. 2,3x12 MM,STE</v>
          </cell>
          <cell r="D7988" t="str">
            <v>smartDrive  LOCKING  SCREW 2.3x12 MM, STE</v>
          </cell>
        </row>
        <row r="7989">
          <cell r="B7989" t="str">
            <v>26-022-12-91</v>
          </cell>
          <cell r="C7989" t="str">
            <v>smartDrive  WINKELST.  SCHR. 2,3x12 MM</v>
          </cell>
          <cell r="D7989" t="str">
            <v>smartDrive  LOCKING  SCREW 2.3x12 MM</v>
          </cell>
        </row>
        <row r="7990">
          <cell r="B7990" t="str">
            <v>26-022-13-09</v>
          </cell>
          <cell r="C7990" t="str">
            <v>smartDrive  WINKELST.  SCHR. 2,3x13 MM</v>
          </cell>
          <cell r="D7990" t="str">
            <v>smartDrive  LOCKING  SCREW 2.3x13 MM</v>
          </cell>
        </row>
        <row r="7991">
          <cell r="B7991" t="str">
            <v>26-022-13-71</v>
          </cell>
          <cell r="C7991" t="str">
            <v>smartDrive  WINKELST.  SCHR. 2,3x13 MM,STE</v>
          </cell>
          <cell r="D7991" t="str">
            <v>smartDrive  LOCKING  SCREW 2.3x13 MM, STE</v>
          </cell>
        </row>
        <row r="7992">
          <cell r="B7992" t="str">
            <v>26-022-13-91</v>
          </cell>
          <cell r="C7992" t="str">
            <v>smartDrive  WINKELST.  SCHR. 2,3x13 MM</v>
          </cell>
          <cell r="D7992" t="str">
            <v>smartDrive  LOCKING  SCREW 2.3x13 MM</v>
          </cell>
        </row>
        <row r="7993">
          <cell r="B7993" t="str">
            <v>26-022-14-09</v>
          </cell>
          <cell r="C7993" t="str">
            <v>smartDrive  WINKELST.  SCHR. 2,3x14 MM</v>
          </cell>
          <cell r="D7993" t="str">
            <v>smartDrive  LOCKING  SCREW 2.3x14 MM</v>
          </cell>
        </row>
        <row r="7994">
          <cell r="B7994" t="str">
            <v>26-022-14-71</v>
          </cell>
          <cell r="C7994" t="str">
            <v>smartDrive  WINKELST.  SCHR. 2,3x14 MM,STE</v>
          </cell>
          <cell r="D7994" t="str">
            <v>smartDrive  LOCKING  SCREW 2.3x14 MM, STE</v>
          </cell>
        </row>
        <row r="7995">
          <cell r="B7995" t="str">
            <v>26-022-14-91</v>
          </cell>
          <cell r="C7995" t="str">
            <v>smartDrive  WINKELST.  SCHR. 2,3x14 MM</v>
          </cell>
          <cell r="D7995" t="str">
            <v>smartDrive  LOCKING  SCREW 2.3x14 MM</v>
          </cell>
        </row>
        <row r="7996">
          <cell r="B7996" t="str">
            <v>26-022-15-09</v>
          </cell>
          <cell r="C7996" t="str">
            <v>smartDrive  WINKELST.  SCHR. 2,3x15 MM</v>
          </cell>
          <cell r="D7996" t="str">
            <v>smartDrive  LOCKING  SCREW 2.3x15 MM</v>
          </cell>
        </row>
        <row r="7997">
          <cell r="B7997" t="str">
            <v>26-022-15-71</v>
          </cell>
          <cell r="C7997" t="str">
            <v>smartDrive  WINKELST.  SCHR. 2,3x15 MM,STE</v>
          </cell>
          <cell r="D7997" t="str">
            <v>smartDrive  LOCKING  SCREW 2.3x15 MM, STE</v>
          </cell>
        </row>
        <row r="7998">
          <cell r="B7998" t="str">
            <v>26-022-15-91</v>
          </cell>
          <cell r="C7998" t="str">
            <v>smartDrive  WINKELST.  SCHR. 2,3x15 MM</v>
          </cell>
          <cell r="D7998" t="str">
            <v>smartDrive  LOCKING  SCREW 2.3x15 MM</v>
          </cell>
        </row>
        <row r="7999">
          <cell r="B7999" t="str">
            <v>26-022-16-09</v>
          </cell>
          <cell r="C7999" t="str">
            <v>smartDrive  WINKELST.  SCHR. 2,3x16 MM</v>
          </cell>
          <cell r="D7999" t="str">
            <v>smartDrive  LOCKING  SCREW 2.3x16 MM</v>
          </cell>
        </row>
        <row r="8000">
          <cell r="B8000" t="str">
            <v>26-022-16-71</v>
          </cell>
          <cell r="C8000" t="str">
            <v>smartDrive  WINKELST.  SCHR. 2,3x16 MM,STE</v>
          </cell>
          <cell r="D8000" t="str">
            <v>smartDrive  LOCKING  SCREW 2.3x16 MM, STE</v>
          </cell>
        </row>
        <row r="8001">
          <cell r="B8001" t="str">
            <v>26-022-16-91</v>
          </cell>
          <cell r="C8001" t="str">
            <v>smartDrive  WINKELST.  SCHR. 2,3x16 MM</v>
          </cell>
          <cell r="D8001" t="str">
            <v>smartDrive  LOCKING  SCREW 2.3x16 MM</v>
          </cell>
        </row>
        <row r="8002">
          <cell r="B8002" t="str">
            <v>26-022-17-09</v>
          </cell>
          <cell r="C8002" t="str">
            <v>smartDrive  WINKELST.  SCHR. 2,3x17 MM</v>
          </cell>
          <cell r="D8002" t="str">
            <v>smartDrive  LOCKING  SCREW 2.3x17 MM</v>
          </cell>
        </row>
        <row r="8003">
          <cell r="B8003" t="str">
            <v>26-022-17-71</v>
          </cell>
          <cell r="C8003" t="str">
            <v>smartDrive  WINKELST.  SCHR. 2,3x17 MM,STE</v>
          </cell>
          <cell r="D8003" t="str">
            <v>smartDrive  LOCKING  SCREW 2.3x17 MM, STE</v>
          </cell>
        </row>
        <row r="8004">
          <cell r="B8004" t="str">
            <v>26-022-17-91</v>
          </cell>
          <cell r="C8004" t="str">
            <v>smartDrive  WINKELST.  SCHR. 2,3x17 MM</v>
          </cell>
          <cell r="D8004" t="str">
            <v>smartDrive  LOCKING  SCREW 2.3x17 MM</v>
          </cell>
        </row>
        <row r="8005">
          <cell r="B8005" t="str">
            <v>26-022-18-09</v>
          </cell>
          <cell r="C8005" t="str">
            <v>smartDrive  WINKELST.  SCHR. 2,3x18 MM</v>
          </cell>
          <cell r="D8005" t="str">
            <v>smartDrive  LOCKING  SCREW 2.3x18 MM</v>
          </cell>
        </row>
        <row r="8006">
          <cell r="B8006" t="str">
            <v>26-022-18-71</v>
          </cell>
          <cell r="C8006" t="str">
            <v>smartDrive  WINKELST.  SCHR. 2,3x18 MM,STE</v>
          </cell>
          <cell r="D8006" t="str">
            <v>smartDrive  LOCKING  SCREW 2.3x18 MM, STE</v>
          </cell>
        </row>
        <row r="8007">
          <cell r="B8007" t="str">
            <v>26-022-18-91</v>
          </cell>
          <cell r="C8007" t="str">
            <v>smartDrive  WINKELST.  SCHR. 2,3x18 MM</v>
          </cell>
          <cell r="D8007" t="str">
            <v>smartDrive  LOCKING  SCREW 2.3x18 MM</v>
          </cell>
        </row>
        <row r="8008">
          <cell r="B8008" t="str">
            <v>26-022-19-09</v>
          </cell>
          <cell r="C8008" t="str">
            <v>smartDrive  WINKELST.  SCHR. 2,3x19 MM</v>
          </cell>
          <cell r="D8008" t="str">
            <v>smartDrive  LOCKING  SCREW 2.3x19 MM</v>
          </cell>
        </row>
        <row r="8009">
          <cell r="B8009" t="str">
            <v>26-022-19-71</v>
          </cell>
          <cell r="C8009" t="str">
            <v>smartDrive  WINKELST.  SCHR. 2,3x19 MM,STE</v>
          </cell>
          <cell r="D8009" t="str">
            <v>smartDrive  LOCKING  SCREW 2.3x19 MM, STE</v>
          </cell>
        </row>
        <row r="8010">
          <cell r="B8010" t="str">
            <v>26-022-19-91</v>
          </cell>
          <cell r="C8010" t="str">
            <v>smartDrive  WINKELST.  SCHR. 2,3x19 MM</v>
          </cell>
          <cell r="D8010" t="str">
            <v>smartDrive  LOCKING  SCREW 2.3x19 MM</v>
          </cell>
        </row>
        <row r="8011">
          <cell r="B8011" t="str">
            <v>26-022-20-09</v>
          </cell>
          <cell r="C8011" t="str">
            <v>smartDrive  WINKELST.  SCHR. 2,3x20 MM</v>
          </cell>
          <cell r="D8011" t="str">
            <v>smartDrive  LOCKING  SCREW 2.3x20 MM</v>
          </cell>
        </row>
        <row r="8012">
          <cell r="B8012" t="str">
            <v>26-022-20-71</v>
          </cell>
          <cell r="C8012" t="str">
            <v>smartDrive  WINKELST.  SCHR. 2,3x20 MM,STE</v>
          </cell>
          <cell r="D8012" t="str">
            <v>smartDrive  LOCKING  SCREW 2.3x20 MM, STE</v>
          </cell>
        </row>
        <row r="8013">
          <cell r="B8013" t="str">
            <v>26-022-20-91</v>
          </cell>
          <cell r="C8013" t="str">
            <v>smartDrive  WINKELST.  SCHR. 2,3x20 MM</v>
          </cell>
          <cell r="D8013" t="str">
            <v>smartDrive  LOCKING  SCREW 2.3x20 MM</v>
          </cell>
        </row>
        <row r="8014">
          <cell r="B8014" t="str">
            <v>26-022-22-09</v>
          </cell>
          <cell r="C8014" t="str">
            <v>smartDrive  WINKELST.  SCHR. 2,3x22 MM</v>
          </cell>
          <cell r="D8014" t="str">
            <v>smartDrive  LOCKING  SCREW 2.3x22 MM</v>
          </cell>
        </row>
        <row r="8015">
          <cell r="B8015" t="str">
            <v>26-022-22-71</v>
          </cell>
          <cell r="C8015" t="str">
            <v>smartDrive  WINKELST.  SCHR. 2,3x22 MM,STE</v>
          </cell>
          <cell r="D8015" t="str">
            <v>smartDrive  LOCKING  SCREW 2.3x22 MM, STE</v>
          </cell>
        </row>
        <row r="8016">
          <cell r="B8016" t="str">
            <v>26-022-24-09</v>
          </cell>
          <cell r="C8016" t="str">
            <v>smartDrive  WINKELST.  SCHR. 2,3x24 MM</v>
          </cell>
          <cell r="D8016" t="str">
            <v>smartDrive  LOCKING  SCREW 2.3x24 MM</v>
          </cell>
        </row>
        <row r="8017">
          <cell r="B8017" t="str">
            <v>26-022-24-71</v>
          </cell>
          <cell r="C8017" t="str">
            <v>smartDrive  WINKELST.  SCHR. 2,3x24 MM,STE</v>
          </cell>
          <cell r="D8017" t="str">
            <v>smartDrive  LOCKING  SCREW 2.3x24 MM, STE</v>
          </cell>
        </row>
        <row r="8018">
          <cell r="B8018" t="str">
            <v>26-022-26-09</v>
          </cell>
          <cell r="C8018" t="str">
            <v>smartDrive  WINKELST.  SCHR. 2,3x26 MM</v>
          </cell>
          <cell r="D8018" t="str">
            <v>smartDrive  LOCKING  SCREW 2.3x26 MM</v>
          </cell>
        </row>
        <row r="8019">
          <cell r="B8019" t="str">
            <v>26-022-26-71</v>
          </cell>
          <cell r="C8019" t="str">
            <v>smartDrive  WINKELST.  SCHR. 2,3x26 MM,STE</v>
          </cell>
          <cell r="D8019" t="str">
            <v>smartDrive  LOCKING  SCREW 2.3x26 MM, STE</v>
          </cell>
        </row>
        <row r="8020">
          <cell r="B8020" t="str">
            <v>26-022-28-09</v>
          </cell>
          <cell r="C8020" t="str">
            <v>smartDrive  WINKELST.  SCHR. 2,3x28 MM</v>
          </cell>
          <cell r="D8020" t="str">
            <v>smartDrive  LOCKING  SCREW 2.3x28 MM</v>
          </cell>
        </row>
        <row r="8021">
          <cell r="B8021" t="str">
            <v>26-022-28-71</v>
          </cell>
          <cell r="C8021" t="str">
            <v>smartDrive  WINKELST.  SCHR. 2,3x28 MM,STE</v>
          </cell>
          <cell r="D8021" t="str">
            <v>smartDrive  LOCKING  SCREW 2.3x28 MM, STE</v>
          </cell>
        </row>
        <row r="8022">
          <cell r="B8022" t="str">
            <v>26-022-30-09</v>
          </cell>
          <cell r="C8022" t="str">
            <v>smartDrive  WINKELST.  SCHR. 2,3x30 MM</v>
          </cell>
          <cell r="D8022" t="str">
            <v>smartDrive  LOCKING  SCREW 2.3x30 MM</v>
          </cell>
        </row>
        <row r="8023">
          <cell r="B8023" t="str">
            <v>26-022-30-71</v>
          </cell>
          <cell r="C8023" t="str">
            <v>smartDrive  WINKELST.  SCHR. 2,3x30 MM,STE</v>
          </cell>
          <cell r="D8023" t="str">
            <v>smartDrive  LOCKING  SCREW 2.3x30 MM, STE</v>
          </cell>
        </row>
        <row r="8024">
          <cell r="B8024" t="str">
            <v>26-023-06-09</v>
          </cell>
          <cell r="C8024" t="str">
            <v>smartDrive  STANDARD  SCHR. 2,3x6 MM</v>
          </cell>
          <cell r="D8024" t="str">
            <v>smartDrive  STANDARD  SCREW 2.3x6 MM</v>
          </cell>
        </row>
        <row r="8025">
          <cell r="B8025" t="str">
            <v>26-023-06-71</v>
          </cell>
          <cell r="C8025" t="str">
            <v>smartDrive  STANDARD  SCHR. 2,3x6 MM, STE</v>
          </cell>
          <cell r="D8025" t="str">
            <v>smartDrive  STANDARD  SCREW 2.3x6 MM, STE</v>
          </cell>
        </row>
        <row r="8026">
          <cell r="B8026" t="str">
            <v>26-023-06-91</v>
          </cell>
          <cell r="C8026" t="str">
            <v>smartDrive  STANDARD  SCHR. 2,3x6 MM</v>
          </cell>
          <cell r="D8026" t="str">
            <v>smartDrive  STANDARD  SCREW 2.3x6 MM</v>
          </cell>
        </row>
        <row r="8027">
          <cell r="B8027" t="str">
            <v>26-023-07-09</v>
          </cell>
          <cell r="C8027" t="str">
            <v>smartDrive  STANDARD  SCHR. 2,3x7 MM</v>
          </cell>
          <cell r="D8027" t="str">
            <v>smartDrive  STANDARD  SCREW 2.3x7 MM</v>
          </cell>
        </row>
        <row r="8028">
          <cell r="B8028" t="str">
            <v>26-023-07-71</v>
          </cell>
          <cell r="C8028" t="str">
            <v>smartDrive  STANDARD  SCHR. 2,3x7 MM, STE</v>
          </cell>
          <cell r="D8028" t="str">
            <v>smartDrive  STANDARD  SCREW 2.3x7 MM, STE</v>
          </cell>
        </row>
        <row r="8029">
          <cell r="B8029" t="str">
            <v>26-023-07-91</v>
          </cell>
          <cell r="C8029" t="str">
            <v>smartDrive  STANDARD  SCHR. 2,3x7 MM</v>
          </cell>
          <cell r="D8029" t="str">
            <v>smartDrive  STANDARD  SCREW 2.3x7 MM</v>
          </cell>
        </row>
        <row r="8030">
          <cell r="B8030" t="str">
            <v>26-023-08-09</v>
          </cell>
          <cell r="C8030" t="str">
            <v>smartDrive  STANDARD  SCHR. 2,3x8 MM</v>
          </cell>
          <cell r="D8030" t="str">
            <v>smartDrive  STANDARD  SCREW 2.3x8 MM</v>
          </cell>
        </row>
        <row r="8031">
          <cell r="B8031" t="str">
            <v>26-023-08-71</v>
          </cell>
          <cell r="C8031" t="str">
            <v>smartDrive  STANDARD  SCHR. 2,3x8 MM, STE</v>
          </cell>
          <cell r="D8031" t="str">
            <v>smartDrive  STANDARD  SCREW 2.3x8 MM, STE</v>
          </cell>
        </row>
        <row r="8032">
          <cell r="B8032" t="str">
            <v>26-023-08-91</v>
          </cell>
          <cell r="C8032" t="str">
            <v>smartDrive  STANDARD  SCHR. 2,3x8 MM</v>
          </cell>
          <cell r="D8032" t="str">
            <v>smartDrive  STANDARD  SCREW 2.3x8 MM</v>
          </cell>
        </row>
        <row r="8033">
          <cell r="B8033" t="str">
            <v>26-023-09-09</v>
          </cell>
          <cell r="C8033" t="str">
            <v>smartDrive  STANDARD  SCHR. 2,3x9 MM</v>
          </cell>
          <cell r="D8033" t="str">
            <v>smartDrive  STANDARD  SCREW 2.3x9 MM</v>
          </cell>
        </row>
        <row r="8034">
          <cell r="B8034" t="str">
            <v>26-023-09-71</v>
          </cell>
          <cell r="C8034" t="str">
            <v>smartDrive  STANDARD  SCHR. 2,3x9 MM, STE</v>
          </cell>
          <cell r="D8034" t="str">
            <v>smartDrive  STANDARD  SCREW 2.3x9 MM, STE</v>
          </cell>
        </row>
        <row r="8035">
          <cell r="B8035" t="str">
            <v>26-023-09-91</v>
          </cell>
          <cell r="C8035" t="str">
            <v>smartDrive  STANDARD  SCHR. 2,3x9 MM</v>
          </cell>
          <cell r="D8035" t="str">
            <v>smartDrive  STANDARD  SCREW 2.3x9 MM</v>
          </cell>
        </row>
        <row r="8036">
          <cell r="B8036" t="str">
            <v>26-023-10-09</v>
          </cell>
          <cell r="C8036" t="str">
            <v>smartDrive  STANDARD  SCHR. 2,3x10 MM</v>
          </cell>
          <cell r="D8036" t="str">
            <v>smartDrive  STANDARD  SCREW 2.3x10 MM</v>
          </cell>
        </row>
        <row r="8037">
          <cell r="B8037" t="str">
            <v>26-023-10-71</v>
          </cell>
          <cell r="C8037" t="str">
            <v>smartDrive  STANDARD  SCHR. 2,3x10 MM, STE</v>
          </cell>
          <cell r="D8037" t="str">
            <v>smartDrive  STANDARD  SCREW 2.3x10 MM, STE</v>
          </cell>
        </row>
        <row r="8038">
          <cell r="B8038" t="str">
            <v>26-023-10-91</v>
          </cell>
          <cell r="C8038" t="str">
            <v>smartDrive  STANDARD  SCHR. 2,3x10 MM</v>
          </cell>
          <cell r="D8038" t="str">
            <v>smartDrive  STANDARD  SCREW 2.3x10 MM</v>
          </cell>
        </row>
        <row r="8039">
          <cell r="B8039" t="str">
            <v>26-023-11-09</v>
          </cell>
          <cell r="C8039" t="str">
            <v>smartDrive  STANDARD  SCHR. 2,3x11 MM</v>
          </cell>
          <cell r="D8039" t="str">
            <v>smartDrive  STANDARD  SCREW 2.3x11 MM</v>
          </cell>
        </row>
        <row r="8040">
          <cell r="B8040" t="str">
            <v>26-023-11-71</v>
          </cell>
          <cell r="C8040" t="str">
            <v>smartDrive  STANDARD  SCHR. 2,3x11 MM, STE</v>
          </cell>
          <cell r="D8040" t="str">
            <v>smartDrive  STANDARD  SCREW 2.3x11 MM, STE</v>
          </cell>
        </row>
        <row r="8041">
          <cell r="B8041" t="str">
            <v>26-023-11-91</v>
          </cell>
          <cell r="C8041" t="str">
            <v>smartDrive  STANDARD  SCHR. 2,3x11 MM</v>
          </cell>
          <cell r="D8041" t="str">
            <v>smartDrive  STANDARD  SCREW 2.3x11 MM</v>
          </cell>
        </row>
        <row r="8042">
          <cell r="B8042" t="str">
            <v>26-023-12-09</v>
          </cell>
          <cell r="C8042" t="str">
            <v>smartDrive  STANDARD  SCHR. 2,3x12 MM</v>
          </cell>
          <cell r="D8042" t="str">
            <v>smartDrive  STANDARD  SCREW 2.3x12 MM</v>
          </cell>
        </row>
        <row r="8043">
          <cell r="B8043" t="str">
            <v>26-023-12-71</v>
          </cell>
          <cell r="C8043" t="str">
            <v>smartDrive  STANDARD  SCHR. 2,3x12 MM, STE</v>
          </cell>
          <cell r="D8043" t="str">
            <v>smartDrive  STANDARD  SCREW 2.3x12 MM, STE</v>
          </cell>
        </row>
        <row r="8044">
          <cell r="B8044" t="str">
            <v>26-023-12-91</v>
          </cell>
          <cell r="C8044" t="str">
            <v>smartDrive  STANDARD  SCHR. 2,3x12 MM</v>
          </cell>
          <cell r="D8044" t="str">
            <v>smartDrive  STANDARD  SCREW 2.3x12 MM</v>
          </cell>
        </row>
        <row r="8045">
          <cell r="B8045" t="str">
            <v>26-023-13-09</v>
          </cell>
          <cell r="C8045" t="str">
            <v>smartDrive  STANDARD  SCHR. 2,3x13 MM</v>
          </cell>
          <cell r="D8045" t="str">
            <v>smartDrive  STANDARD  SCREW 2.3x13 MM</v>
          </cell>
        </row>
        <row r="8046">
          <cell r="B8046" t="str">
            <v>26-023-13-71</v>
          </cell>
          <cell r="C8046" t="str">
            <v>smartDrive  STANDARD  SCHR. 2,3x13 MM, STE</v>
          </cell>
          <cell r="D8046" t="str">
            <v>smartDrive  STANDARD  SCREW 2.3x13 MM, STE</v>
          </cell>
        </row>
        <row r="8047">
          <cell r="B8047" t="str">
            <v>26-023-13-91</v>
          </cell>
          <cell r="C8047" t="str">
            <v>smartDrive  STANDARD  SCHR. 2,3x13 MM</v>
          </cell>
          <cell r="D8047" t="str">
            <v>smartDrive  STANDARD  SCREW 2.3x13 MM</v>
          </cell>
        </row>
        <row r="8048">
          <cell r="B8048" t="str">
            <v>26-023-14-09</v>
          </cell>
          <cell r="C8048" t="str">
            <v>smartDrive  STANDARD  SCHR. 2,3x14 MM</v>
          </cell>
          <cell r="D8048" t="str">
            <v>smartDrive  STANDARD  SCREW 2.3x14 MM</v>
          </cell>
        </row>
        <row r="8049">
          <cell r="B8049" t="str">
            <v>26-023-14-71</v>
          </cell>
          <cell r="C8049" t="str">
            <v>smartDrive  STANDARD  SCHR. 2,3x14 MM, STE</v>
          </cell>
          <cell r="D8049" t="str">
            <v>smartDrive  STANDARD  SCREW 2.3x14 MM, STE</v>
          </cell>
        </row>
        <row r="8050">
          <cell r="B8050" t="str">
            <v>26-023-14-91</v>
          </cell>
          <cell r="C8050" t="str">
            <v>smartDrive  STANDARD  SCHR. 2,3x14 MM</v>
          </cell>
          <cell r="D8050" t="str">
            <v>smartDrive  STANDARD  SCREW 2.3x14 MM</v>
          </cell>
        </row>
        <row r="8051">
          <cell r="B8051" t="str">
            <v>26-023-15-09</v>
          </cell>
          <cell r="C8051" t="str">
            <v>smartDrive  STANDARD  SCHR. 2,3x15 MM</v>
          </cell>
          <cell r="D8051" t="str">
            <v>smartDrive  STANDARD  SCREW 2.3x15 MM</v>
          </cell>
        </row>
        <row r="8052">
          <cell r="B8052" t="str">
            <v>26-023-15-71</v>
          </cell>
          <cell r="C8052" t="str">
            <v>smartDrive  STANDARD  SCHR. 2,3x15 MM, STE</v>
          </cell>
          <cell r="D8052" t="str">
            <v>smartDrive  STANDARD  SCREW 2.3x15 MM, STE</v>
          </cell>
        </row>
        <row r="8053">
          <cell r="B8053" t="str">
            <v>26-023-15-91</v>
          </cell>
          <cell r="C8053" t="str">
            <v>smartDrive  STANDARD  SCHR. 2,3x15 MM</v>
          </cell>
          <cell r="D8053" t="str">
            <v>smartDrive  STANDARD  SCREW 2.3x15 MM</v>
          </cell>
        </row>
        <row r="8054">
          <cell r="B8054" t="str">
            <v>26-023-16-09</v>
          </cell>
          <cell r="C8054" t="str">
            <v>smartDrive  STANDARD  SCHR. 2,3x16 MM</v>
          </cell>
          <cell r="D8054" t="str">
            <v>smartDrive  STANDARD  SCREW 2.3x16 MM</v>
          </cell>
        </row>
        <row r="8055">
          <cell r="B8055" t="str">
            <v>26-023-16-71</v>
          </cell>
          <cell r="C8055" t="str">
            <v>smartDrive  STANDARD  SCHR. 2,3x16 MM, STE</v>
          </cell>
          <cell r="D8055" t="str">
            <v>smartDrive  STANDARD  SCREW 2.3x16 MM, STE</v>
          </cell>
        </row>
        <row r="8056">
          <cell r="B8056" t="str">
            <v>26-023-16-91</v>
          </cell>
          <cell r="C8056" t="str">
            <v>smartDrive  STANDARD  SCHR. 2,3x16 MM</v>
          </cell>
          <cell r="D8056" t="str">
            <v>smartDrive  STANDARD  SCREW 2.3x16 MM</v>
          </cell>
        </row>
        <row r="8057">
          <cell r="B8057" t="str">
            <v>26-023-17-09</v>
          </cell>
          <cell r="C8057" t="str">
            <v>smartDrive  STANDARD  SCHR. 2,3x17 MM</v>
          </cell>
          <cell r="D8057" t="str">
            <v>smartDrive  STANDARD  SCREW 2.3x17 MM</v>
          </cell>
        </row>
        <row r="8058">
          <cell r="B8058" t="str">
            <v>26-023-17-71</v>
          </cell>
          <cell r="C8058" t="str">
            <v>smartDrive  STANDARD  SCHR. 2,3x17 MM, STE</v>
          </cell>
          <cell r="D8058" t="str">
            <v>smartDrive  STANDARD  SCREW 2.3x17 MM, STE</v>
          </cell>
        </row>
        <row r="8059">
          <cell r="B8059" t="str">
            <v>26-023-17-91</v>
          </cell>
          <cell r="C8059" t="str">
            <v>smartDrive  STANDARD  SCHR. 2,3x17 MM</v>
          </cell>
          <cell r="D8059" t="str">
            <v>smartDrive  STANDARD  SCREW 2.3x17 MM</v>
          </cell>
        </row>
        <row r="8060">
          <cell r="B8060" t="str">
            <v>26-023-18-09</v>
          </cell>
          <cell r="C8060" t="str">
            <v>smartDrive  STANDARD  SCHR. 2,3x18 MM</v>
          </cell>
          <cell r="D8060" t="str">
            <v>smartDrive  STANDARD  SCREW 2.3x18 MM</v>
          </cell>
        </row>
        <row r="8061">
          <cell r="B8061" t="str">
            <v>26-023-18-71</v>
          </cell>
          <cell r="C8061" t="str">
            <v>smartDrive  STANDARD  SCHR. 2,3x18 MM, STE</v>
          </cell>
          <cell r="D8061" t="str">
            <v>smartDrive  STANDARD  SCREW 2.3x18 MM, STE</v>
          </cell>
        </row>
        <row r="8062">
          <cell r="B8062" t="str">
            <v>26-023-18-91</v>
          </cell>
          <cell r="C8062" t="str">
            <v>smartDrive  STANDARD  SCHR. 2,3x18 MM</v>
          </cell>
          <cell r="D8062" t="str">
            <v>smartDrive  STANDARD  SCREW 2.3x18 MM</v>
          </cell>
        </row>
        <row r="8063">
          <cell r="B8063" t="str">
            <v>26-023-19-09</v>
          </cell>
          <cell r="C8063" t="str">
            <v>smartDrive  STANDARD  SCHR. 2,3x19 MM</v>
          </cell>
          <cell r="D8063" t="str">
            <v>smartDrive  STANDARD  SCREW 2.3x19 MM</v>
          </cell>
        </row>
        <row r="8064">
          <cell r="B8064" t="str">
            <v>26-023-19-71</v>
          </cell>
          <cell r="C8064" t="str">
            <v>smartDrive  STANDARD  SCHR. 2,3x19 MM, STE</v>
          </cell>
          <cell r="D8064" t="str">
            <v>smartDrive  STANDARD  SCREW 2.3x19 MM, STE</v>
          </cell>
        </row>
        <row r="8065">
          <cell r="B8065" t="str">
            <v>26-023-19-91</v>
          </cell>
          <cell r="C8065" t="str">
            <v>smartDrive  STANDARD  SCHR. 2,3x19 MM</v>
          </cell>
          <cell r="D8065" t="str">
            <v>smartDrive  STANDARD  SCREW 2.3x19 MM</v>
          </cell>
        </row>
        <row r="8066">
          <cell r="B8066" t="str">
            <v>26-023-20-09</v>
          </cell>
          <cell r="C8066" t="str">
            <v>smartDrive  STANDARD  SCHR. 2,3x20 MM</v>
          </cell>
          <cell r="D8066" t="str">
            <v>smartDrive  STANDARD  SCREW 2.3x20 MM</v>
          </cell>
        </row>
        <row r="8067">
          <cell r="B8067" t="str">
            <v>26-023-20-71</v>
          </cell>
          <cell r="C8067" t="str">
            <v>smartDrive  STANDARD  SCHR. 2,3x20 MM, STE</v>
          </cell>
          <cell r="D8067" t="str">
            <v>smartDrive  STANDARD  SCREW 2.3x20 MM, STE</v>
          </cell>
        </row>
        <row r="8068">
          <cell r="B8068" t="str">
            <v>26-023-20-91</v>
          </cell>
          <cell r="C8068" t="str">
            <v>smartDrive  STANDARD  SCHR. 2,3x20 MM</v>
          </cell>
          <cell r="D8068" t="str">
            <v>smartDrive  STANDARD  SCREW 2.3x20 MM</v>
          </cell>
        </row>
        <row r="8069">
          <cell r="B8069" t="str">
            <v>26-023-22-09</v>
          </cell>
          <cell r="C8069" t="str">
            <v>smartDrive  STANDARD  SCHR. 2,3x22 MM</v>
          </cell>
          <cell r="D8069" t="str">
            <v>smartDrive  STANDARD  SCREW 2.3x22 MM</v>
          </cell>
        </row>
        <row r="8070">
          <cell r="B8070" t="str">
            <v>26-023-22-71</v>
          </cell>
          <cell r="C8070" t="str">
            <v>smartDrive  STANDARD  SCHR. 2,3x22 MM, STE</v>
          </cell>
          <cell r="D8070" t="str">
            <v>smartDrive  STANDARD  SCREW 2.3x22 MM, STE</v>
          </cell>
        </row>
        <row r="8071">
          <cell r="B8071" t="str">
            <v>26-023-24-09</v>
          </cell>
          <cell r="C8071" t="str">
            <v>smartDrive  STANDARD  SCHR. 2,3x24 MM</v>
          </cell>
          <cell r="D8071" t="str">
            <v>smartDrive  STANDARD  SCREW 2.3x24 MM</v>
          </cell>
        </row>
        <row r="8072">
          <cell r="B8072" t="str">
            <v>26-023-24-71</v>
          </cell>
          <cell r="C8072" t="str">
            <v>smartDrive  STANDARD  SCHR. 2,3x24 MM, STE</v>
          </cell>
          <cell r="D8072" t="str">
            <v>smartDrive  STANDARD  SCREW 2.3x24 MM, STE</v>
          </cell>
        </row>
        <row r="8073">
          <cell r="B8073" t="str">
            <v>26-023-26-09</v>
          </cell>
          <cell r="C8073" t="str">
            <v>smartDrive  STANDARD  SCHR. 2,3x26 MM</v>
          </cell>
          <cell r="D8073" t="str">
            <v>smartDrive  STANDARD  SCREW 2.3x26 MM</v>
          </cell>
        </row>
        <row r="8074">
          <cell r="B8074" t="str">
            <v>26-023-26-71</v>
          </cell>
          <cell r="C8074" t="str">
            <v>smartDrive  STANDARD  SCHR. 2,3x26 MM, STE</v>
          </cell>
          <cell r="D8074" t="str">
            <v>smartDrive  STANDARD  SCREW 2.3x26 MM, STE</v>
          </cell>
        </row>
        <row r="8075">
          <cell r="B8075" t="str">
            <v>26-023-28-09</v>
          </cell>
          <cell r="C8075" t="str">
            <v>smartDrive  STANDARD  SCHR. 2,3x28 MM</v>
          </cell>
          <cell r="D8075" t="str">
            <v>smartDrive  STANDARD  SCREW 2.3x28 MM</v>
          </cell>
        </row>
        <row r="8076">
          <cell r="B8076" t="str">
            <v>26-023-28-71</v>
          </cell>
          <cell r="C8076" t="str">
            <v>smartDrive  STANDARD  SCHR. 2,3x28 MM, STE</v>
          </cell>
          <cell r="D8076" t="str">
            <v>smartDrive  STANDARD  SCREW 2.3x28 MM, STE</v>
          </cell>
        </row>
        <row r="8077">
          <cell r="B8077" t="str">
            <v>26-023-30-09</v>
          </cell>
          <cell r="C8077" t="str">
            <v>smartDrive  STANDARD  SCHR. 2,3x30 MM</v>
          </cell>
          <cell r="D8077" t="str">
            <v>smartDrive  STANDARD  SCREW 2.3x30 MM</v>
          </cell>
        </row>
        <row r="8078">
          <cell r="B8078" t="str">
            <v>26-023-30-71</v>
          </cell>
          <cell r="C8078" t="str">
            <v>smartDrive  STANDARD  SCHR. 2,3x30 MM, STE</v>
          </cell>
          <cell r="D8078" t="str">
            <v>smartDrive  STANDARD  SCREW 2.3x30 MM, STE</v>
          </cell>
        </row>
        <row r="8079">
          <cell r="B8079" t="str">
            <v>26-066-40-09</v>
          </cell>
          <cell r="C8079" t="str">
            <v>RECOS RADIUS SIZER FÜR 26-166-40</v>
          </cell>
          <cell r="D8079" t="str">
            <v>RECOS RADIUS SIZER FOR 26-166-40</v>
          </cell>
        </row>
        <row r="8080">
          <cell r="B8080" t="str">
            <v>26-066-41-09</v>
          </cell>
          <cell r="C8080" t="str">
            <v>RECOS RADIUS SIZER FÜR 26-166-41</v>
          </cell>
          <cell r="D8080" t="str">
            <v>RECOS RADIUS SIZER FOR 26-166-41</v>
          </cell>
        </row>
        <row r="8081">
          <cell r="B8081" t="str">
            <v>26-066-42-09</v>
          </cell>
          <cell r="C8081" t="str">
            <v>RECOS RADIUS SIZER FÜR 26-166-42</v>
          </cell>
          <cell r="D8081" t="str">
            <v>RECOS RADIUS SIZER FOR 26-166-42</v>
          </cell>
        </row>
        <row r="8082">
          <cell r="B8082" t="str">
            <v>26-066-43-09</v>
          </cell>
          <cell r="C8082" t="str">
            <v>RECOS RADIUS SIZER FÜR 26-166-43</v>
          </cell>
          <cell r="D8082" t="str">
            <v>RECOS RADIUS SIZER FOR 26-166-43</v>
          </cell>
        </row>
        <row r="8083">
          <cell r="B8083" t="str">
            <v>26-066-60-09</v>
          </cell>
          <cell r="C8083" t="str">
            <v>RECOS ULNA SIZER FÜR 26-166-60/65</v>
          </cell>
          <cell r="D8083" t="str">
            <v>RECOS ULNA SIZER FOR 26-166-60/65</v>
          </cell>
        </row>
        <row r="8084">
          <cell r="B8084" t="str">
            <v>26-066-70-09</v>
          </cell>
          <cell r="C8084" t="str">
            <v>RECOS ULNA SIZER FÜR 26-166-70/75</v>
          </cell>
          <cell r="D8084" t="str">
            <v>RECOS ULNA SIZER FOR 26-166-70/75</v>
          </cell>
        </row>
        <row r="8085">
          <cell r="B8085" t="str">
            <v>26-100-01-04</v>
          </cell>
          <cell r="C8085" t="str">
            <v>CapFlex proximal,  S, CoCr/TI/STERIL</v>
          </cell>
          <cell r="D8085" t="str">
            <v>CapFlex proximal,  S, Co-Cr/TI/STERILE</v>
          </cell>
        </row>
        <row r="8086">
          <cell r="B8086" t="str">
            <v>26-100-02-04</v>
          </cell>
          <cell r="C8086" t="str">
            <v>CapFlex proximal,  M, CoCr/TI/STERIL</v>
          </cell>
          <cell r="D8086" t="str">
            <v>CapFlex proximal,  M, Co-Cr/TI/STERILE</v>
          </cell>
        </row>
        <row r="8087">
          <cell r="B8087" t="str">
            <v>26-100-03-04</v>
          </cell>
          <cell r="C8087" t="str">
            <v>CapFlex proximal,  L, CoCr/TI/STERIL</v>
          </cell>
          <cell r="D8087" t="str">
            <v>CapFlex proximal,  L, Co-Cr/TI/STERILE</v>
          </cell>
        </row>
        <row r="8088">
          <cell r="B8088" t="str">
            <v>26-100-11-04</v>
          </cell>
          <cell r="C8088" t="str">
            <v>CapFlex distal, S 2,1mm, CoCr/TI/PE/STER</v>
          </cell>
          <cell r="D8088" t="str">
            <v>CapFlex distal, S 2,1mm,Co-Cr/TI/PE/STER</v>
          </cell>
        </row>
        <row r="8089">
          <cell r="B8089" t="str">
            <v>26-100-12-04</v>
          </cell>
          <cell r="C8089" t="str">
            <v>CapFlex distal, S 3,0mm, CoCr/TI/PE/STER</v>
          </cell>
          <cell r="D8089" t="str">
            <v>CapFlex distal, S 3,0mm,Co-Cr/TI/PE/STER</v>
          </cell>
        </row>
        <row r="8090">
          <cell r="B8090" t="str">
            <v>26-100-21-04</v>
          </cell>
          <cell r="C8090" t="str">
            <v>CapFlex distal, M 2,1mm, CoCr/TI/PE/STER</v>
          </cell>
          <cell r="D8090" t="str">
            <v>CapFlex distal, M 2,1mm,Co-Cr/TI/PE/STER</v>
          </cell>
        </row>
        <row r="8091">
          <cell r="B8091" t="str">
            <v>26-100-22-04</v>
          </cell>
          <cell r="C8091" t="str">
            <v>CapFlex distal, M 3,0mm, CoCr/TI/PE/STER</v>
          </cell>
          <cell r="D8091" t="str">
            <v>CapFlex distal, M 3,0mm,Co-Cr/TI/PE/STER</v>
          </cell>
        </row>
        <row r="8092">
          <cell r="B8092" t="str">
            <v>26-100-23-04</v>
          </cell>
          <cell r="C8092" t="str">
            <v>CapFlex distal, M 4,4mm, CoCr/TI/PE/STER</v>
          </cell>
          <cell r="D8092" t="str">
            <v>CapFlex distal, M 4,4mm,Co-Cr/TI/PE/STER</v>
          </cell>
        </row>
        <row r="8093">
          <cell r="B8093" t="str">
            <v>26-100-31-04</v>
          </cell>
          <cell r="C8093" t="str">
            <v>CapFlex distal, L 2,1mm, CoCr/TI/PE/STER</v>
          </cell>
          <cell r="D8093" t="str">
            <v>CapFlex distal, L 2,1mm,Co-Cr/TI/PE/STER</v>
          </cell>
        </row>
        <row r="8094">
          <cell r="B8094" t="str">
            <v>26-100-32-04</v>
          </cell>
          <cell r="C8094" t="str">
            <v>CapFlex distal, L 3,0mm, CoCr/TI/PE/STER</v>
          </cell>
          <cell r="D8094" t="str">
            <v>CapFlex distal, L 3,0mm,Co-Cr/TI/PE/STER</v>
          </cell>
        </row>
        <row r="8095">
          <cell r="B8095" t="str">
            <v>26-100-33-04</v>
          </cell>
          <cell r="C8095" t="str">
            <v>CapFlex distal, L 4,4mm, CoCr/TI/PE/STER</v>
          </cell>
          <cell r="D8095" t="str">
            <v>CapFlex distal, L 4,4mm,Co-Cr/TI/PE/STER</v>
          </cell>
        </row>
        <row r="8096">
          <cell r="B8096" t="str">
            <v>26-101-01-09</v>
          </cell>
          <cell r="C8096" t="str">
            <v>CapFlex Probeprothese proximal,  S</v>
          </cell>
          <cell r="D8096" t="str">
            <v>CapFlex trial prosthesis  proximal,  S</v>
          </cell>
        </row>
        <row r="8097">
          <cell r="B8097" t="str">
            <v>26-101-02-09</v>
          </cell>
          <cell r="C8097" t="str">
            <v>CapFlex Probeprothese proximal,  M</v>
          </cell>
          <cell r="D8097" t="str">
            <v>CapFlex trial prosthesis  proximal,  M</v>
          </cell>
        </row>
        <row r="8098">
          <cell r="B8098" t="str">
            <v>26-101-03-09</v>
          </cell>
          <cell r="C8098" t="str">
            <v>CapFlex Probeprothese proximal,  L</v>
          </cell>
          <cell r="D8098" t="str">
            <v>CapFlex trial prosthesis  proximal,  L</v>
          </cell>
        </row>
        <row r="8099">
          <cell r="B8099" t="str">
            <v>26-101-11-09</v>
          </cell>
          <cell r="C8099" t="str">
            <v>CapFlex Probeprothese distal, S 2,1</v>
          </cell>
          <cell r="D8099" t="str">
            <v>CapFlex trial prosthesis  distal, S 2,1</v>
          </cell>
        </row>
        <row r="8100">
          <cell r="B8100" t="str">
            <v>26-101-12-09</v>
          </cell>
          <cell r="C8100" t="str">
            <v>CapFlex Probeprothese distal, S 3,0</v>
          </cell>
          <cell r="D8100" t="str">
            <v>CapFlex trial prosthesis  distal, S 3,0</v>
          </cell>
        </row>
        <row r="8101">
          <cell r="B8101" t="str">
            <v>26-101-21-09</v>
          </cell>
          <cell r="C8101" t="str">
            <v>CapFlex Probeprothese distal, M 2,1</v>
          </cell>
          <cell r="D8101" t="str">
            <v>CapFlex trial prosthesis  distal, M 2,1</v>
          </cell>
        </row>
        <row r="8102">
          <cell r="B8102" t="str">
            <v>26-101-22-09</v>
          </cell>
          <cell r="C8102" t="str">
            <v>CapFlex Probeprothese distal, M 3,0</v>
          </cell>
          <cell r="D8102" t="str">
            <v>CapFlex trial prosthesis  distal, M 3,0</v>
          </cell>
        </row>
        <row r="8103">
          <cell r="B8103" t="str">
            <v>26-101-23-09</v>
          </cell>
          <cell r="C8103" t="str">
            <v>CapFlex Probeprothese distal, M 4,4</v>
          </cell>
          <cell r="D8103" t="str">
            <v>CapFlex trial prosthesis  distal, M 4,4</v>
          </cell>
        </row>
        <row r="8104">
          <cell r="B8104" t="str">
            <v>26-101-31-09</v>
          </cell>
          <cell r="C8104" t="str">
            <v>CapFlex Probeprothese distal, L 2,1</v>
          </cell>
          <cell r="D8104" t="str">
            <v>CapFlex trial prosthesis  distal, L 2,1</v>
          </cell>
        </row>
        <row r="8105">
          <cell r="B8105" t="str">
            <v>26-101-32-09</v>
          </cell>
          <cell r="C8105" t="str">
            <v>CapFlex Probeprothese distal, L 3,0</v>
          </cell>
          <cell r="D8105" t="str">
            <v>CapFlex trial prosthesis  distal, L 3,0</v>
          </cell>
        </row>
        <row r="8106">
          <cell r="B8106" t="str">
            <v>26-101-33-09</v>
          </cell>
          <cell r="C8106" t="str">
            <v>CapFlex Probeprothese distal, L 4,4</v>
          </cell>
          <cell r="D8106" t="str">
            <v>CapFlex trial prosthesis  distal, L 4,4</v>
          </cell>
        </row>
        <row r="8107">
          <cell r="B8107" t="str">
            <v>26-101-50-07</v>
          </cell>
          <cell r="C8107" t="str">
            <v>CapFlex Größenbestimmung proximal,  S</v>
          </cell>
          <cell r="D8107" t="str">
            <v>CapFlex Sizer proximal,  S</v>
          </cell>
        </row>
        <row r="8108">
          <cell r="B8108" t="str">
            <v>26-101-51-07</v>
          </cell>
          <cell r="C8108" t="str">
            <v>CapFlex Größenbestimmung proximal,  M</v>
          </cell>
          <cell r="D8108" t="str">
            <v>CapFlex Sizer proximal,  M</v>
          </cell>
        </row>
        <row r="8109">
          <cell r="B8109" t="str">
            <v>26-101-52-07</v>
          </cell>
          <cell r="C8109" t="str">
            <v>CapFlex Größenbestimmung proximal,  L</v>
          </cell>
          <cell r="D8109" t="str">
            <v>CapFlex Sizer proximal,  L</v>
          </cell>
        </row>
        <row r="8110">
          <cell r="B8110" t="str">
            <v>26-101-54-07</v>
          </cell>
          <cell r="C8110" t="str">
            <v>CapFlex Sägeblock  45° proximal,  S</v>
          </cell>
          <cell r="D8110" t="str">
            <v>CapFlex Saw log 45° proximal,  S</v>
          </cell>
        </row>
        <row r="8111">
          <cell r="B8111" t="str">
            <v>26-101-55-07</v>
          </cell>
          <cell r="C8111" t="str">
            <v>CapFlex Sägeblock  45° proximal,  M</v>
          </cell>
          <cell r="D8111" t="str">
            <v>CapFlex Saw log 45° proximal,  M</v>
          </cell>
        </row>
        <row r="8112">
          <cell r="B8112" t="str">
            <v>26-101-56-07</v>
          </cell>
          <cell r="C8112" t="str">
            <v>CapFlex Sägeblock  45° proximal,  L</v>
          </cell>
          <cell r="D8112" t="str">
            <v>CapFlex Saw log 45° proximal,  L</v>
          </cell>
        </row>
        <row r="8113">
          <cell r="B8113" t="str">
            <v>26-101-58-07</v>
          </cell>
          <cell r="C8113" t="str">
            <v>CapFlex Modulator  proximal,  S</v>
          </cell>
          <cell r="D8113" t="str">
            <v>CapFlex Modulator  proximal,  S</v>
          </cell>
        </row>
        <row r="8114">
          <cell r="B8114" t="str">
            <v>26-101-59-07</v>
          </cell>
          <cell r="C8114" t="str">
            <v>CapFlex Modulator  proximal,  M</v>
          </cell>
          <cell r="D8114" t="str">
            <v>CapFlex Modulator  proximal,  M</v>
          </cell>
        </row>
        <row r="8115">
          <cell r="B8115" t="str">
            <v>26-101-60-07</v>
          </cell>
          <cell r="C8115" t="str">
            <v>CapFlex Modulator  proximal,  L</v>
          </cell>
          <cell r="D8115" t="str">
            <v>CapFlex Modulator  proximal,  L</v>
          </cell>
        </row>
        <row r="8116">
          <cell r="B8116" t="str">
            <v>26-101-62-07</v>
          </cell>
          <cell r="C8116" t="str">
            <v>CapFlex Setzinstrument proximal,  S</v>
          </cell>
          <cell r="D8116" t="str">
            <v>CapFlex Positioner  proximal,  S</v>
          </cell>
        </row>
        <row r="8117">
          <cell r="B8117" t="str">
            <v>26-101-63-07</v>
          </cell>
          <cell r="C8117" t="str">
            <v>CapFlex Setzinstrument proximal,  M</v>
          </cell>
          <cell r="D8117" t="str">
            <v>CapFlex Positioner  proximal,  M</v>
          </cell>
        </row>
        <row r="8118">
          <cell r="B8118" t="str">
            <v>26-101-64-07</v>
          </cell>
          <cell r="C8118" t="str">
            <v>CapFlex Setzinstrument proximal,  L</v>
          </cell>
          <cell r="D8118" t="str">
            <v>CapFlex Positioner  proximal,  L</v>
          </cell>
        </row>
        <row r="8119">
          <cell r="B8119" t="str">
            <v>26-101-66-07</v>
          </cell>
          <cell r="C8119" t="str">
            <v>CapFlex Einschläger proximal,  S</v>
          </cell>
          <cell r="D8119" t="str">
            <v>CapFlex Impactor  proximal,  S</v>
          </cell>
        </row>
        <row r="8120">
          <cell r="B8120" t="str">
            <v>26-101-67-07</v>
          </cell>
          <cell r="C8120" t="str">
            <v>CapFlex Einschläger proximal,  M</v>
          </cell>
          <cell r="D8120" t="str">
            <v>CapFlex Impactor  proximal,  M</v>
          </cell>
        </row>
        <row r="8121">
          <cell r="B8121" t="str">
            <v>26-101-68-07</v>
          </cell>
          <cell r="C8121" t="str">
            <v>CapFlex Einschläger proximal,  L</v>
          </cell>
          <cell r="D8121" t="str">
            <v>CapFlex Impactor  proximal,  L</v>
          </cell>
        </row>
        <row r="8122">
          <cell r="B8122" t="str">
            <v>26-101-70-07</v>
          </cell>
          <cell r="C8122" t="str">
            <v>CapFlex Größenbestimmung distal, S</v>
          </cell>
          <cell r="D8122" t="str">
            <v>CapFlex Sizer distal, S</v>
          </cell>
        </row>
        <row r="8123">
          <cell r="B8123" t="str">
            <v>26-101-71-07</v>
          </cell>
          <cell r="C8123" t="str">
            <v>CapFlex Größenbestimmung distal, M</v>
          </cell>
          <cell r="D8123" t="str">
            <v>CapFlex Sizer distal, M</v>
          </cell>
        </row>
        <row r="8124">
          <cell r="B8124" t="str">
            <v>26-101-72-07</v>
          </cell>
          <cell r="C8124" t="str">
            <v>CapFlex Größenbestimmung distal, L</v>
          </cell>
          <cell r="D8124" t="str">
            <v>CapFlex Sizer distal, L</v>
          </cell>
        </row>
        <row r="8125">
          <cell r="B8125" t="str">
            <v>26-101-74-07</v>
          </cell>
          <cell r="C8125" t="str">
            <v>CapFlex Einschläger distal, S</v>
          </cell>
          <cell r="D8125" t="str">
            <v>CapFlex Impactor  distal, S</v>
          </cell>
        </row>
        <row r="8126">
          <cell r="B8126" t="str">
            <v>26-101-75-07</v>
          </cell>
          <cell r="C8126" t="str">
            <v>CapFlex Einschläger distal, M</v>
          </cell>
          <cell r="D8126" t="str">
            <v>CapFlex Impactor  distal, M</v>
          </cell>
        </row>
        <row r="8127">
          <cell r="B8127" t="str">
            <v>26-101-76-07</v>
          </cell>
          <cell r="C8127" t="str">
            <v>CapFlex Einschläger distal, L</v>
          </cell>
          <cell r="D8127" t="str">
            <v>CapFlex Impactor  distal, L</v>
          </cell>
        </row>
        <row r="8128">
          <cell r="B8128" t="str">
            <v>26-101-78-07</v>
          </cell>
          <cell r="C8128" t="str">
            <v>CapFlex Sägelehre  dorsal</v>
          </cell>
          <cell r="D8128" t="str">
            <v>CapFlex Saw guide dorsal</v>
          </cell>
        </row>
        <row r="8129">
          <cell r="B8129" t="str">
            <v>26-101-79-07</v>
          </cell>
          <cell r="C8129" t="str">
            <v>CapFlex Sägelehre  palmar</v>
          </cell>
          <cell r="D8129" t="str">
            <v>CapFlex Saw guide palmar</v>
          </cell>
        </row>
        <row r="8130">
          <cell r="B8130" t="str">
            <v>26-101-80-07</v>
          </cell>
          <cell r="C8130" t="str">
            <v>CapFlex Höhenbestimmung distal</v>
          </cell>
          <cell r="D8130" t="str">
            <v>CapFlex Height determiner distal</v>
          </cell>
        </row>
        <row r="8131">
          <cell r="B8131" t="str">
            <v>26-101-81-07</v>
          </cell>
          <cell r="C8131" t="str">
            <v>CapFlex Raspatorium</v>
          </cell>
          <cell r="D8131" t="str">
            <v>CapFlex Raspatory</v>
          </cell>
        </row>
        <row r="8132">
          <cell r="B8132" t="str">
            <v>26-106-10-09</v>
          </cell>
          <cell r="C8132" t="str">
            <v>MOH 0,6 KOND.PL.  5-LO, L 36/RE/TI</v>
          </cell>
          <cell r="D8132" t="str">
            <v>TI-MICROPLATE, 0,6MM, RIGHT</v>
          </cell>
        </row>
        <row r="8133">
          <cell r="B8133" t="str">
            <v>26-106-11-09</v>
          </cell>
          <cell r="C8133" t="str">
            <v>MOH 0,6 KOND.PL.  5-LO, L 36/LI/TI</v>
          </cell>
          <cell r="D8133" t="str">
            <v>TI-MICROPLATE, 0,6MM, LEFT</v>
          </cell>
        </row>
        <row r="8134">
          <cell r="B8134" t="str">
            <v>26-108-00-71</v>
          </cell>
          <cell r="C8134" t="str">
            <v>LINOS 0,8 Haken-Platte, steril</v>
          </cell>
          <cell r="D8134" t="str">
            <v>LINOS 0.8 Hook-Plate, STE</v>
          </cell>
        </row>
        <row r="8135">
          <cell r="B8135" t="str">
            <v>26-108-01-09</v>
          </cell>
          <cell r="C8135" t="str">
            <v>LINOS 0,8 L-PLATTE  6-LO, L=26,5 MM, RE</v>
          </cell>
          <cell r="D8135" t="str">
            <v>LINOS 0.8 L-PLATE 6-HOLES,  L=26.5 MM, RI</v>
          </cell>
        </row>
        <row r="8136">
          <cell r="B8136" t="str">
            <v>26-108-01-71</v>
          </cell>
          <cell r="C8136" t="str">
            <v>LINOS 0,8 L-PL. 6-LO, L=26,5 MM, RE, STE</v>
          </cell>
          <cell r="D8136" t="str">
            <v>LINOS 0.8 L-PL. 6-HOLES,  L=26.5MM,RI,STE</v>
          </cell>
        </row>
        <row r="8137">
          <cell r="B8137" t="str">
            <v>26-108-02-09</v>
          </cell>
          <cell r="C8137" t="str">
            <v>LINOS 0,8 L-PLATTE  6-LO, L=26,5 MM, LI</v>
          </cell>
          <cell r="D8137" t="str">
            <v>LINOS 0.8 L-PLATE 6-HOLES,  L=26.5 MM, LE</v>
          </cell>
        </row>
        <row r="8138">
          <cell r="B8138" t="str">
            <v>26-108-02-71</v>
          </cell>
          <cell r="C8138" t="str">
            <v>LINOS 0,8 L-PL. 6-LO, L=26,5 MM, LI, STE</v>
          </cell>
          <cell r="D8138" t="str">
            <v>LINOS 0.8 L-PL. 6-HOLES,  L=26.5MM,LE,STE</v>
          </cell>
        </row>
        <row r="8139">
          <cell r="B8139" t="str">
            <v>26-108-03-09</v>
          </cell>
          <cell r="C8139" t="str">
            <v>LINOS 0,8 Y-PLATTE  2/3-LO, L=18 MM</v>
          </cell>
          <cell r="D8139" t="str">
            <v>LINOS 0.8 Y-PLATE 2/3-HOLES, L=18 MM</v>
          </cell>
        </row>
        <row r="8140">
          <cell r="B8140" t="str">
            <v>26-108-03-71</v>
          </cell>
          <cell r="C8140" t="str">
            <v>LINOS 0,8 Y-PLATTE  2/3-LO, L=18 MM, STE</v>
          </cell>
          <cell r="D8140" t="str">
            <v>LINOS 0.8 Y-PL. 2/3-HOLES, L=18 MM, STE</v>
          </cell>
        </row>
        <row r="8141">
          <cell r="B8141" t="str">
            <v>26-108-04-09</v>
          </cell>
          <cell r="C8141" t="str">
            <v>LINOS 0,8 Y-PLATTE  2/4-LO, L=25 MM</v>
          </cell>
          <cell r="D8141" t="str">
            <v>LINOS 0.8 Y-PLATE 2/4-HOLES, L=25 MM</v>
          </cell>
        </row>
        <row r="8142">
          <cell r="B8142" t="str">
            <v>26-108-04-71</v>
          </cell>
          <cell r="C8142" t="str">
            <v>LINOS 0,8 Y-PLATTE  2/4-LO, L=25 MM, STE</v>
          </cell>
          <cell r="D8142" t="str">
            <v>LINOS 0.8 Y-PL. 2/4-HOLES, L=25 MM, STE</v>
          </cell>
        </row>
        <row r="8143">
          <cell r="B8143" t="str">
            <v>26-108-05-09</v>
          </cell>
          <cell r="C8143" t="str">
            <v>LINOS 0,8 Y-PLATTE  2/5-LO, L=30 MM</v>
          </cell>
          <cell r="D8143" t="str">
            <v>LINOS 0.8 Y-PLATE 2/5-HOLES, L=30 MM</v>
          </cell>
        </row>
        <row r="8144">
          <cell r="B8144" t="str">
            <v>26-108-05-71</v>
          </cell>
          <cell r="C8144" t="str">
            <v>LINOS 0,8 Y-PLATTE  2/5-LO, L=30 MM, STE</v>
          </cell>
          <cell r="D8144" t="str">
            <v>LINOS 0.8 Y-PL. 2/5-HOLES, L=30 MM, STE</v>
          </cell>
        </row>
        <row r="8145">
          <cell r="B8145" t="str">
            <v>26-108-06-09</v>
          </cell>
          <cell r="C8145" t="str">
            <v>LINOS 0,8 T-PLATTE  2/3-LO, L=19,5 MM</v>
          </cell>
          <cell r="D8145" t="str">
            <v>LINOS 0.8 T-PLATE 2/3-HOLES, L=19.5 MM</v>
          </cell>
        </row>
        <row r="8146">
          <cell r="B8146" t="str">
            <v>26-108-06-71</v>
          </cell>
          <cell r="C8146" t="str">
            <v>LINOS 0,8 T-PL. 2/3-LO, L=19,5 MM, STE</v>
          </cell>
          <cell r="D8146" t="str">
            <v>LINOS 0.8 T-PL. 2/3-HOLES, L=19.5 MM,STE</v>
          </cell>
        </row>
        <row r="8147">
          <cell r="B8147" t="str">
            <v>26-108-07-09</v>
          </cell>
          <cell r="C8147" t="str">
            <v>LINOS 0,8 T-PLATTE  2/4-LO, L=26,5 MM</v>
          </cell>
          <cell r="D8147" t="str">
            <v>LINOS 0.8 T-PLATE 2/4-HOLES, L=26.5 MM</v>
          </cell>
        </row>
        <row r="8148">
          <cell r="B8148" t="str">
            <v>26-108-07-71</v>
          </cell>
          <cell r="C8148" t="str">
            <v>LINOS 0,8 T-PL. 2/4-LO, L=26,5 MM, STE</v>
          </cell>
          <cell r="D8148" t="str">
            <v>LINOS 0.8 T-PL. 2/4-HOLES, L=26.5 MM,STE</v>
          </cell>
        </row>
        <row r="8149">
          <cell r="B8149" t="str">
            <v>26-108-08-09</v>
          </cell>
          <cell r="C8149" t="str">
            <v>LINOS 0,8 T-PLATTE  2/5-LO, L=31,5 MM</v>
          </cell>
          <cell r="D8149" t="str">
            <v>LINOS 0.8 T-PLATE 2/5-HOLES, L=31.5 MM</v>
          </cell>
        </row>
        <row r="8150">
          <cell r="B8150" t="str">
            <v>26-108-08-71</v>
          </cell>
          <cell r="C8150" t="str">
            <v>LINOS 0,8 T-PL. 2/5-LO, L=31,5 MM, STE</v>
          </cell>
          <cell r="D8150" t="str">
            <v>LINOS 0.8 T-PL. 2/5-HOLES, L=31.5 MM,STE</v>
          </cell>
        </row>
        <row r="8151">
          <cell r="B8151" t="str">
            <v>26-108-09-09</v>
          </cell>
          <cell r="C8151" t="str">
            <v>LINOS 0,8 T-PLATTE  3/3-LO, L=19,5 MM</v>
          </cell>
          <cell r="D8151" t="str">
            <v>LINOS 0.8 T-PLATE 3/3-HOLES, L=19.5 MM</v>
          </cell>
        </row>
        <row r="8152">
          <cell r="B8152" t="str">
            <v>26-108-09-71</v>
          </cell>
          <cell r="C8152" t="str">
            <v>LINOS 0,8 T-PL. 3/3-LO, L=19,5 MM, STE</v>
          </cell>
          <cell r="D8152" t="str">
            <v>LINOS 0.8 T-PL. 3/3-HOLES, L=19.5 MM,STE</v>
          </cell>
        </row>
        <row r="8153">
          <cell r="B8153" t="str">
            <v>26-108-10-09</v>
          </cell>
          <cell r="C8153" t="str">
            <v>LINOS 0,8 T-PLATTE  3/4-LO, L=26,5 MM</v>
          </cell>
          <cell r="D8153" t="str">
            <v>LINOS 0.8 T-PLATE 3/4-HOLES, L=26.5 MM</v>
          </cell>
        </row>
        <row r="8154">
          <cell r="B8154" t="str">
            <v>26-108-10-71</v>
          </cell>
          <cell r="C8154" t="str">
            <v>LINOS 0,8 T-PL. 3/4-LO, L=26,5 MM, STE</v>
          </cell>
          <cell r="D8154" t="str">
            <v>LINOS 0.8 T-PL. 3/4-HOLES, L=26.5 MM,STE</v>
          </cell>
        </row>
        <row r="8155">
          <cell r="B8155" t="str">
            <v>26-108-11-09</v>
          </cell>
          <cell r="C8155" t="str">
            <v>LINOS 0,8 T-PLATTE  3/5-LO, L=31,5 MM</v>
          </cell>
          <cell r="D8155" t="str">
            <v>LINOS 0.8 T-PLATE 3/5-HOLES, L=31.5 MM</v>
          </cell>
        </row>
        <row r="8156">
          <cell r="B8156" t="str">
            <v>26-108-11-71</v>
          </cell>
          <cell r="C8156" t="str">
            <v>LINOS 0,8 T-PL. 3/5-LO, L=31,5 MM, STE</v>
          </cell>
          <cell r="D8156" t="str">
            <v>LINOS 0.8 T-PL. 3/5-HOLES, L=31.5 MM,STE</v>
          </cell>
        </row>
        <row r="8157">
          <cell r="B8157" t="str">
            <v>26-108-12-09</v>
          </cell>
          <cell r="C8157" t="str">
            <v>LINOS 0,8 GERADE-PL. 4-LO, L=19,5 MM</v>
          </cell>
          <cell r="D8157" t="str">
            <v>LINOS 0.8 STRAIGHT  PLATE 4-HO, L=19.5 MM</v>
          </cell>
        </row>
        <row r="8158">
          <cell r="B8158" t="str">
            <v>26-108-12-71</v>
          </cell>
          <cell r="C8158" t="str">
            <v>LINOS 0,8 GERADE-PL. 4-LO, L=19,5 MM,STE</v>
          </cell>
          <cell r="D8158" t="str">
            <v>LINOS 0.8 STRAIGHT  PL. 4-HO,L=19.5MM,STE</v>
          </cell>
        </row>
        <row r="8159">
          <cell r="B8159" t="str">
            <v>26-108-13-09</v>
          </cell>
          <cell r="C8159" t="str">
            <v>LINOS 0,8 GERADE-PL. 5-LO, L=26,5 MM</v>
          </cell>
          <cell r="D8159" t="str">
            <v>LINOS 0.8 STRAIGHT  PLATE 5-HO, L=26.5 MM</v>
          </cell>
        </row>
        <row r="8160">
          <cell r="B8160" t="str">
            <v>26-108-13-71</v>
          </cell>
          <cell r="C8160" t="str">
            <v>LINOS 0,8 GERADE-PL. 5-LO, L=26,5 MM,STE</v>
          </cell>
          <cell r="D8160" t="str">
            <v>LINOS 0.8 STRAIGHT  PL. 5-HO,L=26.5MM,STE</v>
          </cell>
        </row>
        <row r="8161">
          <cell r="B8161" t="str">
            <v>26-108-14-09</v>
          </cell>
          <cell r="C8161" t="str">
            <v>LINOS 0,8 GERADE-PL. 6-LO, L=31,5 MM</v>
          </cell>
          <cell r="D8161" t="str">
            <v>LINOS 0.8 STRAIGHT  PLATE 6-HO, L=31.5 MM</v>
          </cell>
        </row>
        <row r="8162">
          <cell r="B8162" t="str">
            <v>26-108-14-71</v>
          </cell>
          <cell r="C8162" t="str">
            <v>LINOS 0,8 GERADE-PL. 6-LO, L=31,5 MM,STE</v>
          </cell>
          <cell r="D8162" t="str">
            <v>LINOS 0.8 STRAIGHT  PL. 6-HO,L=31.5MM,STE</v>
          </cell>
        </row>
        <row r="8163">
          <cell r="B8163" t="str">
            <v>26-108-15-09</v>
          </cell>
          <cell r="C8163" t="str">
            <v>LINOS 0,8 LEITER-PL.  2/2-LO, L=10,5 MM</v>
          </cell>
          <cell r="D8163" t="str">
            <v>LINOS 0.8 STRUT PLATE 2/2-HO, L=10.5 MM</v>
          </cell>
        </row>
        <row r="8164">
          <cell r="B8164" t="str">
            <v>26-108-15-71</v>
          </cell>
          <cell r="C8164" t="str">
            <v>LINOS 0,8 LEITER-PL.  2/2-LO,L=10,5MM,STE</v>
          </cell>
          <cell r="D8164" t="str">
            <v>LINOS 0.8 STRUT PL. 2/2-HO,L=10.5MM,STE</v>
          </cell>
        </row>
        <row r="8165">
          <cell r="B8165" t="str">
            <v>26-108-16-09</v>
          </cell>
          <cell r="C8165" t="str">
            <v>LINOS 0,8 LEITER-PL.  2/3-LO, L=15,5 MM</v>
          </cell>
          <cell r="D8165" t="str">
            <v>LINOS 0.8 STRUT PLATE 2/3-HO, L=15.5 MM</v>
          </cell>
        </row>
        <row r="8166">
          <cell r="B8166" t="str">
            <v>26-108-16-71</v>
          </cell>
          <cell r="C8166" t="str">
            <v>LINOS 0,8 LEITER-PL.  2/3-LO,L=15,5MM,STE</v>
          </cell>
          <cell r="D8166" t="str">
            <v>LINOS 0.8 STRUT PL. 2/3-HO,L=15.5MM,STE</v>
          </cell>
        </row>
        <row r="8167">
          <cell r="B8167" t="str">
            <v>26-108-17-09</v>
          </cell>
          <cell r="C8167" t="str">
            <v>LINOS 0,8 LEITER-PL.  2/4-LO, L=20,5 MM</v>
          </cell>
          <cell r="D8167" t="str">
            <v>LINOS 0.8 STRUT PLATE 2/4-HO, L=20.5 MM</v>
          </cell>
        </row>
        <row r="8168">
          <cell r="B8168" t="str">
            <v>26-108-17-71</v>
          </cell>
          <cell r="C8168" t="str">
            <v>LINOS 0,8 LEITER-PL.  2/4-LO,L=20,5MM,STE</v>
          </cell>
          <cell r="D8168" t="str">
            <v>LINOS 0.8 STRUT PL. 2/4-HO,L=20.5MM,STE</v>
          </cell>
        </row>
        <row r="8169">
          <cell r="B8169" t="str">
            <v>26-108-18-09</v>
          </cell>
          <cell r="C8169" t="str">
            <v>LINOS 0,8 LEITER-PL.  2/5-LO, L=25,5 MM</v>
          </cell>
          <cell r="D8169" t="str">
            <v>LINOS 0.8 STRUT PLATE 2/5-HO, L=25.5 MM</v>
          </cell>
        </row>
        <row r="8170">
          <cell r="B8170" t="str">
            <v>26-108-18-71</v>
          </cell>
          <cell r="C8170" t="str">
            <v>LINOS 0,8 LEITER-PL.  2/5-LO,L=25,5MM,STE</v>
          </cell>
          <cell r="D8170" t="str">
            <v>LINOS 0.8 STRUT PL. 2/5-HO,L=25.5MM,STE</v>
          </cell>
        </row>
        <row r="8171">
          <cell r="B8171" t="str">
            <v>26-108-19-09</v>
          </cell>
          <cell r="C8171" t="str">
            <v>LINOS 0,8 LEITER-PL.  2/6-LO, L=30,5 MM</v>
          </cell>
          <cell r="D8171" t="str">
            <v>LINOS 0.8 STRUT PLATE 2/6-HO, L=30.5 MM</v>
          </cell>
        </row>
        <row r="8172">
          <cell r="B8172" t="str">
            <v>26-108-19-71</v>
          </cell>
          <cell r="C8172" t="str">
            <v>LINOS 0,8 LEITER-PL.  2/6-LO,L=30,5MM,STE</v>
          </cell>
          <cell r="D8172" t="str">
            <v>LINOS 0.8 STRUT PL. 2/6-HO,L=30.5MM,STE</v>
          </cell>
        </row>
        <row r="8173">
          <cell r="B8173" t="str">
            <v>26-108-20-09</v>
          </cell>
          <cell r="C8173" t="str">
            <v>LINOS 0,8 Z-PLATTE  9-LO, L=24,5 MM</v>
          </cell>
          <cell r="D8173" t="str">
            <v>LINOS 0.8 Z-PLATE 9-HOLES,  L=24.5 MM</v>
          </cell>
        </row>
        <row r="8174">
          <cell r="B8174" t="str">
            <v>26-108-20-71</v>
          </cell>
          <cell r="C8174" t="str">
            <v>LINOS 0,8 Z-PLATTE  9-LO, L=24,5 MM, STE</v>
          </cell>
          <cell r="D8174" t="str">
            <v>LINOS 0.8 Z-PL. 9-HOLES,  L=24.5 MM, STE</v>
          </cell>
        </row>
        <row r="8175">
          <cell r="B8175" t="str">
            <v>26-108-21-09</v>
          </cell>
          <cell r="C8175" t="str">
            <v>LINOS 0,8 Z-PLATTE  13-LO, L=34,5 MM</v>
          </cell>
          <cell r="D8175" t="str">
            <v>LINOS 0.8 Z-PLATE 13-HOLES,  L=34.5 MM</v>
          </cell>
        </row>
        <row r="8176">
          <cell r="B8176" t="str">
            <v>26-108-21-71</v>
          </cell>
          <cell r="C8176" t="str">
            <v>LINOS 0,8 Z-PLATTE  13-LO, L=34,5 MM, STE</v>
          </cell>
          <cell r="D8176" t="str">
            <v>LINOS 0.8 Z-PL. 13-HOLES,  L=34.5 MM, STE</v>
          </cell>
        </row>
        <row r="8177">
          <cell r="B8177" t="str">
            <v>26-108-22-09</v>
          </cell>
          <cell r="C8177" t="str">
            <v>LINOS 0,8 KORREKTUR-PLATTE, L=28,5MM</v>
          </cell>
          <cell r="D8177" t="str">
            <v>LINOS 0.8 CORRECTION PLATE, L=28.5 MM</v>
          </cell>
        </row>
        <row r="8178">
          <cell r="B8178" t="str">
            <v>26-108-22-71</v>
          </cell>
          <cell r="C8178" t="str">
            <v>LINOS 0,8 KORR.-PLATTE, L=28,5 MM, STE</v>
          </cell>
          <cell r="D8178" t="str">
            <v>LINOS 0.8 CORR. PLATE, L=28.5 MM, STE</v>
          </cell>
        </row>
        <row r="8179">
          <cell r="B8179" t="str">
            <v>26-108-23-71</v>
          </cell>
          <cell r="C8179" t="str">
            <v>LINOS 0,8 UNTERLEGSCHEIBE, Ø 4,5 MM, STE</v>
          </cell>
          <cell r="D8179" t="str">
            <v>LINOS 0.8 WASHER,  Ø 4.5 MM, STE</v>
          </cell>
        </row>
        <row r="8180">
          <cell r="B8180" t="str">
            <v>26-108-24-09</v>
          </cell>
          <cell r="C8180" t="str">
            <v>LINOS 0,8 GERADE-PL. 7-LO, L=36,5MM</v>
          </cell>
          <cell r="D8180" t="str">
            <v>LINOS 0.8 STRAIGHT  PL. 7-HO, L=36.5MM</v>
          </cell>
        </row>
        <row r="8181">
          <cell r="B8181" t="str">
            <v>26-108-24-71</v>
          </cell>
          <cell r="C8181" t="str">
            <v>LINOS 0,8 GERADE-PL. 7-LO, L=36,5MM, STE</v>
          </cell>
          <cell r="D8181" t="str">
            <v>LINOS 0.8 STRAIGHT  PL. 7-HO,L=36.5MM,STE</v>
          </cell>
        </row>
        <row r="8182">
          <cell r="B8182" t="str">
            <v>26-110-10-09</v>
          </cell>
          <cell r="C8182" t="str">
            <v>MOH 1,0 KOND.-PL.  6-LO, L 33/RE/TI</v>
          </cell>
          <cell r="D8182" t="str">
            <v>MINI-CONDYLE-PLATE, 5-HOLE, RIGHT</v>
          </cell>
        </row>
        <row r="8183">
          <cell r="B8183" t="str">
            <v>26-110-11-09</v>
          </cell>
          <cell r="C8183" t="str">
            <v>MOH 1,0 KOND.-PL.  6-LO, L 33/LI/TI</v>
          </cell>
          <cell r="D8183" t="str">
            <v>MINI-CONDYLE-PLATE, 5-HOLE, LINKS</v>
          </cell>
        </row>
        <row r="8184">
          <cell r="B8184" t="str">
            <v>26-112-01-09</v>
          </cell>
          <cell r="C8184" t="str">
            <v>LINOS 1,2 L-PLATTE  7-LO, L=38,5 MM, RE</v>
          </cell>
          <cell r="D8184" t="str">
            <v>LINOS 1.2 L-PLATE 7-HOLES,  L=38.5 MM, RI</v>
          </cell>
        </row>
        <row r="8185">
          <cell r="B8185" t="str">
            <v>26-112-01-71</v>
          </cell>
          <cell r="C8185" t="str">
            <v>LINOS 1,2 L-PL. 7-LO, L=38,5 MM, RE, STE</v>
          </cell>
          <cell r="D8185" t="str">
            <v>LINOS 1.2 L-PL. 7-HOLES,  L=38.5MM,RI,STE</v>
          </cell>
        </row>
        <row r="8186">
          <cell r="B8186" t="str">
            <v>26-112-02-09</v>
          </cell>
          <cell r="C8186" t="str">
            <v>LINOS 1,2 L-PLATTE  7-LO, L=38,5 MM, LI</v>
          </cell>
          <cell r="D8186" t="str">
            <v>LINOS 1.2 L-PLATE 7-HOLES,  L=38.5 MM, LE</v>
          </cell>
        </row>
        <row r="8187">
          <cell r="B8187" t="str">
            <v>26-112-02-71</v>
          </cell>
          <cell r="C8187" t="str">
            <v>LINOS 1,2 L-PL. 7-LO, L=38,5 MM, LI, STE</v>
          </cell>
          <cell r="D8187" t="str">
            <v>LINOS 1.2 L-PL. 7-HOLES,  L=38.5MM,LE,STE</v>
          </cell>
        </row>
        <row r="8188">
          <cell r="B8188" t="str">
            <v>26-112-03-09</v>
          </cell>
          <cell r="C8188" t="str">
            <v>LINOS 1,2 Y-PLATTE  2/3-LO, L=22,6 MM</v>
          </cell>
          <cell r="D8188" t="str">
            <v>LINOS 1.2 Y-PLATE 2/3-HOLES, L=22.6 MM</v>
          </cell>
        </row>
        <row r="8189">
          <cell r="B8189" t="str">
            <v>26-112-03-71</v>
          </cell>
          <cell r="C8189" t="str">
            <v>LINOS 1,2 Y-PL. 2/3-LO, L=22,6 MM, STE</v>
          </cell>
          <cell r="D8189" t="str">
            <v>LINOS 1.2 Y-PL. 2/3-HOLES, L=22.6 MM,STE</v>
          </cell>
        </row>
        <row r="8190">
          <cell r="B8190" t="str">
            <v>26-112-04-09</v>
          </cell>
          <cell r="C8190" t="str">
            <v>LINOS 1,2 Y-PLATTE  2/4-LO, L=30,1 MM</v>
          </cell>
          <cell r="D8190" t="str">
            <v>LINOS 1.2 Y-PLATE 2/4-HOLES, L=30.1 MM</v>
          </cell>
        </row>
        <row r="8191">
          <cell r="B8191" t="str">
            <v>26-112-04-71</v>
          </cell>
          <cell r="C8191" t="str">
            <v>LINOS 1,2 Y-PL. 2/4-LO, L=30,1 MM, STE</v>
          </cell>
          <cell r="D8191" t="str">
            <v>LINOS 1.2 Y-PL. 2/4-HOLES, L=30.1 MM,STE</v>
          </cell>
        </row>
        <row r="8192">
          <cell r="B8192" t="str">
            <v>26-112-05-09</v>
          </cell>
          <cell r="C8192" t="str">
            <v>LINOS 1,2 Y-PLATTE  2/5-LO, L=36,5 MM</v>
          </cell>
          <cell r="D8192" t="str">
            <v>LINOS 1.2 Y-PLATE 2/5-HOLES, L=36.5 MM</v>
          </cell>
        </row>
        <row r="8193">
          <cell r="B8193" t="str">
            <v>26-112-05-71</v>
          </cell>
          <cell r="C8193" t="str">
            <v>LINOS 1,2 Y-PL. 2/5-LO, L=36,5 MM, STE</v>
          </cell>
          <cell r="D8193" t="str">
            <v>LINOS 1.2 Y-PL. 2/5-HOLES, L=36.5 MM,STE</v>
          </cell>
        </row>
        <row r="8194">
          <cell r="B8194" t="str">
            <v>26-112-06-09</v>
          </cell>
          <cell r="C8194" t="str">
            <v>LINOS 1,2 T-PLATTE  2/3-LO, L=24,5 MM</v>
          </cell>
          <cell r="D8194" t="str">
            <v>LINOS 1.2 T-PLATE 2/3-HOLES, L=24.5 MM</v>
          </cell>
        </row>
        <row r="8195">
          <cell r="B8195" t="str">
            <v>26-112-06-71</v>
          </cell>
          <cell r="C8195" t="str">
            <v>LINOS 1,2 T-PL. 2/3-LO, L=24,5 MM, STE</v>
          </cell>
          <cell r="D8195" t="str">
            <v>LINOS 1.2 T-PL. 2/3-HOLES, L=24.5 MM,STE</v>
          </cell>
        </row>
        <row r="8196">
          <cell r="B8196" t="str">
            <v>26-112-07-09</v>
          </cell>
          <cell r="C8196" t="str">
            <v>LINOS 1,2 T-PLATTE  2/4-LO, L=32 MM</v>
          </cell>
          <cell r="D8196" t="str">
            <v>LINOS 1.2 T-PLATE 2/4-HOLES, L=32 MM</v>
          </cell>
        </row>
        <row r="8197">
          <cell r="B8197" t="str">
            <v>26-112-07-71</v>
          </cell>
          <cell r="C8197" t="str">
            <v>LINOS 1,2 T-PLATTE  2/4-LO, L=32 MM, STE</v>
          </cell>
          <cell r="D8197" t="str">
            <v>LINOS 1.2 T-PL. 2/4-HOLES, L=32 MM, STE</v>
          </cell>
        </row>
        <row r="8198">
          <cell r="B8198" t="str">
            <v>26-112-08-09</v>
          </cell>
          <cell r="C8198" t="str">
            <v>LINOS 1,2 T-PLATTE  2/5-LO, L=38,5 MM</v>
          </cell>
          <cell r="D8198" t="str">
            <v>LINOS 1.2 T-PLATE 2/5-HOLES, L=38.5 MM</v>
          </cell>
        </row>
        <row r="8199">
          <cell r="B8199" t="str">
            <v>26-112-08-71</v>
          </cell>
          <cell r="C8199" t="str">
            <v>LINOS 1,2 T-PL. 2/5-LO, L=38,5 MM, STE</v>
          </cell>
          <cell r="D8199" t="str">
            <v>LINOS 1.2 T-PL. 2/5-HOLES, L=38.5 MM,STE</v>
          </cell>
        </row>
        <row r="8200">
          <cell r="B8200" t="str">
            <v>26-112-09-09</v>
          </cell>
          <cell r="C8200" t="str">
            <v>LINOS 1,2 T-PLATTE  3/3-LO, L=24,5 MM</v>
          </cell>
          <cell r="D8200" t="str">
            <v>LINOS 1.2 T-PLATE 3/3-HOLES, L=24.5 MM</v>
          </cell>
        </row>
        <row r="8201">
          <cell r="B8201" t="str">
            <v>26-112-09-71</v>
          </cell>
          <cell r="C8201" t="str">
            <v>LINOS 1,2 T-PL. 3/3-LO, L=24,5 MM, STE</v>
          </cell>
          <cell r="D8201" t="str">
            <v>LINOS 1.2 T-PL. 3/3-HOLES, L=24.5 MM,STE</v>
          </cell>
        </row>
        <row r="8202">
          <cell r="B8202" t="str">
            <v>26-112-10-09</v>
          </cell>
          <cell r="C8202" t="str">
            <v>LINOS 1,2 T-PLATTE  3/4-LO, L=32 MM</v>
          </cell>
          <cell r="D8202" t="str">
            <v>LINOS 1.2 T-PLATE 3/4-HOLES, L=32 MM</v>
          </cell>
        </row>
        <row r="8203">
          <cell r="B8203" t="str">
            <v>26-112-10-71</v>
          </cell>
          <cell r="C8203" t="str">
            <v>LINOS 1,2 T-PLATTE  3/4-LO, L=32 MM, STE</v>
          </cell>
          <cell r="D8203" t="str">
            <v>LINOS 1.2 T-PL. 3/4-HOLES, L=32 MM, STE</v>
          </cell>
        </row>
        <row r="8204">
          <cell r="B8204" t="str">
            <v>26-112-11-09</v>
          </cell>
          <cell r="C8204" t="str">
            <v>LINOS 1,2 T-PLATTE  3/5-LO, L=38,5 MM</v>
          </cell>
          <cell r="D8204" t="str">
            <v>LINOS 1.2 T-PLATE 3/5-HOLES, L=38.5 MM</v>
          </cell>
        </row>
        <row r="8205">
          <cell r="B8205" t="str">
            <v>26-112-11-71</v>
          </cell>
          <cell r="C8205" t="str">
            <v>LINOS 1,2 T-PL. 3/5-LO, L=38,5 MM, STE</v>
          </cell>
          <cell r="D8205" t="str">
            <v>LINOS 1.2 T-PL. 3/5-HOLES, L=38.5 MM,STE</v>
          </cell>
        </row>
        <row r="8206">
          <cell r="B8206" t="str">
            <v>26-112-12-09</v>
          </cell>
          <cell r="C8206" t="str">
            <v>LINOS 1,2 GERADE-PL. 4-LO, L=24,5 MM</v>
          </cell>
          <cell r="D8206" t="str">
            <v>LINOS 1.2 STRAIGHT  PLATE 4-HO, L=24.5 MM</v>
          </cell>
        </row>
        <row r="8207">
          <cell r="B8207" t="str">
            <v>26-112-12-71</v>
          </cell>
          <cell r="C8207" t="str">
            <v>LINOS 1,2 GERADE-PL. 4-LO, L=24,5 MM,STE</v>
          </cell>
          <cell r="D8207" t="str">
            <v>LINOS 1.2 STRAIGHT  PL. 4-HO,L=24.5MM,STE</v>
          </cell>
        </row>
        <row r="8208">
          <cell r="B8208" t="str">
            <v>26-112-13-09</v>
          </cell>
          <cell r="C8208" t="str">
            <v>LINOS 1,2 GERADE-PL. 5-LO, L=32 MM</v>
          </cell>
          <cell r="D8208" t="str">
            <v>LINOS 1.2 STRAIGHT  PLATE 5-HO, L=32 MM</v>
          </cell>
        </row>
        <row r="8209">
          <cell r="B8209" t="str">
            <v>26-112-13-71</v>
          </cell>
          <cell r="C8209" t="str">
            <v>LINOS 1,2 GERADE-PL. 5-LO, L=32 MM, STE</v>
          </cell>
          <cell r="D8209" t="str">
            <v>LINOS 1.2 STRAIGHT  PL. 5-HO,L=32MM,STE</v>
          </cell>
        </row>
        <row r="8210">
          <cell r="B8210" t="str">
            <v>26-112-14-09</v>
          </cell>
          <cell r="C8210" t="str">
            <v>LINOS 1,2 GERADE-PL. 6-LO, L=38,5 MM</v>
          </cell>
          <cell r="D8210" t="str">
            <v>LINOS 1.2 STRAIGHT  PLATE 6-HO, L=38.5 MM</v>
          </cell>
        </row>
        <row r="8211">
          <cell r="B8211" t="str">
            <v>26-112-14-71</v>
          </cell>
          <cell r="C8211" t="str">
            <v>LINOS 1,2 GERADE-PL. 6-LO, L=38,5 MM,STE</v>
          </cell>
          <cell r="D8211" t="str">
            <v>LINOS 1.2 STRAIGHT  PL. 6-HO,L=38.5MM,STE</v>
          </cell>
        </row>
        <row r="8212">
          <cell r="B8212" t="str">
            <v>26-112-15-09</v>
          </cell>
          <cell r="C8212" t="str">
            <v>LINOS 1,2 LEITER-PL.  2/2-LO, L=11,5 MM</v>
          </cell>
          <cell r="D8212" t="str">
            <v>LINOS 1.2 STRUT PLATE 2/2-HO, L=11.5 MM</v>
          </cell>
        </row>
        <row r="8213">
          <cell r="B8213" t="str">
            <v>26-112-15-71</v>
          </cell>
          <cell r="C8213" t="str">
            <v>LINOS 1,2 LEITER-PL.  2/2-LO,L=11,5MM,STE</v>
          </cell>
          <cell r="D8213" t="str">
            <v>LINOS 1.2 STRUT PL. 2/2-HO, L=11.5MM,STE</v>
          </cell>
        </row>
        <row r="8214">
          <cell r="B8214" t="str">
            <v>26-112-16-09</v>
          </cell>
          <cell r="C8214" t="str">
            <v>LINOS 1,2 LEITER-PL.  2/3-LO, L=18 MM</v>
          </cell>
          <cell r="D8214" t="str">
            <v>LINOS 1.2 STRUT PLATE 2/3-HO, L=18 MM</v>
          </cell>
        </row>
        <row r="8215">
          <cell r="B8215" t="str">
            <v>26-112-16-71</v>
          </cell>
          <cell r="C8215" t="str">
            <v>LINOS 1,2 LEITER-PL.  2/3-LO, L=18 MM,STE</v>
          </cell>
          <cell r="D8215" t="str">
            <v>LINOS 1.2 STRUT PL. 2/3-HO, L=18 MM, STE</v>
          </cell>
        </row>
        <row r="8216">
          <cell r="B8216" t="str">
            <v>26-112-17-09</v>
          </cell>
          <cell r="C8216" t="str">
            <v>LINOS 1,2 LEITER-PL.  2/4-LO, L=24,5 MM</v>
          </cell>
          <cell r="D8216" t="str">
            <v>LINOS 1.2 STRUT PLATE 2/4-HO, L=24.5 MM</v>
          </cell>
        </row>
        <row r="8217">
          <cell r="B8217" t="str">
            <v>26-112-17-71</v>
          </cell>
          <cell r="C8217" t="str">
            <v>LINOS 1,2 LEITER-PL.  2/4-LO,L=24,5MM,STE</v>
          </cell>
          <cell r="D8217" t="str">
            <v>LINOS 1.2 STRUT PL. 2/4-HO,L=24.5MM,STE</v>
          </cell>
        </row>
        <row r="8218">
          <cell r="B8218" t="str">
            <v>26-112-18-09</v>
          </cell>
          <cell r="C8218" t="str">
            <v>LINOS 1,2 LEITER-PL.  2/5-LO, L=31 MM</v>
          </cell>
          <cell r="D8218" t="str">
            <v>LINOS 1.2 STRUT PLATE 2/5-HO, L=31 MM</v>
          </cell>
        </row>
        <row r="8219">
          <cell r="B8219" t="str">
            <v>26-112-18-71</v>
          </cell>
          <cell r="C8219" t="str">
            <v>LINOS 1,2 LEITER-PL.  2/5-LO, L=31 MM,STE</v>
          </cell>
          <cell r="D8219" t="str">
            <v>LINOS 1.2 STRUT PL. 2/5-HO, L=31 MM, STE</v>
          </cell>
        </row>
        <row r="8220">
          <cell r="B8220" t="str">
            <v>26-112-19-09</v>
          </cell>
          <cell r="C8220" t="str">
            <v>LINOS 1,2 LEITER-PL.  2/6-LO, L=37,5 MM</v>
          </cell>
          <cell r="D8220" t="str">
            <v>LINOS 1.2 STRUT PLATE 2/6-HO, L=37.5 MM</v>
          </cell>
        </row>
        <row r="8221">
          <cell r="B8221" t="str">
            <v>26-112-19-71</v>
          </cell>
          <cell r="C8221" t="str">
            <v>LINOS 1,2 LEITER-PL.  2/6-LO,L=37,5MM,STE</v>
          </cell>
          <cell r="D8221" t="str">
            <v>LINOS 1.2 STRUT PL. 2/6-HO,L=37.5MM,STE</v>
          </cell>
        </row>
        <row r="8222">
          <cell r="B8222" t="str">
            <v>26-112-20-09</v>
          </cell>
          <cell r="C8222" t="str">
            <v>LINOS 1,2 Z-PLATTE  9-LO, L=31 MM</v>
          </cell>
          <cell r="D8222" t="str">
            <v>LINOS 1.2 Z-PLATE 9-HOLES,  L=31 MM</v>
          </cell>
        </row>
        <row r="8223">
          <cell r="B8223" t="str">
            <v>26-112-20-71</v>
          </cell>
          <cell r="C8223" t="str">
            <v>LINOS 1,2 Z-PLATTE  9-LO, L=31 MM, STE</v>
          </cell>
          <cell r="D8223" t="str">
            <v>LINOS 1.2 Z-PL. 9-HOLES,  L=31 MM, STE</v>
          </cell>
        </row>
        <row r="8224">
          <cell r="B8224" t="str">
            <v>26-112-21-09</v>
          </cell>
          <cell r="C8224" t="str">
            <v>LINOS 1,2 Z-PLATTE  13-LO, L=44 MM</v>
          </cell>
          <cell r="D8224" t="str">
            <v>LINOS 1.2 Z-PLATE 13-HOLES,  L=44 MM</v>
          </cell>
        </row>
        <row r="8225">
          <cell r="B8225" t="str">
            <v>26-112-21-71</v>
          </cell>
          <cell r="C8225" t="str">
            <v>LINOS 1,2 Z-PLATTE  13-LO, L=44 MM, STE</v>
          </cell>
          <cell r="D8225" t="str">
            <v>LINOS 1.2 Z-PL. 13-HOLES,  L=44 MM, STE</v>
          </cell>
        </row>
        <row r="8226">
          <cell r="B8226" t="str">
            <v>26-112-22-09</v>
          </cell>
          <cell r="C8226" t="str">
            <v>LINOS 1,2 KORREKTUR-PLATTE, L=33MM</v>
          </cell>
          <cell r="D8226" t="str">
            <v>LINOS 1.2 CORRECTION PLATE, L=33 MM</v>
          </cell>
        </row>
        <row r="8227">
          <cell r="B8227" t="str">
            <v>26-112-22-71</v>
          </cell>
          <cell r="C8227" t="str">
            <v>LINOS 1,2 KORREKTUR-PLATTE, L=33 MM, STE</v>
          </cell>
          <cell r="D8227" t="str">
            <v>LINOS 1.2 CORRECTION PLATE, L=33 MM, STE</v>
          </cell>
        </row>
        <row r="8228">
          <cell r="B8228" t="str">
            <v>26-112-23-71</v>
          </cell>
          <cell r="C8228" t="str">
            <v>LINOS 1,2 UNTERLEGSCHEIBE, Ø 5,0 MM, STE</v>
          </cell>
          <cell r="D8228" t="str">
            <v>LINOS 1.2 WASHER,  Ø 5.0 MM, STE</v>
          </cell>
        </row>
        <row r="8229">
          <cell r="B8229" t="str">
            <v>26-112-24-09</v>
          </cell>
          <cell r="C8229" t="str">
            <v>LINOS 1,2 Y-PLATTE  2/6-LO, L=43 MM</v>
          </cell>
          <cell r="D8229" t="str">
            <v>LINOS 1.2 Y-PLATE 2/6-HOLES, L=43 MM</v>
          </cell>
        </row>
        <row r="8230">
          <cell r="B8230" t="str">
            <v>26-112-24-71</v>
          </cell>
          <cell r="C8230" t="str">
            <v>LINOS 1,2 Y-PL. 2/6-LO, L=43 MM, STE</v>
          </cell>
          <cell r="D8230" t="str">
            <v>LINOS 1.2 Y-PL. 2/6-HOLES, L=43 MM,STE</v>
          </cell>
        </row>
        <row r="8231">
          <cell r="B8231" t="str">
            <v>26-112-25-09</v>
          </cell>
          <cell r="C8231" t="str">
            <v>LINOS 1,2 T-PLATTE  2/6-LO, L=45 MM</v>
          </cell>
          <cell r="D8231" t="str">
            <v>LINOS 1.2 T-PLATE 2/6-HOLES, L=45 MM</v>
          </cell>
        </row>
        <row r="8232">
          <cell r="B8232" t="str">
            <v>26-112-25-71</v>
          </cell>
          <cell r="C8232" t="str">
            <v>LINOS 1,2 T-PL. 2/6-LO, L=45 MM, STE</v>
          </cell>
          <cell r="D8232" t="str">
            <v>LINOS 1.2 T-PL. 2/6-HOLES, L=45 MM, STE</v>
          </cell>
        </row>
        <row r="8233">
          <cell r="B8233" t="str">
            <v>26-112-26-09</v>
          </cell>
          <cell r="C8233" t="str">
            <v>LINOS 1,2 T-PLATTE  3/6-LO, L=45 MM</v>
          </cell>
          <cell r="D8233" t="str">
            <v>LINOS 1.2 T-PLATE 3/6-HOLES, L=45 MM</v>
          </cell>
        </row>
        <row r="8234">
          <cell r="B8234" t="str">
            <v>26-112-26-71</v>
          </cell>
          <cell r="C8234" t="str">
            <v>LINOS 1,2 T-PLATTE  3/6-LO, L=45 MM, STE</v>
          </cell>
          <cell r="D8234" t="str">
            <v>LINOS 1.2 T-PL. 3/6-HOLES, L=45 MM, STE</v>
          </cell>
        </row>
        <row r="8235">
          <cell r="B8235" t="str">
            <v>26-112-27-09</v>
          </cell>
          <cell r="C8235" t="str">
            <v>LINOS 1,2 GERADE-PL. 7-LO, L=45 MM</v>
          </cell>
          <cell r="D8235" t="str">
            <v>LINOS 1.2 STRAIGHT  PLATE 7-HO, L=45 MM</v>
          </cell>
        </row>
        <row r="8236">
          <cell r="B8236" t="str">
            <v>26-112-27-71</v>
          </cell>
          <cell r="C8236" t="str">
            <v>LINOS 1,2 GERADE-PL. 7-LO, L=45 MM, STE</v>
          </cell>
          <cell r="D8236" t="str">
            <v>LINOS 1.2 STRAIGHT  PL. 7-HO,L=45MM,STE</v>
          </cell>
        </row>
        <row r="8237">
          <cell r="B8237" t="str">
            <v>26-112-28-09</v>
          </cell>
          <cell r="C8237" t="str">
            <v>LINOS 1,2 Y-PL. 2/7-LO, L=49,5 MM</v>
          </cell>
          <cell r="D8237" t="str">
            <v>LINOS 1.2 Y-PLATE 2/7-HOLES, L=49,5 MM</v>
          </cell>
        </row>
        <row r="8238">
          <cell r="B8238" t="str">
            <v>26-112-28-71</v>
          </cell>
          <cell r="C8238" t="str">
            <v>LINOS 1,2 Y-PL. 2/7-LO, L=49,5 MM, STE</v>
          </cell>
          <cell r="D8238" t="str">
            <v>LINOS 1.2 Y-PL. 2/7-HOLES,L=49,5MM,STE</v>
          </cell>
        </row>
        <row r="8239">
          <cell r="B8239" t="str">
            <v>26-112-29-09</v>
          </cell>
          <cell r="C8239" t="str">
            <v>LINOS 1,2 T-PL. 2/7-LO, L=51,5 MM</v>
          </cell>
          <cell r="D8239" t="str">
            <v>LINOS 1.2 T-PLATE 2/7-HOLES, L=51,5 MM</v>
          </cell>
        </row>
        <row r="8240">
          <cell r="B8240" t="str">
            <v>26-112-29-71</v>
          </cell>
          <cell r="C8240" t="str">
            <v>LINOS 1,2 T-PL. 2/7-LO, L=51,5 MM, STE</v>
          </cell>
          <cell r="D8240" t="str">
            <v>LINOS 1.2 T-PL. 2/7-HOLES,L=51,5MM,STE</v>
          </cell>
        </row>
        <row r="8241">
          <cell r="B8241" t="str">
            <v>26-112-30-09</v>
          </cell>
          <cell r="C8241" t="str">
            <v>LINOS 1,2 LEITER-PL.2/7-LO, L=44 MM</v>
          </cell>
          <cell r="D8241" t="str">
            <v>LINOS 1.2 STRUT PLATE 2/7-HO, L=44 MM</v>
          </cell>
        </row>
        <row r="8242">
          <cell r="B8242" t="str">
            <v>26-112-30-71</v>
          </cell>
          <cell r="C8242" t="str">
            <v>LINOS 1,2 LEITER-PL.2/7-LO, L=44 MM,STE</v>
          </cell>
          <cell r="D8242" t="str">
            <v>LINOS 1.2 STRUT PL. 2/7-HO, L=44 MM,STE</v>
          </cell>
        </row>
        <row r="8243">
          <cell r="B8243" t="str">
            <v>26-112-31-09</v>
          </cell>
          <cell r="C8243" t="str">
            <v>LINOS 1,2 LEITER-PL.2/8-LO, L=50,5MM</v>
          </cell>
          <cell r="D8243" t="str">
            <v>LINOS 1.2 STRUT PLATE 2/8-HO, L=50.5 MM</v>
          </cell>
        </row>
        <row r="8244">
          <cell r="B8244" t="str">
            <v>26-112-31-71</v>
          </cell>
          <cell r="C8244" t="str">
            <v>LINOS 1,2 LEITER-PL.2/8-LO, L=50,5MM,STE</v>
          </cell>
          <cell r="D8244" t="str">
            <v>LINOS 1.2 STRUT PL. 2/8-HO, L=50.5MM,STE</v>
          </cell>
        </row>
        <row r="8245">
          <cell r="B8245" t="str">
            <v>26-112-32-71</v>
          </cell>
          <cell r="C8245" t="str">
            <v>LINOS 1,2 GERADE-PL. 8-LO, L=51,5MM, STE</v>
          </cell>
          <cell r="D8245" t="str">
            <v>LINOS 1.2 STRAIGHT  PL. 8-HO,L=51.5MM,STE</v>
          </cell>
        </row>
        <row r="8246">
          <cell r="B8246" t="str">
            <v>26-130-07-09</v>
          </cell>
          <cell r="C8246" t="str">
            <v>FLOWER PLATE, 7-LOCH, TI</v>
          </cell>
          <cell r="D8246" t="str">
            <v>FLOWER PLATE F. HAND ARTHRODESIS, 7-HOLE</v>
          </cell>
        </row>
        <row r="8247">
          <cell r="B8247" t="str">
            <v>26-130-07-71</v>
          </cell>
          <cell r="C8247" t="str">
            <v>FLOWER PLATE, 7-LOCH, TI, STERIL</v>
          </cell>
          <cell r="D8247" t="str">
            <v>FLOWER PLATE, 7-HOLE, STERILE</v>
          </cell>
        </row>
        <row r="8248">
          <cell r="B8248" t="str">
            <v>26-130-13-71</v>
          </cell>
          <cell r="C8248" t="str">
            <v>FLOWER PLATE FRÄSE, Ø 13 MM/AO/STERIL</v>
          </cell>
          <cell r="D8248" t="str">
            <v>FLOWER PLATE BURR, Ø 13 MM/AO/STERILE</v>
          </cell>
        </row>
        <row r="8249">
          <cell r="B8249" t="str">
            <v>26-130-17-71</v>
          </cell>
          <cell r="C8249" t="str">
            <v>Flower Plate Kit, steril</v>
          </cell>
          <cell r="D8249" t="str">
            <v>Flower Plate Kit, sterile</v>
          </cell>
        </row>
        <row r="8250">
          <cell r="B8250" t="str">
            <v>26-130-18-07</v>
          </cell>
          <cell r="C8250" t="str">
            <v>Flower Plate K-Draht-Spender, Ø 1.6,18cm</v>
          </cell>
          <cell r="D8250" t="str">
            <v>Flower Plate K-wire dispenser,Ø 1.6,18cm</v>
          </cell>
        </row>
        <row r="8251">
          <cell r="B8251" t="str">
            <v>26-141-15-07</v>
          </cell>
          <cell r="C8251" t="str">
            <v>GEWEBESCHUTZHUELSE, Ø 1,5 MM</v>
          </cell>
          <cell r="D8251" t="str">
            <v>TAP SLEEVE Ø 1,5 MM</v>
          </cell>
        </row>
        <row r="8252">
          <cell r="B8252" t="str">
            <v>26-141-20-07</v>
          </cell>
          <cell r="C8252" t="str">
            <v>GEWEBESCHUTZHUELSE, Ø 2,0 MM</v>
          </cell>
          <cell r="D8252" t="str">
            <v>TAP SLEEVE Ø 2,0 MM</v>
          </cell>
        </row>
        <row r="8253">
          <cell r="B8253" t="str">
            <v>26-141-23-07</v>
          </cell>
          <cell r="C8253" t="str">
            <v>GEWEBESCHUTZHUELSE, Ø 2,3 MM</v>
          </cell>
          <cell r="D8253" t="str">
            <v>TAP SLEEVE Ø 2,3 MM</v>
          </cell>
        </row>
        <row r="8254">
          <cell r="B8254" t="str">
            <v>26-142-14-07</v>
          </cell>
          <cell r="C8254" t="str">
            <v>KOMPR.-BOHRFÜHRUNG MINI PLATTE 1,5MM</v>
          </cell>
          <cell r="D8254" t="str">
            <v>INSERT MINI 1,5</v>
          </cell>
        </row>
        <row r="8255">
          <cell r="B8255" t="str">
            <v>26-142-15-07</v>
          </cell>
          <cell r="C8255" t="str">
            <v>KOMPR.-BOHRFÜHRUNG MIDI PLATTE 1,5MM</v>
          </cell>
          <cell r="D8255" t="str">
            <v>INSERT MIDI 1.5</v>
          </cell>
        </row>
        <row r="8256">
          <cell r="B8256" t="str">
            <v>26-142-19-07</v>
          </cell>
          <cell r="C8256" t="str">
            <v>KOMPR.-BOHRFÜHRUNG MINI PLATTE 2,0MM</v>
          </cell>
          <cell r="D8256" t="str">
            <v>INSERT MINI 2.0</v>
          </cell>
        </row>
        <row r="8257">
          <cell r="B8257" t="str">
            <v>26-142-20-07</v>
          </cell>
          <cell r="C8257" t="str">
            <v>KOMPR.-BOHRFÜHRUNG MIDI PLATTE 2,3MM</v>
          </cell>
          <cell r="D8257" t="str">
            <v>INSERT MIDI 2.0</v>
          </cell>
        </row>
        <row r="8258">
          <cell r="B8258" t="str">
            <v>26-142-23-07</v>
          </cell>
          <cell r="C8258" t="str">
            <v>KOMPR.-BOHRFÜHRUNG MIDI PLATTE 2,3MM</v>
          </cell>
          <cell r="D8258" t="str">
            <v>INSERT MIDI 2.3</v>
          </cell>
        </row>
        <row r="8259">
          <cell r="B8259" t="str">
            <v>26-145-01-07</v>
          </cell>
          <cell r="C8259" t="str">
            <v>TIEFENMESSER Ø1,0/1,2  MM</v>
          </cell>
          <cell r="D8259" t="str">
            <v>DEPTH GAUGE 1,0/1,2 MM</v>
          </cell>
        </row>
        <row r="8260">
          <cell r="B8260" t="str">
            <v>26-145-02-07</v>
          </cell>
          <cell r="C8260" t="str">
            <v>TIEFENMESSER Ø1,5 MM</v>
          </cell>
          <cell r="D8260" t="str">
            <v>DEPTH GAUYE Ø 1.5 MM</v>
          </cell>
        </row>
        <row r="8261">
          <cell r="B8261" t="str">
            <v>26-145-03-07</v>
          </cell>
          <cell r="C8261" t="str">
            <v>TIEFENMESSER Ø2,0/2,3  MM</v>
          </cell>
          <cell r="D8261" t="str">
            <v>DEPTH GAUYE Ø 2.0/2.3</v>
          </cell>
        </row>
        <row r="8262">
          <cell r="B8262" t="str">
            <v>26-145-05-07</v>
          </cell>
          <cell r="C8262" t="str">
            <v>TIEFENMESSER Ø1,5/2,0/2,3 MM BIS 20MM</v>
          </cell>
          <cell r="D8262" t="str">
            <v>MOH DEPTH GAUGE 1,5/2,0/2,3MM UP TO 20MM</v>
          </cell>
        </row>
        <row r="8263">
          <cell r="B8263" t="str">
            <v>26-147-01-07</v>
          </cell>
          <cell r="C8263" t="str">
            <v>PLATTENHALTEZANGE, 16 CM</v>
          </cell>
          <cell r="D8263" t="str">
            <v>PLATE HOLDING  FORCEPS</v>
          </cell>
        </row>
        <row r="8264">
          <cell r="B8264" t="str">
            <v>26-148-01-07</v>
          </cell>
          <cell r="C8264" t="str">
            <v>PLATTEN-BIEGEZANGE, 13 CM</v>
          </cell>
          <cell r="D8264" t="str">
            <v>BENDING  PLIERS</v>
          </cell>
        </row>
        <row r="8265">
          <cell r="B8265" t="str">
            <v>26-150-00-07</v>
          </cell>
          <cell r="C8265" t="str">
            <v>HANDSTUECK M. DENTAL-KUPPLUNG</v>
          </cell>
          <cell r="D8265" t="str">
            <v>HANDLE DENTAL-COUPLING</v>
          </cell>
        </row>
        <row r="8266">
          <cell r="B8266" t="str">
            <v>26-153-08-07</v>
          </cell>
          <cell r="C8266" t="str">
            <v>KERNLOCHBOHRER Ø 0,8MM/DENT/ST</v>
          </cell>
          <cell r="D8266" t="str">
            <v>DRILL 0,8X50MM, DENTAL CPL.</v>
          </cell>
        </row>
        <row r="8267">
          <cell r="B8267" t="str">
            <v>26-153-08-71</v>
          </cell>
          <cell r="C8267" t="str">
            <v>KERNLOCHBOHRER Ø 0,8MM/DENT/ST</v>
          </cell>
          <cell r="D8267" t="str">
            <v>DRILL 0,8X50MM, DENTAL CPL.</v>
          </cell>
        </row>
        <row r="8268">
          <cell r="B8268" t="str">
            <v>26-153-10-07</v>
          </cell>
          <cell r="C8268" t="str">
            <v>GLEITLOCHBOHRER Ø 1,0MM/DENT/ST</v>
          </cell>
          <cell r="D8268" t="str">
            <v>DRILL 1X50MM,  DENTAL CPL.</v>
          </cell>
        </row>
        <row r="8269">
          <cell r="B8269" t="str">
            <v>26-153-10-71</v>
          </cell>
          <cell r="C8269" t="str">
            <v>GLEITLOCHBOHRER Ø 1,0MM/DENT/ST</v>
          </cell>
          <cell r="D8269" t="str">
            <v>DRILL 1X50MM,  DENTAL CPL.</v>
          </cell>
        </row>
        <row r="8270">
          <cell r="B8270" t="str">
            <v>26-153-11-07</v>
          </cell>
          <cell r="C8270" t="str">
            <v>smartDrive  Kernlochbohrer Ø1,1mm/DENT</v>
          </cell>
          <cell r="D8270" t="str">
            <v>smartDrive  core hole drill Ø1,1mm/DENT</v>
          </cell>
        </row>
        <row r="8271">
          <cell r="B8271" t="str">
            <v>26-153-11-71</v>
          </cell>
          <cell r="C8271" t="str">
            <v>KERNLOCHBOHRER Ø 1,1MM/DENT/ST/STERIL</v>
          </cell>
          <cell r="D8271" t="str">
            <v>CORE HOLE DRILL Ø 1.1/DENT/ST/STERILE</v>
          </cell>
        </row>
        <row r="8272">
          <cell r="B8272" t="str">
            <v>26-153-15-07</v>
          </cell>
          <cell r="C8272" t="str">
            <v>smartDrive  Gleitlochbohrer Ø1,5mm/DENT</v>
          </cell>
          <cell r="D8272" t="str">
            <v>smartDrive  glid. hole drill Ø1,5mm/DENT</v>
          </cell>
        </row>
        <row r="8273">
          <cell r="B8273" t="str">
            <v>26-153-15-71</v>
          </cell>
          <cell r="C8273" t="str">
            <v>GLEITLOCHBOHRER Ø1,5MM/DENT/ST/STERIL</v>
          </cell>
          <cell r="D8273" t="str">
            <v>GLIDING HOLE DRILLØ1.5MM/DENT/ST/STERILE</v>
          </cell>
        </row>
        <row r="8274">
          <cell r="B8274" t="str">
            <v>26-153-16-07</v>
          </cell>
          <cell r="C8274" t="str">
            <v>smartDrive  Kernlochbohrer Ø1,5mm/DENT</v>
          </cell>
          <cell r="D8274" t="str">
            <v>smartDrive  core hole drill Ø1,5mm/DENT</v>
          </cell>
        </row>
        <row r="8275">
          <cell r="B8275" t="str">
            <v>26-153-16-71</v>
          </cell>
          <cell r="C8275" t="str">
            <v>KERNLOCHBOHRER Ø 1,5MM/DENT/ST/STERIL</v>
          </cell>
          <cell r="D8275" t="str">
            <v>CORE HOLE DRILL Ø 1.5/DENT/ST/STERILE</v>
          </cell>
        </row>
        <row r="8276">
          <cell r="B8276" t="str">
            <v>26-153-18-07</v>
          </cell>
          <cell r="C8276" t="str">
            <v>smartDrive  Kernlochbohrer Ø1,8mm/DENT</v>
          </cell>
          <cell r="D8276" t="str">
            <v>smartDrive  core hole drill Ø1,8mm/DENT</v>
          </cell>
        </row>
        <row r="8277">
          <cell r="B8277" t="str">
            <v>26-153-18-71</v>
          </cell>
          <cell r="C8277" t="str">
            <v>KERNLOCHBOHRER Ø 1,8MM/DENT/ST/STERIL</v>
          </cell>
          <cell r="D8277" t="str">
            <v>CORE HOLE DRILL Ø 1.8/DENT/ST/STERILE</v>
          </cell>
        </row>
        <row r="8278">
          <cell r="B8278" t="str">
            <v>26-153-20-07</v>
          </cell>
          <cell r="C8278" t="str">
            <v>smartDrive  Gleitlochbohrer Ø2,0mm/DENT</v>
          </cell>
          <cell r="D8278" t="str">
            <v>smartDrive  glid. hole drill Ø2,0mm/DENT</v>
          </cell>
        </row>
        <row r="8279">
          <cell r="B8279" t="str">
            <v>26-153-20-71</v>
          </cell>
          <cell r="C8279" t="str">
            <v>GLEITLOCHBOHRER Ø2,0MM/DENT/ST/STERIL</v>
          </cell>
          <cell r="D8279" t="str">
            <v>GLIDING HOLE DRILLØ2,0MM/DENT/ST/STERILE</v>
          </cell>
        </row>
        <row r="8280">
          <cell r="B8280" t="str">
            <v>26-153-23-07</v>
          </cell>
          <cell r="C8280" t="str">
            <v>smartDrive  Gleitlochbohrer Ø2,3mm/DENT</v>
          </cell>
          <cell r="D8280" t="str">
            <v>smartDrive  glid. hole drill Ø2,3mm/DENT</v>
          </cell>
        </row>
        <row r="8281">
          <cell r="B8281" t="str">
            <v>26-153-23-71</v>
          </cell>
          <cell r="C8281" t="str">
            <v>GLEITLOCHBOHRER Ø2,3MM/DENT/ST/STERIL</v>
          </cell>
          <cell r="D8281" t="str">
            <v>GLIDING HOLE DRILLØ2,3MM/DENT/ST/STERILE</v>
          </cell>
        </row>
        <row r="8282">
          <cell r="B8282" t="str">
            <v>26-158-08-07</v>
          </cell>
          <cell r="C8282" t="str">
            <v>KERNLOCHBOHRER Ø 0,8MM/AO</v>
          </cell>
          <cell r="D8282" t="str">
            <v>CORE HOLE DRILL Ø 0,8MM/AO</v>
          </cell>
        </row>
        <row r="8283">
          <cell r="B8283" t="str">
            <v>26-158-08-71</v>
          </cell>
          <cell r="C8283" t="str">
            <v>KERNLOCHBOHRER Ø 0,8MM/AO/STE</v>
          </cell>
          <cell r="D8283" t="str">
            <v>CORE HOLE DRILL Ø 0,8MM/AO/ST</v>
          </cell>
        </row>
        <row r="8284">
          <cell r="B8284" t="str">
            <v>26-158-09-07</v>
          </cell>
          <cell r="C8284" t="str">
            <v>GLEITLOCHBOHRER Ø 1,0MM/AO</v>
          </cell>
          <cell r="D8284" t="str">
            <v>GLIDING HOLE DRILL Ø 1,0MM/AO</v>
          </cell>
        </row>
        <row r="8285">
          <cell r="B8285" t="str">
            <v>26-158-09-71</v>
          </cell>
          <cell r="C8285" t="str">
            <v>GLEITLOCHBOHRER Ø 1,0MM/AO/ST</v>
          </cell>
          <cell r="D8285" t="str">
            <v>GLIDING HOLE DRILL Ø 1,0MM/AO/ST</v>
          </cell>
        </row>
        <row r="8286">
          <cell r="B8286" t="str">
            <v>26-158-10-07</v>
          </cell>
          <cell r="C8286" t="str">
            <v>SMARTDRIVE KERNLOCHBOHRER Ø 1,0MM/AO</v>
          </cell>
          <cell r="D8286" t="str">
            <v>SMARTDRIVE CORE HOLE DRILL Ø 1,0MM/AO</v>
          </cell>
        </row>
        <row r="8287">
          <cell r="B8287" t="str">
            <v>26-158-10-71</v>
          </cell>
          <cell r="C8287" t="str">
            <v>SMARTDRIVE KERNLOCHBOHRER Ø 1,0MM/AO/STE</v>
          </cell>
          <cell r="D8287" t="str">
            <v>SMARTDRIVE CORE HOLE DRILL Ø 1,0MM/AO/ST</v>
          </cell>
        </row>
        <row r="8288">
          <cell r="B8288" t="str">
            <v>26-158-11-07</v>
          </cell>
          <cell r="C8288" t="str">
            <v>SMARTDRIVE KERNLOCHBOHRER Ø 1,1MM/AO</v>
          </cell>
          <cell r="D8288" t="str">
            <v>SMARTDRIVE CORE HOLE DRILL Ø 1,1MM/AO</v>
          </cell>
        </row>
        <row r="8289">
          <cell r="B8289" t="str">
            <v>26-158-11-71</v>
          </cell>
          <cell r="C8289" t="str">
            <v>SMARTDRIVE KERNLOCHBOHRER Ø 1,1MM/AO/STE</v>
          </cell>
          <cell r="D8289" t="str">
            <v>SMARTDRIVE CORE HOLE DRILL Ø 1,1MM/AO/ST</v>
          </cell>
        </row>
        <row r="8290">
          <cell r="B8290" t="str">
            <v>26-158-12-07</v>
          </cell>
          <cell r="C8290" t="str">
            <v>SMARTDRIVE GLEITLOCHBOHRER Ø 1,2MM/AO</v>
          </cell>
          <cell r="D8290" t="str">
            <v>SMARTDRIVE GLIDING HOLE DRILL Ø 1,2MM/AO</v>
          </cell>
        </row>
        <row r="8291">
          <cell r="B8291" t="str">
            <v>26-158-12-71</v>
          </cell>
          <cell r="C8291" t="str">
            <v>SMARTDRIVE GLEITLOCHBOHRER Ø 1,2MM/AO/ST</v>
          </cell>
          <cell r="D8291" t="str">
            <v>SMARTDRIVE GLID. HOLE DRILL Ø1,2MM/AO/ST</v>
          </cell>
        </row>
        <row r="8292">
          <cell r="B8292" t="str">
            <v>26-158-15-07</v>
          </cell>
          <cell r="C8292" t="str">
            <v>SMARTDRIVE GLEITLOCHBOHRER Ø 1,5MM/AO</v>
          </cell>
          <cell r="D8292" t="str">
            <v>SMARTDRIVE GLIDING HOLE DRILL Ø 1,5MM/AO</v>
          </cell>
        </row>
        <row r="8293">
          <cell r="B8293" t="str">
            <v>26-158-15-71</v>
          </cell>
          <cell r="C8293" t="str">
            <v>SMARTDRIVE GLEITLOCHBOHRER Ø 1,5MM/AO/ST</v>
          </cell>
          <cell r="D8293" t="str">
            <v>SMARTDRIVE GLID. HOLE DRILL Ø1,5MM/AO/ST</v>
          </cell>
        </row>
        <row r="8294">
          <cell r="B8294" t="str">
            <v>26-158-16-07</v>
          </cell>
          <cell r="C8294" t="str">
            <v>SMARTDRIVE KERNLOCHBOHRER Ø 1,5MM/AO</v>
          </cell>
          <cell r="D8294" t="str">
            <v>SMARTDRIVE CORE HOLE DRILL Ø 1,5MM/AO</v>
          </cell>
        </row>
        <row r="8295">
          <cell r="B8295" t="str">
            <v>26-158-16-71</v>
          </cell>
          <cell r="C8295" t="str">
            <v>SMARTDRIVE KERNLOCHBOHRER Ø 1,5MM/AO/STE</v>
          </cell>
          <cell r="D8295" t="str">
            <v>SMARTDRIVE CORE HOLE DRILL Ø 1,5MM/AO/ST</v>
          </cell>
        </row>
        <row r="8296">
          <cell r="B8296" t="str">
            <v>26-158-18-07</v>
          </cell>
          <cell r="C8296" t="str">
            <v>SMARTDRIVE KERNLOCHBOHRER Ø 1,8MM/AO</v>
          </cell>
          <cell r="D8296" t="str">
            <v>SMARTDRIVE CORE HOLE DRILL Ø 1,8MM/AO</v>
          </cell>
        </row>
        <row r="8297">
          <cell r="B8297" t="str">
            <v>26-158-18-71</v>
          </cell>
          <cell r="C8297" t="str">
            <v>SMARTDRIVE KERNLOCHBOHRER Ø 1,8MM/AO/STE</v>
          </cell>
          <cell r="D8297" t="str">
            <v>SMARTDRIVE CORE HOLE DRILL Ø 1,8MM/AO/ST</v>
          </cell>
        </row>
        <row r="8298">
          <cell r="B8298" t="str">
            <v>26-158-20-07</v>
          </cell>
          <cell r="C8298" t="str">
            <v>SMARTDRIVE GLEITLOCHBOHRER Ø 2,0MM/AO</v>
          </cell>
          <cell r="D8298" t="str">
            <v>SMARTDRIVE GLIDING HOLE DRILL Ø 2,0MM/AO</v>
          </cell>
        </row>
        <row r="8299">
          <cell r="B8299" t="str">
            <v>26-158-20-71</v>
          </cell>
          <cell r="C8299" t="str">
            <v>SMARTDRIVE GLEITLOCHBOHRER Ø 2,0MM/AO/ST</v>
          </cell>
          <cell r="D8299" t="str">
            <v>SMARTDRIVE GLID.HOLE  DRILL Ø 2,0MM/AO/ST</v>
          </cell>
        </row>
        <row r="8300">
          <cell r="B8300" t="str">
            <v>26-158-23-07</v>
          </cell>
          <cell r="C8300" t="str">
            <v>SMARTDRIVE GLEITLOCHBOHRER Ø 2,3MM/AO</v>
          </cell>
          <cell r="D8300" t="str">
            <v>SMARTDRIVE GLIDING HOLE DRILL Ø 2,3MM/AO</v>
          </cell>
        </row>
        <row r="8301">
          <cell r="B8301" t="str">
            <v>26-158-23-71</v>
          </cell>
          <cell r="C8301" t="str">
            <v>SMARTDRIVE GLEITLOCHBOHRER Ø 2,3MM/AO/ST</v>
          </cell>
          <cell r="D8301" t="str">
            <v>SMARTDRIVE GLID.HOLE  DRILL Ø 2,3MM/AO/ST</v>
          </cell>
        </row>
        <row r="8302">
          <cell r="B8302" t="str">
            <v>26-166-07-07</v>
          </cell>
          <cell r="C8302" t="str">
            <v>RECOS ULNA SÄGELEHRE RECHTS</v>
          </cell>
          <cell r="D8302" t="str">
            <v>RECOS ULNA SAW GUIDE, RIGHT</v>
          </cell>
        </row>
        <row r="8303">
          <cell r="B8303" t="str">
            <v>26-166-08-07</v>
          </cell>
          <cell r="C8303" t="str">
            <v>RECOS ULNA SÄGELEHRE LINKS</v>
          </cell>
          <cell r="D8303" t="str">
            <v>RECOS ULNA SAW GUIDE, LEFT</v>
          </cell>
        </row>
        <row r="8304">
          <cell r="B8304" t="str">
            <v>26-166-10-07</v>
          </cell>
          <cell r="C8304" t="str">
            <v>RECOS ULNA KOMPRESSIONSZANGE RECHTS</v>
          </cell>
          <cell r="D8304" t="str">
            <v>RECOS ULNA COMPRESSION PLIERS RIGHT</v>
          </cell>
        </row>
        <row r="8305">
          <cell r="B8305" t="str">
            <v>26-166-11-07</v>
          </cell>
          <cell r="C8305" t="str">
            <v>RECOS ULNA KOMPRESSIONSZANGE LINKS</v>
          </cell>
          <cell r="D8305" t="str">
            <v>RECOS ULNA COMPRESSION PLIERS LEFT</v>
          </cell>
        </row>
        <row r="8306">
          <cell r="B8306" t="str">
            <v>26-166-13-07</v>
          </cell>
          <cell r="C8306" t="str">
            <v>RECOS BOHRDRAHTSPENDER Ø 1,2 MM</v>
          </cell>
          <cell r="D8306" t="str">
            <v>RECOS K-WIRE DISPENSER  Ø 1,2 MM</v>
          </cell>
        </row>
        <row r="8307">
          <cell r="B8307" t="str">
            <v>26-166-18-07</v>
          </cell>
          <cell r="C8307" t="str">
            <v>RECOS SCHRAUBENDREHER T8 2,5/3,0</v>
          </cell>
          <cell r="D8307" t="str">
            <v>RECOS SCREW DRIVER T8 2,5/3,0</v>
          </cell>
        </row>
        <row r="8308">
          <cell r="B8308" t="str">
            <v>26-166-19-07</v>
          </cell>
          <cell r="C8308" t="str">
            <v>RECOS SCHRAUBENDREHER T8 2,5/3,0/DREHBAR</v>
          </cell>
          <cell r="D8308" t="str">
            <v>RECOS SCREW DRIVER T8 2,5/3,0/ROTARY</v>
          </cell>
        </row>
        <row r="8309">
          <cell r="B8309" t="str">
            <v>26-166-20-07</v>
          </cell>
          <cell r="C8309" t="str">
            <v>RECOS TIEFENMESSER AO-PRINZIP</v>
          </cell>
          <cell r="D8309" t="str">
            <v>RECOS DEPTH GAUGE AO DESIGN</v>
          </cell>
        </row>
        <row r="8310">
          <cell r="B8310" t="str">
            <v>26-166-21-07</v>
          </cell>
          <cell r="C8310" t="str">
            <v>RECOS TIEFENMESSER EINHAND-PRINZIP</v>
          </cell>
          <cell r="D8310" t="str">
            <v>RECOS DEPTH GAUGE SINGLE HAND DESIGN</v>
          </cell>
        </row>
        <row r="8311">
          <cell r="B8311" t="str">
            <v>26-166-25-07</v>
          </cell>
          <cell r="C8311" t="str">
            <v>RECOS BOHRFÜHRUNG CLASSIC 2,5</v>
          </cell>
          <cell r="D8311" t="str">
            <v>RECOS DRILL GUIDE CLASSIC 2,5</v>
          </cell>
        </row>
        <row r="8312">
          <cell r="B8312" t="str">
            <v>26-166-27-07</v>
          </cell>
          <cell r="C8312" t="str">
            <v>RECOS RADIUS BOHRFÜHRUNG MONOAXIAL 2,5</v>
          </cell>
          <cell r="D8312" t="str">
            <v>RECOS R DRILL GUIDE MONODIRECT. 2,5</v>
          </cell>
        </row>
        <row r="8313">
          <cell r="B8313" t="str">
            <v>26-166-30-07</v>
          </cell>
          <cell r="C8313" t="str">
            <v>RECOS BOHRFÜHRUNG CLASSIC 3,0</v>
          </cell>
          <cell r="D8313" t="str">
            <v>RECOS DRILL GUIDE CLASSIC 3,0</v>
          </cell>
        </row>
        <row r="8314">
          <cell r="B8314" t="str">
            <v>26-166-31-07</v>
          </cell>
          <cell r="C8314" t="str">
            <v>RECOS RADIUS BOHRFÜHRUNG POLYAXIAL  3,0</v>
          </cell>
          <cell r="D8314" t="str">
            <v>RECOS R DRILL GUIDE POLYDIRECT. 3,0</v>
          </cell>
        </row>
        <row r="8315">
          <cell r="B8315" t="str">
            <v>26-166-32-07</v>
          </cell>
          <cell r="C8315" t="str">
            <v>RECOS RADIUS BOHRFÜHRUNG MONOAXIAL 3,0</v>
          </cell>
          <cell r="D8315" t="str">
            <v>RECOS R DRILL GUIDE MONODIRECT. 3,0</v>
          </cell>
        </row>
        <row r="8316">
          <cell r="B8316" t="str">
            <v>26-166-33-71</v>
          </cell>
          <cell r="C8316" t="str">
            <v>RECOS Bohrhülsen für Ø 2,5er Bohrer</v>
          </cell>
          <cell r="D8316" t="str">
            <v>RECOS Drill Guide for Ø 2.5 drill</v>
          </cell>
        </row>
        <row r="8317">
          <cell r="B8317" t="str">
            <v>26-166-40-09</v>
          </cell>
          <cell r="C8317" t="str">
            <v>RECOS RADIUSREKON 4/3-LO, L70/RE/TI/STER</v>
          </cell>
          <cell r="D8317" t="str">
            <v>RECOS RADIUSRECON 4/3-HO, L70/RI/TI/STER</v>
          </cell>
        </row>
        <row r="8318">
          <cell r="B8318" t="str">
            <v>26-166-41-09</v>
          </cell>
          <cell r="C8318" t="str">
            <v>RECOS RADIUSREKON 4/3-LO, L70/LI/TI/STER</v>
          </cell>
          <cell r="D8318" t="str">
            <v>RECOS RADIUSRECON 4/3-HO, L70/LE/TI/STER</v>
          </cell>
        </row>
        <row r="8319">
          <cell r="B8319" t="str">
            <v>26-166-42-09</v>
          </cell>
          <cell r="C8319" t="str">
            <v>RECOS RADIUSREKON 3/2-LO, L70/RE/TI/STER</v>
          </cell>
          <cell r="D8319" t="str">
            <v>RECOS RADIUSRECON 3/2-HO, L70/RI/TI/STER</v>
          </cell>
        </row>
        <row r="8320">
          <cell r="B8320" t="str">
            <v>26-166-43-09</v>
          </cell>
          <cell r="C8320" t="str">
            <v>RECOS RADIUSREKON 3/2-LO, L70/LI/TI/STER</v>
          </cell>
          <cell r="D8320" t="str">
            <v>RECOS RADIUSRECON 3/2-HO, L70/LE/TI/STER</v>
          </cell>
        </row>
        <row r="8321">
          <cell r="B8321" t="str">
            <v>26-166-60-09</v>
          </cell>
          <cell r="C8321" t="str">
            <v>RECOS Ulnaverkürzung 7Loch L80/TI/steril</v>
          </cell>
          <cell r="D8321" t="str">
            <v>RECOS Ulna shortening  7-hole L80/TI/ster</v>
          </cell>
        </row>
        <row r="8322">
          <cell r="B8322" t="str">
            <v>26-166-65-09</v>
          </cell>
          <cell r="C8322" t="str">
            <v>RECOS Ulnaverkürzung Brücke L80/TI/steri</v>
          </cell>
          <cell r="D8322" t="str">
            <v>RECOS Ulna shortening  bridge L80/TI/ster</v>
          </cell>
        </row>
        <row r="8323">
          <cell r="B8323" t="str">
            <v>26-166-70-09</v>
          </cell>
          <cell r="C8323" t="str">
            <v>RECOS Ulnaverkürzung 7Loch L90/TI/steril</v>
          </cell>
          <cell r="D8323" t="str">
            <v>RECOS Ulna shortening  7-hole L90/TI/ster</v>
          </cell>
        </row>
        <row r="8324">
          <cell r="B8324" t="str">
            <v>26-166-75-09</v>
          </cell>
          <cell r="C8324" t="str">
            <v>RECOS Ulnaverkürzung Brücke L90/TI/steri</v>
          </cell>
          <cell r="D8324" t="str">
            <v>RECOS Ulna shortening  bridge L90/TI/ster</v>
          </cell>
        </row>
        <row r="8325">
          <cell r="B8325" t="str">
            <v>26-208-01-09</v>
          </cell>
          <cell r="C8325" t="str">
            <v>LINOS 0,8 SIZER FÜR 26-108-01</v>
          </cell>
          <cell r="D8325" t="str">
            <v>LINOS 0.8 SIZER FOR 26-108-01</v>
          </cell>
        </row>
        <row r="8326">
          <cell r="B8326" t="str">
            <v>26-208-02-09</v>
          </cell>
          <cell r="C8326" t="str">
            <v>LINOS 0,8 SIZER FÜR 26-108-02</v>
          </cell>
          <cell r="D8326" t="str">
            <v>LINOS 0.8 SIZER FOR 26-108-02</v>
          </cell>
        </row>
        <row r="8327">
          <cell r="B8327" t="str">
            <v>26-208-03-09</v>
          </cell>
          <cell r="C8327" t="str">
            <v>LINOS 0,8 SIZER FÜR 26-108-03</v>
          </cell>
          <cell r="D8327" t="str">
            <v>LINOS 0.8 SIZER FOR 26-108-03</v>
          </cell>
        </row>
        <row r="8328">
          <cell r="B8328" t="str">
            <v>26-208-04-09</v>
          </cell>
          <cell r="C8328" t="str">
            <v>LINOS 0,8 SIZER FÜR 26-108-04</v>
          </cell>
          <cell r="D8328" t="str">
            <v>LINOS 0.8 SIZER FOR 26-108-04</v>
          </cell>
        </row>
        <row r="8329">
          <cell r="B8329" t="str">
            <v>26-208-05-09</v>
          </cell>
          <cell r="C8329" t="str">
            <v>LINOS 0,8 SIZER FÜR 26-108-05</v>
          </cell>
          <cell r="D8329" t="str">
            <v>LINOS 0.8 SIZER FOR 26-108-05</v>
          </cell>
        </row>
        <row r="8330">
          <cell r="B8330" t="str">
            <v>26-208-06-09</v>
          </cell>
          <cell r="C8330" t="str">
            <v>LINOS 0,8 SIZER FÜR 26-108-06</v>
          </cell>
          <cell r="D8330" t="str">
            <v>LINOS 0.8 SIZER FOR 26-108-06</v>
          </cell>
        </row>
        <row r="8331">
          <cell r="B8331" t="str">
            <v>26-208-07-09</v>
          </cell>
          <cell r="C8331" t="str">
            <v>LINOS 0,8 SIZER FÜR 26-108-07</v>
          </cell>
          <cell r="D8331" t="str">
            <v>LINOS 0.8 SIZER FOR 26-108-07</v>
          </cell>
        </row>
        <row r="8332">
          <cell r="B8332" t="str">
            <v>26-208-08-09</v>
          </cell>
          <cell r="C8332" t="str">
            <v>LINOS 0,8 SIZER FÜR 26-108-08</v>
          </cell>
          <cell r="D8332" t="str">
            <v>LINOS 0.8 SIZER FOR 26-108-08</v>
          </cell>
        </row>
        <row r="8333">
          <cell r="B8333" t="str">
            <v>26-208-09-09</v>
          </cell>
          <cell r="C8333" t="str">
            <v>LINOS 0,8 SIZER FÜR 26-108-09</v>
          </cell>
          <cell r="D8333" t="str">
            <v>LINOS 0.8 SIZER FOR 26-108-09</v>
          </cell>
        </row>
        <row r="8334">
          <cell r="B8334" t="str">
            <v>26-208-10-09</v>
          </cell>
          <cell r="C8334" t="str">
            <v>LINOS 0,8 SIZER FÜR 26-108-10</v>
          </cell>
          <cell r="D8334" t="str">
            <v>LINOS 0.8 SIZER FOR 26-108-10</v>
          </cell>
        </row>
        <row r="8335">
          <cell r="B8335" t="str">
            <v>26-208-11-09</v>
          </cell>
          <cell r="C8335" t="str">
            <v>LINOS 0,8 SIZER FÜR 26-108-11</v>
          </cell>
          <cell r="D8335" t="str">
            <v>LINOS 0.8 SIZER FOR 26-108-11</v>
          </cell>
        </row>
        <row r="8336">
          <cell r="B8336" t="str">
            <v>26-208-12-09</v>
          </cell>
          <cell r="C8336" t="str">
            <v>LINOS 0,8 SIZER FÜR 26-108-12</v>
          </cell>
          <cell r="D8336" t="str">
            <v>LINOS 0.8 SIZER FOR 26-108-12</v>
          </cell>
        </row>
        <row r="8337">
          <cell r="B8337" t="str">
            <v>26-208-13-09</v>
          </cell>
          <cell r="C8337" t="str">
            <v>LINOS 0,8 SIZER FÜR 26-108-13</v>
          </cell>
          <cell r="D8337" t="str">
            <v>LINOS 0.8 SIZER FOR 26-108-13</v>
          </cell>
        </row>
        <row r="8338">
          <cell r="B8338" t="str">
            <v>26-208-14-09</v>
          </cell>
          <cell r="C8338" t="str">
            <v>LINOS 0,8 SIZER FÜR 26-108-14</v>
          </cell>
          <cell r="D8338" t="str">
            <v>LINOS 0.8 SIZER FOR 26-108-14</v>
          </cell>
        </row>
        <row r="8339">
          <cell r="B8339" t="str">
            <v>26-208-15-09</v>
          </cell>
          <cell r="C8339" t="str">
            <v>LINOS 0,8 SIZER FÜR 26-108-15</v>
          </cell>
          <cell r="D8339" t="str">
            <v>LINOS 0.8 SIZER FOR 26-108-15</v>
          </cell>
        </row>
        <row r="8340">
          <cell r="B8340" t="str">
            <v>26-208-16-09</v>
          </cell>
          <cell r="C8340" t="str">
            <v>LINOS 0,8 SIZER FÜR 26-108-16</v>
          </cell>
          <cell r="D8340" t="str">
            <v>LINOS 0.8 SIZER FOR 26-108-16</v>
          </cell>
        </row>
        <row r="8341">
          <cell r="B8341" t="str">
            <v>26-208-17-09</v>
          </cell>
          <cell r="C8341" t="str">
            <v>LINOS 0,8 SIZER FÜR 26-108-17</v>
          </cell>
          <cell r="D8341" t="str">
            <v>LINOS 0.8 SIZER FOR 26-108-17</v>
          </cell>
        </row>
        <row r="8342">
          <cell r="B8342" t="str">
            <v>26-208-18-09</v>
          </cell>
          <cell r="C8342" t="str">
            <v>LINOS 0,8 SIZER FÜR 26-108-18</v>
          </cell>
          <cell r="D8342" t="str">
            <v>LINOS 0.8 SIZER FOR 26-108-18</v>
          </cell>
        </row>
        <row r="8343">
          <cell r="B8343" t="str">
            <v>26-208-19-09</v>
          </cell>
          <cell r="C8343" t="str">
            <v>LINOS 0,8 SIZER FÜR 26-108-19</v>
          </cell>
          <cell r="D8343" t="str">
            <v>LINOS 0.8 SIZER FOR 26-108-19</v>
          </cell>
        </row>
        <row r="8344">
          <cell r="B8344" t="str">
            <v>26-208-20-09</v>
          </cell>
          <cell r="C8344" t="str">
            <v>LINOS 0,8 SIZER FÜR 26-108-20</v>
          </cell>
          <cell r="D8344" t="str">
            <v>LINOS 0.8 SIZER FOR 26-108-20</v>
          </cell>
        </row>
        <row r="8345">
          <cell r="B8345" t="str">
            <v>26-208-21-09</v>
          </cell>
          <cell r="C8345" t="str">
            <v>LINOS 0,8 SIZER FÜR 26-108-21</v>
          </cell>
          <cell r="D8345" t="str">
            <v>LINOS 0.8 SIZER FOR 26-108-21</v>
          </cell>
        </row>
        <row r="8346">
          <cell r="B8346" t="str">
            <v>26-208-22-09</v>
          </cell>
          <cell r="C8346" t="str">
            <v>LINOS 0,8 SIZER FÜR 26-108-22</v>
          </cell>
          <cell r="D8346" t="str">
            <v>LINOS 0.8 SIZER FOR 26-108-22</v>
          </cell>
        </row>
        <row r="8347">
          <cell r="B8347" t="str">
            <v>26-208-24-09</v>
          </cell>
          <cell r="C8347" t="str">
            <v>LINOS 0,8 SIZER FÜR 26-108-24</v>
          </cell>
          <cell r="D8347" t="str">
            <v>LINOS 0.8 SIZER FOR 26-108-24</v>
          </cell>
        </row>
        <row r="8348">
          <cell r="B8348" t="str">
            <v>26-210-01-09</v>
          </cell>
          <cell r="C8348" t="str">
            <v>UHP Schaft Standard,  klein, Ti, steril</v>
          </cell>
          <cell r="D8348" t="str">
            <v>UHP Stem Standard,  small, Ti, sterile</v>
          </cell>
        </row>
        <row r="8349">
          <cell r="B8349" t="str">
            <v>26-210-03-09</v>
          </cell>
          <cell r="C8349" t="str">
            <v>UHP Schaft Standard,  mittel, Ti, steril</v>
          </cell>
          <cell r="D8349" t="str">
            <v>UHP Stem Standard,  medium,  Ti, sterile</v>
          </cell>
        </row>
        <row r="8350">
          <cell r="B8350" t="str">
            <v>26-210-05-09</v>
          </cell>
          <cell r="C8350" t="str">
            <v>UHP Schaft Standard,  groß, Ti, steril</v>
          </cell>
          <cell r="D8350" t="str">
            <v>UHP Stem Standard,  large, Ti, sterile</v>
          </cell>
        </row>
        <row r="8351">
          <cell r="B8351" t="str">
            <v>26-210-11-09</v>
          </cell>
          <cell r="C8351" t="str">
            <v>UHP Schaft Standard+,  klein, Ti, steril</v>
          </cell>
          <cell r="D8351" t="str">
            <v>UHP Stem Standard+,  small, Ti, sterile</v>
          </cell>
        </row>
        <row r="8352">
          <cell r="B8352" t="str">
            <v>26-210-13-09</v>
          </cell>
          <cell r="C8352" t="str">
            <v>UHP Schaft Standard+,  mittel, Ti, steril</v>
          </cell>
          <cell r="D8352" t="str">
            <v>UHP Stem Standard+,  medium,  Ti, sterile</v>
          </cell>
        </row>
        <row r="8353">
          <cell r="B8353" t="str">
            <v>26-210-15-09</v>
          </cell>
          <cell r="C8353" t="str">
            <v>UHP Schaft Standard+,  groß, Ti, steril</v>
          </cell>
          <cell r="D8353" t="str">
            <v>UHP Stem Standard+,  large, Ti, sterile</v>
          </cell>
        </row>
        <row r="8354">
          <cell r="B8354" t="str">
            <v>26-210-21-09</v>
          </cell>
          <cell r="C8354" t="str">
            <v>UHP Schaft Revision,  klein, Ti, steril</v>
          </cell>
          <cell r="D8354" t="str">
            <v>UHP Stem Revision,  small, Ti, sterile</v>
          </cell>
        </row>
        <row r="8355">
          <cell r="B8355" t="str">
            <v>26-210-23-09</v>
          </cell>
          <cell r="C8355" t="str">
            <v>UHP Schaft Revision,  mittel, Ti, steril</v>
          </cell>
          <cell r="D8355" t="str">
            <v>UHP Stem Revision,  medium,  Ti, sterile</v>
          </cell>
        </row>
        <row r="8356">
          <cell r="B8356" t="str">
            <v>26-210-25-09</v>
          </cell>
          <cell r="C8356" t="str">
            <v>UHP Schaft Revision,  groß, Ti, steril</v>
          </cell>
          <cell r="D8356" t="str">
            <v>UHP Stem Revision,  large, Ti, sterile</v>
          </cell>
        </row>
        <row r="8357">
          <cell r="B8357" t="str">
            <v>26-211-01-05</v>
          </cell>
          <cell r="C8357" t="str">
            <v>UHP Probe-Schaft Standard,  klein, St</v>
          </cell>
          <cell r="D8357" t="str">
            <v>UHP Trial Stem Standard,  small, St</v>
          </cell>
        </row>
        <row r="8358">
          <cell r="B8358" t="str">
            <v>26-211-03-05</v>
          </cell>
          <cell r="C8358" t="str">
            <v>UHP Probe-Schaft Standard,  mittel, St</v>
          </cell>
          <cell r="D8358" t="str">
            <v>UHP Trial Stem Standard,  medium,  St</v>
          </cell>
        </row>
        <row r="8359">
          <cell r="B8359" t="str">
            <v>26-211-05-05</v>
          </cell>
          <cell r="C8359" t="str">
            <v>UHP Probe-Schaft Standard,  groß, St</v>
          </cell>
          <cell r="D8359" t="str">
            <v>UHP Trial Stem Standard,  large, St</v>
          </cell>
        </row>
        <row r="8360">
          <cell r="B8360" t="str">
            <v>26-211-11-05</v>
          </cell>
          <cell r="C8360" t="str">
            <v>UHP Probe-Schaft Standard+,  klein, St</v>
          </cell>
          <cell r="D8360" t="str">
            <v>UHP Trial Stem Standard+,  small, St</v>
          </cell>
        </row>
        <row r="8361">
          <cell r="B8361" t="str">
            <v>26-211-13-05</v>
          </cell>
          <cell r="C8361" t="str">
            <v>UHP Probe-Schaft Standard+,  mittel, St</v>
          </cell>
          <cell r="D8361" t="str">
            <v>UHP Trial Stem Standard+,  medium,  St</v>
          </cell>
        </row>
        <row r="8362">
          <cell r="B8362" t="str">
            <v>26-211-15-05</v>
          </cell>
          <cell r="C8362" t="str">
            <v>UHP Probe-Schaft Standard+,  groß, St</v>
          </cell>
          <cell r="D8362" t="str">
            <v>UHP Trial Stem Standard+,  large, St</v>
          </cell>
        </row>
        <row r="8363">
          <cell r="B8363" t="str">
            <v>26-211-21-05</v>
          </cell>
          <cell r="C8363" t="str">
            <v>UHP Probe-Schaft Revision,  klein, St</v>
          </cell>
          <cell r="D8363" t="str">
            <v>UHP Trial Stem Revision,  small, St</v>
          </cell>
        </row>
        <row r="8364">
          <cell r="B8364" t="str">
            <v>26-211-23-05</v>
          </cell>
          <cell r="C8364" t="str">
            <v>UHP Probe-Schaft Revision,  mittel, St</v>
          </cell>
          <cell r="D8364" t="str">
            <v>UHP Trial Stem Revision,  medium,  St</v>
          </cell>
        </row>
        <row r="8365">
          <cell r="B8365" t="str">
            <v>26-211-25-05</v>
          </cell>
          <cell r="C8365" t="str">
            <v>UHP Probe-Schaft, Revision,  groß, St</v>
          </cell>
          <cell r="D8365" t="str">
            <v>UHP Trial Stem Revision,  large, St</v>
          </cell>
        </row>
        <row r="8366">
          <cell r="B8366" t="str">
            <v>26-212-01-09</v>
          </cell>
          <cell r="C8366" t="str">
            <v>LINOS 1,2 SIZER FÜR 26-112-01</v>
          </cell>
          <cell r="D8366" t="str">
            <v>LINOS 1.2 SIZER FOR 26-112-01</v>
          </cell>
        </row>
        <row r="8367">
          <cell r="B8367" t="str">
            <v>26-212-02-09</v>
          </cell>
          <cell r="C8367" t="str">
            <v>LINOS 1,2 SIZER FÜR 26-112-02</v>
          </cell>
          <cell r="D8367" t="str">
            <v>LINOS 1.2 SIZER FOR 26-112-02</v>
          </cell>
        </row>
        <row r="8368">
          <cell r="B8368" t="str">
            <v>26-212-03-09</v>
          </cell>
          <cell r="C8368" t="str">
            <v>LINOS 1,2 SIZER FÜR 26-112-03</v>
          </cell>
          <cell r="D8368" t="str">
            <v>LINOS 1.2 SIZER FOR 26-112-03</v>
          </cell>
        </row>
        <row r="8369">
          <cell r="B8369" t="str">
            <v>26-212-04-09</v>
          </cell>
          <cell r="C8369" t="str">
            <v>LINOS 1,2 SIZER FÜR 26-112-04</v>
          </cell>
          <cell r="D8369" t="str">
            <v>LINOS 1.2 SIZER FOR 26-112-04</v>
          </cell>
        </row>
        <row r="8370">
          <cell r="B8370" t="str">
            <v>26-212-05-09</v>
          </cell>
          <cell r="C8370" t="str">
            <v>LINOS 1,2 SIZER FÜR 26-112-05</v>
          </cell>
          <cell r="D8370" t="str">
            <v>LINOS 1.2 SIZER FOR 26-112-05</v>
          </cell>
        </row>
        <row r="8371">
          <cell r="B8371" t="str">
            <v>26-212-06-09</v>
          </cell>
          <cell r="C8371" t="str">
            <v>LINOS 1,2 SIZER FÜR 26-112-06</v>
          </cell>
          <cell r="D8371" t="str">
            <v>LINOS 1.2 SIZER FOR 26-112-06</v>
          </cell>
        </row>
        <row r="8372">
          <cell r="B8372" t="str">
            <v>26-212-07-09</v>
          </cell>
          <cell r="C8372" t="str">
            <v>LINOS 1,2 SIZER FÜR 26-112-07</v>
          </cell>
          <cell r="D8372" t="str">
            <v>LINOS 1.2 SIZER FOR 26-112-07</v>
          </cell>
        </row>
        <row r="8373">
          <cell r="B8373" t="str">
            <v>26-212-08-09</v>
          </cell>
          <cell r="C8373" t="str">
            <v>LINOS 1,2 SIZER FÜR 26-112-08</v>
          </cell>
          <cell r="D8373" t="str">
            <v>LINOS 1.2 SIZER FOR 26-112-08</v>
          </cell>
        </row>
        <row r="8374">
          <cell r="B8374" t="str">
            <v>26-212-09-09</v>
          </cell>
          <cell r="C8374" t="str">
            <v>LINOS 1,2 SIZER FÜR 26-112-09</v>
          </cell>
          <cell r="D8374" t="str">
            <v>LINOS 1.2 SIZER FOR 26-112-09</v>
          </cell>
        </row>
        <row r="8375">
          <cell r="B8375" t="str">
            <v>26-212-10-09</v>
          </cell>
          <cell r="C8375" t="str">
            <v>LINOS 1,2 SIZER FÜR 26-112-10</v>
          </cell>
          <cell r="D8375" t="str">
            <v>LINOS 1.2 SIZER FOR 26-112-10</v>
          </cell>
        </row>
        <row r="8376">
          <cell r="B8376" t="str">
            <v>26-212-11-09</v>
          </cell>
          <cell r="C8376" t="str">
            <v>LINOS 1,2 SIZER FÜR 26-112-11</v>
          </cell>
          <cell r="D8376" t="str">
            <v>LINOS 1.2 SIZER FOR 26-112-11</v>
          </cell>
        </row>
        <row r="8377">
          <cell r="B8377" t="str">
            <v>26-212-12-09</v>
          </cell>
          <cell r="C8377" t="str">
            <v>LINOS 1,2 SIZER FÜR 26-112-12</v>
          </cell>
          <cell r="D8377" t="str">
            <v>LINOS 1.2 SIZER FOR 26-112-12</v>
          </cell>
        </row>
        <row r="8378">
          <cell r="B8378" t="str">
            <v>26-212-13-09</v>
          </cell>
          <cell r="C8378" t="str">
            <v>LINOS 1,2 SIZER FÜR 26-112-13</v>
          </cell>
          <cell r="D8378" t="str">
            <v>LINOS 1.2 SIZER FOR 26-112-13</v>
          </cell>
        </row>
        <row r="8379">
          <cell r="B8379" t="str">
            <v>26-212-14-09</v>
          </cell>
          <cell r="C8379" t="str">
            <v>LINOS 1,2 SIZER FÜR 26-112-14</v>
          </cell>
          <cell r="D8379" t="str">
            <v>LINOS 1.2 SIZER FOR 26-112-14</v>
          </cell>
        </row>
        <row r="8380">
          <cell r="B8380" t="str">
            <v>26-212-15-09</v>
          </cell>
          <cell r="C8380" t="str">
            <v>LINOS 1,2 SIZER FÜR 26-112-15</v>
          </cell>
          <cell r="D8380" t="str">
            <v>LINOS 1.2 SIZER FOR 26-112-15</v>
          </cell>
        </row>
        <row r="8381">
          <cell r="B8381" t="str">
            <v>26-212-16-09</v>
          </cell>
          <cell r="C8381" t="str">
            <v>LINOS 1,2 SIZER FÜR 26-112-16</v>
          </cell>
          <cell r="D8381" t="str">
            <v>LINOS 1.2 SIZER FOR 26-112-16</v>
          </cell>
        </row>
        <row r="8382">
          <cell r="B8382" t="str">
            <v>26-212-17-09</v>
          </cell>
          <cell r="C8382" t="str">
            <v>LINOS 1,2 SIZER FÜR 26-112-17</v>
          </cell>
          <cell r="D8382" t="str">
            <v>LINOS 1.2 SIZER FOR 26-112-17</v>
          </cell>
        </row>
        <row r="8383">
          <cell r="B8383" t="str">
            <v>26-212-18-09</v>
          </cell>
          <cell r="C8383" t="str">
            <v>LINOS 1,2 SIZER FÜR 26-112-18</v>
          </cell>
          <cell r="D8383" t="str">
            <v>LINOS 1.2 SIZER FOR 26-112-18</v>
          </cell>
        </row>
        <row r="8384">
          <cell r="B8384" t="str">
            <v>26-212-19-09</v>
          </cell>
          <cell r="C8384" t="str">
            <v>LINOS 1,2 SIZER FÜR 26-112-19</v>
          </cell>
          <cell r="D8384" t="str">
            <v>LINOS 1.2 SIZER FOR 26-112-19</v>
          </cell>
        </row>
        <row r="8385">
          <cell r="B8385" t="str">
            <v>26-212-20-09</v>
          </cell>
          <cell r="C8385" t="str">
            <v>LINOS 1,2 SIZER FÜR 26-112-20</v>
          </cell>
          <cell r="D8385" t="str">
            <v>LINOS 1.2 SIZER FOR 26-112-20</v>
          </cell>
        </row>
        <row r="8386">
          <cell r="B8386" t="str">
            <v>26-212-21-09</v>
          </cell>
          <cell r="C8386" t="str">
            <v>LINOS 1,2 SIZER FÜR 26-112-21</v>
          </cell>
          <cell r="D8386" t="str">
            <v>LINOS 1.2 SIZER FOR 26-112-21</v>
          </cell>
        </row>
        <row r="8387">
          <cell r="B8387" t="str">
            <v>26-212-22-09</v>
          </cell>
          <cell r="C8387" t="str">
            <v>LINOS 1,2 SIZER FÜR 26-112-22</v>
          </cell>
          <cell r="D8387" t="str">
            <v>LINOS 1.2 SIZER FOR 26-112-22</v>
          </cell>
        </row>
        <row r="8388">
          <cell r="B8388" t="str">
            <v>26-212-24-09</v>
          </cell>
          <cell r="C8388" t="str">
            <v>LINOS 1,2 SIZER FÜR 26-112-24</v>
          </cell>
          <cell r="D8388" t="str">
            <v>LINOS 1.2 SIZER FOR 26-112-24</v>
          </cell>
        </row>
        <row r="8389">
          <cell r="B8389" t="str">
            <v>26-212-25-09</v>
          </cell>
          <cell r="C8389" t="str">
            <v>LINOS 1,2 SIZER FÜR 26-112-25</v>
          </cell>
          <cell r="D8389" t="str">
            <v>LINOS 1.2 SIZER FOR 26-112-25</v>
          </cell>
        </row>
        <row r="8390">
          <cell r="B8390" t="str">
            <v>26-212-26-09</v>
          </cell>
          <cell r="C8390" t="str">
            <v>LINOS 1,2 SIZER FÜR 26-112-26</v>
          </cell>
          <cell r="D8390" t="str">
            <v>LINOS 1.2 SIZER FOR 26-112-26</v>
          </cell>
        </row>
        <row r="8391">
          <cell r="B8391" t="str">
            <v>26-212-27-09</v>
          </cell>
          <cell r="C8391" t="str">
            <v>LINOS 1,2 SIZER FÜR 26-112-27</v>
          </cell>
          <cell r="D8391" t="str">
            <v>LINOS 1.2 SIZER FOR 26-112-27</v>
          </cell>
        </row>
        <row r="8392">
          <cell r="B8392" t="str">
            <v>26-212-28-09</v>
          </cell>
          <cell r="C8392" t="str">
            <v>LINOS 1,2 SIZER FÜR 26-112-28</v>
          </cell>
          <cell r="D8392" t="str">
            <v>LINOS 1.2 SIZER FOR 26-112-28</v>
          </cell>
        </row>
        <row r="8393">
          <cell r="B8393" t="str">
            <v>26-212-29-09</v>
          </cell>
          <cell r="C8393" t="str">
            <v>LINOS 1,2 SIZER FÜR 26-112-29</v>
          </cell>
          <cell r="D8393" t="str">
            <v>LINOS 1.2 SIZER FOR 26-112-29</v>
          </cell>
        </row>
        <row r="8394">
          <cell r="B8394" t="str">
            <v>26-212-30-09</v>
          </cell>
          <cell r="C8394" t="str">
            <v>LINOS 1,2 SIZER FÜR 26-112-30</v>
          </cell>
          <cell r="D8394" t="str">
            <v>LINOS 1.2 SIZER FOR 26-112-30</v>
          </cell>
        </row>
        <row r="8395">
          <cell r="B8395" t="str">
            <v>26-212-31-09</v>
          </cell>
          <cell r="C8395" t="str">
            <v>LINOS 1,2 SIZER FÜR 26-112-31</v>
          </cell>
          <cell r="D8395" t="str">
            <v>LINOS 1.2 SIZER FOR 26-112-31</v>
          </cell>
        </row>
        <row r="8396">
          <cell r="B8396" t="str">
            <v>26-212-32-09</v>
          </cell>
          <cell r="C8396" t="str">
            <v>LINOS 1,2 SIZER FÜR 26-112-32</v>
          </cell>
          <cell r="D8396" t="str">
            <v>LINOS 1.2 SIZER FOR 26-112-32</v>
          </cell>
        </row>
        <row r="8397">
          <cell r="B8397" t="str">
            <v>26-220-01-04</v>
          </cell>
          <cell r="C8397" t="str">
            <v>UHP Kopf, klein, Keramik,  steril</v>
          </cell>
          <cell r="D8397" t="str">
            <v>UHP Head, small, Ceramic,  sterile</v>
          </cell>
        </row>
        <row r="8398">
          <cell r="B8398" t="str">
            <v>26-220-03-04</v>
          </cell>
          <cell r="C8398" t="str">
            <v>UHP Kopf, mittel, Keramik,  steril</v>
          </cell>
          <cell r="D8398" t="str">
            <v>UHP Head, medium,  Ceramic,  sterile</v>
          </cell>
        </row>
        <row r="8399">
          <cell r="B8399" t="str">
            <v>26-220-05-04</v>
          </cell>
          <cell r="C8399" t="str">
            <v>UHP Kopf, groß, Keramik,  steril</v>
          </cell>
          <cell r="D8399" t="str">
            <v>UHP Head, large, Ceramic,  sterile</v>
          </cell>
        </row>
        <row r="8400">
          <cell r="B8400" t="str">
            <v>26-220-09-04</v>
          </cell>
          <cell r="C8400" t="str">
            <v>UHP Kopf sphär., klein, Keramik,  steril</v>
          </cell>
          <cell r="D8400" t="str">
            <v>UHP Head sph., small, Ceramic,  sterile</v>
          </cell>
        </row>
        <row r="8401">
          <cell r="B8401" t="str">
            <v>26-220-11-04</v>
          </cell>
          <cell r="C8401" t="str">
            <v>UHP Kopf sphär., mittel, Keramik,  steril</v>
          </cell>
          <cell r="D8401" t="str">
            <v>UHP Head sph., medium,  Ceramic,  sterile</v>
          </cell>
        </row>
        <row r="8402">
          <cell r="B8402" t="str">
            <v>26-220-13-04</v>
          </cell>
          <cell r="C8402" t="str">
            <v>UHP Kopf sphär., groß, Keramik,  steril</v>
          </cell>
          <cell r="D8402" t="str">
            <v>UHP Head sph., large, Ceramic,  sterile</v>
          </cell>
        </row>
        <row r="8403">
          <cell r="B8403" t="str">
            <v>26-221-01-05</v>
          </cell>
          <cell r="C8403" t="str">
            <v>UHP Probe-Kopf, klein, St</v>
          </cell>
          <cell r="D8403" t="str">
            <v>UHP Trial Head, small, St</v>
          </cell>
        </row>
        <row r="8404">
          <cell r="B8404" t="str">
            <v>26-221-03-05</v>
          </cell>
          <cell r="C8404" t="str">
            <v>UHP Probe-Kopf, mittel, St</v>
          </cell>
          <cell r="D8404" t="str">
            <v>UHP Trial Head, medium,  St</v>
          </cell>
        </row>
        <row r="8405">
          <cell r="B8405" t="str">
            <v>26-221-05-05</v>
          </cell>
          <cell r="C8405" t="str">
            <v>UHP Probe-Kopf, groß, St</v>
          </cell>
          <cell r="D8405" t="str">
            <v>UHP Trial Head, large, St</v>
          </cell>
        </row>
        <row r="8406">
          <cell r="B8406" t="str">
            <v>26-231-09-05</v>
          </cell>
          <cell r="C8406" t="str">
            <v>UHP Probe-Kopf, sphär. klein, St</v>
          </cell>
          <cell r="D8406" t="str">
            <v>UHP Trial Head sph., small, St</v>
          </cell>
        </row>
        <row r="8407">
          <cell r="B8407" t="str">
            <v>26-231-11-05</v>
          </cell>
          <cell r="C8407" t="str">
            <v>UHP Probe-Kopf, sphär. mittel, St</v>
          </cell>
          <cell r="D8407" t="str">
            <v>UHP Trial Head sph., medium,  St</v>
          </cell>
        </row>
        <row r="8408">
          <cell r="B8408" t="str">
            <v>26-231-13-05</v>
          </cell>
          <cell r="C8408" t="str">
            <v>UHP Probe-Kopf, sphär. groß, St</v>
          </cell>
          <cell r="D8408" t="str">
            <v>UHP Trial Head sph., large, St</v>
          </cell>
        </row>
        <row r="8409">
          <cell r="B8409" t="str">
            <v>26-241-01-07</v>
          </cell>
          <cell r="C8409" t="str">
            <v>UHP Handgriff  für Biegewelle  f. sphär.</v>
          </cell>
          <cell r="D8409" t="str">
            <v>Handle for bendable  shaft</v>
          </cell>
        </row>
        <row r="8410">
          <cell r="B8410" t="str">
            <v>26-241-03-07</v>
          </cell>
          <cell r="C8410" t="str">
            <v>UHP Biegewelle  für sphärischen Kopf</v>
          </cell>
          <cell r="D8410" t="str">
            <v>Bendable  shaft for sph.  UHP Head</v>
          </cell>
        </row>
        <row r="8411">
          <cell r="B8411" t="str">
            <v>26-241-09-07</v>
          </cell>
          <cell r="C8411" t="str">
            <v>UHP Kugelfräse  mini f.sphärisch, 9mm</v>
          </cell>
          <cell r="D8411" t="str">
            <v>Burr mini for spherical  UHP, 9mm</v>
          </cell>
        </row>
        <row r="8412">
          <cell r="B8412" t="str">
            <v>26-241-13-07</v>
          </cell>
          <cell r="C8412" t="str">
            <v>UHP Kugelfräse  klein f.sphärisch, 13mm</v>
          </cell>
          <cell r="D8412" t="str">
            <v>Burr small for spherical  UHP, 13mm</v>
          </cell>
        </row>
        <row r="8413">
          <cell r="B8413" t="str">
            <v>26-241-15-07</v>
          </cell>
          <cell r="C8413" t="str">
            <v>UHP Kugelfräse  mittel f.sphärisch, 15mm</v>
          </cell>
          <cell r="D8413" t="str">
            <v>Burr medium for spherical  UHP, 15mm</v>
          </cell>
        </row>
        <row r="8414">
          <cell r="B8414" t="str">
            <v>26-241-18-07</v>
          </cell>
          <cell r="C8414" t="str">
            <v>UHP Kugelfräse  groß f.sphärisch,18mm</v>
          </cell>
          <cell r="D8414" t="str">
            <v>Burr large for spherical  UHP, 18mm</v>
          </cell>
        </row>
        <row r="8415">
          <cell r="B8415" t="str">
            <v>26-241-19-07</v>
          </cell>
          <cell r="C8415" t="str">
            <v>UHP Probierdorn, sphär. klein, St</v>
          </cell>
          <cell r="D8415" t="str">
            <v>UHP testing device, spherical  small</v>
          </cell>
        </row>
        <row r="8416">
          <cell r="B8416" t="str">
            <v>26-241-21-07</v>
          </cell>
          <cell r="C8416" t="str">
            <v>UHP Probierdorn, sphär. mittel, St</v>
          </cell>
          <cell r="D8416" t="str">
            <v>UHP testing device, spherical  medium</v>
          </cell>
        </row>
        <row r="8417">
          <cell r="B8417" t="str">
            <v>26-241-23-07</v>
          </cell>
          <cell r="C8417" t="str">
            <v>UHP Probierdorn, sphär. groß,St</v>
          </cell>
          <cell r="D8417" t="str">
            <v>UHP testing device, spherical  large</v>
          </cell>
        </row>
        <row r="8418">
          <cell r="B8418" t="str">
            <v>26-250-01-07</v>
          </cell>
          <cell r="C8418" t="str">
            <v>UHP Standard-Raspel, klein</v>
          </cell>
          <cell r="D8418" t="str">
            <v>UHP standard  rasp small</v>
          </cell>
        </row>
        <row r="8419">
          <cell r="B8419" t="str">
            <v>26-250-03-07</v>
          </cell>
          <cell r="C8419" t="str">
            <v>UHP Standard-Raspel, mittel</v>
          </cell>
          <cell r="D8419" t="str">
            <v>UHP standard  rasp medium</v>
          </cell>
        </row>
        <row r="8420">
          <cell r="B8420" t="str">
            <v>26-250-05-07</v>
          </cell>
          <cell r="C8420" t="str">
            <v>UHP Standard-Raspel, groß</v>
          </cell>
          <cell r="D8420" t="str">
            <v>UHP standard  rasp large</v>
          </cell>
        </row>
        <row r="8421">
          <cell r="B8421" t="str">
            <v>26-260-01-07</v>
          </cell>
          <cell r="C8421" t="str">
            <v>UHP Revisions-Raspel, klein</v>
          </cell>
          <cell r="D8421" t="str">
            <v>UHP revision rasp small</v>
          </cell>
        </row>
        <row r="8422">
          <cell r="B8422" t="str">
            <v>26-260-03-07</v>
          </cell>
          <cell r="C8422" t="str">
            <v>UHP Revisions-Raspel, mittel</v>
          </cell>
          <cell r="D8422" t="str">
            <v>UHP revision rasp medium</v>
          </cell>
        </row>
        <row r="8423">
          <cell r="B8423" t="str">
            <v>26-260-05-07</v>
          </cell>
          <cell r="C8423" t="str">
            <v>UHP Revisions-Raspel, groß</v>
          </cell>
          <cell r="D8423" t="str">
            <v>UHP revision rasp large</v>
          </cell>
        </row>
        <row r="8424">
          <cell r="B8424" t="str">
            <v>26-265-05-07</v>
          </cell>
          <cell r="C8424" t="str">
            <v>UHP Resektions-Messinstrument, 16 cm</v>
          </cell>
          <cell r="D8424" t="str">
            <v>UHP resection  guide</v>
          </cell>
        </row>
        <row r="8425">
          <cell r="B8425" t="str">
            <v>26-265-07-07</v>
          </cell>
          <cell r="C8425" t="str">
            <v>UHP Extraktor,  T-Griff, 22 cm</v>
          </cell>
          <cell r="D8425" t="str">
            <v>UHP extraction  device</v>
          </cell>
        </row>
        <row r="8426">
          <cell r="B8426" t="str">
            <v>26-265-13-07</v>
          </cell>
          <cell r="C8426" t="str">
            <v>UHP Knochenhaltezange, 15 cm</v>
          </cell>
          <cell r="D8426" t="str">
            <v>UHP bone holding forceps</v>
          </cell>
        </row>
        <row r="8427">
          <cell r="B8427" t="str">
            <v>26-265-15-07</v>
          </cell>
          <cell r="C8427" t="str">
            <v>UHP Scharfer Löffel, 21 cm</v>
          </cell>
          <cell r="D8427" t="str">
            <v>UHP sharp spoon</v>
          </cell>
        </row>
        <row r="8428">
          <cell r="B8428" t="str">
            <v>26-265-20-07</v>
          </cell>
          <cell r="C8428" t="str">
            <v>UHP Weichteilretraktor, rechts, 11,5 cm</v>
          </cell>
          <cell r="D8428" t="str">
            <v>UHP soft tissue retractor  right</v>
          </cell>
        </row>
        <row r="8429">
          <cell r="B8429" t="str">
            <v>26-265-22-07</v>
          </cell>
          <cell r="C8429" t="str">
            <v>UHP Weichteilretraktor, links, 11,5 cm</v>
          </cell>
          <cell r="D8429" t="str">
            <v>UHP soft tissue retractor  left</v>
          </cell>
        </row>
        <row r="8430">
          <cell r="B8430" t="str">
            <v>26-265-30-07</v>
          </cell>
          <cell r="C8430" t="str">
            <v>UHP Einschlaginstrument, 9,5 cm</v>
          </cell>
          <cell r="D8430" t="str">
            <v>UHP cone impactor</v>
          </cell>
        </row>
        <row r="8431">
          <cell r="B8431" t="str">
            <v>26-265-35-07</v>
          </cell>
          <cell r="C8431" t="str">
            <v>UHP Explantationsmeißel,klein, 24,5 cm</v>
          </cell>
          <cell r="D8431" t="str">
            <v>UHP explantation chisel small</v>
          </cell>
        </row>
        <row r="8432">
          <cell r="B8432" t="str">
            <v>26-265-37-07</v>
          </cell>
          <cell r="C8432" t="str">
            <v>UHP Explantationsmeißel, groß, 24,5 cm</v>
          </cell>
          <cell r="D8432" t="str">
            <v>UHP explantation chisel big</v>
          </cell>
        </row>
        <row r="8433">
          <cell r="B8433" t="str">
            <v>26-450-19-21</v>
          </cell>
          <cell r="C8433" t="str">
            <v>CANOS KANÜ.KORT.BOHRER,KURZ D.1,9MM</v>
          </cell>
          <cell r="D8433" t="str">
            <v>CANOS MINI CANU. DRILL, SHORT, D.1,9MM</v>
          </cell>
        </row>
        <row r="8434">
          <cell r="B8434" t="str">
            <v>26-706-18-09</v>
          </cell>
          <cell r="C8434" t="str">
            <v>GENOS MINI INT.DISTRAKTOR,18MM,RECHTS</v>
          </cell>
          <cell r="D8434" t="str">
            <v>GENOS MINI INT.DISTRACTOR,18MM,RIGHT</v>
          </cell>
        </row>
        <row r="8435">
          <cell r="B8435" t="str">
            <v>26-706-19-09</v>
          </cell>
          <cell r="C8435" t="str">
            <v>GENOS MINI INT.DISTRAKTOR,18MM,LINKS</v>
          </cell>
          <cell r="D8435" t="str">
            <v>GENOS MINI INT.DISTRACTOR,18MM,LEFT</v>
          </cell>
        </row>
        <row r="8436">
          <cell r="B8436" t="str">
            <v>26-706-23-09</v>
          </cell>
          <cell r="C8436" t="str">
            <v>GENOS MINI INT.DISTRAKTOR, 23MM, RECHTS</v>
          </cell>
          <cell r="D8436" t="str">
            <v>GENOS MINI INT.DISTRACTOR, 23MM, RIGHT</v>
          </cell>
        </row>
        <row r="8437">
          <cell r="B8437" t="str">
            <v>26-706-24-09</v>
          </cell>
          <cell r="C8437" t="str">
            <v>GENOS MINI INT.DISTRAKTOR, 23MM, LINKS</v>
          </cell>
          <cell r="D8437" t="str">
            <v>GENOS MINI INT.DISTRACTOR, 23MM, LEFT</v>
          </cell>
        </row>
        <row r="8438">
          <cell r="B8438" t="str">
            <v>26-750-25-07</v>
          </cell>
          <cell r="C8438" t="str">
            <v>PATIENTENSCHRAUBENDREHER, GER., 0,25 MM</v>
          </cell>
          <cell r="D8438" t="str">
            <v>PATIENT SCREWDRIVER, STRAIGHT,  0,25</v>
          </cell>
        </row>
        <row r="8439">
          <cell r="B8439" t="str">
            <v>26-760-06-71</v>
          </cell>
          <cell r="C8439" t="str">
            <v>CONTOURDRIVE STANDARD  SCHR. 2,0x6MM,  M1</v>
          </cell>
          <cell r="D8439" t="str">
            <v>CONTOURDRIVE STANDARD  SCREW 2.0x6MM,  M1</v>
          </cell>
        </row>
        <row r="8440">
          <cell r="B8440" t="str">
            <v>26-760-08-71</v>
          </cell>
          <cell r="C8440" t="str">
            <v>CONTOURDRIVE STANDARD  SCHR. 2,0x8MM,  M1</v>
          </cell>
          <cell r="D8440" t="str">
            <v>CONTOURDRIVE STANDARD  SCREW 2.0x8MM,  M1</v>
          </cell>
        </row>
        <row r="8441">
          <cell r="B8441" t="str">
            <v>26-760-10-71</v>
          </cell>
          <cell r="C8441" t="str">
            <v>CONTOURDRIVE STANDARD  SCHR. 2,0x10MM, M1</v>
          </cell>
          <cell r="D8441" t="str">
            <v>CONTOURDRIVE STANDARD  SCREW 2.0x10MM, M1</v>
          </cell>
        </row>
        <row r="8442">
          <cell r="B8442" t="str">
            <v>26-760-12-71</v>
          </cell>
          <cell r="C8442" t="str">
            <v>CONTOURDRIVE STANDARD  SCHR. 2,0x12MM, M1</v>
          </cell>
          <cell r="D8442" t="str">
            <v>CONTOURDRIVE STANDARD  SCREW 2.0x12MM, M1</v>
          </cell>
        </row>
        <row r="8443">
          <cell r="B8443" t="str">
            <v>26-760-14-71</v>
          </cell>
          <cell r="C8443" t="str">
            <v>CONTOURDRIVE STANDARD  SCHR. 2,0x14MM, M1</v>
          </cell>
          <cell r="D8443" t="str">
            <v>CONTOURDRIVE STANDARD  SCREW 2.0x14MM, M1</v>
          </cell>
        </row>
        <row r="8444">
          <cell r="B8444" t="str">
            <v>26-760-16-71</v>
          </cell>
          <cell r="C8444" t="str">
            <v>CONTOURDRIVE STANDARD  SCHR. 2,0x16MM, M1</v>
          </cell>
          <cell r="D8444" t="str">
            <v>CONTOURDRIVE STANDARD  SCREW 2.0x16MM, M1</v>
          </cell>
        </row>
        <row r="8445">
          <cell r="B8445" t="str">
            <v>26-760-18-71</v>
          </cell>
          <cell r="C8445" t="str">
            <v>CONTOURDRIVE STANDARD  SCHR. 2,0x18MM, M1</v>
          </cell>
          <cell r="D8445" t="str">
            <v>CONTOURDRIVE STANDARD  SCREW 2.0x18MM, M1</v>
          </cell>
        </row>
        <row r="8446">
          <cell r="B8446" t="str">
            <v>26-760-20-71</v>
          </cell>
          <cell r="C8446" t="str">
            <v>CONTOURDRIVE STANDARD  SCHR. 2,0x20MM, M1</v>
          </cell>
          <cell r="D8446" t="str">
            <v>CONTOURDRIVE STANDARD  SCREW 2.0x20MM, M1</v>
          </cell>
        </row>
        <row r="8447">
          <cell r="B8447" t="str">
            <v>26-760-22-71</v>
          </cell>
          <cell r="C8447" t="str">
            <v>CONTOURDRIVE STANDARD  SCHR. 2,0x22MM, M1</v>
          </cell>
          <cell r="D8447" t="str">
            <v>CONTOURDRIVE STANDARD  SCREW 2.0x22MM, M1</v>
          </cell>
        </row>
        <row r="8448">
          <cell r="B8448" t="str">
            <v>26-761-06-61</v>
          </cell>
          <cell r="C8448" t="str">
            <v>CONTOURDRIVE WINKELST.  SCHR. 2,0x6MM,  M1</v>
          </cell>
          <cell r="D8448" t="str">
            <v>CONTOURDRIVE LOCKING  SCREW 2.0x6MM,  M1</v>
          </cell>
        </row>
        <row r="8449">
          <cell r="B8449" t="str">
            <v>26-761-06-71</v>
          </cell>
          <cell r="C8449" t="str">
            <v>CONTOURDRIVE WINKELST  SCHR. 2,0x6MM,  M1</v>
          </cell>
          <cell r="D8449" t="str">
            <v>CONTOURDRIVE LOCKING  SCREW 2.0x6MM,  M1</v>
          </cell>
        </row>
        <row r="8450">
          <cell r="B8450" t="str">
            <v>26-761-08-71</v>
          </cell>
          <cell r="C8450" t="str">
            <v>CONTOURDRIVE WINKELST  SCHR. 2,0x8MM,  M1</v>
          </cell>
          <cell r="D8450" t="str">
            <v>CONTOURDRIVE LOCKING  SCREW 2.0x8MM,  M1</v>
          </cell>
        </row>
        <row r="8451">
          <cell r="B8451" t="str">
            <v>26-761-10-71</v>
          </cell>
          <cell r="C8451" t="str">
            <v>CONTOURDRIVE WINKELST  SCHR. 2,0x10MM, M1</v>
          </cell>
          <cell r="D8451" t="str">
            <v>CONTOURDRIVE LOCKING  SCREW 2.0x10MM, M1</v>
          </cell>
        </row>
        <row r="8452">
          <cell r="B8452" t="str">
            <v>26-761-12-71</v>
          </cell>
          <cell r="C8452" t="str">
            <v>CONTOURDRIVE WINKELST  SCHR. 2,0x12MM, M1</v>
          </cell>
          <cell r="D8452" t="str">
            <v>CONTOURDRIVE LOCKING  SCREW 2.0x12MM, M1</v>
          </cell>
        </row>
        <row r="8453">
          <cell r="B8453" t="str">
            <v>26-761-14-71</v>
          </cell>
          <cell r="C8453" t="str">
            <v>CONTOURDRIVE WINKELST  SCHR. 2,0x14MM, M1</v>
          </cell>
          <cell r="D8453" t="str">
            <v>CONTOURDRIVE LOCKING  SCREW 2.0x14MM, M1</v>
          </cell>
        </row>
        <row r="8454">
          <cell r="B8454" t="str">
            <v>26-761-16-71</v>
          </cell>
          <cell r="C8454" t="str">
            <v>CONTOURDRIVE WINKELST  SCHR. 2,0x16MM, M1</v>
          </cell>
          <cell r="D8454" t="str">
            <v>CONTOURDRIVE LOCKING  SCREW 2.0x16MM, M1</v>
          </cell>
        </row>
        <row r="8455">
          <cell r="B8455" t="str">
            <v>26-761-18-71</v>
          </cell>
          <cell r="C8455" t="str">
            <v>CONTOURDRIVE WINKELST  SCHR. 2,0x18MM, M1</v>
          </cell>
          <cell r="D8455" t="str">
            <v>CONTOURDRIVE LOCKING  SCREW 2.0x18MM, M1</v>
          </cell>
        </row>
        <row r="8456">
          <cell r="B8456" t="str">
            <v>26-761-20-71</v>
          </cell>
          <cell r="C8456" t="str">
            <v>CONTOURDRIVE WINKELST  SCHR. 2,0x20MM, M1</v>
          </cell>
          <cell r="D8456" t="str">
            <v>CONTOURDRIVE LOCKING  SCREW 2.0x20MM, M1</v>
          </cell>
        </row>
        <row r="8457">
          <cell r="B8457" t="str">
            <v>26-761-22-71</v>
          </cell>
          <cell r="C8457" t="str">
            <v>CONTOURDRIVE WINKELST  SCHR. 2,0x22MM, M1</v>
          </cell>
          <cell r="D8457" t="str">
            <v>CONTOURDRIVE LOCKING  SCREW 2.0x22MM, M1</v>
          </cell>
        </row>
        <row r="8458">
          <cell r="B8458" t="str">
            <v>26-762-06-71</v>
          </cell>
          <cell r="C8458" t="str">
            <v>CONTOURDRIVE STANDARD  SCHR. 2,3x6MM,  M1</v>
          </cell>
          <cell r="D8458" t="str">
            <v>CONTOURDRIVE STANDARD  SCREW 2.3x6MM,  M1</v>
          </cell>
        </row>
        <row r="8459">
          <cell r="B8459" t="str">
            <v>26-762-08-71</v>
          </cell>
          <cell r="C8459" t="str">
            <v>CONTOURDRIVE STANDARD  SCHR. 2,3x8MM,  M1</v>
          </cell>
          <cell r="D8459" t="str">
            <v>CONTOURDRIVE STANDARD  SCREW 2.3x8MM,  M1</v>
          </cell>
        </row>
        <row r="8460">
          <cell r="B8460" t="str">
            <v>26-762-10-71</v>
          </cell>
          <cell r="C8460" t="str">
            <v>CONTOURDRIVE STANDARD  SCHR. 2,3x10MM, M1</v>
          </cell>
          <cell r="D8460" t="str">
            <v>CONTOURDRIVE STANDARD  SCREW 2.3x10MM, M1</v>
          </cell>
        </row>
        <row r="8461">
          <cell r="B8461" t="str">
            <v>26-762-12-71</v>
          </cell>
          <cell r="C8461" t="str">
            <v>CONTOURDRIVE STANDARD  SCHR. 2,3x12MM, M1</v>
          </cell>
          <cell r="D8461" t="str">
            <v>CONTOURDRIVE STANDARD  SCREW 2.3x12MM, M1</v>
          </cell>
        </row>
        <row r="8462">
          <cell r="B8462" t="str">
            <v>26-762-14-71</v>
          </cell>
          <cell r="C8462" t="str">
            <v>CONTOURDRIVE STANDARD  SCHR. 2,3x14MM, M1</v>
          </cell>
          <cell r="D8462" t="str">
            <v>CONTOURDRIVE STANDARD  SCREW 2.3x14MM, M1</v>
          </cell>
        </row>
        <row r="8463">
          <cell r="B8463" t="str">
            <v>26-762-16-71</v>
          </cell>
          <cell r="C8463" t="str">
            <v>CONTOURDRIVE STANDARD  SCHR. 2,3x16MM, M1</v>
          </cell>
          <cell r="D8463" t="str">
            <v>CONTOURDRIVE STANDARD  SCREW 2.3x16MM, M1</v>
          </cell>
        </row>
        <row r="8464">
          <cell r="B8464" t="str">
            <v>26-762-18-71</v>
          </cell>
          <cell r="C8464" t="str">
            <v>CONTOURDRIVE STANDARD  SCHR. 2,3x18MM, M1</v>
          </cell>
          <cell r="D8464" t="str">
            <v>CONTOURDRIVE STANDARD  SCREW 2.3x18MM, M1</v>
          </cell>
        </row>
        <row r="8465">
          <cell r="B8465" t="str">
            <v>26-762-20-71</v>
          </cell>
          <cell r="C8465" t="str">
            <v>CONTOURDRIVE STANDARD  SCHR. 2,3x20MM, M1</v>
          </cell>
          <cell r="D8465" t="str">
            <v>CONTOURDRIVE STANDARD  SCREW 2.3x20MM, M1</v>
          </cell>
        </row>
        <row r="8466">
          <cell r="B8466" t="str">
            <v>26-762-22-71</v>
          </cell>
          <cell r="C8466" t="str">
            <v>CONTOURDRIVE STANDARD  SCHR. 2,3x22MM, M1</v>
          </cell>
          <cell r="D8466" t="str">
            <v>CONTOURDRIVE STANDARD  SCREW 2.3x22MM, M1</v>
          </cell>
        </row>
        <row r="8467">
          <cell r="B8467" t="str">
            <v>26-763-06-71</v>
          </cell>
          <cell r="C8467" t="str">
            <v>CONTOURDRIVE WINKELST  SCHR. 2,3x6MM,  M1</v>
          </cell>
          <cell r="D8467" t="str">
            <v>CONTOURDRIVE LOCKING  SCREW 2.3x6MM,  M1</v>
          </cell>
        </row>
        <row r="8468">
          <cell r="B8468" t="str">
            <v>26-763-08-71</v>
          </cell>
          <cell r="C8468" t="str">
            <v>CONTOURDRIVE WINKELST  SCHR. 2,3x8MM,  M1</v>
          </cell>
          <cell r="D8468" t="str">
            <v>CONTOURDRIVE LOCKING  SCREW 2.3x8MM,  M1</v>
          </cell>
        </row>
        <row r="8469">
          <cell r="B8469" t="str">
            <v>26-763-10-71</v>
          </cell>
          <cell r="C8469" t="str">
            <v>CONTOURDRIVE WINKELST  SCHR. 2,3x10MM, M1</v>
          </cell>
          <cell r="D8469" t="str">
            <v>CONTOURDRIVE LOCKING  SCREW 2.3x10MM, M1</v>
          </cell>
        </row>
        <row r="8470">
          <cell r="B8470" t="str">
            <v>26-763-12-71</v>
          </cell>
          <cell r="C8470" t="str">
            <v>CONTOURDRIVE WINKELST  SCHR. 2,3x12MM, M1</v>
          </cell>
          <cell r="D8470" t="str">
            <v>CONTOURDRIVE LOCKING  SCREW 2.3x12MM, M1</v>
          </cell>
        </row>
        <row r="8471">
          <cell r="B8471" t="str">
            <v>26-763-14-71</v>
          </cell>
          <cell r="C8471" t="str">
            <v>CONTOURDRIVE WINKELST  SCHR. 2,3x14MM, M1</v>
          </cell>
          <cell r="D8471" t="str">
            <v>CONTOURDRIVE LOCKING  SCREW 2.3x14MM, M1</v>
          </cell>
        </row>
        <row r="8472">
          <cell r="B8472" t="str">
            <v>26-763-16-71</v>
          </cell>
          <cell r="C8472" t="str">
            <v>CONTOURDRIVE WINKELST  SCHR. 2,3x16MM, M1</v>
          </cell>
          <cell r="D8472" t="str">
            <v>CONTOURDRIVE LOCKING  SCREW 2.3x16MM, M1</v>
          </cell>
        </row>
        <row r="8473">
          <cell r="B8473" t="str">
            <v>26-763-18-71</v>
          </cell>
          <cell r="C8473" t="str">
            <v>CONTOURDRIVE WINKELST  SCHR. 2,3x18MM, M1</v>
          </cell>
          <cell r="D8473" t="str">
            <v>CONTOURDRIVE LOCKING  SCREW 2.3x18MM, M1</v>
          </cell>
        </row>
        <row r="8474">
          <cell r="B8474" t="str">
            <v>26-763-20-71</v>
          </cell>
          <cell r="C8474" t="str">
            <v>CONTOURDRIVE WINKELST  SCHR. 2,3x20MM, M1</v>
          </cell>
          <cell r="D8474" t="str">
            <v>CONTOURDRIVE LOCKING  SCREW 2.3x20MM, M1</v>
          </cell>
        </row>
        <row r="8475">
          <cell r="B8475" t="str">
            <v>26-763-22-71</v>
          </cell>
          <cell r="C8475" t="str">
            <v>CONTOURDRIVE WINKELST  SCHR. 2,3x22MM, M1</v>
          </cell>
          <cell r="D8475" t="str">
            <v>CONTOURDRIVE LOCKING  SCREW 2.3x22MM, M1</v>
          </cell>
        </row>
        <row r="8476">
          <cell r="B8476" t="str">
            <v>26-764-08-71</v>
          </cell>
          <cell r="C8476" t="str">
            <v>CONTOURDRIVE STANDARD  SCHR. 2,7x8MM,  M2</v>
          </cell>
          <cell r="D8476" t="str">
            <v>CONTOURDRIVE STANDARD  SCREW 2.7x8MM,  M2</v>
          </cell>
        </row>
        <row r="8477">
          <cell r="B8477" t="str">
            <v>26-764-10-71</v>
          </cell>
          <cell r="C8477" t="str">
            <v>CONTOURDRIVE STANDARD  SCHR. 2,7x10MM, M2</v>
          </cell>
          <cell r="D8477" t="str">
            <v>CONTOURDRIVE STANDARD  SCREW 2.7x10MM, M2</v>
          </cell>
        </row>
        <row r="8478">
          <cell r="B8478" t="str">
            <v>26-764-12-71</v>
          </cell>
          <cell r="C8478" t="str">
            <v>CONTOURDRIVE STANDARD  SCHR. 2,7x12MM, M2</v>
          </cell>
          <cell r="D8478" t="str">
            <v>CONTOURDRIVE STANDARD  SCREW 2.7x12MM, M2</v>
          </cell>
        </row>
        <row r="8479">
          <cell r="B8479" t="str">
            <v>26-764-14-71</v>
          </cell>
          <cell r="C8479" t="str">
            <v>CONTOURDRIVE STANDARD  SCHR. 2,7x14MM, M2</v>
          </cell>
          <cell r="D8479" t="str">
            <v>CONTOURDRIVE STANDARD  SCREW 2.7x14MM, M2</v>
          </cell>
        </row>
        <row r="8480">
          <cell r="B8480" t="str">
            <v>26-764-16-71</v>
          </cell>
          <cell r="C8480" t="str">
            <v>CONTOURDRIVE STANDARD  SCHR. 2,7x16MM, M2</v>
          </cell>
          <cell r="D8480" t="str">
            <v>CONTOURDRIVE STANDARD  SCREW 2.7x16MM, M2</v>
          </cell>
        </row>
        <row r="8481">
          <cell r="B8481" t="str">
            <v>26-764-18-71</v>
          </cell>
          <cell r="C8481" t="str">
            <v>CONTOURDRIVE STANDARD  SCHR. 2,7x18MM, M2</v>
          </cell>
          <cell r="D8481" t="str">
            <v>CONTOURDRIVE STANDARD  SCREW 2.7x18MM, M2</v>
          </cell>
        </row>
        <row r="8482">
          <cell r="B8482" t="str">
            <v>26-764-20-71</v>
          </cell>
          <cell r="C8482" t="str">
            <v>CONTOURDRIVE STANDARD  SCHR. 2,7x20MM, M2</v>
          </cell>
          <cell r="D8482" t="str">
            <v>CONTOURDRIVE STANDARD  SCREW 2.7x20MM, M2</v>
          </cell>
        </row>
        <row r="8483">
          <cell r="B8483" t="str">
            <v>26-764-22-71</v>
          </cell>
          <cell r="C8483" t="str">
            <v>CONTOURDRIVE STANDARD  SCHR. 2,7x22MM, M2</v>
          </cell>
          <cell r="D8483" t="str">
            <v>CONTOURDRIVE STANDARD  SCREW 2.7x22MM, M2</v>
          </cell>
        </row>
        <row r="8484">
          <cell r="B8484" t="str">
            <v>26-764-24-71</v>
          </cell>
          <cell r="C8484" t="str">
            <v>CONTOURDRIVE STANDARD  SCHR. 2,7x24MM, M2</v>
          </cell>
          <cell r="D8484" t="str">
            <v>CONTOURDRIVE STANDARD  SCREW 2.7x24MM, M2</v>
          </cell>
        </row>
        <row r="8485">
          <cell r="B8485" t="str">
            <v>26-764-26-71</v>
          </cell>
          <cell r="C8485" t="str">
            <v>CONTOURDRIVE STANDARD  SCHR. 2,7x26MM, M2</v>
          </cell>
          <cell r="D8485" t="str">
            <v>CONTOURDRIVE STANDARD  SCREW 2.7x26MM, M2</v>
          </cell>
        </row>
        <row r="8486">
          <cell r="B8486" t="str">
            <v>26-764-28-71</v>
          </cell>
          <cell r="C8486" t="str">
            <v>CONTOURDRIVE STANDARD  SCHR. 2,7x28MM, M2</v>
          </cell>
          <cell r="D8486" t="str">
            <v>CONTOURDRIVE STANDARD  SCREW 2.7x28MM, M2</v>
          </cell>
        </row>
        <row r="8487">
          <cell r="B8487" t="str">
            <v>26-764-30-71</v>
          </cell>
          <cell r="C8487" t="str">
            <v>CONTOURDRIVE STANDARD  SCHR. 2,7x30MM, M2</v>
          </cell>
          <cell r="D8487" t="str">
            <v>CONTOURDRIVE STANDARD  SCREW 2.7x30MM, M2</v>
          </cell>
        </row>
        <row r="8488">
          <cell r="B8488" t="str">
            <v>26-765-08-71</v>
          </cell>
          <cell r="C8488" t="str">
            <v>CONTOURDRIVE WINKELST  SCHR. 2,7x8MM,  M2</v>
          </cell>
          <cell r="D8488" t="str">
            <v>CONTOURDRIVE LOCKING  SCREW 2.7x8MM,  M2</v>
          </cell>
        </row>
        <row r="8489">
          <cell r="B8489" t="str">
            <v>26-765-10-71</v>
          </cell>
          <cell r="C8489" t="str">
            <v>CONTOURDRIVE WINKELST  SCHR. 2,7x10MM, M2</v>
          </cell>
          <cell r="D8489" t="str">
            <v>CONTOURDRIVE LOCKING  SCREW 2.7x10MM, M2</v>
          </cell>
        </row>
        <row r="8490">
          <cell r="B8490" t="str">
            <v>26-765-12-71</v>
          </cell>
          <cell r="C8490" t="str">
            <v>CONTOURDRIVE WINKELST  SCHR. 2,7x12MM, M2</v>
          </cell>
          <cell r="D8490" t="str">
            <v>CONTOURDRIVE LOCKING  SCREW 2.7x12MM, M2</v>
          </cell>
        </row>
        <row r="8491">
          <cell r="B8491" t="str">
            <v>26-765-14-71</v>
          </cell>
          <cell r="C8491" t="str">
            <v>CONTOURDRIVE WINKELST  SCHR. 2,7x14MM, M2</v>
          </cell>
          <cell r="D8491" t="str">
            <v>CONTOURDRIVE LOCKING  SCREW 2.7x14MM, M2</v>
          </cell>
        </row>
        <row r="8492">
          <cell r="B8492" t="str">
            <v>26-765-16-71</v>
          </cell>
          <cell r="C8492" t="str">
            <v>CONTOURDRIVE WINKELST  SCHR. 2,7x16MM, M2</v>
          </cell>
          <cell r="D8492" t="str">
            <v>CONTOURDRIVE LOCKING  SCREW 2.7x16MM, M2</v>
          </cell>
        </row>
        <row r="8493">
          <cell r="B8493" t="str">
            <v>26-765-18-71</v>
          </cell>
          <cell r="C8493" t="str">
            <v>CONTOURDRIVE WINKELST  SCHR. 2,7x18MM, M2</v>
          </cell>
          <cell r="D8493" t="str">
            <v>CONTOURDRIVE LOCKING  SCREW 2.7x18MM, M2</v>
          </cell>
        </row>
        <row r="8494">
          <cell r="B8494" t="str">
            <v>26-765-20-71</v>
          </cell>
          <cell r="C8494" t="str">
            <v>CONTOURDRIVE WINKELST  SCHR. 2,7x20MM, M2</v>
          </cell>
          <cell r="D8494" t="str">
            <v>CONTOURDRIVE LOCKING  SCREW 2.7x20MM, M2</v>
          </cell>
        </row>
        <row r="8495">
          <cell r="B8495" t="str">
            <v>26-765-22-71</v>
          </cell>
          <cell r="C8495" t="str">
            <v>CONTOURDRIVE WINKELST  SCHR. 2,7x22MM, M2</v>
          </cell>
          <cell r="D8495" t="str">
            <v>CONTOURDRIVE LOCKING  SCREW 2.7x22MM, M2</v>
          </cell>
        </row>
        <row r="8496">
          <cell r="B8496" t="str">
            <v>26-765-24-71</v>
          </cell>
          <cell r="C8496" t="str">
            <v>CONTOURDRIVE WINKELST  SCHR. 2,7x24MM, M2</v>
          </cell>
          <cell r="D8496" t="str">
            <v>CONTOURDRIVE LOCKING  SCREW 2.7x24MM, M2</v>
          </cell>
        </row>
        <row r="8497">
          <cell r="B8497" t="str">
            <v>26-765-26-71</v>
          </cell>
          <cell r="C8497" t="str">
            <v>CONTOURDRIVE WINKELST  SCHR. 2,7x26MM, M2</v>
          </cell>
          <cell r="D8497" t="str">
            <v>CONTOURDRIVE LOCKING  SCREW 2.7x26MM, M2</v>
          </cell>
        </row>
        <row r="8498">
          <cell r="B8498" t="str">
            <v>26-765-28-71</v>
          </cell>
          <cell r="C8498" t="str">
            <v>CONTOURDRIVE WINKELST  SCHR. 2,7x28MM, M2</v>
          </cell>
          <cell r="D8498" t="str">
            <v>CONTOURDRIVE LOCKING  SCREW 2.7x28MM, M2</v>
          </cell>
        </row>
        <row r="8499">
          <cell r="B8499" t="str">
            <v>26-765-30-71</v>
          </cell>
          <cell r="C8499" t="str">
            <v>CONTOURDRIVE WINKELST  SCHR. 2,7x30MM, M2</v>
          </cell>
          <cell r="D8499" t="str">
            <v>CONTOURDRIVE LOCKING  SCREW 2.7x30MM, M2</v>
          </cell>
        </row>
        <row r="8500">
          <cell r="B8500" t="str">
            <v>26-766-08-71</v>
          </cell>
          <cell r="C8500" t="str">
            <v>CONTOURDRIVE STANDARD  SCHR. 3,0x8MM,  M2</v>
          </cell>
          <cell r="D8500" t="str">
            <v>CONTOURDRIVE STANDARD  SCREW 3.0x8MM,  M2</v>
          </cell>
        </row>
        <row r="8501">
          <cell r="B8501" t="str">
            <v>26-766-10-71</v>
          </cell>
          <cell r="C8501" t="str">
            <v>CONTOURDRIVE STANDARD  SCHR. 3,0x10MM, M2</v>
          </cell>
          <cell r="D8501" t="str">
            <v>CONTOURDRIVE STANDARD  SCREW 3.0x10MM, M2</v>
          </cell>
        </row>
        <row r="8502">
          <cell r="B8502" t="str">
            <v>26-766-12-71</v>
          </cell>
          <cell r="C8502" t="str">
            <v>CONTOURDRIVE STANDARD  SCHR. 3,0x12MM, M2</v>
          </cell>
          <cell r="D8502" t="str">
            <v>CONTOURDRIVE STANDARD  SCREW 3.0x12MM, M2</v>
          </cell>
        </row>
        <row r="8503">
          <cell r="B8503" t="str">
            <v>26-766-14-71</v>
          </cell>
          <cell r="C8503" t="str">
            <v>CONTOURDRIVE STANDARD  SCHR. 3,0x14MM, M2</v>
          </cell>
          <cell r="D8503" t="str">
            <v>CONTOURDRIVE STANDARD  SCREW 3.0x14MM, M2</v>
          </cell>
        </row>
        <row r="8504">
          <cell r="B8504" t="str">
            <v>26-766-16-71</v>
          </cell>
          <cell r="C8504" t="str">
            <v>CONTOURDRIVE STANDARD  SCHR. 3,0x16MM, M2</v>
          </cell>
          <cell r="D8504" t="str">
            <v>CONTOURDRIVE STANDARD  SCREW 3.0x16MM, M2</v>
          </cell>
        </row>
        <row r="8505">
          <cell r="B8505" t="str">
            <v>26-766-18-71</v>
          </cell>
          <cell r="C8505" t="str">
            <v>CONTOURDRIVE STANDARD  SCHR. 3,0x18MM, M2</v>
          </cell>
          <cell r="D8505" t="str">
            <v>CONTOURDRIVE STANDARD  SCREW 3.0x18MM, M2</v>
          </cell>
        </row>
        <row r="8506">
          <cell r="B8506" t="str">
            <v>26-766-20-71</v>
          </cell>
          <cell r="C8506" t="str">
            <v>CONTOURDRIVE STANDARD  SCHR. 3,0x20MM, M2</v>
          </cell>
          <cell r="D8506" t="str">
            <v>CONTOURDRIVE STANDARD  SCREW 3.0x20MM, M2</v>
          </cell>
        </row>
        <row r="8507">
          <cell r="B8507" t="str">
            <v>26-766-22-71</v>
          </cell>
          <cell r="C8507" t="str">
            <v>CONTOURDRIVE STANDARD  SCHR. 3,0x22MM, M2</v>
          </cell>
          <cell r="D8507" t="str">
            <v>CONTOURDRIVE STANDARD  SCREW 3.0x22MM, M2</v>
          </cell>
        </row>
        <row r="8508">
          <cell r="B8508" t="str">
            <v>26-766-24-71</v>
          </cell>
          <cell r="C8508" t="str">
            <v>CONTOURDRIVE STANDARD  SCHR. 3,0x24MM, M2</v>
          </cell>
          <cell r="D8508" t="str">
            <v>CONTOURDRIVE STANDARD  SCREW 3.0x24MM, M2</v>
          </cell>
        </row>
        <row r="8509">
          <cell r="B8509" t="str">
            <v>26-766-26-71</v>
          </cell>
          <cell r="C8509" t="str">
            <v>CONTOURDRIVE STANDARD  SCHR. 3,0x26MM, M2</v>
          </cell>
          <cell r="D8509" t="str">
            <v>CONTOURDRIVE STANDARD  SCREW 3.0x26MM, M2</v>
          </cell>
        </row>
        <row r="8510">
          <cell r="B8510" t="str">
            <v>26-766-28-71</v>
          </cell>
          <cell r="C8510" t="str">
            <v>CONTOURDRIVE STANDARD  SCHR. 3,0x28MM, M2</v>
          </cell>
          <cell r="D8510" t="str">
            <v>CONTOURDRIVE STANDARD  SCREW 3.0x28MM, M2</v>
          </cell>
        </row>
        <row r="8511">
          <cell r="B8511" t="str">
            <v>26-766-30-71</v>
          </cell>
          <cell r="C8511" t="str">
            <v>CONTOURDRIVE STANDARD  SCHR. 3,0x30MM, M2</v>
          </cell>
          <cell r="D8511" t="str">
            <v>CONTOURDRIVE STANDARD  SCREW 3.0x30MM, M2</v>
          </cell>
        </row>
        <row r="8512">
          <cell r="B8512" t="str">
            <v>26-766-32-71</v>
          </cell>
          <cell r="C8512" t="str">
            <v>CONTOURDRIVE STANDARD  SCHR. 3,0x32MM, M2</v>
          </cell>
          <cell r="D8512" t="str">
            <v>CONTOURDRIVE STANDARD  SCREW 3.0x32MM, M2</v>
          </cell>
        </row>
        <row r="8513">
          <cell r="B8513" t="str">
            <v>26-766-34-71</v>
          </cell>
          <cell r="C8513" t="str">
            <v>CONTOURDRIVE STANDARD  SCHR. 3,0x34MM, M2</v>
          </cell>
          <cell r="D8513" t="str">
            <v>CONTOURDRIVE STANDARD  SCREW 3.0x34MM, M2</v>
          </cell>
        </row>
        <row r="8514">
          <cell r="B8514" t="str">
            <v>26-766-36-71</v>
          </cell>
          <cell r="C8514" t="str">
            <v>CONTOURDRIVE STANDARD  SCHR. 3,0x36MM, M2</v>
          </cell>
          <cell r="D8514" t="str">
            <v>CONTOURDRIVE STANDARD  SCREW 3.0x36MM, M2</v>
          </cell>
        </row>
        <row r="8515">
          <cell r="B8515" t="str">
            <v>26-766-38-71</v>
          </cell>
          <cell r="C8515" t="str">
            <v>CONTOURDRIVE STANDARD  SCHR. 3,0x38MM, M2</v>
          </cell>
          <cell r="D8515" t="str">
            <v>CONTOURDRIVE STANDARD  SCREW 3.0x38MM, M2</v>
          </cell>
        </row>
        <row r="8516">
          <cell r="B8516" t="str">
            <v>26-766-40-71</v>
          </cell>
          <cell r="C8516" t="str">
            <v>CONTOURDRIVE STANDARD  SCHR. 3,0x40MM, M2</v>
          </cell>
          <cell r="D8516" t="str">
            <v>CONTOURDRIVE STANDARD  SCREW 3.0x40MM, M2</v>
          </cell>
        </row>
        <row r="8517">
          <cell r="B8517" t="str">
            <v>26-766-42-71</v>
          </cell>
          <cell r="C8517" t="str">
            <v>CONTOURDRIVE STANDARD  SCHR. 3,0x42MM, M2</v>
          </cell>
          <cell r="D8517" t="str">
            <v>CONTOURDRIVE STANDARD  SCREW 3.0x42MM, M2</v>
          </cell>
        </row>
        <row r="8518">
          <cell r="B8518" t="str">
            <v>26-766-44-71</v>
          </cell>
          <cell r="C8518" t="str">
            <v>CONTOURDRIVE STANDARD  SCHR. 3,0x44MM, M2</v>
          </cell>
          <cell r="D8518" t="str">
            <v>CONTOURDRIVE STANDARD  SCREW 3.0x44MM, M2</v>
          </cell>
        </row>
        <row r="8519">
          <cell r="B8519" t="str">
            <v>26-766-46-71</v>
          </cell>
          <cell r="C8519" t="str">
            <v>CONTOURDRIVE STANDARD  SCHR. 3,0x46MM, M2</v>
          </cell>
          <cell r="D8519" t="str">
            <v>CONTOURDRIVE STANDARD  SCREW 3.0x46MM, M2</v>
          </cell>
        </row>
        <row r="8520">
          <cell r="B8520" t="str">
            <v>26-766-48-71</v>
          </cell>
          <cell r="C8520" t="str">
            <v>CONTOURDRIVE STANDARD  SCHR. 3,0x48MM, M2</v>
          </cell>
          <cell r="D8520" t="str">
            <v>CONTOURDRIVE STANDARD  SCREW 3.0x48MM, M2</v>
          </cell>
        </row>
        <row r="8521">
          <cell r="B8521" t="str">
            <v>26-766-50-71</v>
          </cell>
          <cell r="C8521" t="str">
            <v>CONTOURDRIVE STANDARD  SCHR. 3,0x50MM, M2</v>
          </cell>
          <cell r="D8521" t="str">
            <v>CONTOURDRIVE STANDARD  SCREW 3.0x50MM, M2</v>
          </cell>
        </row>
        <row r="8522">
          <cell r="B8522" t="str">
            <v>26-766-52-71</v>
          </cell>
          <cell r="C8522" t="str">
            <v>CONTOURDRIVE STANDARD  SCHR. 3,0x52MM, M2</v>
          </cell>
          <cell r="D8522" t="str">
            <v>CONTOURDRIVE STANDARD  SCREW 3.0x52MM, M2</v>
          </cell>
        </row>
        <row r="8523">
          <cell r="B8523" t="str">
            <v>26-766-54-71</v>
          </cell>
          <cell r="C8523" t="str">
            <v>CONTOURDRIVE STANDARD  SCHR. 3,0x54MM, M2</v>
          </cell>
          <cell r="D8523" t="str">
            <v>CONTOURDRIVE STANDARD  SCREW 3.0x54MM, M2</v>
          </cell>
        </row>
        <row r="8524">
          <cell r="B8524" t="str">
            <v>26-766-56-71</v>
          </cell>
          <cell r="C8524" t="str">
            <v>CONTOURDRIVE STANDARD  SCHR. 3,0x56MM, M2</v>
          </cell>
          <cell r="D8524" t="str">
            <v>CONTOURDRIVE STANDARD  SCREW 3.0x56MM, M2</v>
          </cell>
        </row>
        <row r="8525">
          <cell r="B8525" t="str">
            <v>26-767-08-71</v>
          </cell>
          <cell r="C8525" t="str">
            <v>CONTOURDRIVE WINKELST  SCHR. 3,0x8MM,  M2</v>
          </cell>
          <cell r="D8525" t="str">
            <v>CONTOURDRIVE LOCKING  SCREW 3.0x8MM,  M2</v>
          </cell>
        </row>
        <row r="8526">
          <cell r="B8526" t="str">
            <v>26-767-10-71</v>
          </cell>
          <cell r="C8526" t="str">
            <v>CONTOURDRIVE WINKELST  SCHR. 3,0x10MM, M2</v>
          </cell>
          <cell r="D8526" t="str">
            <v>CONTOURDRIVE LOCKING  SCREW 3.0x10MM, M2</v>
          </cell>
        </row>
        <row r="8527">
          <cell r="B8527" t="str">
            <v>26-767-12-71</v>
          </cell>
          <cell r="C8527" t="str">
            <v>CONTOURDRIVE WINKELST  SCHR. 3,0x12MM, M2</v>
          </cell>
          <cell r="D8527" t="str">
            <v>CONTOURDRIVE LOCKING  SCREW 3.0x12MM, M2</v>
          </cell>
        </row>
        <row r="8528">
          <cell r="B8528" t="str">
            <v>26-767-14-71</v>
          </cell>
          <cell r="C8528" t="str">
            <v>CONTOURDRIVE WINKELST  SCHR. 3,0x14MM, M2</v>
          </cell>
          <cell r="D8528" t="str">
            <v>CONTOURDRIVE LOCKING  SCREW 3.0x14MM, M2</v>
          </cell>
        </row>
        <row r="8529">
          <cell r="B8529" t="str">
            <v>26-767-16-71</v>
          </cell>
          <cell r="C8529" t="str">
            <v>CONTOURDRIVE WINKELST  SCHR. 3,0x16MM, M2</v>
          </cell>
          <cell r="D8529" t="str">
            <v>CONTOURDRIVE LOCKING  SCREW 3.0x16MM, M2</v>
          </cell>
        </row>
        <row r="8530">
          <cell r="B8530" t="str">
            <v>26-767-18-71</v>
          </cell>
          <cell r="C8530" t="str">
            <v>CONTOURDRIVE WINKELST  SCHR. 3,0x18MM, M2</v>
          </cell>
          <cell r="D8530" t="str">
            <v>CONTOURDRIVE LOCKING  SCREW 3.0x18MM, M2</v>
          </cell>
        </row>
        <row r="8531">
          <cell r="B8531" t="str">
            <v>26-767-20-71</v>
          </cell>
          <cell r="C8531" t="str">
            <v>CONTOURDRIVE WINKELST  SCHR. 3,0x20MM, M2</v>
          </cell>
          <cell r="D8531" t="str">
            <v>CONTOURDRIVE LOCKING  SCREW 3.0x20MM, M2</v>
          </cell>
        </row>
        <row r="8532">
          <cell r="B8532" t="str">
            <v>26-767-22-71</v>
          </cell>
          <cell r="C8532" t="str">
            <v>CONTOURDRIVE WINKELST  SCHR. 3,0x22MM, M2</v>
          </cell>
          <cell r="D8532" t="str">
            <v>CONTOURDRIVE LOCKING  SCREW 3.0x22MM, M2</v>
          </cell>
        </row>
        <row r="8533">
          <cell r="B8533" t="str">
            <v>26-767-24-71</v>
          </cell>
          <cell r="C8533" t="str">
            <v>CONTOURDRIVE WINKELST  SCHR. 3,0x24MM, M2</v>
          </cell>
          <cell r="D8533" t="str">
            <v>CONTOURDRIVE LOCKING  SCREW 3.0x24MM, M2</v>
          </cell>
        </row>
        <row r="8534">
          <cell r="B8534" t="str">
            <v>26-767-26-71</v>
          </cell>
          <cell r="C8534" t="str">
            <v>CONTOURDRIVE WINKELST  SCHR. 3,0x26MM, M2</v>
          </cell>
          <cell r="D8534" t="str">
            <v>CONTOURDRIVE LOCKING  SCREW 3.0x26MM, M2</v>
          </cell>
        </row>
        <row r="8535">
          <cell r="B8535" t="str">
            <v>26-767-28-71</v>
          </cell>
          <cell r="C8535" t="str">
            <v>CONTOURDRIVE WINKELST  SCHR. 3,0x28MM, M2</v>
          </cell>
          <cell r="D8535" t="str">
            <v>CONTOURDRIVE LOCKING  SCREW 3.0x28MM, M2</v>
          </cell>
        </row>
        <row r="8536">
          <cell r="B8536" t="str">
            <v>26-767-30-71</v>
          </cell>
          <cell r="C8536" t="str">
            <v>CONTOURDRIVE WINKELST  SCHR. 3,0x30MM, M2</v>
          </cell>
          <cell r="D8536" t="str">
            <v>CONTOURDRIVE LOCKING  SCREW 3.0x30MM, M2</v>
          </cell>
        </row>
        <row r="8537">
          <cell r="B8537" t="str">
            <v>26-767-32-71</v>
          </cell>
          <cell r="C8537" t="str">
            <v>CONTOURDRIVE WINKELST  SCHR. 3,0x32MM, M2</v>
          </cell>
          <cell r="D8537" t="str">
            <v>CONTOURDRIVE LOCKING  SCREW 3.0x32MM, M2</v>
          </cell>
        </row>
        <row r="8538">
          <cell r="B8538" t="str">
            <v>26-767-34-71</v>
          </cell>
          <cell r="C8538" t="str">
            <v>CONTOURDRIVE WINKELST  SCHR. 3,0x34MM, M2</v>
          </cell>
          <cell r="D8538" t="str">
            <v>CONTOURDRIVE LOCKING  SCREW 3.0x34MM, M2</v>
          </cell>
        </row>
        <row r="8539">
          <cell r="B8539" t="str">
            <v>26-767-36-71</v>
          </cell>
          <cell r="C8539" t="str">
            <v>CONTOURDRIVE WINKELST  SCHR. 3,0x36MM, M2</v>
          </cell>
          <cell r="D8539" t="str">
            <v>CONTOURDRIVE LOCKING  SCREW 3.0x36MM, M2</v>
          </cell>
        </row>
        <row r="8540">
          <cell r="B8540" t="str">
            <v>26-767-38-71</v>
          </cell>
          <cell r="C8540" t="str">
            <v>CONTOURDRIVE WINKELST  SCHR. 3,0x38MM, M2</v>
          </cell>
          <cell r="D8540" t="str">
            <v>CONTOURDRIVE LOCKING  SCREW 3.0x38MM, M2</v>
          </cell>
        </row>
        <row r="8541">
          <cell r="B8541" t="str">
            <v>26-767-40-71</v>
          </cell>
          <cell r="C8541" t="str">
            <v>CONTOURDRIVE WINKELST  SCHR. 3,0x40MM, M2</v>
          </cell>
          <cell r="D8541" t="str">
            <v>CONTOURDRIVE LOCKING  SCREW 3.0x40MM, M2</v>
          </cell>
        </row>
        <row r="8542">
          <cell r="B8542" t="str">
            <v>26-768-10-71</v>
          </cell>
          <cell r="C8542" t="str">
            <v>CONTOURDRIVE STANDARD  SCHR. 3,5x10MM, M3</v>
          </cell>
          <cell r="D8542" t="str">
            <v>CONTOURDRIVE STANDARD  SCREW 3.5x10MM, M3</v>
          </cell>
        </row>
        <row r="8543">
          <cell r="B8543" t="str">
            <v>26-768-12-71</v>
          </cell>
          <cell r="C8543" t="str">
            <v>CONTOURDRIVE STANDARD  SCHR. 3,5x12MM, M3</v>
          </cell>
          <cell r="D8543" t="str">
            <v>CONTOURDRIVE STANDARD  SCREW 3.5x12MM, M3</v>
          </cell>
        </row>
        <row r="8544">
          <cell r="B8544" t="str">
            <v>26-768-14-71</v>
          </cell>
          <cell r="C8544" t="str">
            <v>CONTOURDRIVE STANDARD  SCHR. 3,5x14MM, M3</v>
          </cell>
          <cell r="D8544" t="str">
            <v>CONTOURDRIVE STANDARD  SCREW 3.5x14MM, M3</v>
          </cell>
        </row>
        <row r="8545">
          <cell r="B8545" t="str">
            <v>26-768-16-71</v>
          </cell>
          <cell r="C8545" t="str">
            <v>CONTOURDRIVE STANDARD  SCHR. 3,5x16MM, M3</v>
          </cell>
          <cell r="D8545" t="str">
            <v>CONTOURDRIVE STANDARD  SCREW 3.5x16MM, M3</v>
          </cell>
        </row>
        <row r="8546">
          <cell r="B8546" t="str">
            <v>26-768-18-71</v>
          </cell>
          <cell r="C8546" t="str">
            <v>CONTOURDRIVE STANDARD  SCHR. 3,5x18MM, M3</v>
          </cell>
          <cell r="D8546" t="str">
            <v>CONTOURDRIVE STANDARD  SCREW 3.5x18MM, M3</v>
          </cell>
        </row>
        <row r="8547">
          <cell r="B8547" t="str">
            <v>26-768-20-71</v>
          </cell>
          <cell r="C8547" t="str">
            <v>CONTOURDRIVE STANDARD  SCHR. 3,5x20MM, M3</v>
          </cell>
          <cell r="D8547" t="str">
            <v>CONTOURDRIVE STANDARD  SCREW 3.5x20MM, M3</v>
          </cell>
        </row>
        <row r="8548">
          <cell r="B8548" t="str">
            <v>26-768-22-71</v>
          </cell>
          <cell r="C8548" t="str">
            <v>CONTOURDRIVE STANDARD  SCHR. 3,5x22MM, M3</v>
          </cell>
          <cell r="D8548" t="str">
            <v>CONTOURDRIVE STANDARD  SCREW 3.5x22MM, M3</v>
          </cell>
        </row>
        <row r="8549">
          <cell r="B8549" t="str">
            <v>26-768-24-71</v>
          </cell>
          <cell r="C8549" t="str">
            <v>CONTOURDRIVE STANDARD  SCHR. 3,5x24MM, M3</v>
          </cell>
          <cell r="D8549" t="str">
            <v>CONTOURDRIVE STANDARD  SCREW 3.5x24MM, M3</v>
          </cell>
        </row>
        <row r="8550">
          <cell r="B8550" t="str">
            <v>26-768-26-71</v>
          </cell>
          <cell r="C8550" t="str">
            <v>CONTOURDRIVE STANDARD  SCHR. 3,5x26MM, M3</v>
          </cell>
          <cell r="D8550" t="str">
            <v>CONTOURDRIVE STANDARD  SCREW 3.5x26MM, M3</v>
          </cell>
        </row>
        <row r="8551">
          <cell r="B8551" t="str">
            <v>26-768-28-71</v>
          </cell>
          <cell r="C8551" t="str">
            <v>CONTOURDRIVE STANDARD  SCHR. 3,5x28MM, M3</v>
          </cell>
          <cell r="D8551" t="str">
            <v>CONTOURDRIVE STANDARD  SCREW 3.5x28MM, M3</v>
          </cell>
        </row>
        <row r="8552">
          <cell r="B8552" t="str">
            <v>26-768-30-71</v>
          </cell>
          <cell r="C8552" t="str">
            <v>CONTOURDRIVE STANDARD  SCHR. 3,5x30MM, M3</v>
          </cell>
          <cell r="D8552" t="str">
            <v>CONTOURDRIVE STANDARD  SCREW 3.5x30MM, M3</v>
          </cell>
        </row>
        <row r="8553">
          <cell r="B8553" t="str">
            <v>26-768-32-71</v>
          </cell>
          <cell r="C8553" t="str">
            <v>CONTOURDRIVE STANDARD  SCHR. 3,5x32MM, M3</v>
          </cell>
          <cell r="D8553" t="str">
            <v>CONTOURDRIVE STANDARD  SCREW 3.5x32MM, M3</v>
          </cell>
        </row>
        <row r="8554">
          <cell r="B8554" t="str">
            <v>26-768-34-71</v>
          </cell>
          <cell r="C8554" t="str">
            <v>CONTOURDRIVE STANDARD  SCHR. 3,5x34MM, M3</v>
          </cell>
          <cell r="D8554" t="str">
            <v>CONTOURDRIVE STANDARD  SCREW 3.5x34MM, M3</v>
          </cell>
        </row>
        <row r="8555">
          <cell r="B8555" t="str">
            <v>26-768-36-71</v>
          </cell>
          <cell r="C8555" t="str">
            <v>CONTOURDRIVE STANDARD  SCHR. 3,5x36MM, M3</v>
          </cell>
          <cell r="D8555" t="str">
            <v>CONTOURDRIVE STANDARD  SCREW 3.5x36MM, M3</v>
          </cell>
        </row>
        <row r="8556">
          <cell r="B8556" t="str">
            <v>26-768-38-71</v>
          </cell>
          <cell r="C8556" t="str">
            <v>CONTOURDRIVE STANDARD  SCHR. 3,5x38MM, M3</v>
          </cell>
          <cell r="D8556" t="str">
            <v>CONTOURDRIVE STANDARD  SCREW 3.5x38MM, M3</v>
          </cell>
        </row>
        <row r="8557">
          <cell r="B8557" t="str">
            <v>26-768-40-71</v>
          </cell>
          <cell r="C8557" t="str">
            <v>CONTOURDRIVE STANDARD  SCHR. 3,5x40MM, M3</v>
          </cell>
          <cell r="D8557" t="str">
            <v>CONTOURDRIVE STANDARD  SCREW 3.5x40MM, M3</v>
          </cell>
        </row>
        <row r="8558">
          <cell r="B8558" t="str">
            <v>26-768-42-71</v>
          </cell>
          <cell r="C8558" t="str">
            <v>CONTOURDRIVE STANDARD  SCHR. 3,5x42MM, M3</v>
          </cell>
          <cell r="D8558" t="str">
            <v>CONTOURDRIVE STANDARD  SCREW 3.5x42MM, M3</v>
          </cell>
        </row>
        <row r="8559">
          <cell r="B8559" t="str">
            <v>26-768-44-71</v>
          </cell>
          <cell r="C8559" t="str">
            <v>CONTOURDRIVE STANDARD  SCHR. 3,5x44MM, M3</v>
          </cell>
          <cell r="D8559" t="str">
            <v>CONTOURDRIVE STANDARD  SCREW 3.5x44MM, M3</v>
          </cell>
        </row>
        <row r="8560">
          <cell r="B8560" t="str">
            <v>26-768-46-71</v>
          </cell>
          <cell r="C8560" t="str">
            <v>CONTOURDRIVE STANDARD  SCHR. 3,5x46MM, M3</v>
          </cell>
          <cell r="D8560" t="str">
            <v>CONTOURDRIVE STANDARD  SCREW 3.5x46MM, M3</v>
          </cell>
        </row>
        <row r="8561">
          <cell r="B8561" t="str">
            <v>26-768-48-71</v>
          </cell>
          <cell r="C8561" t="str">
            <v>CONTOURDRIVE STANDARD  SCHR. 3,5x48MM, M3</v>
          </cell>
          <cell r="D8561" t="str">
            <v>CONTOURDRIVE STANDARD  SCREW 3.5x48MM, M3</v>
          </cell>
        </row>
        <row r="8562">
          <cell r="B8562" t="str">
            <v>26-768-50-71</v>
          </cell>
          <cell r="C8562" t="str">
            <v>CONTOURDRIVE STANDARD  SCHR. 3,5x50MM, M3</v>
          </cell>
          <cell r="D8562" t="str">
            <v>CONTOURDRIVE STANDARD  SCREW 3.5x50MM, M3</v>
          </cell>
        </row>
        <row r="8563">
          <cell r="B8563" t="str">
            <v>26-768-55-71</v>
          </cell>
          <cell r="C8563" t="str">
            <v>CONTOURDRIVE STANDARD  SCHR. 3,5x55MM, M3</v>
          </cell>
          <cell r="D8563" t="str">
            <v>CONTOURDRIVE STANDARD  SCREW 3.5x55MM, M3</v>
          </cell>
        </row>
        <row r="8564">
          <cell r="B8564" t="str">
            <v>26-769-10-71</v>
          </cell>
          <cell r="C8564" t="str">
            <v>CONTOURDRIVE WINKELST  SCHR. 3,5x10MM, M3</v>
          </cell>
          <cell r="D8564" t="str">
            <v>CONTOURDRIVE LOCKING  SCREW 3.5x10MM, M3</v>
          </cell>
        </row>
        <row r="8565">
          <cell r="B8565" t="str">
            <v>26-769-12-71</v>
          </cell>
          <cell r="C8565" t="str">
            <v>CONTOURDRIVE WINKELST  SCHR. 3,5x12MM, M3</v>
          </cell>
          <cell r="D8565" t="str">
            <v>CONTOURDRIVE LOCKING  SCREW 3.5x12MM, M3</v>
          </cell>
        </row>
        <row r="8566">
          <cell r="B8566" t="str">
            <v>26-769-14-71</v>
          </cell>
          <cell r="C8566" t="str">
            <v>CONTOURDRIVE WINKELST  SCHR. 3,5x14MM, M3</v>
          </cell>
          <cell r="D8566" t="str">
            <v>CONTOURDRIVE LOCKING  SCREW 3.5x14MM, M3</v>
          </cell>
        </row>
        <row r="8567">
          <cell r="B8567" t="str">
            <v>26-769-16-71</v>
          </cell>
          <cell r="C8567" t="str">
            <v>CONTOURDRIVE WINKELST  SCHR. 3,5x16MM, M3</v>
          </cell>
          <cell r="D8567" t="str">
            <v>CONTOURDRIVE LOCKING  SCREW 3.5x16MM, M3</v>
          </cell>
        </row>
        <row r="8568">
          <cell r="B8568" t="str">
            <v>26-769-18-71</v>
          </cell>
          <cell r="C8568" t="str">
            <v>CONTOURDRIVE WINKELST  SCHR. 3,5x18MM, M3</v>
          </cell>
          <cell r="D8568" t="str">
            <v>CONTOURDRIVE LOCKING  SCREW 3.5x18MM, M3</v>
          </cell>
        </row>
        <row r="8569">
          <cell r="B8569" t="str">
            <v>26-769-20-71</v>
          </cell>
          <cell r="C8569" t="str">
            <v>CONTOURDRIVE WINKELST  SCHR. 3,5x20MM, M3</v>
          </cell>
          <cell r="D8569" t="str">
            <v>CONTOURDRIVE LOCKING  SCREW 3.5x20MM, M3</v>
          </cell>
        </row>
        <row r="8570">
          <cell r="B8570" t="str">
            <v>26-769-22-71</v>
          </cell>
          <cell r="C8570" t="str">
            <v>CONTOURDRIVE WINKELST  SCHR. 3,5x22MM, M3</v>
          </cell>
          <cell r="D8570" t="str">
            <v>CONTOURDRIVE LOCKING  SCREW 3.5x22MM, M3</v>
          </cell>
        </row>
        <row r="8571">
          <cell r="B8571" t="str">
            <v>26-769-24-71</v>
          </cell>
          <cell r="C8571" t="str">
            <v>CONTOURDRIVE WINKELST  SCHR. 3,5x24MM, M3</v>
          </cell>
          <cell r="D8571" t="str">
            <v>CONTOURDRIVE LOCKING  SCREW 3.5x24MM, M3</v>
          </cell>
        </row>
        <row r="8572">
          <cell r="B8572" t="str">
            <v>26-769-26-71</v>
          </cell>
          <cell r="C8572" t="str">
            <v>CONTOURDRIVE WINKELST  SCHR. 3,5x26MM, M3</v>
          </cell>
          <cell r="D8572" t="str">
            <v>CONTOURDRIVE LOCKING  SCREW 3.5x26MM, M3</v>
          </cell>
        </row>
        <row r="8573">
          <cell r="B8573" t="str">
            <v>26-769-28-71</v>
          </cell>
          <cell r="C8573" t="str">
            <v>CONTOURDRIVE WINKELST  SCHR. 3,5x28MM, M3</v>
          </cell>
          <cell r="D8573" t="str">
            <v>CONTOURDRIVE LOCKING  SCREW 3.5x28MM, M3</v>
          </cell>
        </row>
        <row r="8574">
          <cell r="B8574" t="str">
            <v>26-769-30-71</v>
          </cell>
          <cell r="C8574" t="str">
            <v>CONTOURDRIVE WINKELST  SCHR. 3,5x30MM, M3</v>
          </cell>
          <cell r="D8574" t="str">
            <v>CONTOURDRIVE LOCKING  SCREW 3.5x30MM, M3</v>
          </cell>
        </row>
        <row r="8575">
          <cell r="B8575" t="str">
            <v>26-769-32-71</v>
          </cell>
          <cell r="C8575" t="str">
            <v>CONTOURDRIVE WINKELST  SCHR. 3,5x32MM, M3</v>
          </cell>
          <cell r="D8575" t="str">
            <v>CONTOURDRIVE LOCKING  SCREW 3.5x32MM, M3</v>
          </cell>
        </row>
        <row r="8576">
          <cell r="B8576" t="str">
            <v>26-769-34-71</v>
          </cell>
          <cell r="C8576" t="str">
            <v>CONTOURDRIVE WINKELST  SCHR. 3,5x34MM, M3</v>
          </cell>
          <cell r="D8576" t="str">
            <v>CONTOURDRIVE LOCKING  SCREW 3.5x34MM, M3</v>
          </cell>
        </row>
        <row r="8577">
          <cell r="B8577" t="str">
            <v>26-769-36-71</v>
          </cell>
          <cell r="C8577" t="str">
            <v>CONTOURDRIVE WINKELST  SCHR. 3,5x36MM, M3</v>
          </cell>
          <cell r="D8577" t="str">
            <v>CONTOURDRIVE LOCKING  SCREW 3.5x36MM, M3</v>
          </cell>
        </row>
        <row r="8578">
          <cell r="B8578" t="str">
            <v>26-769-38-71</v>
          </cell>
          <cell r="C8578" t="str">
            <v>CONTOURDRIVE WINKELST  SCHR. 3,5x38MM, M3</v>
          </cell>
          <cell r="D8578" t="str">
            <v>CONTOURDRIVE LOCKING  SCREW 3.5x38MM, M3</v>
          </cell>
        </row>
        <row r="8579">
          <cell r="B8579" t="str">
            <v>26-769-40-71</v>
          </cell>
          <cell r="C8579" t="str">
            <v>CONTOURDRIVE WINKELST  SCHR. 3,5x40MM, M3</v>
          </cell>
          <cell r="D8579" t="str">
            <v>CONTOURDRIVE LOCKING  SCREW 3.5x40MM, M3</v>
          </cell>
        </row>
        <row r="8580">
          <cell r="B8580" t="str">
            <v>26-769-42-71</v>
          </cell>
          <cell r="C8580" t="str">
            <v>CONTOURDRIVE WINKELST  SCHR. 3,5x42MM, M3</v>
          </cell>
          <cell r="D8580" t="str">
            <v>CONTOURDRIVE LOCKING  SCREW 3.5x42MM, M3</v>
          </cell>
        </row>
        <row r="8581">
          <cell r="B8581" t="str">
            <v>26-769-44-71</v>
          </cell>
          <cell r="C8581" t="str">
            <v>CONTOURDRIVE WINKELST  SCHR. 3,5x44MM, M3</v>
          </cell>
          <cell r="D8581" t="str">
            <v>CONTOURDRIVE LOCKING  SCREW 3.5x44MM, M3</v>
          </cell>
        </row>
        <row r="8582">
          <cell r="B8582" t="str">
            <v>26-769-46-71</v>
          </cell>
          <cell r="C8582" t="str">
            <v>CONTOURDRIVE WINKELST  SCHR. 3,5x46MM, M3</v>
          </cell>
          <cell r="D8582" t="str">
            <v>CONTOURDRIVE LOCKING  SCREW 3.5x46MM, M3</v>
          </cell>
        </row>
        <row r="8583">
          <cell r="B8583" t="str">
            <v>26-769-48-71</v>
          </cell>
          <cell r="C8583" t="str">
            <v>CONTOURDRIVE WINKELST  SCHR. 3,5x48MM, M3</v>
          </cell>
          <cell r="D8583" t="str">
            <v>CONTOURDRIVE LOCKING  SCREW 3.5x48MM, M3</v>
          </cell>
        </row>
        <row r="8584">
          <cell r="B8584" t="str">
            <v>26-769-50-71</v>
          </cell>
          <cell r="C8584" t="str">
            <v>CONTOURDRIVE WINKELST  SCHR. 3,5x50MM, M3</v>
          </cell>
          <cell r="D8584" t="str">
            <v>CONTOURDRIVE LOCKING  SCREW 3.5x50MM, M3</v>
          </cell>
        </row>
        <row r="8585">
          <cell r="B8585" t="str">
            <v>26-769-55-71</v>
          </cell>
          <cell r="C8585" t="str">
            <v>CONTOURDRIVE WINKELST  SCHR. 3,5x55MM, M3</v>
          </cell>
          <cell r="D8585" t="str">
            <v>CONTOURDRIVE LOCKING  SCREW 3.5x55MM, M3</v>
          </cell>
        </row>
        <row r="8586">
          <cell r="B8586" t="str">
            <v>26-770-10-71</v>
          </cell>
          <cell r="C8586" t="str">
            <v>CONTOURDRIVE STANDARD  SCHR. 4,0x10MM, M3</v>
          </cell>
          <cell r="D8586" t="str">
            <v>CONTOURDRIVE STANDARD  SCREW 4.0x10MM, M3</v>
          </cell>
        </row>
        <row r="8587">
          <cell r="B8587" t="str">
            <v>26-770-12-71</v>
          </cell>
          <cell r="C8587" t="str">
            <v>CONTOURDRIVE STANDARD  SCHR. 4,0x12MM, M3</v>
          </cell>
          <cell r="D8587" t="str">
            <v>CONTOURDRIVE STANDARD  SCREW 4.0x12MM, M3</v>
          </cell>
        </row>
        <row r="8588">
          <cell r="B8588" t="str">
            <v>26-770-14-71</v>
          </cell>
          <cell r="C8588" t="str">
            <v>CONTOURDRIVE STANDARD  SCHR. 4,0x14MM, M3</v>
          </cell>
          <cell r="D8588" t="str">
            <v>CONTOURDRIVE STANDARD  SCREW 4.0x14MM, M3</v>
          </cell>
        </row>
        <row r="8589">
          <cell r="B8589" t="str">
            <v>26-770-16-71</v>
          </cell>
          <cell r="C8589" t="str">
            <v>CONTOURDRIVE STANDARD  SCHR. 4,0x16MM, M3</v>
          </cell>
          <cell r="D8589" t="str">
            <v>CONTOURDRIVE STANDARD  SCREW 4.0x16MM, M3</v>
          </cell>
        </row>
        <row r="8590">
          <cell r="B8590" t="str">
            <v>26-770-18-71</v>
          </cell>
          <cell r="C8590" t="str">
            <v>CONTOURDRIVE STANDARD  SCHR. 4,0x18MM, M3</v>
          </cell>
          <cell r="D8590" t="str">
            <v>CONTOURDRIVE STANDARD  SCREW 4.0x18MM, M3</v>
          </cell>
        </row>
        <row r="8591">
          <cell r="B8591" t="str">
            <v>26-770-20-71</v>
          </cell>
          <cell r="C8591" t="str">
            <v>CONTOURDRIVE STANDARD  SCHR. 4,0x20MM, M3</v>
          </cell>
          <cell r="D8591" t="str">
            <v>CONTOURDRIVE STANDARD  SCREW 4.0x20MM, M3</v>
          </cell>
        </row>
        <row r="8592">
          <cell r="B8592" t="str">
            <v>26-770-22-71</v>
          </cell>
          <cell r="C8592" t="str">
            <v>CONTOURDRIVE STANDARD  SCHR. 4,0x22MM, M3</v>
          </cell>
          <cell r="D8592" t="str">
            <v>CONTOURDRIVE STANDARD  SCREW 4.0x22MM, M3</v>
          </cell>
        </row>
        <row r="8593">
          <cell r="B8593" t="str">
            <v>26-770-24-71</v>
          </cell>
          <cell r="C8593" t="str">
            <v>CONTOURDRIVE STANDARD  SCHR. 4,0x24MM, M3</v>
          </cell>
          <cell r="D8593" t="str">
            <v>CONTOURDRIVE STANDARD  SCREW 4.0x24MM, M3</v>
          </cell>
        </row>
        <row r="8594">
          <cell r="B8594" t="str">
            <v>26-770-26-71</v>
          </cell>
          <cell r="C8594" t="str">
            <v>CONTOURDRIVE STANDARD  SCHR. 4,0x26MM, M3</v>
          </cell>
          <cell r="D8594" t="str">
            <v>CONTOURDRIVE STANDARD  SCREW 4.0x26MM, M3</v>
          </cell>
        </row>
        <row r="8595">
          <cell r="B8595" t="str">
            <v>26-770-28-71</v>
          </cell>
          <cell r="C8595" t="str">
            <v>CONTOURDRIVE STANDARD  SCHR. 4,0x28MM, M3</v>
          </cell>
          <cell r="D8595" t="str">
            <v>CONTOURDRIVE STANDARD  SCREW 4.0x28MM, M3</v>
          </cell>
        </row>
        <row r="8596">
          <cell r="B8596" t="str">
            <v>26-770-30-71</v>
          </cell>
          <cell r="C8596" t="str">
            <v>CONTOURDRIVE STANDARD  SCHR. 4,0x30MM, M3</v>
          </cell>
          <cell r="D8596" t="str">
            <v>CONTOURDRIVE STANDARD  SCREW 4.0x30MM, M3</v>
          </cell>
        </row>
        <row r="8597">
          <cell r="B8597" t="str">
            <v>26-770-32-71</v>
          </cell>
          <cell r="C8597" t="str">
            <v>CONTOURDRIVE STANDARD  SCHR. 4,0x32MM, M3</v>
          </cell>
          <cell r="D8597" t="str">
            <v>CONTOURDRIVE STANDARD  SCREW 4.0x32MM, M3</v>
          </cell>
        </row>
        <row r="8598">
          <cell r="B8598" t="str">
            <v>26-770-34-71</v>
          </cell>
          <cell r="C8598" t="str">
            <v>CONTOURDRIVE STANDARD  SCHR. 4,0x34MM, M3</v>
          </cell>
          <cell r="D8598" t="str">
            <v>CONTOURDRIVE STANDARD  SCREW 4.0x34MM, M3</v>
          </cell>
        </row>
        <row r="8599">
          <cell r="B8599" t="str">
            <v>26-770-36-71</v>
          </cell>
          <cell r="C8599" t="str">
            <v>CONTOURDRIVE STANDARD  SCHR. 4,0x36MM, M3</v>
          </cell>
          <cell r="D8599" t="str">
            <v>CONTOURDRIVE STANDARD  SCREW 4.0x36MM, M3</v>
          </cell>
        </row>
        <row r="8600">
          <cell r="B8600" t="str">
            <v>26-770-38-71</v>
          </cell>
          <cell r="C8600" t="str">
            <v>CONTOURDRIVE STANDARD  SCHR. 4,0x38MM, M3</v>
          </cell>
          <cell r="D8600" t="str">
            <v>CONTOURDRIVE STANDARD  SCREW 4.0x38MM, M3</v>
          </cell>
        </row>
        <row r="8601">
          <cell r="B8601" t="str">
            <v>26-770-40-71</v>
          </cell>
          <cell r="C8601" t="str">
            <v>CONTOURDRIVE STANDARD  SCHR. 4,0x40MM, M3</v>
          </cell>
          <cell r="D8601" t="str">
            <v>CONTOURDRIVE STANDARD  SCREW 4.0x40MM, M3</v>
          </cell>
        </row>
        <row r="8602">
          <cell r="B8602" t="str">
            <v>26-770-42-71</v>
          </cell>
          <cell r="C8602" t="str">
            <v>CONTOURDRIVE STANDARD  SCHR. 4,0x42MM, M3</v>
          </cell>
          <cell r="D8602" t="str">
            <v>CONTOURDRIVE STANDARD  SCREW 4.0x42MM, M3</v>
          </cell>
        </row>
        <row r="8603">
          <cell r="B8603" t="str">
            <v>26-770-44-71</v>
          </cell>
          <cell r="C8603" t="str">
            <v>CONTOURDRIVE STANDARD  SCHR. 4,0x44MM, M3</v>
          </cell>
          <cell r="D8603" t="str">
            <v>CONTOURDRIVE STANDARD  SCREW 4.0x44MM, M3</v>
          </cell>
        </row>
        <row r="8604">
          <cell r="B8604" t="str">
            <v>26-770-46-71</v>
          </cell>
          <cell r="C8604" t="str">
            <v>CONTOURDRIVE STANDARD  SCHR. 4,0x46MM, M3</v>
          </cell>
          <cell r="D8604" t="str">
            <v>CONTOURDRIVE STANDARD  SCREW 4.0x46MM, M3</v>
          </cell>
        </row>
        <row r="8605">
          <cell r="B8605" t="str">
            <v>26-770-48-71</v>
          </cell>
          <cell r="C8605" t="str">
            <v>CONTOURDRIVE STANDARD  SCHR. 4,0x48MM, M3</v>
          </cell>
          <cell r="D8605" t="str">
            <v>CONTOURDRIVE STANDARD  SCREW 4.0x48MM, M3</v>
          </cell>
        </row>
        <row r="8606">
          <cell r="B8606" t="str">
            <v>26-770-50-71</v>
          </cell>
          <cell r="C8606" t="str">
            <v>CONTOURDRIVE STANDARD  SCHR. 4,0x50MM, M3</v>
          </cell>
          <cell r="D8606" t="str">
            <v>CONTOURDRIVE STANDARD  SCREW 4.0x50MM, M3</v>
          </cell>
        </row>
        <row r="8607">
          <cell r="B8607" t="str">
            <v>26-770-55-71</v>
          </cell>
          <cell r="C8607" t="str">
            <v>CONTOURDRIVE STANDARD  SCHR. 4,0x55MM, M3</v>
          </cell>
          <cell r="D8607" t="str">
            <v>CONTOURDRIVE STANDARD  SCREW 4.0x55MM, M3</v>
          </cell>
        </row>
        <row r="8608">
          <cell r="B8608" t="str">
            <v>26-771-10-71</v>
          </cell>
          <cell r="C8608" t="str">
            <v>CONTOURDRIVE WINKELST  SCHR. 4,0x10MM, M3</v>
          </cell>
          <cell r="D8608" t="str">
            <v>CONTOURDRIVE LOCKING  SCREW 4.0x10MM, M3</v>
          </cell>
        </row>
        <row r="8609">
          <cell r="B8609" t="str">
            <v>26-771-12-71</v>
          </cell>
          <cell r="C8609" t="str">
            <v>CONTOURDRIVE WINKELST  SCHR. 4,0x12MM, M3</v>
          </cell>
          <cell r="D8609" t="str">
            <v>CONTOURDRIVE LOCKING  SCREW 4.0x12MM, M3</v>
          </cell>
        </row>
        <row r="8610">
          <cell r="B8610" t="str">
            <v>26-771-14-71</v>
          </cell>
          <cell r="C8610" t="str">
            <v>CONTOURDRIVE WINKELST  SCHR. 4,0x14MM, M3</v>
          </cell>
          <cell r="D8610" t="str">
            <v>CONTOURDRIVE LOCKING  SCREW 4.0x14MM, M3</v>
          </cell>
        </row>
        <row r="8611">
          <cell r="B8611" t="str">
            <v>26-771-16-71</v>
          </cell>
          <cell r="C8611" t="str">
            <v>CONTOURDRIVE WINKELST  SCHR. 4,0x16MM, M3</v>
          </cell>
          <cell r="D8611" t="str">
            <v>CONTOURDRIVE LOCKING  SCREW 4.0x16MM, M3</v>
          </cell>
        </row>
        <row r="8612">
          <cell r="B8612" t="str">
            <v>26-771-18-71</v>
          </cell>
          <cell r="C8612" t="str">
            <v>CONTOURDRIVE WINKELST  SCHR. 4,0x18MM, M3</v>
          </cell>
          <cell r="D8612" t="str">
            <v>CONTOURDRIVE LOCKING  SCREW 4.0x18MM, M3</v>
          </cell>
        </row>
        <row r="8613">
          <cell r="B8613" t="str">
            <v>26-771-20-71</v>
          </cell>
          <cell r="C8613" t="str">
            <v>CONTOURDRIVE WINKELST  SCHR. 4,0x20MM, M3</v>
          </cell>
          <cell r="D8613" t="str">
            <v>CONTOURDRIVE LOCKING  SCREW 4.0x20MM, M3</v>
          </cell>
        </row>
        <row r="8614">
          <cell r="B8614" t="str">
            <v>26-771-22-71</v>
          </cell>
          <cell r="C8614" t="str">
            <v>CONTOURDRIVE WINKELST  SCHR. 4,0x22MM, M3</v>
          </cell>
          <cell r="D8614" t="str">
            <v>CONTOURDRIVE LOCKING  SCREW 4.0x22MM, M3</v>
          </cell>
        </row>
        <row r="8615">
          <cell r="B8615" t="str">
            <v>26-771-24-71</v>
          </cell>
          <cell r="C8615" t="str">
            <v>CONTOURDRIVE WINKELST  SCHR. 4,0x24MM, M3</v>
          </cell>
          <cell r="D8615" t="str">
            <v>CONTOURDRIVE LOCKING  SCREW 4.0x24MM, M3</v>
          </cell>
        </row>
        <row r="8616">
          <cell r="B8616" t="str">
            <v>26-771-26-71</v>
          </cell>
          <cell r="C8616" t="str">
            <v>CONTOURDRIVE WINKELST  SCHR. 4,0x26MM, M3</v>
          </cell>
          <cell r="D8616" t="str">
            <v>CONTOURDRIVE LOCKING  SCREW 4.0x26MM, M3</v>
          </cell>
        </row>
        <row r="8617">
          <cell r="B8617" t="str">
            <v>26-771-28-71</v>
          </cell>
          <cell r="C8617" t="str">
            <v>CONTOURDRIVE WINKELST  SCHR. 4,0x28MM, M3</v>
          </cell>
          <cell r="D8617" t="str">
            <v>CONTOURDRIVE LOCKING  SCREW 4.0x28MM, M3</v>
          </cell>
        </row>
        <row r="8618">
          <cell r="B8618" t="str">
            <v>26-771-30-71</v>
          </cell>
          <cell r="C8618" t="str">
            <v>CONTOURDRIVE WINKELST  SCHR. 4,0x30MM, M3</v>
          </cell>
          <cell r="D8618" t="str">
            <v>CONTOURDRIVE LOCKING  SCREW 4.0x30MM, M3</v>
          </cell>
        </row>
        <row r="8619">
          <cell r="B8619" t="str">
            <v>26-771-32-71</v>
          </cell>
          <cell r="C8619" t="str">
            <v>CONTOURDRIVE WINKELST  SCHR. 4,0x32MM, M3</v>
          </cell>
          <cell r="D8619" t="str">
            <v>CONTOURDRIVE LOCKING  SCREW 4.0x32MM, M3</v>
          </cell>
        </row>
        <row r="8620">
          <cell r="B8620" t="str">
            <v>26-771-34-71</v>
          </cell>
          <cell r="C8620" t="str">
            <v>CONTOURDRIVE WINKELST  SCHR. 4,0x34MM, M3</v>
          </cell>
          <cell r="D8620" t="str">
            <v>CONTOURDRIVE LOCKING  SCREW 4.0x34MM, M3</v>
          </cell>
        </row>
        <row r="8621">
          <cell r="B8621" t="str">
            <v>26-771-36-71</v>
          </cell>
          <cell r="C8621" t="str">
            <v>CONTOURDRIVE WINKELST  SCHR. 4,0x36MM, M3</v>
          </cell>
          <cell r="D8621" t="str">
            <v>CONTOURDRIVE LOCKING  SCREW 4.0x36MM, M3</v>
          </cell>
        </row>
        <row r="8622">
          <cell r="B8622" t="str">
            <v>26-771-38-71</v>
          </cell>
          <cell r="C8622" t="str">
            <v>CONTOURDRIVE WINKELST  SCHR. 4,0x38MM, M3</v>
          </cell>
          <cell r="D8622" t="str">
            <v>CONTOURDRIVE LOCKING  SCREW 4.0x38MM, M3</v>
          </cell>
        </row>
        <row r="8623">
          <cell r="B8623" t="str">
            <v>26-771-40-71</v>
          </cell>
          <cell r="C8623" t="str">
            <v>CONTOURDRIVE WINKELST  SCHR. 4,0x40MM, M3</v>
          </cell>
          <cell r="D8623" t="str">
            <v>CONTOURDRIVE LOCKING  SCREW 4.0x40MM, M3</v>
          </cell>
        </row>
        <row r="8624">
          <cell r="B8624" t="str">
            <v>26-771-42-71</v>
          </cell>
          <cell r="C8624" t="str">
            <v>CONTOURDRIVE WINKELST  SCHR. 4,0x42MM, M3</v>
          </cell>
          <cell r="D8624" t="str">
            <v>CONTOURDRIVE LOCKING  SCREW 4.0x42MM, M3</v>
          </cell>
        </row>
        <row r="8625">
          <cell r="B8625" t="str">
            <v>26-771-44-71</v>
          </cell>
          <cell r="C8625" t="str">
            <v>CONTOURDRIVE WINKELST  SCHR. 4,0x44MM, M3</v>
          </cell>
          <cell r="D8625" t="str">
            <v>CONTOURDRIVE LOCKING  SCREW 4.0x44MM, M3</v>
          </cell>
        </row>
        <row r="8626">
          <cell r="B8626" t="str">
            <v>26-771-46-71</v>
          </cell>
          <cell r="C8626" t="str">
            <v>CONTOURDRIVE WINKELST  SCHR. 4,0x46MM, M3</v>
          </cell>
          <cell r="D8626" t="str">
            <v>CONTOURDRIVE LOCKING  SCREW 4.0x46MM, M3</v>
          </cell>
        </row>
        <row r="8627">
          <cell r="B8627" t="str">
            <v>26-771-48-71</v>
          </cell>
          <cell r="C8627" t="str">
            <v>CONTOURDRIVE WINKELST  SCHR. 4,0x48MM, M3</v>
          </cell>
          <cell r="D8627" t="str">
            <v>CONTOURDRIVE LOCKING  SCREW 4.0x48MM, M3</v>
          </cell>
        </row>
        <row r="8628">
          <cell r="B8628" t="str">
            <v>26-771-50-71</v>
          </cell>
          <cell r="C8628" t="str">
            <v>CONTOURDRIVE WINKELST  SCHR. 4,0x50MM, M3</v>
          </cell>
          <cell r="D8628" t="str">
            <v>CONTOURDRIVE LOCKING  SCREW 4.0x50MM, M3</v>
          </cell>
        </row>
        <row r="8629">
          <cell r="B8629" t="str">
            <v>26-771-55-71</v>
          </cell>
          <cell r="C8629" t="str">
            <v>CONTOURDRIVE WINKELST  SCHR. 4,0x55MM, M3</v>
          </cell>
          <cell r="D8629" t="str">
            <v>CONTOURDRIVE LOCKING  SCREW 4.0x55MM, M3</v>
          </cell>
        </row>
        <row r="8630">
          <cell r="B8630" t="str">
            <v>26-773-70-07</v>
          </cell>
          <cell r="C8630" t="str">
            <v>K-DRAHT  0,8x150 MM, SPITZ</v>
          </cell>
          <cell r="D8630" t="str">
            <v>K-WIRE 0.8x150 MM, POINTED</v>
          </cell>
        </row>
        <row r="8631">
          <cell r="B8631" t="str">
            <v>26-773-71-07</v>
          </cell>
          <cell r="C8631" t="str">
            <v>K-DRAHT  1,0x150 MM, SPITZ</v>
          </cell>
          <cell r="D8631" t="str">
            <v>K-WIRE 1.0x150 MM, POINTED</v>
          </cell>
        </row>
        <row r="8632">
          <cell r="B8632" t="str">
            <v>26-773-72-07</v>
          </cell>
          <cell r="C8632" t="str">
            <v>K-DRAHT  1,5x150 MM, SPITZ</v>
          </cell>
          <cell r="D8632" t="str">
            <v>K-WIRE 1.5x150 MM, POINTED</v>
          </cell>
        </row>
        <row r="8633">
          <cell r="B8633" t="str">
            <v>26-773-73-07</v>
          </cell>
          <cell r="C8633" t="str">
            <v>K-DRAHT  2,0x150 MM, SPITZ</v>
          </cell>
          <cell r="D8633" t="str">
            <v>K-WIRE 2.0x150 MM, POINTED</v>
          </cell>
        </row>
        <row r="8634">
          <cell r="B8634" t="str">
            <v>26-773-74-07</v>
          </cell>
          <cell r="C8634" t="str">
            <v>K-DRAHT  2,5x100 MM, SPITZ</v>
          </cell>
          <cell r="D8634" t="str">
            <v>K-WIRE 2.5x100 MM, POINTED</v>
          </cell>
        </row>
        <row r="8635">
          <cell r="B8635" t="str">
            <v>26-773-75-05</v>
          </cell>
          <cell r="C8635" t="str">
            <v>Fixierungspin Ø 4,0 x 70 mm</v>
          </cell>
          <cell r="D8635" t="str">
            <v>fixation pin Ø 4.0 x 70 mm</v>
          </cell>
        </row>
        <row r="8636">
          <cell r="B8636" t="str">
            <v>26-773-76-05</v>
          </cell>
          <cell r="C8636" t="str">
            <v>Fixierungspin Ø 6,0 x 70 mm</v>
          </cell>
          <cell r="D8636" t="str">
            <v>fixation pin Ø 6.0 x 70 mm</v>
          </cell>
        </row>
        <row r="8637">
          <cell r="B8637" t="str">
            <v>26-774-00-71</v>
          </cell>
          <cell r="C8637" t="str">
            <v>FOS 2 GERADE HT-PL., 3-LO, KURZ,M1,T=1,0</v>
          </cell>
          <cell r="D8637" t="str">
            <v>FOS 2 STRAIGHT  HT-PL,3-HO/SMALL,M1,T=1.0</v>
          </cell>
        </row>
        <row r="8638">
          <cell r="B8638" t="str">
            <v>26-774-01-71</v>
          </cell>
          <cell r="C8638" t="str">
            <v>FOS 2 GERADE HT-PL., 3-LO, LANG,M1,T=1,0</v>
          </cell>
          <cell r="D8638" t="str">
            <v>FOS 2 STRAIGHT  HT-PL,3-HO/LONG, M1,T=1.0</v>
          </cell>
        </row>
        <row r="8639">
          <cell r="B8639" t="str">
            <v>26-774-02-71</v>
          </cell>
          <cell r="C8639" t="str">
            <v>FOS 2 GERADE PLATTE, 4-LO, M1, T=1,0 MM</v>
          </cell>
          <cell r="D8639" t="str">
            <v>FOS 2 STRAIGHT  PLATE, 4-HO, M1, T=1.0 MM</v>
          </cell>
        </row>
        <row r="8640">
          <cell r="B8640" t="str">
            <v>26-774-03-71</v>
          </cell>
          <cell r="C8640" t="str">
            <v>FOS 2 GERADE PL., 6-LO, KOMPR.,M1,T=1,0</v>
          </cell>
          <cell r="D8640" t="str">
            <v>FOS 2 STRAIGHT  PL,6-HO, COMPR.,M1,T=1.0</v>
          </cell>
        </row>
        <row r="8641">
          <cell r="B8641" t="str">
            <v>26-774-04-71</v>
          </cell>
          <cell r="C8641" t="str">
            <v>FOS 2 T-PLATTE,  5-LOCH, M1, T=1,0 MM</v>
          </cell>
          <cell r="D8641" t="str">
            <v>FOS 2 T-PLATE, 5-HOLE, M1, T=1.0 MM</v>
          </cell>
        </row>
        <row r="8642">
          <cell r="B8642" t="str">
            <v>26-774-05-71</v>
          </cell>
          <cell r="C8642" t="str">
            <v>FOS 2 T-PLATTE,  7-LOCH, KOMPR.,M1,T=1,0</v>
          </cell>
          <cell r="D8642" t="str">
            <v>FOS 2 T-PLATE,7-HOLE, COMPR.,  M1, T=1.0</v>
          </cell>
        </row>
        <row r="8643">
          <cell r="B8643" t="str">
            <v>26-775-00-71</v>
          </cell>
          <cell r="C8643" t="str">
            <v>FOS 2 GERADE PLATTE, 4-LO, M2, T=1,5 MM</v>
          </cell>
          <cell r="D8643" t="str">
            <v>FOS 2 STRAIGHT  PLATE, 4-HO, M2, T=1.5 MM</v>
          </cell>
        </row>
        <row r="8644">
          <cell r="B8644" t="str">
            <v>26-775-01-71</v>
          </cell>
          <cell r="C8644" t="str">
            <v>FOS 2 GERADE PL., 6-LO, KOMPR,M2, T=1,5</v>
          </cell>
          <cell r="D8644" t="str">
            <v>FOS 2 STRAIGHT  PL,6-HO, COMPR.,M2,T=1.5</v>
          </cell>
        </row>
        <row r="8645">
          <cell r="B8645" t="str">
            <v>26-775-02-71</v>
          </cell>
          <cell r="C8645" t="str">
            <v>FOS 2 GERADE PL., 8-LO, KOMPR,M2, T=1,5</v>
          </cell>
          <cell r="D8645" t="str">
            <v>FOS 2 STRAIGHT  PL,8-HO, COMPR.,M2,T=1.5</v>
          </cell>
        </row>
        <row r="8646">
          <cell r="B8646" t="str">
            <v>26-775-03-71</v>
          </cell>
          <cell r="C8646" t="str">
            <v>FOS 2 MD-PLATTE, 6-LO, LI, M2, T=1,5 MM</v>
          </cell>
          <cell r="D8646" t="str">
            <v>FOS 2 MD-PLATE,  6-HO, LEFT, M2, T=1.5 MM</v>
          </cell>
        </row>
        <row r="8647">
          <cell r="B8647" t="str">
            <v>26-775-04-71</v>
          </cell>
          <cell r="C8647" t="str">
            <v>FOS 2 MD-PLATTE, 6-LO, RE, M2, T=1,5 MM</v>
          </cell>
          <cell r="D8647" t="str">
            <v>FOS 2 MD-PLATE,  6-HO, RIGHT, M2,T=1.5  MM</v>
          </cell>
        </row>
        <row r="8648">
          <cell r="B8648" t="str">
            <v>26-775-05-71</v>
          </cell>
          <cell r="C8648" t="str">
            <v>FOS 2 MTPJ-PL.,  6-LO,STEG  28MM,M2,T=1,5</v>
          </cell>
          <cell r="D8648" t="str">
            <v>FOS 2 MTPJ-PL,6-HO, BAR 28MM, M2, T=1.5</v>
          </cell>
        </row>
        <row r="8649">
          <cell r="B8649" t="str">
            <v>26-775-06-71</v>
          </cell>
          <cell r="C8649" t="str">
            <v>FOS 2 MTPJ-PL.,  6-LO,STEG  35MM,M2,T=1,5</v>
          </cell>
          <cell r="D8649" t="str">
            <v>FOS 2 MTPJ-PL,6-HO, BAR 35MM, M2, T=1.5</v>
          </cell>
        </row>
        <row r="8650">
          <cell r="B8650" t="str">
            <v>26-775-07-71</v>
          </cell>
          <cell r="C8650" t="str">
            <v>FOS 2 L-PLATTE,  4-LOCH, RE, M2, T=2,0 MM</v>
          </cell>
          <cell r="D8650" t="str">
            <v>FOS 2 L-PLATE, 4-HOLE, RI, M2, T=2.0 MM</v>
          </cell>
        </row>
        <row r="8651">
          <cell r="B8651" t="str">
            <v>26-775-08-71</v>
          </cell>
          <cell r="C8651" t="str">
            <v>FOS 2 L-PLATTE,  4-LOCH, LI, M2, T=2,0 MM</v>
          </cell>
          <cell r="D8651" t="str">
            <v>FOS 2 L-PLATE, 4-HOLE, LE, M2, T=2.0 MM</v>
          </cell>
        </row>
        <row r="8652">
          <cell r="B8652" t="str">
            <v>26-775-09-71</v>
          </cell>
          <cell r="C8652" t="str">
            <v>FOS 2 MTPJ-PL.,  4-LO, KOMPR.,  M2, T=2,0</v>
          </cell>
          <cell r="D8652" t="str">
            <v>FOS 2 MTPJ-PLATE,4-HO, COMPR.,  M2,T=2.0</v>
          </cell>
        </row>
        <row r="8653">
          <cell r="B8653" t="str">
            <v>26-775-10-71</v>
          </cell>
          <cell r="C8653" t="str">
            <v>FOS 2 MTPJ-PL.,  6-LO, KOMPR.,  M2, T=2,0</v>
          </cell>
          <cell r="D8653" t="str">
            <v>FOS 2 MTPJ-PLATE,6-HO, COMPR.,  M2,T=2.0</v>
          </cell>
        </row>
        <row r="8654">
          <cell r="B8654" t="str">
            <v>26-775-11-71</v>
          </cell>
          <cell r="C8654" t="str">
            <v>FOS 2 T-PLATTE,  10-LO, KOMPRE.,  M2,T=2,0</v>
          </cell>
          <cell r="D8654" t="str">
            <v>FOS 2 T-PLATE, 10-HO, COMPR.,  M2, T=2.0</v>
          </cell>
        </row>
        <row r="8655">
          <cell r="B8655" t="str">
            <v>26-775-12-71</v>
          </cell>
          <cell r="C8655" t="str">
            <v>FOS 2 MOW-PL.,  4-LO, KEIL 3MM, M2, T=1,5</v>
          </cell>
          <cell r="D8655" t="str">
            <v>FOS 2 MOW-PLATE, 4-HO,WEDGE 3MM,M2,T=1.5</v>
          </cell>
        </row>
        <row r="8656">
          <cell r="B8656" t="str">
            <v>26-775-13-71</v>
          </cell>
          <cell r="C8656" t="str">
            <v>FOS 2 MOW-PL.,  4-LO, KEIL 4MM, M2, T=1,5</v>
          </cell>
          <cell r="D8656" t="str">
            <v>FOS 2 MOW-PLATE,4-HO, WEDGE 4MM,M2,T=1.5</v>
          </cell>
        </row>
        <row r="8657">
          <cell r="B8657" t="str">
            <v>26-775-14-71</v>
          </cell>
          <cell r="C8657" t="str">
            <v>FOS 2 MOW-PL.,  4-LO, KEIL 5MM, M2, T=1,5</v>
          </cell>
          <cell r="D8657" t="str">
            <v>FOS 2 MOW-PLATE,4-HO, WEDGE 5MM,M2,T=1.5</v>
          </cell>
        </row>
        <row r="8658">
          <cell r="B8658" t="str">
            <v>26-775-15-71</v>
          </cell>
          <cell r="C8658" t="str">
            <v>FOS 2 MOW-PL.,  4-LO, KEIL 6MM, M2, T=1,5</v>
          </cell>
          <cell r="D8658" t="str">
            <v>FOS 2 MOW-PLATE,4-HO, WEDGE 6MM,M2,T=1.5</v>
          </cell>
        </row>
        <row r="8659">
          <cell r="B8659" t="str">
            <v>26-775-16-71</v>
          </cell>
          <cell r="C8659" t="str">
            <v>FOS 2 MOW-PL.,  4-LO, KEIL 7MM, M2, T=1,5</v>
          </cell>
          <cell r="D8659" t="str">
            <v>FOS 2 MOW-PLATE,4-HO, WEDGE 7MM,M2,T=1.5</v>
          </cell>
        </row>
        <row r="8660">
          <cell r="B8660" t="str">
            <v>26-775-17-71</v>
          </cell>
          <cell r="C8660" t="str">
            <v>FOS 2 MOW-PL.,  4-LO, KEIL 8MM, M2, T=1,5</v>
          </cell>
          <cell r="D8660" t="str">
            <v>FOS 2 MOW-PLATE,4-HO, WEDGE 8MM,M2,T=1.5</v>
          </cell>
        </row>
        <row r="8661">
          <cell r="B8661" t="str">
            <v>26-775-18-71</v>
          </cell>
          <cell r="C8661" t="str">
            <v>FOS 2 MRP-PL.,  9-LOCH, LINKS, M2, T=1,5</v>
          </cell>
          <cell r="D8661" t="str">
            <v>FOS 2 MRP-PLATE, 9-HOLE, LE, M2, T=1.5</v>
          </cell>
        </row>
        <row r="8662">
          <cell r="B8662" t="str">
            <v>26-775-19-71</v>
          </cell>
          <cell r="C8662" t="str">
            <v>FOS 2 MRP-PL.,  9-LOCH, RECHTS, M2, T=1,5</v>
          </cell>
          <cell r="D8662" t="str">
            <v>FOS 2 MRP-PLATE, 9-HOLE, RI, M2, T=1.5</v>
          </cell>
        </row>
        <row r="8663">
          <cell r="B8663" t="str">
            <v>26-775-20-71</v>
          </cell>
          <cell r="C8663" t="str">
            <v>FOS 2 X-PLATTE,  4-LOCH, S, M2, T=2,0</v>
          </cell>
          <cell r="D8663" t="str">
            <v>FOS 2 X-PLATE,  4-HOLE, S, M2, T=2.0</v>
          </cell>
        </row>
        <row r="8664">
          <cell r="B8664" t="str">
            <v>26-775-21-71</v>
          </cell>
          <cell r="C8664" t="str">
            <v>FOS 2 X-PLATTE,  4-LOCH, M, M2, T=2,0</v>
          </cell>
          <cell r="D8664" t="str">
            <v>FOS 2 X-PLATE,  4-HOLE, M, M2, T=2.0</v>
          </cell>
        </row>
        <row r="8665">
          <cell r="B8665" t="str">
            <v>26-775-22-71</v>
          </cell>
          <cell r="C8665" t="str">
            <v>FOS 2 X-PLATTE,  4-LOCH, L, M2, T=2,0</v>
          </cell>
          <cell r="D8665" t="str">
            <v>FOS 2 X-PLATE,  4-HOLE, L, M2, T=2.0</v>
          </cell>
        </row>
        <row r="8666">
          <cell r="B8666" t="str">
            <v>26-775-23-71</v>
          </cell>
          <cell r="C8666" t="str">
            <v>FOS 2 LAPIDUS H-PL., 5-LO, 0MM,M2,T=1,5</v>
          </cell>
          <cell r="D8666" t="str">
            <v>FOS 2 LAPIDUS H-PLATE,5-HO,0MM,M2,T=1.5</v>
          </cell>
        </row>
        <row r="8667">
          <cell r="B8667" t="str">
            <v>26-775-24-71</v>
          </cell>
          <cell r="C8667" t="str">
            <v>FOS 2 LAPIDUS H-PL., 5-LO, 1MM,M2,T=1,5</v>
          </cell>
          <cell r="D8667" t="str">
            <v>FOS 2 LAPIDUS H-PLATE,5-HO,1MM,M2,T=1.5</v>
          </cell>
        </row>
        <row r="8668">
          <cell r="B8668" t="str">
            <v>26-775-25-71</v>
          </cell>
          <cell r="C8668" t="str">
            <v>FOS 2 LAPIDUS H-PL., 5-LO, 2MM,M2,T=1,5</v>
          </cell>
          <cell r="D8668" t="str">
            <v>FOS 2 LAPIDUS H-PLATE,5-HO,2MM,M2,T=1.5</v>
          </cell>
        </row>
        <row r="8669">
          <cell r="B8669" t="str">
            <v>26-775-26-71</v>
          </cell>
          <cell r="C8669" t="str">
            <v>FOS 2 LAPIDUS H-PL., 5-LO, 3MM,M2,T=1,5</v>
          </cell>
          <cell r="D8669" t="str">
            <v>FOS 2 LAPIDUS H-PLATE,5-HO,3MM,M2,T=1.5</v>
          </cell>
        </row>
        <row r="8670">
          <cell r="B8670" t="str">
            <v>26-775-27-71</v>
          </cell>
          <cell r="C8670" t="str">
            <v>FOS 2 DPS-PLATTE, 4-LO, 6 MM, M2, T=1,5</v>
          </cell>
          <cell r="D8670" t="str">
            <v>FOS 2 DPS-PLATE,4-HOLE, 6 MM, M2, T=1.5</v>
          </cell>
        </row>
        <row r="8671">
          <cell r="B8671" t="str">
            <v>26-775-28-71</v>
          </cell>
          <cell r="C8671" t="str">
            <v>FOS 2 DPS-PLATTE, 4-LO, 8 MM, M2, T=1,5</v>
          </cell>
          <cell r="D8671" t="str">
            <v>FOS 2 DPS-PLATE,4-HOLE, 8 MM, M2, T=1.5</v>
          </cell>
        </row>
        <row r="8672">
          <cell r="B8672" t="str">
            <v>26-775-29-71</v>
          </cell>
          <cell r="C8672" t="str">
            <v>FOS 2 DPS-PLATTE, 4-LO, 10 MM,M2,  T=1,5</v>
          </cell>
          <cell r="D8672" t="str">
            <v>FOS 2 DPS-PLATE,4-HOLE, 10 MM, M2,T=1.5</v>
          </cell>
        </row>
        <row r="8673">
          <cell r="B8673" t="str">
            <v>26-776-00-71</v>
          </cell>
          <cell r="C8673" t="str">
            <v>FOS 2 MRP-PLATTE, 9-LO, LI,M3, T=1,5/3,0</v>
          </cell>
          <cell r="D8673" t="str">
            <v>FOS 2 MRP-PLATE, 9-HO, LE, M3, T=1.5/3.0</v>
          </cell>
        </row>
        <row r="8674">
          <cell r="B8674" t="str">
            <v>26-776-01-71</v>
          </cell>
          <cell r="C8674" t="str">
            <v>FOS 2 MRP-PLATTE, 9-LO, RE,M3, T=1,5/3,0</v>
          </cell>
          <cell r="D8674" t="str">
            <v>FOS 2 MRP-PLATE, 9-HO, RI, M3, T=1.5/3.0</v>
          </cell>
        </row>
        <row r="8675">
          <cell r="B8675" t="str">
            <v>26-776-02-71</v>
          </cell>
          <cell r="C8675" t="str">
            <v>FOS 2 CALCANEUS-PL., S,12-LO,LI,M3,T=1,5</v>
          </cell>
          <cell r="D8675" t="str">
            <v>FOS 2 CALCANEUS-PL., S,12-HO/LE,M3,T=1.5</v>
          </cell>
        </row>
        <row r="8676">
          <cell r="B8676" t="str">
            <v>26-776-03-71</v>
          </cell>
          <cell r="C8676" t="str">
            <v>FOS 2 CALCANEUS-PL., S,12-LO,RE,M3,T=1,5</v>
          </cell>
          <cell r="D8676" t="str">
            <v>FOS 2 CALCANEUS-PL., S,12-HO/RI,M3,T=1.5</v>
          </cell>
        </row>
        <row r="8677">
          <cell r="B8677" t="str">
            <v>26-776-04-71</v>
          </cell>
          <cell r="C8677" t="str">
            <v>FOS 2 CALCANEUS-PL., M,12-LO,LI,M3,T=1,5</v>
          </cell>
          <cell r="D8677" t="str">
            <v>FOS 2 CALCANEUS-PL., M,12-HO/LE,M3,T=1.5</v>
          </cell>
        </row>
        <row r="8678">
          <cell r="B8678" t="str">
            <v>26-776-05-71</v>
          </cell>
          <cell r="C8678" t="str">
            <v>FOS 2 CALCANEUS-PL., M,12-LO,RE,M3,T=1,5</v>
          </cell>
          <cell r="D8678" t="str">
            <v>FOS 2 CALCANEUS-PL., M,12-HO/RI,M3,T=1.5</v>
          </cell>
        </row>
        <row r="8679">
          <cell r="B8679" t="str">
            <v>26-776-06-71</v>
          </cell>
          <cell r="C8679" t="str">
            <v>FOS 2 CALCANEUS-PL., L,12-LO,LI,M3,T=1,5</v>
          </cell>
          <cell r="D8679" t="str">
            <v>FOS 2 CALCANEUS-PL., L,12-HO/LE,M3,T=1.5</v>
          </cell>
        </row>
        <row r="8680">
          <cell r="B8680" t="str">
            <v>26-776-07-09</v>
          </cell>
          <cell r="C8680" t="str">
            <v>FOS 2 CALCANEUS-PL., L,12-LO,RE,M3,T=1.5</v>
          </cell>
          <cell r="D8680" t="str">
            <v>FOS 2 CALCANEUS-PL., L,12-HO/RI,M3,T=1.5</v>
          </cell>
        </row>
        <row r="8681">
          <cell r="B8681" t="str">
            <v>26-776-07-71</v>
          </cell>
          <cell r="C8681" t="str">
            <v>FOS 2 CALCANEUS-PL., L,12-LO,RE,M3,T=1,5</v>
          </cell>
          <cell r="D8681" t="str">
            <v>FOS 2 CALCANEUS-PL., L,12-HO/RI,M3,T=1.5</v>
          </cell>
        </row>
        <row r="8682">
          <cell r="B8682" t="str">
            <v>26-792-96-61</v>
          </cell>
          <cell r="C8682" t="str">
            <v>CONTOURDRIVE KANÜLIERTE SCHR 7,5x140, TG</v>
          </cell>
          <cell r="D8682" t="str">
            <v>CONTOURDRIVE CANNULATED SCREW 7.5x140/PT</v>
          </cell>
        </row>
        <row r="8683">
          <cell r="B8683" t="str">
            <v>26-792-96-71</v>
          </cell>
          <cell r="C8683" t="str">
            <v>CONTOURDRIVE KANÜLIERTE SCHR 7,5x140, TG</v>
          </cell>
          <cell r="D8683" t="str">
            <v>CONTOURDRIVE CANNULATED SCREW 7.5x140/PT</v>
          </cell>
        </row>
        <row r="8684">
          <cell r="B8684" t="str">
            <v>26-800-10-09</v>
          </cell>
          <cell r="C8684" t="str">
            <v>HBS 2 MIDI SCHR. SHORT, 10MM, KAN/SB/TI</v>
          </cell>
          <cell r="D8684" t="str">
            <v>HBS 2 MIDI SHORT THREAD,  10MM, CAN/SD/TI</v>
          </cell>
        </row>
        <row r="8685">
          <cell r="B8685" t="str">
            <v>26-800-10-71</v>
          </cell>
          <cell r="C8685" t="str">
            <v>HBS 2 MIDI SHORT, 10MM, KAN/TI/STERIL</v>
          </cell>
          <cell r="D8685" t="str">
            <v>HBS 2 MIDI SHORT, 10MM, CAN/TI/STERILE</v>
          </cell>
        </row>
        <row r="8686">
          <cell r="B8686" t="str">
            <v>26-800-11-09</v>
          </cell>
          <cell r="C8686" t="str">
            <v>HBS 2 MIDI SCHR. SHORT, 11MM, KAN/SB/TI</v>
          </cell>
          <cell r="D8686" t="str">
            <v>HBS 2 MIDI SHORT THREAD,  11MM, CAN/SD/TI</v>
          </cell>
        </row>
        <row r="8687">
          <cell r="B8687" t="str">
            <v>26-800-11-71</v>
          </cell>
          <cell r="C8687" t="str">
            <v>HBS 2 MIDI SHORT, 11MM, KAN/TI/STERIL</v>
          </cell>
          <cell r="D8687" t="str">
            <v>HBS 2 MIDI SHORT, 11MM, CAN/TI/STERILE</v>
          </cell>
        </row>
        <row r="8688">
          <cell r="B8688" t="str">
            <v>26-800-12-09</v>
          </cell>
          <cell r="C8688" t="str">
            <v>HBS 2 MIDI SCHR. SHORT, 12MM, KAN/SB/TI</v>
          </cell>
          <cell r="D8688" t="str">
            <v>HBS 2 MIDI SHORT THREAD,  12MM, CAN/SD/TI</v>
          </cell>
        </row>
        <row r="8689">
          <cell r="B8689" t="str">
            <v>26-800-12-71</v>
          </cell>
          <cell r="C8689" t="str">
            <v>HBS 2 MIDI SHORT, 12MM, KAN/TI/STERIL</v>
          </cell>
          <cell r="D8689" t="str">
            <v>HBS 2 MIDI SHORT, 12MM, CAN/TI/STERILE</v>
          </cell>
        </row>
        <row r="8690">
          <cell r="B8690" t="str">
            <v>26-800-13-09</v>
          </cell>
          <cell r="C8690" t="str">
            <v>HBS 2 MIDI SCHR. SHORT, 13MM, KAN/SB/TI</v>
          </cell>
          <cell r="D8690" t="str">
            <v>HBS 2 MIDI SHORT THREAD,  13MM, CAN/SD/TI</v>
          </cell>
        </row>
        <row r="8691">
          <cell r="B8691" t="str">
            <v>26-800-13-71</v>
          </cell>
          <cell r="C8691" t="str">
            <v>HBS 2 MIDI SHORT, 13MM, KAN/TI/STERIL</v>
          </cell>
          <cell r="D8691" t="str">
            <v>HBS 2 MIDI SHORT, 13MM, CAN/TI/STERILE</v>
          </cell>
        </row>
        <row r="8692">
          <cell r="B8692" t="str">
            <v>26-800-14-09</v>
          </cell>
          <cell r="C8692" t="str">
            <v>HBS 2 MIDI SCHR. SHORT, 14MM, KAN/SB/TI</v>
          </cell>
          <cell r="D8692" t="str">
            <v>HBS 2 MIDI SHORT THREAD,  14MM, CAN/SD/TI</v>
          </cell>
        </row>
        <row r="8693">
          <cell r="B8693" t="str">
            <v>26-800-14-71</v>
          </cell>
          <cell r="C8693" t="str">
            <v>HBS 2 MIDI SHORT, 14MM, KAN/TI/STERIL</v>
          </cell>
          <cell r="D8693" t="str">
            <v>HBS 2 MIDI SHORT, 14MM, CAN/TI/STERILE</v>
          </cell>
        </row>
        <row r="8694">
          <cell r="B8694" t="str">
            <v>26-800-15-09</v>
          </cell>
          <cell r="C8694" t="str">
            <v>HBS 2 MIDI SCHR. SHORT, 15MM, KAN/SB/TI</v>
          </cell>
          <cell r="D8694" t="str">
            <v>HBS 2 MIDI SHORT THREAD,  15MM, CAN/SD/TI</v>
          </cell>
        </row>
        <row r="8695">
          <cell r="B8695" t="str">
            <v>26-800-15-71</v>
          </cell>
          <cell r="C8695" t="str">
            <v>HBS 2 MIDI SHORT, 15MM, KAN/TI/STERIL</v>
          </cell>
          <cell r="D8695" t="str">
            <v>HBS 2 MIDI SHORT, 15MM, CAN/TI/STERILE</v>
          </cell>
        </row>
        <row r="8696">
          <cell r="B8696" t="str">
            <v>26-800-16-09</v>
          </cell>
          <cell r="C8696" t="str">
            <v>HBS 2 MIDI SCHR. SHORT, 16MM, KAN/SB/TI</v>
          </cell>
          <cell r="D8696" t="str">
            <v>HBS 2 MIDI SHORT THREAD,  16MM, CAN/SD/TI</v>
          </cell>
        </row>
        <row r="8697">
          <cell r="B8697" t="str">
            <v>26-800-16-71</v>
          </cell>
          <cell r="C8697" t="str">
            <v>HBS 2 MIDI SHORT, 16MM, KAN/TI/STERIL</v>
          </cell>
          <cell r="D8697" t="str">
            <v>HBS 2 MIDI SHORT, 16MM, CAN/TI/STERILE</v>
          </cell>
        </row>
        <row r="8698">
          <cell r="B8698" t="str">
            <v>26-800-17-09</v>
          </cell>
          <cell r="C8698" t="str">
            <v>HBS 2 MIDI SCHR. SHORT, 17MM, KAN/SB/TI</v>
          </cell>
          <cell r="D8698" t="str">
            <v>HBS 2 MIDI SHORT THREAD,  17MM, CAN/SD/TI</v>
          </cell>
        </row>
        <row r="8699">
          <cell r="B8699" t="str">
            <v>26-800-17-71</v>
          </cell>
          <cell r="C8699" t="str">
            <v>HBS 2 MIDI SHORT, 17MM, KAN/TI/STERIL</v>
          </cell>
          <cell r="D8699" t="str">
            <v>HBS 2 MIDI SHORT, 17MM, CAN/TI/STERILE</v>
          </cell>
        </row>
        <row r="8700">
          <cell r="B8700" t="str">
            <v>26-800-18-09</v>
          </cell>
          <cell r="C8700" t="str">
            <v>HBS 2 MIDI SCHR. SHORT, 18MM, KAN/SB/TI</v>
          </cell>
          <cell r="D8700" t="str">
            <v>HBS 2 MIDI SHORT THREAD,  18MM, CAN/SD/TI</v>
          </cell>
        </row>
        <row r="8701">
          <cell r="B8701" t="str">
            <v>26-800-18-71</v>
          </cell>
          <cell r="C8701" t="str">
            <v>HBS 2 MIDI SHORT, 18MM, KAN/TI/STERIL</v>
          </cell>
          <cell r="D8701" t="str">
            <v>HBS 2 MIDI SHORT, 18MM, CAN/TI/STERILE</v>
          </cell>
        </row>
        <row r="8702">
          <cell r="B8702" t="str">
            <v>26-800-19-09</v>
          </cell>
          <cell r="C8702" t="str">
            <v>HBS 2 MIDI SCHR. SHORT, 19MM, KAN/SB/TI</v>
          </cell>
          <cell r="D8702" t="str">
            <v>HBS 2 MIDI SHORT THREAD,  19MM, CAN/SD/TI</v>
          </cell>
        </row>
        <row r="8703">
          <cell r="B8703" t="str">
            <v>26-800-19-71</v>
          </cell>
          <cell r="C8703" t="str">
            <v>HBS 2 MIDI SHORT, 19MM, KAN/TI/STERIL</v>
          </cell>
          <cell r="D8703" t="str">
            <v>HBS 2 MIDI SHORT, 19MM, CAN/TI/STERILE</v>
          </cell>
        </row>
        <row r="8704">
          <cell r="B8704" t="str">
            <v>26-800-20-09</v>
          </cell>
          <cell r="C8704" t="str">
            <v>HBS 2 MIDI SCHR. SHORT, 20MM, KAN/SB/TI</v>
          </cell>
          <cell r="D8704" t="str">
            <v>HBS 2 MIDI SHORT THREAD,  20MM, CAN/SD/TI</v>
          </cell>
        </row>
        <row r="8705">
          <cell r="B8705" t="str">
            <v>26-800-20-71</v>
          </cell>
          <cell r="C8705" t="str">
            <v>HBS 2 MIDI SHORT, 20MM, KAN/TI/STERIL</v>
          </cell>
          <cell r="D8705" t="str">
            <v>HBS 2 MIDI SHORT, 20MM, CAN/TI/STERILE</v>
          </cell>
        </row>
        <row r="8706">
          <cell r="B8706" t="str">
            <v>26-800-21-09</v>
          </cell>
          <cell r="C8706" t="str">
            <v>HBS 2 MIDI SCHR. SHORT, 21MM, KAN/SB/TI</v>
          </cell>
          <cell r="D8706" t="str">
            <v>HBS 2 MIDI SHORT THREAD,  21MM, CAN/SD/TI</v>
          </cell>
        </row>
        <row r="8707">
          <cell r="B8707" t="str">
            <v>26-800-21-71</v>
          </cell>
          <cell r="C8707" t="str">
            <v>HBS 2 MIDI SHORT, 21MM, KAN/TI/STERIL</v>
          </cell>
          <cell r="D8707" t="str">
            <v>HBS 2 MIDI SHORT, 21MM, CAN/TI/STERILE</v>
          </cell>
        </row>
        <row r="8708">
          <cell r="B8708" t="str">
            <v>26-800-22-09</v>
          </cell>
          <cell r="C8708" t="str">
            <v>HBS 2 MIDI SCHR. SHORT, 22MM, KAN/SB/TI</v>
          </cell>
          <cell r="D8708" t="str">
            <v>HBS 2 MIDI SHORT THREAD,  22MM, CAN/SD/TI</v>
          </cell>
        </row>
        <row r="8709">
          <cell r="B8709" t="str">
            <v>26-800-22-71</v>
          </cell>
          <cell r="C8709" t="str">
            <v>HBS 2 MIDI SHORT, 22MM, KAN/TI/STERIL</v>
          </cell>
          <cell r="D8709" t="str">
            <v>HBS 2 MIDI SHORT, 22MM, CAN/TI/STERILE</v>
          </cell>
        </row>
        <row r="8710">
          <cell r="B8710" t="str">
            <v>26-800-23-09</v>
          </cell>
          <cell r="C8710" t="str">
            <v>HBS 2 MIDI SCHR. SHORT, 23MM, KAN/SB/TI</v>
          </cell>
          <cell r="D8710" t="str">
            <v>HBS 2 MIDI SHORT THREAD,  23MM, CAN/SD/TI</v>
          </cell>
        </row>
        <row r="8711">
          <cell r="B8711" t="str">
            <v>26-800-23-71</v>
          </cell>
          <cell r="C8711" t="str">
            <v>HBS 2 MIDI SHORT, 23MM, KAN/TI/STERIL</v>
          </cell>
          <cell r="D8711" t="str">
            <v>HBS 2 MIDI SHORT, 23MM, CAN/TI/STERILE</v>
          </cell>
        </row>
        <row r="8712">
          <cell r="B8712" t="str">
            <v>26-800-24-09</v>
          </cell>
          <cell r="C8712" t="str">
            <v>HBS 2 MIDI SCHR. SHORT, 24MM, KAN/SB/TI</v>
          </cell>
          <cell r="D8712" t="str">
            <v>HBS 2 MIDI SHORT THREAD,  24MM, CAN/SD/TI</v>
          </cell>
        </row>
        <row r="8713">
          <cell r="B8713" t="str">
            <v>26-800-24-71</v>
          </cell>
          <cell r="C8713" t="str">
            <v>HBS 2 MIDI SHORT, 24MM, KAN/TI/STERIL</v>
          </cell>
          <cell r="D8713" t="str">
            <v>HBS 2 MIDI SHORT, 24MM, CAN/TI/STERILE</v>
          </cell>
        </row>
        <row r="8714">
          <cell r="B8714" t="str">
            <v>26-800-25-09</v>
          </cell>
          <cell r="C8714" t="str">
            <v>HBS 2 MIDI SCHR. SHORT, 25MM, KAN/SB/TI</v>
          </cell>
          <cell r="D8714" t="str">
            <v>HBS 2 MIDI SHORT THREAD,  25MM, CAN/SD/TI</v>
          </cell>
        </row>
        <row r="8715">
          <cell r="B8715" t="str">
            <v>26-800-25-71</v>
          </cell>
          <cell r="C8715" t="str">
            <v>HBS 2 MIDI SHORT, 25MM, KAN/TI/STERIL</v>
          </cell>
          <cell r="D8715" t="str">
            <v>HBS 2 MIDI SHORT, 25MM, CAN/TI/STERILE</v>
          </cell>
        </row>
        <row r="8716">
          <cell r="B8716" t="str">
            <v>26-800-26-09</v>
          </cell>
          <cell r="C8716" t="str">
            <v>HBS 2 MIDI SCHR. SHORT, 26MM, KAN/SB/TI</v>
          </cell>
          <cell r="D8716" t="str">
            <v>HBS 2 MIDI SHORT THREAD,  26MM, CAN/SD/TI</v>
          </cell>
        </row>
        <row r="8717">
          <cell r="B8717" t="str">
            <v>26-800-26-71</v>
          </cell>
          <cell r="C8717" t="str">
            <v>HBS 2 MIDI SHORT, 26MM, KAN/TI/STERIL</v>
          </cell>
          <cell r="D8717" t="str">
            <v>HBS 2 MIDI SHORT, 26MM, CAN/TI/STERILE</v>
          </cell>
        </row>
        <row r="8718">
          <cell r="B8718" t="str">
            <v>26-800-27-09</v>
          </cell>
          <cell r="C8718" t="str">
            <v>HBS 2 MIDI SCHR. SHORT, 27MM, KAN/SB/TI</v>
          </cell>
          <cell r="D8718" t="str">
            <v>HBS 2 MIDI SHORT THREAD,  27MM, CAN/SD/TI</v>
          </cell>
        </row>
        <row r="8719">
          <cell r="B8719" t="str">
            <v>26-800-27-71</v>
          </cell>
          <cell r="C8719" t="str">
            <v>HBS 2 MIDI SHORT, 27MM, KAN/TI/STERIL</v>
          </cell>
          <cell r="D8719" t="str">
            <v>HBS 2 MIDI SHORT, 27MM, CAN/TI/STERILE</v>
          </cell>
        </row>
        <row r="8720">
          <cell r="B8720" t="str">
            <v>26-800-28-09</v>
          </cell>
          <cell r="C8720" t="str">
            <v>HBS 2 MIDI SCHR. SHORT, 28MM, KAN/SB/TI</v>
          </cell>
          <cell r="D8720" t="str">
            <v>HBS 2 MIDI SHORT THREAD,  28MM, CAN/SD/TI</v>
          </cell>
        </row>
        <row r="8721">
          <cell r="B8721" t="str">
            <v>26-800-28-71</v>
          </cell>
          <cell r="C8721" t="str">
            <v>HBS 2 MIDI SHORT, 28MM, KAN/TI/STERIL</v>
          </cell>
          <cell r="D8721" t="str">
            <v>HBS 2 MIDI SHORT, 28MM, CAN/TI/STERILE</v>
          </cell>
        </row>
        <row r="8722">
          <cell r="B8722" t="str">
            <v>26-800-29-09</v>
          </cell>
          <cell r="C8722" t="str">
            <v>HBS 2 MIDI SCHR. SHORT, 29MM, KAN/SB/TI</v>
          </cell>
          <cell r="D8722" t="str">
            <v>HBS 2 MIDI SHORT THREAD,  29MM, CAN/SD/TI</v>
          </cell>
        </row>
        <row r="8723">
          <cell r="B8723" t="str">
            <v>26-800-29-71</v>
          </cell>
          <cell r="C8723" t="str">
            <v>HBS 2 MIDI SHORT, 29MM, KAN/TI/STERIL</v>
          </cell>
          <cell r="D8723" t="str">
            <v>HBS 2 MIDI SHORT, 29MM, CAN/TI/STERILE</v>
          </cell>
        </row>
        <row r="8724">
          <cell r="B8724" t="str">
            <v>26-800-30-09</v>
          </cell>
          <cell r="C8724" t="str">
            <v>HBS 2 MIDI SCHR. SHORT, 30MM, KAN/SB/TI</v>
          </cell>
          <cell r="D8724" t="str">
            <v>HBS 2 MIDI SHORT THREAD,  30MM, CAN/SD/TI</v>
          </cell>
        </row>
        <row r="8725">
          <cell r="B8725" t="str">
            <v>26-800-30-71</v>
          </cell>
          <cell r="C8725" t="str">
            <v>HBS 2 MIDI SHORT, 30MM, KAN/TI/STERIL</v>
          </cell>
          <cell r="D8725" t="str">
            <v>HBS 2 MIDI SHORT, 30MM, CAN/TI/STERILE</v>
          </cell>
        </row>
        <row r="8726">
          <cell r="B8726" t="str">
            <v>26-800-32-71</v>
          </cell>
          <cell r="C8726" t="str">
            <v>HBS 2 MIDI SHORT, 32MM, KAN/TI/STERIL</v>
          </cell>
          <cell r="D8726" t="str">
            <v>HBS 2 MIDI SHORT, 32MM, CAN/TI/STERILE</v>
          </cell>
        </row>
        <row r="8727">
          <cell r="B8727" t="str">
            <v>26-800-34-71</v>
          </cell>
          <cell r="C8727" t="str">
            <v>HBS 2 MIDI SHORT, 34MM, KAN/TI/STERIL</v>
          </cell>
          <cell r="D8727" t="str">
            <v>HBS 2 MIDI SHORT, 34MM, CAN/TI/STERILE</v>
          </cell>
        </row>
        <row r="8728">
          <cell r="B8728" t="str">
            <v>26-800-36-71</v>
          </cell>
          <cell r="C8728" t="str">
            <v>HBS 2 MIDI SHORT, 36MM, KAN/TI/STERIL</v>
          </cell>
          <cell r="D8728" t="str">
            <v>HBS 2 MIDI SHORT, 36MM, CAN/TI/STERILE</v>
          </cell>
        </row>
        <row r="8729">
          <cell r="B8729" t="str">
            <v>26-800-38-71</v>
          </cell>
          <cell r="C8729" t="str">
            <v>HBS 2 MIDI SHORT, 38MM, KAN/TI/STERIL</v>
          </cell>
          <cell r="D8729" t="str">
            <v>HBS 2 MIDI SHORT, 38MM, CAN/TI/STERILE</v>
          </cell>
        </row>
        <row r="8730">
          <cell r="B8730" t="str">
            <v>26-800-40-71</v>
          </cell>
          <cell r="C8730" t="str">
            <v>HBS 2 MIDI SHORT, 40MM, KAN/TI/STERIL</v>
          </cell>
          <cell r="D8730" t="str">
            <v>HBS 2 MIDI SHORT, 40MM, CAN/TI/STERILE</v>
          </cell>
        </row>
        <row r="8731">
          <cell r="B8731" t="str">
            <v>26-810-20-09</v>
          </cell>
          <cell r="C8731" t="str">
            <v>HBS 2 MIDI SCHR. LONG, 20MM, KAN/SB/TI</v>
          </cell>
          <cell r="D8731" t="str">
            <v>HBS 2 MIDI LONG THREAD,  20MM, CAN/SD/TI</v>
          </cell>
        </row>
        <row r="8732">
          <cell r="B8732" t="str">
            <v>26-810-20-71</v>
          </cell>
          <cell r="C8732" t="str">
            <v>HBS 2 MIDI LONG, 20MM, KAN/TI/STERIL</v>
          </cell>
          <cell r="D8732" t="str">
            <v>HBS 2 MIDI LONG, 20MM, CAN/TI/STERILE</v>
          </cell>
        </row>
        <row r="8733">
          <cell r="B8733" t="str">
            <v>26-810-22-09</v>
          </cell>
          <cell r="C8733" t="str">
            <v>HBS 2 MIDI SCHR. LONG, 22MM, KAN/SB/TI</v>
          </cell>
          <cell r="D8733" t="str">
            <v>HBS 2 MIDI LONG THREAD,  22MM, CAN/SD/TI</v>
          </cell>
        </row>
        <row r="8734">
          <cell r="B8734" t="str">
            <v>26-810-22-71</v>
          </cell>
          <cell r="C8734" t="str">
            <v>HBS 2 MIDI LONG, 22MM, KAN/TI/STERIL</v>
          </cell>
          <cell r="D8734" t="str">
            <v>HBS 2 MIDI LONG, 22MM, CAN/TI/STERILE</v>
          </cell>
        </row>
        <row r="8735">
          <cell r="B8735" t="str">
            <v>26-810-24-09</v>
          </cell>
          <cell r="C8735" t="str">
            <v>HBS 2 MIDI SCHR. LONG, 24MM, KAN/SB/TI</v>
          </cell>
          <cell r="D8735" t="str">
            <v>HBS 2 MIDI LONG THREAD,  24MM, CAN/SD/TI</v>
          </cell>
        </row>
        <row r="8736">
          <cell r="B8736" t="str">
            <v>26-810-24-71</v>
          </cell>
          <cell r="C8736" t="str">
            <v>HBS 2 MIDI LONG, 24MM, KAN/TI/STERIL</v>
          </cell>
          <cell r="D8736" t="str">
            <v>HBS 2 MIDI LONG, 24MM, CAN/TI/STERILE</v>
          </cell>
        </row>
        <row r="8737">
          <cell r="B8737" t="str">
            <v>26-810-26-09</v>
          </cell>
          <cell r="C8737" t="str">
            <v>HBS 2 MIDI SCHR. LONG, 26MM, KAN/SB/TI</v>
          </cell>
          <cell r="D8737" t="str">
            <v>HBS 2 MIDI LONG THREAD,  26MM, CAN/SD/TI</v>
          </cell>
        </row>
        <row r="8738">
          <cell r="B8738" t="str">
            <v>26-810-26-71</v>
          </cell>
          <cell r="C8738" t="str">
            <v>HBS 2 MIDI LONG, 26MM, KAN/TI/STERIL</v>
          </cell>
          <cell r="D8738" t="str">
            <v>HBS 2 MIDI LONG, 26MM, CAN/TI/STERILE</v>
          </cell>
        </row>
        <row r="8739">
          <cell r="B8739" t="str">
            <v>26-810-28-09</v>
          </cell>
          <cell r="C8739" t="str">
            <v>HBS 2 MIDI SCHR. LONG, 28MM, KAN/SB/TI</v>
          </cell>
          <cell r="D8739" t="str">
            <v>HBS 2 MIDI LONG THREAD,  28MM, CAN/SD/TI</v>
          </cell>
        </row>
        <row r="8740">
          <cell r="B8740" t="str">
            <v>26-810-28-71</v>
          </cell>
          <cell r="C8740" t="str">
            <v>HBS 2 MIDI LONG, 28MM, KAN/TI/STERIL</v>
          </cell>
          <cell r="D8740" t="str">
            <v>HBS 2 MIDI LONG, 28MM, CAN/TI/STERILE</v>
          </cell>
        </row>
        <row r="8741">
          <cell r="B8741" t="str">
            <v>26-810-30-09</v>
          </cell>
          <cell r="C8741" t="str">
            <v>HBS 2 MIDI SCHR. LONG, 30MM, KAN/SB/TI</v>
          </cell>
          <cell r="D8741" t="str">
            <v>HBS 2 MIDI LONG THREAD,  30MM, CAN/SD/TI</v>
          </cell>
        </row>
        <row r="8742">
          <cell r="B8742" t="str">
            <v>26-810-30-71</v>
          </cell>
          <cell r="C8742" t="str">
            <v>HBS 2 MIDI LONG, 30MM, KAN/TI/STERIL</v>
          </cell>
          <cell r="D8742" t="str">
            <v>HBS 2 MIDI LONG, 30MM, CAN/TI/STERILE</v>
          </cell>
        </row>
        <row r="8743">
          <cell r="B8743" t="str">
            <v>26-810-32-09</v>
          </cell>
          <cell r="C8743" t="str">
            <v>HBS 2 MIDI SCHR. LONG, 32MM, KAN/SB/TI</v>
          </cell>
          <cell r="D8743" t="str">
            <v>HBS 2 MIDI LONG THREAD,  32MM, CAN/SD/TI</v>
          </cell>
        </row>
        <row r="8744">
          <cell r="B8744" t="str">
            <v>26-810-32-71</v>
          </cell>
          <cell r="C8744" t="str">
            <v>HBS 2 MIDI LONG, 32MM, KAN/TI/STERIL</v>
          </cell>
          <cell r="D8744" t="str">
            <v>HBS 2 MIDI LONG, 32MM, CAN/TI/STERILE</v>
          </cell>
        </row>
        <row r="8745">
          <cell r="B8745" t="str">
            <v>26-810-34-09</v>
          </cell>
          <cell r="C8745" t="str">
            <v>HBS 2 MIDI SCHR. LONG, 34MM, KAN/SB/TI</v>
          </cell>
          <cell r="D8745" t="str">
            <v>HBS 2 MIDI LONG THREAD,  34MM, CAN/SD/TI</v>
          </cell>
        </row>
        <row r="8746">
          <cell r="B8746" t="str">
            <v>26-810-34-71</v>
          </cell>
          <cell r="C8746" t="str">
            <v>HBS 2 MIDI LONG, 34MM, KAN/TI/STERIL</v>
          </cell>
          <cell r="D8746" t="str">
            <v>HBS 2 MIDI LONG, 34MM, CAN/TI/STERILE</v>
          </cell>
        </row>
        <row r="8747">
          <cell r="B8747" t="str">
            <v>26-810-36-09</v>
          </cell>
          <cell r="C8747" t="str">
            <v>HBS 2 MIDI SCHR. LONG, 36MM, KAN/SB/TI</v>
          </cell>
          <cell r="D8747" t="str">
            <v>HBS 2 MIDI LONG THREAD,  36MM, CAN/SD/TI</v>
          </cell>
        </row>
        <row r="8748">
          <cell r="B8748" t="str">
            <v>26-810-36-71</v>
          </cell>
          <cell r="C8748" t="str">
            <v>HBS 2 MIDI LONG, 36MM, KAN/TI/STERIL</v>
          </cell>
          <cell r="D8748" t="str">
            <v>HBS 2 MIDI LONG, 36MM, CAN/TI/STERILE</v>
          </cell>
        </row>
        <row r="8749">
          <cell r="B8749" t="str">
            <v>26-810-38-09</v>
          </cell>
          <cell r="C8749" t="str">
            <v>HBS 2 MIDI SCHR. LONG, 38MM, KAN/SB/TI</v>
          </cell>
          <cell r="D8749" t="str">
            <v>HBS 2 MIDI LONG THREAD,  38MM, CAN/SD/TI</v>
          </cell>
        </row>
        <row r="8750">
          <cell r="B8750" t="str">
            <v>26-810-38-71</v>
          </cell>
          <cell r="C8750" t="str">
            <v>HBS 2 MIDI LONG, 38MM, KAN/TI/STERIL</v>
          </cell>
          <cell r="D8750" t="str">
            <v>HBS 2 MIDI LONG, 38MM, CAN/TI/STERILE</v>
          </cell>
        </row>
        <row r="8751">
          <cell r="B8751" t="str">
            <v>26-810-40-09</v>
          </cell>
          <cell r="C8751" t="str">
            <v>HBS 2 MIDI SCHR. LONG, 40MM, KAN/SB/TI</v>
          </cell>
          <cell r="D8751" t="str">
            <v>HBS 2 MIDI LONG THREAD,  40MM, CAN/SD/TI</v>
          </cell>
        </row>
        <row r="8752">
          <cell r="B8752" t="str">
            <v>26-810-40-71</v>
          </cell>
          <cell r="C8752" t="str">
            <v>HBS 2 MIDI LONG, 40MM, KAN/TI/STERIL</v>
          </cell>
          <cell r="D8752" t="str">
            <v>HBS 2 MIDI LONG, 40MM, CAN/TI/STERILE</v>
          </cell>
        </row>
        <row r="8753">
          <cell r="B8753" t="str">
            <v>26-812-10-09</v>
          </cell>
          <cell r="C8753" t="str">
            <v>IXOS P2 SIZER FÜR 26-912-10</v>
          </cell>
          <cell r="D8753" t="str">
            <v>IXOS P2 SIZER FOR 26-912-10</v>
          </cell>
        </row>
        <row r="8754">
          <cell r="B8754" t="str">
            <v>26-812-11-09</v>
          </cell>
          <cell r="C8754" t="str">
            <v>IXOS P2 SIZER FÜR 26-912-11</v>
          </cell>
          <cell r="D8754" t="str">
            <v>IXOS P2 SIZER FOR 26-912-11</v>
          </cell>
        </row>
        <row r="8755">
          <cell r="B8755" t="str">
            <v>26-812-12-09</v>
          </cell>
          <cell r="C8755" t="str">
            <v>IXOS P2 SIZER FÜR 26-912-12</v>
          </cell>
          <cell r="D8755" t="str">
            <v>IXOS P2 SIZER FOR 26-912-12</v>
          </cell>
        </row>
        <row r="8756">
          <cell r="B8756" t="str">
            <v>26-812-13-09</v>
          </cell>
          <cell r="C8756" t="str">
            <v>IXOS P2 SIZER FÜR 26-912-13</v>
          </cell>
          <cell r="D8756" t="str">
            <v>IXOS P2 SIZER FOR 26-912-13</v>
          </cell>
        </row>
        <row r="8757">
          <cell r="B8757" t="str">
            <v>26-812-14-09</v>
          </cell>
          <cell r="C8757" t="str">
            <v>IXOS P2 SIZER FÜR 26-912-14</v>
          </cell>
          <cell r="D8757" t="str">
            <v>IXOS P2 SIZER FOR 26-912-14</v>
          </cell>
        </row>
        <row r="8758">
          <cell r="B8758" t="str">
            <v>26-812-15-09</v>
          </cell>
          <cell r="C8758" t="str">
            <v>IXOS P2 SIZER FÜR 26-912-15</v>
          </cell>
          <cell r="D8758" t="str">
            <v>IXOS P2 SIZER FOR 26-912-15</v>
          </cell>
        </row>
        <row r="8759">
          <cell r="B8759" t="str">
            <v>26-814-10-09</v>
          </cell>
          <cell r="C8759" t="str">
            <v>IXOS P4 SIZER FÜR 26-914-10</v>
          </cell>
          <cell r="D8759" t="str">
            <v>IXOS P4 SIZER FOR 26-914-10</v>
          </cell>
        </row>
        <row r="8760">
          <cell r="B8760" t="str">
            <v>26-814-11-09</v>
          </cell>
          <cell r="C8760" t="str">
            <v>IXOS P4 SIZER FÜR 26-914-11</v>
          </cell>
          <cell r="D8760" t="str">
            <v>IXOS P4 SIZER FOR 26-914-11</v>
          </cell>
        </row>
        <row r="8761">
          <cell r="B8761" t="str">
            <v>26-814-12-09</v>
          </cell>
          <cell r="C8761" t="str">
            <v>IXOS P4 SIZER FÜR 26-914-12</v>
          </cell>
          <cell r="D8761" t="str">
            <v>IXOS P4 SIZER FOR 26-914-12</v>
          </cell>
        </row>
        <row r="8762">
          <cell r="B8762" t="str">
            <v>26-814-13-09</v>
          </cell>
          <cell r="C8762" t="str">
            <v>IXOS P4 SIZER FÜR 26-914-13</v>
          </cell>
          <cell r="D8762" t="str">
            <v>IXOS P4 SIZER FOR 26-914-13</v>
          </cell>
        </row>
        <row r="8763">
          <cell r="B8763" t="str">
            <v>26-814-14-09</v>
          </cell>
          <cell r="C8763" t="str">
            <v>IXOS P4 SIZER FÜR 26-914-14</v>
          </cell>
          <cell r="D8763" t="str">
            <v>IXOS P4 SIZER FOR 26-914-14</v>
          </cell>
        </row>
        <row r="8764">
          <cell r="B8764" t="str">
            <v>26-814-15-09</v>
          </cell>
          <cell r="C8764" t="str">
            <v>IXOS P4 SIZER FÜR 26-914-15</v>
          </cell>
          <cell r="D8764" t="str">
            <v>IXOS P4 SIZER FOR 26-914-15</v>
          </cell>
        </row>
        <row r="8765">
          <cell r="B8765" t="str">
            <v>26-814-20-09</v>
          </cell>
          <cell r="C8765" t="str">
            <v>IXOS P4WAVE  SIZER FÜR 26-914-20</v>
          </cell>
          <cell r="D8765" t="str">
            <v>IXOS P4WAVE  SIZER FOR 26-914-20</v>
          </cell>
        </row>
        <row r="8766">
          <cell r="B8766" t="str">
            <v>26-814-21-09</v>
          </cell>
          <cell r="C8766" t="str">
            <v>IXOS P4WAVE  SIZER FÜR 26-914-21</v>
          </cell>
          <cell r="D8766" t="str">
            <v>IXOS P4WAVE  SIZER FOR 26-914-21</v>
          </cell>
        </row>
        <row r="8767">
          <cell r="B8767" t="str">
            <v>26-814-22-09</v>
          </cell>
          <cell r="C8767" t="str">
            <v>IXOS P4WAVE  SIZER FÜR 26-914-22</v>
          </cell>
          <cell r="D8767" t="str">
            <v>IXOS P4WAVE  SIZER FOR 26-914-22</v>
          </cell>
        </row>
        <row r="8768">
          <cell r="B8768" t="str">
            <v>26-814-23-09</v>
          </cell>
          <cell r="C8768" t="str">
            <v>IXOS P4WAVE  SIZER FÜR 26-914-23</v>
          </cell>
          <cell r="D8768" t="str">
            <v>IXOS P4WAVE  SIZER FOR 26-914-23</v>
          </cell>
        </row>
        <row r="8769">
          <cell r="B8769" t="str">
            <v>26-814-24-09</v>
          </cell>
          <cell r="C8769" t="str">
            <v>IXOS P4WAVE  SIZER FÜR 26-914-24</v>
          </cell>
          <cell r="D8769" t="str">
            <v>IXOS P4WAVE  SIZER FOR 26-914-24</v>
          </cell>
        </row>
        <row r="8770">
          <cell r="B8770" t="str">
            <v>26-814-25-09</v>
          </cell>
          <cell r="C8770" t="str">
            <v>IXOS P4WAVE  SIZER FÜR 26-914-25</v>
          </cell>
          <cell r="D8770" t="str">
            <v>IXOS P4WAVE  SIZER FOR 26-914-25</v>
          </cell>
        </row>
        <row r="8771">
          <cell r="B8771" t="str">
            <v>26-814-26-09</v>
          </cell>
          <cell r="C8771" t="str">
            <v>IXOS P4WAVE  SIZER FÜR 26-914-26</v>
          </cell>
          <cell r="D8771" t="str">
            <v>IXOS P4WAVE  SIZER FOR 26-914-26</v>
          </cell>
        </row>
        <row r="8772">
          <cell r="B8772" t="str">
            <v>26-814-27-09</v>
          </cell>
          <cell r="C8772" t="str">
            <v>IXOS P4WAVE  SIZER FÜR 26-914-27</v>
          </cell>
          <cell r="D8772" t="str">
            <v>IXOS P4WAVE  SIZER FOR 26-914-27</v>
          </cell>
        </row>
        <row r="8773">
          <cell r="B8773" t="str">
            <v>26-814-30-09</v>
          </cell>
          <cell r="C8773" t="str">
            <v>IXOS D4 SIZER FÜR 26-914-30</v>
          </cell>
          <cell r="D8773" t="str">
            <v>IXOS D4 SIZER FOR 26-914-30</v>
          </cell>
        </row>
        <row r="8774">
          <cell r="B8774" t="str">
            <v>26-814-31-09</v>
          </cell>
          <cell r="C8774" t="str">
            <v>IXOS D4 SIZER FÜR 26-914-31</v>
          </cell>
          <cell r="D8774" t="str">
            <v>IXOS D4 SIZER FOR 26-914-31</v>
          </cell>
        </row>
        <row r="8775">
          <cell r="B8775" t="str">
            <v>26-814-33-09</v>
          </cell>
          <cell r="C8775" t="str">
            <v>IXOS D4 SIZER FÜR 26-914-33</v>
          </cell>
          <cell r="D8775" t="str">
            <v>IXOS D4 SIZER FOR 26-914-33</v>
          </cell>
        </row>
        <row r="8776">
          <cell r="B8776" t="str">
            <v>26-814-34-09</v>
          </cell>
          <cell r="C8776" t="str">
            <v>IXOS D4 SIZER FÜR 26-914-34</v>
          </cell>
          <cell r="D8776" t="str">
            <v>IXOS D4 SIZER FOR 26-914-34</v>
          </cell>
        </row>
        <row r="8777">
          <cell r="B8777" t="str">
            <v>26-814-40-09</v>
          </cell>
          <cell r="C8777" t="str">
            <v>IXOS DL4 SIZER FÜR 26-914-40</v>
          </cell>
          <cell r="D8777" t="str">
            <v>IXOS DL4 SIZER FOR 26-914-40</v>
          </cell>
        </row>
        <row r="8778">
          <cell r="B8778" t="str">
            <v>26-814-41-09</v>
          </cell>
          <cell r="C8778" t="str">
            <v>IXOS PU4 SIZER FÜR 26-914-41</v>
          </cell>
          <cell r="D8778" t="str">
            <v>IXOS PU4 SIZER FOR 26-914-41</v>
          </cell>
        </row>
        <row r="8779">
          <cell r="B8779" t="str">
            <v>26-814-42-09</v>
          </cell>
          <cell r="C8779" t="str">
            <v>IXOS DL4 SIZER FÜR 26-914-42</v>
          </cell>
          <cell r="D8779" t="str">
            <v>IXOS DL4 SIZER FOR 26-914-42</v>
          </cell>
        </row>
        <row r="8780">
          <cell r="B8780" t="str">
            <v>26-814-43-09</v>
          </cell>
          <cell r="C8780" t="str">
            <v>IXOS DL4 SIZER FÜR 26-914-43</v>
          </cell>
          <cell r="D8780" t="str">
            <v>IXOS DL4 SIZER FOR 26-914-43</v>
          </cell>
        </row>
        <row r="8781">
          <cell r="B8781" t="str">
            <v>26-820-10-09</v>
          </cell>
          <cell r="C8781" t="str">
            <v>HBS 2 MINI SCHR. SHORT, 10MM, KAN/SB/TI</v>
          </cell>
          <cell r="D8781" t="str">
            <v>HBS 2 MINI SHORT THREAD,  10MM, CAN/SD/TI</v>
          </cell>
        </row>
        <row r="8782">
          <cell r="B8782" t="str">
            <v>26-820-10-71</v>
          </cell>
          <cell r="C8782" t="str">
            <v>HBS 2 MINI SHORT, 10MM, KAN/TI/STERIL</v>
          </cell>
          <cell r="D8782" t="str">
            <v>HBS 2 MINI SHORT, 10MM, CAN/TI/STERILE</v>
          </cell>
        </row>
        <row r="8783">
          <cell r="B8783" t="str">
            <v>26-820-11-09</v>
          </cell>
          <cell r="C8783" t="str">
            <v>HBS 2 MINI SCHR. SHORT, 11MM, KAN/SB/TI</v>
          </cell>
          <cell r="D8783" t="str">
            <v>HBS 2 MINI SHORT THREAD,  11MM, CAN/SD/TI</v>
          </cell>
        </row>
        <row r="8784">
          <cell r="B8784" t="str">
            <v>26-820-11-71</v>
          </cell>
          <cell r="C8784" t="str">
            <v>HBS 2 MINI SHORT, 11MM, KAN/TI/STERIL</v>
          </cell>
          <cell r="D8784" t="str">
            <v>HBS 2 MINI SHORT, 11MM, CAN/TI/STERILE</v>
          </cell>
        </row>
        <row r="8785">
          <cell r="B8785" t="str">
            <v>26-820-12-09</v>
          </cell>
          <cell r="C8785" t="str">
            <v>HBS 2 MINI SCHR. SHORT, 12MM, KAN/SB/TI</v>
          </cell>
          <cell r="D8785" t="str">
            <v>HBS 2 MINI SHORT THREAD,  12MM, CAN/SD/TI</v>
          </cell>
        </row>
        <row r="8786">
          <cell r="B8786" t="str">
            <v>26-820-12-71</v>
          </cell>
          <cell r="C8786" t="str">
            <v>HBS 2 MINI SHORT, 12MM, KAN/TI/STERIL</v>
          </cell>
          <cell r="D8786" t="str">
            <v>HBS 2 MINI SHORT, 12MM, CAN/TI/STERILE</v>
          </cell>
        </row>
        <row r="8787">
          <cell r="B8787" t="str">
            <v>26-820-13-09</v>
          </cell>
          <cell r="C8787" t="str">
            <v>HBS 2 MINI SCHR. SHORT, 13MM, KAN/SB/TI</v>
          </cell>
          <cell r="D8787" t="str">
            <v>HBS 2 MINI SHORT THREAD,  13MM, CAN/SD/TI</v>
          </cell>
        </row>
        <row r="8788">
          <cell r="B8788" t="str">
            <v>26-820-13-71</v>
          </cell>
          <cell r="C8788" t="str">
            <v>HBS 2 MINI SHORT, 13MM, KAN/TI/STERIL</v>
          </cell>
          <cell r="D8788" t="str">
            <v>HBS 2 MINI SHORT, 13MM, CAN/TI/STERILE</v>
          </cell>
        </row>
        <row r="8789">
          <cell r="B8789" t="str">
            <v>26-820-14-09</v>
          </cell>
          <cell r="C8789" t="str">
            <v>HBS 2 MINI SCHR. SHORT, 14MM, KAN/SB/TI</v>
          </cell>
          <cell r="D8789" t="str">
            <v>HBS 2 MINI SHORT THREAD,  14MM, CAN/SD/TI</v>
          </cell>
        </row>
        <row r="8790">
          <cell r="B8790" t="str">
            <v>26-820-14-71</v>
          </cell>
          <cell r="C8790" t="str">
            <v>HBS 2 MINI SHORT, 14MM, KAN/TI/STERIL</v>
          </cell>
          <cell r="D8790" t="str">
            <v>HBS 2 MINI SHORT, 14MM, CAN/TI/STERILE</v>
          </cell>
        </row>
        <row r="8791">
          <cell r="B8791" t="str">
            <v>26-820-15-09</v>
          </cell>
          <cell r="C8791" t="str">
            <v>HBS 2 MINI SCHR. SHORT, 15MM, KAN/SB/TI</v>
          </cell>
          <cell r="D8791" t="str">
            <v>HBS 2 MINI SHORT THREAD,  15MM, CAN/SD/TI</v>
          </cell>
        </row>
        <row r="8792">
          <cell r="B8792" t="str">
            <v>26-820-15-71</v>
          </cell>
          <cell r="C8792" t="str">
            <v>HBS 2 MINI SHORT, 15MM, KAN/TI/STERIL</v>
          </cell>
          <cell r="D8792" t="str">
            <v>HBS 2 MINI SHORT, 15MM, CAN/TI/STERILE</v>
          </cell>
        </row>
        <row r="8793">
          <cell r="B8793" t="str">
            <v>26-820-16-09</v>
          </cell>
          <cell r="C8793" t="str">
            <v>90S 2 MINI SCHR. SHORT, 16MM, KAN/SB/TI</v>
          </cell>
          <cell r="D8793" t="str">
            <v>HBS 2 MINI SHORT THREAD,  16MM, CAN/SD/TI</v>
          </cell>
        </row>
        <row r="8794">
          <cell r="B8794" t="str">
            <v>26-820-16-71</v>
          </cell>
          <cell r="C8794" t="str">
            <v>HBS 2 MINI SHORT, 16MM, KAN/TI/STERIL</v>
          </cell>
          <cell r="D8794" t="str">
            <v>HBS 2 MINI SHORT, 16MM, CAN/TI/STERILE</v>
          </cell>
        </row>
        <row r="8795">
          <cell r="B8795" t="str">
            <v>26-820-17-09</v>
          </cell>
          <cell r="C8795" t="str">
            <v>HBS 2 MINI SCHR. SHORT, 17MM, KAN/SB/TI</v>
          </cell>
          <cell r="D8795" t="str">
            <v>HBS 2 MINI SHORT THREAD,  17MM, CAN/SD/TI</v>
          </cell>
        </row>
        <row r="8796">
          <cell r="B8796" t="str">
            <v>26-820-17-71</v>
          </cell>
          <cell r="C8796" t="str">
            <v>HBS 2 MINI SHORT, 17MM, KAN/TI/STERIL</v>
          </cell>
          <cell r="D8796" t="str">
            <v>HBS 2 MINI SHORT, 17MM, CAN/TI/STERILE</v>
          </cell>
        </row>
        <row r="8797">
          <cell r="B8797" t="str">
            <v>26-820-18-09</v>
          </cell>
          <cell r="C8797" t="str">
            <v>HBS 2 MINI SCHR. SHORT, 18MM, KAN/SB/TI</v>
          </cell>
          <cell r="D8797" t="str">
            <v>HBS 2 MINI SHORT THREAD,  18MM, CAN/SD/TI</v>
          </cell>
        </row>
        <row r="8798">
          <cell r="B8798" t="str">
            <v>26-820-18-71</v>
          </cell>
          <cell r="C8798" t="str">
            <v>HBS 2 MINI SHORT, 18MM, KAN/TI/STERIL</v>
          </cell>
          <cell r="D8798" t="str">
            <v>HBS 2 MINI SHORT, 18MM, CAN/TI/STERILE</v>
          </cell>
        </row>
        <row r="8799">
          <cell r="B8799" t="str">
            <v>26-820-19-09</v>
          </cell>
          <cell r="C8799" t="str">
            <v>HBS 2 MINI SCHR. SHORT, 19MM, KAN/SB/TI</v>
          </cell>
          <cell r="D8799" t="str">
            <v>HBS 2 MINI SHORT THREAD,  19MM, CAN/SD/TI</v>
          </cell>
        </row>
        <row r="8800">
          <cell r="B8800" t="str">
            <v>26-820-19-71</v>
          </cell>
          <cell r="C8800" t="str">
            <v>HBS 2 MINI SHORT, 19MM, KAN/TI/STERIL</v>
          </cell>
          <cell r="D8800" t="str">
            <v>HBS 2 MINI SHORT, 19MM, CAN/TI/STERILE</v>
          </cell>
        </row>
        <row r="8801">
          <cell r="B8801" t="str">
            <v>26-820-20-09</v>
          </cell>
          <cell r="C8801" t="str">
            <v>HBS 2 MINI SCHR. SHORT, 20MM, KAN/SB/TI</v>
          </cell>
          <cell r="D8801" t="str">
            <v>HBS 2 MINI SHORT THREAD,  20MM, CAN/SD/TI</v>
          </cell>
        </row>
        <row r="8802">
          <cell r="B8802" t="str">
            <v>26-820-20-71</v>
          </cell>
          <cell r="C8802" t="str">
            <v>HBS 2 MINI SHORT, 20MM, KAN/TI/STERIL</v>
          </cell>
          <cell r="D8802" t="str">
            <v>HBS 2 MINI SHORT, 20MM, CAN/TI/STERILE</v>
          </cell>
        </row>
        <row r="8803">
          <cell r="B8803" t="str">
            <v>26-820-21-09</v>
          </cell>
          <cell r="C8803" t="str">
            <v>HBS 2 MINI SCHR. SHORT, 21MM, KAN/SB/TI</v>
          </cell>
          <cell r="D8803" t="str">
            <v>HBS 2 MINI SHORT THREAD,  21MM, CAN/SD/TI</v>
          </cell>
        </row>
        <row r="8804">
          <cell r="B8804" t="str">
            <v>26-820-21-71</v>
          </cell>
          <cell r="C8804" t="str">
            <v>HBS 2 MINI SHORT, 21MM, KAN/TI/STERIL</v>
          </cell>
          <cell r="D8804" t="str">
            <v>HBS 2 MINI SHORT, 21MM, CAN/TI/STERILE</v>
          </cell>
        </row>
        <row r="8805">
          <cell r="B8805" t="str">
            <v>26-820-22-09</v>
          </cell>
          <cell r="C8805" t="str">
            <v>HBS 2 MINI SCHR. SHORT, 22MM, KAN/SB/TI</v>
          </cell>
          <cell r="D8805" t="str">
            <v>HBS 2 MINI SHORT THREAD,  22MM, CAN/SD/TI</v>
          </cell>
        </row>
        <row r="8806">
          <cell r="B8806" t="str">
            <v>26-820-22-71</v>
          </cell>
          <cell r="C8806" t="str">
            <v>HBS 2 MINI SHORT, 22MM, KAN/TI/STERIL</v>
          </cell>
          <cell r="D8806" t="str">
            <v>HBS 2 MINI SHORT, 22MM, CAN/TI/STERILE</v>
          </cell>
        </row>
        <row r="8807">
          <cell r="B8807" t="str">
            <v>26-820-23-09</v>
          </cell>
          <cell r="C8807" t="str">
            <v>HBS 2 MINI SCHR. SHORT, 23MM, KAN/SB/TI</v>
          </cell>
          <cell r="D8807" t="str">
            <v>HBS 2 MINI SHORT THREAD,  23MM, CAN/SD/TI</v>
          </cell>
        </row>
        <row r="8808">
          <cell r="B8808" t="str">
            <v>26-820-23-71</v>
          </cell>
          <cell r="C8808" t="str">
            <v>HBS 2 MINI SHORT, 23MM, KAN/TI/STERIL</v>
          </cell>
          <cell r="D8808" t="str">
            <v>HBS 2 MINI SHORT, 23MM, CAN/TI/STERILE</v>
          </cell>
        </row>
        <row r="8809">
          <cell r="B8809" t="str">
            <v>26-820-24-09</v>
          </cell>
          <cell r="C8809" t="str">
            <v>HBS 2 MINI SCHR. SHORT, 24MM, KAN/SB/TI</v>
          </cell>
          <cell r="D8809" t="str">
            <v>HBS 2 MINI SHORT THREAD,  24MM, CAN/SD/TI</v>
          </cell>
        </row>
        <row r="8810">
          <cell r="B8810" t="str">
            <v>26-820-24-71</v>
          </cell>
          <cell r="C8810" t="str">
            <v>HBS 2 MINI SHORT, 24MM, KAN/TI/STERIL</v>
          </cell>
          <cell r="D8810" t="str">
            <v>HBS 2 MINI SHORT, 24MM, CAN/TI/STERILE</v>
          </cell>
        </row>
        <row r="8811">
          <cell r="B8811" t="str">
            <v>26-820-25-09</v>
          </cell>
          <cell r="C8811" t="str">
            <v>HBS 2 MINI SCHR. SHORT, 25MM, KAN/SB/TI</v>
          </cell>
          <cell r="D8811" t="str">
            <v>HBS 2 MINI SHORT THREAD,  25MM, CAN/SD/TI</v>
          </cell>
        </row>
        <row r="8812">
          <cell r="B8812" t="str">
            <v>26-820-25-71</v>
          </cell>
          <cell r="C8812" t="str">
            <v>HBS 2 MINI SHORT, 25MM, KAN/TI/STERIL</v>
          </cell>
          <cell r="D8812" t="str">
            <v>HBS 2 MINI SHORT, 25MM, CAN/TI/STERILE</v>
          </cell>
        </row>
        <row r="8813">
          <cell r="B8813" t="str">
            <v>26-820-26-09</v>
          </cell>
          <cell r="C8813" t="str">
            <v>HBS 2 MINI SCHR. SHORT, 26MM, KAN/SB/TI</v>
          </cell>
          <cell r="D8813" t="str">
            <v>HBS 2 MINI SHORT THREAD,  26MM, CAN/SD/TI</v>
          </cell>
        </row>
        <row r="8814">
          <cell r="B8814" t="str">
            <v>26-820-26-71</v>
          </cell>
          <cell r="C8814" t="str">
            <v>HBS 2 MINI SHORT, 26MM, KAN/TI/STERIL</v>
          </cell>
          <cell r="D8814" t="str">
            <v>HBS 2 MINI SHORT, 26MM, CAN/TI/STERILE</v>
          </cell>
        </row>
        <row r="8815">
          <cell r="B8815" t="str">
            <v>26-820-27-09</v>
          </cell>
          <cell r="C8815" t="str">
            <v>HBS 2 MINI SCHR. SHORT, 27MM, KAN/SB/TI</v>
          </cell>
          <cell r="D8815" t="str">
            <v>HBS 2 MINI SHORT THREAD,  27MM, CAN/SD/TI</v>
          </cell>
        </row>
        <row r="8816">
          <cell r="B8816" t="str">
            <v>26-820-27-71</v>
          </cell>
          <cell r="C8816" t="str">
            <v>HBS 2 MINI SHORT, 27MM, KAN/TI/STERIL</v>
          </cell>
          <cell r="D8816" t="str">
            <v>HBS 2 MINI SHORT, 27MM, CAN/TI/STERILE</v>
          </cell>
        </row>
        <row r="8817">
          <cell r="B8817" t="str">
            <v>26-820-28-09</v>
          </cell>
          <cell r="C8817" t="str">
            <v>HBS 2 MINI SCHR. SHORT, 28MM, KAN/SB/TI</v>
          </cell>
          <cell r="D8817" t="str">
            <v>HBS 2 MINI SHORT THREAD,  28MM, CAN/SD/TI</v>
          </cell>
        </row>
        <row r="8818">
          <cell r="B8818" t="str">
            <v>26-820-28-71</v>
          </cell>
          <cell r="C8818" t="str">
            <v>HBS 2 MINI SHORT, 28MM, KAN/TI/STERIL</v>
          </cell>
          <cell r="D8818" t="str">
            <v>HBS 2 MINI SHORT, 28MM, CAN/TI/STERILE</v>
          </cell>
        </row>
        <row r="8819">
          <cell r="B8819" t="str">
            <v>26-820-29-09</v>
          </cell>
          <cell r="C8819" t="str">
            <v>HBS 2 MINI SCHR. SHORT, 29MM, KAN/SB/TI</v>
          </cell>
          <cell r="D8819" t="str">
            <v>HBS 2 MINI SHORT THREAD,  29MM, CAN/SD/TI</v>
          </cell>
        </row>
        <row r="8820">
          <cell r="B8820" t="str">
            <v>26-820-29-71</v>
          </cell>
          <cell r="C8820" t="str">
            <v>HBS 2 MINI SHORT, 29MM, KAN/TI/STERIL</v>
          </cell>
          <cell r="D8820" t="str">
            <v>HBS 2 MINI SHORT, 29MM, CAN/TI/STERILE</v>
          </cell>
        </row>
        <row r="8821">
          <cell r="B8821" t="str">
            <v>26-820-30-09</v>
          </cell>
          <cell r="C8821" t="str">
            <v>HBS 2 MINI SCHR. SHORT, 30MM, KAN/SB/TI</v>
          </cell>
          <cell r="D8821" t="str">
            <v>HBS 2 MINI SHORT THREAD,  30MM, CAN/SD/TI</v>
          </cell>
        </row>
        <row r="8822">
          <cell r="B8822" t="str">
            <v>26-820-30-71</v>
          </cell>
          <cell r="C8822" t="str">
            <v>HBS 2 MINI SHORT, 30MM, KAN/TI/STERIL</v>
          </cell>
          <cell r="D8822" t="str">
            <v>HBS 2 MINI SHORT, 30MM, CAN/TI/STERILE</v>
          </cell>
        </row>
        <row r="8823">
          <cell r="B8823" t="str">
            <v>26-830-20-09</v>
          </cell>
          <cell r="C8823" t="str">
            <v>HBS 2 MINI SCHR. LONG, 20MM, KAN/SB/TI</v>
          </cell>
          <cell r="D8823" t="str">
            <v>HBS 2 MINI LONG THREAD,  20MM, CAN/SD/TI</v>
          </cell>
        </row>
        <row r="8824">
          <cell r="B8824" t="str">
            <v>26-830-20-71</v>
          </cell>
          <cell r="C8824" t="str">
            <v>HBS 2 MINI LONG, 20MM, KAN/TI/STERIL</v>
          </cell>
          <cell r="D8824" t="str">
            <v>HBS 2 MINI LONG, 20MM, CAN/TI/STERILE</v>
          </cell>
        </row>
        <row r="8825">
          <cell r="B8825" t="str">
            <v>26-830-22-09</v>
          </cell>
          <cell r="C8825" t="str">
            <v>HBS 2 MINI SCHR. LONG, 22MM, KAN/SB/TI</v>
          </cell>
          <cell r="D8825" t="str">
            <v>HBS 2 MINI LONG THREAD,  22MM, CAN/SD/TI</v>
          </cell>
        </row>
        <row r="8826">
          <cell r="B8826" t="str">
            <v>26-830-22-71</v>
          </cell>
          <cell r="C8826" t="str">
            <v>HBS 2 MINI LONG, 22MM, KAN/TI/STERIL</v>
          </cell>
          <cell r="D8826" t="str">
            <v>HBS 2 MINI LONG, 22MM, CAN/TI/STERILE</v>
          </cell>
        </row>
        <row r="8827">
          <cell r="B8827" t="str">
            <v>26-830-24-09</v>
          </cell>
          <cell r="C8827" t="str">
            <v>HBS 2 MINI SCHR. LONG, 24MM, KAN/SB/TI</v>
          </cell>
          <cell r="D8827" t="str">
            <v>HBS 2 MINI LONG THREAD,  24MM, CAN/SD/TI</v>
          </cell>
        </row>
        <row r="8828">
          <cell r="B8828" t="str">
            <v>26-830-24-71</v>
          </cell>
          <cell r="C8828" t="str">
            <v>HBS 2 MINI LONG, 24MM, KAN/TI/STERIL</v>
          </cell>
          <cell r="D8828" t="str">
            <v>HBS 2 MINI LONG, 24MM, CAN/TI/STERILE</v>
          </cell>
        </row>
        <row r="8829">
          <cell r="B8829" t="str">
            <v>26-830-26-09</v>
          </cell>
          <cell r="C8829" t="str">
            <v>HBS 2 MINI SCHR. LONG, 26MM, KAN/SB/TI</v>
          </cell>
          <cell r="D8829" t="str">
            <v>HBS 2 MINI LONG THREAD,  26MM, CAN/SD/TI</v>
          </cell>
        </row>
        <row r="8830">
          <cell r="B8830" t="str">
            <v>26-830-26-71</v>
          </cell>
          <cell r="C8830" t="str">
            <v>HBS 2 MINI LONG, 26MM, KAN/TI/STERIL</v>
          </cell>
          <cell r="D8830" t="str">
            <v>HBS 2 MINI LONG, 26MM, CAN/TI/STERILE</v>
          </cell>
        </row>
        <row r="8831">
          <cell r="B8831" t="str">
            <v>26-830-28-09</v>
          </cell>
          <cell r="C8831" t="str">
            <v>HBS 2 MINI SCHR. LONG, 28MM, KAN/SB/TI</v>
          </cell>
          <cell r="D8831" t="str">
            <v>HBS 2 MINI LONG THREAD,  28MM, CAN/SD/TI</v>
          </cell>
        </row>
        <row r="8832">
          <cell r="B8832" t="str">
            <v>26-830-28-71</v>
          </cell>
          <cell r="C8832" t="str">
            <v>HBS 2 MINI LONG, 28MM, KAN/TI/STERIL</v>
          </cell>
          <cell r="D8832" t="str">
            <v>HBS 2 MINI LONG, 28MM, CAN/TI/STERILE</v>
          </cell>
        </row>
        <row r="8833">
          <cell r="B8833" t="str">
            <v>26-830-30-09</v>
          </cell>
          <cell r="C8833" t="str">
            <v>HBS 2 MINI SCHR. LONG, 30MM, KAN/SB/TI</v>
          </cell>
          <cell r="D8833" t="str">
            <v>HBS 2 MINI LONG THREAD,  30MM, CAN/SD/TI</v>
          </cell>
        </row>
        <row r="8834">
          <cell r="B8834" t="str">
            <v>26-830-30-71</v>
          </cell>
          <cell r="C8834" t="str">
            <v>HBS 2 MINI LONG, 30MM, KAN/TI/STERIL</v>
          </cell>
          <cell r="D8834" t="str">
            <v>HBS 2 MINI LONG, 30MM, CAN/TI/STERILE</v>
          </cell>
        </row>
        <row r="8835">
          <cell r="B8835" t="str">
            <v>26-830-32-09</v>
          </cell>
          <cell r="C8835" t="str">
            <v>HBS 2 MINI SCHR. LONG, 32MM, KAN/SB/TI</v>
          </cell>
          <cell r="D8835" t="str">
            <v>HBS 2 MINI LONG THREAD,  32MM, CAN/SD/TI</v>
          </cell>
        </row>
        <row r="8836">
          <cell r="B8836" t="str">
            <v>26-830-32-71</v>
          </cell>
          <cell r="C8836" t="str">
            <v>HBS 2 MINI LONG, 32MM, KAN/TI/STERIL</v>
          </cell>
          <cell r="D8836" t="str">
            <v>HBS 2 MINI LONG, 32MM, CAN/TI/STERILE</v>
          </cell>
        </row>
        <row r="8837">
          <cell r="B8837" t="str">
            <v>26-830-34-09</v>
          </cell>
          <cell r="C8837" t="str">
            <v>HBS 2 MINI SCHR. LONG, 34MM, KAN/SB/TI</v>
          </cell>
          <cell r="D8837" t="str">
            <v>HBS 2 MINI LONG THREAD,  34MM, CAN/SD/TI</v>
          </cell>
        </row>
        <row r="8838">
          <cell r="B8838" t="str">
            <v>26-830-34-71</v>
          </cell>
          <cell r="C8838" t="str">
            <v>HBS 2 MINI LONG, 34MM, KAN/TI/STERIL</v>
          </cell>
          <cell r="D8838" t="str">
            <v>HBS 2 MINI LONG, 34MM, CAN/TI/STERILE</v>
          </cell>
        </row>
        <row r="8839">
          <cell r="B8839" t="str">
            <v>26-830-36-09</v>
          </cell>
          <cell r="C8839" t="str">
            <v>HBS 2 MINI SCHR. LONG, 36MM, KAN/SB/TI</v>
          </cell>
          <cell r="D8839" t="str">
            <v>HBS 2 MINI LONG THREAD,  36MM, CAN/SD/TI</v>
          </cell>
        </row>
        <row r="8840">
          <cell r="B8840" t="str">
            <v>26-830-36-71</v>
          </cell>
          <cell r="C8840" t="str">
            <v>HBS 2 MINI LONG, 36MM, KAN/TI/STERIL</v>
          </cell>
          <cell r="D8840" t="str">
            <v>HBS 2 MINI LONG, 36MM, CAN/TI/STERILE</v>
          </cell>
        </row>
        <row r="8841">
          <cell r="B8841" t="str">
            <v>26-830-38-09</v>
          </cell>
          <cell r="C8841" t="str">
            <v>HBS 2 MINI SCHR. LONG, 38MM, KAN/SB/TI</v>
          </cell>
          <cell r="D8841" t="str">
            <v>HBS 2 MINI LONG THREAD,  38MM, CAN/SD/TI</v>
          </cell>
        </row>
        <row r="8842">
          <cell r="B8842" t="str">
            <v>26-830-38-71</v>
          </cell>
          <cell r="C8842" t="str">
            <v>HBS 2 MINI LONG, 38MM, KAN/TI/STERIL</v>
          </cell>
          <cell r="D8842" t="str">
            <v>HBS 2 MINI LONG, 38MM, CAN/TI/STERILE</v>
          </cell>
        </row>
        <row r="8843">
          <cell r="B8843" t="str">
            <v>26-830-40-09</v>
          </cell>
          <cell r="C8843" t="str">
            <v>HBS 2 MINI SCHR. LONG, 40MM, KAN/SB/TI</v>
          </cell>
          <cell r="D8843" t="str">
            <v>HBS 2 MINI LONG THREAD,  40MM, CAN/SD/TI</v>
          </cell>
        </row>
        <row r="8844">
          <cell r="B8844" t="str">
            <v>26-830-40-71</v>
          </cell>
          <cell r="C8844" t="str">
            <v>HBS 2 MINI LONG, 40MM, KAN/TI/STERIL</v>
          </cell>
          <cell r="D8844" t="str">
            <v>HBS 2 MINI LONG, 40MM, CAN/TI/STERILE</v>
          </cell>
        </row>
        <row r="8845">
          <cell r="B8845" t="str">
            <v>26-850-00-05</v>
          </cell>
          <cell r="C8845" t="str">
            <v>HBS 2 MIDI FÜHRUNGSDRAHT Ø 1,1MM/125MM</v>
          </cell>
          <cell r="D8845" t="str">
            <v>HBS 2 MIDI GUIDE WIRE ø 1 .1MM/125MM</v>
          </cell>
        </row>
        <row r="8846">
          <cell r="B8846" t="str">
            <v>26-850-01-07</v>
          </cell>
          <cell r="C8846" t="str">
            <v>HBS 2 MIDI GEWEBESCHUTZHUELSE</v>
          </cell>
          <cell r="D8846" t="str">
            <v>HBS 2 MIDI TISSUE PROTECTOR OPEN FIX.</v>
          </cell>
        </row>
        <row r="8847">
          <cell r="B8847" t="str">
            <v>26-850-02-07</v>
          </cell>
          <cell r="C8847" t="str">
            <v>HBS 2 MIDI K-DRAHTFUEHRUNG F. D1,1MM</v>
          </cell>
          <cell r="D8847" t="str">
            <v>HBS 2 MIDI TISSUE PROTECTOR PERCUTAN.</v>
          </cell>
        </row>
        <row r="8848">
          <cell r="B8848" t="str">
            <v>26-850-06-07</v>
          </cell>
          <cell r="C8848" t="str">
            <v>HBS 2 MIDI MESSHUELSE</v>
          </cell>
          <cell r="D8848" t="str">
            <v>HBS 2 MIDI MEASURING SLEEVE</v>
          </cell>
        </row>
        <row r="8849">
          <cell r="B8849" t="str">
            <v>26-850-09-09</v>
          </cell>
          <cell r="C8849" t="str">
            <v>HBS 2 MIDI SPIRALBOHRER D 2,3MM/KAN/ZYL</v>
          </cell>
          <cell r="D8849" t="str">
            <v>HBS 2 MIDI SPIRAL DRILL Ø 2.3MM/CAN/CYL</v>
          </cell>
        </row>
        <row r="8850">
          <cell r="B8850" t="str">
            <v>26-850-10-09</v>
          </cell>
          <cell r="C8850" t="str">
            <v>HBS 2 MIDI BOHRERKLINGE, Ø 2,3MM/KAN/ZYL</v>
          </cell>
          <cell r="D8850" t="str">
            <v>HBS 2 MIDI DRILL BIT, Ø 2,3MM/CAN/CYL</v>
          </cell>
        </row>
        <row r="8851">
          <cell r="B8851" t="str">
            <v>26-850-10-71</v>
          </cell>
          <cell r="C8851" t="str">
            <v>HBS2 MIDI BOHRERKL. Ø2,3MM/KAN/ZYL/STER</v>
          </cell>
          <cell r="D8851" t="str">
            <v>HBS2 MIDI DRILL BIT Ø2,3MM/CAN/CYL/STER</v>
          </cell>
        </row>
        <row r="8852">
          <cell r="B8852" t="str">
            <v>26-850-13-07</v>
          </cell>
          <cell r="C8852" t="str">
            <v>HBS 2 MIDI BOHRDRAHTSPENDER D 1,1MM</v>
          </cell>
          <cell r="D8852" t="str">
            <v>HBS 2 MIDI WIRE DISPENSER  Ø 1.1MM</v>
          </cell>
        </row>
        <row r="8853">
          <cell r="B8853" t="str">
            <v>26-850-17-07</v>
          </cell>
          <cell r="C8853" t="str">
            <v>HBS 2 MIDI SCHRAUBENDREHER T8/KAN</v>
          </cell>
          <cell r="D8853" t="str">
            <v>HBS 2 MIDI SCREWDRIVER T8/CAN</v>
          </cell>
        </row>
        <row r="8854">
          <cell r="B8854" t="str">
            <v>26-850-19-09</v>
          </cell>
          <cell r="C8854" t="str">
            <v>HBS 2 MIDI SPIRALBOHRER D 2,3MM/KAN/AO</v>
          </cell>
          <cell r="D8854" t="str">
            <v>HBS 2 MIDI SPIRAL DRILL Ø 2.3MM/CAN/AO</v>
          </cell>
        </row>
        <row r="8855">
          <cell r="B8855" t="str">
            <v>26-850-20-09</v>
          </cell>
          <cell r="C8855" t="str">
            <v>HBS 2 MIDI BOHRERKLINGE, Ø 2,3MM/KAN/AO</v>
          </cell>
          <cell r="D8855" t="str">
            <v>HBS 2 MIDI DRILL BIT, Ø 2,3MM/CAN/AO</v>
          </cell>
        </row>
        <row r="8856">
          <cell r="B8856" t="str">
            <v>26-850-20-71</v>
          </cell>
          <cell r="C8856" t="str">
            <v>HBS2 MIDI BOHRERKL. Ø2,3MM/KAN/AO/STER</v>
          </cell>
          <cell r="D8856" t="str">
            <v>HBS2 MIDI DRILL BIT Ø 2,3MM/CAN/AO/STER</v>
          </cell>
        </row>
        <row r="8857">
          <cell r="B8857" t="str">
            <v>26-850-22-07</v>
          </cell>
          <cell r="C8857" t="str">
            <v>HBS 2 MIDI SCHLIESSAUFSATZ</v>
          </cell>
          <cell r="D8857" t="str">
            <v>HBS 2 MIDI CLOSING  SLEEVE</v>
          </cell>
        </row>
        <row r="8858">
          <cell r="B8858" t="str">
            <v>26-850-99-05</v>
          </cell>
          <cell r="C8858" t="str">
            <v>HBS 2 MIDI FÜHRUNGSDRAHT Ø 1,1MM/125MM</v>
          </cell>
          <cell r="D8858" t="str">
            <v>HBS 2 MIDI GUIDE WIRE Ø 1.1MM/125MM</v>
          </cell>
        </row>
        <row r="8859">
          <cell r="B8859" t="str">
            <v>26-875-00-05</v>
          </cell>
          <cell r="C8859" t="str">
            <v>HBS 2 MINI FÜHRUNGSDRAHT Ø 0,9MM/125MM</v>
          </cell>
          <cell r="D8859" t="str">
            <v>HBS 2 MINI GUIDE WIRE ø 0.9MM/125MM</v>
          </cell>
        </row>
        <row r="8860">
          <cell r="B8860" t="str">
            <v>26-875-01-07</v>
          </cell>
          <cell r="C8860" t="str">
            <v>HBS 2 MINI GEWEBESCHUTZHUELSE</v>
          </cell>
          <cell r="D8860" t="str">
            <v>HBS 2 MINI TISSUE PROTECTOR OPEN FIX.</v>
          </cell>
        </row>
        <row r="8861">
          <cell r="B8861" t="str">
            <v>26-875-02-07</v>
          </cell>
          <cell r="C8861" t="str">
            <v>HBS 2 MINI K-DRAHTFUEHRUNG F. D0,9MM</v>
          </cell>
          <cell r="D8861" t="str">
            <v>HBS 2 MINI TISSUE PROTECTOR PERCUTAN.</v>
          </cell>
        </row>
        <row r="8862">
          <cell r="B8862" t="str">
            <v>26-875-06-07</v>
          </cell>
          <cell r="C8862" t="str">
            <v>HBS 2 MINI MESSHUELSE</v>
          </cell>
          <cell r="D8862" t="str">
            <v>HBS 2 MINI MEASURING SLEEVE</v>
          </cell>
        </row>
        <row r="8863">
          <cell r="B8863" t="str">
            <v>26-875-09-09</v>
          </cell>
          <cell r="C8863" t="str">
            <v>HBS 2 MINI SPIRALBOHRER Ø  1,9MM/KAN/ZYL</v>
          </cell>
          <cell r="D8863" t="str">
            <v>HBS 2 MINI SPIRAL DRILL Ø 1.9MM/CAN/CYL</v>
          </cell>
        </row>
        <row r="8864">
          <cell r="B8864" t="str">
            <v>26-875-10-09</v>
          </cell>
          <cell r="C8864" t="str">
            <v>HBS 2 MINI BOHRERKLINGE Ø 1,9MM/KAN/ZYL</v>
          </cell>
          <cell r="D8864" t="str">
            <v>HBS 2 MINI DRILL BIT, 1,9 MM/CAN/CYL</v>
          </cell>
        </row>
        <row r="8865">
          <cell r="B8865" t="str">
            <v>26-875-10-71</v>
          </cell>
          <cell r="C8865" t="str">
            <v>HBS2 MINI BOHRERKL.Ø1,9MM/KAN/ZYL/STER</v>
          </cell>
          <cell r="D8865" t="str">
            <v>HBS2 MINI DRILL BIT Ø1,9MM/CAN/CYL/STER</v>
          </cell>
        </row>
        <row r="8866">
          <cell r="B8866" t="str">
            <v>26-875-13-07</v>
          </cell>
          <cell r="C8866" t="str">
            <v>HBS 2 MINI BOHRDRAHTSPENDER D 0,9MM</v>
          </cell>
          <cell r="D8866" t="str">
            <v>HBS 2 MINI WIRE DISPENSER  Ø 0.9MM</v>
          </cell>
        </row>
        <row r="8867">
          <cell r="B8867" t="str">
            <v>26-875-17-07</v>
          </cell>
          <cell r="C8867" t="str">
            <v>HBS 2 MINI SCHRAUBENDREHER T6/KAN</v>
          </cell>
          <cell r="D8867" t="str">
            <v>HBS 2 MINI SCREWDRIVER T6/CAN</v>
          </cell>
        </row>
        <row r="8868">
          <cell r="B8868" t="str">
            <v>26-875-19-09</v>
          </cell>
          <cell r="C8868" t="str">
            <v>HBS 2 MINI SPIRALBOHRER Ø 1,9MM/KAN/AO</v>
          </cell>
          <cell r="D8868" t="str">
            <v>HBS 2 MINI SPIRAL DRILL Ø 1.9MM/CAN/AO</v>
          </cell>
        </row>
        <row r="8869">
          <cell r="B8869" t="str">
            <v>26-875-20-09</v>
          </cell>
          <cell r="C8869" t="str">
            <v>HBS 2 MINI BOHRERKLINGE Ø 1,9MM/KAN/AO</v>
          </cell>
          <cell r="D8869" t="str">
            <v>HBS 2 MINI DRILL BIT, 1,9MM/CAN/AO</v>
          </cell>
        </row>
        <row r="8870">
          <cell r="B8870" t="str">
            <v>26-875-20-71</v>
          </cell>
          <cell r="C8870" t="str">
            <v>HBS2 MINI BOHRERKL.Ø1,9MM/KAN/AO/STER</v>
          </cell>
          <cell r="D8870" t="str">
            <v>HBS2 MINI DRILL BIT Ø1,9MM/CAN/AO/STER</v>
          </cell>
        </row>
        <row r="8871">
          <cell r="B8871" t="str">
            <v>26-875-22-07</v>
          </cell>
          <cell r="C8871" t="str">
            <v>HBS 2 MINI SCHLIESSAUFSATZ</v>
          </cell>
          <cell r="D8871" t="str">
            <v>HBS 2 MINI CLOSING  SLEEVE</v>
          </cell>
        </row>
        <row r="8872">
          <cell r="B8872" t="str">
            <v>26-875-29-71</v>
          </cell>
          <cell r="C8872" t="str">
            <v>HBS2MINI  DIP-BOHRERL26Ø1,9MM/KAN/AO/STER</v>
          </cell>
          <cell r="D8872" t="str">
            <v>HBS2MINI  DIP-DRILL  L26Ø1,9MM/CAN/AO/STER</v>
          </cell>
        </row>
        <row r="8873">
          <cell r="B8873" t="str">
            <v>26-875-30-71</v>
          </cell>
          <cell r="C8873" t="str">
            <v>HBS2MINI  DIP-BOHRERL28Ø1,9MM/KAN/AO/STER</v>
          </cell>
          <cell r="D8873" t="str">
            <v>HBS2MINI  DIP-DRILL  L28Ø1,9MM/CAN/AO/STER</v>
          </cell>
        </row>
        <row r="8874">
          <cell r="B8874" t="str">
            <v>26-875-31-71</v>
          </cell>
          <cell r="C8874" t="str">
            <v>HBS2MINI  DIP-BOHRERL30Ø1,9MM/KAN/AO/STER</v>
          </cell>
          <cell r="D8874" t="str">
            <v>HBS2MINI  DIP-DRILL  L30Ø1,9MM/CAN/AO/STER</v>
          </cell>
        </row>
        <row r="8875">
          <cell r="B8875" t="str">
            <v>26-875-99-05</v>
          </cell>
          <cell r="C8875" t="str">
            <v>HBS 2 MINI FÜHRUNGSDRAHT Ø 0,9MM/125MM</v>
          </cell>
          <cell r="D8875" t="str">
            <v>HBS 2 MINI GUIDE WIRE Ø 0.9MM/125MM</v>
          </cell>
        </row>
        <row r="8876">
          <cell r="B8876" t="str">
            <v>26-905-08-09</v>
          </cell>
          <cell r="C8876" t="str">
            <v>SMART-DRIVE WINKELST.  SCHR. 2,5X8MM,  TI</v>
          </cell>
          <cell r="D8876" t="str">
            <v>smartDrive  Locking Screw 2,5X08mm, TI</v>
          </cell>
        </row>
        <row r="8877">
          <cell r="B8877" t="str">
            <v>26-905-08-71</v>
          </cell>
          <cell r="C8877" t="str">
            <v>SMARTD.  WINKELST.  SCHR. 2,5X08MM,TI/STER</v>
          </cell>
          <cell r="D8877" t="str">
            <v>SMARTD.  LOCKING  SCREW 2.5X08MM,TI/STER</v>
          </cell>
        </row>
        <row r="8878">
          <cell r="B8878" t="str">
            <v>26-905-09-09</v>
          </cell>
          <cell r="C8878" t="str">
            <v>SMART-DRIVE WINKELST.  SCHR. 2,5X9MM,  TI</v>
          </cell>
          <cell r="D8878" t="str">
            <v>smartDrive  Locking Screw 2,5X09mm, TI</v>
          </cell>
        </row>
        <row r="8879">
          <cell r="B8879" t="str">
            <v>26-905-09-71</v>
          </cell>
          <cell r="C8879" t="str">
            <v>SMARTD.  WINKELST.  SCHR. 2,5X09MM,TI/STER</v>
          </cell>
          <cell r="D8879" t="str">
            <v>SMARTD.  LOCKING  SCREW 2.5X09MM,TI/STER</v>
          </cell>
        </row>
        <row r="8880">
          <cell r="B8880" t="str">
            <v>26-905-10-09</v>
          </cell>
          <cell r="C8880" t="str">
            <v>SMART-DRIVE WINKELST.  SCHR. 2,5X10MM, TI</v>
          </cell>
          <cell r="D8880" t="str">
            <v>smartDrive  Locking Screw 2,5X10mm, TI</v>
          </cell>
        </row>
        <row r="8881">
          <cell r="B8881" t="str">
            <v>26-905-10-71</v>
          </cell>
          <cell r="C8881" t="str">
            <v>SMARTD.  WINKELST.  SCHR. 2,5X10MM,TI/STER</v>
          </cell>
          <cell r="D8881" t="str">
            <v>SMARTD.  LOCKING  SCREW 2.5X10MM,TI/STER</v>
          </cell>
        </row>
        <row r="8882">
          <cell r="B8882" t="str">
            <v>26-905-11-09</v>
          </cell>
          <cell r="C8882" t="str">
            <v>SMART-DRIVE WINKELST.  SCHR. 2,5X11MM, TI</v>
          </cell>
          <cell r="D8882" t="str">
            <v>smartDrive  Locking Screw 2,5X11mm, TI</v>
          </cell>
        </row>
        <row r="8883">
          <cell r="B8883" t="str">
            <v>26-905-11-71</v>
          </cell>
          <cell r="C8883" t="str">
            <v>SMARTD.  WINKELST.  SCHR. 2,5X11MM,TI/STER</v>
          </cell>
          <cell r="D8883" t="str">
            <v>SMARTD.  LOCKING  SCREW 2.5X11MM,TI/STER</v>
          </cell>
        </row>
        <row r="8884">
          <cell r="B8884" t="str">
            <v>26-905-12-09</v>
          </cell>
          <cell r="C8884" t="str">
            <v>SMART-DRIVE WINKELST.  SCHR. 2,5X12MM, TI</v>
          </cell>
          <cell r="D8884" t="str">
            <v>smartDrive  Locking Screw 2,5X12mm, TI</v>
          </cell>
        </row>
        <row r="8885">
          <cell r="B8885" t="str">
            <v>26-905-12-71</v>
          </cell>
          <cell r="C8885" t="str">
            <v>SMARTD.  WINKELST.  SCHR. 2,5X12MM,TI/STER</v>
          </cell>
          <cell r="D8885" t="str">
            <v>SMARTD.  LOCKING  SCREW 2.5X12MM,TI/STER</v>
          </cell>
        </row>
        <row r="8886">
          <cell r="B8886" t="str">
            <v>26-905-13-09</v>
          </cell>
          <cell r="C8886" t="str">
            <v>SMART-DRIVE WINKELST.  SCHR. 2,5X13MM, TI</v>
          </cell>
          <cell r="D8886" t="str">
            <v>smartDrive  Locking Screw 2,5X13mm, TI</v>
          </cell>
        </row>
        <row r="8887">
          <cell r="B8887" t="str">
            <v>26-905-13-71</v>
          </cell>
          <cell r="C8887" t="str">
            <v>SMARTD.  WINKELST.  SCHR. 2,5X13MM,TI/STER</v>
          </cell>
          <cell r="D8887" t="str">
            <v>SMARTD.  LOCKING  SCREW 2.5X13MM,TI/STER</v>
          </cell>
        </row>
        <row r="8888">
          <cell r="B8888" t="str">
            <v>26-905-14-09</v>
          </cell>
          <cell r="C8888" t="str">
            <v>SMART-DRIVE WINKELST.  SCHR. 2,5X14MM, TI</v>
          </cell>
          <cell r="D8888" t="str">
            <v>smartDrive  Locking Screw 2,5X14mm, TI</v>
          </cell>
        </row>
        <row r="8889">
          <cell r="B8889" t="str">
            <v>26-905-14-71</v>
          </cell>
          <cell r="C8889" t="str">
            <v>SMARTD.  WINKELST.  SCHR. 2,5X14MM,TI/STER</v>
          </cell>
          <cell r="D8889" t="str">
            <v>SMARTD.  LOCKING  SCREW 2.5X14MM,TI/STER</v>
          </cell>
        </row>
        <row r="8890">
          <cell r="B8890" t="str">
            <v>26-905-15-09</v>
          </cell>
          <cell r="C8890" t="str">
            <v>SMART-DRIVE WINKELST.  SCHR. 2,5X15MM, TI</v>
          </cell>
          <cell r="D8890" t="str">
            <v>smartDrive  Locking Screw 2,5X15mm, TI</v>
          </cell>
        </row>
        <row r="8891">
          <cell r="B8891" t="str">
            <v>26-905-15-71</v>
          </cell>
          <cell r="C8891" t="str">
            <v>SMARTD.  WINKELST.  SCHR. 2,5X15MM,TI/STER</v>
          </cell>
          <cell r="D8891" t="str">
            <v>SMARTD.  LOCKING  SCREW 2.5X15MM,TI/STER</v>
          </cell>
        </row>
        <row r="8892">
          <cell r="B8892" t="str">
            <v>26-905-16-09</v>
          </cell>
          <cell r="C8892" t="str">
            <v>SMART-DRIVE WINKELST.  SCHR. 2,5X16MM, TI</v>
          </cell>
          <cell r="D8892" t="str">
            <v>smartDrive  Locking Screw 2,5X16mm, TI</v>
          </cell>
        </row>
        <row r="8893">
          <cell r="B8893" t="str">
            <v>26-905-16-71</v>
          </cell>
          <cell r="C8893" t="str">
            <v>SMARTD.  WINKELST.  SCHR. 2,5X16MM,TI/STER</v>
          </cell>
          <cell r="D8893" t="str">
            <v>SMARTD.  LOCKING  SCREW 2.5X16MM,TI/STER</v>
          </cell>
        </row>
        <row r="8894">
          <cell r="B8894" t="str">
            <v>26-905-17-09</v>
          </cell>
          <cell r="C8894" t="str">
            <v>SMART-DRIVE WINKELST.  SCHR. 2,5X17MM, TI</v>
          </cell>
          <cell r="D8894" t="str">
            <v>smartDrive  Locking Screw 2,5X17mm, TI</v>
          </cell>
        </row>
        <row r="8895">
          <cell r="B8895" t="str">
            <v>26-905-17-71</v>
          </cell>
          <cell r="C8895" t="str">
            <v>SMARTD.  WINKELST.  SCHR. 2,5X17MM,TI/STER</v>
          </cell>
          <cell r="D8895" t="str">
            <v>SMARTD.  LOCKING  SCREW 2.5X17MM,TI/STER</v>
          </cell>
        </row>
        <row r="8896">
          <cell r="B8896" t="str">
            <v>26-905-18-09</v>
          </cell>
          <cell r="C8896" t="str">
            <v>SMART-DRIVE WINKELST.  SCHR. 2,5X18MM, TI</v>
          </cell>
          <cell r="D8896" t="str">
            <v>smartDrive  Locking Screw 2,5X18mm, TI</v>
          </cell>
        </row>
        <row r="8897">
          <cell r="B8897" t="str">
            <v>26-905-18-71</v>
          </cell>
          <cell r="C8897" t="str">
            <v>SMARTD.  WINKELST.  SCHR. 2,5X18MM,TI/STER</v>
          </cell>
          <cell r="D8897" t="str">
            <v>SMARTD.  LOCKING  SCREW 2.5X18MM,TI/STER</v>
          </cell>
        </row>
        <row r="8898">
          <cell r="B8898" t="str">
            <v>26-905-19-09</v>
          </cell>
          <cell r="C8898" t="str">
            <v>SMART-DRIVE WINKELST.  SCHR. 2,5X19MM, TI</v>
          </cell>
          <cell r="D8898" t="str">
            <v>smartDrive  Locking Screw 2,5X19mm, TI</v>
          </cell>
        </row>
        <row r="8899">
          <cell r="B8899" t="str">
            <v>26-905-19-71</v>
          </cell>
          <cell r="C8899" t="str">
            <v>SMARTD.  WINKELST.  SCHR. 2,5X19MM,TI/STE</v>
          </cell>
          <cell r="D8899" t="str">
            <v>SMARTD.  LOCKING  SCREW 2.5X19MM,TI/STER</v>
          </cell>
        </row>
        <row r="8900">
          <cell r="B8900" t="str">
            <v>26-905-20-09</v>
          </cell>
          <cell r="C8900" t="str">
            <v>SMART-DRIVE WINKELST.  SCHR. 2,5X20MM, TI</v>
          </cell>
          <cell r="D8900" t="str">
            <v>smartDrive  Locking Screw 2,5X20mm, TI</v>
          </cell>
        </row>
        <row r="8901">
          <cell r="B8901" t="str">
            <v>26-905-20-71</v>
          </cell>
          <cell r="C8901" t="str">
            <v>SMARTD.  WINKELST.  SCHR. 2,5X20MM,TI/STER</v>
          </cell>
          <cell r="D8901" t="str">
            <v>SMARTD.  LOCKING  SCREW 2.5X20MM,TI/STER</v>
          </cell>
        </row>
        <row r="8902">
          <cell r="B8902" t="str">
            <v>26-905-22-09</v>
          </cell>
          <cell r="C8902" t="str">
            <v>SMART-DRIVE WINKELST.  SCHR. 2,5X22MM, TI</v>
          </cell>
          <cell r="D8902" t="str">
            <v>smartDrive  Locking Screw 2,5X22mm, TI</v>
          </cell>
        </row>
        <row r="8903">
          <cell r="B8903" t="str">
            <v>26-905-22-71</v>
          </cell>
          <cell r="C8903" t="str">
            <v>SMARTD.  WINKELST.  SCHR. 2,5X22MM,TI/STER</v>
          </cell>
          <cell r="D8903" t="str">
            <v>SMARTD.  LOCKING  SCREW 2.5X22MM,TI/STER</v>
          </cell>
        </row>
        <row r="8904">
          <cell r="B8904" t="str">
            <v>26-905-24-09</v>
          </cell>
          <cell r="C8904" t="str">
            <v>SMART-DRIVE WINKELST.  SCHR. 2,5X24MM, TI</v>
          </cell>
          <cell r="D8904" t="str">
            <v>smartDrive  Locking Screw 2,5X24mm, TI</v>
          </cell>
        </row>
        <row r="8905">
          <cell r="B8905" t="str">
            <v>26-905-24-71</v>
          </cell>
          <cell r="C8905" t="str">
            <v>SMARTD.  WINKELST.  SCHR. 2,5X24MM,TI/STER</v>
          </cell>
          <cell r="D8905" t="str">
            <v>SMARTD.  LOCKING  SCREW 2.5X24MM,TI/STER</v>
          </cell>
        </row>
        <row r="8906">
          <cell r="B8906" t="str">
            <v>26-905-26-09</v>
          </cell>
          <cell r="C8906" t="str">
            <v>SMART-DRIVE WINKELST.  SCHR. 2,5X26MM, TI</v>
          </cell>
          <cell r="D8906" t="str">
            <v>smartDrive  Locking Screw 2,5X26mm, TI</v>
          </cell>
        </row>
        <row r="8907">
          <cell r="B8907" t="str">
            <v>26-905-26-71</v>
          </cell>
          <cell r="C8907" t="str">
            <v>SMARTD.  WINKELST.  SCHR. 2,5X26MM,TI/STER</v>
          </cell>
          <cell r="D8907" t="str">
            <v>SMARTD.  LOCKING  SCREW 2.5X26MM,TI/STER</v>
          </cell>
        </row>
        <row r="8908">
          <cell r="B8908" t="str">
            <v>26-905-28-09</v>
          </cell>
          <cell r="C8908" t="str">
            <v>SMART-DRIVE WINKELST.  SCHR. 2,5X28MM, TI</v>
          </cell>
          <cell r="D8908" t="str">
            <v>smartDrive  Locking Screw 2,5X28mm, TI</v>
          </cell>
        </row>
        <row r="8909">
          <cell r="B8909" t="str">
            <v>26-905-28-71</v>
          </cell>
          <cell r="C8909" t="str">
            <v>SMARTD.  WINKELST.  SCHR. 2,5X28MM,TI/STER</v>
          </cell>
          <cell r="D8909" t="str">
            <v>SMARTD.  LOCKING  SCREW 2.5X28MM,TI/STER</v>
          </cell>
        </row>
        <row r="8910">
          <cell r="B8910" t="str">
            <v>26-905-30-09</v>
          </cell>
          <cell r="C8910" t="str">
            <v>SMART-DRIVE WINKELST.  SCHR. 2,5X30MM, TI</v>
          </cell>
          <cell r="D8910" t="str">
            <v>smartDrive  Locking Screw 2,5X30mm, TI</v>
          </cell>
        </row>
        <row r="8911">
          <cell r="B8911" t="str">
            <v>26-905-30-71</v>
          </cell>
          <cell r="C8911" t="str">
            <v>SMARTD.  WINKELST.  SCHR. 2,5X30MM,TI/STER</v>
          </cell>
          <cell r="D8911" t="str">
            <v>SMARTD.  LOCKING  SCREW 2.5X30MM,TI/STER</v>
          </cell>
        </row>
        <row r="8912">
          <cell r="B8912" t="str">
            <v>26-906-08-09</v>
          </cell>
          <cell r="C8912" t="str">
            <v>SMART-DRIVE STANDARD  SCHR. 2,5X08MM, TI</v>
          </cell>
          <cell r="D8912" t="str">
            <v>smartDrive  Stand. Screw 2,5X08mm, TI</v>
          </cell>
        </row>
        <row r="8913">
          <cell r="B8913" t="str">
            <v>26-906-08-71</v>
          </cell>
          <cell r="C8913" t="str">
            <v>SMARTD.  STANDARD  SCHR. 2,5X08MM, TI/STER</v>
          </cell>
          <cell r="D8913" t="str">
            <v>SMARTD.  STANDARD  SCREW 2.5X08MM, TI/STER</v>
          </cell>
        </row>
        <row r="8914">
          <cell r="B8914" t="str">
            <v>26-906-09-09</v>
          </cell>
          <cell r="C8914" t="str">
            <v>SMART-DRIVE STANDARD  SCHR. 2,5X09MM, TI</v>
          </cell>
          <cell r="D8914" t="str">
            <v>smartDrive  Stand. Screw 2,5X09mm, TI</v>
          </cell>
        </row>
        <row r="8915">
          <cell r="B8915" t="str">
            <v>26-906-09-71</v>
          </cell>
          <cell r="C8915" t="str">
            <v>SMARTD.  STANDARD  SCHR. 2,5X09MM, TI/STER</v>
          </cell>
          <cell r="D8915" t="str">
            <v>SMARTD.  STANDARD  SCREW 2.5X09MM, TI/STER</v>
          </cell>
        </row>
        <row r="8916">
          <cell r="B8916" t="str">
            <v>26-906-10-09</v>
          </cell>
          <cell r="C8916" t="str">
            <v>SMART-DRIVE STANDARD  SCHR. 2,5X10MM, TI</v>
          </cell>
          <cell r="D8916" t="str">
            <v>smartDrive  Stand. Screw 2,5X10mm, TI</v>
          </cell>
        </row>
        <row r="8917">
          <cell r="B8917" t="str">
            <v>26-906-10-71</v>
          </cell>
          <cell r="C8917" t="str">
            <v>SMARTD.  STANDARD  SCHR. 2,5X10MM, TI/STER</v>
          </cell>
          <cell r="D8917" t="str">
            <v>SMARTD.  STANDARD  SCREW 2.5X10MM, TI/STER</v>
          </cell>
        </row>
        <row r="8918">
          <cell r="B8918" t="str">
            <v>26-906-11-09</v>
          </cell>
          <cell r="C8918" t="str">
            <v>SMART-DRIVE STANDARD  SCHR. 2,5X11MM, TI</v>
          </cell>
          <cell r="D8918" t="str">
            <v>smartDrive  Stand. Screw 2,5X11mm, TI</v>
          </cell>
        </row>
        <row r="8919">
          <cell r="B8919" t="str">
            <v>26-906-11-71</v>
          </cell>
          <cell r="C8919" t="str">
            <v>SMARTD.  STANDARD  SCHR. 2,5X11MM, TI/STER</v>
          </cell>
          <cell r="D8919" t="str">
            <v>SMARTD.  STANDARD  SCREW 2.5X11MM, TI/STER</v>
          </cell>
        </row>
        <row r="8920">
          <cell r="B8920" t="str">
            <v>26-906-12-09</v>
          </cell>
          <cell r="C8920" t="str">
            <v>SMART-DRIVE STANDARD  SCHR. 2,5X12MM, TI</v>
          </cell>
          <cell r="D8920" t="str">
            <v>smartDrive  Stand. Screw 2,5X12mm, TI</v>
          </cell>
        </row>
        <row r="8921">
          <cell r="B8921" t="str">
            <v>26-906-12-71</v>
          </cell>
          <cell r="C8921" t="str">
            <v>SMARTD.  STANDARD  SCHR. 2,5X12MM, TI/STER</v>
          </cell>
          <cell r="D8921" t="str">
            <v>SMARTD.  STANDARD  SCREW 2.5X12MM, TI/STER</v>
          </cell>
        </row>
        <row r="8922">
          <cell r="B8922" t="str">
            <v>26-906-13-09</v>
          </cell>
          <cell r="C8922" t="str">
            <v>SMART-DRIVE STANDARD  SCHR. 2,5X13MM, TI</v>
          </cell>
          <cell r="D8922" t="str">
            <v>smartDrive  Stand. Screw 2,5X13mm, TI</v>
          </cell>
        </row>
        <row r="8923">
          <cell r="B8923" t="str">
            <v>26-906-13-71</v>
          </cell>
          <cell r="C8923" t="str">
            <v>SMARTD.  STANDARD  SCHR. 2,5X13MM, TI/STER</v>
          </cell>
          <cell r="D8923" t="str">
            <v>SMARTD.  STANDARD  SCREW 2.5X13MM, TI/STER</v>
          </cell>
        </row>
        <row r="8924">
          <cell r="B8924" t="str">
            <v>26-906-14-09</v>
          </cell>
          <cell r="C8924" t="str">
            <v>SMART-DRIVE STANDARD  SCHR. 2,5X14MM, TI</v>
          </cell>
          <cell r="D8924" t="str">
            <v>smartDrive  Stand. Screw 2,5X14mm, TI</v>
          </cell>
        </row>
        <row r="8925">
          <cell r="B8925" t="str">
            <v>26-906-14-71</v>
          </cell>
          <cell r="C8925" t="str">
            <v>SMARTD.  STANDARD  SCHR. 2,5X14MM, TI/STER</v>
          </cell>
          <cell r="D8925" t="str">
            <v>SMARTD.  STANDARD  SCREW 2.5X14MM, TI/STER</v>
          </cell>
        </row>
        <row r="8926">
          <cell r="B8926" t="str">
            <v>26-906-15-09</v>
          </cell>
          <cell r="C8926" t="str">
            <v>SMART-DRIVE STANDARD  SCHR. 2,5X15MM, TI</v>
          </cell>
          <cell r="D8926" t="str">
            <v>smartDrive  Stand. Screw 2,5X15mm, TI</v>
          </cell>
        </row>
        <row r="8927">
          <cell r="B8927" t="str">
            <v>26-906-15-71</v>
          </cell>
          <cell r="C8927" t="str">
            <v>SMARTD.  STANDARD  SCHR. 2,5X15MM, TI/STER</v>
          </cell>
          <cell r="D8927" t="str">
            <v>SMARTD.  STANDARD  SCREW 2.5X15MM, TI/STER</v>
          </cell>
        </row>
        <row r="8928">
          <cell r="B8928" t="str">
            <v>26-906-16-09</v>
          </cell>
          <cell r="C8928" t="str">
            <v>SMART-DRIVE STANDARD  SCHR. 2,5X16MM, TI</v>
          </cell>
          <cell r="D8928" t="str">
            <v>smartDrive  Stand. Screw 2,5X16mm, TI</v>
          </cell>
        </row>
        <row r="8929">
          <cell r="B8929" t="str">
            <v>26-906-16-71</v>
          </cell>
          <cell r="C8929" t="str">
            <v>SMARTD.  STANDARD  SCHR. 2,5X16MM, TI/STER</v>
          </cell>
          <cell r="D8929" t="str">
            <v>SMARTD.  STANDARD  SCREW 2.5X16MM, TI/STER</v>
          </cell>
        </row>
        <row r="8930">
          <cell r="B8930" t="str">
            <v>26-906-17-09</v>
          </cell>
          <cell r="C8930" t="str">
            <v>SMART-DRIVE STANDARD  SCHR. 2,5X17MM, TI</v>
          </cell>
          <cell r="D8930" t="str">
            <v>smartDrive  Stand. Screw 2,5X17mm, TI</v>
          </cell>
        </row>
        <row r="8931">
          <cell r="B8931" t="str">
            <v>26-906-17-71</v>
          </cell>
          <cell r="C8931" t="str">
            <v>SMARTD.  STANDARD  SCHR. 2,5X17MM, TI/STER</v>
          </cell>
          <cell r="D8931" t="str">
            <v>SMARTD.  STANDARD  SCREW 2.5X17MM, TI/STER</v>
          </cell>
        </row>
        <row r="8932">
          <cell r="B8932" t="str">
            <v>26-906-18-09</v>
          </cell>
          <cell r="C8932" t="str">
            <v>SMART-DRIVE STANDARD  SCHR. 2,5X18MM, TI</v>
          </cell>
          <cell r="D8932" t="str">
            <v>smartDrive  Stand. Screw 2,5X18mm, TI</v>
          </cell>
        </row>
        <row r="8933">
          <cell r="B8933" t="str">
            <v>26-906-18-71</v>
          </cell>
          <cell r="C8933" t="str">
            <v>SMARTD.  STANDARD  SCHR. 2,5X18MM, TI/STER</v>
          </cell>
          <cell r="D8933" t="str">
            <v>SMARTD.  STANDARD  SCREW 2.5X18MM, TI/STER</v>
          </cell>
        </row>
        <row r="8934">
          <cell r="B8934" t="str">
            <v>26-906-19-09</v>
          </cell>
          <cell r="C8934" t="str">
            <v>SMART-DRIVE STANDARD  SCHR. 2,5X19MM, TI</v>
          </cell>
          <cell r="D8934" t="str">
            <v>smartDrive  Stand. Screw 2,5X19mm, TI</v>
          </cell>
        </row>
        <row r="8935">
          <cell r="B8935" t="str">
            <v>26-906-19-71</v>
          </cell>
          <cell r="C8935" t="str">
            <v>SMARTD.  STANDARD  SCHR. 2,5X19MM, TI/STER</v>
          </cell>
          <cell r="D8935" t="str">
            <v>SMARTD.  STANDARD  SCREW 2.5X19MM, TI/STER</v>
          </cell>
        </row>
        <row r="8936">
          <cell r="B8936" t="str">
            <v>26-906-20-09</v>
          </cell>
          <cell r="C8936" t="str">
            <v>SMART-DRIVE STANDARD  SCHR. 2,5X20MM, TI</v>
          </cell>
          <cell r="D8936" t="str">
            <v>smartDrive  Stand. Screw 2,5X20mm, TI</v>
          </cell>
        </row>
        <row r="8937">
          <cell r="B8937" t="str">
            <v>26-906-20-71</v>
          </cell>
          <cell r="C8937" t="str">
            <v>SMARTD.  STANDARD  SCHR. 2,5X20MM, TI/STER</v>
          </cell>
          <cell r="D8937" t="str">
            <v>SMARTD.  STANDARD  SCREW 2.5X20MM, TI/STER</v>
          </cell>
        </row>
        <row r="8938">
          <cell r="B8938" t="str">
            <v>26-906-22-09</v>
          </cell>
          <cell r="C8938" t="str">
            <v>SMART-DRIVE STANDARD  SCHR. 2,5X22MM, TI</v>
          </cell>
          <cell r="D8938" t="str">
            <v>smartDrive  Stand. Screw 2,5X22mm, TI</v>
          </cell>
        </row>
        <row r="8939">
          <cell r="B8939" t="str">
            <v>26-906-22-71</v>
          </cell>
          <cell r="C8939" t="str">
            <v>SMARTD.  STANDARD  SCHR. 2,5X22MM, TI/STER</v>
          </cell>
          <cell r="D8939" t="str">
            <v>SMARTD.  STANDARD  SCREW 2.5X22MM, TI/STER</v>
          </cell>
        </row>
        <row r="8940">
          <cell r="B8940" t="str">
            <v>26-906-24-09</v>
          </cell>
          <cell r="C8940" t="str">
            <v>SMART-DRIVE STANDARD  SCHR. 2,5X24MM, TI</v>
          </cell>
          <cell r="D8940" t="str">
            <v>smartDrive  Stand. Screw 2,5X24mm, TI</v>
          </cell>
        </row>
        <row r="8941">
          <cell r="B8941" t="str">
            <v>26-906-24-71</v>
          </cell>
          <cell r="C8941" t="str">
            <v>SMARTD.  STANDARD  SCHR. 2,5X24MM, TI/STER</v>
          </cell>
          <cell r="D8941" t="str">
            <v>SMARTD.  STANDARD  SCREW 2.5X24MM, TI/STER</v>
          </cell>
        </row>
        <row r="8942">
          <cell r="B8942" t="str">
            <v>26-906-26-09</v>
          </cell>
          <cell r="C8942" t="str">
            <v>SMART-DRIVE STANDARD  SCHR. 2,5X26MM, TI</v>
          </cell>
          <cell r="D8942" t="str">
            <v>smartDrive  Stand. Screw 2,5X26mm, TI</v>
          </cell>
        </row>
        <row r="8943">
          <cell r="B8943" t="str">
            <v>26-906-26-71</v>
          </cell>
          <cell r="C8943" t="str">
            <v>SMARTD.  STANDARD  SCHR. 2,5X26MM, TI/STER</v>
          </cell>
          <cell r="D8943" t="str">
            <v>SMARTD.  STANDARD  SCREW 2.5X26MM, TI/STER</v>
          </cell>
        </row>
        <row r="8944">
          <cell r="B8944" t="str">
            <v>26-906-28-09</v>
          </cell>
          <cell r="C8944" t="str">
            <v>SMART-DRIVE STANDARD  SCHR. 2,5X28MM, TI</v>
          </cell>
          <cell r="D8944" t="str">
            <v>smartDrive  Stand. Screw 2,5X28mm, TI</v>
          </cell>
        </row>
        <row r="8945">
          <cell r="B8945" t="str">
            <v>26-906-28-71</v>
          </cell>
          <cell r="C8945" t="str">
            <v>SMARTD.  STANDARD  SCHR. 2,5X28MM, TI/STER</v>
          </cell>
          <cell r="D8945" t="str">
            <v>SMARTD.  STANDARD  SCREW 2.5X28MM, TI/STER</v>
          </cell>
        </row>
        <row r="8946">
          <cell r="B8946" t="str">
            <v>26-906-30-09</v>
          </cell>
          <cell r="C8946" t="str">
            <v>SMART-DRIVE STANDARD  SCHR. 2,5X30MM, TI</v>
          </cell>
          <cell r="D8946" t="str">
            <v>smartDrive  Stand. Screw 2,5X30mm, TI</v>
          </cell>
        </row>
        <row r="8947">
          <cell r="B8947" t="str">
            <v>26-906-30-71</v>
          </cell>
          <cell r="C8947" t="str">
            <v>SMARTD.  STANDARD  SCHR. 2,5X30MM, TI/STER</v>
          </cell>
          <cell r="D8947" t="str">
            <v>SMARTD.  STANDARD  SCREW 2.5X30MM, TI/STER</v>
          </cell>
        </row>
        <row r="8948">
          <cell r="B8948" t="str">
            <v>26-907-14-09</v>
          </cell>
          <cell r="C8948" t="str">
            <v>smartDrive  winkelst.  Pin 2,0x14 mm, Ti</v>
          </cell>
          <cell r="D8948" t="str">
            <v>smartDrive  Locking Pin 2,0X14mm, TI</v>
          </cell>
        </row>
        <row r="8949">
          <cell r="B8949" t="str">
            <v>26-907-14-71</v>
          </cell>
          <cell r="C8949" t="str">
            <v>SMARTD.  WINKELST.  PIN 2,0X14MM, TI/STER</v>
          </cell>
          <cell r="D8949" t="str">
            <v>SMARTD.  LOCKING  PIN 2.0X14MM, TI/STER</v>
          </cell>
        </row>
        <row r="8950">
          <cell r="B8950" t="str">
            <v>26-907-15-09</v>
          </cell>
          <cell r="C8950" t="str">
            <v>smartDrive  winkelst.  Pin 2,0x15 mm, Ti</v>
          </cell>
          <cell r="D8950" t="str">
            <v>smartDrive  Locking Pin 2,0X15mm, TI</v>
          </cell>
        </row>
        <row r="8951">
          <cell r="B8951" t="str">
            <v>26-907-15-71</v>
          </cell>
          <cell r="C8951" t="str">
            <v>SMARTD.  WINKELST.  PIN 2,0X15MM, TI/STER</v>
          </cell>
          <cell r="D8951" t="str">
            <v>SMARTD.  LOCKING  PIN 2.0X15MM, TI/STER</v>
          </cell>
        </row>
        <row r="8952">
          <cell r="B8952" t="str">
            <v>26-907-16-09</v>
          </cell>
          <cell r="C8952" t="str">
            <v>smartDrive  winkelst.  Pin 2,0x16 mm, Ti</v>
          </cell>
          <cell r="D8952" t="str">
            <v>smartDrive  Locking Pin 2,0X16mm, TI</v>
          </cell>
        </row>
        <row r="8953">
          <cell r="B8953" t="str">
            <v>26-907-16-71</v>
          </cell>
          <cell r="C8953" t="str">
            <v>SMARTD.  WINKELST.  PIN 2,0X16MM, TI/STER</v>
          </cell>
          <cell r="D8953" t="str">
            <v>SMARTD.  LOCKING  PIN 2.0X16MM, TI/STER</v>
          </cell>
        </row>
        <row r="8954">
          <cell r="B8954" t="str">
            <v>26-907-17-09</v>
          </cell>
          <cell r="C8954" t="str">
            <v>smartDrive  winkelst.  Pin 2,0x17 mm, Ti</v>
          </cell>
          <cell r="D8954" t="str">
            <v>smartDrive  Locking Pin 2,0X17mm, TI</v>
          </cell>
        </row>
        <row r="8955">
          <cell r="B8955" t="str">
            <v>26-907-17-71</v>
          </cell>
          <cell r="C8955" t="str">
            <v>SMARTD.  WINKELST.  PIN 2,0X17MM, TI/STER</v>
          </cell>
          <cell r="D8955" t="str">
            <v>SMARTD.  LOCKING  PIN 2.0X17MM, TI/STER</v>
          </cell>
        </row>
        <row r="8956">
          <cell r="B8956" t="str">
            <v>26-907-18-09</v>
          </cell>
          <cell r="C8956" t="str">
            <v>smartDrive  winkelst.  Pin 2,0x18 mm, Ti</v>
          </cell>
          <cell r="D8956" t="str">
            <v>smartDrive  Locking Pin 2,0X18mm, TI</v>
          </cell>
        </row>
        <row r="8957">
          <cell r="B8957" t="str">
            <v>26-907-18-71</v>
          </cell>
          <cell r="C8957" t="str">
            <v>SMARTD.  WINKELST.  PIN 2,0X18MM, TI/STER</v>
          </cell>
          <cell r="D8957" t="str">
            <v>SMARTD.  LOCKING  PIN 2.0X18MM, TI/STER</v>
          </cell>
        </row>
        <row r="8958">
          <cell r="B8958" t="str">
            <v>26-907-19-09</v>
          </cell>
          <cell r="C8958" t="str">
            <v>smartDrive  winkelst.  Pin 2,0x19 mm, Ti</v>
          </cell>
          <cell r="D8958" t="str">
            <v>smartDrive  Locking Pin 2,0X19mm, TI</v>
          </cell>
        </row>
        <row r="8959">
          <cell r="B8959" t="str">
            <v>26-907-19-71</v>
          </cell>
          <cell r="C8959" t="str">
            <v>SMARTD.  WINKELST.  PIN 2,0X19MM, TI/STER</v>
          </cell>
          <cell r="D8959" t="str">
            <v>SMARTD.  LOCKING  PIN 2.0X19MM, TI/STER</v>
          </cell>
        </row>
        <row r="8960">
          <cell r="B8960" t="str">
            <v>26-907-20-09</v>
          </cell>
          <cell r="C8960" t="str">
            <v>smartDrive  winkelst.  Pin 2,0x20 mm, Ti</v>
          </cell>
          <cell r="D8960" t="str">
            <v>smartDrive  Locking Pin 2,0X20mm, TI</v>
          </cell>
        </row>
        <row r="8961">
          <cell r="B8961" t="str">
            <v>26-907-20-71</v>
          </cell>
          <cell r="C8961" t="str">
            <v>SMARTD.  WINKELST.  PIN 2,0X20MM, TI/STER</v>
          </cell>
          <cell r="D8961" t="str">
            <v>SMARTD.  LOCKING  PIN 2.0X20MM, TI/STER</v>
          </cell>
        </row>
        <row r="8962">
          <cell r="B8962" t="str">
            <v>26-907-22-09</v>
          </cell>
          <cell r="C8962" t="str">
            <v>smartDrive  winkelst.  Pin 2,0x22 mm, Ti</v>
          </cell>
          <cell r="D8962" t="str">
            <v>smartDrive  Locking Pin 2,0X22mm, TI</v>
          </cell>
        </row>
        <row r="8963">
          <cell r="B8963" t="str">
            <v>26-907-22-71</v>
          </cell>
          <cell r="C8963" t="str">
            <v>SMARTD.  WINKELST.  PIN 2,0X22MM, TI/STER</v>
          </cell>
          <cell r="D8963" t="str">
            <v>SMARTD.  LOCKING  PIN 2.0X22MM, TI/STER</v>
          </cell>
        </row>
        <row r="8964">
          <cell r="B8964" t="str">
            <v>26-907-24-09</v>
          </cell>
          <cell r="C8964" t="str">
            <v>smartDrive  winkelst.  Pin 2,0x24 mm, Ti</v>
          </cell>
          <cell r="D8964" t="str">
            <v>smartDrive  Locking Pin 2,0X24mm, TI</v>
          </cell>
        </row>
        <row r="8965">
          <cell r="B8965" t="str">
            <v>26-907-24-71</v>
          </cell>
          <cell r="C8965" t="str">
            <v>SMARTD.  WINKELST.  PIN 2,0X24MM, TI/STER</v>
          </cell>
          <cell r="D8965" t="str">
            <v>SMARTD.  LOCKING  PIN 2.0X24MM, TI/STER</v>
          </cell>
        </row>
        <row r="8966">
          <cell r="B8966" t="str">
            <v>26-907-26-09</v>
          </cell>
          <cell r="C8966" t="str">
            <v>smartDrive  winkelst.  Pin 2,0x26 mm, Ti</v>
          </cell>
          <cell r="D8966" t="str">
            <v>smartDrive  Locking Pin 2,0X26mm, TI</v>
          </cell>
        </row>
        <row r="8967">
          <cell r="B8967" t="str">
            <v>26-907-26-71</v>
          </cell>
          <cell r="C8967" t="str">
            <v>SMARTD.  WINKELST.  PIN 2,0X26MM, TI/STER</v>
          </cell>
          <cell r="D8967" t="str">
            <v>SMARTD.  LOCKING  PIN 2.0X26MM, TI/STER</v>
          </cell>
        </row>
        <row r="8968">
          <cell r="B8968" t="str">
            <v>26-907-28-09</v>
          </cell>
          <cell r="C8968" t="str">
            <v>smartDrive  winkelst.  Pin 2,0x28 mm, Ti</v>
          </cell>
          <cell r="D8968" t="str">
            <v>smartDrive  Locking Pin 2,0X28mm, TI</v>
          </cell>
        </row>
        <row r="8969">
          <cell r="B8969" t="str">
            <v>26-907-28-71</v>
          </cell>
          <cell r="C8969" t="str">
            <v>SMARTD.  WINKELST.  PIN 2,0X28MM, TI/STER</v>
          </cell>
          <cell r="D8969" t="str">
            <v>SMARTD.  LOCKING  PIN 2.0X28MM, TI/STER</v>
          </cell>
        </row>
        <row r="8970">
          <cell r="B8970" t="str">
            <v>26-907-30-09</v>
          </cell>
          <cell r="C8970" t="str">
            <v>smartDrive  winkelst.  Pin 2,0x30mm, Ti</v>
          </cell>
          <cell r="D8970" t="str">
            <v>smartDrive  Locking Pin 2,0X30mm, TI</v>
          </cell>
        </row>
        <row r="8971">
          <cell r="B8971" t="str">
            <v>26-907-30-71</v>
          </cell>
          <cell r="C8971" t="str">
            <v>SMARTD.  WINKELST.  PIN 2,0X30MM, TI/STER</v>
          </cell>
          <cell r="D8971" t="str">
            <v>SMARTD.  LOCKING  PIN 2.0X30MM, TI/STER</v>
          </cell>
        </row>
        <row r="8972">
          <cell r="B8972" t="str">
            <v>26-908-08-09</v>
          </cell>
          <cell r="C8972" t="str">
            <v>smartDrive  Winkelst.  Schr. 3,0X08mm, TI</v>
          </cell>
          <cell r="D8972" t="str">
            <v>smartDrive  Locking Screw 3,0X08mm, TI</v>
          </cell>
        </row>
        <row r="8973">
          <cell r="B8973" t="str">
            <v>26-908-09-09</v>
          </cell>
          <cell r="C8973" t="str">
            <v>smartDrive  Winkelst.  Schr. 3,0X09mm, TI</v>
          </cell>
          <cell r="D8973" t="str">
            <v>smartDrive  Locking Screw 3,0X09mm, TI</v>
          </cell>
        </row>
        <row r="8974">
          <cell r="B8974" t="str">
            <v>26-908-10-09</v>
          </cell>
          <cell r="C8974" t="str">
            <v>smartDrive  Winkelst.  Schr. 3,0X10mm, TI</v>
          </cell>
          <cell r="D8974" t="str">
            <v>smartDrive  Locking Screw 3,0X10mm, TI</v>
          </cell>
        </row>
        <row r="8975">
          <cell r="B8975" t="str">
            <v>26-908-11-09</v>
          </cell>
          <cell r="C8975" t="str">
            <v>smartDrive  Winkelst.  Schr. 3,0X11mm, TI</v>
          </cell>
          <cell r="D8975" t="str">
            <v>smartDrive  Locking Screw 3,0X11mm, TI</v>
          </cell>
        </row>
        <row r="8976">
          <cell r="B8976" t="str">
            <v>26-908-12-09</v>
          </cell>
          <cell r="C8976" t="str">
            <v>smartDrive  Winkelst.  Schr. 3,0X12mm, TI</v>
          </cell>
          <cell r="D8976" t="str">
            <v>smartDrive  Locking Screw 3,0X12mm, TI</v>
          </cell>
        </row>
        <row r="8977">
          <cell r="B8977" t="str">
            <v>26-908-13-09</v>
          </cell>
          <cell r="C8977" t="str">
            <v>smartDrive  Winkelst.  Schr. 3,0X13mm, TI</v>
          </cell>
          <cell r="D8977" t="str">
            <v>smartDrive  Locking Screw 3,0X13mm, TI</v>
          </cell>
        </row>
        <row r="8978">
          <cell r="B8978" t="str">
            <v>26-908-14-09</v>
          </cell>
          <cell r="C8978" t="str">
            <v>smartDrive  Winkelst.  Schr. 3,0X14mm, TI</v>
          </cell>
          <cell r="D8978" t="str">
            <v>smartDrive  Locking Screw 3,0X14mm, TI</v>
          </cell>
        </row>
        <row r="8979">
          <cell r="B8979" t="str">
            <v>26-908-15-09</v>
          </cell>
          <cell r="C8979" t="str">
            <v>smartDrive  Winkelst.  Schr. 3,0X15mm, TI</v>
          </cell>
          <cell r="D8979" t="str">
            <v>smartDrive  Locking Screw 3,0X15mm, TI</v>
          </cell>
        </row>
        <row r="8980">
          <cell r="B8980" t="str">
            <v>26-908-16-09</v>
          </cell>
          <cell r="C8980" t="str">
            <v>smartDrive  Winkelst.  Schr. 3,0X16mm, TI</v>
          </cell>
          <cell r="D8980" t="str">
            <v>smartDrive  Locking Screw 3,0X16mm, TI</v>
          </cell>
        </row>
        <row r="8981">
          <cell r="B8981" t="str">
            <v>26-908-17-09</v>
          </cell>
          <cell r="C8981" t="str">
            <v>smartDrive  Winkelst.  Schr. 3,0X17mm, TI</v>
          </cell>
          <cell r="D8981" t="str">
            <v>smartDrive  Locking Screw 3,0X17mm, TI</v>
          </cell>
        </row>
        <row r="8982">
          <cell r="B8982" t="str">
            <v>26-908-18-09</v>
          </cell>
          <cell r="C8982" t="str">
            <v>smartDrive  Winkelst.  Schr. 3,0X18mm, TI</v>
          </cell>
          <cell r="D8982" t="str">
            <v>smartDrive  Locking Screw 3,0X18mm, TI</v>
          </cell>
        </row>
        <row r="8983">
          <cell r="B8983" t="str">
            <v>26-908-19-09</v>
          </cell>
          <cell r="C8983" t="str">
            <v>smartDrive  Winkelst.  Schr. 3,0X19mm, TI</v>
          </cell>
          <cell r="D8983" t="str">
            <v>smartDrive  Locking Screw 3,0X19mm, TI</v>
          </cell>
        </row>
        <row r="8984">
          <cell r="B8984" t="str">
            <v>26-908-20-09</v>
          </cell>
          <cell r="C8984" t="str">
            <v>smartDrive  Winkelst.  Schr. 3,0X20mm, TI</v>
          </cell>
          <cell r="D8984" t="str">
            <v>smartDrive  Locking Screw 3,0X20mm, TI</v>
          </cell>
        </row>
        <row r="8985">
          <cell r="B8985" t="str">
            <v>26-908-22-09</v>
          </cell>
          <cell r="C8985" t="str">
            <v>smartDrive  Winkelst.  Schr. 3,0X22mm, TI</v>
          </cell>
          <cell r="D8985" t="str">
            <v>smartDrive  Locking Screw 3,0X22mm, TI</v>
          </cell>
        </row>
        <row r="8986">
          <cell r="B8986" t="str">
            <v>26-908-24-09</v>
          </cell>
          <cell r="C8986" t="str">
            <v>smartDrive  Winkelst.  Schr. 3,0X24mm, TI</v>
          </cell>
          <cell r="D8986" t="str">
            <v>smartDrive  Locking Screw 3,0X24mm, TI</v>
          </cell>
        </row>
        <row r="8987">
          <cell r="B8987" t="str">
            <v>26-908-26-09</v>
          </cell>
          <cell r="C8987" t="str">
            <v>smartDrive  Winkelst.  Schr. 3,0X26mm, TI</v>
          </cell>
          <cell r="D8987" t="str">
            <v>smartDrive  Locking Screw 3,0X26mm, TI</v>
          </cell>
        </row>
        <row r="8988">
          <cell r="B8988" t="str">
            <v>26-908-28-09</v>
          </cell>
          <cell r="C8988" t="str">
            <v>smartDrive  Winkelst.  Schr. 3,0X28mm, TI</v>
          </cell>
          <cell r="D8988" t="str">
            <v>smartDrive  Locking Screw 3,0X28mm, TI</v>
          </cell>
        </row>
        <row r="8989">
          <cell r="B8989" t="str">
            <v>26-908-30-09</v>
          </cell>
          <cell r="C8989" t="str">
            <v>smartDrive  Winkelst.  Schr. 3,0X30mm, TI</v>
          </cell>
          <cell r="D8989" t="str">
            <v>smartDrive  Locking Screw 3,0X30mm, TI</v>
          </cell>
        </row>
        <row r="8990">
          <cell r="B8990" t="str">
            <v>26-909-08-09</v>
          </cell>
          <cell r="C8990" t="str">
            <v>smartDrive  Standard  Schr. 3,0X08mm, TI</v>
          </cell>
          <cell r="D8990" t="str">
            <v>smartDrive  Stand. Screw 3,0X08mm, TI</v>
          </cell>
        </row>
        <row r="8991">
          <cell r="B8991" t="str">
            <v>26-909-09-09</v>
          </cell>
          <cell r="C8991" t="str">
            <v>smartDrive  Standard  Schr. 3,0X09mm, TI</v>
          </cell>
          <cell r="D8991" t="str">
            <v>smartDrive  Stand. Screw 3,0X09mm, TI</v>
          </cell>
        </row>
        <row r="8992">
          <cell r="B8992" t="str">
            <v>26-909-10-09</v>
          </cell>
          <cell r="C8992" t="str">
            <v>smartDrive  Standard  Schr. 3,0X10mm, TI</v>
          </cell>
          <cell r="D8992" t="str">
            <v>smartDrive  Stand. Screw 3,0X10mm, TI</v>
          </cell>
        </row>
        <row r="8993">
          <cell r="B8993" t="str">
            <v>26-909-11-09</v>
          </cell>
          <cell r="C8993" t="str">
            <v>smartDrive  Standard  Schr. 3,0X11mm, TI</v>
          </cell>
          <cell r="D8993" t="str">
            <v>smartDrive  Stand. Screw 3,0X11mm, TI</v>
          </cell>
        </row>
        <row r="8994">
          <cell r="B8994" t="str">
            <v>26-909-12-09</v>
          </cell>
          <cell r="C8994" t="str">
            <v>smartDrive  Standard  Schr. 3,0X12mm, TI</v>
          </cell>
          <cell r="D8994" t="str">
            <v>smartDrive  Stand. Screw 3,0X12mm, TI</v>
          </cell>
        </row>
        <row r="8995">
          <cell r="B8995" t="str">
            <v>26-909-13-09</v>
          </cell>
          <cell r="C8995" t="str">
            <v>smartDrive  Standard  Schr. 3,0X13mm, TI</v>
          </cell>
          <cell r="D8995" t="str">
            <v>smartDrive  Stand. Screw 3,0X13mm, TI</v>
          </cell>
        </row>
        <row r="8996">
          <cell r="B8996" t="str">
            <v>26-909-14-09</v>
          </cell>
          <cell r="C8996" t="str">
            <v>smartDrive  Standard  Schr. 3,0X14mm, TI</v>
          </cell>
          <cell r="D8996" t="str">
            <v>smartDrive  Stand. Screw 3,0X14mm, TI</v>
          </cell>
        </row>
        <row r="8997">
          <cell r="B8997" t="str">
            <v>26-909-15-09</v>
          </cell>
          <cell r="C8997" t="str">
            <v>smartDrive  Standard  Schr. 3,0X15mm, TI</v>
          </cell>
          <cell r="D8997" t="str">
            <v>smartDrive  Stand. Screw 3,0X15mm, TI</v>
          </cell>
        </row>
        <row r="8998">
          <cell r="B8998" t="str">
            <v>26-909-16-09</v>
          </cell>
          <cell r="C8998" t="str">
            <v>smartDrive  Standard  Schr. 3,0X16mm, TI</v>
          </cell>
          <cell r="D8998" t="str">
            <v>smartDrive  Stand. Screw 3,0X16mm, TI</v>
          </cell>
        </row>
        <row r="8999">
          <cell r="B8999" t="str">
            <v>26-909-17-09</v>
          </cell>
          <cell r="C8999" t="str">
            <v>smartDrive  Standard  Schr. 3,0X17mm, TI</v>
          </cell>
          <cell r="D8999" t="str">
            <v>smartDrive  Stand. Screw 3,0X17mm, TI</v>
          </cell>
        </row>
        <row r="9000">
          <cell r="B9000" t="str">
            <v>26-909-18-09</v>
          </cell>
          <cell r="C9000" t="str">
            <v>smartDrive  Standard  Schr. 3,0X18mm, TI</v>
          </cell>
          <cell r="D9000" t="str">
            <v>smartDrive  Stand. Screw 3,0X18mm, TI</v>
          </cell>
        </row>
        <row r="9001">
          <cell r="B9001" t="str">
            <v>26-909-19-09</v>
          </cell>
          <cell r="C9001" t="str">
            <v>smartDrive  Standard  Schr. 3,0X19mm, TI</v>
          </cell>
          <cell r="D9001" t="str">
            <v>smartDrive  Stand. Screw 3,0X19mm, TI</v>
          </cell>
        </row>
        <row r="9002">
          <cell r="B9002" t="str">
            <v>26-909-20-09</v>
          </cell>
          <cell r="C9002" t="str">
            <v>smartDrive  Standard  Schr. 3,0X20mm, TI</v>
          </cell>
          <cell r="D9002" t="str">
            <v>smartDrive  Stand. Screw 3,0X20mm, TI</v>
          </cell>
        </row>
        <row r="9003">
          <cell r="B9003" t="str">
            <v>26-909-22-09</v>
          </cell>
          <cell r="C9003" t="str">
            <v>smartDrive  Standard  Schr. 3,0X22mm, TI</v>
          </cell>
          <cell r="D9003" t="str">
            <v>smartDrive  Stand. Screw 3,0X22mm, TI</v>
          </cell>
        </row>
        <row r="9004">
          <cell r="B9004" t="str">
            <v>26-909-24-09</v>
          </cell>
          <cell r="C9004" t="str">
            <v>smartDrive  Standard  Schr. 3,0X24mm, TI</v>
          </cell>
          <cell r="D9004" t="str">
            <v>smartDrive  Stand. Screw 3,0X24mm, TI</v>
          </cell>
        </row>
        <row r="9005">
          <cell r="B9005" t="str">
            <v>26-909-26-09</v>
          </cell>
          <cell r="C9005" t="str">
            <v>smartDrive  Standard  Schr. 3,0X26mm, TI</v>
          </cell>
          <cell r="D9005" t="str">
            <v>smartDrive  Stand. Screw 3,0X26mm, TI</v>
          </cell>
        </row>
        <row r="9006">
          <cell r="B9006" t="str">
            <v>26-909-28-09</v>
          </cell>
          <cell r="C9006" t="str">
            <v>smartDrive  Standard  Schr. 3,0X28mm, TI</v>
          </cell>
          <cell r="D9006" t="str">
            <v>smartDrive  Stand. Screw 3,0X28mm, TI</v>
          </cell>
        </row>
        <row r="9007">
          <cell r="B9007" t="str">
            <v>26-909-30-09</v>
          </cell>
          <cell r="C9007" t="str">
            <v>smartDrive  Standard  Schr. 3,0X30mm, TI</v>
          </cell>
          <cell r="D9007" t="str">
            <v>smartDrive  Stand. Screw 3,0X30mm, TI</v>
          </cell>
        </row>
        <row r="9008">
          <cell r="B9008" t="str">
            <v>26-912-10-09</v>
          </cell>
          <cell r="C9008" t="str">
            <v>IXOS P2, SCHMAL,  PALMAR,  L43/RE/TI</v>
          </cell>
          <cell r="D9008" t="str">
            <v>IXOS P2, NARROW,  PALMAR,  L43/RT/TI</v>
          </cell>
        </row>
        <row r="9009">
          <cell r="B9009" t="str">
            <v>26-912-10-71</v>
          </cell>
          <cell r="C9009" t="str">
            <v>IXOS P2, PALMAR,  L43/B23,  RE, TI/STER</v>
          </cell>
          <cell r="D9009" t="str">
            <v>IXOS P2, PALMAR,  L43/W23,  RT, TI/STER</v>
          </cell>
        </row>
        <row r="9010">
          <cell r="B9010" t="str">
            <v>26-912-11-09</v>
          </cell>
          <cell r="C9010" t="str">
            <v>IXOS P2, SCHMAL,  PALMAR,  L43/LI/TI</v>
          </cell>
          <cell r="D9010" t="str">
            <v>IXOS P2, NARROW,  PALMAR,  L43/LT/TI</v>
          </cell>
        </row>
        <row r="9011">
          <cell r="B9011" t="str">
            <v>26-912-11-71</v>
          </cell>
          <cell r="C9011" t="str">
            <v>IXOS P2, PALMAR,  L43/B23,  LI, TI/STER</v>
          </cell>
          <cell r="D9011" t="str">
            <v>IXOS P2, PALMAR,  L43/W23,  LT, TI/STER</v>
          </cell>
        </row>
        <row r="9012">
          <cell r="B9012" t="str">
            <v>26-912-12-09</v>
          </cell>
          <cell r="C9012" t="str">
            <v>IXOS P2, BREIT, PALMAR,  L52/RE/TI</v>
          </cell>
          <cell r="D9012" t="str">
            <v>IXOS P2, WIDE, PALMAR,  L52/RT/TI</v>
          </cell>
        </row>
        <row r="9013">
          <cell r="B9013" t="str">
            <v>26-912-12-71</v>
          </cell>
          <cell r="C9013" t="str">
            <v>IXOS P2, PALMAR,  L52/B27,  RE, TI/STER</v>
          </cell>
          <cell r="D9013" t="str">
            <v>IXOS P2, PALMAR,  L52/W27,  RT, TI/STER</v>
          </cell>
        </row>
        <row r="9014">
          <cell r="B9014" t="str">
            <v>26-912-13-09</v>
          </cell>
          <cell r="C9014" t="str">
            <v>IXOS P2, BREIT, PALMAR,  L52/LI/TI</v>
          </cell>
          <cell r="D9014" t="str">
            <v>IXOS P2, WIDE, PALMAR,  L52/LT/TI</v>
          </cell>
        </row>
        <row r="9015">
          <cell r="B9015" t="str">
            <v>26-912-13-71</v>
          </cell>
          <cell r="C9015" t="str">
            <v>IXOS P2, PALMAR,  L52/B27,  LI, TI/STER</v>
          </cell>
          <cell r="D9015" t="str">
            <v>IXOS P2, PALMAR,  L52/W27,  LT, TI/STER</v>
          </cell>
        </row>
        <row r="9016">
          <cell r="B9016" t="str">
            <v>26-912-14-09</v>
          </cell>
          <cell r="C9016" t="str">
            <v>IXOS P2 L BREIT PALMAR L71/RE/TI/STERIL</v>
          </cell>
          <cell r="D9016" t="str">
            <v>IXOS P2 L WIDE PALMAR L71/RI/TI/STERILE</v>
          </cell>
        </row>
        <row r="9017">
          <cell r="B9017" t="str">
            <v>26-912-15-09</v>
          </cell>
          <cell r="C9017" t="str">
            <v>IXOS P2 L BREIT PALMAR L71/LI/TI/STERIL</v>
          </cell>
          <cell r="D9017" t="str">
            <v>IXOS P2 L WIDE PALMAR L71/LE/TI/STERILE</v>
          </cell>
        </row>
        <row r="9018">
          <cell r="B9018" t="str">
            <v>26-914-10-09</v>
          </cell>
          <cell r="C9018" t="str">
            <v>IXOS P4, SCHMAL,  PALMAR,  L43/RE/TI</v>
          </cell>
          <cell r="D9018" t="str">
            <v>IXOS P4, NARROW,  PALMAR,  L43/RT/TI</v>
          </cell>
        </row>
        <row r="9019">
          <cell r="B9019" t="str">
            <v>26-914-10-71</v>
          </cell>
          <cell r="C9019" t="str">
            <v>IXOS P4, PALMAR,  L43/B23,  RE, TI/STER</v>
          </cell>
          <cell r="D9019" t="str">
            <v>IXOS P4, PALMAR,  L43/W23,  RT, TI/STER</v>
          </cell>
        </row>
        <row r="9020">
          <cell r="B9020" t="str">
            <v>26-914-11-09</v>
          </cell>
          <cell r="C9020" t="str">
            <v>IXOS P4, SCHMAL,  PALMAR,  L43/LI/TI</v>
          </cell>
          <cell r="D9020" t="str">
            <v>IXOS P4, NARROW,  PALMAR,  L43/LT/TI</v>
          </cell>
        </row>
        <row r="9021">
          <cell r="B9021" t="str">
            <v>26-914-11-71</v>
          </cell>
          <cell r="C9021" t="str">
            <v>IXOS P4, PALMAR,  L43/B23,  LI, TI/STER</v>
          </cell>
          <cell r="D9021" t="str">
            <v>IXOS P4, PALMAR,  L43/W23,  LT, TI/STER</v>
          </cell>
        </row>
        <row r="9022">
          <cell r="B9022" t="str">
            <v>26-914-12-09</v>
          </cell>
          <cell r="C9022" t="str">
            <v>IXOS P4, BREIT, PALMAR,  L52/RE/TI</v>
          </cell>
          <cell r="D9022" t="str">
            <v>IXOS P4, WIDE, PALMAR,  L52/RT/TI</v>
          </cell>
        </row>
        <row r="9023">
          <cell r="B9023" t="str">
            <v>26-914-12-71</v>
          </cell>
          <cell r="C9023" t="str">
            <v>IXOS P4, PALMAR,  L52/B27,  RE, TI/STER</v>
          </cell>
          <cell r="D9023" t="str">
            <v>IXOS P4, PALMAR,  L52/W27,  RT, TI/STER</v>
          </cell>
        </row>
        <row r="9024">
          <cell r="B9024" t="str">
            <v>26-914-13-09</v>
          </cell>
          <cell r="C9024" t="str">
            <v>IXOS P4, BREIT, PALMAR,  L52/LI/TI</v>
          </cell>
          <cell r="D9024" t="str">
            <v>IXOS P4, WIDE, PALMAR,  L52/LT/TI</v>
          </cell>
        </row>
        <row r="9025">
          <cell r="B9025" t="str">
            <v>26-914-13-71</v>
          </cell>
          <cell r="C9025" t="str">
            <v>IXOS P4, PALMAR,  L52/B27,  LI, TI/STER</v>
          </cell>
          <cell r="D9025" t="str">
            <v>IXOS P4, PALMAR,  L52/W27,  LT, TI/STER</v>
          </cell>
        </row>
        <row r="9026">
          <cell r="B9026" t="str">
            <v>26-914-14-09</v>
          </cell>
          <cell r="C9026" t="str">
            <v>IXOS P4 XL, SCHMAL,PALMAR,L95/RE/TI/STER</v>
          </cell>
          <cell r="D9026" t="str">
            <v>IXOS P4 XL, NARROW,PALMARL95/RT/TI/STER</v>
          </cell>
        </row>
        <row r="9027">
          <cell r="B9027" t="str">
            <v>26-914-15-09</v>
          </cell>
          <cell r="C9027" t="str">
            <v>IXOS P4 XL, SCHMAL,PALMAR,L95/LI/TI/STER</v>
          </cell>
          <cell r="D9027" t="str">
            <v>IXOS P4 XL, NARROW,PALMARL95/LT/TI/STER</v>
          </cell>
        </row>
        <row r="9028">
          <cell r="B9028" t="str">
            <v>26-914-20-09</v>
          </cell>
          <cell r="C9028" t="str">
            <v>IXOS P4, WAVE, SCHMAL,  PALMAR,  L43/RE/TI</v>
          </cell>
          <cell r="D9028" t="str">
            <v>IXOS P4 WAVE, NARROW,  PALMAR,  L43/RT/TI</v>
          </cell>
        </row>
        <row r="9029">
          <cell r="B9029" t="str">
            <v>26-914-20-71</v>
          </cell>
          <cell r="C9029" t="str">
            <v>IXOS P4WAVE,  PALMAR,  L43/B24,  RE,TI/STER</v>
          </cell>
          <cell r="D9029" t="str">
            <v>IXOS P4WAVE,  PALMAR,  L43/B24,  RT,TI/STER</v>
          </cell>
        </row>
        <row r="9030">
          <cell r="B9030" t="str">
            <v>26-914-21-09</v>
          </cell>
          <cell r="C9030" t="str">
            <v>IXOS P4, WAVE, SCHMAL,  PALMAR,  L43/LI/TI</v>
          </cell>
          <cell r="D9030" t="str">
            <v>IXOS P4 WAVE, NARROW,  PALMAR,  L43/LT/TI</v>
          </cell>
        </row>
        <row r="9031">
          <cell r="B9031" t="str">
            <v>26-914-21-71</v>
          </cell>
          <cell r="C9031" t="str">
            <v>IXOS P4WAVE,  PALMAR,  L43/B24,  LI,TI/STER</v>
          </cell>
          <cell r="D9031" t="str">
            <v>IXOS P4WAVE,  PALMAR,  L43/B24,  LT,TI/STER</v>
          </cell>
        </row>
        <row r="9032">
          <cell r="B9032" t="str">
            <v>26-914-22-09</v>
          </cell>
          <cell r="C9032" t="str">
            <v>IXOS P4, WAVE, SCHMAL,  PALMAR,  L52/RE/TI</v>
          </cell>
          <cell r="D9032" t="str">
            <v>IXOS P4 WAVE, NARROW,  PALMAR,  L52/RT/TI</v>
          </cell>
        </row>
        <row r="9033">
          <cell r="B9033" t="str">
            <v>26-914-22-71</v>
          </cell>
          <cell r="C9033" t="str">
            <v>IXOS P4WAVE,  PALMAR,  L52/B24,  RE,TI/STER</v>
          </cell>
          <cell r="D9033" t="str">
            <v>IXOS P4WAVE,  PALMAR,  L52/B24,  RT,TI/STER</v>
          </cell>
        </row>
        <row r="9034">
          <cell r="B9034" t="str">
            <v>26-914-23-09</v>
          </cell>
          <cell r="C9034" t="str">
            <v>IXOS P4, WAVE, SCHMAL,  PALMAR,  L52/LI/TI</v>
          </cell>
          <cell r="D9034" t="str">
            <v>IXOS P4 WAVE, NARROW,  PALMAR,  L52/LT/TI</v>
          </cell>
        </row>
        <row r="9035">
          <cell r="B9035" t="str">
            <v>26-914-23-71</v>
          </cell>
          <cell r="C9035" t="str">
            <v>IXOS P4WAVE,  PALMAR,  L52/B24,  LI,TI/STER</v>
          </cell>
          <cell r="D9035" t="str">
            <v>IXOS P4WAVE,  PALMAR,  L52/B24,  LT,TI/STER</v>
          </cell>
        </row>
        <row r="9036">
          <cell r="B9036" t="str">
            <v>26-914-24-09</v>
          </cell>
          <cell r="C9036" t="str">
            <v>IXOS P4WAVE  XL,SCHMA.PALM.L95/RE/TI/STER</v>
          </cell>
          <cell r="D9036" t="str">
            <v>IXOS P4WAVE  XL NARR.PALM.L95/RT/TI/STERI</v>
          </cell>
        </row>
        <row r="9037">
          <cell r="B9037" t="str">
            <v>26-914-25-09</v>
          </cell>
          <cell r="C9037" t="str">
            <v>IXOS P4WAVE  XL,SCHMA.PALM.L95/LI/TI/STER</v>
          </cell>
          <cell r="D9037" t="str">
            <v>IXOS P4WAVE  XL NARR.PALM.L95/LT/TI/STERI</v>
          </cell>
        </row>
        <row r="9038">
          <cell r="B9038" t="str">
            <v>26-914-26-09</v>
          </cell>
          <cell r="C9038" t="str">
            <v>IXOS P4WAVE  L PALMAR L70/RE/TI/STERIL</v>
          </cell>
          <cell r="D9038" t="str">
            <v>IXOS P4WAVE  L PALMAR L70/RI/TI/STERILE</v>
          </cell>
        </row>
        <row r="9039">
          <cell r="B9039" t="str">
            <v>26-914-27-09</v>
          </cell>
          <cell r="C9039" t="str">
            <v>IXOS P4WAVE  L PALMAR L70/LI/TI/STERIL</v>
          </cell>
          <cell r="D9039" t="str">
            <v>IXOS P4WAVE  L PALMAR L70/LE/TI/STERILE</v>
          </cell>
        </row>
        <row r="9040">
          <cell r="B9040" t="str">
            <v>26-914-30-09</v>
          </cell>
          <cell r="C9040" t="str">
            <v>IXOS D4, BREIT DORSAL, B32/RE/TI</v>
          </cell>
          <cell r="D9040" t="str">
            <v>IXOS D4, WIDE, DORSAL, W32/RT/TI</v>
          </cell>
        </row>
        <row r="9041">
          <cell r="B9041" t="str">
            <v>26-914-30-71</v>
          </cell>
          <cell r="C9041" t="str">
            <v>IXOS D4, DORSAL, L60/B32,  RE, TI/STER</v>
          </cell>
          <cell r="D9041" t="str">
            <v>IXOS D4, DORSAL, L60/W32,  RT, TI/STER</v>
          </cell>
        </row>
        <row r="9042">
          <cell r="B9042" t="str">
            <v>26-914-31-09</v>
          </cell>
          <cell r="C9042" t="str">
            <v>IXOS D4, BREIT, DORSAL, B32/LI/TI</v>
          </cell>
          <cell r="D9042" t="str">
            <v>IXOS D4, WIDE, DORSAL, W32/LT/TI</v>
          </cell>
        </row>
        <row r="9043">
          <cell r="B9043" t="str">
            <v>26-914-31-71</v>
          </cell>
          <cell r="C9043" t="str">
            <v>IXOS D4, DORSAL, L60/B32,  LI, TI/STER</v>
          </cell>
          <cell r="D9043" t="str">
            <v>IXOS D4, DORSAL, L60/W32,  LT, TI/STER</v>
          </cell>
        </row>
        <row r="9044">
          <cell r="B9044" t="str">
            <v>26-914-33-09</v>
          </cell>
          <cell r="C9044" t="str">
            <v>IXOS D4 SCHMAL,  DORSAL, B30/RE/TI</v>
          </cell>
          <cell r="D9044" t="str">
            <v>IXOS D4 NARROW,  DORSAL, W30/RT/TI</v>
          </cell>
        </row>
        <row r="9045">
          <cell r="B9045" t="str">
            <v>26-914-33-71</v>
          </cell>
          <cell r="C9045" t="str">
            <v>IXOS D4, DORSAL, L60/B30,  RE, TI/STER</v>
          </cell>
          <cell r="D9045" t="str">
            <v>IXOS D4, DORSAL, L60/W30,  RT, TI/STER</v>
          </cell>
        </row>
        <row r="9046">
          <cell r="B9046" t="str">
            <v>26-914-34-09</v>
          </cell>
          <cell r="C9046" t="str">
            <v>IXOS D4 SCHMAL,  DORSAL, B30/LI/TI</v>
          </cell>
          <cell r="D9046" t="str">
            <v>IXOS D4 NARROW,  DORSAL, W30/LT/TI</v>
          </cell>
        </row>
        <row r="9047">
          <cell r="B9047" t="str">
            <v>26-914-34-71</v>
          </cell>
          <cell r="C9047" t="str">
            <v>IXOS D4, DORSAL, L60/B30,  LI, TI/STER</v>
          </cell>
          <cell r="D9047" t="str">
            <v>IXOS D4, DORSAL, L60/W30,  LT, TI/STER</v>
          </cell>
        </row>
        <row r="9048">
          <cell r="B9048" t="str">
            <v>26-914-40-09</v>
          </cell>
          <cell r="C9048" t="str">
            <v>IXOS DL4, GERADE,  LATERAL,  L52/TI</v>
          </cell>
          <cell r="D9048" t="str">
            <v>IXOS DL4, STRAIGHT,  LATERAL,  L52/TI</v>
          </cell>
        </row>
        <row r="9049">
          <cell r="B9049" t="str">
            <v>26-914-40-71</v>
          </cell>
          <cell r="C9049" t="str">
            <v>IXOS DL4, GERADE,  LATERAL,  L52, TI/STER</v>
          </cell>
          <cell r="D9049" t="str">
            <v>IXOS DL4, STRAIGHT,LATERAL,L52,TI/STER</v>
          </cell>
        </row>
        <row r="9050">
          <cell r="B9050" t="str">
            <v>26-914-41-09</v>
          </cell>
          <cell r="C9050" t="str">
            <v>IXOS PU4, T-PLATTE,  ULNAR, L52/TI/STERIL</v>
          </cell>
          <cell r="D9050" t="str">
            <v>IXOS PU4, T-PLATE, ULNAR L52/TI/STERIL</v>
          </cell>
        </row>
        <row r="9051">
          <cell r="B9051" t="str">
            <v>26-914-42-09</v>
          </cell>
          <cell r="C9051" t="str">
            <v>IXOS DL4,L-PLATTE,DORSAL, L43/RE/TI</v>
          </cell>
          <cell r="D9051" t="str">
            <v>IXOS DL4, L-PLATE, DORSAL, L43/RT/TI</v>
          </cell>
        </row>
        <row r="9052">
          <cell r="B9052" t="str">
            <v>26-914-42-71</v>
          </cell>
          <cell r="C9052" t="str">
            <v>IXOS DL4, L-PLATTE,DORSAL,L43,RE,TI/STER</v>
          </cell>
          <cell r="D9052" t="str">
            <v>IXOS DL4, L-PLATE, DORSAL,L43,RT,TI/STER</v>
          </cell>
        </row>
        <row r="9053">
          <cell r="B9053" t="str">
            <v>26-914-43-09</v>
          </cell>
          <cell r="C9053" t="str">
            <v>IXOS DL4,L-PLATTE,DORSAL, L43/LI/TI</v>
          </cell>
          <cell r="D9053" t="str">
            <v>IXOS DL4, L-PLATE, DORSAL, L43/LT/TI</v>
          </cell>
        </row>
        <row r="9054">
          <cell r="B9054" t="str">
            <v>26-914-43-71</v>
          </cell>
          <cell r="C9054" t="str">
            <v>IXOS DL4, L-PLATTE,DORSAL,L43,LI,TI/STER</v>
          </cell>
          <cell r="D9054" t="str">
            <v>IXOS DL4, L-PLATE, DORSAL,L43,LT,TI/STER</v>
          </cell>
        </row>
        <row r="9055">
          <cell r="B9055" t="str">
            <v>26-950-01-07</v>
          </cell>
          <cell r="C9055" t="str">
            <v>IXOS Bohrführung polyaxial</v>
          </cell>
          <cell r="D9055" t="str">
            <v>IXOS DRILL GUIDE MUTLIDIRECTIONAL</v>
          </cell>
        </row>
        <row r="9056">
          <cell r="B9056" t="str">
            <v>26-950-02-07</v>
          </cell>
          <cell r="C9056" t="str">
            <v>IXOS Bohrführung monoaxial</v>
          </cell>
          <cell r="D9056" t="str">
            <v>IXOS DRILL GUIDE MONODIRECTIONAL</v>
          </cell>
        </row>
        <row r="9057">
          <cell r="B9057" t="str">
            <v>26-950-03-07</v>
          </cell>
          <cell r="C9057" t="str">
            <v>IXOS Bohrführung konventionell</v>
          </cell>
          <cell r="D9057" t="str">
            <v>IXOS DRILL GUIDE CONVENTIONAL</v>
          </cell>
        </row>
        <row r="9058">
          <cell r="B9058" t="str">
            <v>26-950-04-09</v>
          </cell>
          <cell r="C9058" t="str">
            <v>IXOS Joystick Ø 2,0mm, L41,5mm</v>
          </cell>
          <cell r="D9058" t="str">
            <v>IXOS Joystick Ø 2,0mm, L41,5mm</v>
          </cell>
        </row>
        <row r="9059">
          <cell r="B9059" t="str">
            <v>26-950-05-07</v>
          </cell>
          <cell r="C9059" t="str">
            <v>IXOS Tiefenmesser AO-Prinzip</v>
          </cell>
          <cell r="D9059" t="str">
            <v>IXOS DEPTH GAUGE AO DESIGN</v>
          </cell>
        </row>
        <row r="9060">
          <cell r="B9060" t="str">
            <v>26-950-06-07</v>
          </cell>
          <cell r="C9060" t="str">
            <v>IXOS Tiefenmesser Einhand-Prinzip</v>
          </cell>
          <cell r="D9060" t="str">
            <v>IXOS DEPTH GAUGE SINGLE HAND DESIGN</v>
          </cell>
        </row>
        <row r="9061">
          <cell r="B9061" t="str">
            <v>26-950-11-07</v>
          </cell>
          <cell r="C9061" t="str">
            <v>AO-HANDGRIFF MIT SILIKONEINSATZ, SCHWARZ</v>
          </cell>
          <cell r="D9061" t="str">
            <v>HANDLE W.SLICONE / AO-ATTACHMENT, BLACK</v>
          </cell>
        </row>
        <row r="9062">
          <cell r="B9062" t="str">
            <v>26-950-13-07</v>
          </cell>
          <cell r="C9062" t="str">
            <v>IXOS Bohrdrahtspender D 1,2MM</v>
          </cell>
          <cell r="D9062" t="str">
            <v>IXOS K-WIRE DISPENSER</v>
          </cell>
        </row>
        <row r="9063">
          <cell r="B9063" t="str">
            <v>26-950-16-07</v>
          </cell>
          <cell r="C9063" t="str">
            <v>IXOS Schraubendreherklinge T8/AO</v>
          </cell>
          <cell r="D9063" t="str">
            <v>IXOS screw driverbit T8/AO</v>
          </cell>
        </row>
        <row r="9064">
          <cell r="B9064" t="str">
            <v>26-950-18-07</v>
          </cell>
          <cell r="C9064" t="str">
            <v>IXOS Schraubendreher T8</v>
          </cell>
          <cell r="D9064" t="str">
            <v>IXOS SCREW DRIVER T8</v>
          </cell>
        </row>
        <row r="9065">
          <cell r="B9065" t="str">
            <v>26-950-19-07</v>
          </cell>
          <cell r="C9065" t="str">
            <v>IXOS Schraubendreher T8/drehbar</v>
          </cell>
          <cell r="D9065" t="str">
            <v>IXOS SCREW DRIVER T8 / ROTARY</v>
          </cell>
        </row>
        <row r="9066">
          <cell r="B9066" t="str">
            <v>26-950-20-07</v>
          </cell>
          <cell r="C9066" t="str">
            <v>smartDrive  KERNLOCHBOHRER Ø 2,0MM/AO</v>
          </cell>
          <cell r="D9066" t="str">
            <v>smartDrive  CORE HOLE DRILL  Ø 2,0MM/AO</v>
          </cell>
        </row>
        <row r="9067">
          <cell r="B9067" t="str">
            <v>26-950-20-21</v>
          </cell>
          <cell r="C9067" t="str">
            <v>smartDrive  KERNLOCHBOHR.SKALIERT Ø2MM/AO</v>
          </cell>
          <cell r="D9067" t="str">
            <v>smartDrive  CORE HOLE DRILL SCALEDØ2MM/AO</v>
          </cell>
        </row>
        <row r="9068">
          <cell r="B9068" t="str">
            <v>26-950-21-07</v>
          </cell>
          <cell r="C9068" t="str">
            <v>smartDrive  Kernlochbohrer 2,0MM/AO/steri</v>
          </cell>
          <cell r="D9068" t="str">
            <v>smartDrive  CORE H. DRILL  Ø2,0MM/AO/STER</v>
          </cell>
        </row>
        <row r="9069">
          <cell r="B9069" t="str">
            <v>26-950-25-07</v>
          </cell>
          <cell r="C9069" t="str">
            <v>smartDrive  Gleitlochbohrer 2,5MM/AO26-95</v>
          </cell>
          <cell r="D9069" t="str">
            <v>smartDrive  GLID. H. DRILL Ø2,5MM/AO/</v>
          </cell>
        </row>
        <row r="9070">
          <cell r="B9070" t="str">
            <v>26-950-26-07</v>
          </cell>
          <cell r="C9070" t="str">
            <v>smartDrive  Gleitlochbohrer 2,5MM/AO/ster</v>
          </cell>
          <cell r="D9070" t="str">
            <v>smartDrive  GLID. H. DRILL Ø2,5MM/AO/STER</v>
          </cell>
        </row>
        <row r="9071">
          <cell r="B9071" t="str">
            <v>26-950-30-07</v>
          </cell>
          <cell r="C9071" t="str">
            <v>smartDrive  KERNLOCHBOHRER Ø 2,5MM/AO</v>
          </cell>
          <cell r="D9071" t="str">
            <v>smartDrive  CORE HOLE DRILL  Ø 2,5MM/AO</v>
          </cell>
        </row>
        <row r="9072">
          <cell r="B9072" t="str">
            <v>26-950-30-71</v>
          </cell>
          <cell r="C9072" t="str">
            <v>smartDrive  KERNLOCHBOHRER Ø2,5MM/AO/STER</v>
          </cell>
          <cell r="D9072" t="str">
            <v>smartDrive  CORE H. DRILL  Ø2,5MM/AO/STER</v>
          </cell>
        </row>
        <row r="9073">
          <cell r="B9073" t="str">
            <v>26-950-31-07</v>
          </cell>
          <cell r="C9073" t="str">
            <v>smartDrive  GLEITLOCHBOHRER Ø 3,0MM/AO</v>
          </cell>
          <cell r="D9073" t="str">
            <v>smartDrive  GLID. H. DRILL Ø3,0MM/AO</v>
          </cell>
        </row>
        <row r="9074">
          <cell r="B9074" t="str">
            <v>26-950-31-71</v>
          </cell>
          <cell r="C9074" t="str">
            <v>smartDrive  GLEITLOCHBOHR. Ø3,0MM/AO/STER</v>
          </cell>
          <cell r="D9074" t="str">
            <v>smartDrive  GLID. H. DRILL Ø3,0MM/AO/STER</v>
          </cell>
        </row>
        <row r="9075">
          <cell r="B9075" t="str">
            <v>26-950-37-07</v>
          </cell>
          <cell r="C9075" t="str">
            <v>IXOS Biegezange</v>
          </cell>
          <cell r="D9075" t="str">
            <v>IXOS BENDING  PLIERS</v>
          </cell>
        </row>
        <row r="9076">
          <cell r="B9076" t="str">
            <v>26-950-50-07</v>
          </cell>
          <cell r="C9076" t="str">
            <v>IXOS BOHRBLOCK P4 SCHMAL RE</v>
          </cell>
          <cell r="D9076" t="str">
            <v>IXOS DRILL GUIDE BLOCK P4 NARROW  RI</v>
          </cell>
        </row>
        <row r="9077">
          <cell r="B9077" t="str">
            <v>26-950-51-07</v>
          </cell>
          <cell r="C9077" t="str">
            <v>IXOS BOHRBLOCK P4 SCHMAL LI</v>
          </cell>
          <cell r="D9077" t="str">
            <v>IXOS DRILL GUIDE BLOCK P4 NARROW  LT</v>
          </cell>
        </row>
        <row r="9078">
          <cell r="B9078" t="str">
            <v>26-950-52-07</v>
          </cell>
          <cell r="C9078" t="str">
            <v>IXOS BOHRBLOCK P4 BREIT RE</v>
          </cell>
          <cell r="D9078" t="str">
            <v>IXOS DRILL GUIDE BLOCK P4 WIDE RI</v>
          </cell>
        </row>
        <row r="9079">
          <cell r="B9079" t="str">
            <v>26-950-53-07</v>
          </cell>
          <cell r="C9079" t="str">
            <v>IXOS BOHRBLOCK P4 BREIT LI</v>
          </cell>
          <cell r="D9079" t="str">
            <v>IXOS DRILL GUIDE BLOCK P4 WIDE LT</v>
          </cell>
        </row>
        <row r="9080">
          <cell r="B9080" t="str">
            <v>26-950-54-07</v>
          </cell>
          <cell r="C9080" t="str">
            <v>IXOS BOHRBLOCK P4 WAVE SCHMAL RE</v>
          </cell>
          <cell r="D9080" t="str">
            <v>IXOS DRILL GUIDE BLOCK P4 NARROW  RI</v>
          </cell>
        </row>
        <row r="9081">
          <cell r="B9081" t="str">
            <v>26-950-55-07</v>
          </cell>
          <cell r="C9081" t="str">
            <v>IXOS BOHRBLOCK P4 WAVE SCHMAL LI</v>
          </cell>
          <cell r="D9081" t="str">
            <v>IXOS DRILL GUIDE BLOCK P4 NARROW  LT</v>
          </cell>
        </row>
        <row r="9082">
          <cell r="B9082" t="str">
            <v>26-975-03-07</v>
          </cell>
          <cell r="C9082" t="str">
            <v>LINOS Plattenentnahme- u Positionierinst</v>
          </cell>
          <cell r="D9082" t="str">
            <v>LINOS plate holding and positioning  inst</v>
          </cell>
        </row>
        <row r="9083">
          <cell r="B9083" t="str">
            <v>26-975-04-07</v>
          </cell>
          <cell r="C9083" t="str">
            <v>LINOS PLATTENHALTEZANGE</v>
          </cell>
          <cell r="D9083" t="str">
            <v>LINOS PLATE-HOLDING FORCEPS</v>
          </cell>
        </row>
        <row r="9084">
          <cell r="B9084" t="str">
            <v>26-975-05-07</v>
          </cell>
          <cell r="C9084" t="str">
            <v>LINOS Biegezange</v>
          </cell>
          <cell r="D9084" t="str">
            <v>LINOS bending pliers</v>
          </cell>
        </row>
        <row r="9085">
          <cell r="B9085" t="str">
            <v>26-975-06-07</v>
          </cell>
          <cell r="C9085" t="str">
            <v>Repositionszange spitz/spitz</v>
          </cell>
          <cell r="D9085" t="str">
            <v>Reduction  forceps pointed/pointed</v>
          </cell>
        </row>
        <row r="9086">
          <cell r="B9086" t="str">
            <v>26-975-25-07</v>
          </cell>
          <cell r="C9086" t="str">
            <v>LINOS Tiefenmesser Einhand Ø 1,5/2,0/2,3</v>
          </cell>
          <cell r="D9086" t="str">
            <v>LINOS depth gauge 1-hand Ø 1,5/2,0/2,3</v>
          </cell>
        </row>
        <row r="9087">
          <cell r="B9087" t="str">
            <v>26-975-26-07</v>
          </cell>
          <cell r="C9087" t="str">
            <v>MESSSPITZE F. LINOS TIEFENM.  1,5/2,0/2,3</v>
          </cell>
          <cell r="D9087" t="str">
            <v>MEASURING TIP F. DEPTH GAUGE 1.5/2.0/2.3</v>
          </cell>
        </row>
        <row r="9088">
          <cell r="B9088" t="str">
            <v>26-975-28-07</v>
          </cell>
          <cell r="C9088" t="str">
            <v>LINOS Tiefenmesser Einhand Ø 1,2/1,5 mm</v>
          </cell>
          <cell r="D9088" t="str">
            <v>LINOS depth gauge, one-hand  Ø 1.2/1.5 mm</v>
          </cell>
        </row>
        <row r="9089">
          <cell r="B9089" t="str">
            <v>26-975-29-07</v>
          </cell>
          <cell r="C9089" t="str">
            <v>MESSSPITZE F. LINOS TIEFENMES. 1,2/1,5mm</v>
          </cell>
          <cell r="D9089" t="str">
            <v>MEASURING TIP F. LINOS DEPTHG.  1,2/1,5mm</v>
          </cell>
        </row>
        <row r="9090">
          <cell r="B9090" t="str">
            <v>26-975-30-07</v>
          </cell>
          <cell r="C9090" t="str">
            <v>LINOS Tiefenmesser Einhand Ø 2,0/2,3 mm</v>
          </cell>
          <cell r="D9090" t="str">
            <v>LINOS depth gauge, one-hand  Ø 2.0/2.3 mm</v>
          </cell>
        </row>
        <row r="9091">
          <cell r="B9091" t="str">
            <v>26-975-31-07</v>
          </cell>
          <cell r="C9091" t="str">
            <v>MESSSPITZE LINOS TIEFENMESSER Ø 2,0/2,3</v>
          </cell>
          <cell r="D9091" t="str">
            <v>MEASURING TIP, LINOS DEPTH GAUGE 2.0/2.3</v>
          </cell>
        </row>
        <row r="9092">
          <cell r="B9092" t="str">
            <v>26-975-33-07</v>
          </cell>
          <cell r="C9092" t="str">
            <v>smartDrive  Schraubendreher kurz T5 drehb</v>
          </cell>
          <cell r="D9092" t="str">
            <v>smartDrive  Screwdriver T5 rotating short</v>
          </cell>
        </row>
        <row r="9093">
          <cell r="B9093" t="str">
            <v>26-975-36-07</v>
          </cell>
          <cell r="C9093" t="str">
            <v>smartDrive  Schraubendreher kurz T6 drehb</v>
          </cell>
          <cell r="D9093" t="str">
            <v>smartDrive  Screwdriver T6 rotating short</v>
          </cell>
        </row>
        <row r="9094">
          <cell r="B9094" t="str">
            <v>26-975-38-07</v>
          </cell>
          <cell r="C9094" t="str">
            <v>smartDrive  Schraubendreher kurz T5</v>
          </cell>
          <cell r="D9094" t="str">
            <v>smartDrive  Screwdriver T5 short</v>
          </cell>
        </row>
        <row r="9095">
          <cell r="B9095" t="str">
            <v>26-975-39-07</v>
          </cell>
          <cell r="C9095" t="str">
            <v>LINOS SCHRAUBENDREHER SMARTDRIVE T6</v>
          </cell>
          <cell r="D9095" t="str">
            <v>smartDrive  Screwdriver T6 short</v>
          </cell>
        </row>
        <row r="9096">
          <cell r="B9096" t="str">
            <v>26-975-40-07</v>
          </cell>
          <cell r="C9096" t="str">
            <v>Schraubendreherklinge smartDrive  T6, L</v>
          </cell>
          <cell r="D9096" t="str">
            <v>Screwdriver blade smartDrive  T6, L</v>
          </cell>
        </row>
        <row r="9097">
          <cell r="B9097" t="str">
            <v>26-975-42-07</v>
          </cell>
          <cell r="C9097" t="str">
            <v>LINOS Bohrführung 1,2 mm</v>
          </cell>
          <cell r="D9097" t="str">
            <v>LINOS drill guide 1,2 mm</v>
          </cell>
        </row>
        <row r="9098">
          <cell r="B9098" t="str">
            <v>26-975-43-07</v>
          </cell>
          <cell r="C9098" t="str">
            <v>LINOS Bohrbuchse 1,2 mm</v>
          </cell>
          <cell r="D9098" t="str">
            <v>LINOS locking drill guide 1,2 mm</v>
          </cell>
        </row>
        <row r="9099">
          <cell r="B9099" t="str">
            <v>26-975-44-07</v>
          </cell>
          <cell r="C9099" t="str">
            <v>smartDrive  Kernlochbohrer Ø1,0mm/DENT</v>
          </cell>
          <cell r="D9099" t="str">
            <v>smartDrive  core hole drill Ø1,0mm/DENT</v>
          </cell>
        </row>
        <row r="9100">
          <cell r="B9100" t="str">
            <v>26-975-44-71</v>
          </cell>
          <cell r="C9100" t="str">
            <v>smartDrive  KERNLOCHBOH. Ø1,0MM,  DENT,STE</v>
          </cell>
          <cell r="D9100" t="str">
            <v>smartDrive  CORE HOLE DRILL Ø1.0,DENT,STE</v>
          </cell>
        </row>
        <row r="9101">
          <cell r="B9101" t="str">
            <v>26-975-45-71</v>
          </cell>
          <cell r="C9101" t="str">
            <v>smartDrive  Gleitlochbohrer Ø1,2mm/DENT</v>
          </cell>
          <cell r="D9101" t="str">
            <v>smartDrive  glid. hole drill Ø1,2mm/DENT</v>
          </cell>
        </row>
        <row r="9102">
          <cell r="B9102" t="str">
            <v>26-975-75-07</v>
          </cell>
          <cell r="C9102" t="str">
            <v>LINOS Bohrführung 1,5 mm</v>
          </cell>
          <cell r="D9102" t="str">
            <v>LINOS drill guide 1,5 mm</v>
          </cell>
        </row>
        <row r="9103">
          <cell r="B9103" t="str">
            <v>26-975-76-07</v>
          </cell>
          <cell r="C9103" t="str">
            <v>LINOS Bohrbuchse 1,5 mm Gleitloch</v>
          </cell>
          <cell r="D9103" t="str">
            <v>LINOS locking drill guide 1,5 mm glide</v>
          </cell>
        </row>
        <row r="9104">
          <cell r="B9104" t="str">
            <v>26-975-77-07</v>
          </cell>
          <cell r="C9104" t="str">
            <v>LINOS Bohrbuchse 1,5 mm Kompression</v>
          </cell>
          <cell r="D9104" t="str">
            <v>LINOS locking drill guide 1,5mm compres.</v>
          </cell>
        </row>
        <row r="9105">
          <cell r="B9105" t="str">
            <v>26-975-80-07</v>
          </cell>
          <cell r="C9105" t="str">
            <v>LINOS Bohrführung 2,0 mm</v>
          </cell>
          <cell r="D9105" t="str">
            <v>LINOS drill guide 2,0 mm</v>
          </cell>
        </row>
        <row r="9106">
          <cell r="B9106" t="str">
            <v>26-975-81-07</v>
          </cell>
          <cell r="C9106" t="str">
            <v>LINOS Bohrbuchse 2,0 mm Gleitloch</v>
          </cell>
          <cell r="D9106" t="str">
            <v>LINOS locking drill guide 2,0 mm glide</v>
          </cell>
        </row>
        <row r="9107">
          <cell r="B9107" t="str">
            <v>26-975-82-07</v>
          </cell>
          <cell r="C9107" t="str">
            <v>LINOS Bohrbuchse 2,0 mm Kompression</v>
          </cell>
          <cell r="D9107" t="str">
            <v>LINOS locking drill guide 2,0mm compres.</v>
          </cell>
        </row>
        <row r="9108">
          <cell r="B9108" t="str">
            <v>26-975-85-07</v>
          </cell>
          <cell r="C9108" t="str">
            <v>LINOS Bohrführung 2,3 mm</v>
          </cell>
          <cell r="D9108" t="str">
            <v>LINOS drill guide 2,3 mm</v>
          </cell>
        </row>
        <row r="9109">
          <cell r="B9109" t="str">
            <v>26-975-86-07</v>
          </cell>
          <cell r="C9109" t="str">
            <v>LINOS Bohrbuchse 2,3 mm Gleitloch</v>
          </cell>
          <cell r="D9109" t="str">
            <v>LINOS locking drill guide 2,3 mm glide</v>
          </cell>
        </row>
        <row r="9110">
          <cell r="B9110" t="str">
            <v>26-975-87-07</v>
          </cell>
          <cell r="C9110" t="str">
            <v>LINOS Bohrbuchse 2,3 mm Kompression</v>
          </cell>
          <cell r="D9110" t="str">
            <v>LINOS locking drill guide 2,3mm compres.</v>
          </cell>
        </row>
        <row r="9111">
          <cell r="B9111" t="str">
            <v>26-975-89-07</v>
          </cell>
          <cell r="C9111" t="str">
            <v>LINOS K-DRAHT-SPENDER, Ø 0.9MM, 18CM</v>
          </cell>
          <cell r="D9111" t="str">
            <v>LINOS K-WIRE DISPENSER, Ø 0.9MM, 18CM</v>
          </cell>
        </row>
        <row r="9112">
          <cell r="B9112" t="str">
            <v>26-975-90-07</v>
          </cell>
          <cell r="C9112" t="str">
            <v>LINOS K-DRAHT  Ø 0.9MM,12CM,TROKAR,RUND</v>
          </cell>
          <cell r="D9112" t="str">
            <v>LINOS K-WIRE Ø 0.9MM,12CM,TROCAR,ROUND</v>
          </cell>
        </row>
        <row r="9113">
          <cell r="B9113" t="str">
            <v>26-990-10-04</v>
          </cell>
          <cell r="C9113" t="str">
            <v>KUGELSPIESS (REPOSITIONSINSTRUMENT)</v>
          </cell>
          <cell r="D9113" t="str">
            <v>REDUCTION INSTRUMENT</v>
          </cell>
        </row>
        <row r="9114">
          <cell r="B9114" t="str">
            <v>27-113-14-07</v>
          </cell>
          <cell r="C9114" t="str">
            <v>TRACHEALDILATATOR, LABORDE,  14 CM</v>
          </cell>
          <cell r="D9114" t="str">
            <v>TRACHEAL  DILATOR,  LABORDE,  14 CM</v>
          </cell>
        </row>
        <row r="9115">
          <cell r="B9115" t="str">
            <v>27-115-14-07</v>
          </cell>
          <cell r="C9115" t="str">
            <v>TRACHEALDILATATOR, TROUSSEAU, 14,5 CM</v>
          </cell>
          <cell r="D9115" t="str">
            <v>TRACHEAL  DILATOR,  TROUSSEAU, 14.5 CM</v>
          </cell>
        </row>
        <row r="9116">
          <cell r="B9116" t="str">
            <v>27-125-16-07</v>
          </cell>
          <cell r="C9116" t="str">
            <v>TRACHEALHAKEN, ITERSON,  SCHARF, 17 CM</v>
          </cell>
          <cell r="D9116" t="str">
            <v>TRACHEA  RETRACTOR, ITERSON,  SHARP, 17 CM</v>
          </cell>
        </row>
        <row r="9117">
          <cell r="B9117" t="str">
            <v>27-127-16-07</v>
          </cell>
          <cell r="C9117" t="str">
            <v>TRACHEALHAKEN, ITERSON,  STUMPF,  17 CM</v>
          </cell>
          <cell r="D9117" t="str">
            <v>TRACHEA  RETRACTOR, ITERSON,  BLUNT, 17 CM</v>
          </cell>
        </row>
        <row r="9118">
          <cell r="B9118" t="str">
            <v>27-143-13-07</v>
          </cell>
          <cell r="C9118" t="str">
            <v>TRACHEALHAKEN, ROSE, DOPPELEND., 15,5 CM</v>
          </cell>
          <cell r="D9118" t="str">
            <v>TRACHEA  RETRACTOR, ROSE, DBL., 15.5 CM</v>
          </cell>
        </row>
        <row r="9119">
          <cell r="B9119" t="str">
            <v>27-145-11-07</v>
          </cell>
          <cell r="C9119" t="str">
            <v>TRACHEALHAKEN, LUER, DOPPELEND. 11 CM</v>
          </cell>
          <cell r="D9119" t="str">
            <v>TRACHEA  RETRACTOR, LUER, DOUBLE,  11 CM</v>
          </cell>
        </row>
        <row r="9120">
          <cell r="B9120" t="str">
            <v>27-151-17-07</v>
          </cell>
          <cell r="C9120" t="str">
            <v>THYMUS-DOPPELHAKEN, LUKENS, 17,5 CM</v>
          </cell>
          <cell r="D9120" t="str">
            <v>THYMUS-RETRACTOR, LUKENS, DBL., 17.5 CM</v>
          </cell>
        </row>
        <row r="9121">
          <cell r="B9121" t="str">
            <v>27-155-17-07</v>
          </cell>
          <cell r="C9121" t="str">
            <v>TRACHEAL-DOPPELHAKEN, JACKSON,  18 CM</v>
          </cell>
          <cell r="D9121" t="str">
            <v>TRACHEA  RETRACTOR, JACKSON,  DBL., 18 CM</v>
          </cell>
        </row>
        <row r="9122">
          <cell r="B9122" t="str">
            <v>27-411-15-07</v>
          </cell>
          <cell r="C9122" t="str">
            <v>Kropfsonde, Kocher, O. Locher, 16 CM</v>
          </cell>
          <cell r="D9122" t="str">
            <v>Goitre Probe, Kocher,  W/O HOLE, 16 CM</v>
          </cell>
        </row>
        <row r="9123">
          <cell r="B9123" t="str">
            <v>27-413-15-07</v>
          </cell>
          <cell r="C9123" t="str">
            <v>Knopfsonde, Kocher, M.Loch 16 CM</v>
          </cell>
          <cell r="D9123" t="str">
            <v>Goitre Probe, Kocher, W. Hole, 16 CM</v>
          </cell>
        </row>
        <row r="9124">
          <cell r="B9124" t="str">
            <v>27-449-15-07</v>
          </cell>
          <cell r="C9124" t="str">
            <v>KROPFFASSZANGE, LAHEY, 3X3 Z., 15,5 CM</v>
          </cell>
          <cell r="D9124" t="str">
            <v>GOIT. SEIZ. FCPS., LAHEY, 3X3 T, 15.5 CM</v>
          </cell>
        </row>
        <row r="9125">
          <cell r="B9125" t="str">
            <v>27-449-20-07</v>
          </cell>
          <cell r="C9125" t="str">
            <v>KROPFFASSZANGE, LAHEY, 3X3 Z., 20 CM</v>
          </cell>
          <cell r="D9125" t="str">
            <v>GOITRE SEIZ. FCPS., LAHEY, 3X3 T., 20 CM</v>
          </cell>
        </row>
        <row r="9126">
          <cell r="B9126" t="str">
            <v>28-100-02-07</v>
          </cell>
          <cell r="C9126" t="str">
            <v>Dissektor,  Brust, bajonett,  34 cm</v>
          </cell>
          <cell r="D9126" t="str">
            <v>Dissector,  breast, bayonet,  34 cm</v>
          </cell>
        </row>
        <row r="9127">
          <cell r="B9127" t="str">
            <v>28-100-03-07</v>
          </cell>
          <cell r="C9127" t="str">
            <v>Dissektor,  Brust, bajonett,  37 cm</v>
          </cell>
          <cell r="D9127" t="str">
            <v>Dissector,  breast, bayonet,  37 cm</v>
          </cell>
        </row>
        <row r="9128">
          <cell r="B9128" t="str">
            <v>28-100-04-07</v>
          </cell>
          <cell r="C9128" t="str">
            <v>Dissektor,  Brusthaken, 36 cm</v>
          </cell>
          <cell r="D9128" t="str">
            <v>Dissector,  breast, Hook, 36 cm</v>
          </cell>
        </row>
        <row r="9129">
          <cell r="B9129" t="str">
            <v>28-100-05-07</v>
          </cell>
          <cell r="C9129" t="str">
            <v>Retraktor,  Brust, 125x30 mm, 27 cm</v>
          </cell>
          <cell r="D9129" t="str">
            <v>Retractor,  breast, 125x30 mm, 27 cm</v>
          </cell>
        </row>
        <row r="9130">
          <cell r="B9130" t="str">
            <v>28-100-06-07</v>
          </cell>
          <cell r="C9130" t="str">
            <v>Retraktor,  Brust, 140x30 mm, 27 cm</v>
          </cell>
          <cell r="D9130" t="str">
            <v>Retractor,  breast, 140x30 mm, 27 cm</v>
          </cell>
        </row>
        <row r="9131">
          <cell r="B9131" t="str">
            <v>28-100-07-07</v>
          </cell>
          <cell r="C9131" t="str">
            <v>Heber, Brust, für Mammaplastik, 28 cm</v>
          </cell>
          <cell r="D9131" t="str">
            <v>Elevator,  Breast, f. Mammaplasty, 28 cm</v>
          </cell>
        </row>
        <row r="9132">
          <cell r="B9132" t="str">
            <v>28-100-10-07</v>
          </cell>
          <cell r="C9132" t="str">
            <v>Mamillenring, stpf., Ø 36 mm</v>
          </cell>
          <cell r="D9132" t="str">
            <v>Areola marker, blunt, Ø 36 mm</v>
          </cell>
        </row>
        <row r="9133">
          <cell r="B9133" t="str">
            <v>28-100-11-07</v>
          </cell>
          <cell r="C9133" t="str">
            <v>Mamillenring, stpf., Ø 40 mm</v>
          </cell>
          <cell r="D9133" t="str">
            <v>Areola marker, blunt, Ø 40 mm</v>
          </cell>
        </row>
        <row r="9134">
          <cell r="B9134" t="str">
            <v>28-100-12-07</v>
          </cell>
          <cell r="C9134" t="str">
            <v>Mamillenring, stpf., Ø 42 mm</v>
          </cell>
          <cell r="D9134" t="str">
            <v>Areola marker, blunt, Ø 42 mm</v>
          </cell>
        </row>
        <row r="9135">
          <cell r="B9135" t="str">
            <v>28-100-13-07</v>
          </cell>
          <cell r="C9135" t="str">
            <v>Mamillenring, stpf., Ø 45 mm</v>
          </cell>
          <cell r="D9135" t="str">
            <v>Areola marker, blunt, Ø 45 mm</v>
          </cell>
        </row>
        <row r="9136">
          <cell r="B9136" t="str">
            <v>28-120-00-07</v>
          </cell>
          <cell r="C9136" t="str">
            <v>Transferadapter, LL/W zu LL/W, 7,5 cm</v>
          </cell>
          <cell r="D9136" t="str">
            <v>Adapter, LL/W to LL/W, 7,5 cm</v>
          </cell>
        </row>
        <row r="9137">
          <cell r="B9137" t="str">
            <v>28-135-14-07</v>
          </cell>
          <cell r="C9137" t="str">
            <v>LUPUSSCHABER, VIDAL, 13 CM</v>
          </cell>
          <cell r="D9137" t="str">
            <v>LUPUS SCRAPER,  VIDAL, 13 CM</v>
          </cell>
        </row>
        <row r="9138">
          <cell r="B9138" t="str">
            <v>28-188-01-07</v>
          </cell>
          <cell r="C9138" t="str">
            <v>LUPUSKÜRETTE, FOX, GER., 3 MM, 14 CM</v>
          </cell>
          <cell r="D9138" t="str">
            <v>LUPUS CURETTE,  FOX, STR., 3 MM, 14 CM</v>
          </cell>
        </row>
        <row r="9139">
          <cell r="B9139" t="str">
            <v>28-188-02-07</v>
          </cell>
          <cell r="C9139" t="str">
            <v>LUPUSKÜRETTE, FOX, GER., 4 MM, 14 CM</v>
          </cell>
          <cell r="D9139" t="str">
            <v>LUPUS CURETTE,  FOX, STR., 4 MM, 14 CM</v>
          </cell>
        </row>
        <row r="9140">
          <cell r="B9140" t="str">
            <v>28-188-03-07</v>
          </cell>
          <cell r="C9140" t="str">
            <v>LUPUSKÜRETTE, FOX, GER., 5 MM, 14 CM</v>
          </cell>
          <cell r="D9140" t="str">
            <v>LUPUS CURETTE,  FOX, STR., 5 MM, 14 CM</v>
          </cell>
        </row>
        <row r="9141">
          <cell r="B9141" t="str">
            <v>28-188-04-07</v>
          </cell>
          <cell r="C9141" t="str">
            <v>LUPUSKÜRETTE, FOX, GER., 6 MM, 14 CM</v>
          </cell>
          <cell r="D9141" t="str">
            <v>LUPUS CURETTE,  FOX, STR., 6 MM, 14 CM</v>
          </cell>
        </row>
        <row r="9142">
          <cell r="B9142" t="str">
            <v>28-196-01-07</v>
          </cell>
          <cell r="C9142" t="str">
            <v>LUPUSLÖFFEL, WOLFF, FIG. 1, 14 CM</v>
          </cell>
          <cell r="D9142" t="str">
            <v>LUPUS SCOOP, WOLFF, NO. 1, 14 CM</v>
          </cell>
        </row>
        <row r="9143">
          <cell r="B9143" t="str">
            <v>28-196-02-07</v>
          </cell>
          <cell r="C9143" t="str">
            <v>LUPUSLÖFFEL, WOLFF, FIG. 2, 14 CM</v>
          </cell>
          <cell r="D9143" t="str">
            <v>LUPUS SCOOP, WOLFF, NO. 2, 14 CM</v>
          </cell>
        </row>
        <row r="9144">
          <cell r="B9144" t="str">
            <v>28-196-03-07</v>
          </cell>
          <cell r="C9144" t="str">
            <v>LUPUSLÖFFEL, WOLFF, FIG. 3, 14 CM</v>
          </cell>
          <cell r="D9144" t="str">
            <v>LUPUS SCOOP, WOLFF, NO. 3, 14 CM</v>
          </cell>
        </row>
        <row r="9145">
          <cell r="B9145" t="str">
            <v>28-196-04-07</v>
          </cell>
          <cell r="C9145" t="str">
            <v>LUPUSLÖFFEL, WOLFF, FIG. 4, 14 CM</v>
          </cell>
          <cell r="D9145" t="str">
            <v>LUPUS SCOOP, WOLFF, NO. 4, 14 CM</v>
          </cell>
        </row>
        <row r="9146">
          <cell r="B9146" t="str">
            <v>28-196-05-07</v>
          </cell>
          <cell r="C9146" t="str">
            <v>LUPUSLÖFFEL, WOLFF, FIG. 5, 14 CM</v>
          </cell>
          <cell r="D9146" t="str">
            <v>LUPUS SCOOP, WOLFF, NO. 5, 14 CM</v>
          </cell>
        </row>
        <row r="9147">
          <cell r="B9147" t="str">
            <v>28-196-06-07</v>
          </cell>
          <cell r="C9147" t="str">
            <v>LUPUSLÖFFEL, WOLFF, FIG. 6, 14 CM</v>
          </cell>
          <cell r="D9147" t="str">
            <v>LUPUS SCOOP, WOLFF, NO. 6, 14 CM</v>
          </cell>
        </row>
        <row r="9148">
          <cell r="B9148" t="str">
            <v>28-203-15-07</v>
          </cell>
          <cell r="C9148" t="str">
            <v>HAUTHÄKCHEN, KILNER, FEIN, 14,5 CM</v>
          </cell>
          <cell r="D9148" t="str">
            <v>SKIN HOOKLET,  KILNER, GRACILE,  14.5 CM</v>
          </cell>
        </row>
        <row r="9149">
          <cell r="B9149" t="str">
            <v>28-207-18-07</v>
          </cell>
          <cell r="C9149" t="str">
            <v>HAUTHÄKCHEN, GILLIES, FIG. 1, 18 CM</v>
          </cell>
          <cell r="D9149" t="str">
            <v>SKIN HOOKLET,  GILLIES, NO. 1, 18 CM</v>
          </cell>
        </row>
        <row r="9150">
          <cell r="B9150" t="str">
            <v>28-209-18-07</v>
          </cell>
          <cell r="C9150" t="str">
            <v>HAUTHÄKCHEN, GILLIES, FIG. 2, 18 CM</v>
          </cell>
          <cell r="D9150" t="str">
            <v>SKIN HOOKLET,  GILLIES, NO. 2, 18 CM</v>
          </cell>
        </row>
        <row r="9151">
          <cell r="B9151" t="str">
            <v>28-215-03-07</v>
          </cell>
          <cell r="C9151" t="str">
            <v>FACE-LIFT  HÄKCHEN,  KAYE, 4-ZINK., 13 CM</v>
          </cell>
          <cell r="D9151" t="str">
            <v>FACE-LIFT  HOOKLET,  KAYE, 4-PR., 13 CM</v>
          </cell>
        </row>
        <row r="9152">
          <cell r="B9152" t="str">
            <v>28-215-04-07</v>
          </cell>
          <cell r="C9152" t="str">
            <v>FACE-LIFT  HÄKCHEN,  KAYE, 5-ZINK., 13 CM</v>
          </cell>
          <cell r="D9152" t="str">
            <v>FACE-LIFT  HOOKLET,  KAYE, 5-PR., 13 CM</v>
          </cell>
        </row>
        <row r="9153">
          <cell r="B9153" t="str">
            <v>28-240-02-07</v>
          </cell>
          <cell r="C9153" t="str">
            <v>HAUTTREPHINE, KEYES, M. GRIFF, Ø 2 MM</v>
          </cell>
          <cell r="D9153" t="str">
            <v>DERMAL PUNCH, KEYES, W. HANDLE,  Ø 2 MM</v>
          </cell>
        </row>
        <row r="9154">
          <cell r="B9154" t="str">
            <v>28-240-03-07</v>
          </cell>
          <cell r="C9154" t="str">
            <v>HAUTTREPHINE, KEYES, M. GRIFF, Ø 3 MM</v>
          </cell>
          <cell r="D9154" t="str">
            <v>DERMAL PUNCH, KEYES, W. HANDLE,  Ø 3 MM</v>
          </cell>
        </row>
        <row r="9155">
          <cell r="B9155" t="str">
            <v>28-240-04-07</v>
          </cell>
          <cell r="C9155" t="str">
            <v>HAUTTREPHINE, KEYES, M. GRIFF, Ø 4 MM</v>
          </cell>
          <cell r="D9155" t="str">
            <v>DERMAL PUNCH, KEYES, W. HANDLE,  Ø 4 MM</v>
          </cell>
        </row>
        <row r="9156">
          <cell r="B9156" t="str">
            <v>28-240-05-07</v>
          </cell>
          <cell r="C9156" t="str">
            <v>HAUTTREPHINE, KEYES, M. GRIFF, Ø 5 MM</v>
          </cell>
          <cell r="D9156" t="str">
            <v>DERMAL PUNCH, KEYES, W. HANDLE,  Ø 5 MM</v>
          </cell>
        </row>
        <row r="9157">
          <cell r="B9157" t="str">
            <v>28-240-06-07</v>
          </cell>
          <cell r="C9157" t="str">
            <v>HAUTTREPHINE, KEYES, M. GRIFF, Ø 6 MM</v>
          </cell>
          <cell r="D9157" t="str">
            <v>DERMAL PUNCH, KEYES, W. HANDLE,  Ø 6 MM</v>
          </cell>
        </row>
        <row r="9158">
          <cell r="B9158" t="str">
            <v>28-240-07-07</v>
          </cell>
          <cell r="C9158" t="str">
            <v>HAUTTREPHINE, KEYES, M. GRIFF, Ø 7 MM</v>
          </cell>
          <cell r="D9158" t="str">
            <v>DERMAL PUNCH, KEYES, W. HANDLE,  Ø 7 MM</v>
          </cell>
        </row>
        <row r="9159">
          <cell r="B9159" t="str">
            <v>28-240-08-07</v>
          </cell>
          <cell r="C9159" t="str">
            <v>HAUTTREPHINE, KEYES, M. GRIFF, Ø 8 MM</v>
          </cell>
          <cell r="D9159" t="str">
            <v>DERMAL PUNCH, KEYES, W. HANDLE,  Ø 8 MM</v>
          </cell>
        </row>
        <row r="9160">
          <cell r="B9160" t="str">
            <v>28-261-14-07</v>
          </cell>
          <cell r="C9160" t="str">
            <v>KOMEDONENQUETSCHER, UNNA, 14,5 CM</v>
          </cell>
          <cell r="D9160" t="str">
            <v>COMEDONE EXTRACTOR, UNNA, 14.5 CM</v>
          </cell>
        </row>
        <row r="9161">
          <cell r="B9161" t="str">
            <v>28-263-14-07</v>
          </cell>
          <cell r="C9161" t="str">
            <v>KOMEDONENQUETSCHER, UNNA, 14 CM</v>
          </cell>
          <cell r="D9161" t="str">
            <v>COMEDONE EXTRACTOR, UNNA, 14 CM</v>
          </cell>
        </row>
        <row r="9162">
          <cell r="B9162" t="str">
            <v>28-271-10-07</v>
          </cell>
          <cell r="C9162" t="str">
            <v>KOMEDONENQUETSCHER, SAALFELD,  11 CM</v>
          </cell>
          <cell r="D9162" t="str">
            <v>COMEDONE EXTRACTOR, SAALFELD,  11 CM</v>
          </cell>
        </row>
        <row r="9163">
          <cell r="B9163" t="str">
            <v>28-275-14-07</v>
          </cell>
          <cell r="C9163" t="str">
            <v>KOMEDONENQUETSCHER, SAALFELD,  14,5 CM</v>
          </cell>
          <cell r="D9163" t="str">
            <v>COMEDONE EXTRACTOR, SAALFELD,  14.5 CM</v>
          </cell>
        </row>
        <row r="9164">
          <cell r="B9164" t="str">
            <v>28-279-10-07</v>
          </cell>
          <cell r="C9164" t="str">
            <v>KOMEDONENQUETSCHER, SCHAMBERG, 9,5 CM</v>
          </cell>
          <cell r="D9164" t="str">
            <v>COMEDONE EXTRACTOR, SCHAMBERG, 9.5 CM</v>
          </cell>
        </row>
        <row r="9165">
          <cell r="B9165" t="str">
            <v>28-294-14-07</v>
          </cell>
          <cell r="C9165" t="str">
            <v>KOMEDONENQUETSCHER, KATSCH, 16 CM</v>
          </cell>
          <cell r="D9165" t="str">
            <v>COMEDONE EXTRACTOR, KATSCH, 16 CM</v>
          </cell>
        </row>
        <row r="9166">
          <cell r="B9166" t="str">
            <v>28-298-16-07</v>
          </cell>
          <cell r="C9166" t="str">
            <v>Klemme,  Aiach, ger., 5 mm, 16 cm</v>
          </cell>
          <cell r="D9166" t="str">
            <v>Forceps, Aiach, str., 5 mm, 16 cm</v>
          </cell>
        </row>
        <row r="9167">
          <cell r="B9167" t="str">
            <v>28-300-15-07</v>
          </cell>
          <cell r="C9167" t="str">
            <v>FACE-LIFT  KLEMME,  D'ASSUMPCAO, 16 CM</v>
          </cell>
          <cell r="D9167" t="str">
            <v>FACE-LIFT  FORCEPS,  D'ASSUMPCAO, 16 CM</v>
          </cell>
        </row>
        <row r="9168">
          <cell r="B9168" t="str">
            <v>28-372-16-07</v>
          </cell>
          <cell r="C9168" t="str">
            <v>Markierer,  Pitanguy,  5 mm, 16 cm</v>
          </cell>
          <cell r="D9168" t="str">
            <v>Facelift marker, Pitanguy,  5 mm, 16 cm</v>
          </cell>
        </row>
        <row r="9169">
          <cell r="B9169" t="str">
            <v>28-400-11-07</v>
          </cell>
          <cell r="C9169" t="str">
            <v>ST-Schere,  chir., fein, sp/sp, ger, 11cm</v>
          </cell>
          <cell r="D9169" t="str">
            <v>ST-Scissor,  fine, sh/sh, str., 11cm</v>
          </cell>
        </row>
        <row r="9170">
          <cell r="B9170" t="str">
            <v>28-400-13-07</v>
          </cell>
          <cell r="C9170" t="str">
            <v>ST-Schere,  Jabaley, fein, ger., 13 cm</v>
          </cell>
          <cell r="D9170" t="str">
            <v>ST-Scissor,  Jabaley, fine, str., 13 cm</v>
          </cell>
        </row>
        <row r="9171">
          <cell r="B9171" t="str">
            <v>28-401-11-07</v>
          </cell>
          <cell r="C9171" t="str">
            <v>ST-Schere,  chir., fein, sp/sp, geb, 11cm</v>
          </cell>
          <cell r="D9171" t="str">
            <v>ST-Scissor,  fine, sh/sh, cvd., 11cm</v>
          </cell>
        </row>
        <row r="9172">
          <cell r="B9172" t="str">
            <v>28-401-13-07</v>
          </cell>
          <cell r="C9172" t="str">
            <v>ST-Schere,  Jabaley, fein, geb., 13 cm</v>
          </cell>
          <cell r="D9172" t="str">
            <v>ST-Scissor,  Jabaley, fine, cvd., 13 cm</v>
          </cell>
        </row>
        <row r="9173">
          <cell r="B9173" t="str">
            <v>28-402-10-07</v>
          </cell>
          <cell r="C9173" t="str">
            <v>ST-Schere,  Iris, ger., 10,5 cm</v>
          </cell>
          <cell r="D9173" t="str">
            <v>ST-Scissor,  Iris, str., 10,5 cm</v>
          </cell>
        </row>
        <row r="9174">
          <cell r="B9174" t="str">
            <v>28-402-11-07</v>
          </cell>
          <cell r="C9174" t="str">
            <v>ST-Schere,  Iris, ger., 11,5 cm</v>
          </cell>
          <cell r="D9174" t="str">
            <v>ST-Scissor,  Iris, str., 11,5 cm</v>
          </cell>
        </row>
        <row r="9175">
          <cell r="B9175" t="str">
            <v>28-403-09-07</v>
          </cell>
          <cell r="C9175" t="str">
            <v>ST-Schere,  Micro-Iris,  geb., 9 cm</v>
          </cell>
          <cell r="D9175" t="str">
            <v>ST-Scissor,  Micro-Iris,  cvd., 9 cm</v>
          </cell>
        </row>
        <row r="9176">
          <cell r="B9176" t="str">
            <v>28-403-10-07</v>
          </cell>
          <cell r="C9176" t="str">
            <v>ST-Schere,  Iris, geb., 10,5 cm</v>
          </cell>
          <cell r="D9176" t="str">
            <v>ST-Scissor,  Iris, cvd., 10,5 cm</v>
          </cell>
        </row>
        <row r="9177">
          <cell r="B9177" t="str">
            <v>28-403-11-07</v>
          </cell>
          <cell r="C9177" t="str">
            <v>ST-Schere,  Iris, geb., 11,5 cm</v>
          </cell>
          <cell r="D9177" t="str">
            <v>ST-Scissor,  Iris, cvd., 11,5 cm</v>
          </cell>
        </row>
        <row r="9178">
          <cell r="B9178" t="str">
            <v>28-404-11-07</v>
          </cell>
          <cell r="C9178" t="str">
            <v>ST-Schere,  Präp., Iris, ger., 11,5 cm</v>
          </cell>
          <cell r="D9178" t="str">
            <v>ST-Scissor,  Diss., Iris, str., 11,5 cm</v>
          </cell>
        </row>
        <row r="9179">
          <cell r="B9179" t="str">
            <v>28-404-12-07</v>
          </cell>
          <cell r="C9179" t="str">
            <v>ST-Schere,  Präp., Knapp, ger., 12,5 cm</v>
          </cell>
          <cell r="D9179" t="str">
            <v>ST-Scissor,  Diss., Knapp, str., 12,5 cm</v>
          </cell>
        </row>
        <row r="9180">
          <cell r="B9180" t="str">
            <v>28-405-11-07</v>
          </cell>
          <cell r="C9180" t="str">
            <v>ST-Schere,  Präp., Iris, geb., 11,5 cm</v>
          </cell>
          <cell r="D9180" t="str">
            <v>ST-Scissor,  Diss., Iris, cvd., 11,5 cm</v>
          </cell>
        </row>
        <row r="9181">
          <cell r="B9181" t="str">
            <v>28-405-12-07</v>
          </cell>
          <cell r="C9181" t="str">
            <v>ST-Schere,  Präp., Knapp, geb., 12,5 cm</v>
          </cell>
          <cell r="D9181" t="str">
            <v>ST-Scissor,  Diss., Knapp, cvd., 12,5 cm</v>
          </cell>
        </row>
        <row r="9182">
          <cell r="B9182" t="str">
            <v>28-406-11-07</v>
          </cell>
          <cell r="C9182" t="str">
            <v>ST-Schere,  Stevens, st/st, ger., 11,5 cm</v>
          </cell>
          <cell r="D9182" t="str">
            <v>ST-Scissor,  Stevens, bl/bl, str., 11,5cm</v>
          </cell>
        </row>
        <row r="9183">
          <cell r="B9183" t="str">
            <v>28-407-11-07</v>
          </cell>
          <cell r="C9183" t="str">
            <v>ST-Schere,  Stevens, st/st, geb., 11,5 cm</v>
          </cell>
          <cell r="D9183" t="str">
            <v>ST-Scissor,  Stevens, bl/bl, cvd., 11,5cm</v>
          </cell>
        </row>
        <row r="9184">
          <cell r="B9184" t="str">
            <v>28-408-14-07</v>
          </cell>
          <cell r="C9184" t="str">
            <v>ST-Schere,  Präp., Mayo, ger., 14,0 cm</v>
          </cell>
          <cell r="D9184" t="str">
            <v>ST-Scissor,  Diss., Mayo, str., 14,0 cm</v>
          </cell>
        </row>
        <row r="9185">
          <cell r="B9185" t="str">
            <v>28-408-17-07</v>
          </cell>
          <cell r="C9185" t="str">
            <v>ST-Schere,  Präp., Mayo, ger., 17,0 cm</v>
          </cell>
          <cell r="D9185" t="str">
            <v>ST-Scissor,  Diss., Mayo, str., 17,0 cm</v>
          </cell>
        </row>
        <row r="9186">
          <cell r="B9186" t="str">
            <v>28-409-14-07</v>
          </cell>
          <cell r="C9186" t="str">
            <v>ST-Schere,  Präp., Mayo, geb., 14,0 cm</v>
          </cell>
          <cell r="D9186" t="str">
            <v>ST-Scissor,  Diss., Mayo, cvd., 14,0 cm</v>
          </cell>
        </row>
        <row r="9187">
          <cell r="B9187" t="str">
            <v>28-409-17-07</v>
          </cell>
          <cell r="C9187" t="str">
            <v>ST-Schere,  Präp., Mayo, geb., 17,0 cm</v>
          </cell>
          <cell r="D9187" t="str">
            <v>ST-Scissor,  Diss., Mayo, cvd., 17,0 cm</v>
          </cell>
        </row>
        <row r="9188">
          <cell r="B9188" t="str">
            <v>28-410-16-07</v>
          </cell>
          <cell r="C9188" t="str">
            <v>ST-Schere,  Präp., Lexer, ger., 16 cm</v>
          </cell>
          <cell r="D9188" t="str">
            <v>ST-Scissor,  Diss., Lexer, str., 16 cm</v>
          </cell>
        </row>
        <row r="9189">
          <cell r="B9189" t="str">
            <v>28-411-16-07</v>
          </cell>
          <cell r="C9189" t="str">
            <v>ST-Schere,  Präp., Lexer, geb., 16 cm</v>
          </cell>
          <cell r="D9189" t="str">
            <v>ST-Scissor,  Diss., Lexer, cvd., 16 cm</v>
          </cell>
        </row>
        <row r="9190">
          <cell r="B9190" t="str">
            <v>28-413-15-07</v>
          </cell>
          <cell r="C9190" t="str">
            <v>ST-Schere,  Präp., Mayo-Stille, geb, 15cm</v>
          </cell>
          <cell r="D9190" t="str">
            <v>ST-Scissor,  Diss., Mayo-Stille, cvd,15cm</v>
          </cell>
        </row>
        <row r="9191">
          <cell r="B9191" t="str">
            <v>28-413-16-07</v>
          </cell>
          <cell r="C9191" t="str">
            <v>ST-Schere,  Präp, Mayo-Lexer, geb, 16,5cm</v>
          </cell>
          <cell r="D9191" t="str">
            <v>ST-Scissor,  Diss., Mayo-L., cvd,16,5cm</v>
          </cell>
        </row>
        <row r="9192">
          <cell r="B9192" t="str">
            <v>28-413-17-07</v>
          </cell>
          <cell r="C9192" t="str">
            <v>ST-Schere,  Präp., Mayo-Stille, geb, 17cm</v>
          </cell>
          <cell r="D9192" t="str">
            <v>ST-Scissor,  Diss., Mayo-Stille, cvd,17cm</v>
          </cell>
        </row>
        <row r="9193">
          <cell r="B9193" t="str">
            <v>28-415-11-07</v>
          </cell>
          <cell r="C9193" t="str">
            <v>ST-Schere,  Greenberg  PAR, geb., 11,5 cm</v>
          </cell>
          <cell r="D9193" t="str">
            <v>ST-Scissor,  Greenberg  PAR, cvd., 11,5 cm</v>
          </cell>
        </row>
        <row r="9194">
          <cell r="B9194" t="str">
            <v>28-417-13-07</v>
          </cell>
          <cell r="C9194" t="str">
            <v>ST-Schere,  Ragnell-Kilner, geb., 13 cm</v>
          </cell>
          <cell r="D9194" t="str">
            <v>ST-Scissor,  Ragnell-Kilner, cvd., 13 cm</v>
          </cell>
        </row>
        <row r="9195">
          <cell r="B9195" t="str">
            <v>28-417-15-07</v>
          </cell>
          <cell r="C9195" t="str">
            <v>ST-Schere,  Ragnell-Kilner, geb., 15 cm</v>
          </cell>
          <cell r="D9195" t="str">
            <v>ST-Scissor,  Ragnell-Kilner, cvd., 15 cm</v>
          </cell>
        </row>
        <row r="9196">
          <cell r="B9196" t="str">
            <v>28-417-18-07</v>
          </cell>
          <cell r="C9196" t="str">
            <v>ST-Schere,  Ragnell-Kilner, geb., 18 cm</v>
          </cell>
          <cell r="D9196" t="str">
            <v>ST-Scissor,  Ragnell-Kilner, cvd., 18 cm</v>
          </cell>
        </row>
        <row r="9197">
          <cell r="B9197" t="str">
            <v>28-418-14-07</v>
          </cell>
          <cell r="C9197" t="str">
            <v>ST-Schere,  Peck-Joseph, sp/sp, ger, 14cm</v>
          </cell>
          <cell r="D9197" t="str">
            <v>ST-Scissor,  Peck-Joseph, sh/sh, str,14cm</v>
          </cell>
        </row>
        <row r="9198">
          <cell r="B9198" t="str">
            <v>28-419-14-07</v>
          </cell>
          <cell r="C9198" t="str">
            <v>ST-Schere,  Peck-Joseph, sp/sp, geb, 14cm</v>
          </cell>
          <cell r="D9198" t="str">
            <v>ST-Scissor,  Peck-Joseph, sh/sh, cvd,14cm</v>
          </cell>
        </row>
        <row r="9199">
          <cell r="B9199" t="str">
            <v>28-420-14-07</v>
          </cell>
          <cell r="C9199" t="str">
            <v>ST-Schere,  Peck-Joseph, st/st, ger, 14cm</v>
          </cell>
          <cell r="D9199" t="str">
            <v>ST-Scissor,  Peck-Joseph, bl/bl, str,14cm</v>
          </cell>
        </row>
        <row r="9200">
          <cell r="B9200" t="str">
            <v>28-421-14-07</v>
          </cell>
          <cell r="C9200" t="str">
            <v>ST-Schere,  Peck-Joseph, st/st, geb, 14cm</v>
          </cell>
          <cell r="D9200" t="str">
            <v>ST-Scissor,  Peck-Joseph, bl/bl, cvd,14cm</v>
          </cell>
        </row>
        <row r="9201">
          <cell r="B9201" t="str">
            <v>28-422-14-07</v>
          </cell>
          <cell r="C9201" t="str">
            <v>ST-Schere,  Präp., fino, sp/sp, ger, 14cm</v>
          </cell>
          <cell r="D9201" t="str">
            <v>ST-Scissor,  Diss., fino, sh/sh, str,14cm</v>
          </cell>
        </row>
        <row r="9202">
          <cell r="B9202" t="str">
            <v>28-423-14-07</v>
          </cell>
          <cell r="C9202" t="str">
            <v>ST-Schere,  Präp., fino, sp/sp, geb, 14cm</v>
          </cell>
          <cell r="D9202" t="str">
            <v>ST-Scissor,  Diss., fino, sh/sh, cvd,14cm</v>
          </cell>
        </row>
        <row r="9203">
          <cell r="B9203" t="str">
            <v>28-423-18-07</v>
          </cell>
          <cell r="C9203" t="str">
            <v>ST-Schere,  Präp., fino, sp/sp, geb, 18cm</v>
          </cell>
          <cell r="D9203" t="str">
            <v>ST-Scissor,  Diss., fino, sh/sh, cvd,18cm</v>
          </cell>
        </row>
        <row r="9204">
          <cell r="B9204" t="str">
            <v>28-424-11-07</v>
          </cell>
          <cell r="C9204" t="str">
            <v>ST-Schere,  Präp., Metzenb.,  ger., 11,5cm</v>
          </cell>
          <cell r="D9204" t="str">
            <v>ST-Scissor,  Diss., Metzenb.,  str.,11,5cm</v>
          </cell>
        </row>
        <row r="9205">
          <cell r="B9205" t="str">
            <v>28-424-14-07</v>
          </cell>
          <cell r="C9205" t="str">
            <v>ST-Schere,  Präp., Metzenbaum, ger., 14cm</v>
          </cell>
          <cell r="D9205" t="str">
            <v>ST-Scissor,  Diss., Metzenbaum, str.,14cm</v>
          </cell>
        </row>
        <row r="9206">
          <cell r="B9206" t="str">
            <v>28-424-18-07</v>
          </cell>
          <cell r="C9206" t="str">
            <v>ST-Schere,  Präp., Metzenbaum, ger., 18cm</v>
          </cell>
          <cell r="D9206" t="str">
            <v>ST-Scissor,  Diss., Metzenbaum, str.,18cm</v>
          </cell>
        </row>
        <row r="9207">
          <cell r="B9207" t="str">
            <v>28-424-20-07</v>
          </cell>
          <cell r="C9207" t="str">
            <v>ST-Schere,  Präp., Metzenbaum, ger., 20cm</v>
          </cell>
          <cell r="D9207" t="str">
            <v>ST-Scissor,  Diss., Metzenbaum, str.,20cm</v>
          </cell>
        </row>
        <row r="9208">
          <cell r="B9208" t="str">
            <v>28-425-11-07</v>
          </cell>
          <cell r="C9208" t="str">
            <v>ST-Schere,  Präp., Metzenb.,  geb., 11,5cm</v>
          </cell>
          <cell r="D9208" t="str">
            <v>ST-Scissor,  Diss., Metzenb.,  cvd.,11,5cm</v>
          </cell>
        </row>
        <row r="9209">
          <cell r="B9209" t="str">
            <v>28-425-14-07</v>
          </cell>
          <cell r="C9209" t="str">
            <v>ST-Schere,  Präp., Metzenbaum, geb., 14cm</v>
          </cell>
          <cell r="D9209" t="str">
            <v>ST-Scissor,  Diss., Metzenbaum, cvd.,14cm</v>
          </cell>
        </row>
        <row r="9210">
          <cell r="B9210" t="str">
            <v>28-425-18-07</v>
          </cell>
          <cell r="C9210" t="str">
            <v>ST-Schere,  Präp., Metzenbaum, geb., 18cm</v>
          </cell>
          <cell r="D9210" t="str">
            <v>ST-Scissor,  Diss., Metzenbaum, cvd.,18cm</v>
          </cell>
        </row>
        <row r="9211">
          <cell r="B9211" t="str">
            <v>28-425-20-07</v>
          </cell>
          <cell r="C9211" t="str">
            <v>ST-Schere,  Präp., Metzenbaum, geb., 20cm</v>
          </cell>
          <cell r="D9211" t="str">
            <v>ST-Scissor,  Diss., Metzenbaum, cvd.,20cm</v>
          </cell>
        </row>
        <row r="9212">
          <cell r="B9212" t="str">
            <v>28-426-23-07</v>
          </cell>
          <cell r="C9212" t="str">
            <v>ST-Schere,  Metzenb.-Nelson, ger., 23 cm</v>
          </cell>
          <cell r="D9212" t="str">
            <v>ST-Scissor,  Metzenb.-Nelson, str., 23 cm</v>
          </cell>
        </row>
        <row r="9213">
          <cell r="B9213" t="str">
            <v>28-426-26-07</v>
          </cell>
          <cell r="C9213" t="str">
            <v>ST-Schere,  Metzenb.-Nelson, ger., 26 cm</v>
          </cell>
          <cell r="D9213" t="str">
            <v>ST-Scissor,  Metzenb.-Nelson, str., 26 cm</v>
          </cell>
        </row>
        <row r="9214">
          <cell r="B9214" t="str">
            <v>28-426-30-07</v>
          </cell>
          <cell r="C9214" t="str">
            <v>ST-Schere,  Metzenb.-Nelson, ger., 30 cm</v>
          </cell>
          <cell r="D9214" t="str">
            <v>ST-Scissor,  Metzenb.-Nelson, str., 30 cm</v>
          </cell>
        </row>
        <row r="9215">
          <cell r="B9215" t="str">
            <v>28-427-23-07</v>
          </cell>
          <cell r="C9215" t="str">
            <v>ST-Schere,  Metzenb.-Nelson, geb., 23 cm</v>
          </cell>
          <cell r="D9215" t="str">
            <v>ST-Scissor,  Metzenb.-Nelson, cvd., 23 cm</v>
          </cell>
        </row>
        <row r="9216">
          <cell r="B9216" t="str">
            <v>28-427-26-07</v>
          </cell>
          <cell r="C9216" t="str">
            <v>ST-Schere,  Metzenb.-Nelson, geb., 26 cm</v>
          </cell>
          <cell r="D9216" t="str">
            <v>ST-Scissor,  Metzenb.-Nelson, cvd., 26 cm</v>
          </cell>
        </row>
        <row r="9217">
          <cell r="B9217" t="str">
            <v>28-427-30-07</v>
          </cell>
          <cell r="C9217" t="str">
            <v>ST-Schere,  Metzenb.-Nelson, geb., 30 cm</v>
          </cell>
          <cell r="D9217" t="str">
            <v>ST-Scissor,  Metzenb.-Nelson, cvd., 30 cm</v>
          </cell>
        </row>
        <row r="9218">
          <cell r="B9218" t="str">
            <v>28-428-14-07</v>
          </cell>
          <cell r="C9218" t="str">
            <v>ST-Schere,  Metzenbaum-fino, ger., 14 cm</v>
          </cell>
          <cell r="D9218" t="str">
            <v>ST-Scissor,  Metzenbaum-fino, str.,14 cm</v>
          </cell>
        </row>
        <row r="9219">
          <cell r="B9219" t="str">
            <v>28-428-18-07</v>
          </cell>
          <cell r="C9219" t="str">
            <v>ST-Schere,  Metzenbaum-fino, ger., 18 cm</v>
          </cell>
          <cell r="D9219" t="str">
            <v>ST-Scissor,  Metzenbaum-fino, str.,18 cm</v>
          </cell>
        </row>
        <row r="9220">
          <cell r="B9220" t="str">
            <v>28-428-20-07</v>
          </cell>
          <cell r="C9220" t="str">
            <v>ST-Schere,  Metzenbaum-fino, ger., 20 cm</v>
          </cell>
          <cell r="D9220" t="str">
            <v>ST-Scissor,  Metzenbaum-fino, str.,20 cm</v>
          </cell>
        </row>
        <row r="9221">
          <cell r="B9221" t="str">
            <v>28-428-23-07</v>
          </cell>
          <cell r="C9221" t="str">
            <v>ST-Schere,  Metzenbaum-fino, ger., 23 cm</v>
          </cell>
          <cell r="D9221" t="str">
            <v>ST-Scissor,  Metzenbaum-fino, str.,23 cm</v>
          </cell>
        </row>
        <row r="9222">
          <cell r="B9222" t="str">
            <v>28-429-14-07</v>
          </cell>
          <cell r="C9222" t="str">
            <v>ST-Schere,  Metzenbaum-fino, geb., 14 cm</v>
          </cell>
          <cell r="D9222" t="str">
            <v>ST-Scissor,  Metzenbaum-fino, cvd.,14 cm</v>
          </cell>
        </row>
        <row r="9223">
          <cell r="B9223" t="str">
            <v>28-429-18-07</v>
          </cell>
          <cell r="C9223" t="str">
            <v>ST-Schere,  Metzenbaum-fino, geb., 18 cm</v>
          </cell>
          <cell r="D9223" t="str">
            <v>ST-Scissor,  Metzenbaum-fino, cvd.,18 cm</v>
          </cell>
        </row>
        <row r="9224">
          <cell r="B9224" t="str">
            <v>28-429-20-07</v>
          </cell>
          <cell r="C9224" t="str">
            <v>ST-Schere,  Metzenbaum-fino, geb., 20 cm</v>
          </cell>
          <cell r="D9224" t="str">
            <v>ST-Scissor,  Metzenbaum-fino, cvd.,20 cm</v>
          </cell>
        </row>
        <row r="9225">
          <cell r="B9225" t="str">
            <v>28-429-23-07</v>
          </cell>
          <cell r="C9225" t="str">
            <v>ST-Schere,  Metzenbaum-fino, geb., 23 cm</v>
          </cell>
          <cell r="D9225" t="str">
            <v>ST-Scissor,  Metzenbaum-fino, cvd.,23 cm</v>
          </cell>
        </row>
        <row r="9226">
          <cell r="B9226" t="str">
            <v>28-429-26-07</v>
          </cell>
          <cell r="C9226" t="str">
            <v>ST-Schere,  Metzenbaum-fino, geb., 26 cm</v>
          </cell>
          <cell r="D9226" t="str">
            <v>ST-Scissor,  Metzenbaum-fino, cvd.,26 cm</v>
          </cell>
        </row>
        <row r="9227">
          <cell r="B9227" t="str">
            <v>28-429-28-07</v>
          </cell>
          <cell r="C9227" t="str">
            <v>ST-Schere,  Metzenb.-fino, geb., 28,5 cm</v>
          </cell>
          <cell r="D9227" t="str">
            <v>ST-Scissor,  Metzenb.-fino, cvd.,28,5  cm</v>
          </cell>
        </row>
        <row r="9228">
          <cell r="B9228" t="str">
            <v>28-431-18-07</v>
          </cell>
          <cell r="C9228" t="str">
            <v>ST-Schere,  Metzenbaum, S-Form, 18 cm</v>
          </cell>
          <cell r="D9228" t="str">
            <v>ST-Scissor,  Metzenbaum, S-shape, 18 cm</v>
          </cell>
        </row>
        <row r="9229">
          <cell r="B9229" t="str">
            <v>28-431-20-07</v>
          </cell>
          <cell r="C9229" t="str">
            <v>ST-Schere,  Metzenbaum, S-Form, 20 cm</v>
          </cell>
          <cell r="D9229" t="str">
            <v>ST-Scissor,  Metzenbaum, S-shape, 20 cm</v>
          </cell>
        </row>
        <row r="9230">
          <cell r="B9230" t="str">
            <v>28-431-23-07</v>
          </cell>
          <cell r="C9230" t="str">
            <v>ST-Schere,  Metzenbaum, S-Form, 23 cm</v>
          </cell>
          <cell r="D9230" t="str">
            <v>ST-Scissor,  Metzenbaum, S-shape, 23 cm</v>
          </cell>
        </row>
        <row r="9231">
          <cell r="B9231" t="str">
            <v>28-432-15-07</v>
          </cell>
          <cell r="C9231" t="str">
            <v>ST-Schere,  Joseph, sp/sp, ger., 15 cm</v>
          </cell>
          <cell r="D9231" t="str">
            <v>ST-Scissor,  Joseph, sh/sh, str., 15 cm</v>
          </cell>
        </row>
        <row r="9232">
          <cell r="B9232" t="str">
            <v>28-433-15-07</v>
          </cell>
          <cell r="C9232" t="str">
            <v>ST-Schere,  Joseph, sp/sp, geb., 15 cm</v>
          </cell>
          <cell r="D9232" t="str">
            <v>ST-Scissor,  Joseph, sh/sh, cvd., 15 cm</v>
          </cell>
        </row>
        <row r="9233">
          <cell r="B9233" t="str">
            <v>28-434-16-07</v>
          </cell>
          <cell r="C9233" t="str">
            <v>ST-Schere,  Kelly, sp/sp, ger., 16 cm</v>
          </cell>
          <cell r="D9233" t="str">
            <v>ST-Scissor,  Kelly, sh/sh, str., 16 cm</v>
          </cell>
        </row>
        <row r="9234">
          <cell r="B9234" t="str">
            <v>28-435-16-07</v>
          </cell>
          <cell r="C9234" t="str">
            <v>ST-Schere,  Kelly, sp/sp, geb., 16 cm</v>
          </cell>
          <cell r="D9234" t="str">
            <v>ST-Scissor,  Kelly, sh/sh, cvd., 16 cm</v>
          </cell>
        </row>
        <row r="9235">
          <cell r="B9235" t="str">
            <v>28-437-18-07</v>
          </cell>
          <cell r="C9235" t="str">
            <v>ST-Schere,  Toennis-Adson, geb., 18 cm</v>
          </cell>
          <cell r="D9235" t="str">
            <v>ST-Scissor,  Toennis-Adson, cvd., 18 cm</v>
          </cell>
        </row>
        <row r="9236">
          <cell r="B9236" t="str">
            <v>28-439-12-07</v>
          </cell>
          <cell r="C9236" t="str">
            <v>ST-Schere,  Reynolds-Jameson, geb., 12 cm</v>
          </cell>
          <cell r="D9236" t="str">
            <v>ST-Scissor,  Reynolds-Jameson, cvd.,12 cm</v>
          </cell>
        </row>
        <row r="9237">
          <cell r="B9237" t="str">
            <v>28-439-16-07</v>
          </cell>
          <cell r="C9237" t="str">
            <v>ST-Schere,  Reynolds-Jameson, geb., 16 cm</v>
          </cell>
          <cell r="D9237" t="str">
            <v>ST-Scissor,  Reynolds-Jameson, cvd.,16 cm</v>
          </cell>
        </row>
        <row r="9238">
          <cell r="B9238" t="str">
            <v>28-439-18-07</v>
          </cell>
          <cell r="C9238" t="str">
            <v>ST-Schere,  Reynolds-Jameson, geb., 18 cm</v>
          </cell>
          <cell r="D9238" t="str">
            <v>ST-Scissor,  Reynolds-Jameson, cvd.,18 cm</v>
          </cell>
        </row>
        <row r="9239">
          <cell r="B9239" t="str">
            <v>28-441-13-07</v>
          </cell>
          <cell r="C9239" t="str">
            <v>ST-Schere,  Stevens, geb., 13 cm</v>
          </cell>
          <cell r="D9239" t="str">
            <v>ST-Scissor,  Stevens, cvd., 13 cm</v>
          </cell>
        </row>
        <row r="9240">
          <cell r="B9240" t="str">
            <v>28-443-17-07</v>
          </cell>
          <cell r="C9240" t="str">
            <v>ST-Schere,  Gorney, geb., 17 cm</v>
          </cell>
          <cell r="D9240" t="str">
            <v>ST-Scissor,  Gorney, cvd., 17 cm</v>
          </cell>
        </row>
        <row r="9241">
          <cell r="B9241" t="str">
            <v>28-443-19-07</v>
          </cell>
          <cell r="C9241" t="str">
            <v>ST-Schere,  Gorney, geb., 19 cm</v>
          </cell>
          <cell r="D9241" t="str">
            <v>ST-Scissor,  Gorney, cvd., 19 cm</v>
          </cell>
        </row>
        <row r="9242">
          <cell r="B9242" t="str">
            <v>28-445-17-07</v>
          </cell>
          <cell r="C9242" t="str">
            <v>ST-Schere,  Gorney-Freeman, geb., 17 cm</v>
          </cell>
          <cell r="D9242" t="str">
            <v>ST-Scissor,  Gorney-Freeman, cvd., 17 cm</v>
          </cell>
        </row>
        <row r="9243">
          <cell r="B9243" t="str">
            <v>28-447-23-07</v>
          </cell>
          <cell r="C9243" t="str">
            <v>ST-Schere,  Gorney-Freeman, kniegeb, 23 cm</v>
          </cell>
          <cell r="D9243" t="str">
            <v>ST-Scissor,  Gorney-Freeman, angl., 23 cm</v>
          </cell>
        </row>
        <row r="9244">
          <cell r="B9244" t="str">
            <v>28-449-17-07</v>
          </cell>
          <cell r="C9244" t="str">
            <v>ST-Schere,  Kaye, geb., 17 cm</v>
          </cell>
          <cell r="D9244" t="str">
            <v>ST-Scissor,  Kaye, cvd., 17 cm</v>
          </cell>
        </row>
        <row r="9245">
          <cell r="B9245" t="str">
            <v>28-449-23-07</v>
          </cell>
          <cell r="C9245" t="str">
            <v>ST-Schere,  Kaye, geb., 23 cm</v>
          </cell>
          <cell r="D9245" t="str">
            <v>ST-Scissor,  Kaye, cvd., 23 cm</v>
          </cell>
        </row>
        <row r="9246">
          <cell r="B9246" t="str">
            <v>28-450-13-07</v>
          </cell>
          <cell r="C9246" t="str">
            <v>ST-Schere,  Fox, gez., ger., 13 cm</v>
          </cell>
          <cell r="D9246" t="str">
            <v>ST-Scissor,  Fox, w. teeth, str., 13 cm</v>
          </cell>
        </row>
        <row r="9247">
          <cell r="B9247" t="str">
            <v>28-451-13-07</v>
          </cell>
          <cell r="C9247" t="str">
            <v>ST-Schere,  Fox, gez., geb., 13 cm</v>
          </cell>
          <cell r="D9247" t="str">
            <v>ST-Scissor,  Fox, w. teeth, cvd., 13 cm</v>
          </cell>
        </row>
        <row r="9248">
          <cell r="B9248" t="str">
            <v>28-453-18-07</v>
          </cell>
          <cell r="C9248" t="str">
            <v>ST-Schere,  Heymann,  kniegeb.,  18 cm</v>
          </cell>
          <cell r="D9248" t="str">
            <v>ST-Scissor,  Heymann,  angl., 18 cm</v>
          </cell>
        </row>
        <row r="9249">
          <cell r="B9249" t="str">
            <v>28-455-14-07</v>
          </cell>
          <cell r="C9249" t="str">
            <v>ST-Schere,  Aufricht, st/st, geb., 14 cm</v>
          </cell>
          <cell r="D9249" t="str">
            <v>ST-Scissor,  Aufricht, bl/bl, cvd., 14 cm</v>
          </cell>
        </row>
        <row r="9250">
          <cell r="B9250" t="str">
            <v>28-457-12-07</v>
          </cell>
          <cell r="C9250" t="str">
            <v>ST-Schere,  Fomon, st/st, geb., 12,5 cm</v>
          </cell>
          <cell r="D9250" t="str">
            <v>ST-Scissor,  Fomon, bl/bl, cvd., 12,5 cm</v>
          </cell>
        </row>
        <row r="9251">
          <cell r="B9251" t="str">
            <v>28-459-13-07</v>
          </cell>
          <cell r="C9251" t="str">
            <v>ST-Schere,  Fomon, abgew., 13 cm</v>
          </cell>
          <cell r="D9251" t="str">
            <v>ST-Scissor,  Fomon, angl., 13 cm</v>
          </cell>
        </row>
        <row r="9252">
          <cell r="B9252" t="str">
            <v>28-461-16-07</v>
          </cell>
          <cell r="C9252" t="str">
            <v>ST-Schere,  Cottle, abgew., 16 cm</v>
          </cell>
          <cell r="D9252" t="str">
            <v>ST-Scissor,  Cottle, angl., 16 cm</v>
          </cell>
        </row>
        <row r="9253">
          <cell r="B9253" t="str">
            <v>28-463-17-07</v>
          </cell>
          <cell r="C9253" t="str">
            <v>ST-Schere,  Dean, abgew., 17 cm</v>
          </cell>
          <cell r="D9253" t="str">
            <v>ST-Scissor,  Dean, angl., 17 cm</v>
          </cell>
        </row>
        <row r="9254">
          <cell r="B9254" t="str">
            <v>28-464-11-07</v>
          </cell>
          <cell r="C9254" t="str">
            <v>Aquila-Schere, Iris, sp/sp, ger, 11,5cm</v>
          </cell>
          <cell r="D9254" t="str">
            <v>Aquila-Scissor, Iris, sh/sh, str,11,5cm</v>
          </cell>
        </row>
        <row r="9255">
          <cell r="B9255" t="str">
            <v>28-465-11-07</v>
          </cell>
          <cell r="C9255" t="str">
            <v>Aquila-Schere, Iris, sp/sp, geb, 11,5cm</v>
          </cell>
          <cell r="D9255" t="str">
            <v>Aquila-Scissor, Iris, sh/sh, cvd,11,5cm</v>
          </cell>
        </row>
        <row r="9256">
          <cell r="B9256" t="str">
            <v>28-466-14-07</v>
          </cell>
          <cell r="C9256" t="str">
            <v>Aquila-Schere, Präp., Mayo, ger., 14 cm</v>
          </cell>
          <cell r="D9256" t="str">
            <v>Aquila-Scissor, Diss., Mayo, str.,14 cm</v>
          </cell>
        </row>
        <row r="9257">
          <cell r="B9257" t="str">
            <v>28-466-17-07</v>
          </cell>
          <cell r="C9257" t="str">
            <v>Aquila-Schere, Präp., Mayo, ger., 17 cm</v>
          </cell>
          <cell r="D9257" t="str">
            <v>Aquila-Scissor, Diss., Mayo, str.,17 cm</v>
          </cell>
        </row>
        <row r="9258">
          <cell r="B9258" t="str">
            <v>28-467-14-07</v>
          </cell>
          <cell r="C9258" t="str">
            <v>Aquila-Schere, Präp., Mayo, geb., 14 cm</v>
          </cell>
          <cell r="D9258" t="str">
            <v>Aquila-Scissor, Diss., Mayo, cvd.,14 cm</v>
          </cell>
        </row>
        <row r="9259">
          <cell r="B9259" t="str">
            <v>28-467-17-07</v>
          </cell>
          <cell r="C9259" t="str">
            <v>Aquila-Schere, Präp., Mayo, geb., 17 cm</v>
          </cell>
          <cell r="D9259" t="str">
            <v>Aquila-Scissor, Diss., Mayo, cvd.,17 cm</v>
          </cell>
        </row>
        <row r="9260">
          <cell r="B9260" t="str">
            <v>28-468-16-07</v>
          </cell>
          <cell r="C9260" t="str">
            <v>Aquila-Schere, Präp., Lexer, ger., 16cm</v>
          </cell>
          <cell r="D9260" t="str">
            <v>Aquila-Scissor, Diss., Lexer, str.,16cm</v>
          </cell>
        </row>
        <row r="9261">
          <cell r="B9261" t="str">
            <v>28-469-16-07</v>
          </cell>
          <cell r="C9261" t="str">
            <v>Aquila-Schere, Präp., Lexer, geb., 16cm</v>
          </cell>
          <cell r="D9261" t="str">
            <v>Aquila-Scissor, Diss., Lexer, cvd.,16cm</v>
          </cell>
        </row>
        <row r="9262">
          <cell r="B9262" t="str">
            <v>28-471-15-07</v>
          </cell>
          <cell r="C9262" t="str">
            <v>Aquila-Schere, Mayo-Stille, geb., 15 cm</v>
          </cell>
          <cell r="D9262" t="str">
            <v>Aquila-Scissor, Mayo-Stille, cvd.,15 cm</v>
          </cell>
        </row>
        <row r="9263">
          <cell r="B9263" t="str">
            <v>28-471-17-07</v>
          </cell>
          <cell r="C9263" t="str">
            <v>Aquila-Schere, Mayo-Stille, geb., 17 cm</v>
          </cell>
          <cell r="D9263" t="str">
            <v>Aquila-Scissor, Mayo-Stille, cvd.,17 cm</v>
          </cell>
        </row>
        <row r="9264">
          <cell r="B9264" t="str">
            <v>28-472-20-07</v>
          </cell>
          <cell r="C9264" t="str">
            <v>Aquila-Schere, Metzenbaum, ger., 20 cm</v>
          </cell>
          <cell r="D9264" t="str">
            <v>Aquila-Scissor, Metzenbaum, str., 20 cm</v>
          </cell>
        </row>
        <row r="9265">
          <cell r="B9265" t="str">
            <v>28-472-23-07</v>
          </cell>
          <cell r="C9265" t="str">
            <v>Aquila-Schere, Metzenbaum, ger., 23 cm</v>
          </cell>
          <cell r="D9265" t="str">
            <v>Aquila-Scissor, Metzenbaum, str., 23 cm</v>
          </cell>
        </row>
        <row r="9266">
          <cell r="B9266" t="str">
            <v>28-473-18-07</v>
          </cell>
          <cell r="C9266" t="str">
            <v>Aquila-Schere, Metzenbaum, S-Form, 18cm</v>
          </cell>
          <cell r="D9266" t="str">
            <v>Aquila-Scissor, Metzenb.,  S-shape, 18cm</v>
          </cell>
        </row>
        <row r="9267">
          <cell r="B9267" t="str">
            <v>28-473-20-07</v>
          </cell>
          <cell r="C9267" t="str">
            <v>Aquila-Schere, Metzenbaum, S-Form, 20cm</v>
          </cell>
          <cell r="D9267" t="str">
            <v>Aquila-Scissor, Metzenb.,  S-shape, 20cm</v>
          </cell>
        </row>
        <row r="9268">
          <cell r="B9268" t="str">
            <v>28-473-23-07</v>
          </cell>
          <cell r="C9268" t="str">
            <v>Aquila-Schere, Metzenbaum, S-Form, 23cm</v>
          </cell>
          <cell r="D9268" t="str">
            <v>Aquila-Scissor, Metzenb.,  S-shape, 23cm</v>
          </cell>
        </row>
        <row r="9269">
          <cell r="B9269" t="str">
            <v>28-474-16-07</v>
          </cell>
          <cell r="C9269" t="str">
            <v>Aquila-Schere, Präp., Kelly, ger., 16cm</v>
          </cell>
          <cell r="D9269" t="str">
            <v>Aquila-Scissor, Diss., Kelly, str.,16cm</v>
          </cell>
        </row>
        <row r="9270">
          <cell r="B9270" t="str">
            <v>28-475-16-07</v>
          </cell>
          <cell r="C9270" t="str">
            <v>Aquila-Schere, Präp., Kelly, geb., 16cm</v>
          </cell>
          <cell r="D9270" t="str">
            <v>Aquila-Scissor, Diss., Kelly, cvd.,16cm</v>
          </cell>
        </row>
        <row r="9271">
          <cell r="B9271" t="str">
            <v>28-477-18-07</v>
          </cell>
          <cell r="C9271" t="str">
            <v>Aquila-Schere, Toennis-Adson, geb, 18cm</v>
          </cell>
          <cell r="D9271" t="str">
            <v>Aquila-Scissor, Toennis-Adson, cvd,18cm</v>
          </cell>
        </row>
        <row r="9272">
          <cell r="B9272" t="str">
            <v>28-479-16-07</v>
          </cell>
          <cell r="C9272" t="str">
            <v>Aquila-Schere, Cottle, abgew., 16 cm</v>
          </cell>
          <cell r="D9272" t="str">
            <v>Aquila-Scissor, Cottle, angl., 16 cm</v>
          </cell>
        </row>
        <row r="9273">
          <cell r="B9273" t="str">
            <v>28-481-13-07</v>
          </cell>
          <cell r="C9273" t="str">
            <v>Aquila-Schere, Fomon, abgew., 13 cm</v>
          </cell>
          <cell r="D9273" t="str">
            <v>Aquila-Scissor, Fomon, angl., 13 cm</v>
          </cell>
        </row>
        <row r="9274">
          <cell r="B9274" t="str">
            <v>28-499-17-07</v>
          </cell>
          <cell r="C9274" t="str">
            <v>TC-Schere,  Kaye, Präp., geb. 17 cm</v>
          </cell>
          <cell r="D9274" t="str">
            <v>TC-Scissor,  Kaye, Diss., cvd. 17 cm</v>
          </cell>
        </row>
        <row r="9275">
          <cell r="B9275" t="str">
            <v>28-499-19-07</v>
          </cell>
          <cell r="C9275" t="str">
            <v>TC-Schere,  Kaye, Präp., geb. 19 cm</v>
          </cell>
          <cell r="D9275" t="str">
            <v>TC-Scissor,  Kaye, Diss., cvd. 19 cm</v>
          </cell>
        </row>
        <row r="9276">
          <cell r="B9276" t="str">
            <v>28-499-23-07</v>
          </cell>
          <cell r="C9276" t="str">
            <v>TC-Schere,  Kaye, Präp., geb. 23 cm</v>
          </cell>
          <cell r="D9276" t="str">
            <v>TC-Scissor,  Kaye, Diss., cvd. 23 cm</v>
          </cell>
        </row>
        <row r="9277">
          <cell r="B9277" t="str">
            <v>28-501-14-07</v>
          </cell>
          <cell r="C9277" t="str">
            <v>TC-SCHERE, GREGORY,  GEB., GEZ., 14,5 CM</v>
          </cell>
          <cell r="D9277" t="str">
            <v>TC-SCISS.,  GREGORY,  CVD., SERR., 14.5 CM</v>
          </cell>
        </row>
        <row r="9278">
          <cell r="B9278" t="str">
            <v>28-503-15-07</v>
          </cell>
          <cell r="C9278" t="str">
            <v>TC-SCHERE, KAYE, GEB., GEZ., 15 CM</v>
          </cell>
          <cell r="D9278" t="str">
            <v>TC-SCISSORS, KAYE, CVD., SERR., 15 CM</v>
          </cell>
        </row>
        <row r="9279">
          <cell r="B9279" t="str">
            <v>28-503-18-07</v>
          </cell>
          <cell r="C9279" t="str">
            <v>TC-SCHERE, KAYE, GEB., GEZ., 18 CM</v>
          </cell>
          <cell r="D9279" t="str">
            <v>TC-SCISSORS, KAYE, CVD., SERR., 18 CM</v>
          </cell>
        </row>
        <row r="9280">
          <cell r="B9280" t="str">
            <v>28-505-18-07</v>
          </cell>
          <cell r="C9280" t="str">
            <v>TC-SCHERE, STELLA-S,  GEB., GEZ., 18 CM</v>
          </cell>
          <cell r="D9280" t="str">
            <v>TC-SCISS.,  STELLA-S,  CVD., SERR., 18 CM</v>
          </cell>
        </row>
        <row r="9281">
          <cell r="B9281" t="str">
            <v>28-521-18-07</v>
          </cell>
          <cell r="C9281" t="str">
            <v>TC-SCHERE, GORNEY,  GEB., GEZ., 17,5 CM</v>
          </cell>
          <cell r="D9281" t="str">
            <v>TC-SCISS.,  GORNEY,  CVD., SERR., 17.5 CM</v>
          </cell>
        </row>
        <row r="9282">
          <cell r="B9282" t="str">
            <v>28-525-18-07</v>
          </cell>
          <cell r="C9282" t="str">
            <v>TC-SCHERE, FREEMAN-K., GEB., GEZ., 18 CM</v>
          </cell>
          <cell r="D9282" t="str">
            <v>TC-SCISS.,  FREEM.-K.,  CVD., SERR., 18 CM</v>
          </cell>
        </row>
        <row r="9283">
          <cell r="B9283" t="str">
            <v>28-529-23-07</v>
          </cell>
          <cell r="C9283" t="str">
            <v>TC-SCHERE, FREEMAN,  GEB., GEZ., 23 CM</v>
          </cell>
          <cell r="D9283" t="str">
            <v>TC-SCISS.,  FREEMAN,  CVD., SERR., 23 CM</v>
          </cell>
        </row>
        <row r="9284">
          <cell r="B9284" t="str">
            <v>30-130-12-07</v>
          </cell>
          <cell r="C9284" t="str">
            <v>DARMFASSZANGE, ALLIS BABY, 4X5 Z., 13 CM</v>
          </cell>
          <cell r="D9284" t="str">
            <v>TISSUE FCPS., ALLIS-BABY, 4X5 T., 13 CM</v>
          </cell>
        </row>
        <row r="9285">
          <cell r="B9285" t="str">
            <v>30-131-15-07</v>
          </cell>
          <cell r="C9285" t="str">
            <v>Zange, Fass, Darm, Allis, 2x3 Z., 15,5cm</v>
          </cell>
          <cell r="D9285" t="str">
            <v>Forceps, tissue, Allis, 2x3 t., 15,5 cm</v>
          </cell>
        </row>
        <row r="9286">
          <cell r="B9286" t="str">
            <v>30-132-15-07</v>
          </cell>
          <cell r="C9286" t="str">
            <v>DARMFASSZANGE, ALLIS, 4X5 Z., 15,5 CM</v>
          </cell>
          <cell r="D9286" t="str">
            <v>TISSUE FORCEPS,  ALLIS, 4X5 T., 15.5 CM</v>
          </cell>
        </row>
        <row r="9287">
          <cell r="B9287" t="str">
            <v>30-134-15-07</v>
          </cell>
          <cell r="C9287" t="str">
            <v>DARMFASSZANGE, ALLIS, 5X6 Z., 15,5 CM</v>
          </cell>
          <cell r="D9287" t="str">
            <v>TISSUE FORCEPS,  ALLIS, 5X6 T., 15.5 CM</v>
          </cell>
        </row>
        <row r="9288">
          <cell r="B9288" t="str">
            <v>30-134-19-07</v>
          </cell>
          <cell r="C9288" t="str">
            <v>DARMFASSZANGE, ALLIS, 5X6 Z., 19 CM</v>
          </cell>
          <cell r="D9288" t="str">
            <v>TISSUE FORCEPS,  ALLIS, 5X6 T., 19 CM</v>
          </cell>
        </row>
        <row r="9289">
          <cell r="B9289" t="str">
            <v>30-134-25-07</v>
          </cell>
          <cell r="C9289" t="str">
            <v>DARMFASSZANGE, ALLIS, 5X6 Z., 25,5 CM</v>
          </cell>
          <cell r="D9289" t="str">
            <v>TISSUE FORCEPS,  ALLIS, 5X6 T., 25.5 CM</v>
          </cell>
        </row>
        <row r="9290">
          <cell r="B9290" t="str">
            <v>30-136-16-07</v>
          </cell>
          <cell r="C9290" t="str">
            <v>ATR.-DARMFASSZANGE, ALLIS, 15,5 CM</v>
          </cell>
          <cell r="D9290" t="str">
            <v>ATR. TISSUE FORCEPS,  ALLIS, 15.5 CM</v>
          </cell>
        </row>
        <row r="9291">
          <cell r="B9291" t="str">
            <v>30-136-20-07</v>
          </cell>
          <cell r="C9291" t="str">
            <v>ATR.-DARMFASSZANGE, ALLIS, 20 CM</v>
          </cell>
          <cell r="D9291" t="str">
            <v>ATR. TISSUE FORCEPS,  ALLIS, 20 CM</v>
          </cell>
        </row>
        <row r="9292">
          <cell r="B9292" t="str">
            <v>30-136-25-07</v>
          </cell>
          <cell r="C9292" t="str">
            <v>ATR.-DARMFASSZANGE, ALLIS, 24,5 CM</v>
          </cell>
          <cell r="D9292" t="str">
            <v>ATR. TISSUE FORCEPS,  ALLIS, 24.5 CM</v>
          </cell>
        </row>
        <row r="9293">
          <cell r="B9293" t="str">
            <v>30-136-30-07</v>
          </cell>
          <cell r="C9293" t="str">
            <v>ATR.-DARMFASSZANGE, ALLIS, 30 CM</v>
          </cell>
          <cell r="D9293" t="str">
            <v>ATR. TISSUE FORCEPS,  ALLIS, 30 CM</v>
          </cell>
        </row>
        <row r="9294">
          <cell r="B9294" t="str">
            <v>30-138-15-07</v>
          </cell>
          <cell r="C9294" t="str">
            <v>DARMFASSZANGE, ALLIS, 11X12 Z., 16 CM</v>
          </cell>
          <cell r="D9294" t="str">
            <v>TISSUE FORCEPS,  ALLIS, 11X12 T., 16 CM</v>
          </cell>
        </row>
        <row r="9295">
          <cell r="B9295" t="str">
            <v>30-142-15-07</v>
          </cell>
          <cell r="C9295" t="str">
            <v>DARMFASSZANGE, BOYS-ALL.,5X6 Z.,15,5 CM</v>
          </cell>
          <cell r="D9295" t="str">
            <v>TISSUE FORCEPS,  BOYS-ALL,  5X6 T.15.5 CM</v>
          </cell>
        </row>
        <row r="9296">
          <cell r="B9296" t="str">
            <v>30-148-15-07</v>
          </cell>
          <cell r="C9296" t="str">
            <v>DARMFASSZANGE, JUDD, 3X4 Z., 15,5 CM</v>
          </cell>
          <cell r="D9296" t="str">
            <v>TISSUE FORCEPS,  JUDD, 3X4 T., 15.5 CM</v>
          </cell>
        </row>
        <row r="9297">
          <cell r="B9297" t="str">
            <v>30-148-19-07</v>
          </cell>
          <cell r="C9297" t="str">
            <v>DARMFASSZANGE, JUDD, 3X4 Z., 19 CM</v>
          </cell>
          <cell r="D9297" t="str">
            <v>TISSUE FORCEPS,  JUDD, 3X4 T., 19 CM</v>
          </cell>
        </row>
        <row r="9298">
          <cell r="B9298" t="str">
            <v>30-150-20-07</v>
          </cell>
          <cell r="C9298" t="str">
            <v>DARMFASSZANGE, THOMS, 6X7 Z., 20,5 CM</v>
          </cell>
          <cell r="D9298" t="str">
            <v>TISSUE FORCEPS,  THOMS, 6X7 T., 20.5 CM</v>
          </cell>
        </row>
        <row r="9299">
          <cell r="B9299" t="str">
            <v>30-154-20-07</v>
          </cell>
          <cell r="C9299" t="str">
            <v>DARMFASSZANGE, ALLIS, 5X6 Z., 20 CM</v>
          </cell>
          <cell r="D9299" t="str">
            <v>TISSUE FORCEPS,  ALLIS, 5X6 T., 20 CM</v>
          </cell>
        </row>
        <row r="9300">
          <cell r="B9300" t="str">
            <v>30-170-20-07</v>
          </cell>
          <cell r="C9300" t="str">
            <v>DARMFASSZANGE, LOCKWOOD, GEF., 20 CM</v>
          </cell>
          <cell r="D9300" t="str">
            <v>TISSUE FORCEPS,  LOCKWOOD, FENEST., 20 CM</v>
          </cell>
        </row>
        <row r="9301">
          <cell r="B9301" t="str">
            <v>30-186-16-07</v>
          </cell>
          <cell r="C9301" t="str">
            <v>DARMFASSZANGE, WILLIAMS,  GEF., 16,5 CM</v>
          </cell>
          <cell r="D9301" t="str">
            <v>TISSUE FCPS., WILLIAMS,  FENEST., 16.5 CM</v>
          </cell>
        </row>
        <row r="9302">
          <cell r="B9302" t="str">
            <v>30-190-16-07</v>
          </cell>
          <cell r="C9302" t="str">
            <v>TC-DARMFASSZANGE, BABCOCK,  16,5 CM</v>
          </cell>
          <cell r="D9302" t="str">
            <v>TC-TISSUE  FORCEPS,  BABCOCK,  16.5 CM</v>
          </cell>
        </row>
        <row r="9303">
          <cell r="B9303" t="str">
            <v>30-190-20-07</v>
          </cell>
          <cell r="C9303" t="str">
            <v>TC-DARMFASSZANGE, BABCOCK,  21 CM</v>
          </cell>
          <cell r="D9303" t="str">
            <v>TC-TISSUE  FORCEPS,  BABCOCK,  21 CM</v>
          </cell>
        </row>
        <row r="9304">
          <cell r="B9304" t="str">
            <v>30-192-16-07</v>
          </cell>
          <cell r="C9304" t="str">
            <v>DARMFASSZANGE, BABCOCK,  15,5 CM</v>
          </cell>
          <cell r="D9304" t="str">
            <v>TISSUE FORCEPS,  BABCOCK,  15,5 CM</v>
          </cell>
        </row>
        <row r="9305">
          <cell r="B9305" t="str">
            <v>30-192-18-07</v>
          </cell>
          <cell r="C9305" t="str">
            <v>DARMFASSZANGE, BABCOCK,  17,5 CM</v>
          </cell>
          <cell r="D9305" t="str">
            <v>TISSUE FORCEPS,  BABCOCK,  17.5 CM</v>
          </cell>
        </row>
        <row r="9306">
          <cell r="B9306" t="str">
            <v>30-192-20-07</v>
          </cell>
          <cell r="C9306" t="str">
            <v>DARMFASSZANGE, BABCOCK,  21 CM</v>
          </cell>
          <cell r="D9306" t="str">
            <v>TISSUE FORCEPS,  BABCOCK,  21 CM</v>
          </cell>
        </row>
        <row r="9307">
          <cell r="B9307" t="str">
            <v>30-192-24-07</v>
          </cell>
          <cell r="C9307" t="str">
            <v>DARMFASSZANGE, BABCOCK,  24 CM</v>
          </cell>
          <cell r="D9307" t="str">
            <v>TISSUE FORCEPS,  BABCOCK,  24 CM</v>
          </cell>
        </row>
        <row r="9308">
          <cell r="B9308" t="str">
            <v>30-196-16-07</v>
          </cell>
          <cell r="C9308" t="str">
            <v>ATR.-DARMFASSZANGE, BABCOCK,  16 CM</v>
          </cell>
          <cell r="D9308" t="str">
            <v>ATR. TISSUE FORCEPS,  BABCOCK,  16 CM</v>
          </cell>
        </row>
        <row r="9309">
          <cell r="B9309" t="str">
            <v>30-196-20-07</v>
          </cell>
          <cell r="C9309" t="str">
            <v>ATR.-DARMFASSZANGE, BABCOCK,  21 CM</v>
          </cell>
          <cell r="D9309" t="str">
            <v>ATR. TISSUE FORCEPS,  BABCOCK,  21 CM</v>
          </cell>
        </row>
        <row r="9310">
          <cell r="B9310" t="str">
            <v>30-206-20-07</v>
          </cell>
          <cell r="C9310" t="str">
            <v>TC-DARMFASSZANGE, DUVAL, 20,5 CM</v>
          </cell>
          <cell r="D9310" t="str">
            <v>TC-TISSUE  FORCEPS,  DUVAL, 20.5 CM</v>
          </cell>
        </row>
        <row r="9311">
          <cell r="B9311" t="str">
            <v>30-210-18-07</v>
          </cell>
          <cell r="C9311" t="str">
            <v>DARMFASSZANGE, DUVAL, SCHMAL,  18 CM</v>
          </cell>
          <cell r="D9311" t="str">
            <v>TISSUE FORCEPS,  DUVAL, SLIM, 18 CM</v>
          </cell>
        </row>
        <row r="9312">
          <cell r="B9312" t="str">
            <v>30-210-20-07</v>
          </cell>
          <cell r="C9312" t="str">
            <v>DARMFASSZANGE, DUVAL, SCHMAL,  20,5 CM</v>
          </cell>
          <cell r="D9312" t="str">
            <v>TISSUE FORCEPS,  DUVAL, SLIM, 20.5 CM</v>
          </cell>
        </row>
        <row r="9313">
          <cell r="B9313" t="str">
            <v>30-212-20-07</v>
          </cell>
          <cell r="C9313" t="str">
            <v>DARMFASSZANGE, DUVAL, BREIT, 20,5 CM</v>
          </cell>
          <cell r="D9313" t="str">
            <v>TISSUE FORCEPS,  DUVAL, WIDE, 20.5 CM</v>
          </cell>
        </row>
        <row r="9314">
          <cell r="B9314" t="str">
            <v>30-212-23-07</v>
          </cell>
          <cell r="C9314" t="str">
            <v>DARMFASSZANGE, DUVAL, BREIT, 23 CM</v>
          </cell>
          <cell r="D9314" t="str">
            <v>TISSUE FORCEPS,  DUVAL, WIDE, 23 CM</v>
          </cell>
        </row>
        <row r="9315">
          <cell r="B9315" t="str">
            <v>30-274-21-07</v>
          </cell>
          <cell r="C9315" t="str">
            <v>DARMKLEMME, DOYEN, GER., 21,5 CM</v>
          </cell>
          <cell r="D9315" t="str">
            <v>INTESTINAL FORCEPS,  DOYEN, STR., 21.5 CM</v>
          </cell>
        </row>
        <row r="9316">
          <cell r="B9316" t="str">
            <v>30-274-23-07</v>
          </cell>
          <cell r="C9316" t="str">
            <v>DARMKLEMME, DOYEN, GER., 23,5 CM</v>
          </cell>
          <cell r="D9316" t="str">
            <v>INTESTINAL FORCEPS,  DOYEN, STR., 23.5 CM</v>
          </cell>
        </row>
        <row r="9317">
          <cell r="B9317" t="str">
            <v>30-275-21-07</v>
          </cell>
          <cell r="C9317" t="str">
            <v>DARMKLEMME, DOYEN, GEB., 21 CM</v>
          </cell>
          <cell r="D9317" t="str">
            <v>INTESTINAL FORCEPS,  DOYEN, CVD., 21 CM</v>
          </cell>
        </row>
        <row r="9318">
          <cell r="B9318" t="str">
            <v>30-275-23-07</v>
          </cell>
          <cell r="C9318" t="str">
            <v>DARMKLEMME, DOYEN, GEB., 23 CM</v>
          </cell>
          <cell r="D9318" t="str">
            <v>INTESTINAL FORCEPS,  DOYEN, CVD., 23 CM</v>
          </cell>
        </row>
        <row r="9319">
          <cell r="B9319" t="str">
            <v>30-276-18-07</v>
          </cell>
          <cell r="C9319" t="str">
            <v>DARMKLEMME, DOYEN-BABY, GER., 18 CM</v>
          </cell>
          <cell r="D9319" t="str">
            <v>INTEST. FORCEPS,  DOYEN-BABY, STR., 18 CM</v>
          </cell>
        </row>
        <row r="9320">
          <cell r="B9320" t="str">
            <v>30-277-18-07</v>
          </cell>
          <cell r="C9320" t="str">
            <v>DARMKLEMME, DOYEN-BABY, GEB., 17,5 CM</v>
          </cell>
          <cell r="D9320" t="str">
            <v>INTEST. FCPS., DOYEN-BABY, CVD., 17.5 CM</v>
          </cell>
        </row>
        <row r="9321">
          <cell r="B9321" t="str">
            <v>30-286-21-07</v>
          </cell>
          <cell r="C9321" t="str">
            <v>DARMKLEMME, MAYO-ROBSON, GER., 21,5 CM</v>
          </cell>
          <cell r="D9321" t="str">
            <v>INTEST. FCPS., MAYO-ROBS., STR., 21.5 CM</v>
          </cell>
        </row>
        <row r="9322">
          <cell r="B9322" t="str">
            <v>30-286-23-07</v>
          </cell>
          <cell r="C9322" t="str">
            <v>DARMKLEMME, MAYO-ROBSON, GER., 23,5 CM</v>
          </cell>
          <cell r="D9322" t="str">
            <v>INTEST. FCPS., MAYO-ROBS., STR., 23.5 CM</v>
          </cell>
        </row>
        <row r="9323">
          <cell r="B9323" t="str">
            <v>30-287-21-07</v>
          </cell>
          <cell r="C9323" t="str">
            <v>DARMKLEMME, MAYO-ROBSON, GEB., 21 CM</v>
          </cell>
          <cell r="D9323" t="str">
            <v>INTEST. FCPS., MAYO-ROBSON, CVD., 21 CM</v>
          </cell>
        </row>
        <row r="9324">
          <cell r="B9324" t="str">
            <v>30-287-23-07</v>
          </cell>
          <cell r="C9324" t="str">
            <v>DARMKLEMME, MAYO-ROBSON, GEB., 23 CM</v>
          </cell>
          <cell r="D9324" t="str">
            <v>INTEST. FCPS., MAYO-ROBSON, CVD., 23 CM</v>
          </cell>
        </row>
        <row r="9325">
          <cell r="B9325" t="str">
            <v>30-288-25-07</v>
          </cell>
          <cell r="C9325" t="str">
            <v>DARMKLEMME, MAYO-ROBSON, GER., 25,5 CM</v>
          </cell>
          <cell r="D9325" t="str">
            <v>INTEST. FCPS., MAYO-ROBS., STR., 25.5 CM</v>
          </cell>
        </row>
        <row r="9326">
          <cell r="B9326" t="str">
            <v>30-289-25-07</v>
          </cell>
          <cell r="C9326" t="str">
            <v>DARMKLEMME, MAYO-ROBSON, GEB., 24,5 CM</v>
          </cell>
          <cell r="D9326" t="str">
            <v>INTEST. FCPS., MAYO-ROBS., CVD., 24.5 CM</v>
          </cell>
        </row>
        <row r="9327">
          <cell r="B9327" t="str">
            <v>30-304-22-07</v>
          </cell>
          <cell r="C9327" t="str">
            <v>DARMKLEMME, KOCHER,  WEICH, GER., 22,5 CM</v>
          </cell>
          <cell r="D9327" t="str">
            <v>INT. FCPS., KOCHER,  SOFT, STR., 22.5 CM</v>
          </cell>
        </row>
        <row r="9328">
          <cell r="B9328" t="str">
            <v>30-304-25-07</v>
          </cell>
          <cell r="C9328" t="str">
            <v>DARMKLEMME, KOCHER,  WEICH, GER., 25 CM</v>
          </cell>
          <cell r="D9328" t="str">
            <v>INTEST. FCPS., KOCHER,  SOFT, STR., 25 CM</v>
          </cell>
        </row>
        <row r="9329">
          <cell r="B9329" t="str">
            <v>30-304-28-07</v>
          </cell>
          <cell r="C9329" t="str">
            <v>DARMKLEMME, KOCHER,  WEICH, GER., 28 CM</v>
          </cell>
          <cell r="D9329" t="str">
            <v>INTEST. FCPS., KOCHER,  SOFT, STR., 28 CM</v>
          </cell>
        </row>
        <row r="9330">
          <cell r="B9330" t="str">
            <v>30-305-22-07</v>
          </cell>
          <cell r="C9330" t="str">
            <v>DARMKLEMME, KOCHER,  WEICH, GEB., 22 CM</v>
          </cell>
          <cell r="D9330" t="str">
            <v>INTEST. FCPS., KOCHER,  SOFT, CVD., 22 CM</v>
          </cell>
        </row>
        <row r="9331">
          <cell r="B9331" t="str">
            <v>30-305-25-07</v>
          </cell>
          <cell r="C9331" t="str">
            <v>DARMKLEMME, KOCHER,  WEICH, GEB., 24,5 CM</v>
          </cell>
          <cell r="D9331" t="str">
            <v>INTEST. FCPS., KOCHER,  SOFT,CVD.,24,5 CM</v>
          </cell>
        </row>
        <row r="9332">
          <cell r="B9332" t="str">
            <v>30-305-28-07</v>
          </cell>
          <cell r="C9332" t="str">
            <v>DARMKLEMME, KOCHER,  WEICH, GEB., 27,5 CM</v>
          </cell>
          <cell r="D9332" t="str">
            <v>INTEST. FCPS., KOCHER,  SOFT,CVD.,27,5 CM</v>
          </cell>
        </row>
        <row r="9333">
          <cell r="B9333" t="str">
            <v>30-398-16-07</v>
          </cell>
          <cell r="C9333" t="str">
            <v>DARMKLEMME, ALLEN, KINDER, GER., 16 CM</v>
          </cell>
          <cell r="D9333" t="str">
            <v>INT. FCPS., ALLEN, CHILDE, STR., 16 CM</v>
          </cell>
        </row>
        <row r="9334">
          <cell r="B9334" t="str">
            <v>30-415-15-07</v>
          </cell>
          <cell r="C9334" t="str">
            <v>DARMQUETSCHKLEMME, PAYR-BABY, 15 CM</v>
          </cell>
          <cell r="D9334" t="str">
            <v>INTESTINAL CLAMP, PAYR-BABY, 15 CM</v>
          </cell>
        </row>
        <row r="9335">
          <cell r="B9335" t="str">
            <v>30-419-21-07</v>
          </cell>
          <cell r="C9335" t="str">
            <v>DARMQUETSCHKLEMME, PAYR, 21 CM</v>
          </cell>
          <cell r="D9335" t="str">
            <v>INTESTINAL CLAMP, PAYR, 21 CM</v>
          </cell>
        </row>
        <row r="9336">
          <cell r="B9336" t="str">
            <v>30-425-29-07</v>
          </cell>
          <cell r="C9336" t="str">
            <v>DARMQUETSCHKLEMME, PAYR, 29 CM</v>
          </cell>
          <cell r="D9336" t="str">
            <v>INTESTINAL CLAMP, PAYR, 29 CM</v>
          </cell>
        </row>
        <row r="9337">
          <cell r="B9337" t="str">
            <v>30-433-35-07</v>
          </cell>
          <cell r="C9337" t="str">
            <v>DARMQUETSCHKLEMME, PAYR, 34 CM</v>
          </cell>
          <cell r="D9337" t="str">
            <v>INTESTINAL CLAMP, PAYR, 34 CM</v>
          </cell>
        </row>
        <row r="9338">
          <cell r="B9338" t="str">
            <v>30-496-05-07</v>
          </cell>
          <cell r="C9338" t="str">
            <v>DARM-ANASTOMOSENKLEMME, 65 MM, SATZ 3 ST</v>
          </cell>
          <cell r="D9338" t="str">
            <v>INTESTINAL ANASTOM.  FORCEPS,  65 MM, SET</v>
          </cell>
        </row>
        <row r="9339">
          <cell r="B9339" t="str">
            <v>30-496-07-07</v>
          </cell>
          <cell r="C9339" t="str">
            <v>DARM-ANASTOMOSENKLEMME, 80 MM, SATZ 3 ST</v>
          </cell>
          <cell r="D9339" t="str">
            <v>INTESTINAL ANASTOM.  FORCEPS,  80 MM, SET</v>
          </cell>
        </row>
        <row r="9340">
          <cell r="B9340" t="str">
            <v>30-496-10-07</v>
          </cell>
          <cell r="C9340" t="str">
            <v>DARM-ANASTOMOSENKLEMME,110 MM, SATZ 3 ST</v>
          </cell>
          <cell r="D9340" t="str">
            <v>INTESTINAL ANASTOM.  FORCEPS,  110 MM, SET</v>
          </cell>
        </row>
        <row r="9341">
          <cell r="B9341" t="str">
            <v>30-497-26-07</v>
          </cell>
          <cell r="C9341" t="str">
            <v>KLEMMENSCHLIESSZANGE, 27 CM</v>
          </cell>
          <cell r="D9341" t="str">
            <v>CLAMP CLOSING  FORCEPS,  27 CM</v>
          </cell>
        </row>
        <row r="9342">
          <cell r="B9342" t="str">
            <v>30-498-08-07</v>
          </cell>
          <cell r="C9342" t="str">
            <v>KLEMMENHALTERUNG, 9,5 CM</v>
          </cell>
          <cell r="D9342" t="str">
            <v>CLAMP HOLDER,  9.5 CM</v>
          </cell>
        </row>
        <row r="9343">
          <cell r="B9343" t="str">
            <v>30-498-23-07</v>
          </cell>
          <cell r="C9343" t="str">
            <v>KLEMMENHALTERUNG, 23 CM</v>
          </cell>
          <cell r="D9343" t="str">
            <v>CLAMP HOLDER,  23 CM</v>
          </cell>
        </row>
        <row r="9344">
          <cell r="B9344" t="str">
            <v>30-519-16-07</v>
          </cell>
          <cell r="C9344" t="str">
            <v>PYLORUSSPREIZER, BENSON,  15,5 CM</v>
          </cell>
          <cell r="D9344" t="str">
            <v>PYLORUS  SPREADER,  BENSON,  15.5 CM</v>
          </cell>
        </row>
        <row r="9345">
          <cell r="B9345" t="str">
            <v>30-534-30-07</v>
          </cell>
          <cell r="C9345" t="str">
            <v>MAGEN ZWILLINGKLEMME, LANE, GER., 30 CM</v>
          </cell>
          <cell r="D9345" t="str">
            <v>STOMACHTWIN CLAMP, LANE, STR., 30 CM</v>
          </cell>
        </row>
        <row r="9346">
          <cell r="B9346" t="str">
            <v>30-535-30-07</v>
          </cell>
          <cell r="C9346" t="str">
            <v>MAGEN ZWILLINGKLEMME, LANE, GEB., 30 CM</v>
          </cell>
          <cell r="D9346" t="str">
            <v>STOMACHTWIN CLAMP, LANE, CVD., 30 CM</v>
          </cell>
        </row>
        <row r="9347">
          <cell r="B9347" t="str">
            <v>30-540-18-07</v>
          </cell>
          <cell r="C9347" t="str">
            <v>ATR.-ORGANFASSZANGE, SCHEIBE,  18 CM</v>
          </cell>
          <cell r="D9347" t="str">
            <v>ATR. ORGAN SEIZING FORCEPS,  18 CM</v>
          </cell>
        </row>
        <row r="9348">
          <cell r="B9348" t="str">
            <v>30-540-20-07</v>
          </cell>
          <cell r="C9348" t="str">
            <v>ATR.-ORGANFASSZANGE, SCHEIBE,  20,5 CM</v>
          </cell>
          <cell r="D9348" t="str">
            <v>ATR. ORGAN SEIZ. FCPS., SCHEIBE,  20.5 CM</v>
          </cell>
        </row>
        <row r="9349">
          <cell r="B9349" t="str">
            <v>30-540-23-07</v>
          </cell>
          <cell r="C9349" t="str">
            <v>ATR.-ORGANFASSZANGE, SCHEIBE,  23 CM</v>
          </cell>
          <cell r="D9349" t="str">
            <v>ATR. ORGAN SEIZ. FCPS., SCHEIBE,  23 CM</v>
          </cell>
        </row>
        <row r="9350">
          <cell r="B9350" t="str">
            <v>30-550-13-07</v>
          </cell>
          <cell r="C9350" t="str">
            <v>ATR.-DARMKLEMME, DOYEN-BABY, GER., 14 CM</v>
          </cell>
          <cell r="D9350" t="str">
            <v>ATR. INT. FCPS., DOYEN-BABY, STR., 14 CM</v>
          </cell>
        </row>
        <row r="9351">
          <cell r="B9351" t="str">
            <v>30-550-16-07</v>
          </cell>
          <cell r="C9351" t="str">
            <v>ATR.-DARMKLEMME, DOYEN, GER., 17 CM</v>
          </cell>
          <cell r="D9351" t="str">
            <v>ATR. INTEST. FCPS., DOYEN, STR., 17 CM</v>
          </cell>
        </row>
        <row r="9352">
          <cell r="B9352" t="str">
            <v>30-550-18-07</v>
          </cell>
          <cell r="C9352" t="str">
            <v>ATR.-DARMKLEMME, DOYEN, GER., 18,5 CM</v>
          </cell>
          <cell r="D9352" t="str">
            <v>ATR. INTEST. FCPS., DOYEN, STR., 18.5 CM</v>
          </cell>
        </row>
        <row r="9353">
          <cell r="B9353" t="str">
            <v>30-550-21-07</v>
          </cell>
          <cell r="C9353" t="str">
            <v>ATR.-DARMKLEMME, DOYEN, GER., 21,5 CM</v>
          </cell>
          <cell r="D9353" t="str">
            <v>ATR. INTEST. FCPS., DOYEN, STR., 21.5 CM</v>
          </cell>
        </row>
        <row r="9354">
          <cell r="B9354" t="str">
            <v>30-550-23-07</v>
          </cell>
          <cell r="C9354" t="str">
            <v>ATR.-DARMKLEMME, DOYEN, GER., 23,5 CM</v>
          </cell>
          <cell r="D9354" t="str">
            <v>ATR. INTEST. FCPS., DOYEN, STR., 23.5 CM</v>
          </cell>
        </row>
        <row r="9355">
          <cell r="B9355" t="str">
            <v>30-551-13-07</v>
          </cell>
          <cell r="C9355" t="str">
            <v>ATR.-DARMKLEMME, DOYEN-B.,  GEB., 13,5 CM</v>
          </cell>
          <cell r="D9355" t="str">
            <v>ATR. INT. FCPS., DOYEN-B.,  CVD., 13.5 CM</v>
          </cell>
        </row>
        <row r="9356">
          <cell r="B9356" t="str">
            <v>30-551-16-07</v>
          </cell>
          <cell r="C9356" t="str">
            <v>ATR.-DARMKLEMME, DOYEN, GEB., 17 CM</v>
          </cell>
          <cell r="D9356" t="str">
            <v>ATR. INTEST. FCPS., DOYEN, CVD., 17 CM</v>
          </cell>
        </row>
        <row r="9357">
          <cell r="B9357" t="str">
            <v>30-551-18-07</v>
          </cell>
          <cell r="C9357" t="str">
            <v>ATR.-DARMKLEMME, DOYEN, GEB., 18 CM</v>
          </cell>
          <cell r="D9357" t="str">
            <v>ATR. INTEST. FCPS., DOYEN, CVD., 18 CM</v>
          </cell>
        </row>
        <row r="9358">
          <cell r="B9358" t="str">
            <v>30-551-21-07</v>
          </cell>
          <cell r="C9358" t="str">
            <v>ATR.-DARMKLEMME, DOYEN, GEB., 21 CM</v>
          </cell>
          <cell r="D9358" t="str">
            <v>ATR. INTEST. FCPS., DOYEN, CVD., 21 CM</v>
          </cell>
        </row>
        <row r="9359">
          <cell r="B9359" t="str">
            <v>30-551-23-07</v>
          </cell>
          <cell r="C9359" t="str">
            <v>ATR.-DARMKLEMME, DOYEN, GEB., 23 CM</v>
          </cell>
          <cell r="D9359" t="str">
            <v>ATR. INTEST. FCPS., DOYEN, CVD., 23 CM</v>
          </cell>
        </row>
        <row r="9360">
          <cell r="B9360" t="str">
            <v>30-554-25-07</v>
          </cell>
          <cell r="C9360" t="str">
            <v>ATR.-DARMKLEMME, MAYO-ROBS., GER., 26 CM</v>
          </cell>
          <cell r="D9360" t="str">
            <v>ATR. INT. FCPS., MAYO-ROBS., STR., 26 CM</v>
          </cell>
        </row>
        <row r="9361">
          <cell r="B9361" t="str">
            <v>30-555-25-07</v>
          </cell>
          <cell r="C9361" t="str">
            <v>ATR.-DARMKLEMME, MAYO-ROBS., GEB., 25 CM</v>
          </cell>
          <cell r="D9361" t="str">
            <v>ATR. INT. FCPS., MAYO-ROBS., CVD., 25 CM</v>
          </cell>
        </row>
        <row r="9362">
          <cell r="B9362" t="str">
            <v>30-560-22-07</v>
          </cell>
          <cell r="C9362" t="str">
            <v>ATR.-DARMKLEMME, KOCHER,  GER., 22,5 CM</v>
          </cell>
          <cell r="D9362" t="str">
            <v>ATR. INT. FCPS., KOCHER,  STR., 22.5 CM</v>
          </cell>
        </row>
        <row r="9363">
          <cell r="B9363" t="str">
            <v>30-560-25-07</v>
          </cell>
          <cell r="C9363" t="str">
            <v>ATR.-DARMKLEMME, KOCHER,  GER., 25 CM</v>
          </cell>
          <cell r="D9363" t="str">
            <v>ATR. INTEST. FCPS., KOCHER,  STR., 25 CM</v>
          </cell>
        </row>
        <row r="9364">
          <cell r="B9364" t="str">
            <v>30-560-28-07</v>
          </cell>
          <cell r="C9364" t="str">
            <v>ATR.-DARMKLEMME, KOCHER,  GER., 28 CM</v>
          </cell>
          <cell r="D9364" t="str">
            <v>ATR. INTEST. FCPS., KOCHER,  STR., 28 CM</v>
          </cell>
        </row>
        <row r="9365">
          <cell r="B9365" t="str">
            <v>30-561-22-07</v>
          </cell>
          <cell r="C9365" t="str">
            <v>ATR.-DARMKLEMME, KOCHER,  GEB., 22 CM</v>
          </cell>
          <cell r="D9365" t="str">
            <v>ATR. INTEST. FCPS., KOCHER,  CVD., 22 CM</v>
          </cell>
        </row>
        <row r="9366">
          <cell r="B9366" t="str">
            <v>30-561-25-07</v>
          </cell>
          <cell r="C9366" t="str">
            <v>ATR.-DARMKLEMME, KOCHER,  GEB., 24,5 CM</v>
          </cell>
          <cell r="D9366" t="str">
            <v>ATR. INTEST. FCPS., KOCHER,  CVD.,24,5  CM</v>
          </cell>
        </row>
        <row r="9367">
          <cell r="B9367" t="str">
            <v>30-561-28-07</v>
          </cell>
          <cell r="C9367" t="str">
            <v>ATR.-DARMKLEMME, KOCHER,  GEB., 27 CM</v>
          </cell>
          <cell r="D9367" t="str">
            <v>ATR. INTEST. FCPS., KOCHER,  CVD., 27 CM</v>
          </cell>
        </row>
        <row r="9368">
          <cell r="B9368" t="str">
            <v>30-570-33-07</v>
          </cell>
          <cell r="C9368" t="str">
            <v>ATR.-DARMKLEMME, SCUDDER,  GER., 33,5 CM</v>
          </cell>
          <cell r="D9368" t="str">
            <v>ATR. INT. FCPS., SCUDDER,  STR., 33.5 CM</v>
          </cell>
        </row>
        <row r="9369">
          <cell r="B9369" t="str">
            <v>30-571-33-07</v>
          </cell>
          <cell r="C9369" t="str">
            <v>ATR.-DARMKLEMME, SCUDDER,  GEB., 32,5 CM</v>
          </cell>
          <cell r="D9369" t="str">
            <v>ATR. INT. FCPS., SCUDDER,  CVD., 32.5 CM</v>
          </cell>
        </row>
        <row r="9370">
          <cell r="B9370" t="str">
            <v>30-580-24-07</v>
          </cell>
          <cell r="C9370" t="str">
            <v>ATR.-DARMKLEMME, BRUNNER,  BAJON., 27 CM</v>
          </cell>
          <cell r="D9370" t="str">
            <v>ATR. INT. FCPS., BRUNNER,  BAYON., 27 CM</v>
          </cell>
        </row>
        <row r="9371">
          <cell r="B9371" t="str">
            <v>30-581-26-07</v>
          </cell>
          <cell r="C9371" t="str">
            <v>ATR.-REKTUMKLEMME, HAYES, GEW., 27 CM</v>
          </cell>
          <cell r="D9371" t="str">
            <v>ATR. RECTUM  FORCEPS,  HAYES, ANG., 27 CM</v>
          </cell>
        </row>
        <row r="9372">
          <cell r="B9372" t="str">
            <v>30-581-28-07</v>
          </cell>
          <cell r="C9372" t="str">
            <v>ATR.-REKTUMKLEMME, HAYES, GEW., 28 CM</v>
          </cell>
          <cell r="D9372" t="str">
            <v>ATR. RECTUM  FORCEPS,  HAYES, ANG., 28 CM</v>
          </cell>
        </row>
        <row r="9373">
          <cell r="B9373" t="str">
            <v>30-583-23-07</v>
          </cell>
          <cell r="C9373" t="str">
            <v>ATR.-REKTUMKLEMME, VEIDENHEIMER, 25 CM</v>
          </cell>
          <cell r="D9373" t="str">
            <v>ATR. RECTUM  FORCEPS,  VEIDENHEIMER, 25 CM</v>
          </cell>
        </row>
        <row r="9374">
          <cell r="B9374" t="str">
            <v>30-585-24-07</v>
          </cell>
          <cell r="C9374" t="str">
            <v>ATR.-RESEKTIONSKLEMME, FEHLAND,  24 CM</v>
          </cell>
          <cell r="D9374" t="str">
            <v>ATR. RESECTION FORCEPS,  FEHLAND,  24 CM</v>
          </cell>
        </row>
        <row r="9375">
          <cell r="B9375" t="str">
            <v>30-587-30-07</v>
          </cell>
          <cell r="C9375" t="str">
            <v>ATR.-REKTUMKLEMME, RESANO,  28 CM</v>
          </cell>
          <cell r="D9375" t="str">
            <v>ATR. RECTUM  FORCEPS,  RESANO,  28 CM</v>
          </cell>
        </row>
        <row r="9376">
          <cell r="B9376" t="str">
            <v>30-610-21-07</v>
          </cell>
          <cell r="C9376" t="str">
            <v>REKTUMSPEKULUM, CZERNY, 105X23-28  MM</v>
          </cell>
          <cell r="D9376" t="str">
            <v>CURVAL SPECULUM, CZERNY, 105X23-28  MM</v>
          </cell>
        </row>
        <row r="9377">
          <cell r="B9377" t="str">
            <v>30-613-15-01</v>
          </cell>
          <cell r="C9377" t="str">
            <v>MASTDARMSPEKULUM, SIMS, 70X15 MM</v>
          </cell>
          <cell r="D9377" t="str">
            <v>CURVAL SPECULUM, SIMS, 70X15 MM</v>
          </cell>
        </row>
        <row r="9378">
          <cell r="B9378" t="str">
            <v>30-615-15-01</v>
          </cell>
          <cell r="C9378" t="str">
            <v>MASTDARMSPEKULUM, SIMS, GEF., 70X15 MM</v>
          </cell>
          <cell r="D9378" t="str">
            <v>CURVAL SPECULUM, SIMS, FENSTR.,  70X15 MM</v>
          </cell>
        </row>
        <row r="9379">
          <cell r="B9379" t="str">
            <v>30-624-20-07</v>
          </cell>
          <cell r="C9379" t="str">
            <v>PRATT MASTDARMSPEKULUM</v>
          </cell>
          <cell r="D9379" t="str">
            <v>PRATT RECTAL SPECULA,  80X25 MM</v>
          </cell>
        </row>
        <row r="9380">
          <cell r="B9380" t="str">
            <v>30-641-15-07</v>
          </cell>
          <cell r="C9380" t="str">
            <v>ANUSKOP,  IVES-FANSLER, Ø 22 MM</v>
          </cell>
          <cell r="D9380" t="str">
            <v>ANUSCOPE, IVES-FANSLER, Ø 22 MM</v>
          </cell>
        </row>
        <row r="9381">
          <cell r="B9381" t="str">
            <v>30-647-00-07</v>
          </cell>
          <cell r="C9381" t="str">
            <v>ANALSPREIZER, ALAN-PARKS, 2 PAAR VALVEN</v>
          </cell>
          <cell r="D9381" t="str">
            <v>ANAL SPREADER,  ALAN-PARKS, 2 PAIR BLADES</v>
          </cell>
        </row>
        <row r="9382">
          <cell r="B9382" t="str">
            <v>30-649-01-07</v>
          </cell>
          <cell r="C9382" t="str">
            <v>SPHINKTEROSKOP, KELLY, 21X50 MM</v>
          </cell>
          <cell r="D9382" t="str">
            <v>SPHINCTEROSCOPE, KELLY, 21X50 MM</v>
          </cell>
        </row>
        <row r="9383">
          <cell r="B9383" t="str">
            <v>30-649-02-07</v>
          </cell>
          <cell r="C9383" t="str">
            <v>SPHINKTEROSKOP, KELLY, 27X50 MM</v>
          </cell>
          <cell r="D9383" t="str">
            <v>SPHINCTEROSCOPE, KELLY, 27X50 MM</v>
          </cell>
        </row>
        <row r="9384">
          <cell r="B9384" t="str">
            <v>30-724-19-07</v>
          </cell>
          <cell r="C9384" t="str">
            <v>HÄMORRHOIDENFASSZANGE, MCGIVNEY, 19,5 CM</v>
          </cell>
          <cell r="D9384" t="str">
            <v>HAEMORRHOIDAL FORCEPS,  MCGIVNEY, 19.5 CM</v>
          </cell>
        </row>
        <row r="9385">
          <cell r="B9385" t="str">
            <v>30-741-38-07</v>
          </cell>
          <cell r="C9385" t="str">
            <v>ATR.-BIOPSIEFASSZANGE, 15 MM, 38 CM</v>
          </cell>
          <cell r="D9385" t="str">
            <v>ATR. BIOPSY GRASP. FORCEPS,  15 MM, 38 CM</v>
          </cell>
        </row>
        <row r="9386">
          <cell r="B9386" t="str">
            <v>31-101-23-07</v>
          </cell>
          <cell r="C9386" t="str">
            <v>NIERENSTEINZANGE, RANDALL,  FIG. 1, 23 CM</v>
          </cell>
          <cell r="D9386" t="str">
            <v>KIDNEY STONE FCP., RANDALL,  NO. 1, 23 CM</v>
          </cell>
        </row>
        <row r="9387">
          <cell r="B9387" t="str">
            <v>31-103-22-07</v>
          </cell>
          <cell r="C9387" t="str">
            <v>NIERENSTEINZANGE, RANDALL,  FIG. 2, 21 CM</v>
          </cell>
          <cell r="D9387" t="str">
            <v>KIDNEY STONE FCP., RANDALL,  NO. 2, 21 CM</v>
          </cell>
        </row>
        <row r="9388">
          <cell r="B9388" t="str">
            <v>31-105-22-07</v>
          </cell>
          <cell r="C9388" t="str">
            <v>NIERENSTEINZANGE, RANDALL,  FIG. 3, 19 CM</v>
          </cell>
          <cell r="D9388" t="str">
            <v>KIDNEY STONE FCP., RANDALL,  NO. 3, 19 CM</v>
          </cell>
        </row>
        <row r="9389">
          <cell r="B9389" t="str">
            <v>31-107-22-07</v>
          </cell>
          <cell r="C9389" t="str">
            <v>NIERENSTEINZANGE, RANDALL,  F. 4, 18,5 CM</v>
          </cell>
          <cell r="D9389" t="str">
            <v>KIDNEY STONE FCP., RAND., NO. 4, 18.5 CM</v>
          </cell>
        </row>
        <row r="9390">
          <cell r="B9390" t="str">
            <v>31-113-16-07</v>
          </cell>
          <cell r="C9390" t="str">
            <v>NIERENSTEINZANGE, STARK GEB., 16 CM</v>
          </cell>
          <cell r="D9390" t="str">
            <v>KIDNEY STONE FORCEPS,  STRONG CVD., 16 CM</v>
          </cell>
        </row>
        <row r="9391">
          <cell r="B9391" t="str">
            <v>31-113-17-07</v>
          </cell>
          <cell r="C9391" t="str">
            <v>NIERENSTEINZANGE, GEB., 17 CM</v>
          </cell>
          <cell r="D9391" t="str">
            <v>KIDNEY STONE FORCEPS,  CVD., 17 CM</v>
          </cell>
        </row>
        <row r="9392">
          <cell r="B9392" t="str">
            <v>31-170-01-01</v>
          </cell>
          <cell r="C9392" t="str">
            <v>GALLENKANALDILATATOR, BAKES, 1 MM, 32 CM</v>
          </cell>
          <cell r="D9392" t="str">
            <v>BILE DUCT DILATOR,  BAKES, 1 MM, 32 CM</v>
          </cell>
        </row>
        <row r="9393">
          <cell r="B9393" t="str">
            <v>31-170-02-01</v>
          </cell>
          <cell r="C9393" t="str">
            <v>GALLENKANALDILATATOR, BAKES, 2 MM, 32 CM</v>
          </cell>
          <cell r="D9393" t="str">
            <v>BILE DUCT DILATOR,  BAKES, 2 MM, 32 CM</v>
          </cell>
        </row>
        <row r="9394">
          <cell r="B9394" t="str">
            <v>31-170-03-01</v>
          </cell>
          <cell r="C9394" t="str">
            <v>GALLENKANALDILATATOR, BAKES, 3 MM, 32 CM</v>
          </cell>
          <cell r="D9394" t="str">
            <v>BILE DUCT DILATOR,  BAKES, 3 MM, 32 CM</v>
          </cell>
        </row>
        <row r="9395">
          <cell r="B9395" t="str">
            <v>31-170-04-01</v>
          </cell>
          <cell r="C9395" t="str">
            <v>GALLENKANALDILATATOR, BAKES, 4 MM, 32 CM</v>
          </cell>
          <cell r="D9395" t="str">
            <v>BILE DUCT DILATOR,  BAKES, 4 MM, 32 CM</v>
          </cell>
        </row>
        <row r="9396">
          <cell r="B9396" t="str">
            <v>31-170-05-01</v>
          </cell>
          <cell r="C9396" t="str">
            <v>GALLENKANALDILATATOR, BAKES, 5 MM, 32 CM</v>
          </cell>
          <cell r="D9396" t="str">
            <v>BILE DUCT DILATOR,  BAKES, 5 MM, 32 CM</v>
          </cell>
        </row>
        <row r="9397">
          <cell r="B9397" t="str">
            <v>31-170-06-01</v>
          </cell>
          <cell r="C9397" t="str">
            <v>GALLENKANALDILATATOR, BAKES, 6 MM, 32 CM</v>
          </cell>
          <cell r="D9397" t="str">
            <v>BILE DUCT DILATOR,  BAKES, 6 MM, 32 CM</v>
          </cell>
        </row>
        <row r="9398">
          <cell r="B9398" t="str">
            <v>31-170-07-01</v>
          </cell>
          <cell r="C9398" t="str">
            <v>GALLENKANALDILATATOR, BAKES, 7 MM, 32 CM</v>
          </cell>
          <cell r="D9398" t="str">
            <v>BILE DUCT DILATOR,  BAKES, 7 MM, 32 CM</v>
          </cell>
        </row>
        <row r="9399">
          <cell r="B9399" t="str">
            <v>31-170-08-01</v>
          </cell>
          <cell r="C9399" t="str">
            <v>GALLENKANALDILATATOR, BAKES, 8 MM, 32 CM</v>
          </cell>
          <cell r="D9399" t="str">
            <v>BILE DUCT DILATOR,  BAKES, 8 MM, 32 CM</v>
          </cell>
        </row>
        <row r="9400">
          <cell r="B9400" t="str">
            <v>31-170-09-01</v>
          </cell>
          <cell r="C9400" t="str">
            <v>GALLENKANALDILATATOR, BAKES, 9 MM, 32 CM</v>
          </cell>
          <cell r="D9400" t="str">
            <v>BILE DUCT DILATOR,  BAKES, 9 MM, 32 CM</v>
          </cell>
        </row>
        <row r="9401">
          <cell r="B9401" t="str">
            <v>31-170-10-01</v>
          </cell>
          <cell r="C9401" t="str">
            <v>GALLENKANALDILATAT., BAKES, 10 MM, 32 CM</v>
          </cell>
          <cell r="D9401" t="str">
            <v>BILE DUCT DILATOR,  BAKES, 10 MM, 32 CM</v>
          </cell>
        </row>
        <row r="9402">
          <cell r="B9402" t="str">
            <v>31-170-11-01</v>
          </cell>
          <cell r="C9402" t="str">
            <v>GALLENKANALDILATAT., BAKES, 11 MM, 32 CM</v>
          </cell>
          <cell r="D9402" t="str">
            <v>BILE DUCT DILATOR,  BAKES, 11 MM, 32 CM</v>
          </cell>
        </row>
        <row r="9403">
          <cell r="B9403" t="str">
            <v>31-170-12-01</v>
          </cell>
          <cell r="C9403" t="str">
            <v>GALLENKANALDILATAT., BAKES, 12 MM, 32 CM</v>
          </cell>
          <cell r="D9403" t="str">
            <v>BILE DUCT DILATOR,  BAKES, 12 MM, 32 CM</v>
          </cell>
        </row>
        <row r="9404">
          <cell r="B9404" t="str">
            <v>31-170-13-01</v>
          </cell>
          <cell r="C9404" t="str">
            <v>GALLENKANALDILATAT., BAKES, 13 MM, 32 CM</v>
          </cell>
          <cell r="D9404" t="str">
            <v>BILE DUCT DILATOR,  BAKES, 13 MM, 32 CM</v>
          </cell>
        </row>
        <row r="9405">
          <cell r="B9405" t="str">
            <v>31-204-20-07</v>
          </cell>
          <cell r="C9405" t="str">
            <v>GALLENSTEINZANGE, BLAKE, GER., 21 CM</v>
          </cell>
          <cell r="D9405" t="str">
            <v>GALLSTONE FORCEPS,  BLAKE, STR., 21 CM</v>
          </cell>
        </row>
        <row r="9406">
          <cell r="B9406" t="str">
            <v>31-205-20-07</v>
          </cell>
          <cell r="C9406" t="str">
            <v>GALLENSTEINZANGE, BLAKE, GEB., 20,5 CM</v>
          </cell>
          <cell r="D9406" t="str">
            <v>GALLSTONE FORCEPS,  BLAKE, CVD., 20,5 CM</v>
          </cell>
        </row>
        <row r="9407">
          <cell r="B9407" t="str">
            <v>31-215-20-07</v>
          </cell>
          <cell r="C9407" t="str">
            <v>GALLENSTEINZANGE, MAYO-BL.,  GEB., 21 CM</v>
          </cell>
          <cell r="D9407" t="str">
            <v>GALLSTONE FORCEPS,  MAYO-B.,  CVD., 21 CM</v>
          </cell>
        </row>
        <row r="9408">
          <cell r="B9408" t="str">
            <v>31-217-22-07</v>
          </cell>
          <cell r="C9408" t="str">
            <v>GALLENSTEINZANGE, MIXTER, GEB., 22 CM</v>
          </cell>
          <cell r="D9408" t="str">
            <v>GALLSTONE FORCEPS,  MIXTER, CVD., 22 CM</v>
          </cell>
        </row>
        <row r="9409">
          <cell r="B9409" t="str">
            <v>31-223-23-07</v>
          </cell>
          <cell r="C9409" t="str">
            <v>GALLENSTEINZANGE, DESJARDINS, FIG. 1</v>
          </cell>
          <cell r="D9409" t="str">
            <v>GALLSTONE FORCEPS,  DESJARDINS, NO. 1</v>
          </cell>
        </row>
        <row r="9410">
          <cell r="B9410" t="str">
            <v>31-225-23-07</v>
          </cell>
          <cell r="C9410" t="str">
            <v>GALLENSTEINZANGE, DESJARDINS, FIG. 2</v>
          </cell>
          <cell r="D9410" t="str">
            <v>GALLSTONE FORCEPS,  DESJARDINS, NO. 2</v>
          </cell>
        </row>
        <row r="9411">
          <cell r="B9411" t="str">
            <v>31-226-25-07</v>
          </cell>
          <cell r="C9411" t="str">
            <v>GALLENST.-ZANGE, FEIN, ST. GEB., 22,5 CM</v>
          </cell>
          <cell r="D9411" t="str">
            <v>GALL STONE FCPS. FINE CVD. 24 CM</v>
          </cell>
        </row>
        <row r="9412">
          <cell r="B9412" t="str">
            <v>31-340-01-07</v>
          </cell>
          <cell r="C9412" t="str">
            <v>GALLENSTEINLÖFFEL, (000), 2,7 MM, 32 CM</v>
          </cell>
          <cell r="D9412" t="str">
            <v>GALLSTONE SCOOP, NO. 000, 2.7 MM, 32 CM</v>
          </cell>
        </row>
        <row r="9413">
          <cell r="B9413" t="str">
            <v>31-340-02-07</v>
          </cell>
          <cell r="C9413" t="str">
            <v>GALLENSTEINLÖFFEL, (00), 3,4 MM, 32 CM</v>
          </cell>
          <cell r="D9413" t="str">
            <v>GALLSTONE SCOOP, NO. 00, 3.4 MM, 32 CM</v>
          </cell>
        </row>
        <row r="9414">
          <cell r="B9414" t="str">
            <v>31-340-03-07</v>
          </cell>
          <cell r="C9414" t="str">
            <v>GALLENSTEINLÖFFEL, (0), 4,3 MM, 32 CM</v>
          </cell>
          <cell r="D9414" t="str">
            <v>GALLSTONE SCOOP, NO. 0, 4.3 MM, 32 CM</v>
          </cell>
        </row>
        <row r="9415">
          <cell r="B9415" t="str">
            <v>31-340-04-07</v>
          </cell>
          <cell r="C9415" t="str">
            <v>GALLENSTEINLÖFFEL, (1), 5,5 MM, 32 CM</v>
          </cell>
          <cell r="D9415" t="str">
            <v>GALLSTONE SCOOP, NO. 1, 5.5 MM, 32 CM</v>
          </cell>
        </row>
        <row r="9416">
          <cell r="B9416" t="str">
            <v>31-340-05-07</v>
          </cell>
          <cell r="C9416" t="str">
            <v>GALLENSTEINLÖFFEL, (2), 6,6 MM, 32 CM</v>
          </cell>
          <cell r="D9416" t="str">
            <v>GALLSTONE SCOOP, NO. 2, 6.6 MM, 32 CM</v>
          </cell>
        </row>
        <row r="9417">
          <cell r="B9417" t="str">
            <v>31-340-06-07</v>
          </cell>
          <cell r="C9417" t="str">
            <v>GALLENSTEINLÖFFEL, (3), 8,0 MM, 32 CM</v>
          </cell>
          <cell r="D9417" t="str">
            <v>GALLSTONE SCOOP, NO. 3, 8.0 MM, 32 CM</v>
          </cell>
        </row>
        <row r="9418">
          <cell r="B9418" t="str">
            <v>31-340-07-07</v>
          </cell>
          <cell r="C9418" t="str">
            <v>GALLENSTEINLÖFFEL, (4), 11 MM, 32 CM</v>
          </cell>
          <cell r="D9418" t="str">
            <v>GALLSTONE SCOOP, NO. 4, 11 MM, 32 CM</v>
          </cell>
        </row>
        <row r="9419">
          <cell r="B9419" t="str">
            <v>31-340-08-07</v>
          </cell>
          <cell r="C9419" t="str">
            <v>GALLENSTEINLÖFFEL, (5), 15 MM, 32 CM</v>
          </cell>
          <cell r="D9419" t="str">
            <v>GALLSTONE SCOOP, NO. 5, 15 MM, 32 CM</v>
          </cell>
        </row>
        <row r="9420">
          <cell r="B9420" t="str">
            <v>31-401-21-07</v>
          </cell>
          <cell r="C9420" t="str">
            <v>PROSTATAHAKEN, YOUNG, SCHMAL,  22 CM</v>
          </cell>
          <cell r="D9420" t="str">
            <v>PROSTATE  RETRACTOR, YOUNG, SLIM, 22 CM</v>
          </cell>
        </row>
        <row r="9421">
          <cell r="B9421" t="str">
            <v>31-405-21-07</v>
          </cell>
          <cell r="C9421" t="str">
            <v>PROSTATAHAKEN, YOUNG, BULBUS, 22 CM</v>
          </cell>
          <cell r="D9421" t="str">
            <v>PROSTATE  RETRACT.,  YOUNG, BULB, 22 CM</v>
          </cell>
        </row>
        <row r="9422">
          <cell r="B9422" t="str">
            <v>31-407-22-07</v>
          </cell>
          <cell r="C9422" t="str">
            <v>PROSTATAHAKEN, YOUNG, GEGABELT,  23 CM</v>
          </cell>
          <cell r="D9422" t="str">
            <v>PROSTATE  RETRACTOR, YOUNG, FORKED, 23 CM</v>
          </cell>
        </row>
        <row r="9423">
          <cell r="B9423" t="str">
            <v>31-451-24-07</v>
          </cell>
          <cell r="C9423" t="str">
            <v>ATR.-KAPSELFASSZANGE, MILLIN, 24,5 CM</v>
          </cell>
          <cell r="D9423" t="str">
            <v>ATR. CAPSULE  FORCEPS,  MILLIN, 24.5 CM</v>
          </cell>
        </row>
        <row r="9424">
          <cell r="B9424" t="str">
            <v>31-453-24-07</v>
          </cell>
          <cell r="C9424" t="str">
            <v>ATR.-KAPSELFASSZANGE, MILLIN, 22,5 CM</v>
          </cell>
          <cell r="D9424" t="str">
            <v>ATR. CAPSULE  FORCEPS,  MILLIN, 22.5 CM</v>
          </cell>
        </row>
        <row r="9425">
          <cell r="B9425" t="str">
            <v>31-461-23-07</v>
          </cell>
          <cell r="C9425" t="str">
            <v>KAPSELFASSZANGE, MILLIN, 24,5 CM</v>
          </cell>
          <cell r="D9425" t="str">
            <v>CAPSULE  FORCEPS,  MILLIN, 24.5 CM</v>
          </cell>
        </row>
        <row r="9426">
          <cell r="B9426" t="str">
            <v>31-463-23-07</v>
          </cell>
          <cell r="C9426" t="str">
            <v>KAPSELFASSZANGE, MILLIN, 9X10 Z., 22 CM</v>
          </cell>
          <cell r="D9426" t="str">
            <v>CAPSULE  FORCEPS,  MILLIN, 9X10 T., 22 CM</v>
          </cell>
        </row>
        <row r="9427">
          <cell r="B9427" t="str">
            <v>31-475-00-07</v>
          </cell>
          <cell r="C9427" t="str">
            <v>BLASENHALSSPERRER, MILLIN, 29,5 CM</v>
          </cell>
          <cell r="D9427" t="str">
            <v>VESICAL NECK SPREADER,  MILLIN, 29.5 CM</v>
          </cell>
        </row>
        <row r="9428">
          <cell r="B9428" t="str">
            <v>31-510-00-07</v>
          </cell>
          <cell r="C9428" t="str">
            <v>BLASENWUNDSPERRER, JUDD-MASON</v>
          </cell>
          <cell r="D9428" t="str">
            <v>BLADDER  RETRACTOR, JUDD-MASON</v>
          </cell>
        </row>
        <row r="9429">
          <cell r="B9429" t="str">
            <v>31-512-00-07</v>
          </cell>
          <cell r="C9429" t="str">
            <v>BLASENWUNDSPERRER, MILLIN, KOMPL.</v>
          </cell>
          <cell r="D9429" t="str">
            <v>BLADDER  RETRACTOR, MILLIN, COMPLETE</v>
          </cell>
        </row>
        <row r="9430">
          <cell r="B9430" t="str">
            <v>31-599-00-07</v>
          </cell>
          <cell r="C9430" t="str">
            <v>HARNRÖHRENBOUGIES, V. BUREN, 8-36 CH</v>
          </cell>
          <cell r="D9430" t="str">
            <v>URETHRAL  BOUGIES,  V. BUREN, 8-36 CH</v>
          </cell>
        </row>
        <row r="9431">
          <cell r="B9431" t="str">
            <v>31-599-08-07</v>
          </cell>
          <cell r="C9431" t="str">
            <v>HARNRÖHRENBOUGIE, V. BUREN, 8 CH, 27 CM</v>
          </cell>
          <cell r="D9431" t="str">
            <v>URETHRAL  BOUGIE, V. BUREN, 8 CH, 27 CM</v>
          </cell>
        </row>
        <row r="9432">
          <cell r="B9432" t="str">
            <v>31-599-10-07</v>
          </cell>
          <cell r="C9432" t="str">
            <v>HARNRÖHRENBOUGIE, V. BUREN, 10 CH, 27 CM</v>
          </cell>
          <cell r="D9432" t="str">
            <v>URETHRAL  BOUGIE, V. BUREN, 10 CH, 27 CM</v>
          </cell>
        </row>
        <row r="9433">
          <cell r="B9433" t="str">
            <v>31-599-12-07</v>
          </cell>
          <cell r="C9433" t="str">
            <v>HARNRÖHRENBOUGIE, V. BUREN, 12 CH, 27 CM</v>
          </cell>
          <cell r="D9433" t="str">
            <v>URETHRAL  BOUGIE, V. BUREN, 12 CH, 27 CM</v>
          </cell>
        </row>
        <row r="9434">
          <cell r="B9434" t="str">
            <v>31-599-14-07</v>
          </cell>
          <cell r="C9434" t="str">
            <v>HARNRÖHRENBOUGIE, V. BUREN, 14 CH, 27 CM</v>
          </cell>
          <cell r="D9434" t="str">
            <v>URETHRAL  BOUGIE, V. BUREN, 14 CH, 27 CM</v>
          </cell>
        </row>
        <row r="9435">
          <cell r="B9435" t="str">
            <v>31-599-16-07</v>
          </cell>
          <cell r="C9435" t="str">
            <v>HARNRÖHRENBOUGIE, V. BUREN, 16 CH, 27 CM</v>
          </cell>
          <cell r="D9435" t="str">
            <v>URETHRAL  BOUGIE, V. BUREN, 16 CH, 27 CM</v>
          </cell>
        </row>
        <row r="9436">
          <cell r="B9436" t="str">
            <v>31-599-18-07</v>
          </cell>
          <cell r="C9436" t="str">
            <v>HARNRÖHRENBOUGIE, V. BUREN, 18 CH, 27 CM</v>
          </cell>
          <cell r="D9436" t="str">
            <v>URETHRAL  BOUGIE, V. BUREN, 18 CH, 27 CM</v>
          </cell>
        </row>
        <row r="9437">
          <cell r="B9437" t="str">
            <v>31-599-20-07</v>
          </cell>
          <cell r="C9437" t="str">
            <v>HARNRÖHRENBOUGIE, V. BUREN, 20 CH, 27 CM</v>
          </cell>
          <cell r="D9437" t="str">
            <v>URETHRAL  BOUGIE, V. BUREN, 20 CH, 27 CM</v>
          </cell>
        </row>
        <row r="9438">
          <cell r="B9438" t="str">
            <v>31-599-22-07</v>
          </cell>
          <cell r="C9438" t="str">
            <v>HARNRÖHRENBOUGIE, V. BUREN, 22 CH, 27 CM</v>
          </cell>
          <cell r="D9438" t="str">
            <v>URETHRAL  BOUGIE, V. BUREN, 22 CH, 27 CM</v>
          </cell>
        </row>
        <row r="9439">
          <cell r="B9439" t="str">
            <v>31-599-24-07</v>
          </cell>
          <cell r="C9439" t="str">
            <v>HARNRÖHRENBOUGIE, V. BUREN, 24 CH, 27 CM</v>
          </cell>
          <cell r="D9439" t="str">
            <v>URETHRAL  BOUGIE, V. BUREN, 24 CH, 27 CM</v>
          </cell>
        </row>
        <row r="9440">
          <cell r="B9440" t="str">
            <v>31-599-26-07</v>
          </cell>
          <cell r="C9440" t="str">
            <v>HARNRÖHRENBOUGIE, V. BUREN, 26 CH, 27 CM</v>
          </cell>
          <cell r="D9440" t="str">
            <v>URETHRAL  BOUGIE, V. BUREN, 26 CH, 27 CM</v>
          </cell>
        </row>
        <row r="9441">
          <cell r="B9441" t="str">
            <v>31-599-28-07</v>
          </cell>
          <cell r="C9441" t="str">
            <v>HARNRÖHRENBOUGIE, V. BUREN, 28 CH, 27 CM</v>
          </cell>
          <cell r="D9441" t="str">
            <v>URETHRAL  BOUGIE, V. BUREN, 28 CH, 27 CM</v>
          </cell>
        </row>
        <row r="9442">
          <cell r="B9442" t="str">
            <v>31-599-30-07</v>
          </cell>
          <cell r="C9442" t="str">
            <v>HARNRÖHRENBOUGIE, V. BUREN, 30 CH, 27 CM</v>
          </cell>
          <cell r="D9442" t="str">
            <v>URETHRAL  BOUGIE, V. BUREN, 30 CH, 27 CM</v>
          </cell>
        </row>
        <row r="9443">
          <cell r="B9443" t="str">
            <v>31-599-32-07</v>
          </cell>
          <cell r="C9443" t="str">
            <v>HARNRÖHRENBOUGIE, V. BUREN, 32 CH, 27 CM</v>
          </cell>
          <cell r="D9443" t="str">
            <v>URETHRAL  BOUGIE, V. BUREN, 32 CH, 27 CM</v>
          </cell>
        </row>
        <row r="9444">
          <cell r="B9444" t="str">
            <v>31-599-34-07</v>
          </cell>
          <cell r="C9444" t="str">
            <v>HARNRÖHRENBOUGIE, V. BUREN, 34 CH, 27 CM</v>
          </cell>
          <cell r="D9444" t="str">
            <v>URETHRAL  BOUGIE, V. BUREN, 34 CH, 27 CM</v>
          </cell>
        </row>
        <row r="9445">
          <cell r="B9445" t="str">
            <v>31-599-36-07</v>
          </cell>
          <cell r="C9445" t="str">
            <v>HARNRÖHRENBOUGIE, V. BUREN, 36 CH, 27 CM</v>
          </cell>
          <cell r="D9445" t="str">
            <v>URETHRAL  BOUGIE, V. BUREN, 36 CH, 27 CM</v>
          </cell>
        </row>
        <row r="9446">
          <cell r="B9446" t="str">
            <v>31-607-10-07</v>
          </cell>
          <cell r="C9446" t="str">
            <v>HARNRÖHRENBOUGIE, GUYON, 10 CH, 26,5 CM</v>
          </cell>
          <cell r="D9446" t="str">
            <v>URETHRAL  BOUGIE, GUYON, 10 CH, 26.5 CM</v>
          </cell>
        </row>
        <row r="9447">
          <cell r="B9447" t="str">
            <v>31-607-11-07</v>
          </cell>
          <cell r="C9447" t="str">
            <v>HARNRÖHRENBOUGIE, GUYON, 11 CH, 26,5 CM</v>
          </cell>
          <cell r="D9447" t="str">
            <v>URETHRAL  BOUGIE, GUYON, 11 CH, 26.5 CM</v>
          </cell>
        </row>
        <row r="9448">
          <cell r="B9448" t="str">
            <v>31-607-12-07</v>
          </cell>
          <cell r="C9448" t="str">
            <v>HARNRÖHRENBOUGIE, GUYON, 12 CH, 26,5 CM</v>
          </cell>
          <cell r="D9448" t="str">
            <v>URETHRAL  BOUGIE, GUYON, 12 CH, 26.5 CM</v>
          </cell>
        </row>
        <row r="9449">
          <cell r="B9449" t="str">
            <v>31-607-13-07</v>
          </cell>
          <cell r="C9449" t="str">
            <v>HARNRÖHRENBOUGIE, GUYON, 13 CH, 26,5 CM</v>
          </cell>
          <cell r="D9449" t="str">
            <v>URETHRAL  BOUGIE, GUYON, 13 CH, 26.5 CM</v>
          </cell>
        </row>
        <row r="9450">
          <cell r="B9450" t="str">
            <v>31-607-14-07</v>
          </cell>
          <cell r="C9450" t="str">
            <v>HARNRÖHRENBOUGIE, GUYON, 14 CH, 26,5 CM</v>
          </cell>
          <cell r="D9450" t="str">
            <v>URETHRAL  BOUGIE, GUYON, 14 CH, 26.5 CM</v>
          </cell>
        </row>
        <row r="9451">
          <cell r="B9451" t="str">
            <v>31-607-15-07</v>
          </cell>
          <cell r="C9451" t="str">
            <v>HARNRÖHRENBOUGIE, GUYON, 15 CH, 26,5 CM</v>
          </cell>
          <cell r="D9451" t="str">
            <v>URETHRAL  BOUGIE, GUYON, 15 CH, 26.5 CM</v>
          </cell>
        </row>
        <row r="9452">
          <cell r="B9452" t="str">
            <v>31-607-16-07</v>
          </cell>
          <cell r="C9452" t="str">
            <v>HARNRÖHRENBOUGIE, GUYON, 16 CH, 26,5 CM</v>
          </cell>
          <cell r="D9452" t="str">
            <v>URETHRAL  BOUGIE, GUYON, 16 CH, 26.5 CM</v>
          </cell>
        </row>
        <row r="9453">
          <cell r="B9453" t="str">
            <v>31-607-17-07</v>
          </cell>
          <cell r="C9453" t="str">
            <v>HARNRÖHRENBOUGIE, GUYON, 17 CH, 26,5 CM</v>
          </cell>
          <cell r="D9453" t="str">
            <v>URETHRAL  BOUGIE, GUYON, 17 CH, 26.5 CM</v>
          </cell>
        </row>
        <row r="9454">
          <cell r="B9454" t="str">
            <v>31-607-18-07</v>
          </cell>
          <cell r="C9454" t="str">
            <v>HARNRÖHRENBOUGIE, GUYON, 18 CH, 26,5 CM</v>
          </cell>
          <cell r="D9454" t="str">
            <v>URETHRAL  BOUGIE, GUYON, 18 CH, 26.5 CM</v>
          </cell>
        </row>
        <row r="9455">
          <cell r="B9455" t="str">
            <v>31-607-19-07</v>
          </cell>
          <cell r="C9455" t="str">
            <v>HARNRÖHRENBOUGIE, GUYON, 19 CH, 26,5 CM</v>
          </cell>
          <cell r="D9455" t="str">
            <v>URETHRAL  BOUGIE, GUYON, 19 CH, 26.5 CM</v>
          </cell>
        </row>
        <row r="9456">
          <cell r="B9456" t="str">
            <v>31-607-20-07</v>
          </cell>
          <cell r="C9456" t="str">
            <v>HARNRÖHRENBOUGIE, GUYON, 20 CH, 26,5 CM</v>
          </cell>
          <cell r="D9456" t="str">
            <v>URETHRAL  BOUGIE, GUYON, 20 CH, 26.5 CM</v>
          </cell>
        </row>
        <row r="9457">
          <cell r="B9457" t="str">
            <v>31-607-21-07</v>
          </cell>
          <cell r="C9457" t="str">
            <v>HARNRÖHRENBOUGIE, GUYON, 21 CH, 26,5 CM</v>
          </cell>
          <cell r="D9457" t="str">
            <v>URETHRAL  BOUGIE, GUYON, 21 CH, 26.5 CM</v>
          </cell>
        </row>
        <row r="9458">
          <cell r="B9458" t="str">
            <v>31-607-22-07</v>
          </cell>
          <cell r="C9458" t="str">
            <v>HARNRÖHRENBOUGIE, GUYON, 22 CH, 26,5 CM</v>
          </cell>
          <cell r="D9458" t="str">
            <v>URETHRAL  BOUGIE, GUYON, 22 CH, 26.5 CM</v>
          </cell>
        </row>
        <row r="9459">
          <cell r="B9459" t="str">
            <v>31-607-23-07</v>
          </cell>
          <cell r="C9459" t="str">
            <v>HARNRÖHRENBOUGIE, GUYON, 23 CH, 26,5 CM</v>
          </cell>
          <cell r="D9459" t="str">
            <v>URETHRAL  BOUGIE, GUYON, 23 CH, 26.5 CM</v>
          </cell>
        </row>
        <row r="9460">
          <cell r="B9460" t="str">
            <v>31-607-24-07</v>
          </cell>
          <cell r="C9460" t="str">
            <v>HARNRÖHRENBOUGIE, GUYON, 24 CH, 26,5 CM</v>
          </cell>
          <cell r="D9460" t="str">
            <v>URETHRAL  BOUGIE, GUYON, 24 CH, 26.5 CM</v>
          </cell>
        </row>
        <row r="9461">
          <cell r="B9461" t="str">
            <v>31-607-25-07</v>
          </cell>
          <cell r="C9461" t="str">
            <v>HARNRÖHRENBOUGIE, GUYON, 25 CH, 26,5 CM</v>
          </cell>
          <cell r="D9461" t="str">
            <v>URETHRAL  BOUGIE, GUYON, 25 CH, 26.5 CM</v>
          </cell>
        </row>
        <row r="9462">
          <cell r="B9462" t="str">
            <v>31-607-26-07</v>
          </cell>
          <cell r="C9462" t="str">
            <v>HARNRÖHRENBOUGIE, GUYON, 26 CH, 26,5 CM</v>
          </cell>
          <cell r="D9462" t="str">
            <v>URETHRAL  BOUGIE, GUYON, 26 CH, 26.5 CM</v>
          </cell>
        </row>
        <row r="9463">
          <cell r="B9463" t="str">
            <v>31-607-27-07</v>
          </cell>
          <cell r="C9463" t="str">
            <v>HARNRÖHRENBOUGIE, GUYON, 27 CH, 26,5 CM</v>
          </cell>
          <cell r="D9463" t="str">
            <v>URETHRAL  BOUGIE, GUYON, 27 CH, 26.5 CM</v>
          </cell>
        </row>
        <row r="9464">
          <cell r="B9464" t="str">
            <v>31-607-28-07</v>
          </cell>
          <cell r="C9464" t="str">
            <v>HARNRÖHRENBOUGIE, GUYON, 28 CH, 26,5 CM</v>
          </cell>
          <cell r="D9464" t="str">
            <v>URETHRAL  BOUGIE, GUYON, 28 CH, 26.5 CM</v>
          </cell>
        </row>
        <row r="9465">
          <cell r="B9465" t="str">
            <v>31-607-29-07</v>
          </cell>
          <cell r="C9465" t="str">
            <v>HARNRÖHRENBOUGIE, GUYON, 29 CH, 26,5 CM</v>
          </cell>
          <cell r="D9465" t="str">
            <v>URETHRAL  BOUGIE, GUYON, 29 CH, 26.5 CM</v>
          </cell>
        </row>
        <row r="9466">
          <cell r="B9466" t="str">
            <v>31-607-30-07</v>
          </cell>
          <cell r="C9466" t="str">
            <v>HARNRÖHRENBOUGIE, GUYON, 30 CH, 26,5 CM</v>
          </cell>
          <cell r="D9466" t="str">
            <v>URETHRAL  BOUGIE, GUYON, 30 CH, 26.5 CM</v>
          </cell>
        </row>
        <row r="9467">
          <cell r="B9467" t="str">
            <v>31-721-12-01</v>
          </cell>
          <cell r="C9467" t="str">
            <v>KATHETER  F. FRAUEN,  GEB., 12 CH, 15 CM</v>
          </cell>
          <cell r="D9467" t="str">
            <v>CATHETER  F. WOMEN,  CVD., 12 CH, 15 CM</v>
          </cell>
        </row>
        <row r="9468">
          <cell r="B9468" t="str">
            <v>31-721-14-01</v>
          </cell>
          <cell r="C9468" t="str">
            <v>KATHETER  F. FRAUEN,  GEB., 14 CH, 15 CM</v>
          </cell>
          <cell r="D9468" t="str">
            <v>CATHETER  F. WOMEN,  CVD., 14 CH, 15 CM</v>
          </cell>
        </row>
        <row r="9469">
          <cell r="B9469" t="str">
            <v>31-765-08-07</v>
          </cell>
          <cell r="C9469" t="str">
            <v>CIRCUMCISIONSGERÄT, Ø 8 MM</v>
          </cell>
          <cell r="D9469" t="str">
            <v>CIRCUMCISION INSTRUMENT, Ø 8 MM</v>
          </cell>
        </row>
        <row r="9470">
          <cell r="B9470" t="str">
            <v>31-765-11-07</v>
          </cell>
          <cell r="C9470" t="str">
            <v>CIRCUMCISIONSGERÄT, Ø 11 MM</v>
          </cell>
          <cell r="D9470" t="str">
            <v>CIRCUMCISION INSTRUMENT, Ø 11 MM</v>
          </cell>
        </row>
        <row r="9471">
          <cell r="B9471" t="str">
            <v>31-765-13-07</v>
          </cell>
          <cell r="C9471" t="str">
            <v>CIRCUMCISIONSGERÄT, Ø 13 MM</v>
          </cell>
          <cell r="D9471" t="str">
            <v>CIRCUMCISION INSTRUMENT, Ø 13 MM</v>
          </cell>
        </row>
        <row r="9472">
          <cell r="B9472" t="str">
            <v>31-765-16-07</v>
          </cell>
          <cell r="C9472" t="str">
            <v>CIRCUMCISIONSGERÄT, Ø 16 MM</v>
          </cell>
          <cell r="D9472" t="str">
            <v>CIRCUMCISION INSTRUMENT, Ø 16 MM</v>
          </cell>
        </row>
        <row r="9473">
          <cell r="B9473" t="str">
            <v>31-765-21-07</v>
          </cell>
          <cell r="C9473" t="str">
            <v>CIRCUMCISIONSGERÄT, Ø 21 MM</v>
          </cell>
          <cell r="D9473" t="str">
            <v>CIRCUMCISION INSTRUMENT, Ø 21 MM</v>
          </cell>
        </row>
        <row r="9474">
          <cell r="B9474" t="str">
            <v>31-765-26-07</v>
          </cell>
          <cell r="C9474" t="str">
            <v>CIRCUMCISIONSGERÄT, Ø 26 MM</v>
          </cell>
          <cell r="D9474" t="str">
            <v>CIRCUMCISION INSTRUMENT, Ø 26 MM</v>
          </cell>
        </row>
        <row r="9475">
          <cell r="B9475" t="str">
            <v>31-765-32-07</v>
          </cell>
          <cell r="C9475" t="str">
            <v>CIRCUMCISIONSGERÄT, Ø 32 MM</v>
          </cell>
          <cell r="D9475" t="str">
            <v>CIRCUMCISION INSTRUMENT, Ø 32 MM</v>
          </cell>
        </row>
        <row r="9476">
          <cell r="B9476" t="str">
            <v>31-766-00-07</v>
          </cell>
          <cell r="C9476" t="str">
            <v>BESCHNEIDUNGSINSTRUMENT, MOGEN, 7,5 CM</v>
          </cell>
          <cell r="D9476" t="str">
            <v>CIRCUMCISION INSTRUMENT, MOGEN, 7.5 CM</v>
          </cell>
        </row>
        <row r="9477">
          <cell r="B9477" t="str">
            <v>31-811-20-07</v>
          </cell>
          <cell r="C9477" t="str">
            <v>FREMDKÖRPERZANGE, MATHIEU,  SCHAFT 20 CM</v>
          </cell>
          <cell r="D9477" t="str">
            <v>FOREIGN  BODY FCPS., MATHIEU,  SHAFT 20 CM</v>
          </cell>
        </row>
        <row r="9478">
          <cell r="B9478" t="str">
            <v>31-811-28-07</v>
          </cell>
          <cell r="C9478" t="str">
            <v>FREMDKÖRPERZANGE, MATHIEU,  SCHAFT 30 CM</v>
          </cell>
          <cell r="D9478" t="str">
            <v>FOREIGN  BODY FCPS., MATHIEU,  SHAFT 30 CM</v>
          </cell>
        </row>
        <row r="9479">
          <cell r="B9479" t="str">
            <v>31-875-08-01</v>
          </cell>
          <cell r="C9479" t="str">
            <v>PENISKLEMME, STOCKMANN, 8 CM</v>
          </cell>
          <cell r="D9479" t="str">
            <v>PENIS CLAMP, STOCKMANN, 8 CM</v>
          </cell>
        </row>
        <row r="9480">
          <cell r="B9480" t="str">
            <v>31-881-11-01</v>
          </cell>
          <cell r="C9480" t="str">
            <v>PENISKLEMME M. GUMMIÜBERZUG, 11 CM</v>
          </cell>
          <cell r="D9480" t="str">
            <v>PENIS CLAMP, W. RUBBER COAT., 11 CM</v>
          </cell>
        </row>
        <row r="9481">
          <cell r="B9481" t="str">
            <v>32-110-01-01</v>
          </cell>
          <cell r="C9481" t="str">
            <v>VAGINALSPEKULUM, CUSCO, 75X32 MM</v>
          </cell>
          <cell r="D9481" t="str">
            <v>VAGINAL  SPECULUM, CUSCO, 75X32 MM</v>
          </cell>
        </row>
        <row r="9482">
          <cell r="B9482" t="str">
            <v>32-110-02-01</v>
          </cell>
          <cell r="C9482" t="str">
            <v>VAGINALSPEKULUM, CUSCO, 85X37 MM</v>
          </cell>
          <cell r="D9482" t="str">
            <v>VAGINAL  SPECULUM, CUSCO, 85X37 MM</v>
          </cell>
        </row>
        <row r="9483">
          <cell r="B9483" t="str">
            <v>32-110-03-01</v>
          </cell>
          <cell r="C9483" t="str">
            <v>VAGINALSPEKULUM, CUSCO, 100X35 MM</v>
          </cell>
          <cell r="D9483" t="str">
            <v>VAGINAL  SPECULUM, CUSCO, 100X35 MM</v>
          </cell>
        </row>
        <row r="9484">
          <cell r="B9484" t="str">
            <v>32-112-01-01</v>
          </cell>
          <cell r="C9484" t="str">
            <v>VAGINALSPEKULUM, CUSCO, 75X18 MM</v>
          </cell>
          <cell r="D9484" t="str">
            <v>VAGINAL  SPECULUM, CUSCO, 75X18 MM</v>
          </cell>
        </row>
        <row r="9485">
          <cell r="B9485" t="str">
            <v>32-114-01-01</v>
          </cell>
          <cell r="C9485" t="str">
            <v>VAGINALSPEKULUM, CUSCO, 90X22 MM</v>
          </cell>
          <cell r="D9485" t="str">
            <v>VAGINAL  SPECULUM, CUSCO, 90X22 MM</v>
          </cell>
        </row>
        <row r="9486">
          <cell r="B9486" t="str">
            <v>32-114-02-01</v>
          </cell>
          <cell r="C9486" t="str">
            <v>VAGINALSPEKULUM, CUSCO, 100X25 MM</v>
          </cell>
          <cell r="D9486" t="str">
            <v>VAGINAL  SPECULUM, CUSCO, 100X25 MM</v>
          </cell>
        </row>
        <row r="9487">
          <cell r="B9487" t="str">
            <v>32-114-03-01</v>
          </cell>
          <cell r="C9487" t="str">
            <v>VAGINALSPEKULUM, CUSCO, 105X27 MM</v>
          </cell>
          <cell r="D9487" t="str">
            <v>VAGINAL  SPECULUM, CUSCO, 105X27 MM</v>
          </cell>
        </row>
        <row r="9488">
          <cell r="B9488" t="str">
            <v>32-116-01-01</v>
          </cell>
          <cell r="C9488" t="str">
            <v>VAGINALSPEKULUM, CUSCO, 75X34 MM</v>
          </cell>
          <cell r="D9488" t="str">
            <v>VAGINAL  SPECULUM, CUSCO, 75X34 MM</v>
          </cell>
        </row>
        <row r="9489">
          <cell r="B9489" t="str">
            <v>32-116-02-01</v>
          </cell>
          <cell r="C9489" t="str">
            <v>VAGINALSPEKULUM, CUSCO, 85X37 MM</v>
          </cell>
          <cell r="D9489" t="str">
            <v>VAGINAL  SPECULUM, CUSCO, 85X37 MM</v>
          </cell>
        </row>
        <row r="9490">
          <cell r="B9490" t="str">
            <v>32-116-03-01</v>
          </cell>
          <cell r="C9490" t="str">
            <v>VAGINALSPEKULUM, CUSCO, 100X37 MM</v>
          </cell>
          <cell r="D9490" t="str">
            <v>VAGINAL  SPECULUM, CUSCO, 100X37 MM</v>
          </cell>
        </row>
        <row r="9491">
          <cell r="B9491" t="str">
            <v>32-120-01-01</v>
          </cell>
          <cell r="C9491" t="str">
            <v>VAGINALSPEKULUM, COLLIN, 85X30 MM</v>
          </cell>
          <cell r="D9491" t="str">
            <v>VAGINAL  SPECULUM, COLLIN, 85X30 MM</v>
          </cell>
        </row>
        <row r="9492">
          <cell r="B9492" t="str">
            <v>32-120-02-01</v>
          </cell>
          <cell r="C9492" t="str">
            <v>VAGINALSPEKULUM, COLLIN, 100X35 MM</v>
          </cell>
          <cell r="D9492" t="str">
            <v>VAGINAL  SPECULUM, COLLIN, 100X35 MM</v>
          </cell>
        </row>
        <row r="9493">
          <cell r="B9493" t="str">
            <v>32-120-03-01</v>
          </cell>
          <cell r="C9493" t="str">
            <v>VAGINALSPEKULUM, COLLIN, 110X40 MM</v>
          </cell>
          <cell r="D9493" t="str">
            <v>VAGINAL  SPECULUM, COLLIN, 110X40 MM</v>
          </cell>
        </row>
        <row r="9494">
          <cell r="B9494" t="str">
            <v>32-128-01-01</v>
          </cell>
          <cell r="C9494" t="str">
            <v>VAGINALSPEKULUM, PEDERSON, 75X13 MM</v>
          </cell>
          <cell r="D9494" t="str">
            <v>VAGINAL  SPECULUM, PEDERSON, 75X13 MM</v>
          </cell>
        </row>
        <row r="9495">
          <cell r="B9495" t="str">
            <v>32-128-02-01</v>
          </cell>
          <cell r="C9495" t="str">
            <v>VAGINALSPEKULUM, PEDERSON, 100X24 MM</v>
          </cell>
          <cell r="D9495" t="str">
            <v>VAGINAL  SPECULUM, PEDERSON, 100X24 MM</v>
          </cell>
        </row>
        <row r="9496">
          <cell r="B9496" t="str">
            <v>32-128-03-01</v>
          </cell>
          <cell r="C9496" t="str">
            <v>VAGINALSPEKULUM, PEDERSON, 120X26 MM</v>
          </cell>
          <cell r="D9496" t="str">
            <v>VAGINAL  SPECULUM, PEDERSON, 120X26 MM</v>
          </cell>
        </row>
        <row r="9497">
          <cell r="B9497" t="str">
            <v>32-130-01-01</v>
          </cell>
          <cell r="C9497" t="str">
            <v>VAGINALSPEKULUM, GRAVE, 75X20 MM</v>
          </cell>
          <cell r="D9497" t="str">
            <v>VAGINAL  SPECULUM, GRAVE, 75X20 MM</v>
          </cell>
        </row>
        <row r="9498">
          <cell r="B9498" t="str">
            <v>32-130-02-01</v>
          </cell>
          <cell r="C9498" t="str">
            <v>VAGINALSPEKULUM, GRAVE, 95X35 MM</v>
          </cell>
          <cell r="D9498" t="str">
            <v>VAGINAL  SPECULUM, GRAVE, 95X35 MM</v>
          </cell>
        </row>
        <row r="9499">
          <cell r="B9499" t="str">
            <v>32-130-03-01</v>
          </cell>
          <cell r="C9499" t="str">
            <v>VAGINALSPEKULUM, GRAVE, 115X35 MM</v>
          </cell>
          <cell r="D9499" t="str">
            <v>VAGINAL  SPECULUM, GRAVE, 115X35 MM</v>
          </cell>
        </row>
        <row r="9500">
          <cell r="B9500" t="str">
            <v>32-132-01-01</v>
          </cell>
          <cell r="C9500" t="str">
            <v>VAGINALSPEKULUM, SEMM, 100X20-25  MM</v>
          </cell>
          <cell r="D9500" t="str">
            <v>VAGINAL  SPECULUM, SEMM, 100X20-25  MM</v>
          </cell>
        </row>
        <row r="9501">
          <cell r="B9501" t="str">
            <v>32-132-02-01</v>
          </cell>
          <cell r="C9501" t="str">
            <v>VAGINALSPEKULUM, SEMM, 100X27-35  MM</v>
          </cell>
          <cell r="D9501" t="str">
            <v>VAGINAL  SPECULUM, SEMM, 100X27-35  MM</v>
          </cell>
        </row>
        <row r="9502">
          <cell r="B9502" t="str">
            <v>32-133-01-07</v>
          </cell>
          <cell r="C9502" t="str">
            <v>VAGINALSPEKULUM, GUTTMANN, 90X35 MM</v>
          </cell>
          <cell r="D9502" t="str">
            <v>VAGINAL  SPECULUM, GUTTMANN, 90X35 MM</v>
          </cell>
        </row>
        <row r="9503">
          <cell r="B9503" t="str">
            <v>32-160-01-01</v>
          </cell>
          <cell r="C9503" t="str">
            <v>VAGINALSPEKULUM, SIMS, 65X25/70X30 MM</v>
          </cell>
          <cell r="D9503" t="str">
            <v>VAGINAL  SPECULUM, SIMS, 65X25/70X30 MM</v>
          </cell>
        </row>
        <row r="9504">
          <cell r="B9504" t="str">
            <v>32-160-02-01</v>
          </cell>
          <cell r="C9504" t="str">
            <v>VAGINALSPEKULUM, SIMS, 70X30/80X35 MM</v>
          </cell>
          <cell r="D9504" t="str">
            <v>VAGINAL  SPECULUM, SIMS, 70X30/80X35 MM</v>
          </cell>
        </row>
        <row r="9505">
          <cell r="B9505" t="str">
            <v>32-160-03-01</v>
          </cell>
          <cell r="C9505" t="str">
            <v>VAGINALSPEKULUM, SIMS, 85X35/90X40 MM</v>
          </cell>
          <cell r="D9505" t="str">
            <v>VAGINAL  SPECULUM, SIMS, 85X35/90X40 MM</v>
          </cell>
        </row>
        <row r="9506">
          <cell r="B9506" t="str">
            <v>32-165-01-07</v>
          </cell>
          <cell r="C9506" t="str">
            <v>VAGINALSPEKULUM, JACKSON,  75X38 MM</v>
          </cell>
          <cell r="D9506" t="str">
            <v>VAGINAL  SPECULUM, JACKSON,  75X38 MM</v>
          </cell>
        </row>
        <row r="9507">
          <cell r="B9507" t="str">
            <v>32-165-02-07</v>
          </cell>
          <cell r="C9507" t="str">
            <v>VAGINALSPEKULUM, JACKSON,  90X38 MM</v>
          </cell>
          <cell r="D9507" t="str">
            <v>VAGINAL  SPECULUM, JACKSON,  90X38 MM</v>
          </cell>
        </row>
        <row r="9508">
          <cell r="B9508" t="str">
            <v>32-165-03-07</v>
          </cell>
          <cell r="C9508" t="str">
            <v>VAGINALSPEKULUM, JACKSON,  100X38 MM</v>
          </cell>
          <cell r="D9508" t="str">
            <v>VAGINAL  SPECULUM, JACKSON,  100X38 MM</v>
          </cell>
        </row>
        <row r="9509">
          <cell r="B9509" t="str">
            <v>32-182-01-01</v>
          </cell>
          <cell r="C9509" t="str">
            <v>VAGINALSPEKULUM, KRISTELLER, 70X27 MM</v>
          </cell>
          <cell r="D9509" t="str">
            <v>VAGINAL  SPECULUM, KRISTELLER, 70X27 MM</v>
          </cell>
        </row>
        <row r="9510">
          <cell r="B9510" t="str">
            <v>32-182-02-01</v>
          </cell>
          <cell r="C9510" t="str">
            <v>VAGINALSPEKULUM, KRISTELLER, 80X30 MM</v>
          </cell>
          <cell r="D9510" t="str">
            <v>VAGINAL  SPECULUM, KRISTELLER, 80X30 MM</v>
          </cell>
        </row>
        <row r="9511">
          <cell r="B9511" t="str">
            <v>32-182-03-01</v>
          </cell>
          <cell r="C9511" t="str">
            <v>VAGINALSPEKULUM, KRISTELLER, 90X36 MM</v>
          </cell>
          <cell r="D9511" t="str">
            <v>VAGINAL  SPECULUM, KRISTELLER, 90X36 MM</v>
          </cell>
        </row>
        <row r="9512">
          <cell r="B9512" t="str">
            <v>32-183-01-01</v>
          </cell>
          <cell r="C9512" t="str">
            <v>SCHEIDENHALTER, KRISTELLER, 75X23 MM</v>
          </cell>
          <cell r="D9512" t="str">
            <v>VAGINAL  RETRACTOR, KRISTELLER, 75X23 MM</v>
          </cell>
        </row>
        <row r="9513">
          <cell r="B9513" t="str">
            <v>32-183-02-01</v>
          </cell>
          <cell r="C9513" t="str">
            <v>SCHEIDENHALTER, KRISTELLER, 85X26 MM</v>
          </cell>
          <cell r="D9513" t="str">
            <v>VAGINAL  RETRACTOR, KRISTELLER, 85X26 MM</v>
          </cell>
        </row>
        <row r="9514">
          <cell r="B9514" t="str">
            <v>32-183-03-01</v>
          </cell>
          <cell r="C9514" t="str">
            <v>SCHEIDENHALTER, KRISTELLER, 100X32 MM</v>
          </cell>
          <cell r="D9514" t="str">
            <v>VAGINAL  RETRACTOR, KRISTELLER, 100X32 MM</v>
          </cell>
        </row>
        <row r="9515">
          <cell r="B9515" t="str">
            <v>32-185-01-01</v>
          </cell>
          <cell r="C9515" t="str">
            <v>VAGINALSPEKULUM, KRISTELLER, SET, FIG. 1</v>
          </cell>
          <cell r="D9515" t="str">
            <v>VAGINAL  SPECULUM, KRISTELLER, SET, NO. 1</v>
          </cell>
        </row>
        <row r="9516">
          <cell r="B9516" t="str">
            <v>32-185-02-01</v>
          </cell>
          <cell r="C9516" t="str">
            <v>VAGINALSPEKULUM, KRISTELLER, SET, FIG. 2</v>
          </cell>
          <cell r="D9516" t="str">
            <v>VAGINAL  SPECULUM, KRISTELLER, SET, NO. 2</v>
          </cell>
        </row>
        <row r="9517">
          <cell r="B9517" t="str">
            <v>32-185-03-01</v>
          </cell>
          <cell r="C9517" t="str">
            <v>VAGINALSPEKULUM, KRISTELLER, SET, FIG. 3</v>
          </cell>
          <cell r="D9517" t="str">
            <v>VAGINAL  SPECULUM, KRISTELLER, SET, NO. 3</v>
          </cell>
        </row>
        <row r="9518">
          <cell r="B9518" t="str">
            <v>32-190-01-01</v>
          </cell>
          <cell r="C9518" t="str">
            <v>VAGINALSPEKULUM, KRISTELLER, 105X18 MM</v>
          </cell>
          <cell r="D9518" t="str">
            <v>VAGINAL  SPECULUM, KRISTELLER, 105X18 MM</v>
          </cell>
        </row>
        <row r="9519">
          <cell r="B9519" t="str">
            <v>32-190-02-01</v>
          </cell>
          <cell r="C9519" t="str">
            <v>VAGINALSPEKULUM, KRISTELLER, 105X21 MM</v>
          </cell>
          <cell r="D9519" t="str">
            <v>VAGINAL  SPECULUM, KRISTELLER, 105X21 MM</v>
          </cell>
        </row>
        <row r="9520">
          <cell r="B9520" t="str">
            <v>32-191-01-01</v>
          </cell>
          <cell r="C9520" t="str">
            <v>SCHEIDENHALTER, KRISTELLER, 110X14 MM</v>
          </cell>
          <cell r="D9520" t="str">
            <v>VAGINAL  RETRACTOR, KRISTELLER, 110X14 MM</v>
          </cell>
        </row>
        <row r="9521">
          <cell r="B9521" t="str">
            <v>32-191-02-01</v>
          </cell>
          <cell r="C9521" t="str">
            <v>SCHEIDENHALTER, KRISTELLER, 110X17 MM</v>
          </cell>
          <cell r="D9521" t="str">
            <v>VAGINAL  RETRACTOR, KRISTELLER, 110X17 MM</v>
          </cell>
        </row>
        <row r="9522">
          <cell r="B9522" t="str">
            <v>32-195-01-01</v>
          </cell>
          <cell r="C9522" t="str">
            <v>VAGINALSPEKULUM, KRISTELLER, SET, FIG. 1</v>
          </cell>
          <cell r="D9522" t="str">
            <v>VAGINAL  SPECULUM, KRISTELLER, SET, NO. 1</v>
          </cell>
        </row>
        <row r="9523">
          <cell r="B9523" t="str">
            <v>32-195-02-01</v>
          </cell>
          <cell r="C9523" t="str">
            <v>VAGINALSPEKULUM, KRISTELLER, SET, FIG. 2</v>
          </cell>
          <cell r="D9523" t="str">
            <v>VAGINAL  SPECULUM, KRISTELLER, SET, NO. 2</v>
          </cell>
        </row>
        <row r="9524">
          <cell r="B9524" t="str">
            <v>32-196-01-01</v>
          </cell>
          <cell r="C9524" t="str">
            <v>VAGINALSPEKULUM, FLACH, 105X26 MM</v>
          </cell>
          <cell r="D9524" t="str">
            <v>VAGINAL  SPECULUM, FLAT, 105X26 MM</v>
          </cell>
        </row>
        <row r="9525">
          <cell r="B9525" t="str">
            <v>32-196-02-01</v>
          </cell>
          <cell r="C9525" t="str">
            <v>VAGINALSPEKULUM, FLACH, 105X28 MM</v>
          </cell>
          <cell r="D9525" t="str">
            <v>VAGINAL  SPECULUM, FLAT, 105X28 MM</v>
          </cell>
        </row>
        <row r="9526">
          <cell r="B9526" t="str">
            <v>32-196-03-01</v>
          </cell>
          <cell r="C9526" t="str">
            <v>VAGINALSPEKULUM, FLACH, 105X33 MM</v>
          </cell>
          <cell r="D9526" t="str">
            <v>VAGINAL  SPECULUM, FLAT, 105X33 MM</v>
          </cell>
        </row>
        <row r="9527">
          <cell r="B9527" t="str">
            <v>32-197-01-01</v>
          </cell>
          <cell r="C9527" t="str">
            <v>SCHEIDENHALTER, KRISTELLER, 115X22 MM</v>
          </cell>
          <cell r="D9527" t="str">
            <v>VAGINAL  RETRACTOR, KRISTELLER, 115X22 MM</v>
          </cell>
        </row>
        <row r="9528">
          <cell r="B9528" t="str">
            <v>32-197-02-01</v>
          </cell>
          <cell r="C9528" t="str">
            <v>SCHEIDENHALTER, KRISTELLER, 115X24 MM</v>
          </cell>
          <cell r="D9528" t="str">
            <v>VAGINAL  RETRACTOR, KRISTELLER, 115X24 MM</v>
          </cell>
        </row>
        <row r="9529">
          <cell r="B9529" t="str">
            <v>32-197-03-01</v>
          </cell>
          <cell r="C9529" t="str">
            <v>SCHEIDENHALTER, KRISTELLER, 115X29 MM</v>
          </cell>
          <cell r="D9529" t="str">
            <v>VAGINAL  RETRACTOR, KRISTELLER, 115X29 MM</v>
          </cell>
        </row>
        <row r="9530">
          <cell r="B9530" t="str">
            <v>32-199-01-01</v>
          </cell>
          <cell r="C9530" t="str">
            <v>VAGINALSPEKULUM, KRISTELLER, SET, FIG. 1</v>
          </cell>
          <cell r="D9530" t="str">
            <v>VAGINAL  SPECULUM, KRISTELLER, SET, NO. 1</v>
          </cell>
        </row>
        <row r="9531">
          <cell r="B9531" t="str">
            <v>32-199-02-01</v>
          </cell>
          <cell r="C9531" t="str">
            <v>VAGINALSPEKULUM, KRISTELLER, SET, FIG. 2</v>
          </cell>
          <cell r="D9531" t="str">
            <v>VAGINAL  SPECULUM, KRISTELLER, SET, NO. 2</v>
          </cell>
        </row>
        <row r="9532">
          <cell r="B9532" t="str">
            <v>32-199-03-01</v>
          </cell>
          <cell r="C9532" t="str">
            <v>VAGINALSPEKULUM, KRISTELLER, SET, FIG. 3</v>
          </cell>
          <cell r="D9532" t="str">
            <v>VAGINAL  SPECULUM, KRISTELLER, SET, NO. 3</v>
          </cell>
        </row>
        <row r="9533">
          <cell r="B9533" t="str">
            <v>32-202-01-01</v>
          </cell>
          <cell r="C9533" t="str">
            <v>VAGINALSPEKULUM, KRISTELLER, 110X28 MM</v>
          </cell>
          <cell r="D9533" t="str">
            <v>VAGINAL  SPECULUM, KRISTELLER, 110X28 MM</v>
          </cell>
        </row>
        <row r="9534">
          <cell r="B9534" t="str">
            <v>32-202-02-01</v>
          </cell>
          <cell r="C9534" t="str">
            <v>VAGINALSPEKULUM, KRISTELLER, 110X30 MM</v>
          </cell>
          <cell r="D9534" t="str">
            <v>VAGINAL  SPECULUM, KRISTELLER, 110X30 MM</v>
          </cell>
        </row>
        <row r="9535">
          <cell r="B9535" t="str">
            <v>32-202-03-01</v>
          </cell>
          <cell r="C9535" t="str">
            <v>VAGINALSPEKULUM, KRISTELLER, 110X36 MM</v>
          </cell>
          <cell r="D9535" t="str">
            <v>VAGINAL  SPECULUM, KRISTELLER, 110X36 MM</v>
          </cell>
        </row>
        <row r="9536">
          <cell r="B9536" t="str">
            <v>32-203-01-01</v>
          </cell>
          <cell r="C9536" t="str">
            <v>SCHEIDENHALTER, KRISTELLER, 115X23 MM</v>
          </cell>
          <cell r="D9536" t="str">
            <v>VAGINAL  RETRACTOR, KRISTELLER, 115X23 MM</v>
          </cell>
        </row>
        <row r="9537">
          <cell r="B9537" t="str">
            <v>32-203-02-01</v>
          </cell>
          <cell r="C9537" t="str">
            <v>SCHEIDENHALTER, KRISTELLER, 115X26 MM</v>
          </cell>
          <cell r="D9537" t="str">
            <v>VAGINAL  RETRACTOR, KRISTELLER, 115X26 MM</v>
          </cell>
        </row>
        <row r="9538">
          <cell r="B9538" t="str">
            <v>32-203-03-01</v>
          </cell>
          <cell r="C9538" t="str">
            <v>SCHEIDENHALTER, KRISTELLER, 115X32 MM</v>
          </cell>
          <cell r="D9538" t="str">
            <v>VAGINAL  RETRACTOR, KRISTELLER, 115X32 MM</v>
          </cell>
        </row>
        <row r="9539">
          <cell r="B9539" t="str">
            <v>32-205-01-01</v>
          </cell>
          <cell r="C9539" t="str">
            <v>VAGINALSPEKULUM, KRISTELLER, SET, FIG. 1</v>
          </cell>
          <cell r="D9539" t="str">
            <v>VAGINAL  SPECULUM, KRISTELLER, SET, NO. 1</v>
          </cell>
        </row>
        <row r="9540">
          <cell r="B9540" t="str">
            <v>32-205-02-01</v>
          </cell>
          <cell r="C9540" t="str">
            <v>VAGINALSPEKULUM, KRISTELLER, SET, FIG. 2</v>
          </cell>
          <cell r="D9540" t="str">
            <v>VAGINAL  SPECULUM, KRISTELLER, SET, NO. 2</v>
          </cell>
        </row>
        <row r="9541">
          <cell r="B9541" t="str">
            <v>32-205-03-01</v>
          </cell>
          <cell r="C9541" t="str">
            <v>VAGINALSPEKULUM, KRISTELLER, SET, FIG. 3</v>
          </cell>
          <cell r="D9541" t="str">
            <v>VAGINAL  SPECULUM, KRISTELLER, SET, NO. 3</v>
          </cell>
        </row>
        <row r="9542">
          <cell r="B9542" t="str">
            <v>32-232-01-01</v>
          </cell>
          <cell r="C9542" t="str">
            <v>VAGINALSPEKULUM, KALLMORGEN, 70X40 MM</v>
          </cell>
          <cell r="D9542" t="str">
            <v>VAGINAL  SPECULUM, KALLMORGEN, 70X40 MM</v>
          </cell>
        </row>
        <row r="9543">
          <cell r="B9543" t="str">
            <v>32-232-02-01</v>
          </cell>
          <cell r="C9543" t="str">
            <v>VAGINALSPEKULUM, KALLMORGEN, 90X40 MM</v>
          </cell>
          <cell r="D9543" t="str">
            <v>VAGINAL  SPECULUM, KALLMORGEN, 90X40 MM</v>
          </cell>
        </row>
        <row r="9544">
          <cell r="B9544" t="str">
            <v>32-233-01-01</v>
          </cell>
          <cell r="C9544" t="str">
            <v>SCHEIDENHALTER, KALLMORGEN, 70X37 MM</v>
          </cell>
          <cell r="D9544" t="str">
            <v>VAGINAL  RETRACTOR, KALLMORGEN, 70X37 MM</v>
          </cell>
        </row>
        <row r="9545">
          <cell r="B9545" t="str">
            <v>32-233-02-01</v>
          </cell>
          <cell r="C9545" t="str">
            <v>SCHEIDENHALTER, KALLMORGEN, 90X37 MM</v>
          </cell>
          <cell r="D9545" t="str">
            <v>VAGINAL  RETRACTOR, KALLMORGEN, 90X37 MM</v>
          </cell>
        </row>
        <row r="9546">
          <cell r="B9546" t="str">
            <v>32-235-01-01</v>
          </cell>
          <cell r="C9546" t="str">
            <v>VAGINALSPEKULUM, KALLMORGEN, SET, FIG. 1</v>
          </cell>
          <cell r="D9546" t="str">
            <v>VAGINAL  SPECULUM, KALLMORGEN, SET, NO. 1</v>
          </cell>
        </row>
        <row r="9547">
          <cell r="B9547" t="str">
            <v>32-235-02-01</v>
          </cell>
          <cell r="C9547" t="str">
            <v>VAGINALSPEKULUM, KALLMORGEN, SET, FIG. 2</v>
          </cell>
          <cell r="D9547" t="str">
            <v>VAGINAL  SPECULUM, KALLMORGEN, SET, NO. 2</v>
          </cell>
        </row>
        <row r="9548">
          <cell r="B9548" t="str">
            <v>32-249-01-01</v>
          </cell>
          <cell r="C9548" t="str">
            <v>Spekulum,  Vaginal, Doyen, 58x35 mm</v>
          </cell>
          <cell r="D9548" t="str">
            <v>Retractor,  vaginal, Doyen, 58x35 mm</v>
          </cell>
        </row>
        <row r="9549">
          <cell r="B9549" t="str">
            <v>32-249-02-01</v>
          </cell>
          <cell r="C9549" t="str">
            <v>Spekulum,  Vaginal, Doyen, 88x35 mm</v>
          </cell>
          <cell r="D9549" t="str">
            <v>Retractor,  vaginal, Doyen, 88x35 mm</v>
          </cell>
        </row>
        <row r="9550">
          <cell r="B9550" t="str">
            <v>32-249-03-01</v>
          </cell>
          <cell r="C9550" t="str">
            <v>Spekulum,  Vaginal, Doyen, 118x35 mm</v>
          </cell>
          <cell r="D9550" t="str">
            <v>Retractor,  vaginal, Doyen, 118x35 mm</v>
          </cell>
        </row>
        <row r="9551">
          <cell r="B9551" t="str">
            <v>32-250-01-01</v>
          </cell>
          <cell r="C9551" t="str">
            <v>Spekulum,  Vaginal, Doyen, 66x47 mm</v>
          </cell>
          <cell r="D9551" t="str">
            <v>Retractor,  vaginal, Doyen, 66x47 mm</v>
          </cell>
        </row>
        <row r="9552">
          <cell r="B9552" t="str">
            <v>32-250-02-01</v>
          </cell>
          <cell r="C9552" t="str">
            <v>Spekulum,  Vaginal, Doyen, 95x47 mm</v>
          </cell>
          <cell r="D9552" t="str">
            <v>Retractor,  vaginal, Doyen, 95x47 mm</v>
          </cell>
        </row>
        <row r="9553">
          <cell r="B9553" t="str">
            <v>32-250-03-01</v>
          </cell>
          <cell r="C9553" t="str">
            <v>Spekulum,  Vaginal, Doyen, 120x47 mm</v>
          </cell>
          <cell r="D9553" t="str">
            <v>Retractor,  vaginal, Doyen, 120x47 mm</v>
          </cell>
        </row>
        <row r="9554">
          <cell r="B9554" t="str">
            <v>32-250-04-01</v>
          </cell>
          <cell r="C9554" t="str">
            <v>Spekulum,  Vaginal, Doyen, 165x47 mm</v>
          </cell>
          <cell r="D9554" t="str">
            <v>Retractor,  vaginal, Doyen, 165x47 mm</v>
          </cell>
        </row>
        <row r="9555">
          <cell r="B9555" t="str">
            <v>32-251-01-01</v>
          </cell>
          <cell r="C9555" t="str">
            <v>VAGINALSPEKULUM, DOYEN, 55X60 MM</v>
          </cell>
          <cell r="D9555" t="str">
            <v>VAGINAL  RETRACTOR, DOYEN, 55X60 MM</v>
          </cell>
        </row>
        <row r="9556">
          <cell r="B9556" t="str">
            <v>32-251-02-01</v>
          </cell>
          <cell r="C9556" t="str">
            <v>Spekulum,  Vaginal, Doyen, 85x60 mm</v>
          </cell>
          <cell r="D9556" t="str">
            <v>Retractor,  vaginal, Doyen, 85x60 mm</v>
          </cell>
        </row>
        <row r="9557">
          <cell r="B9557" t="str">
            <v>32-251-03-01</v>
          </cell>
          <cell r="C9557" t="str">
            <v>Spekulum,  Vaginal, Doyen, 115x60 mm</v>
          </cell>
          <cell r="D9557" t="str">
            <v>Retractor,  vaginal, Doyen, 115x60 mm</v>
          </cell>
        </row>
        <row r="9558">
          <cell r="B9558" t="str">
            <v>32-252-01-01</v>
          </cell>
          <cell r="C9558" t="str">
            <v>Spekulum,  vaginal, Doyen, 160x60 mm</v>
          </cell>
          <cell r="D9558" t="str">
            <v>Speculum,  vaginal, Doyen, 160x60 mm</v>
          </cell>
        </row>
        <row r="9559">
          <cell r="B9559" t="str">
            <v>32-252-02-01</v>
          </cell>
          <cell r="C9559" t="str">
            <v>Spekulum,  vaginal, Doyen, 200x60 mm</v>
          </cell>
          <cell r="D9559" t="str">
            <v>Speculum,  vaginal, Doyen, 200x60 mm</v>
          </cell>
        </row>
        <row r="9560">
          <cell r="B9560" t="str">
            <v>32-302-00-01</v>
          </cell>
          <cell r="C9560" t="str">
            <v>VAGINALSPEKULUM, SCHERBAK, KOMPL.</v>
          </cell>
          <cell r="D9560" t="str">
            <v>VAGINAL  RETRACTOR, SCHERBAK, COMPLETE</v>
          </cell>
        </row>
        <row r="9561">
          <cell r="B9561" t="str">
            <v>32-302-01-01</v>
          </cell>
          <cell r="C9561" t="str">
            <v>SPEKULUM-BLATT, SCHERBAK, 80X30 MM</v>
          </cell>
          <cell r="D9561" t="str">
            <v>RETRACTOR BLADE, SCHERBAK, 80X30 MM</v>
          </cell>
        </row>
        <row r="9562">
          <cell r="B9562" t="str">
            <v>32-302-02-01</v>
          </cell>
          <cell r="C9562" t="str">
            <v>SPEKULUM-BLATT, SCHERBAK, 85X35 MM</v>
          </cell>
          <cell r="D9562" t="str">
            <v>RETRACTOR BLADE, SCHERBAK, 85X35 MM</v>
          </cell>
        </row>
        <row r="9563">
          <cell r="B9563" t="str">
            <v>32-302-03-01</v>
          </cell>
          <cell r="C9563" t="str">
            <v>SPEKULUM-BLATT, SCHERBAK, 90X40 MM</v>
          </cell>
          <cell r="D9563" t="str">
            <v>RETRACTOR BLADE, SCHERBAK, 90X40 MM</v>
          </cell>
        </row>
        <row r="9564">
          <cell r="B9564" t="str">
            <v>32-302-04-01</v>
          </cell>
          <cell r="C9564" t="str">
            <v>SPEKULUM-BLATT, SCHERBAK, 58X40-60  MM</v>
          </cell>
          <cell r="D9564" t="str">
            <v>RETRACTOR BLADE, SCHERBAK, 58X40-60  MM</v>
          </cell>
        </row>
        <row r="9565">
          <cell r="B9565" t="str">
            <v>32-302-05-01</v>
          </cell>
          <cell r="C9565" t="str">
            <v>SPEKULUM-BLATT, SCHERBAK, 70X45-70  MM</v>
          </cell>
          <cell r="D9565" t="str">
            <v>RETRACTOR BLADE, SCHERBAK, 70X45-70  MM</v>
          </cell>
        </row>
        <row r="9566">
          <cell r="B9566" t="str">
            <v>32-302-10-01</v>
          </cell>
          <cell r="C9566" t="str">
            <v>GEWICHT  ALLEIN, 400 GR., Z. 32-302-00</v>
          </cell>
          <cell r="D9566" t="str">
            <v>WEIGHT,  ONLY, 400 GR., F. 32-302-00</v>
          </cell>
        </row>
        <row r="9567">
          <cell r="B9567" t="str">
            <v>32-302-12-01</v>
          </cell>
          <cell r="C9567" t="str">
            <v>GEWICHT  ALLEIN, 800 GR., Z. 32-302-00</v>
          </cell>
          <cell r="D9567" t="str">
            <v>WEIGHT,  ONLY, 800 GR., F. 32-302-00</v>
          </cell>
        </row>
        <row r="9568">
          <cell r="B9568" t="str">
            <v>32-302-14-07</v>
          </cell>
          <cell r="C9568" t="str">
            <v>HANDGRIFF ALLEIN, Z. 32-302-00</v>
          </cell>
          <cell r="D9568" t="str">
            <v>HANDLE,  ONLY, F. 32-302-00</v>
          </cell>
        </row>
        <row r="9569">
          <cell r="B9569" t="str">
            <v>32-310-22-01</v>
          </cell>
          <cell r="C9569" t="str">
            <v>VAGINALSPEKULUM, AUVARD,  75X43 MM</v>
          </cell>
          <cell r="D9569" t="str">
            <v>VAGINAL  SPECULUM, AUVARD,  75X43 MM</v>
          </cell>
        </row>
        <row r="9570">
          <cell r="B9570" t="str">
            <v>32-314-24-02</v>
          </cell>
          <cell r="C9570" t="str">
            <v>VAGINALSPEKULUM, WEISSBARTH, 80X42 MM</v>
          </cell>
          <cell r="D9570" t="str">
            <v>VAGINAL  SPECULUM, WEISSBARTH, 80X42 MM</v>
          </cell>
        </row>
        <row r="9571">
          <cell r="B9571" t="str">
            <v>32-314-99-02</v>
          </cell>
          <cell r="C9571" t="str">
            <v>AUFFANGSIEB ALLEIN, Z. 32-314-24</v>
          </cell>
          <cell r="D9571" t="str">
            <v>STRAINER,  ONLY, F. 32-314-24</v>
          </cell>
        </row>
        <row r="9572">
          <cell r="B9572" t="str">
            <v>32-323-20-07</v>
          </cell>
          <cell r="C9572" t="str">
            <v>VAGINALSPEKULUM, BREISKY, 100X20 MM</v>
          </cell>
          <cell r="D9572" t="str">
            <v>VAGINAL  RETRACTOR, BREISKY, 100X20 MM</v>
          </cell>
        </row>
        <row r="9573">
          <cell r="B9573" t="str">
            <v>32-323-25-07</v>
          </cell>
          <cell r="C9573" t="str">
            <v>VAGINALSPEKULUM, BREISKY, 100X25 MM</v>
          </cell>
          <cell r="D9573" t="str">
            <v>VAGINAL  RETRACTOR, BREISKY, 100X25 MM</v>
          </cell>
        </row>
        <row r="9574">
          <cell r="B9574" t="str">
            <v>32-323-30-07</v>
          </cell>
          <cell r="C9574" t="str">
            <v>VAGINALSPEKULUM, BREISKY, 100X30 MM</v>
          </cell>
          <cell r="D9574" t="str">
            <v>VAGINAL  RETRACTOR, BREISKY, 100X30 MM</v>
          </cell>
        </row>
        <row r="9575">
          <cell r="B9575" t="str">
            <v>32-323-35-07</v>
          </cell>
          <cell r="C9575" t="str">
            <v>VAGINALSPEKULUM, BREISKY, 100X35 MM</v>
          </cell>
          <cell r="D9575" t="str">
            <v>VAGINAL  RETRACTOR, BREISKY, 100X35 MM</v>
          </cell>
        </row>
        <row r="9576">
          <cell r="B9576" t="str">
            <v>32-323-40-07</v>
          </cell>
          <cell r="C9576" t="str">
            <v>VAGINALSPEKULUM, BREISKY, 100X40 MM</v>
          </cell>
          <cell r="D9576" t="str">
            <v>VAGINAL  RETRACTOR, BREISKY, 100X40 MM</v>
          </cell>
        </row>
        <row r="9577">
          <cell r="B9577" t="str">
            <v>32-324-20-07</v>
          </cell>
          <cell r="C9577" t="str">
            <v>VAGINALSPEKULUM, BREISKY, 130X20 MM</v>
          </cell>
          <cell r="D9577" t="str">
            <v>VAGINAL  RETRACTOR, BREISKY, 130X20 MM</v>
          </cell>
        </row>
        <row r="9578">
          <cell r="B9578" t="str">
            <v>32-324-25-07</v>
          </cell>
          <cell r="C9578" t="str">
            <v>VAGINALSPEKULUM, BREISKY, 130X25 MM</v>
          </cell>
          <cell r="D9578" t="str">
            <v>VAGINAL  RETRACTOR, BREISKY, 130X25 MM</v>
          </cell>
        </row>
        <row r="9579">
          <cell r="B9579" t="str">
            <v>32-324-30-07</v>
          </cell>
          <cell r="C9579" t="str">
            <v>VAGINALSPEKULUM, BREISKY, 130X30 MM</v>
          </cell>
          <cell r="D9579" t="str">
            <v>VAGINAL  RETRACTOR, BREISKY, 130X30 MM</v>
          </cell>
        </row>
        <row r="9580">
          <cell r="B9580" t="str">
            <v>32-324-35-07</v>
          </cell>
          <cell r="C9580" t="str">
            <v>VAGINALSPEKULUM, BREISKY, 130X35 MM</v>
          </cell>
          <cell r="D9580" t="str">
            <v>VAGINAL  RETRACTOR, BREISKY, 130X35 MM</v>
          </cell>
        </row>
        <row r="9581">
          <cell r="B9581" t="str">
            <v>32-324-40-07</v>
          </cell>
          <cell r="C9581" t="str">
            <v>VAGINALSPEKULUM, BREISKY, 130X40 MM</v>
          </cell>
          <cell r="D9581" t="str">
            <v>VAGINAL  RETRACTOR, BREISKY, 130X40 MM</v>
          </cell>
        </row>
        <row r="9582">
          <cell r="B9582" t="str">
            <v>32-325-40-07</v>
          </cell>
          <cell r="C9582" t="str">
            <v>VAGINALSPEKULUM, BREISKY, 160X40 MM</v>
          </cell>
          <cell r="D9582" t="str">
            <v>VAGINAL  RETRACTOR, BREISKY, 160X40 MM</v>
          </cell>
        </row>
        <row r="9583">
          <cell r="B9583" t="str">
            <v>32-342-24-01</v>
          </cell>
          <cell r="C9583" t="str">
            <v>SCHEIDENHALTER, DOYEN, 70X30 MM, 25 CM</v>
          </cell>
          <cell r="D9583" t="str">
            <v>VAGINAL  RETRACT.,  DOYEN, 70X30 MM, 25 CM</v>
          </cell>
        </row>
        <row r="9584">
          <cell r="B9584" t="str">
            <v>32-381-24-07</v>
          </cell>
          <cell r="C9584" t="str">
            <v>ENDOSPEKULUM, KOGAN, 24,5 CM</v>
          </cell>
          <cell r="D9584" t="str">
            <v>ENDO SPECULUM, KOGAN, 24.5 CM</v>
          </cell>
        </row>
        <row r="9585">
          <cell r="B9585" t="str">
            <v>32-383-24-07</v>
          </cell>
          <cell r="C9585" t="str">
            <v>ENDOSPEKULUM, KOGAN, M. SP., 24,5 CM</v>
          </cell>
          <cell r="D9585" t="str">
            <v>ENDO SPECULUM, KOGAN, W. LOCK, 24.5 CM</v>
          </cell>
        </row>
        <row r="9586">
          <cell r="B9586" t="str">
            <v>32-400-01-01</v>
          </cell>
          <cell r="C9586" t="str">
            <v>UTERUSDILATATOR, HEGAR, 1,0 MM, 18,5 CM</v>
          </cell>
          <cell r="D9586" t="str">
            <v>UTERINE  DILATOR,  HEGAR, 1.0 MM, 18.5 CM</v>
          </cell>
        </row>
        <row r="9587">
          <cell r="B9587" t="str">
            <v>32-400-02-01</v>
          </cell>
          <cell r="C9587" t="str">
            <v>UTERUSDILATATOR, HEGAR, 2,0 MM, 18,5 CM</v>
          </cell>
          <cell r="D9587" t="str">
            <v>UTERINE  DILATOR,  HEGAR, 2.0 MM, 18.5 CM</v>
          </cell>
        </row>
        <row r="9588">
          <cell r="B9588" t="str">
            <v>32-400-03-01</v>
          </cell>
          <cell r="C9588" t="str">
            <v>UTERUSDILATATOR, HEGAR, 3,0 MM, 18,5 CM</v>
          </cell>
          <cell r="D9588" t="str">
            <v>UTERINE  DILATOR,  HEGAR, 3.0 MM, 18.5 CM</v>
          </cell>
        </row>
        <row r="9589">
          <cell r="B9589" t="str">
            <v>32-400-04-01</v>
          </cell>
          <cell r="C9589" t="str">
            <v>UTERUSDILATATOR, HEGAR, 4,0 MM, 18,5 CM</v>
          </cell>
          <cell r="D9589" t="str">
            <v>UTERINE  DILATOR,  HEGAR, 4.0 MM, 18.5 CM</v>
          </cell>
        </row>
        <row r="9590">
          <cell r="B9590" t="str">
            <v>32-400-05-01</v>
          </cell>
          <cell r="C9590" t="str">
            <v>UTERUSDILATATOR, HEGAR, 5,0 MM, 18,5 CM</v>
          </cell>
          <cell r="D9590" t="str">
            <v>UTERINE  DILATOR,  HEGAR, 5.0 MM, 18.5 CM</v>
          </cell>
        </row>
        <row r="9591">
          <cell r="B9591" t="str">
            <v>32-400-06-01</v>
          </cell>
          <cell r="C9591" t="str">
            <v>UTERUSDILATATOR, HEGAR, 6,0 MM, 18,5 CM</v>
          </cell>
          <cell r="D9591" t="str">
            <v>UTERINE  DILATOR,  HEGAR, 6.0 MM, 18.5 CM</v>
          </cell>
        </row>
        <row r="9592">
          <cell r="B9592" t="str">
            <v>32-400-07-01</v>
          </cell>
          <cell r="C9592" t="str">
            <v>UTERUSDILATATOR, HEGAR, 7,0 MM, 18,5 CM</v>
          </cell>
          <cell r="D9592" t="str">
            <v>UTERINE  DILATOR,  HEGAR, 7.0 MM, 18.5 CM</v>
          </cell>
        </row>
        <row r="9593">
          <cell r="B9593" t="str">
            <v>32-400-08-01</v>
          </cell>
          <cell r="C9593" t="str">
            <v>UTERUSDILATATOR, HEGAR, 8,0 MM, 18,5 CM</v>
          </cell>
          <cell r="D9593" t="str">
            <v>UTERINE  DILATOR,  HEGAR, 8.0 MM, 18.5 CM</v>
          </cell>
        </row>
        <row r="9594">
          <cell r="B9594" t="str">
            <v>32-400-09-01</v>
          </cell>
          <cell r="C9594" t="str">
            <v>UTERUSDILATATOR, HEGAR, 9,0 MM, 18,5 CM</v>
          </cell>
          <cell r="D9594" t="str">
            <v>UTERINE  DILATOR,  HEGAR, 9.0 MM, 18.5 CM</v>
          </cell>
        </row>
        <row r="9595">
          <cell r="B9595" t="str">
            <v>32-400-10-01</v>
          </cell>
          <cell r="C9595" t="str">
            <v>UTERUSDILATATOR, HEGAR, 10,0 MM, 18,5 CM</v>
          </cell>
          <cell r="D9595" t="str">
            <v>UTERINE  DILATOR,  HEGAR, 10.0 MM, 18.5 CM</v>
          </cell>
        </row>
        <row r="9596">
          <cell r="B9596" t="str">
            <v>32-400-11-01</v>
          </cell>
          <cell r="C9596" t="str">
            <v>UTERUSDILATATOR, HEGAR, 11,0 MM, 18,5 CM</v>
          </cell>
          <cell r="D9596" t="str">
            <v>UTERINE  DILATOR,  HEGAR, 11.0 MM, 18.5 CM</v>
          </cell>
        </row>
        <row r="9597">
          <cell r="B9597" t="str">
            <v>32-400-12-01</v>
          </cell>
          <cell r="C9597" t="str">
            <v>UTERUSDILATATOR, HEGAR, 12,0 MM, 18,5 CM</v>
          </cell>
          <cell r="D9597" t="str">
            <v>UTERINE  DILATOR,  HEGAR, 12.0 MM, 18.5 CM</v>
          </cell>
        </row>
        <row r="9598">
          <cell r="B9598" t="str">
            <v>32-400-13-01</v>
          </cell>
          <cell r="C9598" t="str">
            <v>UTERUSDILATATOR, HEGAR, 13,0 MM, 18,5 CM</v>
          </cell>
          <cell r="D9598" t="str">
            <v>UTERINE  DILATOR,  HEGAR, 13.0 MM, 18.5 CM</v>
          </cell>
        </row>
        <row r="9599">
          <cell r="B9599" t="str">
            <v>32-400-14-01</v>
          </cell>
          <cell r="C9599" t="str">
            <v>UTERUSDILATATOR, HEGAR, 14,0 MM, 18,5 CM</v>
          </cell>
          <cell r="D9599" t="str">
            <v>UTERINE  DILATOR,  HEGAR, 14.0 MM, 18.5 CM</v>
          </cell>
        </row>
        <row r="9600">
          <cell r="B9600" t="str">
            <v>32-400-15-01</v>
          </cell>
          <cell r="C9600" t="str">
            <v>UTERUSDILATATOR, HEGAR, 15,0 MM, 18,5 CM</v>
          </cell>
          <cell r="D9600" t="str">
            <v>UTERINE  DILATOR,  HEGAR, 15.0 MM, 18.5 CM</v>
          </cell>
        </row>
        <row r="9601">
          <cell r="B9601" t="str">
            <v>32-400-16-01</v>
          </cell>
          <cell r="C9601" t="str">
            <v>UTERUSDILATATOR, HEGAR, 16,0 MM, 18,5 CM</v>
          </cell>
          <cell r="D9601" t="str">
            <v>UTERINE  DILATOR,  HEGAR, 16.0 MM, 18.5 CM</v>
          </cell>
        </row>
        <row r="9602">
          <cell r="B9602" t="str">
            <v>32-400-17-01</v>
          </cell>
          <cell r="C9602" t="str">
            <v>UTERUSDILATATOR, HEGAR, 17,0 MM, 18,5 CM</v>
          </cell>
          <cell r="D9602" t="str">
            <v>UTERINE  DILATOR,  HEGAR, 17.0 MM, 18.5 CM</v>
          </cell>
        </row>
        <row r="9603">
          <cell r="B9603" t="str">
            <v>32-400-18-01</v>
          </cell>
          <cell r="C9603" t="str">
            <v>UTERUSDILATATOR, HEGAR, 18,0 MM, 18,5 CM</v>
          </cell>
          <cell r="D9603" t="str">
            <v>UTERINE  DILATOR,  HEGAR, 18.0 MM, 18.5 CM</v>
          </cell>
        </row>
        <row r="9604">
          <cell r="B9604" t="str">
            <v>32-400-19-01</v>
          </cell>
          <cell r="C9604" t="str">
            <v>UTERUSDILATATOR, HEGAR, 19,0 MM, 18,5 CM</v>
          </cell>
          <cell r="D9604" t="str">
            <v>UTERINE  DILATOR,  HEGAR, 19.0 MM, 18.5 CM</v>
          </cell>
        </row>
        <row r="9605">
          <cell r="B9605" t="str">
            <v>32-400-20-01</v>
          </cell>
          <cell r="C9605" t="str">
            <v>UTERUSDILATATOR, HEGAR, 20,0 MM, 18,5 CM</v>
          </cell>
          <cell r="D9605" t="str">
            <v>UTERINE  DILATOR,  HEGAR, 20.0 MM, 18.5 CM</v>
          </cell>
        </row>
        <row r="9606">
          <cell r="B9606" t="str">
            <v>32-400-21-01</v>
          </cell>
          <cell r="C9606" t="str">
            <v>UTERUSDILATATOR, HEGAR, 21,0 MM, 18,5 CM</v>
          </cell>
          <cell r="D9606" t="str">
            <v>UTERINE  DILATOR,  HEGAR, 21.0 MM, 18.5 CM</v>
          </cell>
        </row>
        <row r="9607">
          <cell r="B9607" t="str">
            <v>32-400-22-01</v>
          </cell>
          <cell r="C9607" t="str">
            <v>UTERUSDILATATOR, HEGAR, 22,0 MM, 18,5 CM</v>
          </cell>
          <cell r="D9607" t="str">
            <v>UTERINE  DILATOR,  HEGAR, 22.0 MM, 18.5 CM</v>
          </cell>
        </row>
        <row r="9608">
          <cell r="B9608" t="str">
            <v>32-400-23-01</v>
          </cell>
          <cell r="C9608" t="str">
            <v>UTERUSDILATATOR, HEGAR, 23,0 MM, 18,5 CM</v>
          </cell>
          <cell r="D9608" t="str">
            <v>UTERINE  DILATOR,  HEGAR, 23.0 MM, 18.5 CM</v>
          </cell>
        </row>
        <row r="9609">
          <cell r="B9609" t="str">
            <v>32-400-24-01</v>
          </cell>
          <cell r="C9609" t="str">
            <v>UTERUSDILATATOR, HEGAR, 24,0 MM, 18,5 CM</v>
          </cell>
          <cell r="D9609" t="str">
            <v>UTERINE  DILATOR,  HEGAR, 24.0 MM, 18.5 CM</v>
          </cell>
        </row>
        <row r="9610">
          <cell r="B9610" t="str">
            <v>32-400-25-01</v>
          </cell>
          <cell r="C9610" t="str">
            <v>UTERUSDILATATOR, HEGAR, 25,0 MM, 18,5 CM</v>
          </cell>
          <cell r="D9610" t="str">
            <v>UTERINE  DILATOR,  HEGAR, 25.0 MM, 18.5 CM</v>
          </cell>
        </row>
        <row r="9611">
          <cell r="B9611" t="str">
            <v>32-400-26-01</v>
          </cell>
          <cell r="C9611" t="str">
            <v>UTERUSDILATATOR, HEGAR, 26,0 MM, 18,5 CM</v>
          </cell>
          <cell r="D9611" t="str">
            <v>UTERINE  DILATOR,  HEGAR, 26.0 MM, 18.5 CM</v>
          </cell>
        </row>
        <row r="9612">
          <cell r="B9612" t="str">
            <v>32-400-80-01</v>
          </cell>
          <cell r="C9612" t="str">
            <v>UTERUSDILATATOREN, HEGAR, SATZ, 4-17 MM</v>
          </cell>
          <cell r="D9612" t="str">
            <v>UTERINE  DILATORS,  HEGAR, SET, 4-17 MM</v>
          </cell>
        </row>
        <row r="9613">
          <cell r="B9613" t="str">
            <v>32-400-90-01</v>
          </cell>
          <cell r="C9613" t="str">
            <v>UTERUSDILATATOREN, HEGAR, SATZ, 1-26 MM</v>
          </cell>
          <cell r="D9613" t="str">
            <v>UTERINE  DILATORS,  HEGAR, SET, 1-26 MM</v>
          </cell>
        </row>
        <row r="9614">
          <cell r="B9614" t="str">
            <v>32-401-01-01</v>
          </cell>
          <cell r="C9614" t="str">
            <v>UTERUSDILATATOR, HEGAR, 1,5 MM, 18,5 CM</v>
          </cell>
          <cell r="D9614" t="str">
            <v>UTERINE  DILATOR,  HEGAR, 1.5 MM, 18.5 CM</v>
          </cell>
        </row>
        <row r="9615">
          <cell r="B9615" t="str">
            <v>32-401-02-01</v>
          </cell>
          <cell r="C9615" t="str">
            <v>UTERUSDILATATOR, HEGAR, 2,5 MM, 18,5 CM</v>
          </cell>
          <cell r="D9615" t="str">
            <v>UTERINE  DILATOR,  HEGAR, 2.5 MM, 18.5 CM</v>
          </cell>
        </row>
        <row r="9616">
          <cell r="B9616" t="str">
            <v>32-401-03-01</v>
          </cell>
          <cell r="C9616" t="str">
            <v>UTERUSDILATATOR, HEGAR, 3,5 MM, 18,5 CM</v>
          </cell>
          <cell r="D9616" t="str">
            <v>UTERINE  DILATOR,  HEGAR, 3.5 MM, 18.5 CM</v>
          </cell>
        </row>
        <row r="9617">
          <cell r="B9617" t="str">
            <v>32-401-04-01</v>
          </cell>
          <cell r="C9617" t="str">
            <v>UTERUSDILATATOR, HEGAR, 4,5 MM, 18,5 CM</v>
          </cell>
          <cell r="D9617" t="str">
            <v>UTERINE  DILATOR,  HEGAR, 4.5 MM, 18.5 CM</v>
          </cell>
        </row>
        <row r="9618">
          <cell r="B9618" t="str">
            <v>32-401-05-01</v>
          </cell>
          <cell r="C9618" t="str">
            <v>UTERUSDILATATOR, HEGAR, 5,5 MM, 18,5 CM</v>
          </cell>
          <cell r="D9618" t="str">
            <v>UTERINE  DILATOR,  HEGAR, 5.5 MM, 18.5 CM</v>
          </cell>
        </row>
        <row r="9619">
          <cell r="B9619" t="str">
            <v>32-401-06-01</v>
          </cell>
          <cell r="C9619" t="str">
            <v>UTERUSDILATATOR, HEGAR, 6,5 MM, 18,5 CM</v>
          </cell>
          <cell r="D9619" t="str">
            <v>UTERINE  DILATOR,  HEGAR, 6.5 MM, 18.5 CM</v>
          </cell>
        </row>
        <row r="9620">
          <cell r="B9620" t="str">
            <v>32-401-07-01</v>
          </cell>
          <cell r="C9620" t="str">
            <v>UTERUSDILATATOR, HEGAR, 7,5 MM, 18,5 CM</v>
          </cell>
          <cell r="D9620" t="str">
            <v>UTERINE  DILATOR,  HEGAR, 7.5 MM, 18.5 CM</v>
          </cell>
        </row>
        <row r="9621">
          <cell r="B9621" t="str">
            <v>32-401-08-01</v>
          </cell>
          <cell r="C9621" t="str">
            <v>UTERUSDILATATOR, HEGAR, 8,5 MM, 18,5 CM</v>
          </cell>
          <cell r="D9621" t="str">
            <v>UTERINE  DILATOR,  HEGAR, 8.5 MM, 18.5 CM</v>
          </cell>
        </row>
        <row r="9622">
          <cell r="B9622" t="str">
            <v>32-401-09-01</v>
          </cell>
          <cell r="C9622" t="str">
            <v>UTERUSDILATATOR, HEGAR, 9,5 MM, 18,5 CM</v>
          </cell>
          <cell r="D9622" t="str">
            <v>UTERINE  DILATOR,  HEGAR, 9.5 MM, 18.5 CM</v>
          </cell>
        </row>
        <row r="9623">
          <cell r="B9623" t="str">
            <v>32-401-10-01</v>
          </cell>
          <cell r="C9623" t="str">
            <v>UTERUSDILATATOR, HEGAR, 10,5 MM, 18,5 CM</v>
          </cell>
          <cell r="D9623" t="str">
            <v>UTERINE  DILATOR,  HEGAR, 10.5 MM, 18.5 CM</v>
          </cell>
        </row>
        <row r="9624">
          <cell r="B9624" t="str">
            <v>32-401-11-01</v>
          </cell>
          <cell r="C9624" t="str">
            <v>UTERUSDILATATOR, HEGAR, 11,5 MM, 18,5 CM</v>
          </cell>
          <cell r="D9624" t="str">
            <v>UTERINE  DILATOR,  HEGAR, 11.5 MM, 18.5 CM</v>
          </cell>
        </row>
        <row r="9625">
          <cell r="B9625" t="str">
            <v>32-401-12-01</v>
          </cell>
          <cell r="C9625" t="str">
            <v>UTERUSDILATATOR, HEGAR, 12,5 MM, 18,5 CM</v>
          </cell>
          <cell r="D9625" t="str">
            <v>UTERINE  DILATOR,  HEGAR, 12.5 MM, 18.5 CM</v>
          </cell>
        </row>
        <row r="9626">
          <cell r="B9626" t="str">
            <v>32-401-13-01</v>
          </cell>
          <cell r="C9626" t="str">
            <v>UTERUSDILATATOR, HEGAR, 13,5 MM, 18,5 CM</v>
          </cell>
          <cell r="D9626" t="str">
            <v>UTERINE  DILATOR,  HEGAR, 13.5 MM, 18.5 CM</v>
          </cell>
        </row>
        <row r="9627">
          <cell r="B9627" t="str">
            <v>32-401-14-01</v>
          </cell>
          <cell r="C9627" t="str">
            <v>UTERUSDILATATOR, HEGAR, 14,5 MM, 18,5 CM</v>
          </cell>
          <cell r="D9627" t="str">
            <v>UTERINE  DILATOR,  HEGAR, 14.5 MM, 18.5 CM</v>
          </cell>
        </row>
        <row r="9628">
          <cell r="B9628" t="str">
            <v>32-401-15-01</v>
          </cell>
          <cell r="C9628" t="str">
            <v>UTERUSDILATATOR, HEGAR, 15,5 MM, 18,5 CM</v>
          </cell>
          <cell r="D9628" t="str">
            <v>UTERINE  DILATOR,  HEGAR, 15.5 MM, 18.5 CM</v>
          </cell>
        </row>
        <row r="9629">
          <cell r="B9629" t="str">
            <v>32-401-16-01</v>
          </cell>
          <cell r="C9629" t="str">
            <v>UTERUSDILATATOR, HEGAR, 16,5 MM, 18,5 CM</v>
          </cell>
          <cell r="D9629" t="str">
            <v>UTERINE  DILATOR,  HEGAR, 16.5 MM, 18.5 CM</v>
          </cell>
        </row>
        <row r="9630">
          <cell r="B9630" t="str">
            <v>32-401-17-01</v>
          </cell>
          <cell r="C9630" t="str">
            <v>UTERUSDILATATOR, HEGAR, 17,5 MM, 18,5 CM</v>
          </cell>
          <cell r="D9630" t="str">
            <v>UTERINE  DILATOR,  HEGAR, 17.5 MM, 18.5 CM</v>
          </cell>
        </row>
        <row r="9631">
          <cell r="B9631" t="str">
            <v>32-430-02-01</v>
          </cell>
          <cell r="C9631" t="str">
            <v>UTERUSDILATATOR, HEGAR, DOPP., 1/2 MM</v>
          </cell>
          <cell r="D9631" t="str">
            <v>UTERINE  DILATOR,  HEGAR, DOUBLE,  1/2 MM</v>
          </cell>
        </row>
        <row r="9632">
          <cell r="B9632" t="str">
            <v>32-430-04-01</v>
          </cell>
          <cell r="C9632" t="str">
            <v>UTERUSDILATATOR, HEGAR, DOPP., 3/4 MM</v>
          </cell>
          <cell r="D9632" t="str">
            <v>UTERINE  DILATOR,  HEGAR, DOUBLE,  3/4 MM</v>
          </cell>
        </row>
        <row r="9633">
          <cell r="B9633" t="str">
            <v>32-430-06-01</v>
          </cell>
          <cell r="C9633" t="str">
            <v>UTERUSDILATATOR, HEGAR, DOPP., 5/6 MM</v>
          </cell>
          <cell r="D9633" t="str">
            <v>UTERINE  DILATOR,  HEGAR, DOUBLE,  5/6 MM</v>
          </cell>
        </row>
        <row r="9634">
          <cell r="B9634" t="str">
            <v>32-430-08-01</v>
          </cell>
          <cell r="C9634" t="str">
            <v>UTERUSDILATATOR, HEGAR, DOPP., 7/8 MM</v>
          </cell>
          <cell r="D9634" t="str">
            <v>UTERINE  DILATOR,  HEGAR, DOUBLE,  7/8 MM</v>
          </cell>
        </row>
        <row r="9635">
          <cell r="B9635" t="str">
            <v>32-430-10-01</v>
          </cell>
          <cell r="C9635" t="str">
            <v>UTERUSDILATATOR, HEGAR, DOPP., 9/10 MM</v>
          </cell>
          <cell r="D9635" t="str">
            <v>UTERINE  DILATOR,  HEGAR, DOUBLE,  9/10 MM</v>
          </cell>
        </row>
        <row r="9636">
          <cell r="B9636" t="str">
            <v>32-430-12-01</v>
          </cell>
          <cell r="C9636" t="str">
            <v>UTERUSDILATATOR, HEGAR, DOPP., 11/12 MM</v>
          </cell>
          <cell r="D9636" t="str">
            <v>UTERINE  DILATOR,  HEGAR, DOUBLE,  11/12 MM</v>
          </cell>
        </row>
        <row r="9637">
          <cell r="B9637" t="str">
            <v>32-430-14-01</v>
          </cell>
          <cell r="C9637" t="str">
            <v>UTERUSDILATATOR, HEGAR, DOPP., 13/14 MM</v>
          </cell>
          <cell r="D9637" t="str">
            <v>UTERINE  DILATOR,  HEGAR, DOUBLE,  13/14 MM</v>
          </cell>
        </row>
        <row r="9638">
          <cell r="B9638" t="str">
            <v>32-430-16-01</v>
          </cell>
          <cell r="C9638" t="str">
            <v>UTERUSDILATATOR, HEGAR, DOPP., 15/16 MM</v>
          </cell>
          <cell r="D9638" t="str">
            <v>UTERINE  DILATOR,  HEGAR, DOUBLE,  15/16 MM</v>
          </cell>
        </row>
        <row r="9639">
          <cell r="B9639" t="str">
            <v>32-430-18-01</v>
          </cell>
          <cell r="C9639" t="str">
            <v>UTERUSDILATATOR, HEGAR, DOPP., 17/18 MM</v>
          </cell>
          <cell r="D9639" t="str">
            <v>UTERINE  DILATOR,  HEGAR, DOUBLE,  17/18 MM</v>
          </cell>
        </row>
        <row r="9640">
          <cell r="B9640" t="str">
            <v>32-430-20-01</v>
          </cell>
          <cell r="C9640" t="str">
            <v>UTERUSDILATATOR, HEGAR, DOPP., 19/20 MM</v>
          </cell>
          <cell r="D9640" t="str">
            <v>UTERINE  DILATOR,  HEGAR, DOUBLE,  19/20 MM</v>
          </cell>
        </row>
        <row r="9641">
          <cell r="B9641" t="str">
            <v>32-430-22-01</v>
          </cell>
          <cell r="C9641" t="str">
            <v>UTERUSDILATATOR, HEGAR, DOPP., 21/22 MM</v>
          </cell>
          <cell r="D9641" t="str">
            <v>UTERINE  DILATOR,  HEGAR, DOUBLE,  21/22 MM</v>
          </cell>
        </row>
        <row r="9642">
          <cell r="B9642" t="str">
            <v>32-430-24-01</v>
          </cell>
          <cell r="C9642" t="str">
            <v>UTERUSDILATATOR, HEGAR, DOPP., 23/24 MM</v>
          </cell>
          <cell r="D9642" t="str">
            <v>UTERINE  DILATOR,  HEGAR, DOUBLE,  23/24 MM</v>
          </cell>
        </row>
        <row r="9643">
          <cell r="B9643" t="str">
            <v>32-430-26-01</v>
          </cell>
          <cell r="C9643" t="str">
            <v>UTERUSDILATATOR, HEGAR, DOPP., 25/26 MM</v>
          </cell>
          <cell r="D9643" t="str">
            <v>UTERINE  DILATOR,  HEGAR, DOUBLE,  25/26 MM</v>
          </cell>
        </row>
        <row r="9644">
          <cell r="B9644" t="str">
            <v>32-430-80-01</v>
          </cell>
          <cell r="C9644" t="str">
            <v>UTERUSDILATATOR, HEGAR, DOPPELEND., SATZ</v>
          </cell>
          <cell r="D9644" t="str">
            <v>UTERINE  DILATOR,  HEGAR, DOUBLE,  SET</v>
          </cell>
        </row>
        <row r="9645">
          <cell r="B9645" t="str">
            <v>32-430-82-01</v>
          </cell>
          <cell r="C9645" t="str">
            <v>UTERUSDILATATOR, HEGAR, DOPPELEND., SATZ</v>
          </cell>
          <cell r="D9645" t="str">
            <v>UTERINE  DILATOR,  HEGAR, DOUBLE,  SET</v>
          </cell>
        </row>
        <row r="9646">
          <cell r="B9646" t="str">
            <v>32-460-10-01</v>
          </cell>
          <cell r="C9646" t="str">
            <v>UTERUSDILATATOR, HANK, DOPP., 4,5/5 MM</v>
          </cell>
          <cell r="D9646" t="str">
            <v>UTERINE  DILATOR,  HANK, DOUBLE,  4.5/5 MM</v>
          </cell>
        </row>
        <row r="9647">
          <cell r="B9647" t="str">
            <v>32-460-12-01</v>
          </cell>
          <cell r="C9647" t="str">
            <v>UTERUSDILATATOR, HANK, DOPP., 5,5/6 MM</v>
          </cell>
          <cell r="D9647" t="str">
            <v>UTERINE  DILATOR,  HANK, DOUBLE,  5.5/6 MM</v>
          </cell>
        </row>
        <row r="9648">
          <cell r="B9648" t="str">
            <v>32-460-14-01</v>
          </cell>
          <cell r="C9648" t="str">
            <v>UTERUSDILATATOR, HANK, DOPP., 6,5/7 MM</v>
          </cell>
          <cell r="D9648" t="str">
            <v>UTERINE  DILATOR,  HANK, DOUBLE,  6.5/7 MM</v>
          </cell>
        </row>
        <row r="9649">
          <cell r="B9649" t="str">
            <v>32-460-16-01</v>
          </cell>
          <cell r="C9649" t="str">
            <v>UTERUSDILATATOR, HANK, DOPP., 7,5/8 MM</v>
          </cell>
          <cell r="D9649" t="str">
            <v>UTERINE  DILATOR,  HANK, DOUBLE,  7.5/8 MM</v>
          </cell>
        </row>
        <row r="9650">
          <cell r="B9650" t="str">
            <v>32-460-18-01</v>
          </cell>
          <cell r="C9650" t="str">
            <v>UTERUSDILATATOR, HANK, DOPP., 8,5/9 MM</v>
          </cell>
          <cell r="D9650" t="str">
            <v>UTERINE  DILATOR,  HANK, DOUBLE,  8.5/9 MM</v>
          </cell>
        </row>
        <row r="9651">
          <cell r="B9651" t="str">
            <v>32-460-20-01</v>
          </cell>
          <cell r="C9651" t="str">
            <v>UTERUSDILATATOR, HANK, DOPP., 9,5/10 MM</v>
          </cell>
          <cell r="D9651" t="str">
            <v>UTERINE  DILATOR,  HANK, DOUBLE,  9.5/10 MM</v>
          </cell>
        </row>
        <row r="9652">
          <cell r="B9652" t="str">
            <v>32-460-82-01</v>
          </cell>
          <cell r="C9652" t="str">
            <v>UTERUSDILATATOR, HANK, DOPPEL.,  SATZ</v>
          </cell>
          <cell r="D9652" t="str">
            <v>UTERINE  DILATOR,  HANK, DOUBLE,  SET</v>
          </cell>
        </row>
        <row r="9653">
          <cell r="B9653" t="str">
            <v>32-583-32-01</v>
          </cell>
          <cell r="C9653" t="str">
            <v>UTERUSSONDE, SIMS, STARR, 33 CM</v>
          </cell>
          <cell r="D9653" t="str">
            <v>UTERINE  PROBE, SIMS, RIGID, 33 CM</v>
          </cell>
        </row>
        <row r="9654">
          <cell r="B9654" t="str">
            <v>32-584-32-02</v>
          </cell>
          <cell r="C9654" t="str">
            <v>UTERUSSONDE, SIMS, BIEGSAM,  33 CM</v>
          </cell>
          <cell r="D9654" t="str">
            <v>UTERINE  PROBE, SIMS, MALLEABLE, 33 CM</v>
          </cell>
        </row>
        <row r="9655">
          <cell r="B9655" t="str">
            <v>32-593-25-01</v>
          </cell>
          <cell r="C9655" t="str">
            <v>Sonde, Uterus, Valleix, 25,5 cm</v>
          </cell>
          <cell r="D9655" t="str">
            <v>UTERINE  PROBE, VALLEIX, 25,5 CM</v>
          </cell>
        </row>
        <row r="9656">
          <cell r="B9656" t="str">
            <v>32-595-26-07</v>
          </cell>
          <cell r="C9656" t="str">
            <v>UTERUSDEPRESSOR, BRAUN, 27 CM</v>
          </cell>
          <cell r="D9656" t="str">
            <v>UTERINE  DEPRESSOR, BRAUN, 27 CM</v>
          </cell>
        </row>
        <row r="9657">
          <cell r="B9657" t="str">
            <v>32-622-25-07</v>
          </cell>
          <cell r="C9657" t="str">
            <v>HAKENZANGE, SCHRÖDER, 1X1 Z., 25,5 CM</v>
          </cell>
          <cell r="D9657" t="str">
            <v>TENAC. FCPS., SCHROEDER, 1X1 T., 25.5 CM</v>
          </cell>
        </row>
        <row r="9658">
          <cell r="B9658" t="str">
            <v>32-628-25-07</v>
          </cell>
          <cell r="C9658" t="str">
            <v>HAKENZANGE, BRAUN, 1X1 Z., 26 CM</v>
          </cell>
          <cell r="D9658" t="str">
            <v>TENACULUM FORCEPS,  BRAUN, 1X1 T., 26 CM</v>
          </cell>
        </row>
        <row r="9659">
          <cell r="B9659" t="str">
            <v>32-645-28-07</v>
          </cell>
          <cell r="C9659" t="str">
            <v>HAKENZANGE, DUPLAY, S-FORM, 28 CM</v>
          </cell>
          <cell r="D9659" t="str">
            <v>TENACULUM FORCEPS,  DUPLAY, S-SH., 28 CM</v>
          </cell>
        </row>
        <row r="9660">
          <cell r="B9660" t="str">
            <v>32-659-26-07</v>
          </cell>
          <cell r="C9660" t="str">
            <v>AMNIOTOM, BEACHAM,  26 CM</v>
          </cell>
          <cell r="D9660" t="str">
            <v>AMNIOTOME, BEACHAM,  26 CM</v>
          </cell>
        </row>
        <row r="9661">
          <cell r="B9661" t="str">
            <v>32-663-24-07</v>
          </cell>
          <cell r="C9661" t="str">
            <v>HAKENZANGE, SKENE, 1X1 Z., GEB., 24 CM</v>
          </cell>
          <cell r="D9661" t="str">
            <v>TENAC. FCPS., SKENE, 1X1 T., CVD., 24 CM</v>
          </cell>
        </row>
        <row r="9662">
          <cell r="B9662" t="str">
            <v>32-682-24-07</v>
          </cell>
          <cell r="C9662" t="str">
            <v>HAKENZANGE, GER., 2X2 Z., 25 CM</v>
          </cell>
          <cell r="D9662" t="str">
            <v>TENACULUM FORCEPS,  STR., 2X2 T., 25 CM</v>
          </cell>
        </row>
        <row r="9663">
          <cell r="B9663" t="str">
            <v>32-683-24-07</v>
          </cell>
          <cell r="C9663" t="str">
            <v>HAKENZANGE, GEB., 2X2 Z., 25 CM</v>
          </cell>
          <cell r="D9663" t="str">
            <v>TENACULUM FORCEPS,  CVD., 2X2 T., 25 CM</v>
          </cell>
        </row>
        <row r="9664">
          <cell r="B9664" t="str">
            <v>32-697-23-07</v>
          </cell>
          <cell r="C9664" t="str">
            <v>HAKENZANGE, TEALE, GEB., 4X5 Z., 23 CM</v>
          </cell>
          <cell r="D9664" t="str">
            <v>TENAC. FCPS., TEALE, CVD., 4X5 T., 23 CM</v>
          </cell>
        </row>
        <row r="9665">
          <cell r="B9665" t="str">
            <v>32-699-26-07</v>
          </cell>
          <cell r="C9665" t="str">
            <v>HAKENZANGE, IOWA, 5X6 Z., GEB., 26 CM</v>
          </cell>
          <cell r="D9665" t="str">
            <v>TENAC. FCPS., IOWA, 5X6 T., CVD., 26 CM</v>
          </cell>
        </row>
        <row r="9666">
          <cell r="B9666" t="str">
            <v>32-702-24-07</v>
          </cell>
          <cell r="C9666" t="str">
            <v>HAKENZANGE, MUSEUX,  7 MM, 2X2 Z., 24 CM</v>
          </cell>
          <cell r="D9666" t="str">
            <v>TENAC. FCPS., MUSEUX,  7 MM, 2X2 T., 24CM</v>
          </cell>
        </row>
        <row r="9667">
          <cell r="B9667" t="str">
            <v>32-704-24-07</v>
          </cell>
          <cell r="C9667" t="str">
            <v>HAKENZANGE, MUSEUX,  9 MM, 2X2 Z., 24 CM</v>
          </cell>
          <cell r="D9667" t="str">
            <v>TENAC. FCPS., MUSEUX,  9 MM, 2X2 T., 24CM</v>
          </cell>
        </row>
        <row r="9668">
          <cell r="B9668" t="str">
            <v>32-706-24-07</v>
          </cell>
          <cell r="C9668" t="str">
            <v>HAKENZANGE, MUSEUX,  10 MM, 2X2 Z., 24 CM</v>
          </cell>
          <cell r="D9668" t="str">
            <v>TENAC. FCPS., MUSEUX,  10MM, 2X2 T., 24CM</v>
          </cell>
        </row>
        <row r="9669">
          <cell r="B9669" t="str">
            <v>32-728-21-07</v>
          </cell>
          <cell r="C9669" t="str">
            <v>HAKENZANGE, JACOBS, GER., 2X2 Z., 21 CM</v>
          </cell>
          <cell r="D9669" t="str">
            <v>TENAC. FCPS., JACOBS, STR., 2X2 T., 21CM</v>
          </cell>
        </row>
        <row r="9670">
          <cell r="B9670" t="str">
            <v>32-734-26-07</v>
          </cell>
          <cell r="C9670" t="str">
            <v>HAKENZANGE, 4X4 Z., 26,5 CM</v>
          </cell>
          <cell r="D9670" t="str">
            <v>TENACULUM FORCEPS,  4X4 T., 26.5 CM</v>
          </cell>
        </row>
        <row r="9671">
          <cell r="B9671" t="str">
            <v>32-738-16-07</v>
          </cell>
          <cell r="C9671" t="str">
            <v>HAKENZANGE, BRAUN, 4X4 Z., 16 CM</v>
          </cell>
          <cell r="D9671" t="str">
            <v>TENACULUM FORCEPS,  BRAUN, 4X4 T., 16 CM</v>
          </cell>
        </row>
        <row r="9672">
          <cell r="B9672" t="str">
            <v>32-740-21-07</v>
          </cell>
          <cell r="C9672" t="str">
            <v>HAKENZANGE, CZERNY, 4X4 Z., 21 CM</v>
          </cell>
          <cell r="D9672" t="str">
            <v>TENACULUM FORCEPS,  CZERNY, 4X4 T., 21 CM</v>
          </cell>
        </row>
        <row r="9673">
          <cell r="B9673" t="str">
            <v>32-741-32-07</v>
          </cell>
          <cell r="C9673" t="str">
            <v>UTERUSPOLYPENZANGE, KELLY, 31,5 CM</v>
          </cell>
          <cell r="D9673" t="str">
            <v>UTERINE  POLYPUS  FORCEPS,  KELLY, 31.5 CM</v>
          </cell>
        </row>
        <row r="9674">
          <cell r="B9674" t="str">
            <v>32-744-27-07</v>
          </cell>
          <cell r="C9674" t="str">
            <v>UTERUSPOLYPENZANGE, NOTO, 27 CM</v>
          </cell>
          <cell r="D9674" t="str">
            <v>UTERINE  POLYPUS  FORCEPS,  NOTO, 27 CM</v>
          </cell>
        </row>
        <row r="9675">
          <cell r="B9675" t="str">
            <v>32-745-25-07</v>
          </cell>
          <cell r="C9675" t="str">
            <v>UTERUSPOLYPENZANGE, HEYWOOD-SMITH, 26 CM</v>
          </cell>
          <cell r="D9675" t="str">
            <v>UTER. POL. FORCEPS,  HEYWOOD-SMITH, 26 CM</v>
          </cell>
        </row>
        <row r="9676">
          <cell r="B9676" t="str">
            <v>32-758-17-07</v>
          </cell>
          <cell r="C9676" t="str">
            <v>Heber, Myom, Doyen, Spirale Ø15 mm, 17cm</v>
          </cell>
          <cell r="D9676" t="str">
            <v>Screw, Myoma, Doyen, spiral Ø15 mm, 17cm</v>
          </cell>
        </row>
        <row r="9677">
          <cell r="B9677" t="str">
            <v>32-760-17-07</v>
          </cell>
          <cell r="C9677" t="str">
            <v>Heber, Myom, Doyen, Spirale Ø25 mm, 17cm</v>
          </cell>
          <cell r="D9677" t="str">
            <v>Screw, Myoma, Doyen, spiral Ø25 mm, 17cm</v>
          </cell>
        </row>
        <row r="9678">
          <cell r="B9678" t="str">
            <v>32-762-27-07</v>
          </cell>
          <cell r="C9678" t="str">
            <v>MYOMMESSER, SEGOND,  13 MM, 28 CM</v>
          </cell>
          <cell r="D9678" t="str">
            <v>MYOMA KNIFE, SEGOND,  13 MM, 28 CM</v>
          </cell>
        </row>
        <row r="9679">
          <cell r="B9679" t="str">
            <v>32-773-27-07</v>
          </cell>
          <cell r="C9679" t="str">
            <v>UTERUSFASSZANGE, DARTIGUES, 27 CM</v>
          </cell>
          <cell r="D9679" t="str">
            <v>UTERINE  ELEV. FORCEPS,  DARTIGUES, 27 CM</v>
          </cell>
        </row>
        <row r="9680">
          <cell r="B9680" t="str">
            <v>32-779-23-07</v>
          </cell>
          <cell r="C9680" t="str">
            <v>UTERUSFASSZANGE, SOMER, GEB., 22,5 CM</v>
          </cell>
          <cell r="D9680" t="str">
            <v>UTERINE  ELEV. FCPS., SOMER, CVD., 22.5CM</v>
          </cell>
        </row>
        <row r="9681">
          <cell r="B9681" t="str">
            <v>32-793-25-07</v>
          </cell>
          <cell r="C9681" t="str">
            <v>UTERUSFASSZANGE, COLLIN, 26 CM</v>
          </cell>
          <cell r="D9681" t="str">
            <v>UTERINE  ELEVAT. FORCEPS,  COLLIN, 26 CM</v>
          </cell>
        </row>
        <row r="9682">
          <cell r="B9682" t="str">
            <v>32-800-01-07</v>
          </cell>
          <cell r="C9682" t="str">
            <v>marTube,  Ø 35 mm</v>
          </cell>
          <cell r="D9682" t="str">
            <v>marTube,  Ø 35 mm</v>
          </cell>
        </row>
        <row r="9683">
          <cell r="B9683" t="str">
            <v>32-800-02-07</v>
          </cell>
          <cell r="C9683" t="str">
            <v>marTube,  Ø 45 mm</v>
          </cell>
          <cell r="D9683" t="str">
            <v>marTube,  Ø 45 mm</v>
          </cell>
        </row>
        <row r="9684">
          <cell r="B9684" t="str">
            <v>32-804-03-07</v>
          </cell>
          <cell r="C9684" t="str">
            <v>FISTELHAKEN, EMMETT,  FIG. 3, GEW., 23 CM</v>
          </cell>
          <cell r="D9684" t="str">
            <v>FISTULA HOOK, EMMETT,  NO. 3, ANG., 23 CM</v>
          </cell>
        </row>
        <row r="9685">
          <cell r="B9685" t="str">
            <v>32-806-22-07</v>
          </cell>
          <cell r="C9685" t="str">
            <v>FISTELHAKEN, SIMON, 1-ZINK., 21,5 CM</v>
          </cell>
          <cell r="D9685" t="str">
            <v>FISTULA HOOK, SIMON, 1-PRONG,  21.5 CM</v>
          </cell>
        </row>
        <row r="9686">
          <cell r="B9686" t="str">
            <v>32-825-23-01</v>
          </cell>
          <cell r="C9686" t="str">
            <v>Saugkürette, Novak, ø 4 mm , L/L, 24,5cm</v>
          </cell>
          <cell r="D9686" t="str">
            <v>Suction curette, Novak, ø4mm ,L/L,24.5cm</v>
          </cell>
        </row>
        <row r="9687">
          <cell r="B9687" t="str">
            <v>32-827-30-07</v>
          </cell>
          <cell r="C9687" t="str">
            <v>UTERUSBIOPSIEKÜRETTE, KEVORKIAN, 30 CM</v>
          </cell>
          <cell r="D9687" t="str">
            <v>UTERINE  BIOPSY CURETTE,  KEVORKIAN, 30 CM</v>
          </cell>
        </row>
        <row r="9688">
          <cell r="B9688" t="str">
            <v>32-829-27-07</v>
          </cell>
          <cell r="C9688" t="str">
            <v>BIOPSIEKÜRETTE, MOD. MÜNCHEN, 27 CM</v>
          </cell>
          <cell r="D9688" t="str">
            <v>BIOPSY CURETTE,  MUNICH-TYPE, 27 CM</v>
          </cell>
        </row>
        <row r="9689">
          <cell r="B9689" t="str">
            <v>32-841-23-07</v>
          </cell>
          <cell r="C9689" t="str">
            <v>PROBEEXZISIONSZANGE, GELLHORN, 24 CM</v>
          </cell>
          <cell r="D9689" t="str">
            <v>BIOPSY FORCEPS,  GELLHORN, 24 CM</v>
          </cell>
        </row>
        <row r="9690">
          <cell r="B9690" t="str">
            <v>32-843-21-07</v>
          </cell>
          <cell r="C9690" t="str">
            <v>PROBEEXZISIONSZANGE, FAURE, 21 CM</v>
          </cell>
          <cell r="D9690" t="str">
            <v>BIOPSY FORCEPS,  FAURE, 21 CM</v>
          </cell>
        </row>
        <row r="9691">
          <cell r="B9691" t="str">
            <v>32-846-21-07</v>
          </cell>
          <cell r="C9691" t="str">
            <v>PROBEEXZISIONSZANGE, SCHUBERT, 21,5 CM</v>
          </cell>
          <cell r="D9691" t="str">
            <v>BIOPSY FORCEPS,  SCHUBERT, 21.5 CM</v>
          </cell>
        </row>
        <row r="9692">
          <cell r="B9692" t="str">
            <v>32-846-28-07</v>
          </cell>
          <cell r="C9692" t="str">
            <v>PROBEEXZISIONSZANGE, SCHUBERT, 28 CM</v>
          </cell>
          <cell r="D9692" t="str">
            <v>BIOPSY FORCEPS,  SCHUBERT, 28 CM</v>
          </cell>
        </row>
        <row r="9693">
          <cell r="B9693" t="str">
            <v>32-851-22-07</v>
          </cell>
          <cell r="C9693" t="str">
            <v>PROBEEXZISIONSZANGE, THOMS-GAYLOR, 21 CM</v>
          </cell>
          <cell r="D9693" t="str">
            <v>BIOPSY FORCEPS,  THOMS-GAYLOR, 21 CM</v>
          </cell>
        </row>
        <row r="9694">
          <cell r="B9694" t="str">
            <v>32-851-24-07</v>
          </cell>
          <cell r="C9694" t="str">
            <v>PROBEEXZISIONSZANGE, THOMS-GAYLOR, 24 CM</v>
          </cell>
          <cell r="D9694" t="str">
            <v>BIOPSY FORCEPS,  THOMS-GAYLOR, 24 CM</v>
          </cell>
        </row>
        <row r="9695">
          <cell r="B9695" t="str">
            <v>32-853-26-07</v>
          </cell>
          <cell r="C9695" t="str">
            <v>PROBEEXZISIONSZANGE, SCHUBERT, 24CM</v>
          </cell>
          <cell r="D9695" t="str">
            <v>BIOPSY FORCEPS,  SCHUBERT, 24 CM</v>
          </cell>
        </row>
        <row r="9696">
          <cell r="B9696" t="str">
            <v>32-855-24-07</v>
          </cell>
          <cell r="C9696" t="str">
            <v>PROBEEXZISIONSZANGE, VAN DOREN, 27 CM</v>
          </cell>
          <cell r="D9696" t="str">
            <v>BIOPSY FORCEPS,  VAN DOREN, 27 CM</v>
          </cell>
        </row>
        <row r="9697">
          <cell r="B9697" t="str">
            <v>32-855-25-07</v>
          </cell>
          <cell r="C9697" t="str">
            <v>PROBEEXZISIONSZANGE, VAN DOREN, 25,5 CM</v>
          </cell>
          <cell r="D9697" t="str">
            <v>BIOPSY FORCEPS,  VAN DOREN, 25.5 CM</v>
          </cell>
        </row>
        <row r="9698">
          <cell r="B9698" t="str">
            <v>32-857-28-07</v>
          </cell>
          <cell r="C9698" t="str">
            <v>PROBEEXZISIONSZANGE, ALEXANDER, 28 CM</v>
          </cell>
          <cell r="D9698" t="str">
            <v>BIOPSY FORCEPS,  ALEXANDER, 28 CM</v>
          </cell>
        </row>
        <row r="9699">
          <cell r="B9699" t="str">
            <v>32-859-32-07</v>
          </cell>
          <cell r="C9699" t="str">
            <v>UTERUSBIOPSIEZANGE, KEVORKIAN, 25 CM</v>
          </cell>
          <cell r="D9699" t="str">
            <v>CERVICAL  BIOPSY FCPS., KEVORKIAN, 25 CM</v>
          </cell>
        </row>
        <row r="9700">
          <cell r="B9700" t="str">
            <v>32-861-02-07</v>
          </cell>
          <cell r="C9700" t="str">
            <v>PROBEEXZISIONSZANGE, SCHUMACHER, 24 CM</v>
          </cell>
          <cell r="D9700" t="str">
            <v>BIOPSY FORCEPS,  SCHUMACHER, 24 CM</v>
          </cell>
        </row>
        <row r="9701">
          <cell r="B9701" t="str">
            <v>32-865-00-07</v>
          </cell>
          <cell r="C9701" t="str">
            <v>PROBEEXZISIONSZANGE, SCHUMACHER, KPL.</v>
          </cell>
          <cell r="D9701" t="str">
            <v>BIOPSY FORCEPS,  SCHUMACHER, COMPL.</v>
          </cell>
        </row>
        <row r="9702">
          <cell r="B9702" t="str">
            <v>32-866-22-07</v>
          </cell>
          <cell r="C9702" t="str">
            <v>IUP-FASSZANGE, FLEXIBEL,  Ø 3,0 MM, 27 CM</v>
          </cell>
          <cell r="D9702" t="str">
            <v>IUP-REMOVAL FCPS., FLEX, Ø 3.0 MM, 27 CM</v>
          </cell>
        </row>
        <row r="9703">
          <cell r="B9703" t="str">
            <v>32-866-28-07</v>
          </cell>
          <cell r="C9703" t="str">
            <v>IUP-FASSZANGE, FLEXIBEL,  Ø 3,0 MM, 32 CM</v>
          </cell>
          <cell r="D9703" t="str">
            <v>IUP-REMOVAL FCPS., FLEX, Ø 3.0 MM, 32 CM</v>
          </cell>
        </row>
        <row r="9704">
          <cell r="B9704" t="str">
            <v>32-900-01-07</v>
          </cell>
          <cell r="C9704" t="str">
            <v>UTERUSLÖFFEL, SIMON, FIG. 1, 23 CM</v>
          </cell>
          <cell r="D9704" t="str">
            <v>UTERINE  SCOOP, SIMON, NO. 1, 23 CM</v>
          </cell>
        </row>
        <row r="9705">
          <cell r="B9705" t="str">
            <v>32-900-02-07</v>
          </cell>
          <cell r="C9705" t="str">
            <v>UTERUSLÖFFEL, SIMON, FIG. 2, 23,5 CM</v>
          </cell>
          <cell r="D9705" t="str">
            <v>UTERINE  SCOOP, SIMON, NO. 2, 23.5 CM</v>
          </cell>
        </row>
        <row r="9706">
          <cell r="B9706" t="str">
            <v>32-900-03-07</v>
          </cell>
          <cell r="C9706" t="str">
            <v>UTERUSLÖFFEL, SIMON, FIG. 3, 24 CM</v>
          </cell>
          <cell r="D9706" t="str">
            <v>UTERINE  SCOOP, SIMON, NO. 3, 24 CM</v>
          </cell>
        </row>
        <row r="9707">
          <cell r="B9707" t="str">
            <v>32-900-04-07</v>
          </cell>
          <cell r="C9707" t="str">
            <v>UTERUSLÖFFEL, SIMON, FIG. 4, 24 CM</v>
          </cell>
          <cell r="D9707" t="str">
            <v>UTERINE  SCOOP, SIMON, NO. 4, 24 CM</v>
          </cell>
        </row>
        <row r="9708">
          <cell r="B9708" t="str">
            <v>32-900-05-07</v>
          </cell>
          <cell r="C9708" t="str">
            <v>UTERUSLÖFFEL, SIMON, FIG. 5, 24 CM</v>
          </cell>
          <cell r="D9708" t="str">
            <v>UTERINE  SCOOP, SIMON, NO. 5, 24 CM</v>
          </cell>
        </row>
        <row r="9709">
          <cell r="B9709" t="str">
            <v>32-900-06-07</v>
          </cell>
          <cell r="C9709" t="str">
            <v>UTERUSLÖFFEL, SIMON, FIG. 6, 24 CM</v>
          </cell>
          <cell r="D9709" t="str">
            <v>UTERINE  SCOOP, SIMON, NO. 6, 24 CM</v>
          </cell>
        </row>
        <row r="9710">
          <cell r="B9710" t="str">
            <v>32-906-01-07</v>
          </cell>
          <cell r="C9710" t="str">
            <v>UTERUSLÖFFEL, SCHRÖDER, FIG. 1, 30 CM</v>
          </cell>
          <cell r="D9710" t="str">
            <v>UTERINE  SCOOP, SCHROEDER, NO. 1, 30 CM</v>
          </cell>
        </row>
        <row r="9711">
          <cell r="B9711" t="str">
            <v>32-906-02-07</v>
          </cell>
          <cell r="C9711" t="str">
            <v>UTERUSLÖFFEL, SCHRÖDER, FIG. 2, 30 CM</v>
          </cell>
          <cell r="D9711" t="str">
            <v>UTERINE  SCOOP, SCHROEDER, NO. 2, 30 CM</v>
          </cell>
        </row>
        <row r="9712">
          <cell r="B9712" t="str">
            <v>32-906-03-07</v>
          </cell>
          <cell r="C9712" t="str">
            <v>UTERUSLÖFFEL, SCHRÖDER, FIG. 3, 30 CM</v>
          </cell>
          <cell r="D9712" t="str">
            <v>UTERINE  SCOOP, SCHROEDER, NO. 3, 30 CM</v>
          </cell>
        </row>
        <row r="9713">
          <cell r="B9713" t="str">
            <v>32-906-04-07</v>
          </cell>
          <cell r="C9713" t="str">
            <v>UTERUSLÖFFEL, SCHRÖDER, FIG. 4, 30 CM</v>
          </cell>
          <cell r="D9713" t="str">
            <v>UTERINE  SCOOP, SCHROEDER, NO. 4, 30 CM</v>
          </cell>
        </row>
        <row r="9714">
          <cell r="B9714" t="str">
            <v>32-906-05-07</v>
          </cell>
          <cell r="C9714" t="str">
            <v>UTERUSLÖFFEL, SCHRÖDER, FIG. 5, 30 CM</v>
          </cell>
          <cell r="D9714" t="str">
            <v>UTERINE  SCOOP, SCHROEDER, NO. 5, 30 CM</v>
          </cell>
        </row>
        <row r="9715">
          <cell r="B9715" t="str">
            <v>32-906-06-07</v>
          </cell>
          <cell r="C9715" t="str">
            <v>UTERUSLÖFFEL, SCHRÖDER, FIG. 6, 30 CM</v>
          </cell>
          <cell r="D9715" t="str">
            <v>UTERINE  SCOOP, SCHROEDER, NO. 6, 30 CM</v>
          </cell>
        </row>
        <row r="9716">
          <cell r="B9716" t="str">
            <v>32-919-00-07</v>
          </cell>
          <cell r="C9716" t="str">
            <v>DOPPELKÜRETTE, BLAKE, SCH/ST, 8/13 MM</v>
          </cell>
          <cell r="D9716" t="str">
            <v>CURETTE,  DOUBLE.  BLAKE, SH/BL, 8/13 MM</v>
          </cell>
        </row>
        <row r="9717">
          <cell r="B9717" t="str">
            <v>32-920-05-07</v>
          </cell>
          <cell r="C9717" t="str">
            <v>UTERUSKÜRETTE, 5 MM, SCH., FEST, 30 CM</v>
          </cell>
          <cell r="D9717" t="str">
            <v>UTER. CURETTE,  5 MM, SH., RIG., 30 CM</v>
          </cell>
        </row>
        <row r="9718">
          <cell r="B9718" t="str">
            <v>32-920-06-07</v>
          </cell>
          <cell r="C9718" t="str">
            <v>UTERUSKÜRETTE, 6 MM, SCH., FEST, 30,5 CM</v>
          </cell>
          <cell r="D9718" t="str">
            <v>UTER. CURETTE,  6 MM, SH., RIG., 30.5 CM</v>
          </cell>
        </row>
        <row r="9719">
          <cell r="B9719" t="str">
            <v>32-920-07-07</v>
          </cell>
          <cell r="C9719" t="str">
            <v>UTERUSKÜRETTE, 7 MM, SCH., FEST, 30,5 CM</v>
          </cell>
          <cell r="D9719" t="str">
            <v>UTER. CURETTE,  7 MM, SH., RIG., 30.5 CM</v>
          </cell>
        </row>
        <row r="9720">
          <cell r="B9720" t="str">
            <v>32-920-08-07</v>
          </cell>
          <cell r="C9720" t="str">
            <v>UTERUSKÜRETTE, 8 MM, SCH., FEST, 30,5 CM</v>
          </cell>
          <cell r="D9720" t="str">
            <v>UTER. CURETTE,  8 MM, SH., RIG., 30.5CM</v>
          </cell>
        </row>
        <row r="9721">
          <cell r="B9721" t="str">
            <v>32-920-09-07</v>
          </cell>
          <cell r="C9721" t="str">
            <v>UTERUSKÜRETTE, 9 MM, SCH., FEST, 31 CM</v>
          </cell>
          <cell r="D9721" t="str">
            <v>UTER. CURETTE,  9 MM, SH., RIG., 31 CM</v>
          </cell>
        </row>
        <row r="9722">
          <cell r="B9722" t="str">
            <v>32-920-11-07</v>
          </cell>
          <cell r="C9722" t="str">
            <v>UTERUSKÜRETTE, 11 MM, SCH., FEST, 31 CM</v>
          </cell>
          <cell r="D9722" t="str">
            <v>UTER. CURETTE,  11 MM, SH., RIG., 31 CM</v>
          </cell>
        </row>
        <row r="9723">
          <cell r="B9723" t="str">
            <v>32-920-12-07</v>
          </cell>
          <cell r="C9723" t="str">
            <v>UTERUSKÜRETTE, 12 MM, SCH., FEST, 31,5CM</v>
          </cell>
          <cell r="D9723" t="str">
            <v>UTER. CURETTE,  12 MM, SH., RIG., 31.5 CM</v>
          </cell>
        </row>
        <row r="9724">
          <cell r="B9724" t="str">
            <v>32-920-14-07</v>
          </cell>
          <cell r="C9724" t="str">
            <v>UTERUSKÜRETTE, 14 MM, SCH., FEST, 31,5CM</v>
          </cell>
          <cell r="D9724" t="str">
            <v>UTER. CURETTE,  14 MM, SH., RIG., 31.5 CM</v>
          </cell>
        </row>
        <row r="9725">
          <cell r="B9725" t="str">
            <v>32-920-15-07</v>
          </cell>
          <cell r="C9725" t="str">
            <v>UTERUSKÜRETTE, 15 MM, SCH., FEST, 32 CM</v>
          </cell>
          <cell r="D9725" t="str">
            <v>UTER. CURETTE,  15 MM, SH., RIG., 32 CM</v>
          </cell>
        </row>
        <row r="9726">
          <cell r="B9726" t="str">
            <v>32-920-16-07</v>
          </cell>
          <cell r="C9726" t="str">
            <v>UTERUSKÜRETTE, 16 MM, SCH., FEST, 32 CM</v>
          </cell>
          <cell r="D9726" t="str">
            <v>UTER. CURETTE,  16 MM, SH., RIG., 32 CM</v>
          </cell>
        </row>
        <row r="9727">
          <cell r="B9727" t="str">
            <v>32-920-19-07</v>
          </cell>
          <cell r="C9727" t="str">
            <v>UTERUSKÜRETTE, 19 MM, SCH., FEST, 32 CM</v>
          </cell>
          <cell r="D9727" t="str">
            <v>UTER. CURETTE,  19 MM, SH., RIG., 32 CM</v>
          </cell>
        </row>
        <row r="9728">
          <cell r="B9728" t="str">
            <v>32-920-20-07</v>
          </cell>
          <cell r="C9728" t="str">
            <v>UTERUSKÜRETTE, 20 MM, SCH., FEST, 32 CM</v>
          </cell>
          <cell r="D9728" t="str">
            <v>UTER. CURETTE,  20 MM, SH., RIG., 32 CM</v>
          </cell>
        </row>
        <row r="9729">
          <cell r="B9729" t="str">
            <v>32-920-21-07</v>
          </cell>
          <cell r="C9729" t="str">
            <v>UTERUSKÜRETTE, 21 MM, SCH., FEST, 32 CM</v>
          </cell>
          <cell r="D9729" t="str">
            <v>UTER. CURETTE,  21 MM, SH., RIG., 32 CM</v>
          </cell>
        </row>
        <row r="9730">
          <cell r="B9730" t="str">
            <v>32-920-23-07</v>
          </cell>
          <cell r="C9730" t="str">
            <v>UTERUSKÜRETTE, 23 MM, SCH., FEST, 32 CM</v>
          </cell>
          <cell r="D9730" t="str">
            <v>UTER. CURETTE,  23 MM, SH., RIG., 32 CM</v>
          </cell>
        </row>
        <row r="9731">
          <cell r="B9731" t="str">
            <v>32-920-25-07</v>
          </cell>
          <cell r="C9731" t="str">
            <v>UTERUSKÜRETTE, 25 MM, SCH., FEST, 34 CM</v>
          </cell>
          <cell r="D9731" t="str">
            <v>UTER. CURETTE,  25 MM, SH., RIG., 34 CM</v>
          </cell>
        </row>
        <row r="9732">
          <cell r="B9732" t="str">
            <v>32-920-30-07</v>
          </cell>
          <cell r="C9732" t="str">
            <v>UTERUSKÜRETTE, 30 MM, SCH., FEST, 34,5CM</v>
          </cell>
          <cell r="D9732" t="str">
            <v>UTER. CURETTE,  30 MM, SH., RIG., 34.5 CM</v>
          </cell>
        </row>
        <row r="9733">
          <cell r="B9733" t="str">
            <v>32-920-35-07</v>
          </cell>
          <cell r="C9733" t="str">
            <v>UTERUSKÜRETTE, 35 MM, SCH., FEST, 34,5CM</v>
          </cell>
          <cell r="D9733" t="str">
            <v>UTER. CURETTE,  35 MM, SH., RIG., 34.5 CM</v>
          </cell>
        </row>
        <row r="9734">
          <cell r="B9734" t="str">
            <v>32-920-40-07</v>
          </cell>
          <cell r="C9734" t="str">
            <v>UTERUSKÜRETTE, 40 MM, SCH., FEST, 35 CM</v>
          </cell>
          <cell r="D9734" t="str">
            <v>UTER. CURETTE,  40 MM, SH., RIG., 35 CM</v>
          </cell>
        </row>
        <row r="9735">
          <cell r="B9735" t="str">
            <v>32-921-05-07</v>
          </cell>
          <cell r="C9735" t="str">
            <v>UTERUSKÜRETTE, 5 MM, SCH., BIEG., 30 CM</v>
          </cell>
          <cell r="D9735" t="str">
            <v>UTER. CURETTE,  5 MM, SH., MALL., 30 CM</v>
          </cell>
        </row>
        <row r="9736">
          <cell r="B9736" t="str">
            <v>32-921-06-07</v>
          </cell>
          <cell r="C9736" t="str">
            <v>UTERUSKÜRETTE, 6 MM, SCH., BIEG., 30 CM</v>
          </cell>
          <cell r="D9736" t="str">
            <v>UTER. CURETTE,  6 MM, SH., MALL., 30 CM</v>
          </cell>
        </row>
        <row r="9737">
          <cell r="B9737" t="str">
            <v>32-921-07-07</v>
          </cell>
          <cell r="C9737" t="str">
            <v>UTERUSKÜRETTE, 7 MM, SCH., BIEG., 30,5CM</v>
          </cell>
          <cell r="D9737" t="str">
            <v>UTER. CURETTE,  7 MM, SH., MALL., 30.5 CM</v>
          </cell>
        </row>
        <row r="9738">
          <cell r="B9738" t="str">
            <v>32-921-08-07</v>
          </cell>
          <cell r="C9738" t="str">
            <v>UTERUSKÜRETTE, 8 MM, SCH., BIEG., 30,5CM</v>
          </cell>
          <cell r="D9738" t="str">
            <v>UTER. CURETTE,  8 MM, SH., MALL., 30.5 CM</v>
          </cell>
        </row>
        <row r="9739">
          <cell r="B9739" t="str">
            <v>32-921-09-07</v>
          </cell>
          <cell r="C9739" t="str">
            <v>UTERUSKÜRETTE, 9 MM, SCH., BIEG., 31 CM</v>
          </cell>
          <cell r="D9739" t="str">
            <v>UTER. CURETTE,  9 MM, SH., MALL., 31 CM</v>
          </cell>
        </row>
        <row r="9740">
          <cell r="B9740" t="str">
            <v>32-921-11-07</v>
          </cell>
          <cell r="C9740" t="str">
            <v>UTERUSKÜRETTE, 11 MM, SCH., BIEG, 31,5CM</v>
          </cell>
          <cell r="D9740" t="str">
            <v>UTER. CURETTE,  11 MM, SH., MALL, 31.5 CM</v>
          </cell>
        </row>
        <row r="9741">
          <cell r="B9741" t="str">
            <v>32-921-12-07</v>
          </cell>
          <cell r="C9741" t="str">
            <v>UTERUSKÜRETTE, 12 MM, SCH., BIEG, 31,5CM</v>
          </cell>
          <cell r="D9741" t="str">
            <v>UTER. CURETTE,  12 MM, SH., MALL, 31.5 CM</v>
          </cell>
        </row>
        <row r="9742">
          <cell r="B9742" t="str">
            <v>32-921-14-07</v>
          </cell>
          <cell r="C9742" t="str">
            <v>UTERUSKÜRETTE, 14 MM, SCH., BIEG, 31,5CM</v>
          </cell>
          <cell r="D9742" t="str">
            <v>UTER. CURETTE,  14 MM, SH., MALL, 31.5 CM</v>
          </cell>
        </row>
        <row r="9743">
          <cell r="B9743" t="str">
            <v>32-921-15-07</v>
          </cell>
          <cell r="C9743" t="str">
            <v>UTERUSKÜRETTE, 15 MM, SCH., BIEG., 32 CM</v>
          </cell>
          <cell r="D9743" t="str">
            <v>UTER. CURETTE,  15 MM, SH., MALL., 32 CM</v>
          </cell>
        </row>
        <row r="9744">
          <cell r="B9744" t="str">
            <v>32-921-16-07</v>
          </cell>
          <cell r="C9744" t="str">
            <v>UTERUSKÜRETTE, 16 MM, SCH., BIEG., 32 CM</v>
          </cell>
          <cell r="D9744" t="str">
            <v>UTER. CURETTE,  16 MM, SH., MALL., 32 CM</v>
          </cell>
        </row>
        <row r="9745">
          <cell r="B9745" t="str">
            <v>32-921-19-07</v>
          </cell>
          <cell r="C9745" t="str">
            <v>UTERUSKÜRETTE, 19 MM, SCH., BIEG., 32 CM</v>
          </cell>
          <cell r="D9745" t="str">
            <v>UTER. CURETTE,  19 MM, SH., MALL., 32 CM</v>
          </cell>
        </row>
        <row r="9746">
          <cell r="B9746" t="str">
            <v>32-921-20-07</v>
          </cell>
          <cell r="C9746" t="str">
            <v>UTERUSKÜRETTE, 20 MM, SCH., BIEG., 32 CM</v>
          </cell>
          <cell r="D9746" t="str">
            <v>UTER. CURETTE,  20 MM, SH., MALL., 32 CM</v>
          </cell>
        </row>
        <row r="9747">
          <cell r="B9747" t="str">
            <v>32-921-21-07</v>
          </cell>
          <cell r="C9747" t="str">
            <v>UTERUSKÜRETTE, 21 MM, SCH., BIEG., 32 CM</v>
          </cell>
          <cell r="D9747" t="str">
            <v>UTER. CURETTE,  21 MM, SH., MALL., 32 CM</v>
          </cell>
        </row>
        <row r="9748">
          <cell r="B9748" t="str">
            <v>32-921-23-07</v>
          </cell>
          <cell r="C9748" t="str">
            <v>UTERUSKÜRETTE, 23 MM, SCH., BIEG., 32 CM</v>
          </cell>
          <cell r="D9748" t="str">
            <v>UTER. CURETTE,  23 MM, SH., MALL., 32 CM</v>
          </cell>
        </row>
        <row r="9749">
          <cell r="B9749" t="str">
            <v>32-921-25-07</v>
          </cell>
          <cell r="C9749" t="str">
            <v>UTERUSKÜRETTE, 25 MM, SCH., BIEG., 34 CM</v>
          </cell>
          <cell r="D9749" t="str">
            <v>UTER. CURETTE,  25 MM, SH., MALL., 34 CM</v>
          </cell>
        </row>
        <row r="9750">
          <cell r="B9750" t="str">
            <v>32-921-30-07</v>
          </cell>
          <cell r="C9750" t="str">
            <v>UTERUSKÜRETTE, 30 MM, SCH., BIEG, 34,5CM</v>
          </cell>
          <cell r="D9750" t="str">
            <v>UTER. CURETTE,  30 MM, SH., MALL, 34.5 CM</v>
          </cell>
        </row>
        <row r="9751">
          <cell r="B9751" t="str">
            <v>32-921-35-07</v>
          </cell>
          <cell r="C9751" t="str">
            <v>UTERUSKÜRETTE, 35 MM, SCH., BIEG, 34,5CM</v>
          </cell>
          <cell r="D9751" t="str">
            <v>UTER. CURETTE,  35 MM, SH., MALL, 34.5 CM</v>
          </cell>
        </row>
        <row r="9752">
          <cell r="B9752" t="str">
            <v>32-921-40-07</v>
          </cell>
          <cell r="C9752" t="str">
            <v>UTERUSKÜRETTE, 40 MM, SCH., BIEG., 35 CM</v>
          </cell>
          <cell r="D9752" t="str">
            <v>UTER. CURETTE,  40 MM, SH., MALL., 35 CM</v>
          </cell>
        </row>
        <row r="9753">
          <cell r="B9753" t="str">
            <v>32-924-10-07</v>
          </cell>
          <cell r="C9753" t="str">
            <v>UTERUSKÜRETTE, GREENE, 10 MM, 28 CM</v>
          </cell>
          <cell r="D9753" t="str">
            <v>UTER. CURETTE,  GREENE, 10 MM, 28 CM</v>
          </cell>
        </row>
        <row r="9754">
          <cell r="B9754" t="str">
            <v>32-924-12-07</v>
          </cell>
          <cell r="C9754" t="str">
            <v>UTERUSKÜRETTE, GREENE, 12 MM, 28 CM</v>
          </cell>
          <cell r="D9754" t="str">
            <v>UTERINE  CURETTE,  GREENE, 12 MM, 28 CM</v>
          </cell>
        </row>
        <row r="9755">
          <cell r="B9755" t="str">
            <v>32-924-14-07</v>
          </cell>
          <cell r="C9755" t="str">
            <v>UTERUSKÜRETTE, GREENE, 14 MM, 28 CM</v>
          </cell>
          <cell r="D9755" t="str">
            <v>UTERINE  CURETTE,  GREENE, 14 MM, 28 CM</v>
          </cell>
        </row>
        <row r="9756">
          <cell r="B9756" t="str">
            <v>32-926-05-07</v>
          </cell>
          <cell r="C9756" t="str">
            <v>UTERUSKÜRETTE, 5 MM, ST., FEST, 30 CM</v>
          </cell>
          <cell r="D9756" t="str">
            <v>UTER. CURETTE,  5 MM, BL., RIG., 30 CM</v>
          </cell>
        </row>
        <row r="9757">
          <cell r="B9757" t="str">
            <v>32-926-06-07</v>
          </cell>
          <cell r="C9757" t="str">
            <v>UTERUSKÜRETTE, 6 MM, ST., FEST, 30,5 CM</v>
          </cell>
          <cell r="D9757" t="str">
            <v>UTER. CURETTE,  6 MM, BL., RIG., 30.5 CM</v>
          </cell>
        </row>
        <row r="9758">
          <cell r="B9758" t="str">
            <v>32-926-07-07</v>
          </cell>
          <cell r="C9758" t="str">
            <v>UTERUSKÜRETTE, 7 MM, ST., FEST, 30,5 CM</v>
          </cell>
          <cell r="D9758" t="str">
            <v>UTER. CURETTE,  7 MM, BL., RIG., 30.5 CM</v>
          </cell>
        </row>
        <row r="9759">
          <cell r="B9759" t="str">
            <v>32-926-08-07</v>
          </cell>
          <cell r="C9759" t="str">
            <v>UTERUSKÜRETTE, 8 MM, ST., FEST, 30,5 CM</v>
          </cell>
          <cell r="D9759" t="str">
            <v>UTER. CURETTE,  8 MM, BL., RIG., 30.5 CM</v>
          </cell>
        </row>
        <row r="9760">
          <cell r="B9760" t="str">
            <v>32-926-09-07</v>
          </cell>
          <cell r="C9760" t="str">
            <v>UTERUSKÜRETTE, 9 MM, ST., FEST, 31 CM</v>
          </cell>
          <cell r="D9760" t="str">
            <v>UTER. CURETTE,  9 MM, BL., RIG., 31 CM</v>
          </cell>
        </row>
        <row r="9761">
          <cell r="B9761" t="str">
            <v>32-926-11-07</v>
          </cell>
          <cell r="C9761" t="str">
            <v>UTERUSKÜRETTE, 11 MM, ST., FEST, 31 CM</v>
          </cell>
          <cell r="D9761" t="str">
            <v>UTER. CURETTE,  11 MM, BL., RIG., 31 CM</v>
          </cell>
        </row>
        <row r="9762">
          <cell r="B9762" t="str">
            <v>32-926-12-07</v>
          </cell>
          <cell r="C9762" t="str">
            <v>UTERUSKÜRETTE, 12 MM, ST., FEST, 31 CM</v>
          </cell>
          <cell r="D9762" t="str">
            <v>UTER. CURETTE,  12 MM, BL., RIG., 31 CM</v>
          </cell>
        </row>
        <row r="9763">
          <cell r="B9763" t="str">
            <v>32-926-14-07</v>
          </cell>
          <cell r="C9763" t="str">
            <v>UTERUSKÜRETTE, 14 MM, ST., FEST, 31 CM</v>
          </cell>
          <cell r="D9763" t="str">
            <v>UTER. CURETTE,  14 MM, BL., RIG., 31 CM</v>
          </cell>
        </row>
        <row r="9764">
          <cell r="B9764" t="str">
            <v>32-926-15-07</v>
          </cell>
          <cell r="C9764" t="str">
            <v>UTERUSKÜRETTE, 15 MM, ST., FEST, 31 CM</v>
          </cell>
          <cell r="D9764" t="str">
            <v>UTER. CURETTE,  15 MM, BL., RIG., 31 CM</v>
          </cell>
        </row>
        <row r="9765">
          <cell r="B9765" t="str">
            <v>32-926-16-07</v>
          </cell>
          <cell r="C9765" t="str">
            <v>UTERUSKÜRETTE, 16 MM, ST., FEST, 31 CM</v>
          </cell>
          <cell r="D9765" t="str">
            <v>UTER. CURETTE,  16 MM, BL., RIG., 31 CM</v>
          </cell>
        </row>
        <row r="9766">
          <cell r="B9766" t="str">
            <v>32-926-19-07</v>
          </cell>
          <cell r="C9766" t="str">
            <v>2TERUSKÜRETTE, 19 MM, ST., FEST, 31 CM</v>
          </cell>
          <cell r="D9766" t="str">
            <v>UTER. CURETTE,  19 MM, BL., RIG., 31 CM</v>
          </cell>
        </row>
        <row r="9767">
          <cell r="B9767" t="str">
            <v>32-926-20-07</v>
          </cell>
          <cell r="C9767" t="str">
            <v>UTERUSKÜRETTE, 20 MM, ST., FEST, 31 CM</v>
          </cell>
          <cell r="D9767" t="str">
            <v>UTER. CURETTE,  20 MM, BL., RIG., 31 CM</v>
          </cell>
        </row>
        <row r="9768">
          <cell r="B9768" t="str">
            <v>32-926-21-07</v>
          </cell>
          <cell r="C9768" t="str">
            <v>UTERUSKÜRETTE, 21 MM, ST., FEST, 31 CM</v>
          </cell>
          <cell r="D9768" t="str">
            <v>UTER. CURETTE,  21 MM, BL., RIG., 31 CM</v>
          </cell>
        </row>
        <row r="9769">
          <cell r="B9769" t="str">
            <v>32-926-23-07</v>
          </cell>
          <cell r="C9769" t="str">
            <v>UTERUSKÜRETTE, 23 MM, ST., FEST, 31 CM</v>
          </cell>
          <cell r="D9769" t="str">
            <v>UTER. CURETTE,  23 MM, BL., RIG., 31 CM</v>
          </cell>
        </row>
        <row r="9770">
          <cell r="B9770" t="str">
            <v>32-926-25-07</v>
          </cell>
          <cell r="C9770" t="str">
            <v>UTERUSKÜRETTE, 25 MM, ST., FEST, 33,5 CM</v>
          </cell>
          <cell r="D9770" t="str">
            <v>UTER. CURETTE,  25 MM, BL., RIG., 33.5 CM</v>
          </cell>
        </row>
        <row r="9771">
          <cell r="B9771" t="str">
            <v>32-926-30-07</v>
          </cell>
          <cell r="C9771" t="str">
            <v>UTERUSKÜRETTE, 30 MM, ST., FEST, 33,5 CM</v>
          </cell>
          <cell r="D9771" t="str">
            <v>UTER. CURETTE,  30 MM, BL., RIG., 33.5 CM</v>
          </cell>
        </row>
        <row r="9772">
          <cell r="B9772" t="str">
            <v>32-926-35-07</v>
          </cell>
          <cell r="C9772" t="str">
            <v>UTERUSKÜRETTE, 35 MM, ST., FEST, 34,5 CM</v>
          </cell>
          <cell r="D9772" t="str">
            <v>UTER. CURETTE,  35 MM, BL., RIG., 34.5 CM</v>
          </cell>
        </row>
        <row r="9773">
          <cell r="B9773" t="str">
            <v>32-926-40-07</v>
          </cell>
          <cell r="C9773" t="str">
            <v>UTERUSKÜRETTE, 40 MM, ST., FEST, 35,5 CM</v>
          </cell>
          <cell r="D9773" t="str">
            <v>UTER. CURETTE,  40 MM, BL., RIG., 35.5 CM</v>
          </cell>
        </row>
        <row r="9774">
          <cell r="B9774" t="str">
            <v>32-927-05-07</v>
          </cell>
          <cell r="C9774" t="str">
            <v>UTERUSKÜRETTE, 5 MM, ST., BIEG., 30 CM</v>
          </cell>
          <cell r="D9774" t="str">
            <v>UTER. CURETTE,  5 MM, BL., MALL., 30 CM</v>
          </cell>
        </row>
        <row r="9775">
          <cell r="B9775" t="str">
            <v>32-927-06-07</v>
          </cell>
          <cell r="C9775" t="str">
            <v>UTERUSKÜRETTE, 6 MM, ST., BIEG., 30,5 CM</v>
          </cell>
          <cell r="D9775" t="str">
            <v>UTER. CURETTE,  6 MM, BL., MALL., 30.5 CM</v>
          </cell>
        </row>
        <row r="9776">
          <cell r="B9776" t="str">
            <v>32-927-07-07</v>
          </cell>
          <cell r="C9776" t="str">
            <v>UTERUSKÜRETTE, 7 MM, ST., BIEG., 30,5 CM</v>
          </cell>
          <cell r="D9776" t="str">
            <v>UTER. CURETTE,  7 MM, BL., MALL., 30.5 CM</v>
          </cell>
        </row>
        <row r="9777">
          <cell r="B9777" t="str">
            <v>32-927-08-07</v>
          </cell>
          <cell r="C9777" t="str">
            <v>UTERUSKÜRETTE, 8 MM, ST., BIEG., 30,5 CM</v>
          </cell>
          <cell r="D9777" t="str">
            <v>UTER. CURETTE,  8 MM, BL., MALL., 30.5 CM</v>
          </cell>
        </row>
        <row r="9778">
          <cell r="B9778" t="str">
            <v>32-927-09-07</v>
          </cell>
          <cell r="C9778" t="str">
            <v>UTERUSKÜRETTE, 9 MM, ST., BIEG., 31 CM</v>
          </cell>
          <cell r="D9778" t="str">
            <v>UTER. CURETTE,  9 MM, BL., MALL., 31 CM</v>
          </cell>
        </row>
        <row r="9779">
          <cell r="B9779" t="str">
            <v>32-927-11-07</v>
          </cell>
          <cell r="C9779" t="str">
            <v>UTERUSKÜRETTE, 11 MM, ST., BIEG., 31 CM</v>
          </cell>
          <cell r="D9779" t="str">
            <v>UTER. CURETTE,  11 MM, BL., MALL., 31 CM</v>
          </cell>
        </row>
        <row r="9780">
          <cell r="B9780" t="str">
            <v>32-927-12-07</v>
          </cell>
          <cell r="C9780" t="str">
            <v>UTERUSKÜRETTE, 12 MM, ST., BIEG., 31,5CM</v>
          </cell>
          <cell r="D9780" t="str">
            <v>UTER. CURETTE,  12 MM, BL, MALL., 31.5 CM</v>
          </cell>
        </row>
        <row r="9781">
          <cell r="B9781" t="str">
            <v>32-927-14-07</v>
          </cell>
          <cell r="C9781" t="str">
            <v>UTERUSKÜRETTE, 14 MM, ST., BIEG., 31,5CM</v>
          </cell>
          <cell r="D9781" t="str">
            <v>UTER. CURETTE,  14 MM, BL, MALL., 31.5 CM</v>
          </cell>
        </row>
        <row r="9782">
          <cell r="B9782" t="str">
            <v>32-927-15-07</v>
          </cell>
          <cell r="C9782" t="str">
            <v>UTERUSKÜRETTE, 15 MM, ST., BIEG., 32 CM</v>
          </cell>
          <cell r="D9782" t="str">
            <v>UTER. CURETTE,  15 MM, BL., MALL., 32 CM</v>
          </cell>
        </row>
        <row r="9783">
          <cell r="B9783" t="str">
            <v>32-927-16-07</v>
          </cell>
          <cell r="C9783" t="str">
            <v>UTERUSKÜRETTE, 16 MM, ST., BIEG., 31 CM</v>
          </cell>
          <cell r="D9783" t="str">
            <v>UTER. CURETTE,  16 MM, BL., MALL., 31 CM</v>
          </cell>
        </row>
        <row r="9784">
          <cell r="B9784" t="str">
            <v>32-927-19-07</v>
          </cell>
          <cell r="C9784" t="str">
            <v>UTERUSKÜRETTE, 19 MM, ST., BIEG., 31 CM</v>
          </cell>
          <cell r="D9784" t="str">
            <v>UTER. CURETTE,  19 MM, BL., MALL., 31 CM</v>
          </cell>
        </row>
        <row r="9785">
          <cell r="B9785" t="str">
            <v>32-927-20-07</v>
          </cell>
          <cell r="C9785" t="str">
            <v>UTERUSKÜRETTE, 20 MM, ST., BIEG., 31 CM</v>
          </cell>
          <cell r="D9785" t="str">
            <v>UTER. CURETTE,  20 MM, BL., MALL., 31 CM</v>
          </cell>
        </row>
        <row r="9786">
          <cell r="B9786" t="str">
            <v>32-927-21-07</v>
          </cell>
          <cell r="C9786" t="str">
            <v>UTERUSKÜRETTE, 21 MM, ST., BIEG., 31 CM</v>
          </cell>
          <cell r="D9786" t="str">
            <v>UTER. CURETTE,  21 MM, BL., MALL., 31 CM</v>
          </cell>
        </row>
        <row r="9787">
          <cell r="B9787" t="str">
            <v>32-927-23-07</v>
          </cell>
          <cell r="C9787" t="str">
            <v>UTERUSKÜRETTE, 23 MM, ST., BIEG., 33 CM</v>
          </cell>
          <cell r="D9787" t="str">
            <v>UTER. CURETTE,  23 MM, BL., MALL., 33 CM</v>
          </cell>
        </row>
        <row r="9788">
          <cell r="B9788" t="str">
            <v>32-927-25-07</v>
          </cell>
          <cell r="C9788" t="str">
            <v>UTERUSKÜRETTE, 25 MM, ST., BIEG., 33,5CM</v>
          </cell>
          <cell r="D9788" t="str">
            <v>UTER. CURETTE,  25 MM, BL, MALL., 33.5 CM</v>
          </cell>
        </row>
        <row r="9789">
          <cell r="B9789" t="str">
            <v>32-927-30-07</v>
          </cell>
          <cell r="C9789" t="str">
            <v>UTERUSKÜRETTE, 30 MM, ST., BIEG., 34 CM</v>
          </cell>
          <cell r="D9789" t="str">
            <v>UTER. CURETTE,  30 MM, BL., MALL., 34 CM</v>
          </cell>
        </row>
        <row r="9790">
          <cell r="B9790" t="str">
            <v>32-927-35-07</v>
          </cell>
          <cell r="C9790" t="str">
            <v>UTERUSKÜRETTE, 35 MM, ST., BIEG., 34,5CM</v>
          </cell>
          <cell r="D9790" t="str">
            <v>UTER. CURETTE,  35 MM, BL, MALL., 34.5 CM</v>
          </cell>
        </row>
        <row r="9791">
          <cell r="B9791" t="str">
            <v>32-927-40-07</v>
          </cell>
          <cell r="C9791" t="str">
            <v>UTERUSKÜRETTE, 40 MM, ST., BIEG., 35,5CM</v>
          </cell>
          <cell r="D9791" t="str">
            <v>UTER. CURETTE,  40 MM, BL, MALL., 35.5 CM</v>
          </cell>
        </row>
        <row r="9792">
          <cell r="B9792" t="str">
            <v>32-989-03-01</v>
          </cell>
          <cell r="C9792" t="str">
            <v>Absaugkürette, ø 3,0 mm, 29 cm</v>
          </cell>
          <cell r="D9792" t="str">
            <v>Suction curette, ø 3.0 mm, 29 cm</v>
          </cell>
        </row>
        <row r="9793">
          <cell r="B9793" t="str">
            <v>32-989-04-01</v>
          </cell>
          <cell r="C9793" t="str">
            <v>Absaugkürette, ø 4,5 mm, 29 cm</v>
          </cell>
          <cell r="D9793" t="str">
            <v>Suction curette, ø 4.5 mm, 29 cm</v>
          </cell>
        </row>
        <row r="9794">
          <cell r="B9794" t="str">
            <v>32-989-06-01</v>
          </cell>
          <cell r="C9794" t="str">
            <v>Absaugkürette, ø 6,0 mm, 29 cm</v>
          </cell>
          <cell r="D9794" t="str">
            <v>Suction curette, ø 6.0 mm, 29 cm</v>
          </cell>
        </row>
        <row r="9795">
          <cell r="B9795" t="str">
            <v>32-989-08-01</v>
          </cell>
          <cell r="C9795" t="str">
            <v>Absaugkürette, ø 8,0 mm, 29 cm</v>
          </cell>
          <cell r="D9795" t="str">
            <v>Suction curette, ø 8.0 mm, 29 cm</v>
          </cell>
        </row>
        <row r="9796">
          <cell r="B9796" t="str">
            <v>32-989-10-01</v>
          </cell>
          <cell r="C9796" t="str">
            <v>Absaugkürette, ø 10,0 mm, 29 cm</v>
          </cell>
          <cell r="D9796" t="str">
            <v>Suction curette, ø 10.0 mm, 29 cm</v>
          </cell>
        </row>
        <row r="9797">
          <cell r="B9797" t="str">
            <v>32-989-12-01</v>
          </cell>
          <cell r="C9797" t="str">
            <v>Absaugkürette, ø 12,0 mm, 29 cm</v>
          </cell>
          <cell r="D9797" t="str">
            <v>Suction curette, ø 12.0 mm, 29 cm</v>
          </cell>
        </row>
        <row r="9798">
          <cell r="B9798" t="str">
            <v>32-989-14-01</v>
          </cell>
          <cell r="C9798" t="str">
            <v>Absaugkürette, ø 14,0 mm, 29 cm</v>
          </cell>
          <cell r="D9798" t="str">
            <v>Suction curette, ø 14.0 mm, 29 cm</v>
          </cell>
        </row>
        <row r="9799">
          <cell r="B9799" t="str">
            <v>32-989-50-01</v>
          </cell>
          <cell r="C9799" t="str">
            <v>KUPPLUNGSSTÜCK, GEWINKELT, 11 CM</v>
          </cell>
          <cell r="D9799" t="str">
            <v>CONNECTING PIECE, ANGLED,  11 CM</v>
          </cell>
        </row>
        <row r="9800">
          <cell r="B9800" t="str">
            <v>33-103-34-07</v>
          </cell>
          <cell r="C9800" t="str">
            <v>BECKENZIRKEL, MARTIN,  ZOLL &amp; CM, 35 CM</v>
          </cell>
          <cell r="D9800" t="str">
            <v>PELVIMETER, MARTIN,  INCHES &amp; CM, 35 CM</v>
          </cell>
        </row>
        <row r="9801">
          <cell r="B9801" t="str">
            <v>33-141-36-07</v>
          </cell>
          <cell r="C9801" t="str">
            <v>GEBURTSZANGE, NÄGELE, 36,5 CM</v>
          </cell>
          <cell r="D9801" t="str">
            <v>OBSTETRICAL FORCEPS,  NAEGELE,  36.5 CM</v>
          </cell>
        </row>
        <row r="9802">
          <cell r="B9802" t="str">
            <v>33-141-40-07</v>
          </cell>
          <cell r="C9802" t="str">
            <v>GEBURTSZANGE, NÄGELE, 40,5 CM</v>
          </cell>
          <cell r="D9802" t="str">
            <v>OBSTETRICAL FORCEPS,  NAEGELE,  40.5 CM</v>
          </cell>
        </row>
        <row r="9803">
          <cell r="B9803" t="str">
            <v>33-145-30-07</v>
          </cell>
          <cell r="C9803" t="str">
            <v>GEBURTSZANGE, SIMPSON,  30,5 CM</v>
          </cell>
          <cell r="D9803" t="str">
            <v>OBSTETRICAL FORCEPS,  SIMPSON,  30.5 CM</v>
          </cell>
        </row>
        <row r="9804">
          <cell r="B9804" t="str">
            <v>33-146-28-07</v>
          </cell>
          <cell r="C9804" t="str">
            <v>GEBURTSZANGE, WRIGLEY,  28 CM</v>
          </cell>
          <cell r="D9804" t="str">
            <v>OBSTETRICAL FORCEPS,  WRIGLEY,  28 CM</v>
          </cell>
        </row>
        <row r="9805">
          <cell r="B9805" t="str">
            <v>33-149-36-07</v>
          </cell>
          <cell r="C9805" t="str">
            <v>GEBURTSZANGE, SIMPSON,  36,5 CM</v>
          </cell>
          <cell r="D9805" t="str">
            <v>OBSTETRICAL FORCEPS,  SIMPSON,  36.5 CM</v>
          </cell>
        </row>
        <row r="9806">
          <cell r="B9806" t="str">
            <v>33-195-41-07</v>
          </cell>
          <cell r="C9806" t="str">
            <v>GEBURTSZANGE, KIELLAND,  41 CM</v>
          </cell>
          <cell r="D9806" t="str">
            <v>OBSTETRICAL FORCEPS,  KIELLAND,  41 CM</v>
          </cell>
        </row>
        <row r="9807">
          <cell r="B9807" t="str">
            <v>33-198-44-07</v>
          </cell>
          <cell r="C9807" t="str">
            <v>GEBURTSZANGE, PIPER, 44,5 CM</v>
          </cell>
          <cell r="D9807" t="str">
            <v>OBSTETRICAL FORCEPS,  PIPER, 44.5 CM</v>
          </cell>
        </row>
        <row r="9808">
          <cell r="B9808" t="str">
            <v>33-300-21-07</v>
          </cell>
          <cell r="C9808" t="str">
            <v>KLEMMZANGE, GREEN-ARMYTAGE, 21 CM</v>
          </cell>
          <cell r="D9808" t="str">
            <v>HAEMOST.  FORCEPS,  GREEN-ARMYTAGE, 21 CM</v>
          </cell>
        </row>
        <row r="9809">
          <cell r="B9809" t="str">
            <v>33-309-28-07</v>
          </cell>
          <cell r="C9809" t="str">
            <v>GEBURTSLÖFFEL, SELLHEIM,  32 CM</v>
          </cell>
          <cell r="D9809" t="str">
            <v>OBSTETRIC  LEVER, SELLHEIM,  32 CM</v>
          </cell>
        </row>
        <row r="9810">
          <cell r="B9810" t="str">
            <v>33-328-27-07</v>
          </cell>
          <cell r="C9810" t="str">
            <v>ABORTUSZANGE, SÄNGER,  GER., 27,5 CM</v>
          </cell>
          <cell r="D9810" t="str">
            <v>OVUM FORCEPS,  SAENGER,  STR., 27.5 CM</v>
          </cell>
        </row>
        <row r="9811">
          <cell r="B9811" t="str">
            <v>33-329-27-07</v>
          </cell>
          <cell r="C9811" t="str">
            <v>ABORTUSZANGE, SÄNGER,  GEB., 27 CM</v>
          </cell>
          <cell r="D9811" t="str">
            <v>OVUM FORCEPS,  SAENGER,  CVD., 27 CM</v>
          </cell>
        </row>
        <row r="9812">
          <cell r="B9812" t="str">
            <v>33-344-01-07</v>
          </cell>
          <cell r="C9812" t="str">
            <v>ABORTUSZANGE, WINTER,  GER., F. 1, 28 CM</v>
          </cell>
          <cell r="D9812" t="str">
            <v>OVUM FORCEPS,  WINTER,  STR., N. 1, 28 CM</v>
          </cell>
        </row>
        <row r="9813">
          <cell r="B9813" t="str">
            <v>33-344-02-07</v>
          </cell>
          <cell r="C9813" t="str">
            <v>ABORTUSZANGE, WINTER,  GER., F. 2, 28 CM</v>
          </cell>
          <cell r="D9813" t="str">
            <v>OVUM FORCEPS,  WINTER,  STR., N. 2, 28 CM</v>
          </cell>
        </row>
        <row r="9814">
          <cell r="B9814" t="str">
            <v>33-345-01-07</v>
          </cell>
          <cell r="C9814" t="str">
            <v>ABORTUSZANGE, WINTER,  GEB., F. 1, 28 CM</v>
          </cell>
          <cell r="D9814" t="str">
            <v>OVUM FORCEPS,  WINTER,  CVD., N. 1, 28 CM</v>
          </cell>
        </row>
        <row r="9815">
          <cell r="B9815" t="str">
            <v>33-345-02-07</v>
          </cell>
          <cell r="C9815" t="str">
            <v>ABORTUSZANGE, WINTER,  GEB., F. 2, 28 CM</v>
          </cell>
          <cell r="D9815" t="str">
            <v>OVUM FORCEPS,  WINTER,  CVD., N. 2, 28 CM</v>
          </cell>
        </row>
        <row r="9816">
          <cell r="B9816" t="str">
            <v>33-382-01-07</v>
          </cell>
          <cell r="C9816" t="str">
            <v>ABORTUSLÖFFEL, CUZZI, 17 MM, 30 CM</v>
          </cell>
          <cell r="D9816" t="str">
            <v>OVUM CURETTE,  CUZZI, 17 MM, 30 CM</v>
          </cell>
        </row>
        <row r="9817">
          <cell r="B9817" t="str">
            <v>33-382-02-07</v>
          </cell>
          <cell r="C9817" t="str">
            <v>ABORTUSLÖFFEL, CUZZI, 20 MM, 30 CM</v>
          </cell>
          <cell r="D9817" t="str">
            <v>OVUM CURETTE,  CUZZI, 20 MM, 30 CM</v>
          </cell>
        </row>
        <row r="9818">
          <cell r="B9818" t="str">
            <v>33-382-03-07</v>
          </cell>
          <cell r="C9818" t="str">
            <v>ABORTUSLÖFFEL, CUZZI, 23 MM, 30 CM</v>
          </cell>
          <cell r="D9818" t="str">
            <v>OVUM CURETTE,  CUZZI, 23 MM, 30 CM</v>
          </cell>
        </row>
        <row r="9819">
          <cell r="B9819" t="str">
            <v>33-386-30-07</v>
          </cell>
          <cell r="C9819" t="str">
            <v>ABORTUSKÜRETTE, PESTALOZZA, 30,5 CM</v>
          </cell>
          <cell r="D9819" t="str">
            <v>OVUM CURETTE,  PESTALOZZA, 30.5 CM</v>
          </cell>
        </row>
        <row r="9820">
          <cell r="B9820" t="str">
            <v>33-465-09-07</v>
          </cell>
          <cell r="C9820" t="str">
            <v>NABELSCHNURKLEMME, COLLIN, 8,5 CM</v>
          </cell>
          <cell r="D9820" t="str">
            <v>UMBILICAL  CORD CLAMP, COLLIN, 8.5 CM</v>
          </cell>
        </row>
        <row r="9821">
          <cell r="B9821" t="str">
            <v>35-133-06-07</v>
          </cell>
          <cell r="C9821" t="str">
            <v>ZIRKEL, CASTROVIEJO, 0-15 MM, 8 CM</v>
          </cell>
          <cell r="D9821" t="str">
            <v>CALIPER,  CASTROVIEJO, 0-15 MM, 8 CM</v>
          </cell>
        </row>
        <row r="9822">
          <cell r="B9822" t="str">
            <v>35-133-07-07</v>
          </cell>
          <cell r="C9822" t="str">
            <v>ZIRKEL, CASTROVIEJO, GER., 0-20 MM, 8 CM</v>
          </cell>
          <cell r="D9822" t="str">
            <v>CALIPER,  CASTROV.,  STR., 0-20 MM, 8 CM</v>
          </cell>
        </row>
        <row r="9823">
          <cell r="B9823" t="str">
            <v>35-133-09-07</v>
          </cell>
          <cell r="C9823" t="str">
            <v>ZIRKEL, CASTROV.-SCHACHAR, GEB., 0-20 MM</v>
          </cell>
          <cell r="D9823" t="str">
            <v>CALIPER,  CASTROV.-SCHACH., CVD., 0-20 MM</v>
          </cell>
        </row>
        <row r="9824">
          <cell r="B9824" t="str">
            <v>35-134-09-07</v>
          </cell>
          <cell r="C9824" t="str">
            <v>ZIRKEL, CASTROV.-EPKER, 0-40 MM, 9 CM</v>
          </cell>
          <cell r="D9824" t="str">
            <v>CALIPER,  CASTROV.-EPKER, 0-40 MM, 9 CM</v>
          </cell>
        </row>
        <row r="9825">
          <cell r="B9825" t="str">
            <v>35-134-18-07</v>
          </cell>
          <cell r="C9825" t="str">
            <v>ZIRKEL, CASTROV.-EPKER, 0-40 MM, 18 CM</v>
          </cell>
          <cell r="D9825" t="str">
            <v>CALIPER,  CASTROV.-EPKER, 0-40 MM, 18 CM</v>
          </cell>
        </row>
        <row r="9826">
          <cell r="B9826" t="str">
            <v>35-135-18-07</v>
          </cell>
          <cell r="C9826" t="str">
            <v>ZIRKEL N. CASTROV.-EPKER, GEB., 0-40 MM</v>
          </cell>
          <cell r="D9826" t="str">
            <v>CASTROVIEJO-EPKER CALIPER CURVED</v>
          </cell>
        </row>
        <row r="9827">
          <cell r="B9827" t="str">
            <v>35-224-00-07</v>
          </cell>
          <cell r="C9827" t="str">
            <v>Sonde, Bowman,  Zyl., Fig. 00/0</v>
          </cell>
          <cell r="D9827" t="str">
            <v>Probe, Bowman,  cyl., Fig. 00/0</v>
          </cell>
        </row>
        <row r="9828">
          <cell r="B9828" t="str">
            <v>35-224-01-07</v>
          </cell>
          <cell r="C9828" t="str">
            <v>Sonde, Bowman,  Zyl., Fig. 0/1</v>
          </cell>
          <cell r="D9828" t="str">
            <v>Probe, Bowman,  cyl., Fig. 0/1</v>
          </cell>
        </row>
        <row r="9829">
          <cell r="B9829" t="str">
            <v>35-224-12-07</v>
          </cell>
          <cell r="C9829" t="str">
            <v>Sonde, Bowman,  Zyl., Fig. 1/2</v>
          </cell>
          <cell r="D9829" t="str">
            <v>Probe, Bowman,  cyl., Fig. 1/2</v>
          </cell>
        </row>
        <row r="9830">
          <cell r="B9830" t="str">
            <v>35-224-23-07</v>
          </cell>
          <cell r="C9830" t="str">
            <v>Sonde, Bowman,  Zyl., Fig. 2/3</v>
          </cell>
          <cell r="D9830" t="str">
            <v>Probe, Bowman,  cyl., Fig. 2/3</v>
          </cell>
        </row>
        <row r="9831">
          <cell r="B9831" t="str">
            <v>35-224-34-07</v>
          </cell>
          <cell r="C9831" t="str">
            <v>Sonde, Bowman,  Zyl., Fig. 3/4</v>
          </cell>
          <cell r="D9831" t="str">
            <v>Probe, Bowman,  cyl., Fig. 3/4</v>
          </cell>
        </row>
        <row r="9832">
          <cell r="B9832" t="str">
            <v>35-224-56-07</v>
          </cell>
          <cell r="C9832" t="str">
            <v>Sonde, Bowman,  Zyl., Fig. 5/6</v>
          </cell>
          <cell r="D9832" t="str">
            <v>Probe, Bowman,  cyl., Fig. 5/6</v>
          </cell>
        </row>
        <row r="9833">
          <cell r="B9833" t="str">
            <v>35-224-78-07</v>
          </cell>
          <cell r="C9833" t="str">
            <v>Sonde, Bowman,  Zyl., Fig. 7/8</v>
          </cell>
          <cell r="D9833" t="str">
            <v>Probe, Bowman,  cyl., Fig. 7/8</v>
          </cell>
        </row>
        <row r="9834">
          <cell r="B9834" t="str">
            <v>35-224-99-07</v>
          </cell>
          <cell r="C9834" t="str">
            <v>Sonde, Bowman,  Zyl., Fig. 0000/000</v>
          </cell>
          <cell r="D9834" t="str">
            <v>Probe, Bowman,  cyl., Fig. 0000/000</v>
          </cell>
        </row>
        <row r="9835">
          <cell r="B9835" t="str">
            <v>35-226-00-07</v>
          </cell>
          <cell r="C9835" t="str">
            <v>Sonde, Bowman,  Knopf, Fig. 00/0</v>
          </cell>
          <cell r="D9835" t="str">
            <v>Probe, Bowman,  button Fig. 00/0</v>
          </cell>
        </row>
        <row r="9836">
          <cell r="B9836" t="str">
            <v>35-226-01-07</v>
          </cell>
          <cell r="C9836" t="str">
            <v>Sonde, Bowman,  Knopf, Fig. 0/1</v>
          </cell>
          <cell r="D9836" t="str">
            <v>Probe, Bowman,  button Fig. 0/1</v>
          </cell>
        </row>
        <row r="9837">
          <cell r="B9837" t="str">
            <v>35-226-12-07</v>
          </cell>
          <cell r="C9837" t="str">
            <v>Sonde, Bowman,  Knopf, Fig. 1/2</v>
          </cell>
          <cell r="D9837" t="str">
            <v>Probe, Bowman,  button Fig. 1/2</v>
          </cell>
        </row>
        <row r="9838">
          <cell r="B9838" t="str">
            <v>35-226-23-07</v>
          </cell>
          <cell r="C9838" t="str">
            <v>Sonde, Bowman,  Knopf, Fig. 2/3</v>
          </cell>
          <cell r="D9838" t="str">
            <v>Probe, Bowman,  button Fig. 2/3</v>
          </cell>
        </row>
        <row r="9839">
          <cell r="B9839" t="str">
            <v>35-226-34-07</v>
          </cell>
          <cell r="C9839" t="str">
            <v>Sonde, Bowman,  Knopf, Fig. 3/4</v>
          </cell>
          <cell r="D9839" t="str">
            <v>Probe, Bowman,  button Fig. 3/4</v>
          </cell>
        </row>
        <row r="9840">
          <cell r="B9840" t="str">
            <v>35-226-45-07</v>
          </cell>
          <cell r="C9840" t="str">
            <v>Sonde, Bowman,  Knopf, Fig. 4/5</v>
          </cell>
          <cell r="D9840" t="str">
            <v>Probe, Bowman,  button Fig. 4/5</v>
          </cell>
        </row>
        <row r="9841">
          <cell r="B9841" t="str">
            <v>35-226-56-07</v>
          </cell>
          <cell r="C9841" t="str">
            <v>Sonde, Bowman,  Knopf, Fig. 5/6</v>
          </cell>
          <cell r="D9841" t="str">
            <v>Probe, Bowman,  button Fig. 5/6</v>
          </cell>
        </row>
        <row r="9842">
          <cell r="B9842" t="str">
            <v>35-226-67-07</v>
          </cell>
          <cell r="C9842" t="str">
            <v>Sonde, Bowman,  Knopf, Fig. 6/7</v>
          </cell>
          <cell r="D9842" t="str">
            <v>Probe, Bowman,  button Fig. 6/7</v>
          </cell>
        </row>
        <row r="9843">
          <cell r="B9843" t="str">
            <v>35-226-78-07</v>
          </cell>
          <cell r="C9843" t="str">
            <v>Sonde, Bowman,  Knopf, Fig. 7/8</v>
          </cell>
          <cell r="D9843" t="str">
            <v>Probe, Bowman,  button Fig. 7/8</v>
          </cell>
        </row>
        <row r="9844">
          <cell r="B9844" t="str">
            <v>35-436-10-07</v>
          </cell>
          <cell r="C9844" t="str">
            <v>Pinzette,  Castroviejo, 0,9 mm, 10,5 cm</v>
          </cell>
          <cell r="D9844" t="str">
            <v>Forceps, Castroviejo, 0.9mm, 10.5cm</v>
          </cell>
        </row>
        <row r="9845">
          <cell r="B9845" t="str">
            <v>36-001-01-07</v>
          </cell>
          <cell r="C9845" t="str">
            <v>MIKRO-OHRZÄNGCHEN, GER., 4X0,8 MM</v>
          </cell>
          <cell r="D9845" t="str">
            <v>MICRO-EAR FORCEPS,  STR., 4X0.8 MM</v>
          </cell>
        </row>
        <row r="9846">
          <cell r="B9846" t="str">
            <v>36-001-01-14</v>
          </cell>
          <cell r="C9846" t="str">
            <v>Mikro-Ohrzängchen, ger., glatt, 4x0,8mm</v>
          </cell>
          <cell r="D9846" t="str">
            <v>Micro-ear  forceps, str., smooth, 4x0.8mm</v>
          </cell>
        </row>
        <row r="9847">
          <cell r="B9847" t="str">
            <v>36-001-06-07</v>
          </cell>
          <cell r="C9847" t="str">
            <v>MIKRO-OHRZÄNGCHEN, GER., 4X0,8 MM</v>
          </cell>
          <cell r="D9847" t="str">
            <v>MICRO-EAR FORCEPS,  STR., 4X0.8 MM</v>
          </cell>
        </row>
        <row r="9848">
          <cell r="B9848" t="str">
            <v>36-001-06-14</v>
          </cell>
          <cell r="C9848" t="str">
            <v>Mikro-Ohrzängchen, ger., 4x0,8mm</v>
          </cell>
          <cell r="D9848" t="str">
            <v>Micro-ear  forceps, str., 4x0.8 mm</v>
          </cell>
        </row>
        <row r="9849">
          <cell r="B9849" t="str">
            <v>36-001-07-07</v>
          </cell>
          <cell r="C9849" t="str">
            <v>MIKRO-OHRZÄNGCHEN, AUFGEB.,  4X0,8 MM</v>
          </cell>
          <cell r="D9849" t="str">
            <v>MICRO-EAR FORCEPS,  CVD. UP, 4X0.8 MM</v>
          </cell>
        </row>
        <row r="9850">
          <cell r="B9850" t="str">
            <v>36-001-07-14</v>
          </cell>
          <cell r="C9850" t="str">
            <v>Mikro-Ohrzängchen, aufgeb., 4x0,8mm</v>
          </cell>
          <cell r="D9850" t="str">
            <v>Micro-ear  forceps, cvd. up, 4x0.8 mm</v>
          </cell>
        </row>
        <row r="9851">
          <cell r="B9851" t="str">
            <v>36-001-08-07</v>
          </cell>
          <cell r="C9851" t="str">
            <v>MIKRO-OHRZÄNGCHEN, RE., 4X0,8 MM</v>
          </cell>
          <cell r="D9851" t="str">
            <v>MICRO-EAR FORCEPS,  R., 4X0.8 MM</v>
          </cell>
        </row>
        <row r="9852">
          <cell r="B9852" t="str">
            <v>36-001-08-14</v>
          </cell>
          <cell r="C9852" t="str">
            <v>Mikro-Ohrzängchen, re., 4x0,8mm</v>
          </cell>
          <cell r="D9852" t="str">
            <v>Micro-ear  forceps, r., 4x0.8 mm</v>
          </cell>
        </row>
        <row r="9853">
          <cell r="B9853" t="str">
            <v>36-001-09-07</v>
          </cell>
          <cell r="C9853" t="str">
            <v>MIKRO-OHRZÄNGCHEN, LI., 4X0,8 MM</v>
          </cell>
          <cell r="D9853" t="str">
            <v>MICRO-EAR FORCEPS,  L., 4X0.8 MM</v>
          </cell>
        </row>
        <row r="9854">
          <cell r="B9854" t="str">
            <v>36-001-09-14</v>
          </cell>
          <cell r="C9854" t="str">
            <v>Mikro-Ohrzängchen, li., 4x0,8mm</v>
          </cell>
          <cell r="D9854" t="str">
            <v>Micro-ear  forceps, l., 4x0.8 mm</v>
          </cell>
        </row>
        <row r="9855">
          <cell r="B9855" t="str">
            <v>36-001-11-07</v>
          </cell>
          <cell r="C9855" t="str">
            <v>MINI-ALLIGATORZÄNGCHEN, MCGEE, GLATT</v>
          </cell>
          <cell r="D9855" t="str">
            <v>MINI-ALLIGATOR FORCEPS,  MCGEE, SMOOTH</v>
          </cell>
        </row>
        <row r="9856">
          <cell r="B9856" t="str">
            <v>36-001-11-14</v>
          </cell>
          <cell r="C9856" t="str">
            <v>Mini-Alligatorzängchen, McGee, glatt</v>
          </cell>
          <cell r="D9856" t="str">
            <v>Mini-alligator forceps, McGee, smooth</v>
          </cell>
        </row>
        <row r="9857">
          <cell r="B9857" t="str">
            <v>36-001-16-07</v>
          </cell>
          <cell r="C9857" t="str">
            <v>MINI-ALLIGATORZÄNGCHEN, MCGEE, GERIEFT</v>
          </cell>
          <cell r="D9857" t="str">
            <v>MINI-ALLIGATOR FORCEPS,  MCGEE, SERRATED</v>
          </cell>
        </row>
        <row r="9858">
          <cell r="B9858" t="str">
            <v>36-001-16-14</v>
          </cell>
          <cell r="C9858" t="str">
            <v>Mini-Alligatorzängchen, McGee, gerieft</v>
          </cell>
          <cell r="D9858" t="str">
            <v>Mini-alligator forceps, McGee, serrated</v>
          </cell>
        </row>
        <row r="9859">
          <cell r="B9859" t="str">
            <v>36-001-21-07</v>
          </cell>
          <cell r="C9859" t="str">
            <v>MIKRO-OHRZÄNGCHEN, GER., 4X0,6 MM</v>
          </cell>
          <cell r="D9859" t="str">
            <v>MICRO-EAR FORCEPS,  STR., 4X0.6 MM</v>
          </cell>
        </row>
        <row r="9860">
          <cell r="B9860" t="str">
            <v>36-001-21-14</v>
          </cell>
          <cell r="C9860" t="str">
            <v>Mikro-Ohrzängchen, ger., glatt, 4x0,6mm</v>
          </cell>
          <cell r="D9860" t="str">
            <v>Micro-ear  forceps, str., smooth, 4x0.6mm</v>
          </cell>
        </row>
        <row r="9861">
          <cell r="B9861" t="str">
            <v>36-001-26-07</v>
          </cell>
          <cell r="C9861" t="str">
            <v>MIKRO-OHRZÄNGCHEN, GER., 4X0,6 MM</v>
          </cell>
          <cell r="D9861" t="str">
            <v>MICRO-EAR FORCEPS,  STR., 4X0.6 MM</v>
          </cell>
        </row>
        <row r="9862">
          <cell r="B9862" t="str">
            <v>36-001-26-14</v>
          </cell>
          <cell r="C9862" t="str">
            <v>Mikro-Ohrzängchen, ger., 4x0,6mm</v>
          </cell>
          <cell r="D9862" t="str">
            <v>Micro-ear  forceps, str., 4x0.6 mm</v>
          </cell>
        </row>
        <row r="9863">
          <cell r="B9863" t="str">
            <v>36-003-01-07</v>
          </cell>
          <cell r="C9863" t="str">
            <v>MIKRO-LÖFFELZÄNGCHEN, GER., 4X0,9 MM</v>
          </cell>
          <cell r="D9863" t="str">
            <v>MICRO-CUP SHAPED FORCEPS,  STR., 4X0.9 MM</v>
          </cell>
        </row>
        <row r="9864">
          <cell r="B9864" t="str">
            <v>36-003-01-14</v>
          </cell>
          <cell r="C9864" t="str">
            <v>Mikro-Löffelzängchen, ger., 4x0,9mm</v>
          </cell>
          <cell r="D9864" t="str">
            <v>Micro-cup  shaped forceps, str., 4x0.9mm</v>
          </cell>
        </row>
        <row r="9865">
          <cell r="B9865" t="str">
            <v>36-003-02-07</v>
          </cell>
          <cell r="C9865" t="str">
            <v>MIKRO-LÖFFELZÄNGCHEN, GEBOG., 4X0,9 MM</v>
          </cell>
          <cell r="D9865" t="str">
            <v>MICRO-CUP SHAPED FORCEPS,  CVD., 4X0.9 MM</v>
          </cell>
        </row>
        <row r="9866">
          <cell r="B9866" t="str">
            <v>36-003-03-07</v>
          </cell>
          <cell r="C9866" t="str">
            <v>MIKRO-LÖFFELZÄNGCHEN, RE., 4X0,9 MM</v>
          </cell>
          <cell r="D9866" t="str">
            <v>MICRO-CUP SHAPED FORCEPS,  R., 4X0.9 MM</v>
          </cell>
        </row>
        <row r="9867">
          <cell r="B9867" t="str">
            <v>36-003-03-14</v>
          </cell>
          <cell r="C9867" t="str">
            <v>Mikro-Löffelzängchen, re., 4x0,9mm</v>
          </cell>
          <cell r="D9867" t="str">
            <v>Micro-cup  shaped forceps, r., 4x0.9 mm</v>
          </cell>
        </row>
        <row r="9868">
          <cell r="B9868" t="str">
            <v>36-003-04-07</v>
          </cell>
          <cell r="C9868" t="str">
            <v>MIKRO-LÖFFELZÄNGCHEN, LI., 4X0,9 MM</v>
          </cell>
          <cell r="D9868" t="str">
            <v>MICRO-CUP SHAPED FORCEPS,  L., 4X0.9 MM</v>
          </cell>
        </row>
        <row r="9869">
          <cell r="B9869" t="str">
            <v>36-003-04-14</v>
          </cell>
          <cell r="C9869" t="str">
            <v>Mikro-Löffelzängchen, li., 4x0,9mm</v>
          </cell>
          <cell r="D9869" t="str">
            <v>Micro-cup  shaped forceps, l., 4x0.9 mm</v>
          </cell>
        </row>
        <row r="9870">
          <cell r="B9870" t="str">
            <v>36-003-11-07</v>
          </cell>
          <cell r="C9870" t="str">
            <v>MIKRO-LÖFFELZÄNGCHEN, GER., 3,5X0,5 MM</v>
          </cell>
          <cell r="D9870" t="str">
            <v>MICRO-CUP SHAPED FCPS., STR., 3.5X0.5 MM</v>
          </cell>
        </row>
        <row r="9871">
          <cell r="B9871" t="str">
            <v>36-003-11-14</v>
          </cell>
          <cell r="C9871" t="str">
            <v>Mikro-Löffelzängchen, ger., 3,5x0,7mm</v>
          </cell>
          <cell r="D9871" t="str">
            <v>Micro-cup  shaped fcps., str., 3.5x0.7 mm</v>
          </cell>
        </row>
        <row r="9872">
          <cell r="B9872" t="str">
            <v>36-003-12-07</v>
          </cell>
          <cell r="C9872" t="str">
            <v>MIKRO-LÖFFELZÄNGCHEN, GEB., 3,5X0,5 MM</v>
          </cell>
          <cell r="D9872" t="str">
            <v>MICRO-CUP SHAPED FCPS., CVD., 3.5X0.5 MM</v>
          </cell>
        </row>
        <row r="9873">
          <cell r="B9873" t="str">
            <v>36-003-12-14</v>
          </cell>
          <cell r="C9873" t="str">
            <v>Mikro-Löffelzängchen, aufgeb., 3,5x0,7mm</v>
          </cell>
          <cell r="D9873" t="str">
            <v>Micro-cup  sharped fcps., cvd., 3.5x0.7 m</v>
          </cell>
        </row>
        <row r="9874">
          <cell r="B9874" t="str">
            <v>36-003-13-07</v>
          </cell>
          <cell r="C9874" t="str">
            <v>MIKRO-LÖFFELZÄNGCHEN, RE., 3,5X0,5 MM</v>
          </cell>
          <cell r="D9874" t="str">
            <v>MICRO-CUP SHAPED FCPS., R., 3.5X0.5 MM</v>
          </cell>
        </row>
        <row r="9875">
          <cell r="B9875" t="str">
            <v>36-003-13-14</v>
          </cell>
          <cell r="C9875" t="str">
            <v>Mikro-Löffelzängchen, re., 3,5x0,7mm</v>
          </cell>
          <cell r="D9875" t="str">
            <v>Micro-cup  shaped fcps., r., 3.5x0.7 mm</v>
          </cell>
        </row>
        <row r="9876">
          <cell r="B9876" t="str">
            <v>36-003-14-07</v>
          </cell>
          <cell r="C9876" t="str">
            <v>MIKRO-LÖFFELZÄNGCHEN, LI., 3,5X0,5 MM</v>
          </cell>
          <cell r="D9876" t="str">
            <v>MICRO-CUP SHAPED FCPS., L., 3.5X0.5 MM</v>
          </cell>
        </row>
        <row r="9877">
          <cell r="B9877" t="str">
            <v>36-003-14-14</v>
          </cell>
          <cell r="C9877" t="str">
            <v>Mikro-Löffelzängchen, li., 3,5x0,7mm</v>
          </cell>
          <cell r="D9877" t="str">
            <v>Micro-cup  shaped fcps., l., 3.5x0.7 mm</v>
          </cell>
        </row>
        <row r="9878">
          <cell r="B9878" t="str">
            <v>36-005-01-07</v>
          </cell>
          <cell r="C9878" t="str">
            <v>MIKRO-OHRSCHERCHEN, BELLUCI,  GER., 4 MM</v>
          </cell>
          <cell r="D9878" t="str">
            <v>MICRO-EAR SCISSORS,  BELLUCI,  STR., 4 MM</v>
          </cell>
        </row>
        <row r="9879">
          <cell r="B9879" t="str">
            <v>36-005-01-14</v>
          </cell>
          <cell r="C9879" t="str">
            <v>Mikro-Ohrscherchen, Bellucci, ger., 4mm</v>
          </cell>
          <cell r="D9879" t="str">
            <v>Micro-ear  scissors, Bellucci, str., 4mm</v>
          </cell>
        </row>
        <row r="9880">
          <cell r="B9880" t="str">
            <v>36-005-02-07</v>
          </cell>
          <cell r="C9880" t="str">
            <v>MIKRO-OHRSCHERCHEN, BELLUCI,  GEB., 4 MM</v>
          </cell>
          <cell r="D9880" t="str">
            <v>MICRO-EAR SCISSORS,  BELLUCI,  CVD., 4 MM</v>
          </cell>
        </row>
        <row r="9881">
          <cell r="B9881" t="str">
            <v>36-005-02-14</v>
          </cell>
          <cell r="C9881" t="str">
            <v>Mikro-Ohrscherchen, Bellucci, geb., 4mm</v>
          </cell>
          <cell r="D9881" t="str">
            <v>Micro-ear  scissors, Bellucci, cvd., 4mm</v>
          </cell>
        </row>
        <row r="9882">
          <cell r="B9882" t="str">
            <v>36-005-03-07</v>
          </cell>
          <cell r="C9882" t="str">
            <v>MIKRO-OHRSCHERCHEN, BELLUCI,  RE., 4 MM</v>
          </cell>
          <cell r="D9882" t="str">
            <v>MICRO-EAR SCISSORS,  BELLUCI,  R., 4 MM</v>
          </cell>
        </row>
        <row r="9883">
          <cell r="B9883" t="str">
            <v>36-005-03-14</v>
          </cell>
          <cell r="C9883" t="str">
            <v>Mikro-Ohrscherchen, Bellucci, re., 4mm</v>
          </cell>
          <cell r="D9883" t="str">
            <v>Micro-ear  scissors, Bellucci, r., 4mm</v>
          </cell>
        </row>
        <row r="9884">
          <cell r="B9884" t="str">
            <v>36-005-04-07</v>
          </cell>
          <cell r="C9884" t="str">
            <v>MIKRO-OHRSCHERCHEN, BELLUCI,  LI., 4 MM</v>
          </cell>
          <cell r="D9884" t="str">
            <v>MICRO-EAR SCISSORS,  BELLUCI,  L., 4 MM</v>
          </cell>
        </row>
        <row r="9885">
          <cell r="B9885" t="str">
            <v>36-005-04-14</v>
          </cell>
          <cell r="C9885" t="str">
            <v>Mikro-Ohrscherchen, Bellucci, li., 4mm</v>
          </cell>
          <cell r="D9885" t="str">
            <v>Micro-ear  scissors, Bellucci, l., 4mm</v>
          </cell>
        </row>
        <row r="9886">
          <cell r="B9886" t="str">
            <v>36-005-51-07</v>
          </cell>
          <cell r="C9886" t="str">
            <v>OHRSCHERCHEN, WULLSTEIN, GER., 4 MM</v>
          </cell>
          <cell r="D9886" t="str">
            <v>MIC.-EAR  SCISSORS,  WULLSTEIN, STR., 4 MM</v>
          </cell>
        </row>
        <row r="9887">
          <cell r="B9887" t="str">
            <v>36-005-51-14</v>
          </cell>
          <cell r="C9887" t="str">
            <v>Ohrscherchen, Wullstein,  ger., 4mm</v>
          </cell>
          <cell r="D9887" t="str">
            <v>Micro-ear  scissors, Wullst., str., 4mm</v>
          </cell>
        </row>
        <row r="9888">
          <cell r="B9888" t="str">
            <v>36-005-52-07</v>
          </cell>
          <cell r="C9888" t="str">
            <v>OHRSCHERCHEN, WULLSTEIN, AUFGEB.,  4 MM</v>
          </cell>
          <cell r="D9888" t="str">
            <v>MICRO-EAR SCISS., WULLST.,  CVD. UP, 4 MM</v>
          </cell>
        </row>
        <row r="9889">
          <cell r="B9889" t="str">
            <v>36-005-52-14</v>
          </cell>
          <cell r="C9889" t="str">
            <v>Ohrscherchen, Wullstein,  aufgeb., 4mm</v>
          </cell>
          <cell r="D9889" t="str">
            <v>Micro-ear  sciss., Wullst., cvd. up, 4mm</v>
          </cell>
        </row>
        <row r="9890">
          <cell r="B9890" t="str">
            <v>36-005-53-07</v>
          </cell>
          <cell r="C9890" t="str">
            <v>OHRSCHERCHEN, WULLSTEIN, RE., 4 MM</v>
          </cell>
          <cell r="D9890" t="str">
            <v>MIC.-EAR  SCISSORS,  WULLSTEIN, R., 4 MM</v>
          </cell>
        </row>
        <row r="9891">
          <cell r="B9891" t="str">
            <v>36-005-53-14</v>
          </cell>
          <cell r="C9891" t="str">
            <v>Ohrscherchen, Wullstein,  re., 4mm</v>
          </cell>
          <cell r="D9891" t="str">
            <v>Micro-ear  scissors, Wullst., r., 4 mm</v>
          </cell>
        </row>
        <row r="9892">
          <cell r="B9892" t="str">
            <v>36-005-54-07</v>
          </cell>
          <cell r="C9892" t="str">
            <v>OHRSCHERCHEN, WULLSTEIN, LI., 4 MM</v>
          </cell>
          <cell r="D9892" t="str">
            <v>MIC.-EAR  SCISSORS,  WULLSTEIN, L., 4 MM</v>
          </cell>
        </row>
        <row r="9893">
          <cell r="B9893" t="str">
            <v>36-005-54-14</v>
          </cell>
          <cell r="C9893" t="str">
            <v>Ohrscherchen, Wullstein,  li., 4mm</v>
          </cell>
          <cell r="D9893" t="str">
            <v>Micro-ear  scissors, Wullst, l., 4 mm</v>
          </cell>
        </row>
        <row r="9894">
          <cell r="B9894" t="str">
            <v>36-010-11-07</v>
          </cell>
          <cell r="C9894" t="str">
            <v>DRAHTBIEGEZÄNGCHEN, MCGEE, 3,5X0,8 MM</v>
          </cell>
          <cell r="D9894" t="str">
            <v>WIRE CLOSING  FORCEPS,  MCGEE, 3.5X0.8 MM</v>
          </cell>
        </row>
        <row r="9895">
          <cell r="B9895" t="str">
            <v>36-010-11-14</v>
          </cell>
          <cell r="C9895" t="str">
            <v>Drahtbiegezängchen, McGee, 3,5x0,8mm</v>
          </cell>
          <cell r="D9895" t="str">
            <v>Wire closing forceps, McGee, 3.5x0.8 mm</v>
          </cell>
        </row>
        <row r="9896">
          <cell r="B9896" t="str">
            <v>36-010-12-07</v>
          </cell>
          <cell r="C9896" t="str">
            <v>DRAHTBIEGEZÄNGCHEN, MCGEE, 6X0,8 MM</v>
          </cell>
          <cell r="D9896" t="str">
            <v>WIRE CLOSING  FORCEPS,  MCGEE, 6X0.8 MM</v>
          </cell>
        </row>
        <row r="9897">
          <cell r="B9897" t="str">
            <v>36-010-12-14</v>
          </cell>
          <cell r="C9897" t="str">
            <v>Drahtbiegezängchen, McGee, 6x0,8mm</v>
          </cell>
          <cell r="D9897" t="str">
            <v>Wire closing forceps, McGee, 6x0.8 mm</v>
          </cell>
        </row>
        <row r="9898">
          <cell r="B9898" t="str">
            <v>36-011-01-07</v>
          </cell>
          <cell r="C9898" t="str">
            <v>HAMMERKOPFZÄNGCHEN, AUFW., 1,3 MM</v>
          </cell>
          <cell r="D9898" t="str">
            <v>MALLEUS  NIPPER, UPWARDS,  1.3 MM</v>
          </cell>
        </row>
        <row r="9899">
          <cell r="B9899" t="str">
            <v>36-011-01-14</v>
          </cell>
          <cell r="C9899" t="str">
            <v>Hammerkopfzängchen, aufw., 1,5mm</v>
          </cell>
          <cell r="D9899" t="str">
            <v>Malleus nipper, upwards,  1.5 mm</v>
          </cell>
        </row>
        <row r="9900">
          <cell r="B9900" t="str">
            <v>36-011-02-07</v>
          </cell>
          <cell r="C9900" t="str">
            <v>HAMMERKOPFZÄNGCHEN, ABW., 1,3 MM</v>
          </cell>
          <cell r="D9900" t="str">
            <v>MALLEUS  NIPPER, DOWNWARDS, 1.3 MM</v>
          </cell>
        </row>
        <row r="9901">
          <cell r="B9901" t="str">
            <v>36-011-02-14</v>
          </cell>
          <cell r="C9901" t="str">
            <v>Hammerkopfzängchen, abw., 1,5mm</v>
          </cell>
          <cell r="D9901" t="str">
            <v>Malleus nipper, downwards, 1.5 mm</v>
          </cell>
        </row>
        <row r="9902">
          <cell r="B9902" t="str">
            <v>36-011-06-07</v>
          </cell>
          <cell r="C9902" t="str">
            <v>HAMMERKOPFZÄNGCHEN, RE., 1,3 MM</v>
          </cell>
          <cell r="D9902" t="str">
            <v>MALLEUS  NIPPER, RIGHT, 1.3 MM</v>
          </cell>
        </row>
        <row r="9903">
          <cell r="B9903" t="str">
            <v>36-011-06-14</v>
          </cell>
          <cell r="C9903" t="str">
            <v>Hammerkopfzängchen, re., 1,5mm</v>
          </cell>
          <cell r="D9903" t="str">
            <v>Malleus nipper, right, 1.5 mm</v>
          </cell>
        </row>
        <row r="9904">
          <cell r="B9904" t="str">
            <v>36-011-07-07</v>
          </cell>
          <cell r="C9904" t="str">
            <v>HAMMERKOPFZÄNGCHEN, LI., 1,3 MM</v>
          </cell>
          <cell r="D9904" t="str">
            <v>MALLEUS  NIPPER, LEFT, 1.3 MM</v>
          </cell>
        </row>
        <row r="9905">
          <cell r="B9905" t="str">
            <v>36-011-07-14</v>
          </cell>
          <cell r="C9905" t="str">
            <v>Hammerkopfzängchen, li., 1,5mm</v>
          </cell>
          <cell r="D9905" t="str">
            <v>Malleus nipper, left, 1.5 mm</v>
          </cell>
        </row>
        <row r="9906">
          <cell r="B9906" t="str">
            <v>36-013-01-07</v>
          </cell>
          <cell r="C9906" t="str">
            <v>EINFÜHRUNGSZÄNGCHEN, FULLER</v>
          </cell>
          <cell r="D9906" t="str">
            <v>INTRODUCING FORCEPS,  FULLER</v>
          </cell>
        </row>
        <row r="9907">
          <cell r="B9907" t="str">
            <v>36-013-01-14</v>
          </cell>
          <cell r="C9907" t="str">
            <v>Einführzängchen, Fuller</v>
          </cell>
          <cell r="D9907" t="str">
            <v>Introducing forceps, Fuller</v>
          </cell>
        </row>
        <row r="9908">
          <cell r="B9908" t="str">
            <v>36-020-06-07</v>
          </cell>
          <cell r="C9908" t="str">
            <v>Sichelmesser, Schuknecht, gew., 15,5 CM</v>
          </cell>
          <cell r="D9908" t="str">
            <v>Sickle Knife, Schuknecht, Ang.,  15.5 CM</v>
          </cell>
        </row>
        <row r="9909">
          <cell r="B9909" t="str">
            <v>36-020-11-07</v>
          </cell>
          <cell r="C9909" t="str">
            <v>SICHELMESSER, WULLSTEIN, GER., 15,5 CM</v>
          </cell>
          <cell r="D9909" t="str">
            <v>SICKLE KNIFE, WULLSTEIN, STR., 15.5 CM</v>
          </cell>
        </row>
        <row r="9910">
          <cell r="B9910" t="str">
            <v>36-020-16-07</v>
          </cell>
          <cell r="C9910" t="str">
            <v>SCHLEIMHAUTMESSER, TABB, 15,5 CM</v>
          </cell>
          <cell r="D9910" t="str">
            <v>MUCOUS  KNIFE, TABB, 15.5 CM</v>
          </cell>
        </row>
        <row r="9911">
          <cell r="B9911" t="str">
            <v>36-020-21-07</v>
          </cell>
          <cell r="C9911" t="str">
            <v>Lappenmesser, Plester, 2,5 MM, 16 CM</v>
          </cell>
          <cell r="D9911" t="str">
            <v>Flap Knife, Plester, 2.5 MM, 16 CM</v>
          </cell>
        </row>
        <row r="9912">
          <cell r="B9912" t="str">
            <v>36-022-01-07</v>
          </cell>
          <cell r="C9912" t="str">
            <v>Rundschnittmesser, Rosen, 3,0 MM, 16 CM</v>
          </cell>
          <cell r="D9912" t="str">
            <v>Round Cutt. Knife, Rosen, 3.0 MM, 16 CM</v>
          </cell>
        </row>
        <row r="9913">
          <cell r="B9913" t="str">
            <v>36-022-02-07</v>
          </cell>
          <cell r="C9913" t="str">
            <v>Rundschnittmesser, Rosen, 2,8 MM, 16 CM</v>
          </cell>
          <cell r="D9913" t="str">
            <v>Round Cutt. Knife, Rosen,  2.8 MM, 16 CM</v>
          </cell>
        </row>
        <row r="9914">
          <cell r="B9914" t="str">
            <v>36-022-03-07</v>
          </cell>
          <cell r="C9914" t="str">
            <v>Rundschnittmesser, Rosen, 2,6 MM, 16 CM</v>
          </cell>
          <cell r="D9914" t="str">
            <v>Round Cutt. Knife, Rosen,  2.6 MM, 16 CM</v>
          </cell>
        </row>
        <row r="9915">
          <cell r="B9915" t="str">
            <v>36-022-04-07</v>
          </cell>
          <cell r="C9915" t="str">
            <v>Rundschnittmesser, Rosen, 2,0 MM, 16 CM</v>
          </cell>
          <cell r="D9915" t="str">
            <v>Round Cutt. Knife, Rosen, 2.0 MM, 16 CM</v>
          </cell>
        </row>
        <row r="9916">
          <cell r="B9916" t="str">
            <v>36-022-05-07</v>
          </cell>
          <cell r="C9916" t="str">
            <v>Rundschnittmesser, Rosen, 1,6 MM, 16 CM</v>
          </cell>
          <cell r="D9916" t="str">
            <v>Round Cutt. Knife, Rosen, 1.6 MM, 16 CM</v>
          </cell>
        </row>
        <row r="9917">
          <cell r="B9917" t="str">
            <v>36-022-06-07</v>
          </cell>
          <cell r="C9917" t="str">
            <v>Rundschnittmesser, Rosen,  1,4 MM, 16 CM</v>
          </cell>
          <cell r="D9917" t="str">
            <v>Round Cutt. Knife, Rosen, 1.4 MM, 16 CM</v>
          </cell>
        </row>
        <row r="9918">
          <cell r="B9918" t="str">
            <v>36-022-07-07</v>
          </cell>
          <cell r="C9918" t="str">
            <v>Rundschnittmesser, Rosen,  1,0 MM, 16 CM</v>
          </cell>
          <cell r="D9918" t="str">
            <v>Round Cutt. Knife, Rosen, 1.0 MM, 16 CM</v>
          </cell>
        </row>
        <row r="9919">
          <cell r="B9919" t="str">
            <v>36-024-01-07</v>
          </cell>
          <cell r="C9919" t="str">
            <v>NADEL, BARBARA,  GER., 16 CM</v>
          </cell>
          <cell r="D9919" t="str">
            <v>NEEDLE, BARBARA,  STR., 16 CM</v>
          </cell>
        </row>
        <row r="9920">
          <cell r="B9920" t="str">
            <v>36-024-02-07</v>
          </cell>
          <cell r="C9920" t="str">
            <v>NADEL, BARBARA,  GEB., STUMPF,  16 CM</v>
          </cell>
          <cell r="D9920" t="str">
            <v>NEEDLE, BARBARA,  CVD., BLUNT, 16 CM</v>
          </cell>
        </row>
        <row r="9921">
          <cell r="B9921" t="str">
            <v>36-024-03-07</v>
          </cell>
          <cell r="C9921" t="str">
            <v>NADEL, BARBARA,  LEICHT GEB., 16 CM</v>
          </cell>
          <cell r="D9921" t="str">
            <v>NEEDLE, BARBARA,  SLIGHT CVD., 16 CM</v>
          </cell>
        </row>
        <row r="9922">
          <cell r="B9922" t="str">
            <v>36-024-04-07</v>
          </cell>
          <cell r="C9922" t="str">
            <v>NADEL, ROSEN, STARK GEB., 16 CM</v>
          </cell>
          <cell r="D9922" t="str">
            <v>NEEDLE, ROSEN, STRONG CVD., 16 CM</v>
          </cell>
        </row>
        <row r="9923">
          <cell r="B9923" t="str">
            <v>36-024-06-07</v>
          </cell>
          <cell r="C9923" t="str">
            <v>HÄKCHEN,  BARBARA,  25°, 0,3 MM, 16 CM</v>
          </cell>
          <cell r="D9923" t="str">
            <v>HOOKLET,  BARBARA,  25°, 0.3 MM, 16 CM</v>
          </cell>
        </row>
        <row r="9924">
          <cell r="B9924" t="str">
            <v>36-024-07-07</v>
          </cell>
          <cell r="C9924" t="str">
            <v>HÄKCHEN,  BARBARA,  25°, 0,6 MM, 16 CM</v>
          </cell>
          <cell r="D9924" t="str">
            <v>HOOKLET,  BARBARA,  25°, 0.6 MM, 16 CM</v>
          </cell>
        </row>
        <row r="9925">
          <cell r="B9925" t="str">
            <v>36-024-08-07</v>
          </cell>
          <cell r="C9925" t="str">
            <v>HÄKCHEN,  BARBARA,  25°, 1,0 MM, 16 CM</v>
          </cell>
          <cell r="D9925" t="str">
            <v>HOOKLET,  BARBARA,  25°, 1.0 MM, 16 CM</v>
          </cell>
        </row>
        <row r="9926">
          <cell r="B9926" t="str">
            <v>36-024-11-07</v>
          </cell>
          <cell r="C9926" t="str">
            <v>HÄKCHEN,  BARBARA,  45°, 0,3 MM, 16 CM</v>
          </cell>
          <cell r="D9926" t="str">
            <v>HOOKLET,  BARBARA,  45°, 0.3 MM, 16 CM</v>
          </cell>
        </row>
        <row r="9927">
          <cell r="B9927" t="str">
            <v>36-024-12-07</v>
          </cell>
          <cell r="C9927" t="str">
            <v>HÄKCHEN,  BARBARA,  45°, 0,6 MM, 16 CM</v>
          </cell>
          <cell r="D9927" t="str">
            <v>HOOKLET,  BARBARA,  45°, 0.6 MM, 16 CM</v>
          </cell>
        </row>
        <row r="9928">
          <cell r="B9928" t="str">
            <v>36-024-13-07</v>
          </cell>
          <cell r="C9928" t="str">
            <v>HÄKCHEN,  BARBARA,  45°, 1,0 MM, 16 CM</v>
          </cell>
          <cell r="D9928" t="str">
            <v>HOOKLET,  BARBARA,  45°, 1.0 MM, 16 CM</v>
          </cell>
        </row>
        <row r="9929">
          <cell r="B9929" t="str">
            <v>36-024-14-07</v>
          </cell>
          <cell r="C9929" t="str">
            <v>HÄKCHEN,  BARBARA,  45°, 1,2 MM, 16 CM</v>
          </cell>
          <cell r="D9929" t="str">
            <v>HOOKLET,  BARBARA,  45°, 1.2 MM, 16 CM</v>
          </cell>
        </row>
        <row r="9930">
          <cell r="B9930" t="str">
            <v>36-024-15-07</v>
          </cell>
          <cell r="C9930" t="str">
            <v>HÄKCHEN,  BARBARA,  45°, 1,5 MM, 16 CM</v>
          </cell>
          <cell r="D9930" t="str">
            <v>HOOKLET,  BARBARA,  45°, 1.5 MM, 16 CM</v>
          </cell>
        </row>
        <row r="9931">
          <cell r="B9931" t="str">
            <v>36-024-16-07</v>
          </cell>
          <cell r="C9931" t="str">
            <v>HÄKCHEN,  BARBARA,  45°, 2,0 MM, 16 CM</v>
          </cell>
          <cell r="D9931" t="str">
            <v>HOOKLET,  BARBARA,  45°, 2.0 MM, 16 CM</v>
          </cell>
        </row>
        <row r="9932">
          <cell r="B9932" t="str">
            <v>36-024-17-07</v>
          </cell>
          <cell r="C9932" t="str">
            <v>HÄKCHEN,  BARBARA,  45°, 2,5 MM, 16 CM</v>
          </cell>
          <cell r="D9932" t="str">
            <v>HOOKLET,  BARBARA,  45°, 2.5 MM, 16 CM</v>
          </cell>
        </row>
        <row r="9933">
          <cell r="B9933" t="str">
            <v>36-024-21-07</v>
          </cell>
          <cell r="C9933" t="str">
            <v>HÄKCHEN,  BARBARA,  90°, 0,3 MM, 16 CM</v>
          </cell>
          <cell r="D9933" t="str">
            <v>HOOKLET,  BARBARA,  90°, 0.3 MM, 16 CM</v>
          </cell>
        </row>
        <row r="9934">
          <cell r="B9934" t="str">
            <v>36-024-22-07</v>
          </cell>
          <cell r="C9934" t="str">
            <v>HÄKCHEN,  BARBARA,  90°, 0,6 MM, 16 CM</v>
          </cell>
          <cell r="D9934" t="str">
            <v>HOOKLET,  BARBARA,  90°, 0.6 MM, 16 CM</v>
          </cell>
        </row>
        <row r="9935">
          <cell r="B9935" t="str">
            <v>36-024-23-07</v>
          </cell>
          <cell r="C9935" t="str">
            <v>HÄKCHEN,  BARBARA,  90°, 1,0 MM, 16 CM</v>
          </cell>
          <cell r="D9935" t="str">
            <v>HOOKLET,  BARBARA,  90°, 1.0 MM, 16 CM</v>
          </cell>
        </row>
        <row r="9936">
          <cell r="B9936" t="str">
            <v>36-024-24-07</v>
          </cell>
          <cell r="C9936" t="str">
            <v>HÄKCHEN,  BARBARA,  90°, 1,2 MM, 16 CM</v>
          </cell>
          <cell r="D9936" t="str">
            <v>HOOKLET,  BARBARA,  90°, 1.2 MM, 16 CM</v>
          </cell>
        </row>
        <row r="9937">
          <cell r="B9937" t="str">
            <v>36-024-25-07</v>
          </cell>
          <cell r="C9937" t="str">
            <v>HÄKCHEN,  BARBARA,  90°, 1,5 MM, 16 CM</v>
          </cell>
          <cell r="D9937" t="str">
            <v>HOOKLET,  BARBARA,  90°, 1.5 MM, 16 CM</v>
          </cell>
        </row>
        <row r="9938">
          <cell r="B9938" t="str">
            <v>36-024-26-07</v>
          </cell>
          <cell r="C9938" t="str">
            <v>HÄKCHEN,  BARBARA,  90°, 2,0 MM, 16 CM</v>
          </cell>
          <cell r="D9938" t="str">
            <v>HOOKLET,  BARBARA,  90°, 2.0 MM, 16 CM</v>
          </cell>
        </row>
        <row r="9939">
          <cell r="B9939" t="str">
            <v>36-024-27-07</v>
          </cell>
          <cell r="C9939" t="str">
            <v>HÄKCHEN,  BARBARA,  90°, 2,5 MM, 16 CM</v>
          </cell>
          <cell r="D9939" t="str">
            <v>HOOKLET,  BARBARA,  90°, 2.5 MM, 16 CM</v>
          </cell>
        </row>
        <row r="9940">
          <cell r="B9940" t="str">
            <v>36-024-31-07</v>
          </cell>
          <cell r="C9940" t="str">
            <v>HÄKCHEN,  BARBARA,  GEB., 0,5 MM, 16 CM</v>
          </cell>
          <cell r="D9940" t="str">
            <v>HOOKLET,  BARBARA,  CVD., 0.5 MM, 16 CM</v>
          </cell>
        </row>
        <row r="9941">
          <cell r="B9941" t="str">
            <v>36-024-32-07</v>
          </cell>
          <cell r="C9941" t="str">
            <v>HÄKCHEN,  BARBARA,  GEB., 1,0 MM, 16 CM</v>
          </cell>
          <cell r="D9941" t="str">
            <v>HOOKLET,  BARBARA,  CVD., 1.0 MM, 16 CM</v>
          </cell>
        </row>
        <row r="9942">
          <cell r="B9942" t="str">
            <v>36-025-01-07</v>
          </cell>
          <cell r="C9942" t="str">
            <v>HÄKCHEN,  0,3 MM, 90° AUFGEW.  , 15,5 CM</v>
          </cell>
          <cell r="D9942" t="str">
            <v>HOOKLET,  0.3 MM, 90° CVD. UP, 15.5 CM</v>
          </cell>
        </row>
        <row r="9943">
          <cell r="B9943" t="str">
            <v>36-025-02-07</v>
          </cell>
          <cell r="C9943" t="str">
            <v>HÄKCHEN,  0,6 MM, 90° AUFGEW.  , 15,5 CM</v>
          </cell>
          <cell r="D9943" t="str">
            <v>HOOKLET,  0.6 MM, 90° CVD. UP, 15.5 CM</v>
          </cell>
        </row>
        <row r="9944">
          <cell r="B9944" t="str">
            <v>36-025-03-07</v>
          </cell>
          <cell r="C9944" t="str">
            <v>HÄKCHEN,  1,0 MM, 90° AUFGEW.  , 15,5 CM</v>
          </cell>
          <cell r="D9944" t="str">
            <v>HOOKLET,  1.0 MM, 90° CVD. UP, 15.5 CM</v>
          </cell>
        </row>
        <row r="9945">
          <cell r="B9945" t="str">
            <v>36-025-06-07</v>
          </cell>
          <cell r="C9945" t="str">
            <v>HÄKCHEN,  0,3 MM, 90° ABGEW. , 15,5 CM</v>
          </cell>
          <cell r="D9945" t="str">
            <v>HOOKLET,  0.3 MM, 90° CVD. DOWN, 15.5 CM</v>
          </cell>
        </row>
        <row r="9946">
          <cell r="B9946" t="str">
            <v>36-025-07-07</v>
          </cell>
          <cell r="C9946" t="str">
            <v>HÄKCHEN,  0,6 MM, 90° ABGEW. , 15,5 CM</v>
          </cell>
          <cell r="D9946" t="str">
            <v>HOOKLET,  0.6 MM, 90° CVD. DOWN, 15.5 CM</v>
          </cell>
        </row>
        <row r="9947">
          <cell r="B9947" t="str">
            <v>36-025-08-07</v>
          </cell>
          <cell r="C9947" t="str">
            <v>HÄKCHEN,  1,0 MM, 90° ABGEW. , 15,5 CM</v>
          </cell>
          <cell r="D9947" t="str">
            <v>HOOKLET,  1.0 MM, 90° CVD. DOWN, 15.5 CM</v>
          </cell>
        </row>
        <row r="9948">
          <cell r="B9948" t="str">
            <v>36-027-01-07</v>
          </cell>
          <cell r="C9948" t="str">
            <v>HÄKCHEN,  0,5 MM, AUFGEB.,  15,5 CM</v>
          </cell>
          <cell r="D9948" t="str">
            <v>HOOKLET,  0.5 MM, CVD. UP, 15.5 CM</v>
          </cell>
        </row>
        <row r="9949">
          <cell r="B9949" t="str">
            <v>36-027-02-07</v>
          </cell>
          <cell r="C9949" t="str">
            <v>HÄKCHEN,  1,0 MM, AUFGEB.,  15,5 CM</v>
          </cell>
          <cell r="D9949" t="str">
            <v>HOOKLET,  1.0 MM, CVD. UP, 15.5 CM</v>
          </cell>
        </row>
        <row r="9950">
          <cell r="B9950" t="str">
            <v>36-027-11-07</v>
          </cell>
          <cell r="C9950" t="str">
            <v>HÄKCHEN,  0,5 MM, ABGEB., 15,5 CM</v>
          </cell>
          <cell r="D9950" t="str">
            <v>HOOKLET,  0.5 MM, CVD. DOWN, 15.5 CM</v>
          </cell>
        </row>
        <row r="9951">
          <cell r="B9951" t="str">
            <v>36-027-12-07</v>
          </cell>
          <cell r="C9951" t="str">
            <v>HÄKCHEN,  1,0 MM, ABGEB., 15,5 CM</v>
          </cell>
          <cell r="D9951" t="str">
            <v>HOOKLET,  1.0 MM, CVD. DOWN, 15.5 CM</v>
          </cell>
        </row>
        <row r="9952">
          <cell r="B9952" t="str">
            <v>36-029-01-07</v>
          </cell>
          <cell r="C9952" t="str">
            <v>NADEL, BARBARA,  GEW., 15,5 CM</v>
          </cell>
          <cell r="D9952" t="str">
            <v>NEEDLE, BARBARA,  ANG., 15.5 CM</v>
          </cell>
        </row>
        <row r="9953">
          <cell r="B9953" t="str">
            <v>36-029-06-07</v>
          </cell>
          <cell r="C9953" t="str">
            <v>NADEL, BARBARA,  GEW., GEB., 15,5 CM</v>
          </cell>
          <cell r="D9953" t="str">
            <v>NEEDLE, BARBARA,  ANG., CVD., 15.5 CM</v>
          </cell>
        </row>
        <row r="9954">
          <cell r="B9954" t="str">
            <v>36-030-06-07</v>
          </cell>
          <cell r="C9954" t="str">
            <v>MIKRO-OHRHÄKCHEN, 25°, 0,3 MM, 15 CM</v>
          </cell>
          <cell r="D9954" t="str">
            <v>MICRO EAR HOOK, 25°, 0.3 MM, 15 CM</v>
          </cell>
        </row>
        <row r="9955">
          <cell r="B9955" t="str">
            <v>36-030-07-07</v>
          </cell>
          <cell r="C9955" t="str">
            <v>MIKRO-OHRHÄKCHEN, 25°, 0,6 MM, 15 CM</v>
          </cell>
          <cell r="D9955" t="str">
            <v>MICRO EAR HOOK, 25°, 0.6 MM, 15 CM</v>
          </cell>
        </row>
        <row r="9956">
          <cell r="B9956" t="str">
            <v>36-030-08-07</v>
          </cell>
          <cell r="C9956" t="str">
            <v>MIKRO-OHRHÄKCHEN, SHAMB.,  1,0 MM, 15 CM</v>
          </cell>
          <cell r="D9956" t="str">
            <v>MICRO EAR HOOK, SHAMB.,  1.0 MM, 15 CM</v>
          </cell>
        </row>
        <row r="9957">
          <cell r="B9957" t="str">
            <v>36-030-11-07</v>
          </cell>
          <cell r="C9957" t="str">
            <v>MIKRO-OHRHÄKCHEN, 45°, 0,3 MM, 15 CM</v>
          </cell>
          <cell r="D9957" t="str">
            <v>MICRO EAR HOOK, 45°, 0.3 MM, 15 CM</v>
          </cell>
        </row>
        <row r="9958">
          <cell r="B9958" t="str">
            <v>36-030-12-07</v>
          </cell>
          <cell r="C9958" t="str">
            <v>MIKRO-OHRHÄKCHEN, 45°, 0,6 MM, 15 CM</v>
          </cell>
          <cell r="D9958" t="str">
            <v>MICRO EAR HOOK, 45°, 0.6 MM, 15 CM</v>
          </cell>
        </row>
        <row r="9959">
          <cell r="B9959" t="str">
            <v>36-030-13-07</v>
          </cell>
          <cell r="C9959" t="str">
            <v>MIKRO-OHRHÄKCHEN, SHAMB.,  1,0 MM, 15 CM</v>
          </cell>
          <cell r="D9959" t="str">
            <v>MICRO EAR HOOK, SHAMBAUGH, 1.0 MM, 15 CM</v>
          </cell>
        </row>
        <row r="9960">
          <cell r="B9960" t="str">
            <v>36-030-20-07</v>
          </cell>
          <cell r="C9960" t="str">
            <v>SONDIERHAKEN, SHEA, 45°, 2,0 MM, 15 CM</v>
          </cell>
          <cell r="D9960" t="str">
            <v>EXPLORING HOOK, SHEA, 45°, 2.0 MM, 15 CM</v>
          </cell>
        </row>
        <row r="9961">
          <cell r="B9961" t="str">
            <v>36-030-30-07</v>
          </cell>
          <cell r="C9961" t="str">
            <v>ATTIKUSDISSEKTOR, AUSTIN, 3,0 MM, 15 CM</v>
          </cell>
          <cell r="D9961" t="str">
            <v>ATTICUS DISSECTOR, AUSTIN, 3.0 MM, 15 CM</v>
          </cell>
        </row>
        <row r="9962">
          <cell r="B9962" t="str">
            <v>36-036-01-07</v>
          </cell>
          <cell r="C9962" t="str">
            <v>DISSEKTOR, FISCH, RE. GEB., 15 CM</v>
          </cell>
          <cell r="D9962" t="str">
            <v>DISSECTOR, FISCH, RIGHT, CVD., 15 CM</v>
          </cell>
        </row>
        <row r="9963">
          <cell r="B9963" t="str">
            <v>36-036-02-07</v>
          </cell>
          <cell r="C9963" t="str">
            <v>DISSEKTOR, FISCH, LI. GEB., 15 CM</v>
          </cell>
          <cell r="D9963" t="str">
            <v>DISSECTOR, FISCH, LEFT, CVD., 15 CM</v>
          </cell>
        </row>
        <row r="9964">
          <cell r="B9964" t="str">
            <v>36-036-05-07</v>
          </cell>
          <cell r="C9964" t="str">
            <v>DISSEKTOR, FISCH, RE. ABGEW.,  15,5 CM</v>
          </cell>
          <cell r="D9964" t="str">
            <v>DISSECTOR, FISCH, RIGHT, ANG., 15.5 CM</v>
          </cell>
        </row>
        <row r="9965">
          <cell r="B9965" t="str">
            <v>36-036-06-07</v>
          </cell>
          <cell r="C9965" t="str">
            <v>DISSEKTOR, FISCH, LI. ABGEW.,  15,5 CM</v>
          </cell>
          <cell r="D9965" t="str">
            <v>DISSECTOR, FISCH, LEFT, ANG., 15.5 CM</v>
          </cell>
        </row>
        <row r="9966">
          <cell r="B9966" t="str">
            <v>36-036-23-07</v>
          </cell>
          <cell r="C9966" t="str">
            <v>MIKRORASPATORIUM, ROSEN, GEB., 1,2 MM</v>
          </cell>
          <cell r="D9966" t="str">
            <v>MICRO RASPATORY, ROSEN, CVD. 1.2 MM</v>
          </cell>
        </row>
        <row r="9967">
          <cell r="B9967" t="str">
            <v>36-038-01-07</v>
          </cell>
          <cell r="C9967" t="str">
            <v>MESSSONDE, MARKIERG. BIS 3,5 MM, 15,5 CM</v>
          </cell>
          <cell r="D9967" t="str">
            <v>MEASURING PROBE, UP TO 3.5 MM, 15.5 CM</v>
          </cell>
        </row>
        <row r="9968">
          <cell r="B9968" t="str">
            <v>36-038-02-07</v>
          </cell>
          <cell r="C9968" t="str">
            <v>MESSSONDE, MARKIERG. BIS 4,0 MM, 15,5 CM</v>
          </cell>
          <cell r="D9968" t="str">
            <v>MEASURING PROBE, UP TO 4.0 MM, 15.5 CM</v>
          </cell>
        </row>
        <row r="9969">
          <cell r="B9969" t="str">
            <v>36-038-03-07</v>
          </cell>
          <cell r="C9969" t="str">
            <v>MESSSONDE, MARKIERG. BIS 4,5 MM, 15,5 CM</v>
          </cell>
          <cell r="D9969" t="str">
            <v>MEASURING PROBE, UP TO 4.5 MM, 15.5 CM</v>
          </cell>
        </row>
        <row r="9970">
          <cell r="B9970" t="str">
            <v>36-044-01-07</v>
          </cell>
          <cell r="C9970" t="str">
            <v>DOPPELKÜRETTE, 1,0/1,2 MM, 14,5 CM</v>
          </cell>
          <cell r="D9970" t="str">
            <v>EAR CURETTE,  HOUSE, 1.0/1.2 MM, 14.5 CM</v>
          </cell>
        </row>
        <row r="9971">
          <cell r="B9971" t="str">
            <v>36-044-02-07</v>
          </cell>
          <cell r="C9971" t="str">
            <v>DOPPELKÜRETTE, 1,5/1,8 MM, 14,5 CM</v>
          </cell>
          <cell r="D9971" t="str">
            <v>EAR CURETTE,  HOUSE, 1.5/1.8 MM, 14.5 CM</v>
          </cell>
        </row>
        <row r="9972">
          <cell r="B9972" t="str">
            <v>36-044-03-07</v>
          </cell>
          <cell r="C9972" t="str">
            <v>DOPPELKÜRETTE, 1,0/1,2 MM, 14,5 CM</v>
          </cell>
          <cell r="D9972" t="str">
            <v>EAR CURETTE,  HOUSE, 1.0/1.2 MM, 14.5 CM</v>
          </cell>
        </row>
        <row r="9973">
          <cell r="B9973" t="str">
            <v>36-112-03-01</v>
          </cell>
          <cell r="C9973" t="str">
            <v>OHRSPEKULA-SATZ, HARTMANN, FIG. 0 - 2</v>
          </cell>
          <cell r="D9973" t="str">
            <v>EAR SPECULA-SET, HARTMANN, NO. 0 - 2</v>
          </cell>
        </row>
        <row r="9974">
          <cell r="B9974" t="str">
            <v>36-112-10-01</v>
          </cell>
          <cell r="C9974" t="str">
            <v>OHRSPEKULUM, HARTMANN, FIG. 0, Ø 3,0 MM</v>
          </cell>
          <cell r="D9974" t="str">
            <v>EAR SPECULUM, HARTMANN, NO. 0, Ø 3.0 MM</v>
          </cell>
        </row>
        <row r="9975">
          <cell r="B9975" t="str">
            <v>36-112-11-01</v>
          </cell>
          <cell r="C9975" t="str">
            <v>OHRSPEKULUM, HARTMANN, FIG. 1, Ø 4,0 MM</v>
          </cell>
          <cell r="D9975" t="str">
            <v>EAR SPECULUM, HARTMANN, NO. 1, Ø 4.0 MM</v>
          </cell>
        </row>
        <row r="9976">
          <cell r="B9976" t="str">
            <v>36-112-12-01</v>
          </cell>
          <cell r="C9976" t="str">
            <v>OHRSPEKULUM, HARTMANN, FIG. 2, Ø 5,0 MM</v>
          </cell>
          <cell r="D9976" t="str">
            <v>EAR SPECULUM, HARTMANN, NO. 2, Ø 5.0 MM</v>
          </cell>
        </row>
        <row r="9977">
          <cell r="B9977" t="str">
            <v>36-112-13-01</v>
          </cell>
          <cell r="C9977" t="str">
            <v>OHRSPEKULUM, HARTMANN, FIG. 3, Ø 6,0 MM</v>
          </cell>
          <cell r="D9977" t="str">
            <v>EAR SPECULUM, HARTMANN, NO. 3, Ø 6.0 MM</v>
          </cell>
        </row>
        <row r="9978">
          <cell r="B9978" t="str">
            <v>36-112-14-01</v>
          </cell>
          <cell r="C9978" t="str">
            <v>OHRSPEKULUM, HARTMANN, FIG. 4, Ø 7,5 MM</v>
          </cell>
          <cell r="D9978" t="str">
            <v>EAR SPECULUM, HARTMANN, NO. 4, Ø 7.5 MM</v>
          </cell>
        </row>
        <row r="9979">
          <cell r="B9979" t="str">
            <v>36-114-03-01</v>
          </cell>
          <cell r="C9979" t="str">
            <v>OHRSPEKULA-SATZ, HARTMANN, FIG. 2 - 4</v>
          </cell>
          <cell r="D9979" t="str">
            <v>EAR SPECULA-SET, HARTMANN, NO. 2 - 4</v>
          </cell>
        </row>
        <row r="9980">
          <cell r="B9980" t="str">
            <v>36-115-04-01</v>
          </cell>
          <cell r="C9980" t="str">
            <v>OHRSPEKULA-SATZ, HARTMANN, FIG. 1 - 4</v>
          </cell>
          <cell r="D9980" t="str">
            <v>EAR SPECULA-SET, HARTMANN, NO. 1 - 4</v>
          </cell>
        </row>
        <row r="9981">
          <cell r="B9981" t="str">
            <v>36-118-03-01</v>
          </cell>
          <cell r="C9981" t="str">
            <v>OHRSPEKULA-SATZ, TOYNBEE,  FIG. 2 - 4</v>
          </cell>
          <cell r="D9981" t="str">
            <v>EAR SPECULA-SET, TOYNBEE,  NO. 2 - 4</v>
          </cell>
        </row>
        <row r="9982">
          <cell r="B9982" t="str">
            <v>36-118-11-01</v>
          </cell>
          <cell r="C9982" t="str">
            <v>OHRSPEKULUM, TOYNBEE,  FIG. 1, Ø 4,0 MM</v>
          </cell>
          <cell r="D9982" t="str">
            <v>EAR SPECULUM, TOYNBEE,  NO. 1, Ø 4.0 MM</v>
          </cell>
        </row>
        <row r="9983">
          <cell r="B9983" t="str">
            <v>36-118-12-01</v>
          </cell>
          <cell r="C9983" t="str">
            <v>OHRSPEKULUM, TOYNBEE,  FIG. 2, Ø 5,0 MM</v>
          </cell>
          <cell r="D9983" t="str">
            <v>EAR SPECULUM, TOYNBEE,  NO. 2, Ø 5.0 MM</v>
          </cell>
        </row>
        <row r="9984">
          <cell r="B9984" t="str">
            <v>36-118-13-01</v>
          </cell>
          <cell r="C9984" t="str">
            <v>OHRSPEKULUM, TOYNBEE,  FIG. 3, Ø 6,0 MM</v>
          </cell>
          <cell r="D9984" t="str">
            <v>EAR SPECULUM, TOYNBEE,  NO. 3, Ø 6.0 MM</v>
          </cell>
        </row>
        <row r="9985">
          <cell r="B9985" t="str">
            <v>36-118-14-01</v>
          </cell>
          <cell r="C9985" t="str">
            <v>OHRSPEKULUM, TOYNBEE,  FIG. 4, Ø 7,5 MM</v>
          </cell>
          <cell r="D9985" t="str">
            <v>EAR SPECULUM, TOYNBEE,  NO. 4, Ø 7.5 MM</v>
          </cell>
        </row>
        <row r="9986">
          <cell r="B9986" t="str">
            <v>36-119-04-01</v>
          </cell>
          <cell r="C9986" t="str">
            <v>OHRSPEKULA-SATZ, TOYNBEE,  FIG. 1-4</v>
          </cell>
          <cell r="D9986" t="str">
            <v>EAR SPECULA-SET, TOYNBEE,  NO. 1-4</v>
          </cell>
        </row>
        <row r="9987">
          <cell r="B9987" t="str">
            <v>36-134-01-07</v>
          </cell>
          <cell r="C9987" t="str">
            <v>OHRSPEKULUM, FARRIOR,  FIG. 1, Ø 5,5 MM</v>
          </cell>
          <cell r="D9987" t="str">
            <v>EAR SPECULUM, FARRIOR,  NO. 1, Ø 5.5 MM</v>
          </cell>
        </row>
        <row r="9988">
          <cell r="B9988" t="str">
            <v>36-134-02-07</v>
          </cell>
          <cell r="C9988" t="str">
            <v>OHRSPEKULUM, FARRIOR,  FIG. 2, Ø 6,5 MM</v>
          </cell>
          <cell r="D9988" t="str">
            <v>EAR SPECULUM, FARRIOR,  NO. 2, Ø 6.5 MM</v>
          </cell>
        </row>
        <row r="9989">
          <cell r="B9989" t="str">
            <v>36-134-03-07</v>
          </cell>
          <cell r="C9989" t="str">
            <v>OHRSPEKULUM, FARRIOR,  FIG. 3, Ø 7,5 MM</v>
          </cell>
          <cell r="D9989" t="str">
            <v>EAR SPECULUM, FARRIOR,  NO. 3, Ø 7.5 MM</v>
          </cell>
        </row>
        <row r="9990">
          <cell r="B9990" t="str">
            <v>36-134-04-07</v>
          </cell>
          <cell r="C9990" t="str">
            <v>OHRSPEKULUM, FARRIOR,  FIG. 4, Ø 8,5 MM</v>
          </cell>
          <cell r="D9990" t="str">
            <v>EAR SPECULUM, FARRIOR,  NO. 4, Ø 8.5 MM</v>
          </cell>
        </row>
        <row r="9991">
          <cell r="B9991" t="str">
            <v>36-134-05-07</v>
          </cell>
          <cell r="C9991" t="str">
            <v>OHRSPEKULUM, FARRIOR,  FIG. 5, Ø 9,5 MM</v>
          </cell>
          <cell r="D9991" t="str">
            <v>EAR SPECULUM, FARRIOR,  NO. 5, Ø 9.5 MM</v>
          </cell>
        </row>
        <row r="9992">
          <cell r="B9992" t="str">
            <v>36-134-06-07</v>
          </cell>
          <cell r="C9992" t="str">
            <v>OHRSPEKULUM, FARRIOR,  FIG. 6, Ø 10,5 MM</v>
          </cell>
          <cell r="D9992" t="str">
            <v>EAR SPECULUM, FARRIOR,  NO. 6, Ø 10.5 MM</v>
          </cell>
        </row>
        <row r="9993">
          <cell r="B9993" t="str">
            <v>36-134-07-07</v>
          </cell>
          <cell r="C9993" t="str">
            <v>OHRSPEKULUM, FARRIOR,  FIG. 7, Ø 11,5 MM</v>
          </cell>
          <cell r="D9993" t="str">
            <v>EAR SPECULUM, FARRIOR,  NO. 7, Ø 11.5 MM</v>
          </cell>
        </row>
        <row r="9994">
          <cell r="B9994" t="str">
            <v>36-170-07-04</v>
          </cell>
          <cell r="C9994" t="str">
            <v>STIMMGABEL, FRENCH, C2 16</v>
          </cell>
          <cell r="D9994" t="str">
            <v>TUNING FORK, FRENCH, C2 16</v>
          </cell>
        </row>
        <row r="9995">
          <cell r="B9995" t="str">
            <v>36-172-08-04</v>
          </cell>
          <cell r="C9995" t="str">
            <v>STIMMGABEL, FRENCH, C1 32</v>
          </cell>
          <cell r="D9995" t="str">
            <v>TUNING FORK, FRENCH, C1 32</v>
          </cell>
        </row>
        <row r="9996">
          <cell r="B9996" t="str">
            <v>36-174-09-04</v>
          </cell>
          <cell r="C9996" t="str">
            <v>STIMMGABEL, HARTMANN, C 64</v>
          </cell>
          <cell r="D9996" t="str">
            <v>TUNING FORK, HARTMANN, C 64</v>
          </cell>
        </row>
        <row r="9997">
          <cell r="B9997" t="str">
            <v>36-175-10-04</v>
          </cell>
          <cell r="C9997" t="str">
            <v>STIMMGABEL, HARTMANN, C 128</v>
          </cell>
          <cell r="D9997" t="str">
            <v>TUNING FORK, HARTMANN, C 128</v>
          </cell>
        </row>
        <row r="9998">
          <cell r="B9998" t="str">
            <v>36-177-11-04</v>
          </cell>
          <cell r="C9998" t="str">
            <v>STIMMGABEL, HARTMANN, C1 256</v>
          </cell>
          <cell r="D9998" t="str">
            <v>TUNING FORK, HARTMANN, C1 256</v>
          </cell>
        </row>
        <row r="9999">
          <cell r="B9999" t="str">
            <v>36-180-10-04</v>
          </cell>
          <cell r="C9999" t="str">
            <v>STIMMGABEL, MARTIN-ALU, C 128</v>
          </cell>
          <cell r="D9999" t="str">
            <v>TUNING FORK, MARTIN-ALU, C 128</v>
          </cell>
        </row>
        <row r="10000">
          <cell r="B10000" t="str">
            <v>36-182-11-04</v>
          </cell>
          <cell r="C10000" t="str">
            <v>STIMMGABEL, MARTIN-ALU, C1 256</v>
          </cell>
          <cell r="D10000" t="str">
            <v>TUNING FORK, MARTIN-ALU, C1 256</v>
          </cell>
        </row>
        <row r="10001">
          <cell r="B10001" t="str">
            <v>36-184-12-04</v>
          </cell>
          <cell r="C10001" t="str">
            <v>STIMMGABEL, MARTIN-ALU, C2 512</v>
          </cell>
          <cell r="D10001" t="str">
            <v>TUNING FORK, MARTIN-ALU, C2 512</v>
          </cell>
        </row>
        <row r="10002">
          <cell r="B10002" t="str">
            <v>36-186-13-04</v>
          </cell>
          <cell r="C10002" t="str">
            <v>STIMMGABEL, MARTIN-ALU, C3 1024</v>
          </cell>
          <cell r="D10002" t="str">
            <v>TUNING FORK, MARTIN-ALU, C3 1024</v>
          </cell>
        </row>
        <row r="10003">
          <cell r="B10003" t="str">
            <v>36-188-14-04</v>
          </cell>
          <cell r="C10003" t="str">
            <v>STIMMGABEL, MARTIN-ALU, C4 2048</v>
          </cell>
          <cell r="D10003" t="str">
            <v>TUNING FORK, MARTIN-ALU, C4 2048</v>
          </cell>
        </row>
        <row r="10004">
          <cell r="B10004" t="str">
            <v>36-189-10-04</v>
          </cell>
          <cell r="C10004" t="str">
            <v>STIMMGABEL, HARTMANN, C 128</v>
          </cell>
          <cell r="D10004" t="str">
            <v>TUNING FORK, HARTMANN, C 128</v>
          </cell>
        </row>
        <row r="10005">
          <cell r="B10005" t="str">
            <v>36-192-11-04</v>
          </cell>
          <cell r="C10005" t="str">
            <v>STIMMGABEL, HARTMANN, C1 256</v>
          </cell>
          <cell r="D10005" t="str">
            <v>TUNING FORK, HARTMANN, C1 256</v>
          </cell>
        </row>
        <row r="10006">
          <cell r="B10006" t="str">
            <v>36-194-12-04</v>
          </cell>
          <cell r="C10006" t="str">
            <v>STIMMGABEL, HARTMANN, C2 512</v>
          </cell>
          <cell r="D10006" t="str">
            <v>TUNING FORK, HARTMANN, C2 512</v>
          </cell>
        </row>
        <row r="10007">
          <cell r="B10007" t="str">
            <v>36-196-13-04</v>
          </cell>
          <cell r="C10007" t="str">
            <v>STIMMGABEL, HARTMANN, C3 1024</v>
          </cell>
          <cell r="D10007" t="str">
            <v>TUNING FORK, HARTMANN, C3 1024</v>
          </cell>
        </row>
        <row r="10008">
          <cell r="B10008" t="str">
            <v>36-198-14-04</v>
          </cell>
          <cell r="C10008" t="str">
            <v>STIMMGABEL, HARTMANN, C4 2048</v>
          </cell>
          <cell r="D10008" t="str">
            <v>TUNING FORK, HARTMANN, C4 2048</v>
          </cell>
        </row>
        <row r="10009">
          <cell r="B10009" t="str">
            <v>36-200-15-04</v>
          </cell>
          <cell r="C10009" t="str">
            <v>STIMMGABEL, HARTMANN, C5 4096</v>
          </cell>
          <cell r="D10009" t="str">
            <v>TUNING FORK, HARTMANN, C5 4096</v>
          </cell>
        </row>
        <row r="10010">
          <cell r="B10010" t="str">
            <v>36-210-10-04</v>
          </cell>
          <cell r="C10010" t="str">
            <v>STIMMGABEL, LUCAE, M. FUSS, C 128</v>
          </cell>
          <cell r="D10010" t="str">
            <v>TUNING FORK, LUCAE, W. SOCKET, C 128</v>
          </cell>
        </row>
        <row r="10011">
          <cell r="B10011" t="str">
            <v>36-212-11-04</v>
          </cell>
          <cell r="C10011" t="str">
            <v>STIMMGABEL, LUCAE, M. FUSS, C1 256</v>
          </cell>
          <cell r="D10011" t="str">
            <v>TUNING FORK, LUCAE, W. SOCKET, C1 256</v>
          </cell>
        </row>
        <row r="10012">
          <cell r="B10012" t="str">
            <v>36-214-12-04</v>
          </cell>
          <cell r="C10012" t="str">
            <v>STIMMGABEL, LUCAE, M. FUSS, C2 512</v>
          </cell>
          <cell r="D10012" t="str">
            <v>TUNING FORK, LUCAE, W. SOCKET, C2 512</v>
          </cell>
        </row>
        <row r="10013">
          <cell r="B10013" t="str">
            <v>36-216-13-04</v>
          </cell>
          <cell r="C10013" t="str">
            <v>STIMMGABEL, LUCAE, M. FUSS, C3 1024</v>
          </cell>
          <cell r="D10013" t="str">
            <v>TUNING FORK, LUCAE, W. SOCKET, C3 1024</v>
          </cell>
        </row>
        <row r="10014">
          <cell r="B10014" t="str">
            <v>36-218-14-04</v>
          </cell>
          <cell r="C10014" t="str">
            <v>STIMMGABEL, LUCAE, M. FUSS, C4 2048</v>
          </cell>
          <cell r="D10014" t="str">
            <v>TUNING FORK, LUCAE, W. SOCKET, C4 2048</v>
          </cell>
        </row>
        <row r="10015">
          <cell r="B10015" t="str">
            <v>36-220-15-04</v>
          </cell>
          <cell r="C10015" t="str">
            <v>STIMMGABEL, LUCAE, M. FUSS, C5 4096</v>
          </cell>
          <cell r="D10015" t="str">
            <v>TUNING FORK, LUCAE, W. SOCKET, C5 4096</v>
          </cell>
        </row>
        <row r="10016">
          <cell r="B10016" t="str">
            <v>36-221-10-04</v>
          </cell>
          <cell r="C10016" t="str">
            <v>STIMMGABEL, LUCAE, VARIABEL,  C 128</v>
          </cell>
          <cell r="D10016" t="str">
            <v>TUNING FORK, LUCAE, VARIABLY,  C 128</v>
          </cell>
        </row>
        <row r="10017">
          <cell r="B10017" t="str">
            <v>36-222-10-04</v>
          </cell>
          <cell r="C10017" t="str">
            <v>STIMMGABEL, HARTMANN, VARIABEL,  C 128</v>
          </cell>
          <cell r="D10017" t="str">
            <v>TUNING FORK, HARTMANN, VARIABLY,  C 128</v>
          </cell>
        </row>
        <row r="10018">
          <cell r="B10018" t="str">
            <v>36-223-11-04</v>
          </cell>
          <cell r="C10018" t="str">
            <v>STIMMGABEL, HARTMANN, C1 256</v>
          </cell>
          <cell r="D10018" t="str">
            <v>TUNING FORK, HARTMANN, C1 256</v>
          </cell>
        </row>
        <row r="10019">
          <cell r="B10019" t="str">
            <v>36-224-10-04</v>
          </cell>
          <cell r="C10019" t="str">
            <v>STIMMGABEL, RYDEL-SEIFFER, C 64/C 128</v>
          </cell>
          <cell r="D10019" t="str">
            <v>TUNING FORK, RYDEL-SEIFFER, C 64/C 128</v>
          </cell>
        </row>
        <row r="10020">
          <cell r="B10020" t="str">
            <v>36-230-59-04</v>
          </cell>
          <cell r="C10020" t="str">
            <v>STIMMGABEL, KÖNIG, M. FUSS, A 109</v>
          </cell>
          <cell r="D10020" t="str">
            <v>TUNING FORK, KOENIG, W. SOCKET, A 109</v>
          </cell>
        </row>
        <row r="10021">
          <cell r="B10021" t="str">
            <v>36-234-61-04</v>
          </cell>
          <cell r="C10021" t="str">
            <v>STIMMGABEL, M. FUSS, a1 440</v>
          </cell>
          <cell r="D10021" t="str">
            <v>TUNING FORK, W. SOCKET, a1 440</v>
          </cell>
        </row>
        <row r="10022">
          <cell r="B10022" t="str">
            <v>36-316-11-07</v>
          </cell>
          <cell r="C10022" t="str">
            <v>Nasenzange, Henckel-Tilley, 6,5 mm, 11cm</v>
          </cell>
          <cell r="D10022" t="str">
            <v>Nasal fcps., Henckel-Tilley, 6.5mm, 11cm</v>
          </cell>
        </row>
        <row r="10023">
          <cell r="B10023" t="str">
            <v>36-321-01-01</v>
          </cell>
          <cell r="C10023" t="str">
            <v>OHRKATHETER, HARTMANN, FIG. 1, 15 CM</v>
          </cell>
          <cell r="D10023" t="str">
            <v>EUSTACH.  CATHET.,  HARTMANN, NO. 1, 15 CM</v>
          </cell>
        </row>
        <row r="10024">
          <cell r="B10024" t="str">
            <v>36-321-02-01</v>
          </cell>
          <cell r="C10024" t="str">
            <v>OHRKATHETER, HARTMANN, FIG. 2, 15 CM</v>
          </cell>
          <cell r="D10024" t="str">
            <v>EUSTACH.  CATHET.,  HARTMANN, NO. 2, 15 CM</v>
          </cell>
        </row>
        <row r="10025">
          <cell r="B10025" t="str">
            <v>36-321-03-01</v>
          </cell>
          <cell r="C10025" t="str">
            <v>OHRKATHETER, HARTMANN, FIG. 3, 15 CM</v>
          </cell>
          <cell r="D10025" t="str">
            <v>EUSTACH.  CATHET.,  HARTMANN, NO. 3, 15 CM</v>
          </cell>
        </row>
        <row r="10026">
          <cell r="B10026" t="str">
            <v>36-351-16-07</v>
          </cell>
          <cell r="C10026" t="str">
            <v>POLYPENSCHNÜRER, KRAUSE, 18,5 CM</v>
          </cell>
          <cell r="D10026" t="str">
            <v>EAR POLYPUS  SNARE, KRAUSE, 18.5 CM</v>
          </cell>
        </row>
        <row r="10027">
          <cell r="B10027" t="str">
            <v>36-353-16-07</v>
          </cell>
          <cell r="C10027" t="str">
            <v>POLYPENSCHNÜRER, KRAUSE-VOSS, 18,5 CM</v>
          </cell>
          <cell r="D10027" t="str">
            <v>EAR POLYPUS  SNARE, KRAUSE-VOSS, 18.5 CM</v>
          </cell>
        </row>
        <row r="10028">
          <cell r="B10028" t="str">
            <v>36-371-11-07</v>
          </cell>
          <cell r="C10028" t="str">
            <v>OHRPINZETTE, TROELTSCH, FEIN, 10,5 CM</v>
          </cell>
          <cell r="D10028" t="str">
            <v>EAR DRESS. FORCEPS,  TROELTSCH, 10.5 CM</v>
          </cell>
        </row>
        <row r="10029">
          <cell r="B10029" t="str">
            <v>36-375-12-07</v>
          </cell>
          <cell r="C10029" t="str">
            <v>OHRPINZETTE, TROELTSCH, 11 CM</v>
          </cell>
          <cell r="D10029" t="str">
            <v>EAR DRESS. FORCEPS,  TROELTSCH, 11 CM</v>
          </cell>
        </row>
        <row r="10030">
          <cell r="B10030" t="str">
            <v>36-381-13-07</v>
          </cell>
          <cell r="C10030" t="str">
            <v>OHRPINZETTE, TROELTSCH, BULLD., 12,5 CM</v>
          </cell>
          <cell r="D10030" t="str">
            <v>EAR FORCEPS,  TROELTSCH, BULLD., 12.5 CM</v>
          </cell>
        </row>
        <row r="10031">
          <cell r="B10031" t="str">
            <v>36-391-14-07</v>
          </cell>
          <cell r="C10031" t="str">
            <v>OHRPINZETTE, GRÜNWALD, BAJON., 14,5 CM</v>
          </cell>
          <cell r="D10031" t="str">
            <v>EAR FORCEPS,  GRUENWALD, BAYON., 14.5 CM</v>
          </cell>
        </row>
        <row r="10032">
          <cell r="B10032" t="str">
            <v>36-395-16-07</v>
          </cell>
          <cell r="C10032" t="str">
            <v>OHRPINZETTE, JANSEN, BAJONETTF., 16 CM</v>
          </cell>
          <cell r="D10032" t="str">
            <v>EAR DRESS. FCPS., JANSEN, BAYO., 16 CM</v>
          </cell>
        </row>
        <row r="10033">
          <cell r="B10033" t="str">
            <v>36-395-20-07</v>
          </cell>
          <cell r="C10033" t="str">
            <v>OHRPINZETTE, JANSEN, BAJON., 21,5 CM</v>
          </cell>
          <cell r="D10033" t="str">
            <v>EAR DRESS. FCPS., JANSEN, BAYO., 21.5 CM</v>
          </cell>
        </row>
        <row r="10034">
          <cell r="B10034" t="str">
            <v>36-405-12-07</v>
          </cell>
          <cell r="C10034" t="str">
            <v>OHRPOLYPENZANGE, HARTMANN, FEIN, 12 CM</v>
          </cell>
          <cell r="D10034" t="str">
            <v>EAR POLYPUS  FCPS., HARTMANN, FINE, 12 CM</v>
          </cell>
        </row>
        <row r="10035">
          <cell r="B10035" t="str">
            <v>36-407-14-07</v>
          </cell>
          <cell r="C10035" t="str">
            <v>OHRPOLYPENZANGE, HARTMANN, 14 CM</v>
          </cell>
          <cell r="D10035" t="str">
            <v>EAR POLYPUS  FORCPES,  HARTMANN, 14 CM</v>
          </cell>
        </row>
        <row r="10036">
          <cell r="B10036" t="str">
            <v>36-416-11-07</v>
          </cell>
          <cell r="C10036" t="str">
            <v>FREMDKÖRPERZÄNGCHEN, BUCK, 11,5 CM</v>
          </cell>
          <cell r="D10036" t="str">
            <v>FOREIGN  BODY FORCEPS,  BUCK, 11.5 CM</v>
          </cell>
        </row>
        <row r="10037">
          <cell r="B10037" t="str">
            <v>36-425-08-07</v>
          </cell>
          <cell r="C10037" t="str">
            <v>OHRPOLYPENZANGE, HARTMANN-WULLST., 8 CM</v>
          </cell>
          <cell r="D10037" t="str">
            <v>EAR POLYPUS  FCPS., HARTMANN-WULLS., 8 CM</v>
          </cell>
        </row>
        <row r="10038">
          <cell r="B10038" t="str">
            <v>36-427-08-07</v>
          </cell>
          <cell r="C10038" t="str">
            <v>OHRPOLYPENZANGE, HARTMANN-WULLST., 1 MM</v>
          </cell>
          <cell r="D10038" t="str">
            <v>EAR POLYPUS  FCPS., HARTMANN-WULLS., 1 MM</v>
          </cell>
        </row>
        <row r="10039">
          <cell r="B10039" t="str">
            <v>36-430-08-07</v>
          </cell>
          <cell r="C10039" t="str">
            <v>OHRPOLYPENZANGE, HARTMANN, 8 CM</v>
          </cell>
          <cell r="D10039" t="str">
            <v>EAR POLYPUS  FORCPES,  HARTMANN, 8 CM</v>
          </cell>
        </row>
        <row r="10040">
          <cell r="B10040" t="str">
            <v>36-430-14-07</v>
          </cell>
          <cell r="C10040" t="str">
            <v>OHRPOLYPENZANGE, HARTMANN, 14 CM</v>
          </cell>
          <cell r="D10040" t="str">
            <v>EAR POLYPUS  FORCPES,  HARTMANN, 14 CM</v>
          </cell>
        </row>
        <row r="10041">
          <cell r="B10041" t="str">
            <v>36-442-81-07</v>
          </cell>
          <cell r="C10041" t="str">
            <v>LÖFFELZÄNGCHEN, HARTMANN, 2,0 MM</v>
          </cell>
          <cell r="D10041" t="str">
            <v>EAR FCPS., SPOON-SHA., HARTMANN, 2.0 MM</v>
          </cell>
        </row>
        <row r="10042">
          <cell r="B10042" t="str">
            <v>36-442-82-07</v>
          </cell>
          <cell r="C10042" t="str">
            <v>LÖFFELZÄNGCHEN, HARTMANN, 2,5 MM</v>
          </cell>
          <cell r="D10042" t="str">
            <v>EAR FCPS., SPOON-SHA., HARTMANN, 2.5 MM</v>
          </cell>
        </row>
        <row r="10043">
          <cell r="B10043" t="str">
            <v>36-442-83-07</v>
          </cell>
          <cell r="C10043" t="str">
            <v>LÖFFELZÄNGCHEN, HARTMANN, 3,0 MM</v>
          </cell>
          <cell r="D10043" t="str">
            <v>EAR FCPS., SPOON-SHA., HARTMANN, 3.0 MM</v>
          </cell>
        </row>
        <row r="10044">
          <cell r="B10044" t="str">
            <v>36-445-08-07</v>
          </cell>
          <cell r="C10044" t="str">
            <v>OHRPOLYPENZANGE, HARTMANN, 3,0 MM</v>
          </cell>
          <cell r="D10044" t="str">
            <v>EAR POLYPUS  FORCEPS,  HARTMANN, 3.0 MM</v>
          </cell>
        </row>
        <row r="10045">
          <cell r="B10045" t="str">
            <v>36-448-08-07</v>
          </cell>
          <cell r="C10045" t="str">
            <v>OHRPOLYPENZÄNGCHEN, STRÜMPEL, 8 CM</v>
          </cell>
          <cell r="D10045" t="str">
            <v>EAR POLYPUS  FORCEPS,  STRUEMPEL, 8 CM</v>
          </cell>
        </row>
        <row r="10046">
          <cell r="B10046" t="str">
            <v>36-456-08-07</v>
          </cell>
          <cell r="C10046" t="str">
            <v>OHRPOLYPENZANGE, HARTMANN-HOFFM., 2,0 MM</v>
          </cell>
          <cell r="D10046" t="str">
            <v>EAR POLYP. FORCEPS,  HARTM.-HOFF., 2.0 MM</v>
          </cell>
        </row>
        <row r="10047">
          <cell r="B10047" t="str">
            <v>36-461-17-07</v>
          </cell>
          <cell r="C10047" t="str">
            <v>OHR-KNOCHENSTANZE, CITELLI, 3 MM</v>
          </cell>
          <cell r="D10047" t="str">
            <v>BONE PUNCH, CITELLI, 3 MM</v>
          </cell>
        </row>
        <row r="10048">
          <cell r="B10048" t="str">
            <v>36-463-19-07</v>
          </cell>
          <cell r="C10048" t="str">
            <v>OHR-KNOCHENSTANZE, BEYER, 2 MM</v>
          </cell>
          <cell r="D10048" t="str">
            <v>BONE PUNCH, BEYER, 2 MM</v>
          </cell>
        </row>
        <row r="10049">
          <cell r="B10049" t="str">
            <v>36-466-14-07</v>
          </cell>
          <cell r="C10049" t="str">
            <v>OHR-KNOCHENSTANZE, BEYER, 1 MM</v>
          </cell>
          <cell r="D10049" t="str">
            <v>BONE PUNCH, BEYER, 1 MM</v>
          </cell>
        </row>
        <row r="10050">
          <cell r="B10050" t="str">
            <v>36-493-01-07</v>
          </cell>
          <cell r="C10050" t="str">
            <v>OHRKÜRETTE, SHAPLEIGH, FIG. 1, 15 CM</v>
          </cell>
          <cell r="D10050" t="str">
            <v>EAR CURETTE,  SHAPLEIGH, NO. 1, 15 CM</v>
          </cell>
        </row>
        <row r="10051">
          <cell r="B10051" t="str">
            <v>36-493-02-07</v>
          </cell>
          <cell r="C10051" t="str">
            <v>OHRKÜRETTE, SHAPLEIGH, FIG. 2, 15 CM</v>
          </cell>
          <cell r="D10051" t="str">
            <v>EAR CURETTE,  SHAPLEIGH, NO. 2, 15 CM</v>
          </cell>
        </row>
        <row r="10052">
          <cell r="B10052" t="str">
            <v>36-495-02-07</v>
          </cell>
          <cell r="C10052" t="str">
            <v>OHRKÜRETTE, BUCK, GER., ST., FIG. 00</v>
          </cell>
          <cell r="D10052" t="str">
            <v>EAR CURETTE,  BUCK, STR., BLUNT, NO. 00</v>
          </cell>
        </row>
        <row r="10053">
          <cell r="B10053" t="str">
            <v>36-495-10-07</v>
          </cell>
          <cell r="C10053" t="str">
            <v>OHRKÜRETTE, BUCK, GER., ST., FIG. 0</v>
          </cell>
          <cell r="D10053" t="str">
            <v>EAR CURETTE,  BUCK, STR., BLUNT, NO. 0</v>
          </cell>
        </row>
        <row r="10054">
          <cell r="B10054" t="str">
            <v>36-495-11-07</v>
          </cell>
          <cell r="C10054" t="str">
            <v>OHRKÜRETTE, BUCK, GER., ST., FIG. 1</v>
          </cell>
          <cell r="D10054" t="str">
            <v>EAR CURETTE,  BUCK, STR., BLUNT, NO. 1</v>
          </cell>
        </row>
        <row r="10055">
          <cell r="B10055" t="str">
            <v>36-495-12-07</v>
          </cell>
          <cell r="C10055" t="str">
            <v>OHRKÜRETTE, BUCK, GER., ST., FIG. 2</v>
          </cell>
          <cell r="D10055" t="str">
            <v>EAR CURETTE,  BUCK, STR., BLUNT, NO. 2</v>
          </cell>
        </row>
        <row r="10056">
          <cell r="B10056" t="str">
            <v>36-497-01-07</v>
          </cell>
          <cell r="C10056" t="str">
            <v>OHRKÜRETTE, BUCK, GEB., ST., FIG. 000</v>
          </cell>
          <cell r="D10056" t="str">
            <v>EAR CURETTE,  BUCK, CVD., BLUNT, NO. 000</v>
          </cell>
        </row>
        <row r="10057">
          <cell r="B10057" t="str">
            <v>36-497-02-07</v>
          </cell>
          <cell r="C10057" t="str">
            <v>OHRKÜRETTE, BUCK, GEB., ST., FIG. 00</v>
          </cell>
          <cell r="D10057" t="str">
            <v>EAR CURETTE,  BUCK, CVD., BLUNT, NO. 00</v>
          </cell>
        </row>
        <row r="10058">
          <cell r="B10058" t="str">
            <v>36-497-10-07</v>
          </cell>
          <cell r="C10058" t="str">
            <v>OHRKÜRETTE, BUCK, GEB., ST., FIG. 0</v>
          </cell>
          <cell r="D10058" t="str">
            <v>EAR CURETTE,  BUCK, CVD., BLUNT, NO. 0</v>
          </cell>
        </row>
        <row r="10059">
          <cell r="B10059" t="str">
            <v>36-497-11-07</v>
          </cell>
          <cell r="C10059" t="str">
            <v>OHRKÜRETTE, BUCK, GEB., ST., FIG. 1</v>
          </cell>
          <cell r="D10059" t="str">
            <v>EAR CURETTE,  BUCK, CVD., BLUNT, NO. 1</v>
          </cell>
        </row>
        <row r="10060">
          <cell r="B10060" t="str">
            <v>36-497-12-07</v>
          </cell>
          <cell r="C10060" t="str">
            <v>OHRKÜRETTE, BUCK, GEB., ST., FIG. 2</v>
          </cell>
          <cell r="D10060" t="str">
            <v>EAR CURETTE,  BUCK, CVD., BLUNT, NO. 2</v>
          </cell>
        </row>
        <row r="10061">
          <cell r="B10061" t="str">
            <v>36-497-13-07</v>
          </cell>
          <cell r="C10061" t="str">
            <v>OHRKÜRETTE, BUCK, GEB., ST., FIG. 3</v>
          </cell>
          <cell r="D10061" t="str">
            <v>EAR CURETTE,  BUCK, CVD., BLUNT, NO. 3</v>
          </cell>
        </row>
        <row r="10062">
          <cell r="B10062" t="str">
            <v>36-497-14-07</v>
          </cell>
          <cell r="C10062" t="str">
            <v>OHRKÜRETTE, BUCK, GEB., ST., FIG. 4</v>
          </cell>
          <cell r="D10062" t="str">
            <v>EAR CURETTE,  BUCK, CVD., BLUNT, NO. 4</v>
          </cell>
        </row>
        <row r="10063">
          <cell r="B10063" t="str">
            <v>36-498-01-07</v>
          </cell>
          <cell r="C10063" t="str">
            <v>OHRKÜRETTE, BUCK, GEB., SCH., FIG. 000</v>
          </cell>
          <cell r="D10063" t="str">
            <v>EAR CURETTE,  BUCK, CVD., SHARP, NO. 000</v>
          </cell>
        </row>
        <row r="10064">
          <cell r="B10064" t="str">
            <v>36-498-02-07</v>
          </cell>
          <cell r="C10064" t="str">
            <v>OHRKÜRETTE, BUCK, GEB., SCH., FIG. 00</v>
          </cell>
          <cell r="D10064" t="str">
            <v>EAR CURETTE,  BUCK, CVD., SHARP, NO. 00</v>
          </cell>
        </row>
        <row r="10065">
          <cell r="B10065" t="str">
            <v>36-498-10-07</v>
          </cell>
          <cell r="C10065" t="str">
            <v>OHRKÜRETTE, BUCK, GEB., SCH., FIG. 0</v>
          </cell>
          <cell r="D10065" t="str">
            <v>EAR CURETTE,  BUCK, CVD., SHARP, NO. 0</v>
          </cell>
        </row>
        <row r="10066">
          <cell r="B10066" t="str">
            <v>36-498-11-07</v>
          </cell>
          <cell r="C10066" t="str">
            <v>OHRKÜRETTE, BUCK, GEB., SCH., FIG. 1</v>
          </cell>
          <cell r="D10066" t="str">
            <v>EAR CURETTE,  BUCK, CVD., SHARP, NO. 1</v>
          </cell>
        </row>
        <row r="10067">
          <cell r="B10067" t="str">
            <v>36-498-12-07</v>
          </cell>
          <cell r="C10067" t="str">
            <v>OHRKÜRETTE, BUCK, GEB., SCH., FIG. 2</v>
          </cell>
          <cell r="D10067" t="str">
            <v>EAR CURETTE,  BUCK, CVD., SHARP, NO. 2</v>
          </cell>
        </row>
        <row r="10068">
          <cell r="B10068" t="str">
            <v>36-498-13-07</v>
          </cell>
          <cell r="C10068" t="str">
            <v>OHRKÜRETTE, BUCK, GEB., SCH., FIG. 3</v>
          </cell>
          <cell r="D10068" t="str">
            <v>EAR CURETTE,  BUCK, CVD., SHARP, NO. 3</v>
          </cell>
        </row>
        <row r="10069">
          <cell r="B10069" t="str">
            <v>36-498-14-07</v>
          </cell>
          <cell r="C10069" t="str">
            <v>OHRKÜRETTE, BUCK, GEB., SCH., FIG. 4</v>
          </cell>
          <cell r="D10069" t="str">
            <v>EAR CURETTE,  BUCK, CVD., SHARP, NO. 4</v>
          </cell>
        </row>
        <row r="10070">
          <cell r="B10070" t="str">
            <v>36-532-15-07</v>
          </cell>
          <cell r="C10070" t="str">
            <v>DOPPELLÖFFEL, JANSEN, SCHARF, 16 CM</v>
          </cell>
          <cell r="D10070" t="str">
            <v>EAR CURETTE,  DOUBLE,  JANSEN, SH., 16 CM</v>
          </cell>
        </row>
        <row r="10071">
          <cell r="B10071" t="str">
            <v>36-543-12-07</v>
          </cell>
          <cell r="C10071" t="str">
            <v>LÖFFEL/HÄKCHEN, GROSS, ST., 12,5 CM</v>
          </cell>
          <cell r="D10071" t="str">
            <v>CURETTE/HOOKLET, LARGE, BL., 12,5 CM</v>
          </cell>
        </row>
        <row r="10072">
          <cell r="B10072" t="str">
            <v>36-551-01-07</v>
          </cell>
          <cell r="C10072" t="str">
            <v>LOCH-OHRSCHLINGE, WEBER, 16 CM</v>
          </cell>
          <cell r="D10072" t="str">
            <v>FOREIGN  BODY LOOP, WEBER, 16 CM</v>
          </cell>
        </row>
        <row r="10073">
          <cell r="B10073" t="str">
            <v>36-554-01-07</v>
          </cell>
          <cell r="C10073" t="str">
            <v>OHRSCHLINGE, BILLEAU,  FIG. 1, 16,5 CM</v>
          </cell>
          <cell r="D10073" t="str">
            <v>EAR LOOP, BILLEAU,  NO. 1, 16.5 CM</v>
          </cell>
        </row>
        <row r="10074">
          <cell r="B10074" t="str">
            <v>36-554-02-07</v>
          </cell>
          <cell r="C10074" t="str">
            <v>OHRSCHLINGE, BILLEAU,  FIG. 2, 16,5 CM</v>
          </cell>
          <cell r="D10074" t="str">
            <v>EAR LOOP, BILLEAU,  NO. 2, 16.5 CM</v>
          </cell>
        </row>
        <row r="10075">
          <cell r="B10075" t="str">
            <v>36-554-03-07</v>
          </cell>
          <cell r="C10075" t="str">
            <v>OHRSCHLINGE, BILLEAU,  FIG. 3, 16,5 CM</v>
          </cell>
          <cell r="D10075" t="str">
            <v>EAR LOOP, BILLEAU,  NO. 3, 16.5 CM</v>
          </cell>
        </row>
        <row r="10076">
          <cell r="B10076" t="str">
            <v>36-563-16-07</v>
          </cell>
          <cell r="C10076" t="str">
            <v>FREMDKÖRPERHEBEL, ZAUFAL, 16 CM</v>
          </cell>
          <cell r="D10076" t="str">
            <v>FOREIGN  BODY LEVER, ZAUFAL, 16 CM</v>
          </cell>
        </row>
        <row r="10077">
          <cell r="B10077" t="str">
            <v>36-570-16-07</v>
          </cell>
          <cell r="C10077" t="str">
            <v>OHRHÄKCHEN, HARTMANN, SCHARF, 16 CM</v>
          </cell>
          <cell r="D10077" t="str">
            <v>EAR HOOKLET,  HARTMANN, SHARP, 16 CM</v>
          </cell>
        </row>
        <row r="10078">
          <cell r="B10078" t="str">
            <v>36-577-01-07</v>
          </cell>
          <cell r="C10078" t="str">
            <v>KNOPFHÄKCHEN, LUCAE, FIG. 1, 14 CM</v>
          </cell>
          <cell r="D10078" t="str">
            <v>HOOKLET,  PROBE-END, LUCAE, NO. 1, 14 CM</v>
          </cell>
        </row>
        <row r="10079">
          <cell r="B10079" t="str">
            <v>36-577-02-07</v>
          </cell>
          <cell r="C10079" t="str">
            <v>KNOPFHÄKCHEN, LUCAE, FIG. 2, 14 CM</v>
          </cell>
          <cell r="D10079" t="str">
            <v>HOOKLET,  PROBE-END, LUCAE, NO. 2, 14 CM</v>
          </cell>
        </row>
        <row r="10080">
          <cell r="B10080" t="str">
            <v>36-577-03-07</v>
          </cell>
          <cell r="C10080" t="str">
            <v>KNOPFHÄKCHEN, LUCAE, FIG. 3, 14 CM</v>
          </cell>
          <cell r="D10080" t="str">
            <v>HOOKLET,  PROBE-END, LUCAE, NO. 3, 14 CM</v>
          </cell>
        </row>
        <row r="10081">
          <cell r="B10081" t="str">
            <v>36-585-01-07</v>
          </cell>
          <cell r="C10081" t="str">
            <v>KNOPFHÄKCHEN, WAGENER,  FIG. 1, 14 CM</v>
          </cell>
          <cell r="D10081" t="str">
            <v>HOOK, PROBE-END, WAGENER,  NO. 1, 14 CM</v>
          </cell>
        </row>
        <row r="10082">
          <cell r="B10082" t="str">
            <v>36-585-02-07</v>
          </cell>
          <cell r="C10082" t="str">
            <v>KNOPFHÄKCHEN, WAGENER,  FIG. 2, 14 CM</v>
          </cell>
          <cell r="D10082" t="str">
            <v>HOOK, PROBE-END, WAGENER,  NO. 2, 14 CM</v>
          </cell>
        </row>
        <row r="10083">
          <cell r="B10083" t="str">
            <v>36-585-03-07</v>
          </cell>
          <cell r="C10083" t="str">
            <v>KNOPFHÄKCHEN, WAGENER,  FIG. 3, 14 CM</v>
          </cell>
          <cell r="D10083" t="str">
            <v>HOOK, PROBE-END, WAGENER,  NO. 3, 14 CM</v>
          </cell>
        </row>
        <row r="10084">
          <cell r="B10084" t="str">
            <v>36-585-04-07</v>
          </cell>
          <cell r="C10084" t="str">
            <v>KNOPFHÄKCHEN, WAGENER,  FIG. 4, 14 CM</v>
          </cell>
          <cell r="D10084" t="str">
            <v>HOOK, PROBE-END, WAGENER,  NO. 4, 14 CM</v>
          </cell>
        </row>
        <row r="10085">
          <cell r="B10085" t="str">
            <v>36-585-05-07</v>
          </cell>
          <cell r="C10085" t="str">
            <v>KNOPFHÄKCHEN, WAGENER,  FIG. 5, 14 CM</v>
          </cell>
          <cell r="D10085" t="str">
            <v>HOOK, PROBE-END, WAGENER,  NO. 5, 14 CM</v>
          </cell>
        </row>
        <row r="10086">
          <cell r="B10086" t="str">
            <v>36-585-06-07</v>
          </cell>
          <cell r="C10086" t="str">
            <v>KNOPFHÄKCHEN, SCHARF, FIG. 6, 14 CM</v>
          </cell>
          <cell r="D10086" t="str">
            <v>HOOKLET  WAGENER,  CVD., SH., NO. 6, 14 CM</v>
          </cell>
        </row>
        <row r="10087">
          <cell r="B10087" t="str">
            <v>36-585-07-07</v>
          </cell>
          <cell r="C10087" t="str">
            <v>KNOPFHÄKCHEN, STUMPF,  FIG. 7, 14 CM</v>
          </cell>
          <cell r="D10087" t="str">
            <v>HOOKLET  WAGENER,  CVD., BL., NO. 7, 14 CM</v>
          </cell>
        </row>
        <row r="10088">
          <cell r="B10088" t="str">
            <v>36-589-01-07</v>
          </cell>
          <cell r="C10088" t="str">
            <v>OHRHÄKCHEN, DAY, LANGER HAKEN, 17 CM</v>
          </cell>
          <cell r="D10088" t="str">
            <v>EAR HOOKLET,  DAY, LONG HOOK, 17 CM</v>
          </cell>
        </row>
        <row r="10089">
          <cell r="B10089" t="str">
            <v>36-589-02-07</v>
          </cell>
          <cell r="C10089" t="str">
            <v>OHRHÄKCHEN, DAY, KURZER HAKEN, 17 CM</v>
          </cell>
          <cell r="D10089" t="str">
            <v>EAR HOOKLET,  DAY, SHORT HOOK, 17 CM</v>
          </cell>
        </row>
        <row r="10090">
          <cell r="B10090" t="str">
            <v>36-630-16-07</v>
          </cell>
          <cell r="C10090" t="str">
            <v>PARAZENTESENADEL, GER., 17,5 CM</v>
          </cell>
          <cell r="D10090" t="str">
            <v>TYMPANUM PERFORATOR, STR., 17.5 CM</v>
          </cell>
        </row>
        <row r="10091">
          <cell r="B10091" t="str">
            <v>36-655-16-07</v>
          </cell>
          <cell r="C10091" t="str">
            <v>PARAZENTESENADEL, VERTIKAL,  15,5 CM</v>
          </cell>
          <cell r="D10091" t="str">
            <v>TYMPANUM PERFORATOR, VERTICAL,  15.5 CM</v>
          </cell>
        </row>
        <row r="10092">
          <cell r="B10092" t="str">
            <v>36-657-16-07</v>
          </cell>
          <cell r="C10092" t="str">
            <v>PARAZENTESENADEL, HORIZONTAL, 16 CM</v>
          </cell>
          <cell r="D10092" t="str">
            <v>TYMPANUM PERFORATOR, HORIZONTAL, 16 CM</v>
          </cell>
        </row>
        <row r="10093">
          <cell r="B10093" t="str">
            <v>36-661-18-07</v>
          </cell>
          <cell r="C10093" t="str">
            <v>Parazent.,  Lucae, Vertik., 2,5 mm, 18 CM</v>
          </cell>
          <cell r="D10093" t="str">
            <v>Tympanum Perfor,Lucae,Vertic.,2,5mm,18CM</v>
          </cell>
        </row>
        <row r="10094">
          <cell r="B10094" t="str">
            <v>36-663-18-07</v>
          </cell>
          <cell r="C10094" t="str">
            <v>Parazentesenadel,Lucae,Horiz.,2.5mm,18CM</v>
          </cell>
          <cell r="D10094" t="str">
            <v>Tympanum Perfor,Lucae,Horiz.,2.5mm,18CM</v>
          </cell>
        </row>
        <row r="10095">
          <cell r="B10095" t="str">
            <v>36-737-20-07</v>
          </cell>
          <cell r="C10095" t="str">
            <v>RASPATORIUM, LEMPERT,  GEB., 20,5 CM</v>
          </cell>
          <cell r="D10095" t="str">
            <v>RASPATORY, LEMPERT,  CVD., 20.5 CM</v>
          </cell>
        </row>
        <row r="10096">
          <cell r="B10096" t="str">
            <v>36-739-17-07</v>
          </cell>
          <cell r="C10096" t="str">
            <v>RASPATORIUM, LEMPERT,  STARK GEB., 18 CM</v>
          </cell>
          <cell r="D10096" t="str">
            <v>RASPATORY, LEMPERT,  STR. CVD., 18 CM</v>
          </cell>
        </row>
        <row r="10097">
          <cell r="B10097" t="str">
            <v>36-743-10-07</v>
          </cell>
          <cell r="C10097" t="str">
            <v>SCHARFER  LÖFFEL, LEMPERT,  FIG. 1, 20 CM</v>
          </cell>
          <cell r="D10097" t="str">
            <v>CURETTE,  SHARP, LEMPERT,  NO. 1, 20 CM</v>
          </cell>
        </row>
        <row r="10098">
          <cell r="B10098" t="str">
            <v>36-743-20-07</v>
          </cell>
          <cell r="C10098" t="str">
            <v>SCHARFER  LÖFFEL, LEMPERT.  FIG. 2, 20 CM</v>
          </cell>
          <cell r="D10098" t="str">
            <v>CURETTE,  SHARP, LEMPERT.  NO. 2, 20 CM</v>
          </cell>
        </row>
        <row r="10099">
          <cell r="B10099" t="str">
            <v>36-743-30-07</v>
          </cell>
          <cell r="C10099" t="str">
            <v>SCHARFER  LÖFFEL, LEMPERT,  FIG. 3, 20 CM</v>
          </cell>
          <cell r="D10099" t="str">
            <v>CURETTE,  SHARP, LEMPERT,  NO. 3, 20 CM</v>
          </cell>
        </row>
        <row r="10100">
          <cell r="B10100" t="str">
            <v>36-743-40-07</v>
          </cell>
          <cell r="C10100" t="str">
            <v>SCHARFER  LÖFFEL, LEMPERT,  FIG. 4, 20 CM</v>
          </cell>
          <cell r="D10100" t="str">
            <v>CURETTE,  SHARP, LEMPERT,  NO. 4, 20 CM</v>
          </cell>
        </row>
        <row r="10101">
          <cell r="B10101" t="str">
            <v>36-743-50-07</v>
          </cell>
          <cell r="C10101" t="str">
            <v>SCHARFER  LÖFFEL, LEMPERT,  FIG. 5, 20 CM</v>
          </cell>
          <cell r="D10101" t="str">
            <v>CURETTE,  SHARP, LEMPERT,  NO. 5, 20 CM</v>
          </cell>
        </row>
        <row r="10102">
          <cell r="B10102" t="str">
            <v>36-817-01-01</v>
          </cell>
          <cell r="C10102" t="str">
            <v>NASENSPEKULUM, GOLDSMITH, FIG. 1, 6,5 CM</v>
          </cell>
          <cell r="D10102" t="str">
            <v>NASAL SPECULUM, GOLDSMITH, NO. 1, 6.5 CM</v>
          </cell>
        </row>
        <row r="10103">
          <cell r="B10103" t="str">
            <v>36-817-02-01</v>
          </cell>
          <cell r="C10103" t="str">
            <v>NASENSPEKULUM, GOLDSMITH, FIG. 2, 6,5 CM</v>
          </cell>
          <cell r="D10103" t="str">
            <v>NASAL SPECULUM, GOLDSMITH, NO. 2, 6.5 CM</v>
          </cell>
        </row>
        <row r="10104">
          <cell r="B10104" t="str">
            <v>36-817-03-01</v>
          </cell>
          <cell r="C10104" t="str">
            <v>NASENSPEKULUM, GOLDSMITH, FIG. 3, 6,5 CM</v>
          </cell>
          <cell r="D10104" t="str">
            <v>NASAL SPECULUM, GOLDSMITH, NO. 3, 6.5 CM</v>
          </cell>
        </row>
        <row r="10105">
          <cell r="B10105" t="str">
            <v>36-845-01-07</v>
          </cell>
          <cell r="C10105" t="str">
            <v>NASENSPEKULUM, HARTMANN-HALLE, FIG. 1</v>
          </cell>
          <cell r="D10105" t="str">
            <v>NASAL SPECULUM, HARTMANN-HALLE, NO. 1</v>
          </cell>
        </row>
        <row r="10106">
          <cell r="B10106" t="str">
            <v>36-845-02-07</v>
          </cell>
          <cell r="C10106" t="str">
            <v>NASENSPEKULUM, HARTMANN-HALLE, FIG. 2</v>
          </cell>
          <cell r="D10106" t="str">
            <v>NASAL SPECULUM, HARTMANN-HALLE, NO. 2</v>
          </cell>
        </row>
        <row r="10107">
          <cell r="B10107" t="str">
            <v>36-845-03-07</v>
          </cell>
          <cell r="C10107" t="str">
            <v>NASENSPEKULUM, HARTMANN-HALLE, FIG. 3</v>
          </cell>
          <cell r="D10107" t="str">
            <v>NASAL SPECULUM, HARTMANN-HALLE, NO. 3</v>
          </cell>
        </row>
        <row r="10108">
          <cell r="B10108" t="str">
            <v>36-848-13-07</v>
          </cell>
          <cell r="C10108" t="str">
            <v>NASENSPEKULUM, MARTIN,  KINDER, 13 CM</v>
          </cell>
          <cell r="D10108" t="str">
            <v>NASAL SPECULUM, MARTIN,  CHILD, 13 CM</v>
          </cell>
        </row>
        <row r="10109">
          <cell r="B10109" t="str">
            <v>36-849-13-07</v>
          </cell>
          <cell r="C10109" t="str">
            <v>NASENSPEKULUM, MARTIN,  KINDER, 13 CM</v>
          </cell>
          <cell r="D10109" t="str">
            <v>NASAL SPECULUM, MARTIN,CHILD, 13 CM</v>
          </cell>
        </row>
        <row r="10110">
          <cell r="B10110" t="str">
            <v>36-852-13-07</v>
          </cell>
          <cell r="C10110" t="str">
            <v>NASENSPEKULUM, TIECK-HALLE, 16 MM, 13 CM</v>
          </cell>
          <cell r="D10110" t="str">
            <v>NASAL SPEC., TIECK-HALLE, 16 MM, 13 CM</v>
          </cell>
        </row>
        <row r="10111">
          <cell r="B10111" t="str">
            <v>36-856-01-07</v>
          </cell>
          <cell r="C10111" t="str">
            <v>Spekulum,  Nase, Killian, 35 mm, #1</v>
          </cell>
          <cell r="D10111" t="str">
            <v>Speculum,  nasal, Killian, 35 mm, #1</v>
          </cell>
        </row>
        <row r="10112">
          <cell r="B10112" t="str">
            <v>36-856-02-07</v>
          </cell>
          <cell r="C10112" t="str">
            <v>Spekulum,  Nase, Killian, 50 mm, #2</v>
          </cell>
          <cell r="D10112" t="str">
            <v>Speculum,  nasal, Killian, 50 mm, #2</v>
          </cell>
        </row>
        <row r="10113">
          <cell r="B10113" t="str">
            <v>36-856-03-07</v>
          </cell>
          <cell r="C10113" t="str">
            <v>Spekulum,  Nase, Killian, 75 mm, #3</v>
          </cell>
          <cell r="D10113" t="str">
            <v>Speculum,  nasal, Killian, 75 mm, #3</v>
          </cell>
        </row>
        <row r="10114">
          <cell r="B10114" t="str">
            <v>36-856-04-07</v>
          </cell>
          <cell r="C10114" t="str">
            <v>Spekulum,  Nase, Killian, 90 mm, #4</v>
          </cell>
          <cell r="D10114" t="str">
            <v>Speculum,  nasal, Killian, 90 mm, #4</v>
          </cell>
        </row>
        <row r="10115">
          <cell r="B10115" t="str">
            <v>36-858-14-07</v>
          </cell>
          <cell r="C10115" t="str">
            <v>NASENSPEKULUM, MOD. WIEN, 30 MM, 13,5 CM</v>
          </cell>
          <cell r="D10115" t="str">
            <v>NASAL SPEC., VIENNA-TYPE, 30 MM, 13.5 CM</v>
          </cell>
        </row>
        <row r="10116">
          <cell r="B10116" t="str">
            <v>36-859-35-07</v>
          </cell>
          <cell r="C10116" t="str">
            <v>NASENSPEKULUM, COTTLE, 35 MM, FIG. 1</v>
          </cell>
          <cell r="D10116" t="str">
            <v>NASAL SPECULUM, COTTLE, 35 MM, NO. 1</v>
          </cell>
        </row>
        <row r="10117">
          <cell r="B10117" t="str">
            <v>36-859-50-07</v>
          </cell>
          <cell r="C10117" t="str">
            <v>NASENSPEKULUM, COTTLE, 50 MM, FIG. 2</v>
          </cell>
          <cell r="D10117" t="str">
            <v>NASAL SPECULUM, COTTLE, 50 MM, NO. 2</v>
          </cell>
        </row>
        <row r="10118">
          <cell r="B10118" t="str">
            <v>36-859-75-07</v>
          </cell>
          <cell r="C10118" t="str">
            <v>NASENSPEKULUM, COTTLE, 75 MM, FIG. 3</v>
          </cell>
          <cell r="D10118" t="str">
            <v>NASAL SPECULUM, COTTLE, 75 MM, NO. 3</v>
          </cell>
        </row>
        <row r="10119">
          <cell r="B10119" t="str">
            <v>36-859-90-07</v>
          </cell>
          <cell r="C10119" t="str">
            <v>NASENSPEKULUM, COTTLE, 85 MM, FIG. 4</v>
          </cell>
          <cell r="D10119" t="str">
            <v>NASAL SPECULUM, COTTLE, 85 MM, NO. 4</v>
          </cell>
        </row>
        <row r="10120">
          <cell r="B10120" t="str">
            <v>36-861-45-07</v>
          </cell>
          <cell r="C10120" t="str">
            <v>Spekulum,  Nasal, Cottle, 45 mm</v>
          </cell>
          <cell r="D10120" t="str">
            <v>Speculum,  Nasal, Cottle, 45 mm</v>
          </cell>
        </row>
        <row r="10121">
          <cell r="B10121" t="str">
            <v>36-861-75-07</v>
          </cell>
          <cell r="C10121" t="str">
            <v>NASENSPEKULUM, COTTLE, 75 MM</v>
          </cell>
          <cell r="D10121" t="str">
            <v>NASAL SPECULUM, COTTLE, 75 MM</v>
          </cell>
        </row>
        <row r="10122">
          <cell r="B10122" t="str">
            <v>36-885-26-07</v>
          </cell>
          <cell r="C10122" t="str">
            <v>POLYPENSCHNÜRER, KRAUSE, 26 CM</v>
          </cell>
          <cell r="D10122" t="str">
            <v>NASAL POLYPUS  SNARE, KRAUSE, 26 CM</v>
          </cell>
        </row>
        <row r="10123">
          <cell r="B10123" t="str">
            <v>36-887-26-07</v>
          </cell>
          <cell r="C10123" t="str">
            <v>POLYPENSCHNÜRER, KRAUSE-VOSS, 26 CM</v>
          </cell>
          <cell r="D10123" t="str">
            <v>NASAL POLYPUS  SNARE, KRAUSE-VOSS, 26 CM</v>
          </cell>
        </row>
        <row r="10124">
          <cell r="B10124" t="str">
            <v>36-899-12-01</v>
          </cell>
          <cell r="C10124" t="str">
            <v>SCHNÜRDRAHT, BÜNDEL M. 12 ST., Ø 0,3 MM</v>
          </cell>
          <cell r="D10124" t="str">
            <v>SNARE WIRE, Ø 0.3 MM, BUNDEL OF 12 PCS.</v>
          </cell>
        </row>
        <row r="10125">
          <cell r="B10125" t="str">
            <v>37-101-15-07</v>
          </cell>
          <cell r="C10125" t="str">
            <v>NASENTAMPONPINZETTE, TROELTSCH, 14,5 CM</v>
          </cell>
          <cell r="D10125" t="str">
            <v>NASAL TAMPON  FORCEPS,  TROELTSCH, 14.5 CM</v>
          </cell>
        </row>
        <row r="10126">
          <cell r="B10126" t="str">
            <v>37-105-18-07</v>
          </cell>
          <cell r="C10126" t="str">
            <v>NASENTAMPONPINZETTE, TROELTSCH, 15,5 CM</v>
          </cell>
          <cell r="D10126" t="str">
            <v>NASAL TAMPON  FORCEPS,  TROELTSCH, 15.5 CM</v>
          </cell>
        </row>
        <row r="10127">
          <cell r="B10127" t="str">
            <v>37-115-16-07</v>
          </cell>
          <cell r="C10127" t="str">
            <v>Nasentamponpinzette,Grünwald,1x2Z.,16cm</v>
          </cell>
          <cell r="D10127" t="str">
            <v>Nasal tampon forceps,Grünwald,1x2T.,16cm</v>
          </cell>
        </row>
        <row r="10128">
          <cell r="B10128" t="str">
            <v>37-115-20-07</v>
          </cell>
          <cell r="C10128" t="str">
            <v>NASENTAMPONPINZETTE, GRÜNWALD, 21,5 CM</v>
          </cell>
          <cell r="D10128" t="str">
            <v>NASAL TAMPON  FORCEPS,  GRUENWALD, 21.5 CM</v>
          </cell>
        </row>
        <row r="10129">
          <cell r="B10129" t="str">
            <v>37-121-20-07</v>
          </cell>
          <cell r="C10129" t="str">
            <v>Zange, Nasentampon, Westmacott, 20 cm</v>
          </cell>
          <cell r="D10129" t="str">
            <v>Forceps, nasal tampon, Westmacott, 20 cm</v>
          </cell>
        </row>
        <row r="10130">
          <cell r="B10130" t="str">
            <v>37-129-20-07</v>
          </cell>
          <cell r="C10130" t="str">
            <v>NASENTAMPONZANGE, LUBET-BARBON, 17,5 CM</v>
          </cell>
          <cell r="D10130" t="str">
            <v>NASAL TAMPON  FCPS., LUBET-BARBON, 17.5CM</v>
          </cell>
        </row>
        <row r="10131">
          <cell r="B10131" t="str">
            <v>37-145-20-07</v>
          </cell>
          <cell r="C10131" t="str">
            <v>NASENPOLYPENZANGE, HARTMANN, 18,5 CM</v>
          </cell>
          <cell r="D10131" t="str">
            <v>NASAL TAMPON  FORCEPS,  HARTMANN, 18.5 CM</v>
          </cell>
        </row>
        <row r="10132">
          <cell r="B10132" t="str">
            <v>37-207-18-07</v>
          </cell>
          <cell r="C10132" t="str">
            <v>SCHARFE  NASENZANGE, KNIGHT, 17 CM</v>
          </cell>
          <cell r="D10132" t="str">
            <v>NASAL CUTTING  FORCEPS,  KNIGHT, 17 CM</v>
          </cell>
        </row>
        <row r="10133">
          <cell r="B10133" t="str">
            <v>37-213-18-07</v>
          </cell>
          <cell r="C10133" t="str">
            <v>SEPTUM-  U. VOMERZANGE, CRAIG, 16 CM</v>
          </cell>
          <cell r="D10133" t="str">
            <v>SEPTUM &amp; VOMER FORCEPS,  CRAIG, 16 CM</v>
          </cell>
        </row>
        <row r="10134">
          <cell r="B10134" t="str">
            <v>37-215-01-07</v>
          </cell>
          <cell r="C10134" t="str">
            <v>SEPTUMZANGE, LI. GEB., 15,5 CM</v>
          </cell>
          <cell r="D10134" t="str">
            <v>SEPTUM FORCEPS,  CVD. LEFT, 15.5 CM</v>
          </cell>
        </row>
        <row r="10135">
          <cell r="B10135" t="str">
            <v>37-227-01-07</v>
          </cell>
          <cell r="C10135" t="str">
            <v>SEPTUMZANGE, BRÜNINGS, FIG. 1, 16,5 CM</v>
          </cell>
          <cell r="D10135" t="str">
            <v>SEPTUM FCPS., BRUENINGS, NO. 1, 16.5 CM</v>
          </cell>
        </row>
        <row r="10136">
          <cell r="B10136" t="str">
            <v>37-227-02-07</v>
          </cell>
          <cell r="C10136" t="str">
            <v>SEPTUMZANGE, BRÜNINGS, FIG. 2, 16,5 CM</v>
          </cell>
          <cell r="D10136" t="str">
            <v>SEPTUM FCPS., BRUENINGS, NO. 2, 16.5 CM</v>
          </cell>
        </row>
        <row r="10137">
          <cell r="B10137" t="str">
            <v>37-227-03-07</v>
          </cell>
          <cell r="C10137" t="str">
            <v>SEPTUMZANGE, BRÜNINGS, FIG. 3, 16,5 CM</v>
          </cell>
          <cell r="D10137" t="str">
            <v>SEPTUM FCPS., BRUENINGS, NO. 3, 16.5 CM</v>
          </cell>
        </row>
        <row r="10138">
          <cell r="B10138" t="str">
            <v>37-227-04-07</v>
          </cell>
          <cell r="C10138" t="str">
            <v>SEPTUMZANGE, BRÜNINGS, FIG. 4, 16,5 CM</v>
          </cell>
          <cell r="D10138" t="str">
            <v>SEPTUM FCPS., BRUENINGS, NO. 4, 16.5 CM</v>
          </cell>
        </row>
        <row r="10139">
          <cell r="B10139" t="str">
            <v>37-235-12-07</v>
          </cell>
          <cell r="C10139" t="str">
            <v>SIEBBEINZANGE, TAKAHASHI, GER., 19 CM</v>
          </cell>
          <cell r="D10139" t="str">
            <v>ETHMOID.  FORCEPS,  TAKAHASHI, STR., 19 CM</v>
          </cell>
        </row>
        <row r="10140">
          <cell r="B10140" t="str">
            <v>37-237-12-07</v>
          </cell>
          <cell r="C10140" t="str">
            <v>SIEBBEINZANGE, TAKAHASHI, GEB., 19 CM</v>
          </cell>
          <cell r="D10140" t="str">
            <v>ETHMOID.  FORCEPS,  TAKAHASHI, CVD., 19 CM</v>
          </cell>
        </row>
        <row r="10141">
          <cell r="B10141" t="str">
            <v>37-241-10-07</v>
          </cell>
          <cell r="C10141" t="str">
            <v>SIEBBEINZANGE, WATSON-WILL., GEZ., 19 CM</v>
          </cell>
          <cell r="D10141" t="str">
            <v>ETHMOID.  FCPS., WATSON-W., SERR., 19 CM</v>
          </cell>
        </row>
        <row r="10142">
          <cell r="B10142" t="str">
            <v>37-241-12-07</v>
          </cell>
          <cell r="C10142" t="str">
            <v>SIEBBEINZANGE, WATSON-WILLIAMS, 19 CM</v>
          </cell>
          <cell r="D10142" t="str">
            <v>ETHMOID.  FCPS., WATSON-WILLIAMS, 19 CM</v>
          </cell>
        </row>
        <row r="10143">
          <cell r="B10143" t="str">
            <v>37-255-01-07</v>
          </cell>
          <cell r="C10143" t="str">
            <v>NASENZANGE, WEIL-BLAKES., FIG. 1, 3,0 MM</v>
          </cell>
          <cell r="D10143" t="str">
            <v>NASAL CUTT. FCPS., WEIL-BLAKES., 3.0 MM</v>
          </cell>
        </row>
        <row r="10144">
          <cell r="B10144" t="str">
            <v>37-255-02-07</v>
          </cell>
          <cell r="C10144" t="str">
            <v>NASENZANGE, WEIL-BLAKES., FIG. 2, 3,5 MM</v>
          </cell>
          <cell r="D10144" t="str">
            <v>NASAL CUTT. FCPS., WEIL-BLAKES., 3.5 MM</v>
          </cell>
        </row>
        <row r="10145">
          <cell r="B10145" t="str">
            <v>37-255-03-07</v>
          </cell>
          <cell r="C10145" t="str">
            <v>NASENZANGE, WEIL-BLAKES., FIG. 3, 4,5 MM</v>
          </cell>
          <cell r="D10145" t="str">
            <v>NASAL CUTT. FCPS., WEIL-BLAKES., 4.5 MM</v>
          </cell>
        </row>
        <row r="10146">
          <cell r="B10146" t="str">
            <v>37-255-04-07</v>
          </cell>
          <cell r="C10146" t="str">
            <v>NASENZANGE, WEIL-BLAKES., FIG. 4, 5,5 MM</v>
          </cell>
          <cell r="D10146" t="str">
            <v>NASAL CUTT. FCPS., WEIL-BLAKES., 5.5 MM</v>
          </cell>
        </row>
        <row r="10147">
          <cell r="B10147" t="str">
            <v>37-255-05-07</v>
          </cell>
          <cell r="C10147" t="str">
            <v>NASENZANGE, WEIL-BLAKES., FIG. 5, 6,0 MM</v>
          </cell>
          <cell r="D10147" t="str">
            <v>NASAL CUTT. FCPS., WEIL-BLAKES., 6.0 MM</v>
          </cell>
        </row>
        <row r="10148">
          <cell r="B10148" t="str">
            <v>37-256-01-07</v>
          </cell>
          <cell r="C10148" t="str">
            <v>SIEBBEINZANGE, 45° AUFGEB.,  F. 1, 3,0 MM</v>
          </cell>
          <cell r="D10148" t="str">
            <v>ETHMOID.  FCPS., 45° UPW., NO. 1, 3.0 MM</v>
          </cell>
        </row>
        <row r="10149">
          <cell r="B10149" t="str">
            <v>37-256-02-07</v>
          </cell>
          <cell r="C10149" t="str">
            <v>SIEBBEINZANGE, 45° AUFGEB.,  F. 2, 3,5 MM</v>
          </cell>
          <cell r="D10149" t="str">
            <v>ETHMOID.  FCPS., 45° UPW., NO. 2, 3.5 MM</v>
          </cell>
        </row>
        <row r="10150">
          <cell r="B10150" t="str">
            <v>37-256-03-07</v>
          </cell>
          <cell r="C10150" t="str">
            <v>SIEBBEINZANGE, 45° AUFGEB.,  F. 3, 4,5 MM</v>
          </cell>
          <cell r="D10150" t="str">
            <v>ETHMOID.  FCPS., 45° UPW., NO. 3, 4.5 MM</v>
          </cell>
        </row>
        <row r="10151">
          <cell r="B10151" t="str">
            <v>37-256-04-07</v>
          </cell>
          <cell r="C10151" t="str">
            <v>SIEBBEINZANGE, 45° AUFGEB.,  F. 4, 5,0 MM</v>
          </cell>
          <cell r="D10151" t="str">
            <v>ETHMOID.  FCPS., 45° UPW., NO. 4, 5.0 MM</v>
          </cell>
        </row>
        <row r="10152">
          <cell r="B10152" t="str">
            <v>37-258-01-07</v>
          </cell>
          <cell r="C10152" t="str">
            <v>SIEBBEINZANGE, 90° AUFGEB.,  F. 1, 3,0 MM</v>
          </cell>
          <cell r="D10152" t="str">
            <v>ETHMOID.  FCPS., 90° UPW., NO. 1, 3.0 MM</v>
          </cell>
        </row>
        <row r="10153">
          <cell r="B10153" t="str">
            <v>37-258-02-07</v>
          </cell>
          <cell r="C10153" t="str">
            <v>SIEBBEINZANGE, 90° AUFGEB.,  F. 2, 3,5 MM</v>
          </cell>
          <cell r="D10153" t="str">
            <v>ETHMOID.  FCPS., 90° UPW., NO. 2, 3.5 MM</v>
          </cell>
        </row>
        <row r="10154">
          <cell r="B10154" t="str">
            <v>37-258-03-07</v>
          </cell>
          <cell r="C10154" t="str">
            <v>SIEBBEINZANGE, 90° AUFGEB.,  F. 3, 4,5 MM</v>
          </cell>
          <cell r="D10154" t="str">
            <v>ETHMOID.  FCPS., 90° UPW., NO. 3, 4.5 MM</v>
          </cell>
        </row>
        <row r="10155">
          <cell r="B10155" t="str">
            <v>37-258-04-07</v>
          </cell>
          <cell r="C10155" t="str">
            <v>SIEBBEINZANGE, 90° AUFGEB.,  F. 4, 5,0 MM</v>
          </cell>
          <cell r="D10155" t="str">
            <v>ETHMOID.  FCPS., 90° UPW., NO. 4, 5.0 MM</v>
          </cell>
        </row>
        <row r="10156">
          <cell r="B10156" t="str">
            <v>37-285-01-07</v>
          </cell>
          <cell r="C10156" t="str">
            <v>NASENZANGE, STRUYCKEN, 0,9 MM, 19 CM</v>
          </cell>
          <cell r="D10156" t="str">
            <v>NASAL CUTTING  FCPS., 0.9 MM, 19 CM</v>
          </cell>
        </row>
        <row r="10157">
          <cell r="B10157" t="str">
            <v>37-308-01-07</v>
          </cell>
          <cell r="C10157" t="str">
            <v>ANTRUMSTANZE, 2,5 MM, RETROGRAD, AUFW.</v>
          </cell>
          <cell r="D10157" t="str">
            <v>ANTRUM  PUNCH, 2.5 MM, RETROGRADE, UPW.</v>
          </cell>
        </row>
        <row r="10158">
          <cell r="B10158" t="str">
            <v>37-308-02-07</v>
          </cell>
          <cell r="C10158" t="str">
            <v>ANTRUMSTANZE, 2,5 MM, RETROGRAD, RE.</v>
          </cell>
          <cell r="D10158" t="str">
            <v>ANTRUM  PUNCH, 2.5 MM, RETROGRADE, RIGHT</v>
          </cell>
        </row>
        <row r="10159">
          <cell r="B10159" t="str">
            <v>37-308-03-07</v>
          </cell>
          <cell r="C10159" t="str">
            <v>ANTRUMSTANZE, 2,5 MM, RETROGRAD, LI.</v>
          </cell>
          <cell r="D10159" t="str">
            <v>ANTRUM  PUNCH, 2.5 MM, RETROGRADE, LEFT</v>
          </cell>
        </row>
        <row r="10160">
          <cell r="B10160" t="str">
            <v>37-309-01-07</v>
          </cell>
          <cell r="C10160" t="str">
            <v>NASENZANGE, MAUL Ø 5 MM, FIG. 1, 19 CM</v>
          </cell>
          <cell r="D10160" t="str">
            <v>NASAL CUTTING  FCPS., JAW Ø 5 MM, 19 CM</v>
          </cell>
        </row>
        <row r="10161">
          <cell r="B10161" t="str">
            <v>37-309-02-07</v>
          </cell>
          <cell r="C10161" t="str">
            <v>NASENZANGE, MAUL Ø 7 MM, FIG. 2, 19 CM</v>
          </cell>
          <cell r="D10161" t="str">
            <v>NASAL CUTTING  FCPS., JAW Ø 7 MM, 19 CM</v>
          </cell>
        </row>
        <row r="10162">
          <cell r="B10162" t="str">
            <v>37-309-03-07</v>
          </cell>
          <cell r="C10162" t="str">
            <v>NASENZANGE, MAUL Ø 9 MM , FIG. 3, 19 CM</v>
          </cell>
          <cell r="D10162" t="str">
            <v>NASAL CUTTING  FCPS., JAW Ø 9 MM, 19 CM</v>
          </cell>
        </row>
        <row r="10163">
          <cell r="B10163" t="str">
            <v>37-309-04-07</v>
          </cell>
          <cell r="C10163" t="str">
            <v>NASENZANGE, MAUL Ø 11 MM , FIG. 4, 19 CM</v>
          </cell>
          <cell r="D10163" t="str">
            <v>NASAL CUTTING  FCPS., JAW Ø 11 MM, 19 CM</v>
          </cell>
        </row>
        <row r="10164">
          <cell r="B10164" t="str">
            <v>37-323-19-07</v>
          </cell>
          <cell r="C10164" t="str">
            <v>SEPTUMZANGE, MIDDLETON, OFFEN, 20,5 CM</v>
          </cell>
          <cell r="D10164" t="str">
            <v>SEPTUM FCPS., MIDDLETON, OPEN, 20.5 CM</v>
          </cell>
        </row>
        <row r="10165">
          <cell r="B10165" t="str">
            <v>37-327-19-07</v>
          </cell>
          <cell r="C10165" t="str">
            <v>SEPTUMZANGE, MIDDLETON, GESCHL.,  20 CM</v>
          </cell>
          <cell r="D10165" t="str">
            <v>SEPTUM FCPS., MIDDLETON, CLOSED, 20 CM</v>
          </cell>
        </row>
        <row r="10166">
          <cell r="B10166" t="str">
            <v>37-331-20-07</v>
          </cell>
          <cell r="C10166" t="str">
            <v>SEPTUMSCHERE, CAPLAN, GEZ., 20 CM</v>
          </cell>
          <cell r="D10166" t="str">
            <v>SEPTUM SCISSORS,  CAPLAN, SERR., 20 CM</v>
          </cell>
        </row>
        <row r="10167">
          <cell r="B10167" t="str">
            <v>37-334-21-07</v>
          </cell>
          <cell r="C10167" t="str">
            <v>TC-Zange,  Septum, Garney, gew., 20 cm</v>
          </cell>
          <cell r="D10167" t="str">
            <v>TC-Morselizer, Septum, Garney, ang.,20cm</v>
          </cell>
        </row>
        <row r="10168">
          <cell r="B10168" t="str">
            <v>37-335-20-07</v>
          </cell>
          <cell r="C10168" t="str">
            <v>SEPTUMQUETSCHZANGE, RUBIN, 20 CM</v>
          </cell>
          <cell r="D10168" t="str">
            <v>SEPTUM MORSELIZER, RUBIN, 20 CM</v>
          </cell>
        </row>
        <row r="10169">
          <cell r="B10169" t="str">
            <v>37-335-21-07</v>
          </cell>
          <cell r="C10169" t="str">
            <v>SEPTUMQUETSCHZANGE, RUBIN, 18,5 CM</v>
          </cell>
          <cell r="D10169" t="str">
            <v>SEPTUM MORSELIZER, RUBIN, 18.5 CM</v>
          </cell>
        </row>
        <row r="10170">
          <cell r="B10170" t="str">
            <v>37-337-21-07</v>
          </cell>
          <cell r="C10170" t="str">
            <v>TC-SEPTUMQUETSCHZANGE, RUBIN, 25 CM</v>
          </cell>
          <cell r="D10170" t="str">
            <v>TC-SEPTUM MORSELIZER, RUBIN, 25 CM</v>
          </cell>
        </row>
        <row r="10171">
          <cell r="B10171" t="str">
            <v>37-340-13-07</v>
          </cell>
          <cell r="C10171" t="str">
            <v>KEILBEINSTANZE, HAJEK, OBEN SCH., 4X4 MM</v>
          </cell>
          <cell r="D10171" t="str">
            <v>SPHENOIDAL PUNCH, HAJEK, UPW., 4X4 MM</v>
          </cell>
        </row>
        <row r="10172">
          <cell r="B10172" t="str">
            <v>37-341-13-07</v>
          </cell>
          <cell r="C10172" t="str">
            <v>KEILBEINSTANZE, HAJEK, UNT. SCH., 4X4 MM</v>
          </cell>
          <cell r="D10172" t="str">
            <v>SPHENOIDAL PUNCH, HAJEK, DOWNW.,  4X4 MM</v>
          </cell>
        </row>
        <row r="10173">
          <cell r="B10173" t="str">
            <v>37-342-12-07</v>
          </cell>
          <cell r="C10173" t="str">
            <v>KEILBEINSTANZE, AUFWÄRTS, 3,5X3,5 MM</v>
          </cell>
          <cell r="D10173" t="str">
            <v>SPHENOIDAL PUNCH, UPW., 3.5X3.5 MM</v>
          </cell>
        </row>
        <row r="10174">
          <cell r="B10174" t="str">
            <v>37-343-12-07</v>
          </cell>
          <cell r="C10174" t="str">
            <v>KEILBEINSTANZE, ABWÄRTS,  3,5X3,5 MM</v>
          </cell>
          <cell r="D10174" t="str">
            <v>SPHENOIDAL PUNCH, DOWN, 3.5X3.5 MM</v>
          </cell>
        </row>
        <row r="10175">
          <cell r="B10175" t="str">
            <v>37-356-17-07</v>
          </cell>
          <cell r="C10175" t="str">
            <v>KEILBEINSTANZE, AUFWÄRTS, 3X3 MM, 18 CM</v>
          </cell>
          <cell r="D10175" t="str">
            <v>SPHENOIDAL PUNCH, UPW., 3X3 MM, 18 CM</v>
          </cell>
        </row>
        <row r="10176">
          <cell r="B10176" t="str">
            <v>37-357-17-07</v>
          </cell>
          <cell r="C10176" t="str">
            <v>KEILBEINSTANZE, ABWÄRTS,  3X3 MM, 18 CM</v>
          </cell>
          <cell r="D10176" t="str">
            <v>SPHENOIDAL PUNCH, DOWN, 3X3 MM, 18 CM</v>
          </cell>
        </row>
        <row r="10177">
          <cell r="B10177" t="str">
            <v>37-360-17-07</v>
          </cell>
          <cell r="C10177" t="str">
            <v>KEILBEINSTANZE, AUFWÄRTS, 5X5 MM, 18 CM</v>
          </cell>
          <cell r="D10177" t="str">
            <v>SPHENOIDAL PUNCH, UPW., 5X5 MM, 18 CM</v>
          </cell>
        </row>
        <row r="10178">
          <cell r="B10178" t="str">
            <v>37-361-17-07</v>
          </cell>
          <cell r="C10178" t="str">
            <v>KEILBEINSTANZE, ABWÄRTS,  5X5 MM, 18 CM</v>
          </cell>
          <cell r="D10178" t="str">
            <v>SPHENOIDAL PUNCH, DOWN, 5X5 MM, 18 CM</v>
          </cell>
        </row>
        <row r="10179">
          <cell r="B10179" t="str">
            <v>37-362-03-07</v>
          </cell>
          <cell r="C10179" t="str">
            <v>KEILBEINSTANZE, SCHR. AUFW., 3 MM, 18 CM</v>
          </cell>
          <cell r="D10179" t="str">
            <v>SPHENOIDAL PUNCH, OBLIQ. UP, 3 MM, 18 CM</v>
          </cell>
        </row>
        <row r="10180">
          <cell r="B10180" t="str">
            <v>37-362-05-07</v>
          </cell>
          <cell r="C10180" t="str">
            <v>KEILBEINSTANZE, SCHR. AUFW., 5 MM, 18 CM</v>
          </cell>
          <cell r="D10180" t="str">
            <v>SPHENOIDAL PUNCH, OBLIQ. UP, 5 MM, 18 CM</v>
          </cell>
        </row>
        <row r="10181">
          <cell r="B10181" t="str">
            <v>37-389-00-07</v>
          </cell>
          <cell r="C10181" t="str">
            <v>ANTRUMSTANZE, AUFWÄRTS, 3X3 MM, 9 CM</v>
          </cell>
          <cell r="D10181" t="str">
            <v>ANTRUM  PUNCH, UPWARDS,  3X3 MM, 9 CM</v>
          </cell>
        </row>
        <row r="10182">
          <cell r="B10182" t="str">
            <v>37-389-01-07</v>
          </cell>
          <cell r="C10182" t="str">
            <v>ANTRUMSTANZE, AUFWÄRTS, 4X4 MM, 9 CM</v>
          </cell>
          <cell r="D10182" t="str">
            <v>ANTRUM  PUNCH, UPWARDS,  4X4 MM, 9 CM</v>
          </cell>
        </row>
        <row r="10183">
          <cell r="B10183" t="str">
            <v>37-389-02-07</v>
          </cell>
          <cell r="C10183" t="str">
            <v>ANTRUMSTANZE, AUFWÄRTS, 5X5 MM, 9 CM</v>
          </cell>
          <cell r="D10183" t="str">
            <v>ANTRUM  PUNCH, UPWARDS,  5X5 MM, 9 CM</v>
          </cell>
        </row>
        <row r="10184">
          <cell r="B10184" t="str">
            <v>37-389-03-07</v>
          </cell>
          <cell r="C10184" t="str">
            <v>ANTRUMSTANZE, AUFWÄRTS, 6X6 MM, 9 CM</v>
          </cell>
          <cell r="D10184" t="str">
            <v>ANTRUM  PUNCH, UPWARDS,  6X6 MM, 9 CM</v>
          </cell>
        </row>
        <row r="10185">
          <cell r="B10185" t="str">
            <v>37-440-01-07</v>
          </cell>
          <cell r="C10185" t="str">
            <v>NASENPLASTIKMESSER, JOSEPH, FIG. 1</v>
          </cell>
          <cell r="D10185" t="str">
            <v>RHINOPLASTIC KNIFE, JOSEPH, NO. 1</v>
          </cell>
        </row>
        <row r="10186">
          <cell r="B10186" t="str">
            <v>37-441-01-07</v>
          </cell>
          <cell r="C10186" t="str">
            <v>NASENPLASTIKMESSER, JOSEPH, FIG. 2</v>
          </cell>
          <cell r="D10186" t="str">
            <v>RHINOPLASTIC KNIFE, JOSEPH, NO. 2</v>
          </cell>
        </row>
        <row r="10187">
          <cell r="B10187" t="str">
            <v>37-444-16-07</v>
          </cell>
          <cell r="C10187" t="str">
            <v>NASENPLASTIKMESSER, FOMON, GEB., 16,5 CM</v>
          </cell>
          <cell r="D10187" t="str">
            <v>RHINOPLASTIC KNIFE, FOMON, CVD., 16.5 CM</v>
          </cell>
        </row>
        <row r="10188">
          <cell r="B10188" t="str">
            <v>37-459-16-07</v>
          </cell>
          <cell r="C10188" t="str">
            <v>NASENPLASTIKMESSER, CONVERSE, GEB., 16 C</v>
          </cell>
          <cell r="D10188" t="str">
            <v>RHINOPLAST. KNIFE, CONVERSE, CVD., 16 CM</v>
          </cell>
        </row>
        <row r="10189">
          <cell r="B10189" t="str">
            <v>37-466-15-07</v>
          </cell>
          <cell r="C10189" t="str">
            <v>NASENPLASTIKMESSER, JOSEPH, GER., 15,5 C</v>
          </cell>
          <cell r="D10189" t="str">
            <v>RHINOPLAST. KNIFE, JOSEPH, STR., 15.5 CM</v>
          </cell>
        </row>
        <row r="10190">
          <cell r="B10190" t="str">
            <v>37-468-15-07</v>
          </cell>
          <cell r="C10190" t="str">
            <v>NASENPLASTIKMESSER, COTTLE, GER., 14 CM</v>
          </cell>
          <cell r="D10190" t="str">
            <v>RHINOPLASTIC KNIFE, COTTLE, STR., 14 CM</v>
          </cell>
        </row>
        <row r="10191">
          <cell r="B10191" t="str">
            <v>37-484-15-07</v>
          </cell>
          <cell r="C10191" t="str">
            <v>Messer, Mukosa, Freer, 15,5 cm</v>
          </cell>
          <cell r="D10191" t="str">
            <v>Knife, Mucosa, Freer, 15,5 cm</v>
          </cell>
        </row>
        <row r="10192">
          <cell r="B10192" t="str">
            <v>37-497-19-07</v>
          </cell>
          <cell r="C10192" t="str">
            <v>SEPTUMMESSER, FREER, ABGEB., 19 CM</v>
          </cell>
          <cell r="D10192" t="str">
            <v>SEPTUM KNIFE, FREER, CVD., 19 CM</v>
          </cell>
        </row>
        <row r="10193">
          <cell r="B10193" t="str">
            <v>37-499-19-07</v>
          </cell>
          <cell r="C10193" t="str">
            <v>SEPTUMMESSER, FREER, ABGEW.,  18,5 CM</v>
          </cell>
          <cell r="D10193" t="str">
            <v>SEPTUM KNIFE, FREER, ANGLED,  18.5 CM</v>
          </cell>
        </row>
        <row r="10194">
          <cell r="B10194" t="str">
            <v>37-504-03-07</v>
          </cell>
          <cell r="C10194" t="str">
            <v>SCHWINGMESSER, BALLENGER, GER., 3 MM</v>
          </cell>
          <cell r="D10194" t="str">
            <v>SWIVEL KNIFE, BALLENGER, STR., 3 MM</v>
          </cell>
        </row>
        <row r="10195">
          <cell r="B10195" t="str">
            <v>37-504-04-07</v>
          </cell>
          <cell r="C10195" t="str">
            <v>SCHWINGMESSER, BALLENGER, GER., 4 MM</v>
          </cell>
          <cell r="D10195" t="str">
            <v>SWIVEL KNIFE, BALLENGER, STR., 4 MM</v>
          </cell>
        </row>
        <row r="10196">
          <cell r="B10196" t="str">
            <v>37-504-05-07</v>
          </cell>
          <cell r="C10196" t="str">
            <v>SCHWINGMESSER, BALLENGER, GER., 5 MM</v>
          </cell>
          <cell r="D10196" t="str">
            <v>SWIVEL KNIFE, BALLENGER, STR., 5 MM</v>
          </cell>
        </row>
        <row r="10197">
          <cell r="B10197" t="str">
            <v>37-505-03-07</v>
          </cell>
          <cell r="C10197" t="str">
            <v>SCHWINGMESSER, BALLENGER, BAJON., 3 MM</v>
          </cell>
          <cell r="D10197" t="str">
            <v>SWIVEL KNIFE, BALLENGER, BAYON., 3 MM</v>
          </cell>
        </row>
        <row r="10198">
          <cell r="B10198" t="str">
            <v>37-505-04-07</v>
          </cell>
          <cell r="C10198" t="str">
            <v>SCHWINGMESSER, BALLENGER, BAJON., 4 MM</v>
          </cell>
          <cell r="D10198" t="str">
            <v>SWIVEL KNIFE, BALLENGER, BAYON., 4 MM</v>
          </cell>
        </row>
        <row r="10199">
          <cell r="B10199" t="str">
            <v>37-505-05-07</v>
          </cell>
          <cell r="C10199" t="str">
            <v>SCHWINGMESSER, BALLENGER, BAJON., 5 MM</v>
          </cell>
          <cell r="D10199" t="str">
            <v>SWIVEL KNIFE, BALLENGER, BAYON., 5 MM</v>
          </cell>
        </row>
        <row r="10200">
          <cell r="B10200" t="str">
            <v>37-521-04-07</v>
          </cell>
          <cell r="C10200" t="str">
            <v>SEPTUMELEVATORIUM, MCKENTY,  4 MM, 15 CM</v>
          </cell>
          <cell r="D10200" t="str">
            <v>SEPTUM ELEVATOR,  MCKENTY,  4 MM, 15 CM</v>
          </cell>
        </row>
        <row r="10201">
          <cell r="B10201" t="str">
            <v>37-521-05-07</v>
          </cell>
          <cell r="C10201" t="str">
            <v>SEPTUMELEVATORIUM, MCKENTY,  5 MM, 15 CM</v>
          </cell>
          <cell r="D10201" t="str">
            <v>SEPTUM ELEVATOR,  MCKENTY,  5 MM, 15 CM</v>
          </cell>
        </row>
        <row r="10202">
          <cell r="B10202" t="str">
            <v>37-525-16-07</v>
          </cell>
          <cell r="C10202" t="str">
            <v>SEPTUMELEVATORIUM, HALLE, 3,5 MM, 16 CM</v>
          </cell>
          <cell r="D10202" t="str">
            <v>SEPTUM ELEVATOR,  HALLE, 3.5 MM, 16 CM</v>
          </cell>
        </row>
        <row r="10203">
          <cell r="B10203" t="str">
            <v>37-531-16-07</v>
          </cell>
          <cell r="C10203" t="str">
            <v>SEPTUMELEVATORIUM, JOSEPH, 4 MM, 16,5 CM</v>
          </cell>
          <cell r="D10203" t="str">
            <v>SEPTUM ELEVATOR,  JOSEPH, 4 MM, 16.5 CM</v>
          </cell>
        </row>
        <row r="10204">
          <cell r="B10204" t="str">
            <v>37-541-19-07</v>
          </cell>
          <cell r="C10204" t="str">
            <v>SEPTUMELEVATORIUM, FREER, SCH., 19 CM</v>
          </cell>
          <cell r="D10204" t="str">
            <v>SEPTUM ELEVATOR,  FREER, SH., 19 CM</v>
          </cell>
        </row>
        <row r="10205">
          <cell r="B10205" t="str">
            <v>37-543-19-07</v>
          </cell>
          <cell r="C10205" t="str">
            <v>SEPTUMELEVATORIUM, FREER, ST., 19 CM</v>
          </cell>
          <cell r="D10205" t="str">
            <v>SEPTUM ELEVATOR,  FREER, BL., 19 CM</v>
          </cell>
        </row>
        <row r="10206">
          <cell r="B10206" t="str">
            <v>37-544-01-07</v>
          </cell>
          <cell r="C10206" t="str">
            <v>GAUMENRASPATORIUM, LEICHT GEB., 24,5 CM</v>
          </cell>
          <cell r="D10206" t="str">
            <v>PALATAL  RASPATORY, SLIGHT CVD., 24.5 CM</v>
          </cell>
        </row>
        <row r="10207">
          <cell r="B10207" t="str">
            <v>37-544-02-07</v>
          </cell>
          <cell r="C10207" t="str">
            <v>GAUMENRASPATORIUM, STARK GEB., 24 CM</v>
          </cell>
          <cell r="D10207" t="str">
            <v>PALATAL  RASPATORY, STRONG CVD., 24 CM</v>
          </cell>
        </row>
        <row r="10208">
          <cell r="B10208" t="str">
            <v>37-544-03-07</v>
          </cell>
          <cell r="C10208" t="str">
            <v>Endo-Condyle Unit,Elevatorium,breit,li</v>
          </cell>
          <cell r="D10208" t="str">
            <v>Endo-Condyle Unit,elevator,large,le</v>
          </cell>
        </row>
        <row r="10209">
          <cell r="B10209" t="str">
            <v>37-544-04-07</v>
          </cell>
          <cell r="C10209" t="str">
            <v>Endo-Condyle Unit,Elevatorium,breit,re</v>
          </cell>
          <cell r="D10209" t="str">
            <v>Endo-Condyle Unit,elevator,large,ri</v>
          </cell>
        </row>
        <row r="10210">
          <cell r="B10210" t="str">
            <v>37-544-05-07</v>
          </cell>
          <cell r="C10210" t="str">
            <v>Endo-Condyle Unit,Elevatorium,schmal,li</v>
          </cell>
          <cell r="D10210" t="str">
            <v>Endo-Condyle Unit,elevator,small,le</v>
          </cell>
        </row>
        <row r="10211">
          <cell r="B10211" t="str">
            <v>37-544-06-07</v>
          </cell>
          <cell r="C10211" t="str">
            <v>Endo-Condyle Unit,Elevatorium,schmal,re</v>
          </cell>
          <cell r="D10211" t="str">
            <v>Endo-Condyle Unit,elevator,small,ri</v>
          </cell>
        </row>
        <row r="10212">
          <cell r="B10212" t="str">
            <v>37-545-18-07</v>
          </cell>
          <cell r="C10212" t="str">
            <v>ELEVATORIUM, FREER, O. STIFT, 18 CM</v>
          </cell>
          <cell r="D10212" t="str">
            <v>ELEVATOR,  FREER, SH/BL, W/O PIN, 18 CM</v>
          </cell>
        </row>
        <row r="10213">
          <cell r="B10213" t="str">
            <v>37-546-18-07</v>
          </cell>
          <cell r="C10213" t="str">
            <v>SEPTUMELEVATOR., FREER, SCHF/STPF, 18 CM</v>
          </cell>
          <cell r="D10213" t="str">
            <v>SEPTUM ELEVATOR,  FREER, SH/BL, 18 CM</v>
          </cell>
        </row>
        <row r="10214">
          <cell r="B10214" t="str">
            <v>37-547-20-07</v>
          </cell>
          <cell r="C10214" t="str">
            <v>SEPTUMELEVATORIUM, FREER, DOPP., 21 CM</v>
          </cell>
          <cell r="D10214" t="str">
            <v>SEPTUM ELEVATOR,  FREER, DOUBLE,  21 CM</v>
          </cell>
        </row>
        <row r="10215">
          <cell r="B10215" t="str">
            <v>37-549-22-07</v>
          </cell>
          <cell r="C10215" t="str">
            <v>ELEVATORIUM, MCKENTY,  4 MM, 20,5 CM</v>
          </cell>
          <cell r="D10215" t="str">
            <v>ELEVATOR,  MCKENTY,  4 MM, 20.5 CM</v>
          </cell>
        </row>
        <row r="10216">
          <cell r="B10216" t="str">
            <v>37-550-19-07</v>
          </cell>
          <cell r="C10216" t="str">
            <v>ELEVATORIUM, BALLENG.-HAJEK, 6 MM, 19 CM</v>
          </cell>
          <cell r="D10216" t="str">
            <v>ELEVATOR,  BALLENGER-HAJEK, 6 MM, 19 CM</v>
          </cell>
        </row>
        <row r="10217">
          <cell r="B10217" t="str">
            <v>37-557-22-07</v>
          </cell>
          <cell r="C10217" t="str">
            <v>Elevatorium, Howarth,  21,5 cm</v>
          </cell>
          <cell r="D10217" t="str">
            <v>Elevator,  Howarth,  21.5 cm</v>
          </cell>
        </row>
        <row r="10218">
          <cell r="B10218" t="str">
            <v>37-559-23-07</v>
          </cell>
          <cell r="C10218" t="str">
            <v>ELEVATORIUM, COTTLE, 5 MM, 23,5 CM</v>
          </cell>
          <cell r="D10218" t="str">
            <v>ELEVATOR,  COTTLE, 5 MM, 23.5 CM</v>
          </cell>
        </row>
        <row r="10219">
          <cell r="B10219" t="str">
            <v>37-560-18-07</v>
          </cell>
          <cell r="C10219" t="str">
            <v>SEPTUMELEVATORIUM, KILLIAN, 4 MM, 18 CM</v>
          </cell>
          <cell r="D10219" t="str">
            <v>SEPTUM ELEVATOR,  KILLIAN, 4 MM, 18 CM</v>
          </cell>
        </row>
        <row r="10220">
          <cell r="B10220" t="str">
            <v>37-562-22-07</v>
          </cell>
          <cell r="C10220" t="str">
            <v>SEPTUMELEVATORIUM, KILLIAN, 23,5 CM</v>
          </cell>
          <cell r="D10220" t="str">
            <v>SEPTUM ELEVATOR,  KILLIAN, 23.5 CM</v>
          </cell>
        </row>
        <row r="10221">
          <cell r="B10221" t="str">
            <v>37-566-18-07</v>
          </cell>
          <cell r="C10221" t="str">
            <v>Elevatorium, Cottle, geb., 8 mm, 18 cm</v>
          </cell>
          <cell r="D10221" t="str">
            <v>Elevator,  Cottle, cvd., 8 mm, 18 cm</v>
          </cell>
        </row>
        <row r="10222">
          <cell r="B10222" t="str">
            <v>37-568-21-07</v>
          </cell>
          <cell r="C10222" t="str">
            <v>SEPTUMELEVATORIUM, PENNINGTON, 21,5 CM</v>
          </cell>
          <cell r="D10222" t="str">
            <v>SEPTUM ELEVATOR,  PENNINGTON, 21.5 CM</v>
          </cell>
        </row>
        <row r="10223">
          <cell r="B10223" t="str">
            <v>37-570-16-07</v>
          </cell>
          <cell r="C10223" t="str">
            <v>Elevatorium, Septum, Nagata, 16 cm</v>
          </cell>
          <cell r="D10223" t="str">
            <v>Elevator,  septum, Nagata, 16 cm</v>
          </cell>
        </row>
        <row r="10224">
          <cell r="B10224" t="str">
            <v>37-570-17-07</v>
          </cell>
          <cell r="C10224" t="str">
            <v>Elevatorium, Septum, Nagata, 17 cm</v>
          </cell>
          <cell r="D10224" t="str">
            <v>Elevator,  septum, Nagata, 17 cm</v>
          </cell>
        </row>
        <row r="10225">
          <cell r="B10225" t="str">
            <v>37-572-19-07</v>
          </cell>
          <cell r="C10225" t="str">
            <v>SEPTUMELEVATORIUM, ROGER, 4 MM, 20 CM</v>
          </cell>
          <cell r="D10225" t="str">
            <v>SEPTUM ELEVATOR,  ROGER, 4 MM, 20 CM</v>
          </cell>
        </row>
        <row r="10226">
          <cell r="B10226" t="str">
            <v>37-579-22-07</v>
          </cell>
          <cell r="C10226" t="str">
            <v>ELEVATORIUM, BAJONETTF., 4 MM, 21,5 CM</v>
          </cell>
          <cell r="D10226" t="str">
            <v>ELEVATOR,  BAYONET-SHAPED, 4 MM, 21.5 CM</v>
          </cell>
        </row>
        <row r="10227">
          <cell r="B10227" t="str">
            <v>37-580-19-07</v>
          </cell>
          <cell r="C10227" t="str">
            <v>Elevatorium, Boies, ger., 8 mm, 19 cm</v>
          </cell>
          <cell r="D10227" t="str">
            <v>Elevator,  Boies, str., 8 mm, 19 cm</v>
          </cell>
        </row>
        <row r="10228">
          <cell r="B10228" t="str">
            <v>37-581-22-07</v>
          </cell>
          <cell r="C10228" t="str">
            <v>SEPTUMELEVATORIUM, COTTLE, 3,7 MM, 23 CM</v>
          </cell>
          <cell r="D10228" t="str">
            <v>SEPTUM ELEVATOR,  COTTLE, 3.7 MM, 23 CM</v>
          </cell>
        </row>
        <row r="10229">
          <cell r="B10229" t="str">
            <v>37-582-17-04</v>
          </cell>
          <cell r="C10229" t="str">
            <v>Elevatorium, Septum, gerade, 5 mm, 17 cm</v>
          </cell>
          <cell r="D10229" t="str">
            <v>Elevator,  septum, straight, 5 mm, 17 cm</v>
          </cell>
        </row>
        <row r="10230">
          <cell r="B10230" t="str">
            <v>37-583-21-07</v>
          </cell>
          <cell r="C10230" t="str">
            <v>ELEVATORIUM, MASING,  2 MM, 19,5 CM</v>
          </cell>
          <cell r="D10230" t="str">
            <v>ELEVATOR,  MASING,  2 MM, 19.5 CM</v>
          </cell>
        </row>
        <row r="10231">
          <cell r="B10231" t="str">
            <v>37-584-21-07</v>
          </cell>
          <cell r="C10231" t="str">
            <v>ELEVATORIUM, COTTLE, 4,5 MM, 22 CM</v>
          </cell>
          <cell r="D10231" t="str">
            <v>ELEVATOR,  COTTLE, 4.5 MM, 22 CM</v>
          </cell>
        </row>
        <row r="10232">
          <cell r="B10232" t="str">
            <v>37-585-16-07</v>
          </cell>
          <cell r="C10232" t="str">
            <v>PERIOSTELEVATORIUM, JOSEPH, 6,5 MM, 18CM</v>
          </cell>
          <cell r="D10232" t="str">
            <v>PERIOST ELEVATOR,  JOSEPH, 6.5 MM, 18 CM</v>
          </cell>
        </row>
        <row r="10233">
          <cell r="B10233" t="str">
            <v>37-593-16-07</v>
          </cell>
          <cell r="C10233" t="str">
            <v>SEPTUMMEISSEL, FREER, GEB.,4 MM, 16,5 CM</v>
          </cell>
          <cell r="D10233" t="str">
            <v>SEPTUM CHISEL, FREER, CVD.,4 MM, 16,5 CM</v>
          </cell>
        </row>
        <row r="10234">
          <cell r="B10234" t="str">
            <v>37-594-16-07</v>
          </cell>
          <cell r="C10234" t="str">
            <v>SEPTUMMEISSEL, FREER, GER., 4 MM, 16,5CM</v>
          </cell>
          <cell r="D10234" t="str">
            <v>SEPTUM CHISEL, FREER, STR., 4 MM, 16.5CM</v>
          </cell>
        </row>
        <row r="10235">
          <cell r="B10235" t="str">
            <v>37-595-15-07</v>
          </cell>
          <cell r="C10235" t="str">
            <v>SEPTUM-HOHLMEISSEL, FREER, 6 MM, 16 CM</v>
          </cell>
          <cell r="D10235" t="str">
            <v>SEPTUM-GOUGE, FREER, 6 MM, 16 CM</v>
          </cell>
        </row>
        <row r="10236">
          <cell r="B10236" t="str">
            <v>37-597-02-07</v>
          </cell>
          <cell r="C10236" t="str">
            <v>HOHLMEISSEL, BALLENG.,  2 MM, GER., 15 CM</v>
          </cell>
          <cell r="D10236" t="str">
            <v>GOUGE, BALLENGER, 2 MM, STR., 15 CM</v>
          </cell>
        </row>
        <row r="10237">
          <cell r="B10237" t="str">
            <v>37-597-04-07</v>
          </cell>
          <cell r="C10237" t="str">
            <v>HOHLMEISSEL, BALLENG.,  4 MM, GER., 15 CM</v>
          </cell>
          <cell r="D10237" t="str">
            <v>GOUGE, BALLENGER, 4 MM, STR., 15 CM</v>
          </cell>
        </row>
        <row r="10238">
          <cell r="B10238" t="str">
            <v>37-597-06-07</v>
          </cell>
          <cell r="C10238" t="str">
            <v>HOHLMEISSEL, BALLENG.,  6 MM, GER., 15 CM</v>
          </cell>
          <cell r="D10238" t="str">
            <v>GOUGE, BALLENGER, 6 MM, STR., 15 CM</v>
          </cell>
        </row>
        <row r="10239">
          <cell r="B10239" t="str">
            <v>37-597-08-07</v>
          </cell>
          <cell r="C10239" t="str">
            <v>HOHLMEISSEL, BALLENG.,  8 MM, GER., 15 CM</v>
          </cell>
          <cell r="D10239" t="str">
            <v>GOUGE, BALLENGER, 8 MM, STR., 15 CM</v>
          </cell>
        </row>
        <row r="10240">
          <cell r="B10240" t="str">
            <v>37-601-16-07</v>
          </cell>
          <cell r="C10240" t="str">
            <v>Septum-Hohlmeissel, Killian, 5 MM, 16 CM</v>
          </cell>
          <cell r="D10240" t="str">
            <v>Septum-Gouge, Killian, 5 MM, 16 CM</v>
          </cell>
        </row>
        <row r="10241">
          <cell r="B10241" t="str">
            <v>37-605-16-07</v>
          </cell>
          <cell r="C10241" t="str">
            <v>HOHLMEISSEL, KILLIAN-CLAUS, 5 MM, 16 CM</v>
          </cell>
          <cell r="D10241" t="str">
            <v>GOUGE, KILLIAN-CLAUS, 5 MM, 16 CM</v>
          </cell>
        </row>
        <row r="10242">
          <cell r="B10242" t="str">
            <v>37-606-04-07</v>
          </cell>
          <cell r="C10242" t="str">
            <v>Osteotom,  Cottle, gradu., 4 mm, 18,5 cm</v>
          </cell>
          <cell r="D10242" t="str">
            <v>Osteotome, Cottle, gradu., 4 mm, 18,5 cm</v>
          </cell>
        </row>
        <row r="10243">
          <cell r="B10243" t="str">
            <v>37-606-07-07</v>
          </cell>
          <cell r="C10243" t="str">
            <v>Osteotom,  Cottle, gradu., 7 mm, 18,5 cm</v>
          </cell>
          <cell r="D10243" t="str">
            <v>Osteotome, Cottle, gradu., 7 mm, 18.5 cm</v>
          </cell>
        </row>
        <row r="10244">
          <cell r="B10244" t="str">
            <v>37-606-09-07</v>
          </cell>
          <cell r="C10244" t="str">
            <v>Osteotom,  Cottle, gradu., 9 mm, 18,5 cm</v>
          </cell>
          <cell r="D10244" t="str">
            <v>Osteotome, Cottle, gradu., 9 mm, 18.5 cm</v>
          </cell>
        </row>
        <row r="10245">
          <cell r="B10245" t="str">
            <v>37-606-12-07</v>
          </cell>
          <cell r="C10245" t="str">
            <v>Osteotom,  Cottle, gradu., 12 mm, 18,5 cm</v>
          </cell>
          <cell r="D10245" t="str">
            <v>Osteotome, Cottle, gradu., 12 mm, 18.5cm</v>
          </cell>
        </row>
        <row r="10246">
          <cell r="B10246" t="str">
            <v>37-607-06-07</v>
          </cell>
          <cell r="C10246" t="str">
            <v>Osteotom,  Cottle, geb., 6 mm, 18,5 cm</v>
          </cell>
          <cell r="D10246" t="str">
            <v>Osteotome, Cottle, cvd., 6 mm, 18.5 cm</v>
          </cell>
        </row>
        <row r="10247">
          <cell r="B10247" t="str">
            <v>37-608-02-07</v>
          </cell>
          <cell r="C10247" t="str">
            <v>Osteotom,  Cottle, quergr., 2 mm, 18,5 cm</v>
          </cell>
          <cell r="D10247" t="str">
            <v>Osteotome, Cottle, cross-gr.,  2mm,18.5cm</v>
          </cell>
        </row>
        <row r="10248">
          <cell r="B10248" t="str">
            <v>37-608-04-07</v>
          </cell>
          <cell r="C10248" t="str">
            <v>Osteotom,  Cottle, quergr., 4 mm, 18,5 cm</v>
          </cell>
          <cell r="D10248" t="str">
            <v>Osteotome, Cottle, cross-gr.,  4mm,18.5cm</v>
          </cell>
        </row>
        <row r="10249">
          <cell r="B10249" t="str">
            <v>37-608-07-07</v>
          </cell>
          <cell r="C10249" t="str">
            <v>Osteotom,  Cottle, quergr., 7 mm, 18,5 cm</v>
          </cell>
          <cell r="D10249" t="str">
            <v>Osteotome, Cottle, cross-gr.,  7mm,18.5cm</v>
          </cell>
        </row>
        <row r="10250">
          <cell r="B10250" t="str">
            <v>37-608-09-07</v>
          </cell>
          <cell r="C10250" t="str">
            <v>Osteotom,  Cottle, quergr., 9 mm, 18,5 cm</v>
          </cell>
          <cell r="D10250" t="str">
            <v>Osteotome, Cottle, cross-gr.,  9mm,18.5cm</v>
          </cell>
        </row>
        <row r="10251">
          <cell r="B10251" t="str">
            <v>37-608-12-07</v>
          </cell>
          <cell r="C10251" t="str">
            <v>Osteotom,  Cottle, quergr.,12  mm, 18,5 cm</v>
          </cell>
          <cell r="D10251" t="str">
            <v>Osteotome, Cottle, cross-gr.,12mm,18.5cm</v>
          </cell>
        </row>
        <row r="10252">
          <cell r="B10252" t="str">
            <v>37-609-06-07</v>
          </cell>
          <cell r="C10252" t="str">
            <v>Osteotom,  Cottle,quergr.,gew.,6mm,18,5cm</v>
          </cell>
          <cell r="D10252" t="str">
            <v>Osteotome,Cottle,cross-gr,ang,6mm,18.5cm</v>
          </cell>
        </row>
        <row r="10253">
          <cell r="B10253" t="str">
            <v>37-610-16-07</v>
          </cell>
          <cell r="C10253" t="str">
            <v>Osteotom,  Cottle, grad., 16 mm, 18,5 cm</v>
          </cell>
          <cell r="D10253" t="str">
            <v>Osteotome, Cottle, gradu., 16 mm, 18.5cm</v>
          </cell>
        </row>
        <row r="10254">
          <cell r="B10254" t="str">
            <v>37-612-16-07</v>
          </cell>
          <cell r="C10254" t="str">
            <v>Osteotom,  Cottle, quergr.,16  mm, 18,5 cm</v>
          </cell>
          <cell r="D10254" t="str">
            <v>Osteotome, Cottle, cross-gr.,16mm,18.5cm</v>
          </cell>
        </row>
        <row r="10255">
          <cell r="B10255" t="str">
            <v>37-616-10-07</v>
          </cell>
          <cell r="C10255" t="str">
            <v>Osteotom,  Rubin, 10 mm, 18,5 cm</v>
          </cell>
          <cell r="D10255" t="str">
            <v>Osteotome, Rubin, 10 mm, 18.5 cm</v>
          </cell>
        </row>
        <row r="10256">
          <cell r="B10256" t="str">
            <v>37-616-12-07</v>
          </cell>
          <cell r="C10256" t="str">
            <v>Osteotom,  Rubin, 12 mm, 18,5 cm</v>
          </cell>
          <cell r="D10256" t="str">
            <v>Osteotome, Rubin, 12 mm, 18.5 cm</v>
          </cell>
        </row>
        <row r="10257">
          <cell r="B10257" t="str">
            <v>37-616-14-07</v>
          </cell>
          <cell r="C10257" t="str">
            <v>Osteotom,  Rubin, 14 mm, 16,5 cm</v>
          </cell>
          <cell r="D10257" t="str">
            <v>Osteotome, Rubin, 14 mm, 16.5 cm</v>
          </cell>
        </row>
        <row r="10258">
          <cell r="B10258" t="str">
            <v>37-620-03-07</v>
          </cell>
          <cell r="C10258" t="str">
            <v>MEISSEL,  WALTER,  3 MM, 19 CM</v>
          </cell>
          <cell r="D10258" t="str">
            <v>CHISEL, WALTER,  3 MM, 19 CM</v>
          </cell>
        </row>
        <row r="10259">
          <cell r="B10259" t="str">
            <v>37-620-04-07</v>
          </cell>
          <cell r="C10259" t="str">
            <v>MEISSEL,  WALTER,  4,5 MM, 19 CM</v>
          </cell>
          <cell r="D10259" t="str">
            <v>CHISEL, WALTER,  4.5 MM, 19 CM</v>
          </cell>
        </row>
        <row r="10260">
          <cell r="B10260" t="str">
            <v>37-622-03-07</v>
          </cell>
          <cell r="C10260" t="str">
            <v>OSTEOTOM, WALTER,  3 MM, 19 CM</v>
          </cell>
          <cell r="D10260" t="str">
            <v>OSTEOTOME, WALTER,  3 MM, 19 CM</v>
          </cell>
        </row>
        <row r="10261">
          <cell r="B10261" t="str">
            <v>37-622-04-07</v>
          </cell>
          <cell r="C10261" t="str">
            <v>OSTEOTOM, WALTER,  4 MM, 19 CM</v>
          </cell>
          <cell r="D10261" t="str">
            <v>OSTEOTOME, WALTER,  4 MM, 19 CM</v>
          </cell>
        </row>
        <row r="10262">
          <cell r="B10262" t="str">
            <v>37-622-07-07</v>
          </cell>
          <cell r="C10262" t="str">
            <v>OSTEOTOM, WALTER,  7 MM, 19 CM</v>
          </cell>
          <cell r="D10262" t="str">
            <v>OSTEOTOME, WALTER,  7 MM, 19 CM</v>
          </cell>
        </row>
        <row r="10263">
          <cell r="B10263" t="str">
            <v>37-622-09-07</v>
          </cell>
          <cell r="C10263" t="str">
            <v>OSTEOTOM, WALTER,  9 MM, 19 CM</v>
          </cell>
          <cell r="D10263" t="str">
            <v>OSTEOTOME, WALTER,  9 MM, 19 CM</v>
          </cell>
        </row>
        <row r="10264">
          <cell r="B10264" t="str">
            <v>37-622-12-07</v>
          </cell>
          <cell r="C10264" t="str">
            <v>OSTEOTOM, WALTER,  12 MM, 19 CM</v>
          </cell>
          <cell r="D10264" t="str">
            <v>OSTEOTOME, WALTER,  12 MM, 19 CM</v>
          </cell>
        </row>
        <row r="10265">
          <cell r="B10265" t="str">
            <v>37-623-04-07</v>
          </cell>
          <cell r="C10265" t="str">
            <v>MEISSEL,  FOMON, M. FÜHRG., 4 MM, 16 CM</v>
          </cell>
          <cell r="D10265" t="str">
            <v>CHISEL, FOMON, W. GUIDE, 4 MM, 16 CM</v>
          </cell>
        </row>
        <row r="10266">
          <cell r="B10266" t="str">
            <v>37-623-05-07</v>
          </cell>
          <cell r="C10266" t="str">
            <v>MEISSEL,  FOMON, M. FÜHRG., 5 MM, 16 CM</v>
          </cell>
          <cell r="D10266" t="str">
            <v>CHISEL, FOMON, W. GUIDE, 5 MM, 16 CM</v>
          </cell>
        </row>
        <row r="10267">
          <cell r="B10267" t="str">
            <v>37-623-06-07</v>
          </cell>
          <cell r="C10267" t="str">
            <v>MEISSEL,  FOMON, M. FÜHRG., 6 MM, 16 CM</v>
          </cell>
          <cell r="D10267" t="str">
            <v>CHISEL, FOMON, W. GUIDE, 6 MM, 16 CM</v>
          </cell>
        </row>
        <row r="10268">
          <cell r="B10268" t="str">
            <v>37-623-07-07</v>
          </cell>
          <cell r="C10268" t="str">
            <v>MEISSEL,  FOMON, M. FÜHRG., 7 MM, 16 CM</v>
          </cell>
          <cell r="D10268" t="str">
            <v>CHISEL, FOMON, W. GUIDE, 7 MM, 16 CM</v>
          </cell>
        </row>
        <row r="10269">
          <cell r="B10269" t="str">
            <v>37-624-10-07</v>
          </cell>
          <cell r="C10269" t="str">
            <v>OSTEOTOM, CINELLI, 10 MM, 16 CM</v>
          </cell>
          <cell r="D10269" t="str">
            <v>OSTEOTOME, CINELLI, 10 MM, 16 CM</v>
          </cell>
        </row>
        <row r="10270">
          <cell r="B10270" t="str">
            <v>37-624-12-07</v>
          </cell>
          <cell r="C10270" t="str">
            <v>OSTEOTOM, CINELLI, 12 MM, 16 CM</v>
          </cell>
          <cell r="D10270" t="str">
            <v>OSTEOTOME, CINELLI, 12 MM, 16 CM</v>
          </cell>
        </row>
        <row r="10271">
          <cell r="B10271" t="str">
            <v>37-624-14-07</v>
          </cell>
          <cell r="C10271" t="str">
            <v>OSTEOTOM, CINELLI, 14 MM, 16 CM</v>
          </cell>
          <cell r="D10271" t="str">
            <v>OSTEOTOME, CINELLI, 14 MM, 16 CM</v>
          </cell>
        </row>
        <row r="10272">
          <cell r="B10272" t="str">
            <v>37-624-16-07</v>
          </cell>
          <cell r="C10272" t="str">
            <v>OSTEOTOM, CINELLI, 16 MM, 16 CM</v>
          </cell>
          <cell r="D10272" t="str">
            <v>OSTEOTOME, CINELLI, 16 MM, 16 CM</v>
          </cell>
        </row>
        <row r="10273">
          <cell r="B10273" t="str">
            <v>37-625-01-07</v>
          </cell>
          <cell r="C10273" t="str">
            <v>OSTEOTOM, NEIVERT-ANDERSON, 7 MM, RE.</v>
          </cell>
          <cell r="D10273" t="str">
            <v>OSTEOTOME, NEIVERT-ANDERSON, 7 MM, R.</v>
          </cell>
        </row>
        <row r="10274">
          <cell r="B10274" t="str">
            <v>37-625-02-07</v>
          </cell>
          <cell r="C10274" t="str">
            <v>OSTEOTOM, NEIVERT-ANDERSON, 7 MM, LI.</v>
          </cell>
          <cell r="D10274" t="str">
            <v>OSTEOTOME, NEIVERT-ANDERSON, 7 MM, L.</v>
          </cell>
        </row>
        <row r="10275">
          <cell r="B10275" t="str">
            <v>37-625-03-07</v>
          </cell>
          <cell r="C10275" t="str">
            <v>OSTEOTOM, NEIVERT-ANDERSON, 7 MM, GER.</v>
          </cell>
          <cell r="D10275" t="str">
            <v>OSTEOTOME, NEIVERT-ANDERSON, 7 MM, STR.</v>
          </cell>
        </row>
        <row r="10276">
          <cell r="B10276" t="str">
            <v>37-627-03-04</v>
          </cell>
          <cell r="C10276" t="str">
            <v>Osteotom,  3 mm, 18,5 cm</v>
          </cell>
          <cell r="D10276" t="str">
            <v>Osteotome, 3 mm, 18,5 cm</v>
          </cell>
        </row>
        <row r="10277">
          <cell r="B10277" t="str">
            <v>37-627-04-07</v>
          </cell>
          <cell r="C10277" t="str">
            <v>Osteotom,  Gubisch-Fanous, ger., 19,5 cm</v>
          </cell>
          <cell r="D10277" t="str">
            <v>Osteotome, Gubisch-Fanous, str., 19,5 cm</v>
          </cell>
        </row>
        <row r="10278">
          <cell r="B10278" t="str">
            <v>37-627-05-07</v>
          </cell>
          <cell r="C10278" t="str">
            <v>Osteotom,  Fanous, ger., 4 mm, 19,5 cm</v>
          </cell>
          <cell r="D10278" t="str">
            <v>Osteotome, Fanous, str., 4 mm, 19,5 cm</v>
          </cell>
        </row>
        <row r="10279">
          <cell r="B10279" t="str">
            <v>37-627-06-07</v>
          </cell>
          <cell r="C10279" t="str">
            <v>Osteotom,  Fanous, ger., re., 4mm, 19,5cm</v>
          </cell>
          <cell r="D10279" t="str">
            <v>Osteotome, Fanous, str., ri., 4mm,19,5cm</v>
          </cell>
        </row>
        <row r="10280">
          <cell r="B10280" t="str">
            <v>37-627-07-07</v>
          </cell>
          <cell r="C10280" t="str">
            <v>Osteotom,  Fanous, ger., li., 4mm, 19,5cm</v>
          </cell>
          <cell r="D10280" t="str">
            <v>Osteotome, Fanous, str., le., 4mm,19,5cm</v>
          </cell>
        </row>
        <row r="10281">
          <cell r="B10281" t="str">
            <v>37-627-08-07</v>
          </cell>
          <cell r="C10281" t="str">
            <v>Osteotom,  Walter, ger., 2 mm, 19 cm</v>
          </cell>
          <cell r="D10281" t="str">
            <v>Osteotome, Walter, str., 2 mm, 19 cm</v>
          </cell>
        </row>
        <row r="10282">
          <cell r="B10282" t="str">
            <v>37-627-10-07</v>
          </cell>
          <cell r="C10282" t="str">
            <v>Osteotom,  Cottle, ger., 10 mm, 20 cm</v>
          </cell>
          <cell r="D10282" t="str">
            <v>Osteotome, Cottle, str., 10 mm, 20 cm</v>
          </cell>
        </row>
        <row r="10283">
          <cell r="B10283" t="str">
            <v>37-628-01-07</v>
          </cell>
          <cell r="C10283" t="str">
            <v>NASENMEISSEL, SILVER, GER., 5 MM, 18 CM</v>
          </cell>
          <cell r="D10283" t="str">
            <v>NASAL CHISEL, SILVER, STR., 5 MM, 18 CM</v>
          </cell>
        </row>
        <row r="10284">
          <cell r="B10284" t="str">
            <v>37-628-02-07</v>
          </cell>
          <cell r="C10284" t="str">
            <v>NASENMEISSEL, SILVER, RE., 5 MM, 18 CM</v>
          </cell>
          <cell r="D10284" t="str">
            <v>NASAL CHISEL, SILVER, R., 5 MM, 18 CM</v>
          </cell>
        </row>
        <row r="10285">
          <cell r="B10285" t="str">
            <v>37-628-03-07</v>
          </cell>
          <cell r="C10285" t="str">
            <v>NASENMEISSEL, SILVER, LI., 5 MM, 18 CM</v>
          </cell>
          <cell r="D10285" t="str">
            <v>NASAL CHISEL, SILVER, L., 5 MM, 18 CM</v>
          </cell>
        </row>
        <row r="10286">
          <cell r="B10286" t="str">
            <v>37-632-20-07</v>
          </cell>
          <cell r="C10286" t="str">
            <v>NASENSÄGE, JOSEPH, LI. ABGEW.,  17 CM</v>
          </cell>
          <cell r="D10286" t="str">
            <v>NASAL SAW, JOSEPH, ANGLED LEFT, 17 CM</v>
          </cell>
        </row>
        <row r="10287">
          <cell r="B10287" t="str">
            <v>37-634-20-07</v>
          </cell>
          <cell r="C10287" t="str">
            <v>NASENSÄGE, JOSEPH, RE. ABGEW.,  17 CM</v>
          </cell>
          <cell r="D10287" t="str">
            <v>NASAL SAW, JOSEPH, ANGLED RIGHT, 17 CM</v>
          </cell>
        </row>
        <row r="10288">
          <cell r="B10288" t="str">
            <v>37-649-00-07</v>
          </cell>
          <cell r="C10288" t="str">
            <v>NASENSÄGE, JOSEPH, GER., 19 CM</v>
          </cell>
          <cell r="D10288" t="str">
            <v>NASAL SAW, JOSEPH, STR., 19 CM</v>
          </cell>
        </row>
        <row r="10289">
          <cell r="B10289" t="str">
            <v>37-649-01-07</v>
          </cell>
          <cell r="C10289" t="str">
            <v>NASENSÄGE, JOSEPH, BAJON., LI., 19 CM</v>
          </cell>
          <cell r="D10289" t="str">
            <v>NASAL SAW, JOSEPH, BAYON., LEFT, 19 CM</v>
          </cell>
        </row>
        <row r="10290">
          <cell r="B10290" t="str">
            <v>37-649-02-07</v>
          </cell>
          <cell r="C10290" t="str">
            <v>NASENSÄGE, JOSEPH, BAJON., RE., 19 CM</v>
          </cell>
          <cell r="D10290" t="str">
            <v>NASAL SAW, JOSEPH, BAYON., RIGHT, 19 CM</v>
          </cell>
        </row>
        <row r="10291">
          <cell r="B10291" t="str">
            <v>37-652-00-07</v>
          </cell>
          <cell r="C10291" t="str">
            <v>KNORPELQUETSCHE, COTTLE, M. KLAMMER</v>
          </cell>
          <cell r="D10291" t="str">
            <v>CARTILAGE  CRUSHER,  COTTLE, W. CLIP</v>
          </cell>
        </row>
        <row r="10292">
          <cell r="B10292" t="str">
            <v>37-656-01-07</v>
          </cell>
          <cell r="C10292" t="str">
            <v>Raspel,Maltz,Zug, 40 x 7,5 mm, 18cm</v>
          </cell>
          <cell r="D10292" t="str">
            <v>Rasp, Maltz, draw, 34x7 mm, 17 cm</v>
          </cell>
        </row>
        <row r="10293">
          <cell r="B10293" t="str">
            <v>37-656-02-07</v>
          </cell>
          <cell r="C10293" t="str">
            <v>Raspel, Maltz, Stoss, 40 x 7,5 mm, 18 cm</v>
          </cell>
          <cell r="D10293" t="str">
            <v>Rasp, Maltz, push, 34x7 mm, 17 cm</v>
          </cell>
        </row>
        <row r="10294">
          <cell r="B10294" t="str">
            <v>37-658-01-07</v>
          </cell>
          <cell r="C10294" t="str">
            <v>KNOCHENFEILE, JOSEPH, FEIN, 16 CM</v>
          </cell>
          <cell r="D10294" t="str">
            <v>BONE FILE, JOSEPH, FINE, 16 CM</v>
          </cell>
        </row>
        <row r="10295">
          <cell r="B10295" t="str">
            <v>37-664-02-07</v>
          </cell>
          <cell r="C10295" t="str">
            <v>Nasenraspel, Fomon, Zahnung grob, 20,5cm</v>
          </cell>
          <cell r="D10295" t="str">
            <v>Nasal Rasp, Fomon, Coarse, 20.5cm</v>
          </cell>
        </row>
        <row r="10296">
          <cell r="B10296" t="str">
            <v>37-668-01-07</v>
          </cell>
          <cell r="C10296" t="str">
            <v>Nasenraspel, Parkes, Zahnung fein,19,5cm</v>
          </cell>
          <cell r="D10296" t="str">
            <v>Nasal Rasp, Parkes, Fine, 19.5cm</v>
          </cell>
        </row>
        <row r="10297">
          <cell r="B10297" t="str">
            <v>37-669-18-04</v>
          </cell>
          <cell r="C10297" t="str">
            <v>Raspatorium, gebogen,  5 mm, 18 cm</v>
          </cell>
          <cell r="D10297" t="str">
            <v>Raspatory,  curved, 5 mm, 18 cm</v>
          </cell>
        </row>
        <row r="10298">
          <cell r="B10298" t="str">
            <v>37-670-21-07</v>
          </cell>
          <cell r="C10298" t="str">
            <v>NASENRASPEL, COTTLE, 30X8 MM, 21 CM</v>
          </cell>
          <cell r="D10298" t="str">
            <v>NASAL RASP, COTTLE, 30X8 MM, 21 CM</v>
          </cell>
        </row>
        <row r="10299">
          <cell r="B10299" t="str">
            <v>37-671-21-07</v>
          </cell>
          <cell r="C10299" t="str">
            <v>GLABELLARASPEL, AUFRICHT,  STOSS, 21 CM</v>
          </cell>
          <cell r="D10299" t="str">
            <v>GLABELLUM RASP, AUFRICHT,  PUSH, 21 CM</v>
          </cell>
        </row>
        <row r="10300">
          <cell r="B10300" t="str">
            <v>37-673-21-07</v>
          </cell>
          <cell r="C10300" t="str">
            <v>GLABELLARASPEL, AUFRICHT,  ZUG, 21 CM</v>
          </cell>
          <cell r="D10300" t="str">
            <v>GLABELLUM RASP, AUFRICHT,  DRAW, 21 CM</v>
          </cell>
        </row>
        <row r="10301">
          <cell r="B10301" t="str">
            <v>37-674-18-07</v>
          </cell>
          <cell r="C10301" t="str">
            <v>NASENRASPEL, LEWIS, FEIN, 15X8 MM, 19 CM</v>
          </cell>
          <cell r="D10301" t="str">
            <v>NASAL RASP, LEWIS, FINE, 15X8MM,  19 CM</v>
          </cell>
        </row>
        <row r="10302">
          <cell r="B10302" t="str">
            <v>37-676-18-07</v>
          </cell>
          <cell r="C10302" t="str">
            <v>NASENRASPEL, LEWIS, GROB, 15X8 MM, 19 CM</v>
          </cell>
          <cell r="D10302" t="str">
            <v>NASAL RASP, LEWIS, COARSE, 15X8MM,  19 CM</v>
          </cell>
        </row>
        <row r="10303">
          <cell r="B10303" t="str">
            <v>37-678-01-07</v>
          </cell>
          <cell r="C10303" t="str">
            <v>Nasenraspel, diamant,  ger., 19 cm</v>
          </cell>
          <cell r="D10303" t="str">
            <v>Nasal Rasp, Diamond,  Rnd., 19cm</v>
          </cell>
        </row>
        <row r="10304">
          <cell r="B10304" t="str">
            <v>37-678-02-07</v>
          </cell>
          <cell r="C10304" t="str">
            <v>Nasenraspel, diamant,  geb., 19 cm</v>
          </cell>
          <cell r="D10304" t="str">
            <v>Nasal Rasp, Diamond,  Crvd., 19cm</v>
          </cell>
        </row>
        <row r="10305">
          <cell r="B10305" t="str">
            <v>37-680-01-07</v>
          </cell>
          <cell r="C10305" t="str">
            <v>TC-Raspel,  Maltz, Fig. 1, 20 CM</v>
          </cell>
          <cell r="D10305" t="str">
            <v>TC-Maltz  Nasal Rasp, NO. 1, 20 CM</v>
          </cell>
        </row>
        <row r="10306">
          <cell r="B10306" t="str">
            <v>37-680-02-07</v>
          </cell>
          <cell r="C10306" t="str">
            <v>TC-Raspel,  Maltz, Fig. 2, 20 CM</v>
          </cell>
          <cell r="D10306" t="str">
            <v>TC-Maltz  Nasal Rasp, NO. 2, 20 CM</v>
          </cell>
        </row>
        <row r="10307">
          <cell r="B10307" t="str">
            <v>37-680-03-07</v>
          </cell>
          <cell r="C10307" t="str">
            <v>TC-Raspel,  Maltz, Fig.  3, 20 CM</v>
          </cell>
          <cell r="D10307" t="str">
            <v>TC-Maltz  Nasal Rasp, NO. 3, 20 CM</v>
          </cell>
        </row>
        <row r="10308">
          <cell r="B10308" t="str">
            <v>37-680-04-07</v>
          </cell>
          <cell r="C10308" t="str">
            <v>TC-Raspel,  Maltz, Fig.  4, 20 CM</v>
          </cell>
          <cell r="D10308" t="str">
            <v>TC-Maltz  Nasal Rasp, NO. 4, 20 CM</v>
          </cell>
        </row>
        <row r="10309">
          <cell r="B10309" t="str">
            <v>37-680-05-07</v>
          </cell>
          <cell r="C10309" t="str">
            <v>TC-Raspel,  Maltz, Fig. 5, 20 CM</v>
          </cell>
          <cell r="D10309" t="str">
            <v>TC-Maltz  Nasal Rasp, NO. 5, 20 CM</v>
          </cell>
        </row>
        <row r="10310">
          <cell r="B10310" t="str">
            <v>37-680-06-07</v>
          </cell>
          <cell r="C10310" t="str">
            <v>TC-Raspel,  Maltz, Fig. 6, 20 CM</v>
          </cell>
          <cell r="D10310" t="str">
            <v>TC-Maltz  Nasal Rasp, NO. 6, 20 CM</v>
          </cell>
        </row>
        <row r="10311">
          <cell r="B10311" t="str">
            <v>37-680-07-07</v>
          </cell>
          <cell r="C10311" t="str">
            <v>TC-Raspel,  Maltz, Fig. 7, 20 CM</v>
          </cell>
          <cell r="D10311" t="str">
            <v>TC-Maltz  Nasal Rasp, NO. 7, 20 CM</v>
          </cell>
        </row>
        <row r="10312">
          <cell r="B10312" t="str">
            <v>37-680-08-07</v>
          </cell>
          <cell r="C10312" t="str">
            <v>TC-Raspel,  Maltz, Fig. 8, 20 CM</v>
          </cell>
          <cell r="D10312" t="str">
            <v>TC-Maltz  Nasal Rasp, NO. 8, 20 CM</v>
          </cell>
        </row>
        <row r="10313">
          <cell r="B10313" t="str">
            <v>37-680-09-07</v>
          </cell>
          <cell r="C10313" t="str">
            <v>TC-Raspel,  Maltz, Fig. 9, 20 CM</v>
          </cell>
          <cell r="D10313" t="str">
            <v>TC-Maltz  Nasal Rasp, NO. 9, 20 CM</v>
          </cell>
        </row>
        <row r="10314">
          <cell r="B10314" t="str">
            <v>37-680-10-07</v>
          </cell>
          <cell r="C10314" t="str">
            <v>TC-Raspel,  Maltz, Fig. 10, 20 CM</v>
          </cell>
          <cell r="D10314" t="str">
            <v>TC-Maltz  Nasal Rasp, NO. 10, 20 CM</v>
          </cell>
        </row>
        <row r="10315">
          <cell r="B10315" t="str">
            <v>37-680-21-07</v>
          </cell>
          <cell r="C10315" t="str">
            <v>RASPEL, FOMON, DOPPELENDIG, 20,5 CM</v>
          </cell>
          <cell r="D10315" t="str">
            <v>NASAL RASP, FOMON, DOUBLE-ENDED, 20.5 CM</v>
          </cell>
        </row>
        <row r="10316">
          <cell r="B10316" t="str">
            <v>37-681-01-07</v>
          </cell>
          <cell r="C10316" t="str">
            <v>TC-Raspeleinsatz, # 1</v>
          </cell>
          <cell r="D10316" t="str">
            <v>TC Insert, # 1</v>
          </cell>
        </row>
        <row r="10317">
          <cell r="B10317" t="str">
            <v>37-681-02-07</v>
          </cell>
          <cell r="C10317" t="str">
            <v>TC-Raspeleinsatz, # 2</v>
          </cell>
          <cell r="D10317" t="str">
            <v>TC Insert, # 2</v>
          </cell>
        </row>
        <row r="10318">
          <cell r="B10318" t="str">
            <v>37-681-03-07</v>
          </cell>
          <cell r="C10318" t="str">
            <v>TC-Raspeleinsatz, # 3</v>
          </cell>
          <cell r="D10318" t="str">
            <v>TC Insert, # 3</v>
          </cell>
        </row>
        <row r="10319">
          <cell r="B10319" t="str">
            <v>37-681-04-07</v>
          </cell>
          <cell r="C10319" t="str">
            <v>TC-Raspeleinsatz, # 4</v>
          </cell>
          <cell r="D10319" t="str">
            <v>TC Insert, # 4</v>
          </cell>
        </row>
        <row r="10320">
          <cell r="B10320" t="str">
            <v>37-681-05-07</v>
          </cell>
          <cell r="C10320" t="str">
            <v>TC-Raspeleinsatz, # 5</v>
          </cell>
          <cell r="D10320" t="str">
            <v>TC Insert, # 5</v>
          </cell>
        </row>
        <row r="10321">
          <cell r="B10321" t="str">
            <v>37-681-06-07</v>
          </cell>
          <cell r="C10321" t="str">
            <v>TC-Raspeleinsatz, # 6</v>
          </cell>
          <cell r="D10321" t="str">
            <v>TC Insert, # 6</v>
          </cell>
        </row>
        <row r="10322">
          <cell r="B10322" t="str">
            <v>37-681-07-07</v>
          </cell>
          <cell r="C10322" t="str">
            <v>TC-Raspeleinsatz, # 7</v>
          </cell>
          <cell r="D10322" t="str">
            <v>TC Insert, # 7</v>
          </cell>
        </row>
        <row r="10323">
          <cell r="B10323" t="str">
            <v>37-681-08-07</v>
          </cell>
          <cell r="C10323" t="str">
            <v>TC-Raspeleinsatz, # 8</v>
          </cell>
          <cell r="D10323" t="str">
            <v>TC Insert, # 8</v>
          </cell>
        </row>
        <row r="10324">
          <cell r="B10324" t="str">
            <v>37-681-09-07</v>
          </cell>
          <cell r="C10324" t="str">
            <v>TC-Raspeleinsatz, # 9</v>
          </cell>
          <cell r="D10324" t="str">
            <v>TC Insert, # 9</v>
          </cell>
        </row>
        <row r="10325">
          <cell r="B10325" t="str">
            <v>37-681-10-07</v>
          </cell>
          <cell r="C10325" t="str">
            <v>TC-Raspeleinsatz, # 10</v>
          </cell>
          <cell r="D10325" t="str">
            <v>TC Insert, # 10</v>
          </cell>
        </row>
        <row r="10326">
          <cell r="B10326" t="str">
            <v>37-681-11-07</v>
          </cell>
          <cell r="C10326" t="str">
            <v>Handgriff  f. TC-Raspeleinsatz, 14cm</v>
          </cell>
          <cell r="D10326" t="str">
            <v>Handle f. TC Inserts, 14cm</v>
          </cell>
        </row>
        <row r="10327">
          <cell r="B10327" t="str">
            <v>37-681-12-07</v>
          </cell>
          <cell r="C10327" t="str">
            <v>Handgriff  f. TC-Raspeleins., dopp., 15cm</v>
          </cell>
          <cell r="D10327" t="str">
            <v>Handle f. TC Inserts, double, 15cm</v>
          </cell>
        </row>
        <row r="10328">
          <cell r="B10328" t="str">
            <v>37-681-13-07</v>
          </cell>
          <cell r="C10328" t="str">
            <v>Schlüssel  f. Handgriff</v>
          </cell>
          <cell r="D10328" t="str">
            <v>Key for handle</v>
          </cell>
        </row>
        <row r="10329">
          <cell r="B10329" t="str">
            <v>37-682-01-07</v>
          </cell>
          <cell r="C10329" t="str">
            <v>TC-RASPEL, FOMON, FIG. 1/2, 20,5 CM</v>
          </cell>
          <cell r="D10329" t="str">
            <v>TC-NASAL  RASP, FOMON, NO. 1/2, 20.5 CM</v>
          </cell>
        </row>
        <row r="10330">
          <cell r="B10330" t="str">
            <v>37-682-02-07</v>
          </cell>
          <cell r="C10330" t="str">
            <v>TC-RASPEL, FOMON, FIG. 3/4, 20,5 CM</v>
          </cell>
          <cell r="D10330" t="str">
            <v>TC-NASAL  RASP, FOMON, NO. 3/4, 20.5 CM</v>
          </cell>
        </row>
        <row r="10331">
          <cell r="B10331" t="str">
            <v>37-682-03-07</v>
          </cell>
          <cell r="C10331" t="str">
            <v>TC-RASPEL, FOMON, FIG. 5/6, 20,5 CM</v>
          </cell>
          <cell r="D10331" t="str">
            <v>TC-NASAL  RASP, FOMON, NO. 5/6, 20.5 CM</v>
          </cell>
        </row>
        <row r="10332">
          <cell r="B10332" t="str">
            <v>37-682-04-07</v>
          </cell>
          <cell r="C10332" t="str">
            <v>TC-RASPEL, FOMON, FIG. 7/8, 20,5 CM</v>
          </cell>
          <cell r="D10332" t="str">
            <v>TC-NASAL  RASP, FOMON, NO. 7/8, 20.5 CM</v>
          </cell>
        </row>
        <row r="10333">
          <cell r="B10333" t="str">
            <v>37-682-05-07</v>
          </cell>
          <cell r="C10333" t="str">
            <v>TC-RASPEL, FOMON, FIG. 9/10, 20,5 CM</v>
          </cell>
          <cell r="D10333" t="str">
            <v>TC-NASAL  RASP, FOMON, NO. 9/10, 20.5 CM</v>
          </cell>
        </row>
        <row r="10334">
          <cell r="B10334" t="str">
            <v>37-682-06-07</v>
          </cell>
          <cell r="C10334" t="str">
            <v>TC-RASPEL, FOMON, FIG. 2/5, 20,5 CM</v>
          </cell>
          <cell r="D10334" t="str">
            <v>TC-NASAL  RASP, FOMON, NO. 2/5, 20.5 CM</v>
          </cell>
        </row>
        <row r="10335">
          <cell r="B10335" t="str">
            <v>37-683-00-07</v>
          </cell>
          <cell r="C10335" t="str">
            <v>Knorpelschaber, Dingman,  # 1-2, 15 cm</v>
          </cell>
          <cell r="D10335" t="str">
            <v>Raspatory,  Cartilage,  Dingman,  # 1-2</v>
          </cell>
        </row>
        <row r="10336">
          <cell r="B10336" t="str">
            <v>37-683-01-07</v>
          </cell>
          <cell r="C10336" t="str">
            <v>Knorpelschaber, Dingman,  # 1, 15cm</v>
          </cell>
          <cell r="D10336" t="str">
            <v>Raspatory,  Cartilage,  Dingman,  # 1, 15cm</v>
          </cell>
        </row>
        <row r="10337">
          <cell r="B10337" t="str">
            <v>37-683-02-07</v>
          </cell>
          <cell r="C10337" t="str">
            <v>Knorpelschaber, Dingman,  # 2, 15cm</v>
          </cell>
          <cell r="D10337" t="str">
            <v>Raspatory,  Cartilage,  Dingman,  # 2, 15cm</v>
          </cell>
        </row>
        <row r="10338">
          <cell r="B10338" t="str">
            <v>37-684-15-07</v>
          </cell>
          <cell r="C10338" t="str">
            <v>MUKOSAHÄKCHEN, JOSEPH, SCHF., 15,5 CM</v>
          </cell>
          <cell r="D10338" t="str">
            <v>MUCOUS  HOOKLET,  JOSEPH, SHARP, 15.5 CM</v>
          </cell>
        </row>
        <row r="10339">
          <cell r="B10339" t="str">
            <v>37-686-16-07</v>
          </cell>
          <cell r="C10339" t="str">
            <v>HÄKCHEN,  COTTLE, SCHARF, 17 CM</v>
          </cell>
          <cell r="D10339" t="str">
            <v>TENACULUM HOOKLET,  COTTLE, SHARP, 17 CM</v>
          </cell>
        </row>
        <row r="10340">
          <cell r="B10340" t="str">
            <v>37-687-17-07</v>
          </cell>
          <cell r="C10340" t="str">
            <v>Häkchen,  Cottle, scharf, 180°, 17 cm</v>
          </cell>
          <cell r="D10340" t="str">
            <v>Tenaculum  hooklet, Cottle, sh,180°, 17cm</v>
          </cell>
        </row>
        <row r="10341">
          <cell r="B10341" t="str">
            <v>37-688-01-07</v>
          </cell>
          <cell r="C10341" t="str">
            <v>HÄKCHEN,  COTTLE, SCHF., FIG. 1, 14,5 CM</v>
          </cell>
          <cell r="D10341" t="str">
            <v>HOOKLET,  COTTLE, SHARP, NO. 1, 14.5 CM</v>
          </cell>
        </row>
        <row r="10342">
          <cell r="B10342" t="str">
            <v>37-688-02-07</v>
          </cell>
          <cell r="C10342" t="str">
            <v>HÄKCHEN,  COTTLE, SCHF., FIG. 2, 14,5 CM</v>
          </cell>
          <cell r="D10342" t="str">
            <v>HOOKLET,  COTTLE, SHARP, NO. 2, 14.5 CM</v>
          </cell>
        </row>
        <row r="10343">
          <cell r="B10343" t="str">
            <v>37-688-03-07</v>
          </cell>
          <cell r="C10343" t="str">
            <v>HÄKCHEN,  COTTLE, SCHF., FIG. 3, 14,5 CM</v>
          </cell>
          <cell r="D10343" t="str">
            <v>HOOKLET,  COTTLE, SHARP, NO. 3, 14.5 CM</v>
          </cell>
        </row>
        <row r="10344">
          <cell r="B10344" t="str">
            <v>37-692-22-07</v>
          </cell>
          <cell r="C10344" t="str">
            <v>NASENFLÜGELHAKEN, LANGE, STPF., 23 CM</v>
          </cell>
          <cell r="D10344" t="str">
            <v>ALAR RETRACTOR, LANGE, BLUNT, 23 CM</v>
          </cell>
        </row>
        <row r="10345">
          <cell r="B10345" t="str">
            <v>37-694-17-07</v>
          </cell>
          <cell r="C10345" t="str">
            <v>NASENFLÜGELHAKEN, FOMON, STPF., 17 CM</v>
          </cell>
          <cell r="D10345" t="str">
            <v>ALAR RETRACTOR, FOMON, BLUNT, 17 CM</v>
          </cell>
        </row>
        <row r="10346">
          <cell r="B10346" t="str">
            <v>37-697-19-07</v>
          </cell>
          <cell r="C10346" t="str">
            <v>HAKEN, AUFRICHT,  GEW., 45X11 MM, 19 CM</v>
          </cell>
          <cell r="D10346" t="str">
            <v>NASAL RETRACT.,  AUFRICHT,  45X11 MM, 19CM</v>
          </cell>
        </row>
        <row r="10347">
          <cell r="B10347" t="str">
            <v>37-698-10-07</v>
          </cell>
          <cell r="C10347" t="str">
            <v>NASENFLÜGELHAKEN, KILNER, SCHF., 8 CM</v>
          </cell>
          <cell r="D10347" t="str">
            <v>ALAR RETRACTOR, KILNER, SHARP, 8 CM</v>
          </cell>
        </row>
        <row r="10348">
          <cell r="B10348" t="str">
            <v>37-699-11-07</v>
          </cell>
          <cell r="C10348" t="str">
            <v>NASENHAKEN, CONVERSE, 44X11 MM, 10,5 CM</v>
          </cell>
          <cell r="D10348" t="str">
            <v>RETRACTOR, CONVERSE, 44X11 MM, 10.5 CM</v>
          </cell>
        </row>
        <row r="10349">
          <cell r="B10349" t="str">
            <v>37-700-12-07</v>
          </cell>
          <cell r="C10349" t="str">
            <v>NASENFL.-HÄKCHEN, SCHF., DOPP., 11,5 CM</v>
          </cell>
          <cell r="D10349" t="str">
            <v>ALAR RETRACTOR, SHARP, DOUBLE,  11.5 CM</v>
          </cell>
        </row>
        <row r="10350">
          <cell r="B10350" t="str">
            <v>37-702-15-07</v>
          </cell>
          <cell r="C10350" t="str">
            <v>Schleimhauth., Freer, 2-Z., Schf., 15 cm</v>
          </cell>
          <cell r="D10350" t="str">
            <v>Mucosa-Hooklet, Freer, 2-Pr., sharp,15cm</v>
          </cell>
        </row>
        <row r="10351">
          <cell r="B10351" t="str">
            <v>37-704-02-07</v>
          </cell>
          <cell r="C10351" t="str">
            <v>MUKOSAHÄKCHEN, JOSEPH, 2-Z., 2 MM, 16 CM</v>
          </cell>
          <cell r="D10351" t="str">
            <v>SKIN HOOKLET,  JOSEPH, 2-PR., 2 MM, 16 CM</v>
          </cell>
        </row>
        <row r="10352">
          <cell r="B10352" t="str">
            <v>37-704-05-07</v>
          </cell>
          <cell r="C10352" t="str">
            <v>MUKOSAHÄKCHEN, JOSEPH, 2-Z., 5 MM, 16 CM</v>
          </cell>
          <cell r="D10352" t="str">
            <v>SKIN HOOKLET,  JOSEPH, 2-PR., 5 MM, 16 CM</v>
          </cell>
        </row>
        <row r="10353">
          <cell r="B10353" t="str">
            <v>37-704-07-07</v>
          </cell>
          <cell r="C10353" t="str">
            <v>MUKOSAHÄKCHEN, JOSEPH, 2-Z., 7 MM, 16 CM</v>
          </cell>
          <cell r="D10353" t="str">
            <v>SKIN HOOKLET,  JOSEPH, 2-PR., 7 MM, 16 CM</v>
          </cell>
        </row>
        <row r="10354">
          <cell r="B10354" t="str">
            <v>37-704-10-07</v>
          </cell>
          <cell r="C10354" t="str">
            <v>MUKOSAHÄKCHEN, JOSEPH, 2-ZINK., 10 MM</v>
          </cell>
          <cell r="D10354" t="str">
            <v>SKIN HOOKLET,  JOSEPH, 2-PR., 10 MM</v>
          </cell>
        </row>
        <row r="10355">
          <cell r="B10355" t="str">
            <v>37-705-01-07</v>
          </cell>
          <cell r="C10355" t="str">
            <v>Doppelhäkchen, Millard, 5x12 mm, 5,5 cm</v>
          </cell>
          <cell r="D10355" t="str">
            <v>Hooklet, double, Millard, 5x12 mm,5,5 cm</v>
          </cell>
        </row>
        <row r="10356">
          <cell r="B10356" t="str">
            <v>37-706-16-07</v>
          </cell>
          <cell r="C10356" t="str">
            <v>NASENFLÜGELHAKEN, FOMON, ST, 2-Z., 16 CM</v>
          </cell>
          <cell r="D10356" t="str">
            <v>ALAR RETRACTOR, FOMON, BL., 2-PR., 16 CM</v>
          </cell>
        </row>
        <row r="10357">
          <cell r="B10357" t="str">
            <v>37-707-20-07</v>
          </cell>
          <cell r="C10357" t="str">
            <v>HAKEN, COTTLE-NEIVERT, M. RINNE, 19,5 CM</v>
          </cell>
          <cell r="D10357" t="str">
            <v>RETRACTOR, COTTLE-NEIV., GROOVE,  19.5 CM</v>
          </cell>
        </row>
        <row r="10358">
          <cell r="B10358" t="str">
            <v>37-707-21-07</v>
          </cell>
          <cell r="C10358" t="str">
            <v>Haken, Cottle-Neivert, 5x10 mm, 21 cm</v>
          </cell>
          <cell r="D10358" t="str">
            <v>Hooklet, Cottle-Neivert, 5x10 mm, 21 cm</v>
          </cell>
        </row>
        <row r="10359">
          <cell r="B10359" t="str">
            <v>37-708-14-07</v>
          </cell>
          <cell r="C10359" t="str">
            <v>HÄKCHEN,  SCHARF, 2-ZINK., 14,5 CM</v>
          </cell>
          <cell r="D10359" t="str">
            <v>HOOKLET,  SHARP, 2-PR., 14.5 CM</v>
          </cell>
        </row>
        <row r="10360">
          <cell r="B10360" t="str">
            <v>37-709-01-07</v>
          </cell>
          <cell r="C10360" t="str">
            <v>HÄKCHEN,  ST/SCH, 2-ZINK., 14,5 CM</v>
          </cell>
          <cell r="D10360" t="str">
            <v>HOOKLET,  BLUNT/SHARP, 2-PR., 14.5 CM</v>
          </cell>
        </row>
        <row r="10361">
          <cell r="B10361" t="str">
            <v>37-709-02-07</v>
          </cell>
          <cell r="C10361" t="str">
            <v>HÄKCHEN,  SCH/ST, 2-ZINK., 14,5 CM</v>
          </cell>
          <cell r="D10361" t="str">
            <v>HOOKLET,  SHARP/BLUNT, 2-PR., 14.5 CM</v>
          </cell>
        </row>
        <row r="10362">
          <cell r="B10362" t="str">
            <v>37-712-16-07</v>
          </cell>
          <cell r="C10362" t="str">
            <v>DOPPELHAKEN, NEIVERT,  M. RINNE, 17 CM</v>
          </cell>
          <cell r="D10362" t="str">
            <v>RETRACTOR, NEIVERT,  W. GROOVE,  17 CM</v>
          </cell>
        </row>
        <row r="10363">
          <cell r="B10363" t="str">
            <v>37-713-15-07</v>
          </cell>
          <cell r="C10363" t="str">
            <v>SATTELHÄKCHEN, COTTLE, 14 CM</v>
          </cell>
          <cell r="D10363" t="str">
            <v>ALAR RETRACTOR, COTTLE, 14 CM</v>
          </cell>
        </row>
        <row r="10364">
          <cell r="B10364" t="str">
            <v>37-715-14-07</v>
          </cell>
          <cell r="C10364" t="str">
            <v>NASENHAKEN, AUFRICHT,  DOPP., 12 CM</v>
          </cell>
          <cell r="D10364" t="str">
            <v>NASAL RETRACTOR, AUFRICHT,  DBL., 12 CM</v>
          </cell>
        </row>
        <row r="10365">
          <cell r="B10365" t="str">
            <v>37-721-20-07</v>
          </cell>
          <cell r="C10365" t="str">
            <v>SEPTUMZANGE, KRESSNER,  GEW., 22 CM</v>
          </cell>
          <cell r="D10365" t="str">
            <v>SEPTUM FORCEPS,  KRESSNER,  ANG., 22 CM</v>
          </cell>
        </row>
        <row r="10366">
          <cell r="B10366" t="str">
            <v>37-724-01-07</v>
          </cell>
          <cell r="C10366" t="str">
            <v>SEPTUMRICHTZANGE, GER., 23 CM</v>
          </cell>
          <cell r="D10366" t="str">
            <v>SEPTUM STRAIGHTENING FCPS., STR., 23 CM</v>
          </cell>
        </row>
        <row r="10367">
          <cell r="B10367" t="str">
            <v>37-724-02-07</v>
          </cell>
          <cell r="C10367" t="str">
            <v>SEPTUMRICHTZANGE, LI., 23 CM</v>
          </cell>
          <cell r="D10367" t="str">
            <v>SEPTUM STRAIGHTENING FCPS., L., 23 CM</v>
          </cell>
        </row>
        <row r="10368">
          <cell r="B10368" t="str">
            <v>37-724-03-07</v>
          </cell>
          <cell r="C10368" t="str">
            <v>SEPTUMRICHTZANGE, RE., 23 CM</v>
          </cell>
          <cell r="D10368" t="str">
            <v>SEPTUM STRAIGHTENING FCPS., R., 23 CM</v>
          </cell>
        </row>
        <row r="10369">
          <cell r="B10369" t="str">
            <v>37-725-23-07</v>
          </cell>
          <cell r="C10369" t="str">
            <v>SEPTUMRICHTZANGE, ASCH, GEW., 22,5 CM</v>
          </cell>
          <cell r="D10369" t="str">
            <v>SEPTUM STRAIGHT.  FORCEPS,  ASCH, 22.5 CM</v>
          </cell>
        </row>
        <row r="10370">
          <cell r="B10370" t="str">
            <v>37-728-11-07</v>
          </cell>
          <cell r="C10370" t="str">
            <v>HAUTFASSPINZETTE, OGURA, 4 MM, 11 CM</v>
          </cell>
          <cell r="D10370" t="str">
            <v>SKIN GRASP. FORCEPS,  OGURA, 4 MM, 11 CM</v>
          </cell>
        </row>
        <row r="10371">
          <cell r="B10371" t="str">
            <v>37-731-14-07</v>
          </cell>
          <cell r="C10371" t="str">
            <v>HAUTFASSPINZETTE, COTTLE, BAJON., 14 CM</v>
          </cell>
          <cell r="D10371" t="str">
            <v>SKIN GRASP. FORCEPS,  COTTLE, BAY., 14 CM</v>
          </cell>
        </row>
        <row r="10372">
          <cell r="B10372" t="str">
            <v>37-732-10-07</v>
          </cell>
          <cell r="C10372" t="str">
            <v>COLUMELLAPINZETTE, COTTLE, 12 MM, 11 CM</v>
          </cell>
          <cell r="D10372" t="str">
            <v>COLUMELL  FORCEPS,  COTTLE, 12 MM, 11 CM</v>
          </cell>
        </row>
        <row r="10373">
          <cell r="B10373" t="str">
            <v>37-742-21-07</v>
          </cell>
          <cell r="C10373" t="str">
            <v>DOPPELKÜRETE, FAULKNER, 21 CM</v>
          </cell>
          <cell r="D10373" t="str">
            <v>CURETTE,  DOUBLE,  FAULKNER, 21 CM</v>
          </cell>
        </row>
        <row r="10374">
          <cell r="B10374" t="str">
            <v>37-748-01-07</v>
          </cell>
          <cell r="C10374" t="str">
            <v>SCHARFE  KÜRETTE,  COAKLEY,  FIG. 1, 17 CM</v>
          </cell>
          <cell r="D10374" t="str">
            <v>CURETTE,  SHARP, COAKLEY,  NO. 1, 17 CM</v>
          </cell>
        </row>
        <row r="10375">
          <cell r="B10375" t="str">
            <v>37-748-02-07</v>
          </cell>
          <cell r="C10375" t="str">
            <v>SCHARFE  KÜRETTE,  COAKLEY,  FIG. 2, 17 CM</v>
          </cell>
          <cell r="D10375" t="str">
            <v>CURETTE,  SHARP, COAKLEY,  NO. 2, 17 CM</v>
          </cell>
        </row>
        <row r="10376">
          <cell r="B10376" t="str">
            <v>37-748-03-07</v>
          </cell>
          <cell r="C10376" t="str">
            <v>SCHARFE  KÜRETTE,  COAKLEY,  FIG. 3, 17 CM</v>
          </cell>
          <cell r="D10376" t="str">
            <v>CURETTE,  SHARP, COAKLEY,  NO. 3, 17 CM</v>
          </cell>
        </row>
        <row r="10377">
          <cell r="B10377" t="str">
            <v>37-748-04-07</v>
          </cell>
          <cell r="C10377" t="str">
            <v>SCHARFE  KÜRETTE,  COAKLEY,  FIG. 4, 17 CM</v>
          </cell>
          <cell r="D10377" t="str">
            <v>CURETTE,  SHARP, COAKLEY,  NO. 4, 17 CM</v>
          </cell>
        </row>
        <row r="10378">
          <cell r="B10378" t="str">
            <v>37-748-05-07</v>
          </cell>
          <cell r="C10378" t="str">
            <v>SCHARFE  KÜRETTE,  COAKLEY,  FIG. 5, 17 CM</v>
          </cell>
          <cell r="D10378" t="str">
            <v>CURETTE,  SHARP, COAKLEY,  NO. 5, 17 CM</v>
          </cell>
        </row>
        <row r="10379">
          <cell r="B10379" t="str">
            <v>37-748-06-07</v>
          </cell>
          <cell r="C10379" t="str">
            <v>SCHARFE  KÜRETTE,  COAKLEY,  FIG. 6, 17 CM</v>
          </cell>
          <cell r="D10379" t="str">
            <v>CURETTE,  SHARP, COAKLEY,  NO. 6, 17 CM</v>
          </cell>
        </row>
        <row r="10380">
          <cell r="B10380" t="str">
            <v>37-755-01-07</v>
          </cell>
          <cell r="C10380" t="str">
            <v>Ringmesser, Beckmann,  13 MM, 22,5 CM</v>
          </cell>
          <cell r="D10380" t="str">
            <v>Adenoid Curette, Beckmann,  13MM, 22,5CM</v>
          </cell>
        </row>
        <row r="10381">
          <cell r="B10381" t="str">
            <v>37-755-02-07</v>
          </cell>
          <cell r="C10381" t="str">
            <v>Ringmesser, Beckmann,  15 MM, 22,5 CM</v>
          </cell>
          <cell r="D10381" t="str">
            <v>Adenoid Curette, Beckmann,  15MM, 22,5CM</v>
          </cell>
        </row>
        <row r="10382">
          <cell r="B10382" t="str">
            <v>37-755-03-07</v>
          </cell>
          <cell r="C10382" t="str">
            <v>Ringmesser, Beckmann,  17 MM, 22,5 CM</v>
          </cell>
          <cell r="D10382" t="str">
            <v>Adenoid Curette, Beckmann,17 MM, 22,5 CM</v>
          </cell>
        </row>
        <row r="10383">
          <cell r="B10383" t="str">
            <v>37-755-04-07</v>
          </cell>
          <cell r="C10383" t="str">
            <v>Ringmesser, Beckmann,  19 MM, 22,5 CM</v>
          </cell>
          <cell r="D10383" t="str">
            <v>Adenoid Curette, Beckmann,  19MM, 22,5CM</v>
          </cell>
        </row>
        <row r="10384">
          <cell r="B10384" t="str">
            <v>37-755-05-07</v>
          </cell>
          <cell r="C10384" t="str">
            <v>Ringmesser, Beckmann,  21 MM, 22,5 CM</v>
          </cell>
          <cell r="D10384" t="str">
            <v>Adenoid Curette, Beckmann,  21MM, 22,5CM</v>
          </cell>
        </row>
        <row r="10385">
          <cell r="B10385" t="str">
            <v>37-755-06-07</v>
          </cell>
          <cell r="C10385" t="str">
            <v>Ringmesser, Beckmann,  23 MM, 22,5 CM</v>
          </cell>
          <cell r="D10385" t="str">
            <v>Adenoid Curette, Beckmann,  23MM, 22,5CM</v>
          </cell>
        </row>
        <row r="10386">
          <cell r="B10386" t="str">
            <v>37-756-01-07</v>
          </cell>
          <cell r="C10386" t="str">
            <v>Ringmesser, Beckmann,  Geb., 13 MM, 22 CM</v>
          </cell>
          <cell r="D10386" t="str">
            <v>Adenoid Curette, cvd., 13 MM, 22 CM</v>
          </cell>
        </row>
        <row r="10387">
          <cell r="B10387" t="str">
            <v>37-756-02-07</v>
          </cell>
          <cell r="C10387" t="str">
            <v>Ringmesser, Beckmann,  Geb., 15 MM, 22 CM</v>
          </cell>
          <cell r="D10387" t="str">
            <v>Adenoid Curette, cvd., 15 MM, 22 CM</v>
          </cell>
        </row>
        <row r="10388">
          <cell r="B10388" t="str">
            <v>37-756-03-07</v>
          </cell>
          <cell r="C10388" t="str">
            <v>Ringmesser, Beckmann,  Geb., 17 MM, 22 CM</v>
          </cell>
          <cell r="D10388" t="str">
            <v>Adenoid Curette, cvd., 17 MM, 22 CM</v>
          </cell>
        </row>
        <row r="10389">
          <cell r="B10389" t="str">
            <v>37-756-04-07</v>
          </cell>
          <cell r="C10389" t="str">
            <v>Ringmesser, Beckmann,  Geb., 19 MM, 22 CM</v>
          </cell>
          <cell r="D10389" t="str">
            <v>Adenoid Curette, cvd., 19 MM, 22 CM</v>
          </cell>
        </row>
        <row r="10390">
          <cell r="B10390" t="str">
            <v>37-756-05-07</v>
          </cell>
          <cell r="C10390" t="str">
            <v>Ringmesser, Beckmann,  Geb., 21 MM, 22 CM</v>
          </cell>
          <cell r="D10390" t="str">
            <v>Adenoid Curette, cvd., 21 MM, 22 CM</v>
          </cell>
        </row>
        <row r="10391">
          <cell r="B10391" t="str">
            <v>37-756-06-07</v>
          </cell>
          <cell r="C10391" t="str">
            <v>Ringmesser, Beckmann,  Geb., 23 MM, 22 CM</v>
          </cell>
          <cell r="D10391" t="str">
            <v>Adenoid Curette, cvd., 23 MM, 22 CM</v>
          </cell>
        </row>
        <row r="10392">
          <cell r="B10392" t="str">
            <v>37-814-30-07</v>
          </cell>
          <cell r="C10392" t="str">
            <v>Kanüle, Eicken-Killian, Ø 3,0 mm, 14 cm</v>
          </cell>
          <cell r="D10392" t="str">
            <v>Cannula,  Eicken-Killian, Ø 3,0 mm, 14 cm</v>
          </cell>
        </row>
        <row r="10393">
          <cell r="B10393" t="str">
            <v>37-840-20-01</v>
          </cell>
          <cell r="C10393" t="str">
            <v>SAUGRASPATORIUM, GUILEN, BAJON., 19 CM</v>
          </cell>
          <cell r="D10393" t="str">
            <v>SUCTION  RASPATORY, GUILEN, BAYON., 19 CM</v>
          </cell>
        </row>
        <row r="10394">
          <cell r="B10394" t="str">
            <v>37-842-30-01</v>
          </cell>
          <cell r="C10394" t="str">
            <v>DILATATIONSSONDE RITTER HALLE 3,0 MM</v>
          </cell>
          <cell r="D10394" t="str">
            <v>DILAT.PROBE RITTER HALLE 3,0 MM</v>
          </cell>
        </row>
        <row r="10395">
          <cell r="B10395" t="str">
            <v>37-842-40-01</v>
          </cell>
          <cell r="C10395" t="str">
            <v>DILATATIONSSONDE RITTER HALLE 4,0 MM</v>
          </cell>
          <cell r="D10395" t="str">
            <v>DILAT.PROBE RITTER HALLE 4,0 MM</v>
          </cell>
        </row>
        <row r="10396">
          <cell r="B10396" t="str">
            <v>38-011-16-07</v>
          </cell>
          <cell r="C10396" t="str">
            <v>ELEVATORIUM, TERRY, 5,0/8,0 MM, 17 CM</v>
          </cell>
          <cell r="D10396" t="str">
            <v>ELEVATOR,  TERRY, 5.0/8.0 MM, 17 CM</v>
          </cell>
        </row>
        <row r="10397">
          <cell r="B10397" t="str">
            <v>38-014-00-07</v>
          </cell>
          <cell r="C10397" t="str">
            <v>ELEVATORIUM, TERRY, 3,0/7,0 MM, 18 CM</v>
          </cell>
          <cell r="D10397" t="str">
            <v>ELEVATOR,  TERRY, 3.0/7.0 MM, 18 CM</v>
          </cell>
        </row>
        <row r="10398">
          <cell r="B10398" t="str">
            <v>38-017-01-07</v>
          </cell>
          <cell r="C10398" t="str">
            <v>SINUS-LIFT-KUERETTE, FIG. 1, 19 CM</v>
          </cell>
          <cell r="D10398" t="str">
            <v>SINUS-LIFT-CURETTE, FIG. 1, 19 CM</v>
          </cell>
        </row>
        <row r="10399">
          <cell r="B10399" t="str">
            <v>38-017-02-07</v>
          </cell>
          <cell r="C10399" t="str">
            <v>SINUS-LIFT-KUERETTE, FIG. 2, 20 CM</v>
          </cell>
          <cell r="D10399" t="str">
            <v>SINUS-LIFT-CURETTE, FIG.2, 20 CM</v>
          </cell>
        </row>
        <row r="10400">
          <cell r="B10400" t="str">
            <v>38-017-03-07</v>
          </cell>
          <cell r="C10400" t="str">
            <v>SINUS-LIFT-KUERETTE, FIG. 3, 19 CM</v>
          </cell>
          <cell r="D10400" t="str">
            <v>SINUS-LIFT-CURETTE, FIG.3, 19 CM</v>
          </cell>
        </row>
        <row r="10401">
          <cell r="B10401" t="str">
            <v>38-017-04-07</v>
          </cell>
          <cell r="C10401" t="str">
            <v>SINUS-LIFT-KUERETTE, FIG. 4, 17 CM</v>
          </cell>
          <cell r="D10401" t="str">
            <v>SINUS-LIFT-CURETTE, FIG.4, 17 CM</v>
          </cell>
        </row>
        <row r="10402">
          <cell r="B10402" t="str">
            <v>38-017-05-07</v>
          </cell>
          <cell r="C10402" t="str">
            <v>SINUS-LIFT-KUERETTE, FIG. 5, 18 CM</v>
          </cell>
          <cell r="D10402" t="str">
            <v>SINUS-LIFT-CURETTE, FIG.5, 18 CM</v>
          </cell>
        </row>
        <row r="10403">
          <cell r="B10403" t="str">
            <v>38-018-01-07</v>
          </cell>
          <cell r="C10403" t="str">
            <v>KNOCHENQUETSCHE</v>
          </cell>
          <cell r="D10403" t="str">
            <v>BONE SQUEEZER</v>
          </cell>
        </row>
        <row r="10404">
          <cell r="B10404" t="str">
            <v>38-019-01-07</v>
          </cell>
          <cell r="C10404" t="str">
            <v>KNOCHENMUEHLE F.KLEINE/MITTLERE MENGE</v>
          </cell>
          <cell r="D10404" t="str">
            <v>BONE CRUSHER  F. LITTLE/MEDIUM QUANTITIES</v>
          </cell>
        </row>
        <row r="10405">
          <cell r="B10405" t="str">
            <v>38-020-01-07</v>
          </cell>
          <cell r="C10405" t="str">
            <v>SINUS-LIFT-INSTRUMENT, FIG. 1</v>
          </cell>
          <cell r="D10405" t="str">
            <v>SINUS-LIFT-INSTRUMENT, FIG. 1</v>
          </cell>
        </row>
        <row r="10406">
          <cell r="B10406" t="str">
            <v>38-020-02-07</v>
          </cell>
          <cell r="C10406" t="str">
            <v>SINUS-LIFT-INSTRUMENT, FIG. 2</v>
          </cell>
          <cell r="D10406" t="str">
            <v>SINUS-LIFT-INSTRUMENT, FIG. 2</v>
          </cell>
        </row>
        <row r="10407">
          <cell r="B10407" t="str">
            <v>38-020-03-07</v>
          </cell>
          <cell r="C10407" t="str">
            <v>SINUS-LIFT-INSTRUMENT, FIG. 3</v>
          </cell>
          <cell r="D10407" t="str">
            <v>SINUS-LIFT-INSTRUMENT, FIG. 3</v>
          </cell>
        </row>
        <row r="10408">
          <cell r="B10408" t="str">
            <v>38-020-04-07</v>
          </cell>
          <cell r="C10408" t="str">
            <v>SINUS-LIFT-INSTRUMENT, FIG. 4</v>
          </cell>
          <cell r="D10408" t="str">
            <v>SINUS-LIFT-INSTRUMENT, FIG. 4</v>
          </cell>
        </row>
        <row r="10409">
          <cell r="B10409" t="str">
            <v>38-020-70-07</v>
          </cell>
          <cell r="C10409" t="str">
            <v>Mini-Sinus-Kürette nach Horiuchi</v>
          </cell>
          <cell r="D10409" t="str">
            <v>Mini Sinus Curette acc. to Horiuchi</v>
          </cell>
        </row>
        <row r="10410">
          <cell r="B10410" t="str">
            <v>38-021-01-04</v>
          </cell>
          <cell r="C10410" t="str">
            <v>MBM Knochenmühlenkörper allein</v>
          </cell>
          <cell r="D10410" t="str">
            <v>MBM Bone Mill Basic body</v>
          </cell>
        </row>
        <row r="10411">
          <cell r="B10411" t="str">
            <v>38-021-02-04</v>
          </cell>
          <cell r="C10411" t="str">
            <v>MBM Knochenmühle Drehhebel</v>
          </cell>
          <cell r="D10411" t="str">
            <v>MBM Bone Mill Turning lever</v>
          </cell>
        </row>
        <row r="10412">
          <cell r="B10412" t="str">
            <v>38-021-03-07</v>
          </cell>
          <cell r="C10412" t="str">
            <v>MBM Schneidzylinder, S (ca. 2.0mm)</v>
          </cell>
          <cell r="D10412" t="str">
            <v>MBM Cutting cylinder, S (ca. 2.0mm)</v>
          </cell>
        </row>
        <row r="10413">
          <cell r="B10413" t="str">
            <v>38-021-04-07</v>
          </cell>
          <cell r="C10413" t="str">
            <v>MBM Schneidzylinder, M (ca. 3.0mm)</v>
          </cell>
          <cell r="D10413" t="str">
            <v>MBM Cutting cylinder, M (ca. 3.0mm)</v>
          </cell>
        </row>
        <row r="10414">
          <cell r="B10414" t="str">
            <v>38-021-05-07</v>
          </cell>
          <cell r="C10414" t="str">
            <v>MBM Schneidzylinder, L (ca. 4.0mm)</v>
          </cell>
          <cell r="D10414" t="str">
            <v>MBM Cutting cylinder, L (ca. 4.0mm)</v>
          </cell>
        </row>
        <row r="10415">
          <cell r="B10415" t="str">
            <v>38-021-06-07</v>
          </cell>
          <cell r="C10415" t="str">
            <v>MBM Knochenmühle Knochenauffangbehälter</v>
          </cell>
          <cell r="D10415" t="str">
            <v>MBM Bone Mill Bone collector</v>
          </cell>
        </row>
        <row r="10416">
          <cell r="B10416" t="str">
            <v>38-021-07-07</v>
          </cell>
          <cell r="C10416" t="str">
            <v>MBM Knochenmühle Blockierblöckchen</v>
          </cell>
          <cell r="D10416" t="str">
            <v>MBM Bone Mill Locking pieces</v>
          </cell>
        </row>
        <row r="10417">
          <cell r="B10417" t="str">
            <v>38-030-18-07</v>
          </cell>
          <cell r="C10417" t="str">
            <v>SINUS LIFT INSTRUMENT, DR. IGLHAUT</v>
          </cell>
          <cell r="D10417" t="str">
            <v>SINUS LIFT INSTRUMENT, DR. IGLHAUT</v>
          </cell>
        </row>
        <row r="10418">
          <cell r="B10418" t="str">
            <v>38-050-01-07</v>
          </cell>
          <cell r="C10418" t="str">
            <v>RASPATORIUM, ALLEN, 2 MM</v>
          </cell>
          <cell r="D10418" t="str">
            <v>PERIOSTEAL ELEVATOR,  ALLEN, 2MM</v>
          </cell>
        </row>
        <row r="10419">
          <cell r="B10419" t="str">
            <v>38-050-02-07</v>
          </cell>
          <cell r="C10419" t="str">
            <v>TUNNELINSTRUMENT, DR. IGLHAUT</v>
          </cell>
          <cell r="D10419" t="str">
            <v>TUNNELINSTRUMENT, DR. IGLHAUT</v>
          </cell>
        </row>
        <row r="10420">
          <cell r="B10420" t="str">
            <v>38-050-03-07</v>
          </cell>
          <cell r="C10420" t="str">
            <v>ZAHNFLEISCHMESSER, ALLEN/IGLHAUT, FIG.1</v>
          </cell>
          <cell r="D10420" t="str">
            <v>GUMKNIFE,ALLEN/IGLHAUT, FIG.1</v>
          </cell>
        </row>
        <row r="10421">
          <cell r="B10421" t="str">
            <v>38-050-04-07</v>
          </cell>
          <cell r="C10421" t="str">
            <v>ZAHNFLEISCHMESSER, ALLEN/IGLHAUT, FIG.2</v>
          </cell>
          <cell r="D10421" t="str">
            <v>GUMKNIFE,ALLEN/IGLHAUT, FIG.2</v>
          </cell>
        </row>
        <row r="10422">
          <cell r="B10422" t="str">
            <v>38-051-01-07</v>
          </cell>
          <cell r="C10422" t="str">
            <v>RASPATORIUM, ALLEN, 3 MM</v>
          </cell>
          <cell r="D10422" t="str">
            <v>PERIOSTEAL ELEVATOR,  ALLEN, 3MM</v>
          </cell>
        </row>
        <row r="10423">
          <cell r="B10423" t="str">
            <v>38-051-02-07</v>
          </cell>
          <cell r="C10423" t="str">
            <v>TUNNELINSTRUMENT, DR. IGLHAUT  FIG 2</v>
          </cell>
          <cell r="D10423" t="str">
            <v>TUNNELINSTRUMENT, DR. IGLHAUT  FIG 2</v>
          </cell>
        </row>
        <row r="10424">
          <cell r="B10424" t="str">
            <v>38-051-45-07</v>
          </cell>
          <cell r="C10424" t="str">
            <v>LINDEMANN-FRÄSER, 45 MM, AL: 10 MM</v>
          </cell>
          <cell r="D10424" t="str">
            <v>LINDEMANN-BURR, 45 MM, WL: 10 MM</v>
          </cell>
        </row>
        <row r="10425">
          <cell r="B10425" t="str">
            <v>38-052-02-07</v>
          </cell>
          <cell r="C10425" t="str">
            <v>TUNNELINSTRUMENT, DR. IGLHAUT  FIG 3</v>
          </cell>
          <cell r="D10425" t="str">
            <v>TUNNELINSTRUMENT, DR. IGLHAUT  FIG 3</v>
          </cell>
        </row>
        <row r="10426">
          <cell r="B10426" t="str">
            <v>38-111-02-02</v>
          </cell>
          <cell r="C10426" t="str">
            <v>FINGERSCHUTZ, LANGENBECK, Ø 26/20 MM</v>
          </cell>
          <cell r="D10426" t="str">
            <v>FINGER PROTECTOR, LANGENBECK, Ø 26/20 MM</v>
          </cell>
        </row>
        <row r="10427">
          <cell r="B10427" t="str">
            <v>38-127-02-04</v>
          </cell>
          <cell r="C10427" t="str">
            <v>MUNDKEIL, PITHA, 28X30 MM, M. KETTE</v>
          </cell>
          <cell r="D10427" t="str">
            <v>MOUTH WEDGE, PITHA, 28X30 MM, W. CHAIN</v>
          </cell>
        </row>
        <row r="10428">
          <cell r="B10428" t="str">
            <v>38-130-50-07</v>
          </cell>
          <cell r="C10428" t="str">
            <v>MUNDKEIL, MCKESSON, XXL, F. ZAHNLOSE</v>
          </cell>
          <cell r="D10428" t="str">
            <v>MOUTH PROP, MCKESSON, XXL, F. TEEHTLESS</v>
          </cell>
        </row>
        <row r="10429">
          <cell r="B10429" t="str">
            <v>38-130-52-07</v>
          </cell>
          <cell r="C10429" t="str">
            <v>MUNDKEIL, MCKESSON, XL, F. ERWACHSENE</v>
          </cell>
          <cell r="D10429" t="str">
            <v>MOUTH PROP, MCKESSON, XL, F. ADULTS</v>
          </cell>
        </row>
        <row r="10430">
          <cell r="B10430" t="str">
            <v>38-130-54-07</v>
          </cell>
          <cell r="C10430" t="str">
            <v>MUNDKEIL, MCKESSON, L, F. ERWACHSENE</v>
          </cell>
          <cell r="D10430" t="str">
            <v>MOUTH PROP, MCKESSON, L, F. ADULTS</v>
          </cell>
        </row>
        <row r="10431">
          <cell r="B10431" t="str">
            <v>38-130-56-07</v>
          </cell>
          <cell r="C10431" t="str">
            <v>MUNDKEIL, MCKESSON, S, F. KINDER</v>
          </cell>
          <cell r="D10431" t="str">
            <v>MOUTH PROP, MCKESSON, S, F. CHILDES</v>
          </cell>
        </row>
        <row r="10432">
          <cell r="B10432" t="str">
            <v>38-130-58-07</v>
          </cell>
          <cell r="C10432" t="str">
            <v>MUNDKEIL, MCKESSON, S, F. KLEINKINDER</v>
          </cell>
          <cell r="D10432" t="str">
            <v>MOUTH PROP, MCKESSON, S, F. INFANTS</v>
          </cell>
        </row>
        <row r="10433">
          <cell r="B10433" t="str">
            <v>38-140-13-07</v>
          </cell>
          <cell r="C10433" t="str">
            <v>MUNDSPERRER, HEISTER,  13 CM</v>
          </cell>
          <cell r="D10433" t="str">
            <v>MOUTH GAG, HEISTER,  13 CM</v>
          </cell>
        </row>
        <row r="10434">
          <cell r="B10434" t="str">
            <v>38-161-11-07</v>
          </cell>
          <cell r="C10434" t="str">
            <v>MUNDSPERRER, MOLT, F. KINDER, 11 CM</v>
          </cell>
          <cell r="D10434" t="str">
            <v>MOUTH GAG, MOLT, F. CHILDREN,  11 CM</v>
          </cell>
        </row>
        <row r="10435">
          <cell r="B10435" t="str">
            <v>38-161-14-07</v>
          </cell>
          <cell r="C10435" t="str">
            <v>MUNDSPERRER, MOLT, F. ERWACHS., 13 CM</v>
          </cell>
          <cell r="D10435" t="str">
            <v>MOUTH GAG, MOLT, F. ADULTS, 13 CM</v>
          </cell>
        </row>
        <row r="10436">
          <cell r="B10436" t="str">
            <v>38-171-12-07</v>
          </cell>
          <cell r="C10436" t="str">
            <v>MUNDSPERRER, DENHART,  13 CM</v>
          </cell>
          <cell r="D10436" t="str">
            <v>MOUTH GAG, DENHART,  13 CM</v>
          </cell>
        </row>
        <row r="10437">
          <cell r="B10437" t="str">
            <v>38-179-16-07</v>
          </cell>
          <cell r="C10437" t="str">
            <v>MUNDSPERRER, ROSER-KÖNIG, 16 CM</v>
          </cell>
          <cell r="D10437" t="str">
            <v>MOUTH GAG, ROSER-KOENIG, 16 CM</v>
          </cell>
        </row>
        <row r="10438">
          <cell r="B10438" t="str">
            <v>38-179-20-07</v>
          </cell>
          <cell r="C10438" t="str">
            <v>MUNDSPERRER, ROSER-KÖNIG, 19 CM</v>
          </cell>
          <cell r="D10438" t="str">
            <v>MOUTH GAG, ROSER-KOENIG, 19 CM</v>
          </cell>
        </row>
        <row r="10439">
          <cell r="B10439" t="str">
            <v>38-196-00-07</v>
          </cell>
          <cell r="C10439" t="str">
            <v>BRUSTSTÜTZE Z. MUNDSPERRER 38-198-00</v>
          </cell>
          <cell r="D10439" t="str">
            <v>CHEST SUPPORT  F. MOUTH GAG 38-198-00</v>
          </cell>
        </row>
        <row r="10440">
          <cell r="B10440" t="str">
            <v>38-198-00-07</v>
          </cell>
          <cell r="C10440" t="str">
            <v>Mundsperrer Kilner-Doughty kompl.</v>
          </cell>
          <cell r="D10440" t="str">
            <v>MOUTH GAG, KILNER-DOUGHTY, COMPLETE</v>
          </cell>
        </row>
        <row r="10441">
          <cell r="B10441" t="str">
            <v>38-198-01-07</v>
          </cell>
          <cell r="C10441" t="str">
            <v>ZUNGENDRÜCKER, FIG. 1, Z. 38-198-00</v>
          </cell>
          <cell r="D10441" t="str">
            <v>TONGUE  DEPRESSOR, NO. 1, F. 38-198-00</v>
          </cell>
        </row>
        <row r="10442">
          <cell r="B10442" t="str">
            <v>38-198-02-07</v>
          </cell>
          <cell r="C10442" t="str">
            <v>ZUNGENDRÜCKER, FIG. 2, Z. 38-198-00</v>
          </cell>
          <cell r="D10442" t="str">
            <v>TONGUE  DEPRESSOR, NO. 2, F. 38-198-00</v>
          </cell>
        </row>
        <row r="10443">
          <cell r="B10443" t="str">
            <v>38-198-03-07</v>
          </cell>
          <cell r="C10443" t="str">
            <v>ZUNGENDRÜCKER, FIG. 3, Z. 38-198-00</v>
          </cell>
          <cell r="D10443" t="str">
            <v>TONGUE  DEPRESSOR, NO. 3, F. 38-198-00</v>
          </cell>
        </row>
        <row r="10444">
          <cell r="B10444" t="str">
            <v>38-198-10-07</v>
          </cell>
          <cell r="C10444" t="str">
            <v>SPERRER-RAHMEN, ALLEIN, Z. 38-198-00</v>
          </cell>
          <cell r="D10444" t="str">
            <v>FRAME ONLY, F. 38-198-00</v>
          </cell>
        </row>
        <row r="10445">
          <cell r="B10445" t="str">
            <v>38-198-90-98</v>
          </cell>
          <cell r="C10445" t="str">
            <v>GAUMENPLATTE F. ZAHNLOSE  Z. 38-198-00</v>
          </cell>
          <cell r="D10445" t="str">
            <v>CLEFT PLATE F. TEETHLESS, F. 38-198-00</v>
          </cell>
        </row>
        <row r="10446">
          <cell r="B10446" t="str">
            <v>38-208-00-07</v>
          </cell>
          <cell r="C10446" t="str">
            <v>MUNDSPERRER, NEUKAM,  KOMPL.</v>
          </cell>
          <cell r="D10446" t="str">
            <v>MOUTH GAG, NEUKAM,  COMPLETE</v>
          </cell>
        </row>
        <row r="10447">
          <cell r="B10447" t="str">
            <v>38-208-01-07</v>
          </cell>
          <cell r="C10447" t="str">
            <v>ZUNGENDRÜCKER Z. 38-208-00,  65X25,5 MM</v>
          </cell>
          <cell r="D10447" t="str">
            <v>TONGUE  DEPRESSOR F. 38-208-00,  65X25,5MM</v>
          </cell>
        </row>
        <row r="10448">
          <cell r="B10448" t="str">
            <v>38-208-02-07</v>
          </cell>
          <cell r="C10448" t="str">
            <v>ZUNGENDRÜCKER Z. 38-208-00,  73X28,5 MM</v>
          </cell>
          <cell r="D10448" t="str">
            <v>TONGUE  DEPRESSOR F. 38-208-00,  73X28,5MM</v>
          </cell>
        </row>
        <row r="10449">
          <cell r="B10449" t="str">
            <v>38-208-03-07</v>
          </cell>
          <cell r="C10449" t="str">
            <v>ZUNGENDRÜCKER Z. 38-208-00,  71X30 MM</v>
          </cell>
          <cell r="D10449" t="str">
            <v>TONGUE  DEPRESSOR F. 38-208-00,  71X30 MM</v>
          </cell>
        </row>
        <row r="10450">
          <cell r="B10450" t="str">
            <v>38-208-10-07</v>
          </cell>
          <cell r="C10450" t="str">
            <v>RAHMEN  Z. MUNDSPERRER 38-208-00</v>
          </cell>
          <cell r="D10450" t="str">
            <v>FRAME ONLY, F. 38-208-00</v>
          </cell>
        </row>
        <row r="10451">
          <cell r="B10451" t="str">
            <v>38-212-00-07</v>
          </cell>
          <cell r="C10451" t="str">
            <v>MUNDSPERRER, DAVIS-BOYLE, KOMPL.</v>
          </cell>
          <cell r="D10451" t="str">
            <v>MOUTH GAG, DAVIS BOYLE, COMPLETE</v>
          </cell>
        </row>
        <row r="10452">
          <cell r="B10452" t="str">
            <v>38-212-01-07</v>
          </cell>
          <cell r="C10452" t="str">
            <v>ZUNGENSPATEL, FIG. 1, Z. 38-212-00</v>
          </cell>
          <cell r="D10452" t="str">
            <v>TONGUE  DEPRESSOR, NO. 1, F. 38-212-00</v>
          </cell>
        </row>
        <row r="10453">
          <cell r="B10453" t="str">
            <v>38-212-02-07</v>
          </cell>
          <cell r="C10453" t="str">
            <v>ZUNGENSPATEL, FIG. 2, Z. 38-212-00</v>
          </cell>
          <cell r="D10453" t="str">
            <v>TONGUE  DEPRESSOR, NO. 2, F. 38-212-00</v>
          </cell>
        </row>
        <row r="10454">
          <cell r="B10454" t="str">
            <v>38-212-03-07</v>
          </cell>
          <cell r="C10454" t="str">
            <v>ZUNGENSPATEL, FIG. 3, Z. 38-212-00</v>
          </cell>
          <cell r="D10454" t="str">
            <v>TONGUE  DEPRESSOR, NO. 3, F. 38-212-00</v>
          </cell>
        </row>
        <row r="10455">
          <cell r="B10455" t="str">
            <v>38-212-04-07</v>
          </cell>
          <cell r="C10455" t="str">
            <v>ZUNGENSPATEL, FIG. 4, Z. 38-212-00</v>
          </cell>
          <cell r="D10455" t="str">
            <v>TONGUE  DEPRESSOR, NO. 4, F. 38-212-00</v>
          </cell>
        </row>
        <row r="10456">
          <cell r="B10456" t="str">
            <v>38-212-05-07</v>
          </cell>
          <cell r="C10456" t="str">
            <v>ZUNGENSPATEL, FIG. 5, Z. 38-212-00</v>
          </cell>
          <cell r="D10456" t="str">
            <v>TONGUE  DEPRESSOR, NO. 5, F. 38-212-00</v>
          </cell>
        </row>
        <row r="10457">
          <cell r="B10457" t="str">
            <v>38-212-10-07</v>
          </cell>
          <cell r="C10457" t="str">
            <v>SPERRER-RAHMEN, ALLEIN, Z. 38-212-00</v>
          </cell>
          <cell r="D10457" t="str">
            <v>FRAME ONLY, F. 38-212-00</v>
          </cell>
        </row>
        <row r="10458">
          <cell r="B10458" t="str">
            <v>38-212-50-07</v>
          </cell>
          <cell r="C10458" t="str">
            <v>MUNDSPERRER M. GELENK, DAVIS-BOYLE</v>
          </cell>
          <cell r="D10458" t="str">
            <v>MOUTH GAG WITH JOINT, DAVIS-BOYLE</v>
          </cell>
        </row>
        <row r="10459">
          <cell r="B10459" t="str">
            <v>38-222-00-07</v>
          </cell>
          <cell r="C10459" t="str">
            <v>MUNDSPERRER, MCIVOR,  KOMPL.</v>
          </cell>
          <cell r="D10459" t="str">
            <v>MOUTH GAG, MCIVOR,  COMPLETE</v>
          </cell>
        </row>
        <row r="10460">
          <cell r="B10460" t="str">
            <v>38-222-01-07</v>
          </cell>
          <cell r="C10460" t="str">
            <v>ZUNGENSPATEL FIG. 1, Z. 38-222-00</v>
          </cell>
          <cell r="D10460" t="str">
            <v>TONGUE  DEPRESSOR, NO. 1, F. 38-222-00</v>
          </cell>
        </row>
        <row r="10461">
          <cell r="B10461" t="str">
            <v>38-222-02-07</v>
          </cell>
          <cell r="C10461" t="str">
            <v>ZUNGENSPATEL FIG. 2, Z. 38-222-00</v>
          </cell>
          <cell r="D10461" t="str">
            <v>TONGUE  DEPRESSOR, NO. 2, F. 38-222-00</v>
          </cell>
        </row>
        <row r="10462">
          <cell r="B10462" t="str">
            <v>38-222-03-07</v>
          </cell>
          <cell r="C10462" t="str">
            <v>ZUNGENSPATEL FIG. 3, Z. 38-222-00</v>
          </cell>
          <cell r="D10462" t="str">
            <v>TONGUE  DEPRESSOR, NO. 3, F. 38-222-00</v>
          </cell>
        </row>
        <row r="10463">
          <cell r="B10463" t="str">
            <v>38-222-10-07</v>
          </cell>
          <cell r="C10463" t="str">
            <v>SPERRER-RAHMEN, ALLEIN, Z. 38-222-00</v>
          </cell>
          <cell r="D10463" t="str">
            <v>FRAME ONLY, F. 38-222-00</v>
          </cell>
        </row>
        <row r="10464">
          <cell r="B10464" t="str">
            <v>38-224-00-07</v>
          </cell>
          <cell r="C10464" t="str">
            <v>MUNDSPERRER, DINGMANN, KOMPL.</v>
          </cell>
          <cell r="D10464" t="str">
            <v>MOUTH GAG, DINGMANN, COMPLETE</v>
          </cell>
        </row>
        <row r="10465">
          <cell r="B10465" t="str">
            <v>38-224-01-07</v>
          </cell>
          <cell r="C10465" t="str">
            <v>ZUNGENSPATEL, FIG. 1, Z. 38-224-00</v>
          </cell>
          <cell r="D10465" t="str">
            <v>TONGUE  DEPRESSOR, NO. 1, F. 38-224-00</v>
          </cell>
        </row>
        <row r="10466">
          <cell r="B10466" t="str">
            <v>38-224-02-07</v>
          </cell>
          <cell r="C10466" t="str">
            <v>ZUNGENSPATEL, FIG. 2, Z. 38-224-00</v>
          </cell>
          <cell r="D10466" t="str">
            <v>TONGUE  DEPRESSOR, NO. 2, F. 38-224-00</v>
          </cell>
        </row>
        <row r="10467">
          <cell r="B10467" t="str">
            <v>38-224-03-07</v>
          </cell>
          <cell r="C10467" t="str">
            <v>ZUNGENSPATEL, FIG. 3, Z. 38-224-00</v>
          </cell>
          <cell r="D10467" t="str">
            <v>TONGUE  DEPRESSOR, NO. 3, F. 38-224-00</v>
          </cell>
        </row>
        <row r="10468">
          <cell r="B10468" t="str">
            <v>38-228-00-07</v>
          </cell>
          <cell r="C10468" t="str">
            <v>Univ. Mundsperrer, kpl.mit Zungendrücker</v>
          </cell>
          <cell r="D10468" t="str">
            <v>Mouth Gag, compl. w. tongue depress.</v>
          </cell>
        </row>
        <row r="10469">
          <cell r="B10469" t="str">
            <v>38-237-09-07</v>
          </cell>
          <cell r="C10469" t="str">
            <v>MUNDSPERRER, JENNINGS,  10,5 CM</v>
          </cell>
          <cell r="D10469" t="str">
            <v>MOUTH GAG, JENNINGS,  10.5 CM</v>
          </cell>
        </row>
        <row r="10470">
          <cell r="B10470" t="str">
            <v>38-237-11-07</v>
          </cell>
          <cell r="C10470" t="str">
            <v>MUNDSPERRER, JENNINGS,  12,5 CM</v>
          </cell>
          <cell r="D10470" t="str">
            <v>MOUTH GAG, JENNINGS,  12.5 CM</v>
          </cell>
        </row>
        <row r="10471">
          <cell r="B10471" t="str">
            <v>38-237-13-07</v>
          </cell>
          <cell r="C10471" t="str">
            <v>MUNDSPERRER, JENNINGS,  14,5 CM</v>
          </cell>
          <cell r="D10471" t="str">
            <v>MOUTH GAG, JENNINGS,  14.5 CM</v>
          </cell>
        </row>
        <row r="10472">
          <cell r="B10472" t="str">
            <v>38-237-15-07</v>
          </cell>
          <cell r="C10472" t="str">
            <v>MUNDSPERRER, JENNINGS,  16,5 CM</v>
          </cell>
          <cell r="D10472" t="str">
            <v>MOUTH GAG, JENNINGS,  16.5 CM</v>
          </cell>
        </row>
        <row r="10473">
          <cell r="B10473" t="str">
            <v>38-240-00-07</v>
          </cell>
          <cell r="C10473" t="str">
            <v>LIPPENSPERRER, ORINGER,  FIG. 0, 9,5 CM</v>
          </cell>
          <cell r="D10473" t="str">
            <v>LIP RETRACTOR, ORINGER,  NO. 0, 9.5 CM</v>
          </cell>
        </row>
        <row r="10474">
          <cell r="B10474" t="str">
            <v>38-240-01-07</v>
          </cell>
          <cell r="C10474" t="str">
            <v>LIPPENSPERRER, ORINGER,  FIG. 1, 10 CM</v>
          </cell>
          <cell r="D10474" t="str">
            <v>LIP RETRACTOR, ORINGER,  NO. 1, 10 CM</v>
          </cell>
        </row>
        <row r="10475">
          <cell r="B10475" t="str">
            <v>38-240-02-07</v>
          </cell>
          <cell r="C10475" t="str">
            <v>LIPPENSPERRER, ORINGER,  FIG. 2, 10,5 CM</v>
          </cell>
          <cell r="D10475" t="str">
            <v>LIP RETRACTOR, ORINGER,  NO. 2, 10.5 CM</v>
          </cell>
        </row>
        <row r="10476">
          <cell r="B10476" t="str">
            <v>38-240-03-07</v>
          </cell>
          <cell r="C10476" t="str">
            <v>LIPPENSPERRER, ORINGER,  FIG. 3, 11 CM</v>
          </cell>
          <cell r="D10476" t="str">
            <v>LIP RETRACTOR, ORINGER,  NO. 3, 11 CM</v>
          </cell>
        </row>
        <row r="10477">
          <cell r="B10477" t="str">
            <v>38-240-13-07</v>
          </cell>
          <cell r="C10477" t="str">
            <v>LIPPENSPERRER, ORINGER,  SATZ, FIG. 1-3</v>
          </cell>
          <cell r="D10477" t="str">
            <v>LIP RETRACTOR, ORINGER,  SET, NO. 1-3</v>
          </cell>
        </row>
        <row r="10478">
          <cell r="B10478" t="str">
            <v>38-243-11-01</v>
          </cell>
          <cell r="C10478" t="str">
            <v>WANGENHALTER, MARTIN-SIMPLEX, 10,5 CM</v>
          </cell>
          <cell r="D10478" t="str">
            <v>CHEEK RETRACTOR, MARTIN-SIMPLEX, 10.5 CM</v>
          </cell>
        </row>
        <row r="10479">
          <cell r="B10479" t="str">
            <v>38-246-14-04</v>
          </cell>
          <cell r="C10479" t="str">
            <v>VESTIBULUMHAKEN, 14 CM</v>
          </cell>
          <cell r="D10479" t="str">
            <v>VESTIBULUM RETRACTOR, 14 CM</v>
          </cell>
        </row>
        <row r="10480">
          <cell r="B10480" t="str">
            <v>38-249-14-01</v>
          </cell>
          <cell r="C10480" t="str">
            <v>LIPPENHALTER, STERNBERG, DOPP., 14 CM</v>
          </cell>
          <cell r="D10480" t="str">
            <v>LIP RETRACTOR, STERNBERG, DOUBLE,  14 CM</v>
          </cell>
        </row>
        <row r="10481">
          <cell r="B10481" t="str">
            <v>38-251-12-07</v>
          </cell>
          <cell r="C10481" t="str">
            <v>WANGENHALTER, OBWEGESER, DRAHT, 12 CM</v>
          </cell>
          <cell r="D10481" t="str">
            <v>CHEEK RETRACTOR, OBWEGESER, WIRE, 12 CM</v>
          </cell>
        </row>
        <row r="10482">
          <cell r="B10482" t="str">
            <v>38-261-13-01</v>
          </cell>
          <cell r="C10482" t="str">
            <v>WANGEN-/LIPPENHALTER, BISHOP, 13,5 CM</v>
          </cell>
          <cell r="D10482" t="str">
            <v>CHEEK/LIP  RETRACTOR, BISHOP, 13.5 CM</v>
          </cell>
        </row>
        <row r="10483">
          <cell r="B10483" t="str">
            <v>38-263-15-01</v>
          </cell>
          <cell r="C10483" t="str">
            <v>WANGENHALTER, CAWOOD-MINNESOTA, 15,5 CM</v>
          </cell>
          <cell r="D10483" t="str">
            <v>CHEEK RETRACTOR, CAWOOD-MINNES., 15.5 CM</v>
          </cell>
        </row>
        <row r="10484">
          <cell r="B10484" t="str">
            <v>38-265-00-01</v>
          </cell>
          <cell r="C10484" t="str">
            <v>WANGENHALTER, CAWOOD-MIN., GEF., 14,5 CM</v>
          </cell>
          <cell r="D10484" t="str">
            <v>CHEEK RETR., CAW.-MIN., FENEST., 14.5 CM</v>
          </cell>
        </row>
        <row r="10485">
          <cell r="B10485" t="str">
            <v>38-271-15-07</v>
          </cell>
          <cell r="C10485" t="str">
            <v>ZUNGENDRÜCKER, HARTMANN, 15 CM</v>
          </cell>
          <cell r="D10485" t="str">
            <v>TONGUE  DEPRESSOR, HARTMANN, 15 CM</v>
          </cell>
        </row>
        <row r="10486">
          <cell r="B10486" t="str">
            <v>38-277-14-07</v>
          </cell>
          <cell r="C10486" t="str">
            <v>ZUNGENDRÜCKER, TOBOLD,  15 CM</v>
          </cell>
          <cell r="D10486" t="str">
            <v>TONGUE  DEPRESSOR, TOBOLD,  15 CM</v>
          </cell>
        </row>
        <row r="10487">
          <cell r="B10487" t="str">
            <v>38-281-14-07</v>
          </cell>
          <cell r="C10487" t="str">
            <v>ZUNGENDRÜCKER, TOBOLD,  16 CM</v>
          </cell>
          <cell r="D10487" t="str">
            <v>TONGUE  DEPRESSOR, TOBOLD,  16 CM</v>
          </cell>
        </row>
        <row r="10488">
          <cell r="B10488" t="str">
            <v>38-297-01-01</v>
          </cell>
          <cell r="C10488" t="str">
            <v>ZUNGENDRÜCKER, WIEDER, 36 MM, 14 CM</v>
          </cell>
          <cell r="D10488" t="str">
            <v>TONGUE  DEPRESSOR, WIEDER, 36 MM, 14 CM</v>
          </cell>
        </row>
        <row r="10489">
          <cell r="B10489" t="str">
            <v>38-297-02-01</v>
          </cell>
          <cell r="C10489" t="str">
            <v>ZUNGENDRÜCKER, WIEDER, 43 MM, 15 CM</v>
          </cell>
          <cell r="D10489" t="str">
            <v>TONGUE  DEPRESSOR, WIEDER, 43 MM, 15 CM</v>
          </cell>
        </row>
        <row r="10490">
          <cell r="B10490" t="str">
            <v>38-352-15-04</v>
          </cell>
          <cell r="C10490" t="str">
            <v>MUNDSPATEL, KUNSTSTOFF, 15 CM, 100 ST.</v>
          </cell>
          <cell r="D10490" t="str">
            <v>TONGUE  DEPRESSOR, PLASTIC, 15 CM, 100</v>
          </cell>
        </row>
        <row r="10491">
          <cell r="B10491" t="str">
            <v>38-375-13-01</v>
          </cell>
          <cell r="C10491" t="str">
            <v>ZUNGENSPATEL, DOYEN, 23X30 MM, 13 CM</v>
          </cell>
          <cell r="D10491" t="str">
            <v>TONGUE  DEPRESSOR, DOYEN, 23X30 MM, 13 CM</v>
          </cell>
        </row>
        <row r="10492">
          <cell r="B10492" t="str">
            <v>38-375-16-01</v>
          </cell>
          <cell r="C10492" t="str">
            <v>ZUNGENSPATEL, DOYEN, 30/33 MM, 16 CM</v>
          </cell>
          <cell r="D10492" t="str">
            <v>TONGUE  DEPRESSOR, DOYEN, 30/33 MM, 16 CM</v>
          </cell>
        </row>
        <row r="10493">
          <cell r="B10493" t="str">
            <v>38-385-19-01</v>
          </cell>
          <cell r="C10493" t="str">
            <v>ZUNGENSPATEL, BRÜNINGS, GEF., 19 CM</v>
          </cell>
          <cell r="D10493" t="str">
            <v>TONGUE  DEPRESSOR, BRUENINGS, FEN., 19 CM</v>
          </cell>
        </row>
        <row r="10494">
          <cell r="B10494" t="str">
            <v>38-403-01-07</v>
          </cell>
          <cell r="C10494" t="str">
            <v>WEISHEITSZAHNHAKEN N. HENAHAN,  FIG. 1</v>
          </cell>
          <cell r="D10494" t="str">
            <v>HENAHAN  THIRD MOLAR TISSUS RETRACTOR F.1</v>
          </cell>
        </row>
        <row r="10495">
          <cell r="B10495" t="str">
            <v>38-403-02-07</v>
          </cell>
          <cell r="C10495" t="str">
            <v>WEISHEITSZAHNHAKEN N. HENAHAN,  FIG. 2</v>
          </cell>
          <cell r="D10495" t="str">
            <v>HENAHAN  THIRD MOLAR TISSUS RETRACTOR N.2</v>
          </cell>
        </row>
        <row r="10496">
          <cell r="B10496" t="str">
            <v>38-405-02-07</v>
          </cell>
          <cell r="C10496" t="str">
            <v>AUSTIN WEICHTEILHAKEN, KURZ</v>
          </cell>
          <cell r="D10496" t="str">
            <v>AUSTIN SOFT TISSUE RETRACTOR, SHORT</v>
          </cell>
        </row>
        <row r="10497">
          <cell r="B10497" t="str">
            <v>38-405-03-07</v>
          </cell>
          <cell r="C10497" t="str">
            <v>AUSTIN WEICHTEILHAKEN, LANG</v>
          </cell>
          <cell r="D10497" t="str">
            <v>AUSTIN SOFT TISSUE RETRACTOR, LONG</v>
          </cell>
        </row>
        <row r="10498">
          <cell r="B10498" t="str">
            <v>38-452-17-07</v>
          </cell>
          <cell r="C10498" t="str">
            <v>ZUNGENZANGE, COLLIN, GEFENST.,  17 CM</v>
          </cell>
          <cell r="D10498" t="str">
            <v>TONGUE  HOLD. FORCEPS,  COLLIN, FEN., 17CM</v>
          </cell>
        </row>
        <row r="10499">
          <cell r="B10499" t="str">
            <v>38-467-17-07</v>
          </cell>
          <cell r="C10499" t="str">
            <v>ZUNGENZANGE, YOUNG, ABGEB., 15 CM</v>
          </cell>
          <cell r="D10499" t="str">
            <v>TONGUE  HOLD. FORCEPS,  YOUNG, ANG., 15 CM</v>
          </cell>
        </row>
        <row r="10500">
          <cell r="B10500" t="str">
            <v>38-501-24-01</v>
          </cell>
          <cell r="C10500" t="str">
            <v>EXTRAORALER RETRAKTOR, 9,5X16 MM, 22 CM</v>
          </cell>
          <cell r="D10500" t="str">
            <v>EXTRAORAL RETRACTOR, 9.5X16 MM, 22 CM</v>
          </cell>
        </row>
        <row r="10501">
          <cell r="B10501" t="str">
            <v>38-502-24-01</v>
          </cell>
          <cell r="C10501" t="str">
            <v>EXTRAORALER RETRAKTOR, ECKELT, 21 CM</v>
          </cell>
          <cell r="D10501" t="str">
            <v>EXTRAORAL RETRACTOR, ECKELT, 21 CM</v>
          </cell>
        </row>
        <row r="10502">
          <cell r="B10502" t="str">
            <v>38-503-27-01</v>
          </cell>
          <cell r="C10502" t="str">
            <v>EXTRAOR.-RETRAKTOR, 9,5X16 MM, 25 CM, KL</v>
          </cell>
          <cell r="D10502" t="str">
            <v>EXTRAOR.  RETRACTOR, 9.5X16 MM, 25 CM, FO</v>
          </cell>
        </row>
        <row r="10503">
          <cell r="B10503" t="str">
            <v>38-504-27-01</v>
          </cell>
          <cell r="C10503" t="str">
            <v>EXTRAORALER RETRAKTOR, ECKELT, 25 CM, KL</v>
          </cell>
          <cell r="D10503" t="str">
            <v>EXTRAORAL RETRACTOR, ECKELT, 25 CM, FO</v>
          </cell>
        </row>
        <row r="10504">
          <cell r="B10504" t="str">
            <v>38-505-24-01</v>
          </cell>
          <cell r="C10504" t="str">
            <v>INTRAORAL-RETRAKTOR, 25,5 MM, 23 CM</v>
          </cell>
          <cell r="D10504" t="str">
            <v>INTRAORAL-RETRACTOR, 25.5 MM, 23 CM</v>
          </cell>
        </row>
        <row r="10505">
          <cell r="B10505" t="str">
            <v>38-507-27-01</v>
          </cell>
          <cell r="C10505" t="str">
            <v>INTRAORAL-RETRAKTOR, 25,5 MM, 26 CM, KL</v>
          </cell>
          <cell r="D10505" t="str">
            <v>INTRAORAL-RETRACTOR, 25.5 MM, 26 CM, FO</v>
          </cell>
        </row>
        <row r="10506">
          <cell r="B10506" t="str">
            <v>38-509-21-01</v>
          </cell>
          <cell r="C10506" t="str">
            <v>INTRAORAL-RETRAKTOR, LINKS, 21 CM</v>
          </cell>
          <cell r="D10506" t="str">
            <v>INTRAORAL-RETRACTOR, LEFT, 21 CM</v>
          </cell>
        </row>
        <row r="10507">
          <cell r="B10507" t="str">
            <v>38-511-21-01</v>
          </cell>
          <cell r="C10507" t="str">
            <v>INTRAORAL-RETRAKTOR, RECHTS, 21 CM</v>
          </cell>
          <cell r="D10507" t="str">
            <v>INTRAORAL-RETRACTOR, RIGHT, 21 CM</v>
          </cell>
        </row>
        <row r="10508">
          <cell r="B10508" t="str">
            <v>38-513-24-01</v>
          </cell>
          <cell r="C10508" t="str">
            <v>INTRAORAL-RETRAKTOR, LINKS, 24,5 CM, KL</v>
          </cell>
          <cell r="D10508" t="str">
            <v>INTRAORAL-RETRACTOR, LEFT, 24.5 CM, FO</v>
          </cell>
        </row>
        <row r="10509">
          <cell r="B10509" t="str">
            <v>38-515-24-01</v>
          </cell>
          <cell r="C10509" t="str">
            <v>INTRAORAL-RETRAKTOR, RECHTS, 24,5 CM, KL</v>
          </cell>
          <cell r="D10509" t="str">
            <v>INTRAORAL-RETRACTOR, RIGHT, 24.5 CM, FO</v>
          </cell>
        </row>
        <row r="10510">
          <cell r="B10510" t="str">
            <v>38-517-25-01</v>
          </cell>
          <cell r="C10510" t="str">
            <v>INTRAORAL-RETRAKTOR, L&amp;M, 25 CM</v>
          </cell>
          <cell r="D10510" t="str">
            <v>INTRAORAL-RETRACTOR, L&amp;M, 25 CM</v>
          </cell>
        </row>
        <row r="10511">
          <cell r="B10511" t="str">
            <v>38-519-28-01</v>
          </cell>
          <cell r="C10511" t="str">
            <v>INTRAORAL-RETRAKTOR, L&amp;M, 28 CM, KL</v>
          </cell>
          <cell r="D10511" t="str">
            <v>INTRAORAL-RETRACTOR, L&amp;M, 28 CM, FO</v>
          </cell>
        </row>
        <row r="10512">
          <cell r="B10512" t="str">
            <v>38-520-01-07</v>
          </cell>
          <cell r="C10512" t="str">
            <v>Retraktor  nach Ishi Fig. 1</v>
          </cell>
          <cell r="D10512" t="str">
            <v>Retractor  acc. to Ishi fig. 1</v>
          </cell>
        </row>
        <row r="10513">
          <cell r="B10513" t="str">
            <v>38-520-03-07</v>
          </cell>
          <cell r="C10513" t="str">
            <v>Retraktor  nach Ishi Fig. 3</v>
          </cell>
          <cell r="D10513" t="str">
            <v>Retractor  acc. to Ishi fig. 3</v>
          </cell>
        </row>
        <row r="10514">
          <cell r="B10514" t="str">
            <v>38-520-04-07</v>
          </cell>
          <cell r="C10514" t="str">
            <v>Retraktor  nach Ishi Fig. 4</v>
          </cell>
          <cell r="D10514" t="str">
            <v>Retractor  acc. to Ishi fig. 4</v>
          </cell>
        </row>
        <row r="10515">
          <cell r="B10515" t="str">
            <v>38-520-28-01</v>
          </cell>
          <cell r="C10515" t="str">
            <v>Intraoral-Retraktor, L&amp;M, 28cm, KL, gef.</v>
          </cell>
          <cell r="D10515" t="str">
            <v>Intraoral-Retractor, L&amp;M, 28cm, FO, fen.</v>
          </cell>
        </row>
        <row r="10516">
          <cell r="B10516" t="str">
            <v>38-523-24-01</v>
          </cell>
          <cell r="C10516" t="str">
            <v>RETRAKTOR, SHEA, 14,5 MM, 23,5 CM, KL</v>
          </cell>
          <cell r="D10516" t="str">
            <v>RETRACTOR, SHEA, 14.5 MM, 23.5 CM, FO</v>
          </cell>
        </row>
        <row r="10517">
          <cell r="B10517" t="str">
            <v>38-525-01-07</v>
          </cell>
          <cell r="C10517" t="str">
            <v>LINDORF  SIDE STEP HAKEN, LINKS</v>
          </cell>
          <cell r="D10517" t="str">
            <v>LINDORF  SIDE STEP RETRACTOR, LEFT</v>
          </cell>
        </row>
        <row r="10518">
          <cell r="B10518" t="str">
            <v>38-525-02-07</v>
          </cell>
          <cell r="C10518" t="str">
            <v>LINDORF  SIDE STEP HAKEN, RECHTS</v>
          </cell>
          <cell r="D10518" t="str">
            <v>LINDORF  SIDE STEP RETRACTOR, RIGHT</v>
          </cell>
        </row>
        <row r="10519">
          <cell r="B10519" t="str">
            <v>38-526-01-07</v>
          </cell>
          <cell r="C10519" t="str">
            <v>LINDORF  RAMUS KRALLENHAKEN, LINKS</v>
          </cell>
          <cell r="D10519" t="str">
            <v>LINDORF  RAMUS CLAW RETRACTOR, LEFT</v>
          </cell>
        </row>
        <row r="10520">
          <cell r="B10520" t="str">
            <v>38-526-02-07</v>
          </cell>
          <cell r="C10520" t="str">
            <v>LINDORF  RAMUS KRALLENHAKEN, RECHTS</v>
          </cell>
          <cell r="D10520" t="str">
            <v>LINDORF  RAMUS CLAW RETRACTOR, RIGHT</v>
          </cell>
        </row>
        <row r="10521">
          <cell r="B10521" t="str">
            <v>38-527-01-07</v>
          </cell>
          <cell r="C10521" t="str">
            <v>LINDORF  SINUS KRALLENHAKEN,LINKS</v>
          </cell>
          <cell r="D10521" t="str">
            <v>LINDORF  SINUS CLAW RETRACTOR,LEFT</v>
          </cell>
        </row>
        <row r="10522">
          <cell r="B10522" t="str">
            <v>38-527-02-07</v>
          </cell>
          <cell r="C10522" t="str">
            <v>LINDORF  SINUS KRALLENHAKEN,RECHTS</v>
          </cell>
          <cell r="D10522" t="str">
            <v>LINDORF  SINUS CLAW RETRACTOR,RIGHT</v>
          </cell>
        </row>
        <row r="10523">
          <cell r="B10523" t="str">
            <v>38-605-22-07</v>
          </cell>
          <cell r="C10523" t="str">
            <v>SPINA NASALIS-HAKEN, OBWEGESER, 22 CM</v>
          </cell>
          <cell r="D10523" t="str">
            <v>SPINA NASALIS-RETRACT., OBWEGESER, 22 CM</v>
          </cell>
        </row>
        <row r="10524">
          <cell r="B10524" t="str">
            <v>38-607-22-07</v>
          </cell>
          <cell r="C10524" t="str">
            <v>RAMUSHAKEN, OBWEGESER, 22 CM</v>
          </cell>
          <cell r="D10524" t="str">
            <v>RAMUS RETRACTOR, OBWEGESER, 22 CM</v>
          </cell>
        </row>
        <row r="10525">
          <cell r="B10525" t="str">
            <v>38-611-16-07</v>
          </cell>
          <cell r="C10525" t="str">
            <v>KINNHALTER, OBWEGESER, 16,5 CM</v>
          </cell>
          <cell r="D10525" t="str">
            <v>CHIN RETRACTOR, OBWEGESER, 16.5 CM</v>
          </cell>
        </row>
        <row r="10526">
          <cell r="B10526" t="str">
            <v>38-613-08-07</v>
          </cell>
          <cell r="C10526" t="str">
            <v>PROGENIERINNE, OBWEGESER, 8 MM, 16 CM</v>
          </cell>
          <cell r="D10526" t="str">
            <v>CHANNEL  RETRACT.,  OBWEGESER, 8 MM, 16 CM</v>
          </cell>
        </row>
        <row r="10527">
          <cell r="B10527" t="str">
            <v>38-613-10-07</v>
          </cell>
          <cell r="C10527" t="str">
            <v>PROGENIERINNE, OBWEGESER, 10 MM, 16 CM</v>
          </cell>
          <cell r="D10527" t="str">
            <v>CHANNEL  RETRACT.,  OBWEG.,  10 MM, 16 CM</v>
          </cell>
        </row>
        <row r="10528">
          <cell r="B10528" t="str">
            <v>38-614-10-07</v>
          </cell>
          <cell r="C10528" t="str">
            <v>PROGENIEHAKEN, SCHUCHARDT, 18 CM</v>
          </cell>
          <cell r="D10528" t="str">
            <v>PROGENY  RETRACT.,  SCHUCHARDT, 18 CM</v>
          </cell>
        </row>
        <row r="10529">
          <cell r="B10529" t="str">
            <v>38-616-10-07</v>
          </cell>
          <cell r="C10529" t="str">
            <v>ÄUSSERER  PROGENIEHAKEN, LAUER, 15 CM</v>
          </cell>
          <cell r="D10529" t="str">
            <v>OUTER PROGENY  RETRACTOR, LAUER, 15 CM</v>
          </cell>
        </row>
        <row r="10530">
          <cell r="B10530" t="str">
            <v>38-616-20-07</v>
          </cell>
          <cell r="C10530" t="str">
            <v>INNERER  PROGENIEHAKEN, LAUER, 15 CM</v>
          </cell>
          <cell r="D10530" t="str">
            <v>INNER PROGENY  RETRACTOR, LAUER, 15 CM</v>
          </cell>
        </row>
        <row r="10531">
          <cell r="B10531" t="str">
            <v>38-618-10-07</v>
          </cell>
          <cell r="C10531" t="str">
            <v>ÄUSSERER  PROGENIEHAKEN, LAUER, 15 CM, KL</v>
          </cell>
          <cell r="D10531" t="str">
            <v>OUT. PROGENY  RETRACTOR, LAUER, 15 CM, FO</v>
          </cell>
        </row>
        <row r="10532">
          <cell r="B10532" t="str">
            <v>38-618-20-07</v>
          </cell>
          <cell r="C10532" t="str">
            <v>INNERER  PROGENIEHAKEN, LAUER, 15 CM, KL</v>
          </cell>
          <cell r="D10532" t="str">
            <v>INN. PROGENY  RETRACTOR, LAUER, 15 CM, FO</v>
          </cell>
        </row>
        <row r="10533">
          <cell r="B10533" t="str">
            <v>38-620-10-07</v>
          </cell>
          <cell r="C10533" t="str">
            <v>ÄUSSERER  PROGENIEHAKEN, LAUER, 20 CM, KL</v>
          </cell>
          <cell r="D10533" t="str">
            <v>OUT. PROGENY  RETRACTOR, LAUER, 20 CM, FO</v>
          </cell>
        </row>
        <row r="10534">
          <cell r="B10534" t="str">
            <v>38-620-20-07</v>
          </cell>
          <cell r="C10534" t="str">
            <v>INNER. PROGENIEHAKEN, LAUER, 20,5 CM, KL</v>
          </cell>
          <cell r="D10534" t="str">
            <v>INN. PROGENY  RETR., LAUER, 20.5 CM, F.O.</v>
          </cell>
        </row>
        <row r="10535">
          <cell r="B10535" t="str">
            <v>38-630-06-07</v>
          </cell>
          <cell r="C10535" t="str">
            <v>RASPATORIUM, OBWEGESER, 6 MM, 17,5 CM</v>
          </cell>
          <cell r="D10535" t="str">
            <v>RASPATORY, OBWEGESER, 6 MM, 17.5 CM</v>
          </cell>
        </row>
        <row r="10536">
          <cell r="B10536" t="str">
            <v>38-630-07-07</v>
          </cell>
          <cell r="C10536" t="str">
            <v>RASPATORIUM, OBWEGESER, 7 MM, 17,5 CM</v>
          </cell>
          <cell r="D10536" t="str">
            <v>RASPATORY, OBWEGESER, 7 MM, 17.5 CM</v>
          </cell>
        </row>
        <row r="10537">
          <cell r="B10537" t="str">
            <v>38-630-09-07</v>
          </cell>
          <cell r="C10537" t="str">
            <v>RASPATORIUM, OBWEGESER, 9 MM, 17,5 CM</v>
          </cell>
          <cell r="D10537" t="str">
            <v>RASPATORY, OBWEGESER, 9 MM, 17.5 CM</v>
          </cell>
        </row>
        <row r="10538">
          <cell r="B10538" t="str">
            <v>38-630-11-07</v>
          </cell>
          <cell r="C10538" t="str">
            <v>RASPATORIUM, OBWEGESER, 11 MM, 17,5 CM</v>
          </cell>
          <cell r="D10538" t="str">
            <v>RASPATORY, OBWEGESER, 11 MM, 17.5 CM</v>
          </cell>
        </row>
        <row r="10539">
          <cell r="B10539" t="str">
            <v>38-631-05-07</v>
          </cell>
          <cell r="C10539" t="str">
            <v>RASPATORIUM, OBWEG.,  GEB., 5 MM, 20 CM</v>
          </cell>
          <cell r="D10539" t="str">
            <v>RASPATORY, OBWEGESER, CVD., 5 MM, 20 CM</v>
          </cell>
        </row>
        <row r="10540">
          <cell r="B10540" t="str">
            <v>38-631-07-07</v>
          </cell>
          <cell r="C10540" t="str">
            <v>RASPATORIUM, OBWEG.,  GEB., 7 MM, 20 CM</v>
          </cell>
          <cell r="D10540" t="str">
            <v>RASPATORY, OBWEGESER, CVD., 7 MM, 20 CM</v>
          </cell>
        </row>
        <row r="10541">
          <cell r="B10541" t="str">
            <v>38-631-09-07</v>
          </cell>
          <cell r="C10541" t="str">
            <v>RASPATORIUM, OBWEG.,  GEB., 9 MM, 20 CM</v>
          </cell>
          <cell r="D10541" t="str">
            <v>RASPATORY, OBWEGES., CVD., 9 MM, 20 CM</v>
          </cell>
        </row>
        <row r="10542">
          <cell r="B10542" t="str">
            <v>38-632-01-07</v>
          </cell>
          <cell r="C10542" t="str">
            <v>RASPATORIUM, OBWEGESER, V-FORM,  17,5 CM</v>
          </cell>
          <cell r="D10542" t="str">
            <v>RASPATORY, OBWEGESER, V-SHAPE,  17.5 CM</v>
          </cell>
        </row>
        <row r="10543">
          <cell r="B10543" t="str">
            <v>38-632-02-07</v>
          </cell>
          <cell r="C10543" t="str">
            <v>RASPATORIUM, TIEFE V-FORM,  17,5 CM</v>
          </cell>
          <cell r="D10543" t="str">
            <v>RASPATORY, DEEP V-SHAPE,  17.5 CM</v>
          </cell>
        </row>
        <row r="10544">
          <cell r="B10544" t="str">
            <v>38-633-03-07</v>
          </cell>
          <cell r="C10544" t="str">
            <v>GELENKREPOSITIONIERER, FIG. 11, 24,5 CM</v>
          </cell>
          <cell r="D10544" t="str">
            <v>CONDYLAR  REPOSITIONER, NO. 11, 24.5 CM</v>
          </cell>
        </row>
        <row r="10545">
          <cell r="B10545" t="str">
            <v>38-633-04-07</v>
          </cell>
          <cell r="C10545" t="str">
            <v>GELENKREPOSITIONIERER, FIG. 12, 24,5 CM</v>
          </cell>
          <cell r="D10545" t="str">
            <v>CONDYLAR  REPOSITIONER, NO. 12, 24.5 CM</v>
          </cell>
        </row>
        <row r="10546">
          <cell r="B10546" t="str">
            <v>38-640-21-07</v>
          </cell>
          <cell r="C10546" t="str">
            <v>ELEVATORIUM, OBWEGESER, DOPPEL.,  20,5 CM</v>
          </cell>
          <cell r="D10546" t="str">
            <v>ELEVATOR,  OBWEGESER, DOUBLE,  20.5 CM</v>
          </cell>
        </row>
        <row r="10547">
          <cell r="B10547" t="str">
            <v>38-642-21-07</v>
          </cell>
          <cell r="C10547" t="str">
            <v>ELEVATORIUM, OBWEGESER, DOPPEL.,  20,5 CM</v>
          </cell>
          <cell r="D10547" t="str">
            <v>ELEVATOR,  OBWEGESER, DOUBLE,  20.5 CM</v>
          </cell>
        </row>
        <row r="10548">
          <cell r="B10548" t="str">
            <v>38-684-01-07</v>
          </cell>
          <cell r="C10548" t="str">
            <v>Endo-Condyle Unit,Ramushaken,scharf</v>
          </cell>
          <cell r="D10548" t="str">
            <v>Endo-Condyle Unit,ramus  retr.,sharp</v>
          </cell>
        </row>
        <row r="10549">
          <cell r="B10549" t="str">
            <v>38-684-02-07</v>
          </cell>
          <cell r="C10549" t="str">
            <v>Endo-Condyle Unit,Ramushaken,gerade</v>
          </cell>
          <cell r="D10549" t="str">
            <v>Endo-Condyle Unit,ramus  retr.,straight</v>
          </cell>
        </row>
        <row r="10550">
          <cell r="B10550" t="str">
            <v>38-684-03-07</v>
          </cell>
          <cell r="C10550" t="str">
            <v>Endo-Condyle Unit,Metz-Haken,modif.,re</v>
          </cell>
          <cell r="D10550" t="str">
            <v>Endo-Condyle Unit,Metz  retr.,modif.,ri</v>
          </cell>
        </row>
        <row r="10551">
          <cell r="B10551" t="str">
            <v>38-684-04-07</v>
          </cell>
          <cell r="C10551" t="str">
            <v>Endo-Condyle Unit,Metz-Haken,modif.,li</v>
          </cell>
          <cell r="D10551" t="str">
            <v>Endo-Condyle Unit,Metz  retr.,modif.,le</v>
          </cell>
        </row>
        <row r="10552">
          <cell r="B10552" t="str">
            <v>38-684-05-07</v>
          </cell>
          <cell r="C10552" t="str">
            <v>MI Mx1,Wundhaken,doppelt,14cm</v>
          </cell>
          <cell r="D10552" t="str">
            <v>MI Mx1,retractor,doubled,14cm</v>
          </cell>
        </row>
        <row r="10553">
          <cell r="B10553" t="str">
            <v>38-684-06-07</v>
          </cell>
          <cell r="C10553" t="str">
            <v>MI Mx2L,Haken,gedreht,links,16.5cm</v>
          </cell>
          <cell r="D10553" t="str">
            <v>MI Mx2L,hook,twisted,left,16.5cm</v>
          </cell>
        </row>
        <row r="10554">
          <cell r="B10554" t="str">
            <v>38-684-07-07</v>
          </cell>
          <cell r="C10554" t="str">
            <v>MI Mx2R,Haken,gedreht,rechts,16.5cm</v>
          </cell>
          <cell r="D10554" t="str">
            <v>MI Mx2R,hook,twisted,right,16.5cm</v>
          </cell>
        </row>
        <row r="10555">
          <cell r="B10555" t="str">
            <v>38-684-08-01</v>
          </cell>
          <cell r="C10555" t="str">
            <v>MI Mx3,Spatel,gebogen,16cm</v>
          </cell>
          <cell r="D10555" t="str">
            <v>MI Mx3,spatula,curved,16cm</v>
          </cell>
        </row>
        <row r="10556">
          <cell r="B10556" t="str">
            <v>38-684-09-07</v>
          </cell>
          <cell r="C10556" t="str">
            <v>MI Mx4S,Knochenspreizer,kurz,18cm</v>
          </cell>
          <cell r="D10556" t="str">
            <v>MI Mx4S,bone expander,short,18cm</v>
          </cell>
        </row>
        <row r="10557">
          <cell r="B10557" t="str">
            <v>38-684-10-07</v>
          </cell>
          <cell r="C10557" t="str">
            <v>MI Mx4L,Knochenspreizer,lang,18.5cm</v>
          </cell>
          <cell r="D10557" t="str">
            <v>MI Mx4L,bone expander,long,18.5cm</v>
          </cell>
        </row>
        <row r="10558">
          <cell r="B10558" t="str">
            <v>38-684-11-07</v>
          </cell>
          <cell r="C10558" t="str">
            <v>MI Mx5,Septumschere,18.5cm</v>
          </cell>
          <cell r="D10558" t="str">
            <v>MI Mx5,septum scissors,18.5cm</v>
          </cell>
        </row>
        <row r="10559">
          <cell r="B10559" t="str">
            <v>38-684-12-07</v>
          </cell>
          <cell r="C10559" t="str">
            <v>MI Md1,Progenierinne,16cm</v>
          </cell>
          <cell r="D10559" t="str">
            <v>MI Md1,channel retractor,16cm</v>
          </cell>
        </row>
        <row r="10560">
          <cell r="B10560" t="str">
            <v>38-684-13-04</v>
          </cell>
          <cell r="C10560" t="str">
            <v>MI Md2,Ramushaken,23cm</v>
          </cell>
          <cell r="D10560" t="str">
            <v>MI Md2,ramus hook,23cm</v>
          </cell>
        </row>
        <row r="10561">
          <cell r="B10561" t="str">
            <v>38-684-14-07</v>
          </cell>
          <cell r="C10561" t="str">
            <v>MI Md3,Knochenhaltezange,19cm</v>
          </cell>
          <cell r="D10561" t="str">
            <v>MI Md3,bone  holding forceps,19cm</v>
          </cell>
        </row>
        <row r="10562">
          <cell r="B10562" t="str">
            <v>38-684-15-07</v>
          </cell>
          <cell r="C10562" t="str">
            <v>MI Md4,Abstandhalter 0.5mm</v>
          </cell>
          <cell r="D10562" t="str">
            <v>MI Md4,spacer 0.5mm</v>
          </cell>
        </row>
        <row r="10563">
          <cell r="B10563" t="str">
            <v>38-684-16-07</v>
          </cell>
          <cell r="C10563" t="str">
            <v>MI Md5,Abstandhalter 1.0mm</v>
          </cell>
          <cell r="D10563" t="str">
            <v>MI Md5,spacer 1.0mm</v>
          </cell>
        </row>
        <row r="10564">
          <cell r="B10564" t="str">
            <v>38-684-17-07</v>
          </cell>
          <cell r="C10564" t="str">
            <v>MI Md6,Abstandhalter 1.5mm</v>
          </cell>
          <cell r="D10564" t="str">
            <v>MI Md6,spacer 1.5mm</v>
          </cell>
        </row>
        <row r="10565">
          <cell r="B10565" t="str">
            <v>38-684-18-07</v>
          </cell>
          <cell r="C10565" t="str">
            <v>MI Md7,Abstandhalter 2.0mm</v>
          </cell>
          <cell r="D10565" t="str">
            <v>MI Md7,spacer 2.0mm</v>
          </cell>
        </row>
        <row r="10566">
          <cell r="B10566" t="str">
            <v>38-684-19-07</v>
          </cell>
          <cell r="C10566" t="str">
            <v>MI Md8,Abstandhalter 2.5mm</v>
          </cell>
          <cell r="D10566" t="str">
            <v>MI Md8,spacer 2.5mm</v>
          </cell>
        </row>
        <row r="10567">
          <cell r="B10567" t="str">
            <v>38-684-20-07</v>
          </cell>
          <cell r="C10567" t="str">
            <v>MI Md9,Abstandhalter 3.0mm</v>
          </cell>
          <cell r="D10567" t="str">
            <v>MI Md9,spacer 3.0mm</v>
          </cell>
        </row>
        <row r="10568">
          <cell r="B10568" t="str">
            <v>38-684-21-04</v>
          </cell>
          <cell r="C10568" t="str">
            <v>MI Ch1,Kinnhalter,23cm</v>
          </cell>
          <cell r="D10568" t="str">
            <v>MI Ch1,chin holder,23cm</v>
          </cell>
        </row>
        <row r="10569">
          <cell r="B10569" t="str">
            <v>38-684-22-07</v>
          </cell>
          <cell r="C10569" t="str">
            <v>MI MI1,Raspatorium,doppelseitig,18.5cm</v>
          </cell>
          <cell r="D10569" t="str">
            <v>MI MI1,raspatory,double-sided,18.5cm</v>
          </cell>
        </row>
        <row r="10570">
          <cell r="B10570" t="str">
            <v>38-684-23-07</v>
          </cell>
          <cell r="C10570" t="str">
            <v>MI MI2,Elevatorium,doppelseitig,18.5cm</v>
          </cell>
          <cell r="D10570" t="str">
            <v>MI MI2,elevator,double-sided,18.5cm</v>
          </cell>
        </row>
        <row r="10571">
          <cell r="B10571" t="str">
            <v>38-684-24-07</v>
          </cell>
          <cell r="C10571" t="str">
            <v>MI MI3,Elevatorium,torquiert,18.5cm</v>
          </cell>
          <cell r="D10571" t="str">
            <v>MI MI3,elevator,twisted,18.5cm</v>
          </cell>
        </row>
        <row r="10572">
          <cell r="B10572" t="str">
            <v>38-684-25-07</v>
          </cell>
          <cell r="C10572" t="str">
            <v>MI MI4,Elevatorium,V-förmig,20cm</v>
          </cell>
          <cell r="D10572" t="str">
            <v>MI MI4,elevator,v-shaped,20cm</v>
          </cell>
        </row>
        <row r="10573">
          <cell r="B10573" t="str">
            <v>38-684-27-01</v>
          </cell>
          <cell r="C10573" t="str">
            <v>MI RT1,Wundhaken,gebogen,13.5cm</v>
          </cell>
          <cell r="D10573" t="str">
            <v>MI RT1,retractor,curved,13.5cm</v>
          </cell>
        </row>
        <row r="10574">
          <cell r="B10574" t="str">
            <v>38-684-28-01</v>
          </cell>
          <cell r="C10574" t="str">
            <v>MI RT2,Wundhaken,groß,16.5cm</v>
          </cell>
          <cell r="D10574" t="str">
            <v>MI RT2,retractor,large,16.5cm</v>
          </cell>
        </row>
        <row r="10575">
          <cell r="B10575" t="str">
            <v>38-684-29-07</v>
          </cell>
          <cell r="C10575" t="str">
            <v>MI HK3,Einzinker,scharf,18cm</v>
          </cell>
          <cell r="D10575" t="str">
            <v>MI HK3,hooklet,sharp,18cm</v>
          </cell>
        </row>
        <row r="10576">
          <cell r="B10576" t="str">
            <v>38-684-30-07</v>
          </cell>
          <cell r="C10576" t="str">
            <v>MI HK1,Hauthäkchen,doppelt,15.5cm</v>
          </cell>
          <cell r="D10576" t="str">
            <v>MI HK1,skin hooklet,doubled,15.5cm</v>
          </cell>
        </row>
        <row r="10577">
          <cell r="B10577" t="str">
            <v>38-684-31-07</v>
          </cell>
          <cell r="C10577" t="str">
            <v>MI HK2,Einzinker,gebogen,stumpf,18cm</v>
          </cell>
          <cell r="D10577" t="str">
            <v>MI HK2,hooklet,curved,blunt,18cm</v>
          </cell>
        </row>
        <row r="10578">
          <cell r="B10578" t="str">
            <v>38-684-32-07</v>
          </cell>
          <cell r="C10578" t="str">
            <v>MI OS4,Osteotom,fein,4mm,17.5cm</v>
          </cell>
          <cell r="D10578" t="str">
            <v>MI OS4,osteotome,thin,4mm,17.5cm</v>
          </cell>
        </row>
        <row r="10579">
          <cell r="B10579" t="str">
            <v>38-684-33-07</v>
          </cell>
          <cell r="C10579" t="str">
            <v>MI OS1,Septumosteotom,8mm,18.5cm</v>
          </cell>
          <cell r="D10579" t="str">
            <v>MI OS1,septum ostetome,8mm,18.5cm</v>
          </cell>
        </row>
        <row r="10580">
          <cell r="B10580" t="str">
            <v>38-684-34-07</v>
          </cell>
          <cell r="C10580" t="str">
            <v>MI OS2,Osteotom,gerade,4mm,19.5cm</v>
          </cell>
          <cell r="D10580" t="str">
            <v>MI OS2,osteotome,straight,4mm,19.5cm</v>
          </cell>
        </row>
        <row r="10581">
          <cell r="B10581" t="str">
            <v>38-684-35-07</v>
          </cell>
          <cell r="C10581" t="str">
            <v>MI OS3,Osteotom,gebogen,4mm,19cm</v>
          </cell>
          <cell r="D10581" t="str">
            <v>MI OS3,osteotome,curved,4mm,19cm</v>
          </cell>
        </row>
        <row r="10582">
          <cell r="B10582" t="str">
            <v>38-684-36-07</v>
          </cell>
          <cell r="C10582" t="str">
            <v>MI BI3,Klemme,18cm</v>
          </cell>
          <cell r="D10582" t="str">
            <v>MI BI3,clamp,18cm</v>
          </cell>
        </row>
        <row r="10583">
          <cell r="B10583" t="str">
            <v>38-684-37-04</v>
          </cell>
          <cell r="C10583" t="str">
            <v>MI OS5,Keilosteotom,stumpf,16mm,22.5cm</v>
          </cell>
          <cell r="D10583" t="str">
            <v>MI OS5,wedge osteo.,blunt,16mm,22.5cm</v>
          </cell>
        </row>
        <row r="10584">
          <cell r="B10584" t="str">
            <v>38-684-38-04</v>
          </cell>
          <cell r="C10584" t="str">
            <v>MI OS6,Blattosteotom,8mm,22.5cm</v>
          </cell>
          <cell r="D10584" t="str">
            <v>MI OS6,blade  osteotome,8mm,22.5cm</v>
          </cell>
        </row>
        <row r="10585">
          <cell r="B10585" t="str">
            <v>38-684-39-07</v>
          </cell>
          <cell r="C10585" t="str">
            <v>MI Luniatschek,doppelseitig,18cm</v>
          </cell>
          <cell r="D10585" t="str">
            <v>MI Luniatschek,double-sided,18cm</v>
          </cell>
        </row>
        <row r="10586">
          <cell r="B10586" t="str">
            <v>38-684-40-01</v>
          </cell>
          <cell r="C10586" t="str">
            <v>MI Wangenhalter,17cm</v>
          </cell>
          <cell r="D10586" t="str">
            <v>MI cheek retractor,17cm</v>
          </cell>
        </row>
        <row r="10587">
          <cell r="B10587" t="str">
            <v>38-684-41-07</v>
          </cell>
          <cell r="C10587" t="str">
            <v>MI Schneidezange,15.5cm</v>
          </cell>
          <cell r="D10587" t="str">
            <v>MI cutting pliers,15.5cm</v>
          </cell>
        </row>
        <row r="10588">
          <cell r="B10588" t="str">
            <v>38-684-42-07</v>
          </cell>
          <cell r="C10588" t="str">
            <v>MI BI1,Messzirkel,17cm</v>
          </cell>
          <cell r="D10588" t="str">
            <v>MI BI1,caliper,17cm</v>
          </cell>
        </row>
        <row r="10589">
          <cell r="B10589" t="str">
            <v>38-684-43-07</v>
          </cell>
          <cell r="C10589" t="str">
            <v>MI BI2,Kontrollinstrument 10mm,18cm</v>
          </cell>
          <cell r="D10589" t="str">
            <v>MI BI2,control  instrument  10mm,18cm</v>
          </cell>
        </row>
        <row r="10590">
          <cell r="B10590" t="str">
            <v>38-684-45-07</v>
          </cell>
          <cell r="C10590" t="str">
            <v>MI SEQ1,Sequenzschablone Le Fort I,Teil1</v>
          </cell>
          <cell r="D10590" t="str">
            <v>MI SEQ1,sequence bar Le Fort I,part1</v>
          </cell>
        </row>
        <row r="10591">
          <cell r="B10591" t="str">
            <v>38-684-46-07</v>
          </cell>
          <cell r="C10591" t="str">
            <v>MI SEQ2,Sequenzschablone Le Fort I,Teil2</v>
          </cell>
          <cell r="D10591" t="str">
            <v>MI SEQ2,sequence bar Le Fort I,part2</v>
          </cell>
        </row>
        <row r="10592">
          <cell r="B10592" t="str">
            <v>38-684-47-07</v>
          </cell>
          <cell r="C10592" t="str">
            <v>MI SEQ3,Sequenzschablone Le Fort I,Teil3</v>
          </cell>
          <cell r="D10592" t="str">
            <v>MI SEQ3,sequence bar Le Fort I,part3</v>
          </cell>
        </row>
        <row r="10593">
          <cell r="B10593" t="str">
            <v>38-684-48-07</v>
          </cell>
          <cell r="C10593" t="str">
            <v>MI SEQ4,Sequenzschablone Le Fort I,Teil4</v>
          </cell>
          <cell r="D10593" t="str">
            <v>MI SEQ4,sequence bar Le Fort I,part4</v>
          </cell>
        </row>
        <row r="10594">
          <cell r="B10594" t="str">
            <v>38-684-49-07</v>
          </cell>
          <cell r="C10594" t="str">
            <v>MI SEQ5,Sequenzschablone Le Fort I,Teil5</v>
          </cell>
          <cell r="D10594" t="str">
            <v>MI SEQ5,sequence bar Le Fort I,part5</v>
          </cell>
        </row>
        <row r="10595">
          <cell r="B10595" t="str">
            <v>38-684-50-07</v>
          </cell>
          <cell r="C10595" t="str">
            <v>MI SEQ6,Sequenzschablone Le Fort I,Teil6</v>
          </cell>
          <cell r="D10595" t="str">
            <v>MI SEQ6,sequence bar Le Fort I,part6</v>
          </cell>
        </row>
        <row r="10596">
          <cell r="B10596" t="str">
            <v>38-684-51-07</v>
          </cell>
          <cell r="C10596" t="str">
            <v>MI SEQ7,Sequenzschablone SSO,Teil1</v>
          </cell>
          <cell r="D10596" t="str">
            <v>MI SEQ7,sequence bar SSO,part1</v>
          </cell>
        </row>
        <row r="10597">
          <cell r="B10597" t="str">
            <v>38-684-52-07</v>
          </cell>
          <cell r="C10597" t="str">
            <v>MI SEQ8,Sequenzschablone SSO,Teil2</v>
          </cell>
          <cell r="D10597" t="str">
            <v>MI SEQ8,sequence bar SSO,part2</v>
          </cell>
        </row>
        <row r="10598">
          <cell r="B10598" t="str">
            <v>38-684-53-07</v>
          </cell>
          <cell r="C10598" t="str">
            <v>MI SEQ9,Sequenzschablone SSO,Teil3</v>
          </cell>
          <cell r="D10598" t="str">
            <v>MI SEQ9,sequence bar SSO,part3</v>
          </cell>
        </row>
        <row r="10599">
          <cell r="B10599" t="str">
            <v>38-684-54-07</v>
          </cell>
          <cell r="C10599" t="str">
            <v>MI SEQ10,Sequenzschablone SSO,Teil4</v>
          </cell>
          <cell r="D10599" t="str">
            <v>MI SEQ10,sequence bar SSO,part4</v>
          </cell>
        </row>
        <row r="10600">
          <cell r="B10600" t="str">
            <v>38-684-55-07</v>
          </cell>
          <cell r="C10600" t="str">
            <v>MI SEQ11,Sequenzschablone Chin,Teil1</v>
          </cell>
          <cell r="D10600" t="str">
            <v>MI SEQ11,sequence bar Chin,part1</v>
          </cell>
        </row>
        <row r="10601">
          <cell r="B10601" t="str">
            <v>38-684-56-07</v>
          </cell>
          <cell r="C10601" t="str">
            <v>MI SEQ12,Sequenzschablone Chin, Teil2</v>
          </cell>
          <cell r="D10601" t="str">
            <v>MI SEQ12,sequence bar Chin,part2</v>
          </cell>
        </row>
        <row r="10602">
          <cell r="B10602" t="str">
            <v>38-684-57-07</v>
          </cell>
          <cell r="C10602" t="str">
            <v>MI SEQ13,Sequenzschablone Chin,Teil3</v>
          </cell>
          <cell r="D10602" t="str">
            <v>MI SEQ13,sequence bar Chin,part3</v>
          </cell>
        </row>
        <row r="10603">
          <cell r="B10603" t="str">
            <v>38-685-00-07</v>
          </cell>
          <cell r="C10603" t="str">
            <v>DRAHTPOSITIONIERER, DOPPELEND., 17 CM</v>
          </cell>
          <cell r="D10603" t="str">
            <v>WIRE PUSHER, DOUBLE-ENDED, 17 CM</v>
          </cell>
        </row>
        <row r="10604">
          <cell r="B10604" t="str">
            <v>38-691-01-07</v>
          </cell>
          <cell r="C10604" t="str">
            <v>ORBITAHAKEN, ROWE, RE., 19 CM</v>
          </cell>
          <cell r="D10604" t="str">
            <v>ORBITAL RETRACTOR, ROWE, RIGHT, 19 CM</v>
          </cell>
        </row>
        <row r="10605">
          <cell r="B10605" t="str">
            <v>38-691-02-07</v>
          </cell>
          <cell r="C10605" t="str">
            <v>ORBITAHAKEN, ROWE, LI., 19 CM</v>
          </cell>
          <cell r="D10605" t="str">
            <v>ORBITAL RETRACTOR, ROWE, LEFT, 19 CM</v>
          </cell>
        </row>
        <row r="10606">
          <cell r="B10606" t="str">
            <v>38-693-19-07</v>
          </cell>
          <cell r="C10606" t="str">
            <v>ORBITARAND-RETRAKTOR, 20 CM</v>
          </cell>
          <cell r="D10606" t="str">
            <v>ORBITAL RIM RETRACTOR, 20 CM</v>
          </cell>
        </row>
        <row r="10607">
          <cell r="B10607" t="str">
            <v>38-694-20-07</v>
          </cell>
          <cell r="C10607" t="str">
            <v>ORBITARAND-RETRAKTOR, DONOVAN, 19,5 CM</v>
          </cell>
          <cell r="D10607" t="str">
            <v>ORBITAL RIM RETRACTOR, DONOVAN, 19.5 CM</v>
          </cell>
        </row>
        <row r="10608">
          <cell r="B10608" t="str">
            <v>38-695-21-07</v>
          </cell>
          <cell r="C10608" t="str">
            <v xml:space="preserve"> L1 Midface Orbita-Retraktor, links</v>
          </cell>
          <cell r="D10608" t="str">
            <v xml:space="preserve"> L1 Midface orbital retractor,  left</v>
          </cell>
        </row>
        <row r="10609">
          <cell r="B10609" t="str">
            <v>38-696-21-07</v>
          </cell>
          <cell r="C10609" t="str">
            <v xml:space="preserve"> L1 Midface Orbita-Retraktor, rechts</v>
          </cell>
          <cell r="D10609" t="str">
            <v xml:space="preserve"> L1 Midface orbital retractor,  right</v>
          </cell>
        </row>
        <row r="10610">
          <cell r="B10610" t="str">
            <v>38-697-01-07</v>
          </cell>
          <cell r="C10610" t="str">
            <v>ORBITARETRAKTOR GERADE BIEGSAM</v>
          </cell>
          <cell r="D10610" t="str">
            <v>SPATULA  ORBITAL STRAIGHT  MALLEABLE</v>
          </cell>
        </row>
        <row r="10611">
          <cell r="B10611" t="str">
            <v>38-697-02-07</v>
          </cell>
          <cell r="C10611" t="str">
            <v>ORBITARETRAKTOR GERADE BIEGSAM  GRADUIERT</v>
          </cell>
          <cell r="D10611" t="str">
            <v>SPATULA  ORBITAL STRAIGHT  MALLEAB.  GRADU.</v>
          </cell>
        </row>
        <row r="10612">
          <cell r="B10612" t="str">
            <v>38-700-01-07</v>
          </cell>
          <cell r="C10612" t="str">
            <v>REPOSITIONSZANGE, ROWE, LI., 21,5 CM</v>
          </cell>
          <cell r="D10612" t="str">
            <v>REPOSITION FORCEPS,  ROWE, L., 21.5 CM</v>
          </cell>
        </row>
        <row r="10613">
          <cell r="B10613" t="str">
            <v>38-700-02-07</v>
          </cell>
          <cell r="C10613" t="str">
            <v>REPOSITIONSZANGE, ROWE, LI., 24 CM</v>
          </cell>
          <cell r="D10613" t="str">
            <v>REPOSITION FORCEPS,  ROWE, L., 24 CM</v>
          </cell>
        </row>
        <row r="10614">
          <cell r="B10614" t="str">
            <v>38-700-03-07</v>
          </cell>
          <cell r="C10614" t="str">
            <v>REPOSITIONSZANGE, ROWE, LI., 24,5 CM</v>
          </cell>
          <cell r="D10614" t="str">
            <v>REPOSITION FORCEPS,  ROWE, L., 24.5 CM</v>
          </cell>
        </row>
        <row r="10615">
          <cell r="B10615" t="str">
            <v>38-701-01-07</v>
          </cell>
          <cell r="C10615" t="str">
            <v>REPOSITIONSZANGE, ROWE, RE., 21,5 CM</v>
          </cell>
          <cell r="D10615" t="str">
            <v>REPOSITION FORCEPS,  ROWE, R., 21.5 CM</v>
          </cell>
        </row>
        <row r="10616">
          <cell r="B10616" t="str">
            <v>38-701-02-07</v>
          </cell>
          <cell r="C10616" t="str">
            <v>REPOSITIONSZANGE, ROWE, RE., 24 CM</v>
          </cell>
          <cell r="D10616" t="str">
            <v>REPOSITION FORCEPS,  ROWE, R., 24 CM</v>
          </cell>
        </row>
        <row r="10617">
          <cell r="B10617" t="str">
            <v>38-701-03-07</v>
          </cell>
          <cell r="C10617" t="str">
            <v>REPOSITIONSZANGE, ROWE, RE., 24,5 CM</v>
          </cell>
          <cell r="D10617" t="str">
            <v>REPOSITION FORCEPS,  ROWE, R., 24.5 CM</v>
          </cell>
        </row>
        <row r="10618">
          <cell r="B10618" t="str">
            <v>38-701-67-07</v>
          </cell>
          <cell r="C10618" t="str">
            <v>Zygoma Elevatorium, Rowe, 26 cm</v>
          </cell>
          <cell r="D10618" t="str">
            <v>Zygoma Elevator,  Rowe, 26 cm</v>
          </cell>
        </row>
        <row r="10619">
          <cell r="B10619" t="str">
            <v>38-709-03-07</v>
          </cell>
          <cell r="C10619" t="str">
            <v>BYRD ZYGOMA  REDUKTIONSSCHRAUBE 1,8-3,5MM</v>
          </cell>
          <cell r="D10619" t="str">
            <v>BYRD ZYGOMA  REDUCTION SCREW 1,8-3,5 MM</v>
          </cell>
        </row>
        <row r="10620">
          <cell r="B10620" t="str">
            <v>38-711-01-01</v>
          </cell>
          <cell r="C10620" t="str">
            <v>MOBILISIERHAKEN, TESSIER, LI.</v>
          </cell>
          <cell r="D10620" t="str">
            <v>MAXILLARY MOBILIZER, TESSIER, LEFT</v>
          </cell>
        </row>
        <row r="10621">
          <cell r="B10621" t="str">
            <v>38-711-02-01</v>
          </cell>
          <cell r="C10621" t="str">
            <v>MOBILISIERHAKEN, TESSIER, RE.</v>
          </cell>
          <cell r="D10621" t="str">
            <v>MAXILLARY MOBILIZER, TESSIER, RIGHT</v>
          </cell>
        </row>
        <row r="10622">
          <cell r="B10622" t="str">
            <v>38-711-21-07</v>
          </cell>
          <cell r="C10622" t="str">
            <v>ZYGOMAELEVATORIUM, GILLIES, GEW., 25 CM</v>
          </cell>
          <cell r="D10622" t="str">
            <v>ZYGOMA  ELEVATOR,  GILLIES, ANG., 25 CM</v>
          </cell>
        </row>
        <row r="10623">
          <cell r="B10623" t="str">
            <v>38-713-21-07</v>
          </cell>
          <cell r="C10623" t="str">
            <v>ZYGOMAELEVATORIUM, DINGMANN, Ø 5 MM</v>
          </cell>
          <cell r="D10623" t="str">
            <v>ZYGOMA  ELEVATOR,  DINGMANN, Ø 5 MM</v>
          </cell>
        </row>
        <row r="10624">
          <cell r="B10624" t="str">
            <v>38-715-19-07</v>
          </cell>
          <cell r="C10624" t="str">
            <v>HAKEN, DINGMANN-WILK, SCHARF, 20 CM</v>
          </cell>
          <cell r="D10624" t="str">
            <v>HOOK, DINGMANN-WILK, SHARP, 20 CM</v>
          </cell>
        </row>
        <row r="10625">
          <cell r="B10625" t="str">
            <v>38-715-21-07</v>
          </cell>
          <cell r="C10625" t="str">
            <v>PLATTENLOCH-HAKEN, ECKELT, 20 CM</v>
          </cell>
          <cell r="D10625" t="str">
            <v>PLATE HOLDING  INSTRUMENT, ECKELT, 20 CM</v>
          </cell>
        </row>
        <row r="10626">
          <cell r="B10626" t="str">
            <v>38-715-22-07</v>
          </cell>
          <cell r="C10626" t="str">
            <v>Endo-Condyle Unit,Ramushaken,gewinkelt</v>
          </cell>
          <cell r="D10626" t="str">
            <v>Endo-Condyle Unit,ramus  retr.,angled</v>
          </cell>
        </row>
        <row r="10627">
          <cell r="B10627" t="str">
            <v>38-718-01-07</v>
          </cell>
          <cell r="C10627" t="str">
            <v>KNOCHENHALTEZANGE, JVS, LEICHT, 19 CM</v>
          </cell>
          <cell r="D10627" t="str">
            <v>BONE HOLDING  FORCEPS,  JVS, LIGHT, 19 CM</v>
          </cell>
        </row>
        <row r="10628">
          <cell r="B10628" t="str">
            <v>38-718-02-07</v>
          </cell>
          <cell r="C10628" t="str">
            <v>KNOCHENHALTEZANGE, JVS, KRÄFTIG,  18 CM</v>
          </cell>
          <cell r="D10628" t="str">
            <v>BONE HOLDING  FORCEPS,  JVS, STRONG,  18 CM</v>
          </cell>
        </row>
        <row r="10629">
          <cell r="B10629" t="str">
            <v>38-719-01-07</v>
          </cell>
          <cell r="C10629" t="str">
            <v>KNOCHENHALTEZANGE, KEEN, LI., 17,5 CM</v>
          </cell>
          <cell r="D10629" t="str">
            <v>BONE HOLDING  FORCEPS,  KEEN, L., 17.5 CM</v>
          </cell>
        </row>
        <row r="10630">
          <cell r="B10630" t="str">
            <v>38-719-02-07</v>
          </cell>
          <cell r="C10630" t="str">
            <v>KNOCHENHALTEZANGE, KEEN, RE., 17,5 CM</v>
          </cell>
          <cell r="D10630" t="str">
            <v>BONE HOLDING  FORCEPS,  KEEN, R., 17.5 CM</v>
          </cell>
        </row>
        <row r="10631">
          <cell r="B10631" t="str">
            <v>38-720-01-07</v>
          </cell>
          <cell r="C10631" t="str">
            <v>KNOCHENHALTEZANGE, STEINH., GER., 13,5CM</v>
          </cell>
          <cell r="D10631" t="str">
            <v>BONE HOLD. FORCEPS,  STEINH., STR., 13,5C</v>
          </cell>
        </row>
        <row r="10632">
          <cell r="B10632" t="str">
            <v>38-720-02-07</v>
          </cell>
          <cell r="C10632" t="str">
            <v>KNOCHENHALTEZANGE, STEINH., GEW., 12,5CM</v>
          </cell>
          <cell r="D10632" t="str">
            <v>BONE HOLD. FORCEPS,  STEINH., ANG., 12,5C</v>
          </cell>
        </row>
        <row r="10633">
          <cell r="B10633" t="str">
            <v>38-722-25-07</v>
          </cell>
          <cell r="C10633" t="str">
            <v>KNOCHENHALTEZANGE, WOLFORD,  25 CM</v>
          </cell>
          <cell r="D10633" t="str">
            <v>BONE HOLDING  FORCEPS,  WOLFORD,  25 CM</v>
          </cell>
        </row>
        <row r="10634">
          <cell r="B10634" t="str">
            <v>38-723-16-07</v>
          </cell>
          <cell r="C10634" t="str">
            <v>KNOCHENHALTEZANGE, SALYER, 16,5 CM</v>
          </cell>
          <cell r="D10634" t="str">
            <v>BONE HOLDING  FORCEPS,  SALYER, 16.5 CM</v>
          </cell>
        </row>
        <row r="10635">
          <cell r="B10635" t="str">
            <v>38-725-01-07</v>
          </cell>
          <cell r="C10635" t="str">
            <v>RETRAKTOR,POST., DUNN-DAUTREY, 6,5X50 MM</v>
          </cell>
          <cell r="D10635" t="str">
            <v>RETRACTOR,POST., DUNN-DAUTREY, 6.5X50 MM</v>
          </cell>
        </row>
        <row r="10636">
          <cell r="B10636" t="str">
            <v>38-725-02-07</v>
          </cell>
          <cell r="C10636" t="str">
            <v>RETRAKTOR,ANTER., DUNN-DAUTREY,6,5X60 MM</v>
          </cell>
          <cell r="D10636" t="str">
            <v>RETRACTOR,ANTER., DUNN-DAUTREY,6.5X60 MM</v>
          </cell>
        </row>
        <row r="10637">
          <cell r="B10637" t="str">
            <v>38-725-03-07</v>
          </cell>
          <cell r="C10637" t="str">
            <v>RETRAKTOR,SUPERI.,DUNN-DAUTREY,8,0X50 MM</v>
          </cell>
          <cell r="D10637" t="str">
            <v>RETRACTOR,SUPERI.,DUNN-DAUTREY,8.0X50 MM</v>
          </cell>
        </row>
        <row r="10638">
          <cell r="B10638" t="str">
            <v>38-725-04-07</v>
          </cell>
          <cell r="C10638" t="str">
            <v>RETRAKTOR,SUPERI.,DUNN-DAUTREY,6,5X50 MM</v>
          </cell>
          <cell r="D10638" t="str">
            <v>RETRACTOR,SUPERI.,DUNN-DAUTREY,6.5X50 MM</v>
          </cell>
        </row>
        <row r="10639">
          <cell r="B10639" t="str">
            <v>38-731-12-07</v>
          </cell>
          <cell r="C10639" t="str">
            <v>TMJ-DISC-KLEMME, DOLWICK,  12,5 CM</v>
          </cell>
          <cell r="D10639" t="str">
            <v>TMJ-DISC  FORCEPS,  DOLWICK,  12.5 CM</v>
          </cell>
        </row>
        <row r="10640">
          <cell r="B10640" t="str">
            <v>38-733-13-07</v>
          </cell>
          <cell r="C10640" t="str">
            <v>TMJ-DISC-SCHERE, DOLWICK,  GEB., 13,5 CM</v>
          </cell>
          <cell r="D10640" t="str">
            <v>TMJ-DISC-SCISSORS, DOLWICK,  CVD., 13.5CM</v>
          </cell>
        </row>
        <row r="10641">
          <cell r="B10641" t="str">
            <v>38-737-17-07</v>
          </cell>
          <cell r="C10641" t="str">
            <v>TMJ-ELEVATORIUM, DOLW., ST. GEB., 17 CM</v>
          </cell>
          <cell r="D10641" t="str">
            <v>TMJ-ELEVATOR, DOLWICK,  STR. CVD., 17 CM</v>
          </cell>
        </row>
        <row r="10642">
          <cell r="B10642" t="str">
            <v>38-739-14-07</v>
          </cell>
          <cell r="C10642" t="str">
            <v>TMJ-KONDYLENHAKEN, DOLWICK,  14,5 CM</v>
          </cell>
          <cell r="D10642" t="str">
            <v>TMJ-CONDYLE RTERACTOR, DOLWICK,  14.5 CM</v>
          </cell>
        </row>
        <row r="10643">
          <cell r="B10643" t="str">
            <v>38-741-01-07</v>
          </cell>
          <cell r="C10643" t="str">
            <v>TMJ-RASPEL, DOLWICK,  HOHL, 4,5 MM, 15 CM</v>
          </cell>
          <cell r="D10643" t="str">
            <v>TMJ-RASP,  DOLWICK,  HOLLOW,  4.5 MM, 15 CM</v>
          </cell>
        </row>
        <row r="10644">
          <cell r="B10644" t="str">
            <v>38-741-02-07</v>
          </cell>
          <cell r="C10644" t="str">
            <v>TMJ-RASPEL, DOLW., FLACH, 4,5 MM, 15 CM</v>
          </cell>
          <cell r="D10644" t="str">
            <v>TMJ-RASP,  DOLWICK,  FLAT, 4.5 MM, 15 CM</v>
          </cell>
        </row>
        <row r="10645">
          <cell r="B10645" t="str">
            <v>38-741-03-07</v>
          </cell>
          <cell r="C10645" t="str">
            <v>TMJ-RASPEL, DOLWICK,  ST. GEB., 17,5 CM</v>
          </cell>
          <cell r="D10645" t="str">
            <v>TMJ-RASP,  DOLWICK,  STR. CVD., 17.5 CM</v>
          </cell>
        </row>
        <row r="10646">
          <cell r="B10646" t="str">
            <v>38-745-01-07</v>
          </cell>
          <cell r="C10646" t="str">
            <v>DOLWICK-TMJ-KLEMME, KLEIN, 16 CM</v>
          </cell>
          <cell r="D10646" t="str">
            <v>TMJ-FORCEPS, DOLWICK,  SMALL, 16 CM</v>
          </cell>
        </row>
        <row r="10647">
          <cell r="B10647" t="str">
            <v>38-745-02-07</v>
          </cell>
          <cell r="C10647" t="str">
            <v>TMJ-KLEMME, DOLWICK,  GROSS, 16,5 CM</v>
          </cell>
          <cell r="D10647" t="str">
            <v>TMJ-FORCEPS, DOLWICK,  LARGE, 16.5 CM</v>
          </cell>
        </row>
        <row r="10648">
          <cell r="B10648" t="str">
            <v>38-750-16-07</v>
          </cell>
          <cell r="C10648" t="str">
            <v>TMJ-SPREIZER, MOD. CHAMPY,  16 CM</v>
          </cell>
          <cell r="D10648" t="str">
            <v>TMJ-SPREADER, CHAMPY-TYPE, 16 CM</v>
          </cell>
        </row>
        <row r="10649">
          <cell r="B10649" t="str">
            <v>38-751-01-07</v>
          </cell>
          <cell r="C10649" t="str">
            <v>Retraktor  n. Wilkes, 26mm, links</v>
          </cell>
          <cell r="D10649" t="str">
            <v>Wilkes Retractor,  26mm, left</v>
          </cell>
        </row>
        <row r="10650">
          <cell r="B10650" t="str">
            <v>38-751-02-07</v>
          </cell>
          <cell r="C10650" t="str">
            <v>Retraktor  n. Wilkes, 26mm, rechts</v>
          </cell>
          <cell r="D10650" t="str">
            <v>Wilkes Retractor,  26mm, right</v>
          </cell>
        </row>
        <row r="10651">
          <cell r="B10651" t="str">
            <v>38-751-03-07</v>
          </cell>
          <cell r="C10651" t="str">
            <v>Retraktor  n. Wilkes, 26mm, gerade</v>
          </cell>
          <cell r="D10651" t="str">
            <v>Wilkes Retractor,  26mm, straight</v>
          </cell>
        </row>
        <row r="10652">
          <cell r="B10652" t="str">
            <v>38-780-00-07</v>
          </cell>
          <cell r="C10652" t="str">
            <v>OSTEOTOM, BAUER, 6 MM, GER., 20,5 CM</v>
          </cell>
          <cell r="D10652" t="str">
            <v>OSTEOTOME, BAUER, 6 MM, STR., 20.5 CM</v>
          </cell>
        </row>
        <row r="10653">
          <cell r="B10653" t="str">
            <v>38-780-01-07</v>
          </cell>
          <cell r="C10653" t="str">
            <v>OSTEOTOM, BAUER, 8 MM, GER., 20,5 CM</v>
          </cell>
          <cell r="D10653" t="str">
            <v>OSTEOTOME, BAUER, 8 MM, STR., 20.5 CM</v>
          </cell>
        </row>
        <row r="10654">
          <cell r="B10654" t="str">
            <v>38-781-00-07</v>
          </cell>
          <cell r="C10654" t="str">
            <v>OSTEOTOM, BAUER, 6 MM, ABGEB., 20,5 CM</v>
          </cell>
          <cell r="D10654" t="str">
            <v>OSTEOTOME, BAUER, 6 MM, CVD., 20.5 CM</v>
          </cell>
        </row>
        <row r="10655">
          <cell r="B10655" t="str">
            <v>38-781-01-07</v>
          </cell>
          <cell r="C10655" t="str">
            <v>OSTEOTOM, BAUER, 8 MM, ABGEB., 20,5 CM</v>
          </cell>
          <cell r="D10655" t="str">
            <v>OSTEOTOME, BAUER, 8 MM, CVD., 20.5 CM</v>
          </cell>
        </row>
        <row r="10656">
          <cell r="B10656" t="str">
            <v>38-783-01-07</v>
          </cell>
          <cell r="C10656" t="str">
            <v>OSTEOTOM, EPKER-B.,  8 MM, GEB., 17,5 CM</v>
          </cell>
          <cell r="D10656" t="str">
            <v>OSTEOTOME, EPKER-B.,  8 MM, CVD., 17.5 CM</v>
          </cell>
        </row>
        <row r="10657">
          <cell r="B10657" t="str">
            <v>38-786-04-07</v>
          </cell>
          <cell r="C10657" t="str">
            <v>OSTEOTOM, MUNRO-DAUTREY, 4 MM, 16 CM</v>
          </cell>
          <cell r="D10657" t="str">
            <v>OSTEOTOME, MUNRO-DAUTREY, 4 MM, 16 CM</v>
          </cell>
        </row>
        <row r="10658">
          <cell r="B10658" t="str">
            <v>38-786-06-07</v>
          </cell>
          <cell r="C10658" t="str">
            <v>OSTEOTOM, MUNRO-DAUTREY, 6 MM, 16 CM</v>
          </cell>
          <cell r="D10658" t="str">
            <v>OSTEOTOME, MUNRO-DAUTREY, 6 MM, 16 CM</v>
          </cell>
        </row>
        <row r="10659">
          <cell r="B10659" t="str">
            <v>38-786-08-07</v>
          </cell>
          <cell r="C10659" t="str">
            <v>OSTEOTOM, MUNRO-DAUTREY, 8 MM, 16 CM</v>
          </cell>
          <cell r="D10659" t="str">
            <v>OSTEOTOME, MUNRO-DAUTREY, 8 MM, 16 CM</v>
          </cell>
        </row>
        <row r="10660">
          <cell r="B10660" t="str">
            <v>38-786-10-07</v>
          </cell>
          <cell r="C10660" t="str">
            <v>OSTEOTOM, MUNRO-DAUTREY, 10 MM, 16 CM</v>
          </cell>
          <cell r="D10660" t="str">
            <v>OSTEOTOME, MUNRO-DAUTREY, 10 MM, 16 CM</v>
          </cell>
        </row>
        <row r="10661">
          <cell r="B10661" t="str">
            <v>38-786-12-07</v>
          </cell>
          <cell r="C10661" t="str">
            <v>OSTEOTOM, MUNRO-DAUTREY, 12 MM, 16 CM</v>
          </cell>
          <cell r="D10661" t="str">
            <v>OSTEOTOME, MUNRO-DAUTREY, 12 MM, 16 CM</v>
          </cell>
        </row>
        <row r="10662">
          <cell r="B10662" t="str">
            <v>38-786-14-07</v>
          </cell>
          <cell r="C10662" t="str">
            <v>OSTEOTOM, MUNRO-DAUTREY, 14 MM, 16 CM</v>
          </cell>
          <cell r="D10662" t="str">
            <v>OSTEOTOME, MUNRO-DAUTREY, 14 MM, 16 CM</v>
          </cell>
        </row>
        <row r="10663">
          <cell r="B10663" t="str">
            <v>38-786-16-07</v>
          </cell>
          <cell r="C10663" t="str">
            <v>OSTEOTOM, MUNRO-DAUTREY, 16 MM, 16 CM</v>
          </cell>
          <cell r="D10663" t="str">
            <v>OSTEOTOME, MUNRO-DAUTREY, 16 MM, 16 CM</v>
          </cell>
        </row>
        <row r="10664">
          <cell r="B10664" t="str">
            <v>38-790-04-07</v>
          </cell>
          <cell r="C10664" t="str">
            <v>OSTEOTOM, DUNN-DAUTREY, 4 MM, 16,5 CM</v>
          </cell>
          <cell r="D10664" t="str">
            <v>OSTEOTOME, DUNN-DAUTREY, 4 MM, 16.5 CM</v>
          </cell>
        </row>
        <row r="10665">
          <cell r="B10665" t="str">
            <v>38-790-06-07</v>
          </cell>
          <cell r="C10665" t="str">
            <v>OSTEOTOM, DUNN-DAUTREY, 6 MM, 17 CM</v>
          </cell>
          <cell r="D10665" t="str">
            <v>OSTEOTOME, DUNN-DAUTREY, 6 MM, 17 CM</v>
          </cell>
        </row>
        <row r="10666">
          <cell r="B10666" t="str">
            <v>38-790-08-07</v>
          </cell>
          <cell r="C10666" t="str">
            <v>OSTEOTOM, DUNN-DAUTREY, 8 MM, 17 CM</v>
          </cell>
          <cell r="D10666" t="str">
            <v>OSTEOTOME, DUNN-DAUTREY, 8 MM, 17 CM</v>
          </cell>
        </row>
        <row r="10667">
          <cell r="B10667" t="str">
            <v>38-791-01-07</v>
          </cell>
          <cell r="C10667" t="str">
            <v>OSTEOTOM, DUNN-DAUTR., 6 MM, GEB., 17 CM</v>
          </cell>
          <cell r="D10667" t="str">
            <v>OSTEOTOME, DUNN-DAUT., 6 MM, CVD., 17 CM</v>
          </cell>
        </row>
        <row r="10668">
          <cell r="B10668" t="str">
            <v>38-791-03-07</v>
          </cell>
          <cell r="C10668" t="str">
            <v>OSTEOTOM, DUNN-D.,  6 MM, ST. GEB., 17 CM</v>
          </cell>
          <cell r="D10668" t="str">
            <v>OSTEOTOME, DUNN-D.,  6 MM, ST. CVD., 17CM</v>
          </cell>
        </row>
        <row r="10669">
          <cell r="B10669" t="str">
            <v>38-793-03-07</v>
          </cell>
          <cell r="C10669" t="str">
            <v>OSTEOTOM, DUNN-D.,  8 MM, ST.GEB., 16,5CM</v>
          </cell>
          <cell r="D10669" t="str">
            <v>OSTEOTOME, DUNN-D.,  8 MM, ST.CVD.,16,5CM</v>
          </cell>
        </row>
        <row r="10670">
          <cell r="B10670" t="str">
            <v>38-796-04-07</v>
          </cell>
          <cell r="C10670" t="str">
            <v>OSTEOTOM, EPKER, 4 MM, GER., 18 CM</v>
          </cell>
          <cell r="D10670" t="str">
            <v>OSTEOTOME, EPKER, 4 MM, STR., 18 CM</v>
          </cell>
        </row>
        <row r="10671">
          <cell r="B10671" t="str">
            <v>38-796-06-07</v>
          </cell>
          <cell r="C10671" t="str">
            <v>OSTEOTOM, EPKER, 6 MM, GER., 18 CM</v>
          </cell>
          <cell r="D10671" t="str">
            <v>OSTEOTOME, EPKER, 6 MM, STR., 18 CM</v>
          </cell>
        </row>
        <row r="10672">
          <cell r="B10672" t="str">
            <v>38-796-08-07</v>
          </cell>
          <cell r="C10672" t="str">
            <v>OSTEOTOM, EPKER, 8 MM, GER., 18 CM</v>
          </cell>
          <cell r="D10672" t="str">
            <v>OSTEOTOME, EPKER, 8 MM, STR., 18 CM</v>
          </cell>
        </row>
        <row r="10673">
          <cell r="B10673" t="str">
            <v>38-797-04-07</v>
          </cell>
          <cell r="C10673" t="str">
            <v>OSTEOTOM, EPKER, 4 MM, GEB., 18 CM</v>
          </cell>
          <cell r="D10673" t="str">
            <v>OSTEOTOME, EPKER, 4 MM, CVD., 18 CM</v>
          </cell>
        </row>
        <row r="10674">
          <cell r="B10674" t="str">
            <v>38-797-06-07</v>
          </cell>
          <cell r="C10674" t="str">
            <v>OSTEOTOM, EPKER, 6 MM, GEB., 18 CM</v>
          </cell>
          <cell r="D10674" t="str">
            <v>OSTEOTOME, EPKER, 6 MM, CVD., 18 CM</v>
          </cell>
        </row>
        <row r="10675">
          <cell r="B10675" t="str">
            <v>38-799-06-07</v>
          </cell>
          <cell r="C10675" t="str">
            <v>OSTEOTOM, EPKER, 6 MM, ST. GEB., 18 CM</v>
          </cell>
          <cell r="D10675" t="str">
            <v>OSTEOTOME, EPKER, 6 MM, STR. CVD., 18 CM</v>
          </cell>
        </row>
        <row r="10676">
          <cell r="B10676" t="str">
            <v>38-799-08-07</v>
          </cell>
          <cell r="C10676" t="str">
            <v>OSTEOTOM, EPKER, 8 MM, ST. GEB., 18 CM</v>
          </cell>
          <cell r="D10676" t="str">
            <v>OSTEOTOME, EPKER, 8 MM, STR. CVD., 18 CM</v>
          </cell>
        </row>
        <row r="10677">
          <cell r="B10677" t="str">
            <v>38-800-04-07</v>
          </cell>
          <cell r="C10677" t="str">
            <v>KNOCHENMEIßEL, DR.IGLHAUT, 5 MM, M.GRAD.</v>
          </cell>
          <cell r="D10677" t="str">
            <v>BONE CHISEL,DR.  IGLHAUT,5MM W. GRAD.</v>
          </cell>
        </row>
        <row r="10678">
          <cell r="B10678" t="str">
            <v>38-800-05-07</v>
          </cell>
          <cell r="C10678" t="str">
            <v>KNOCHENMEIßEL, DR.IGLHAUT, 5 MM, O.GRAD.</v>
          </cell>
          <cell r="D10678" t="str">
            <v>BONE CHISEL,DR.  IGLHAUT,5MM W/O. GRAD.</v>
          </cell>
        </row>
        <row r="10679">
          <cell r="B10679" t="str">
            <v>38-810-00-07</v>
          </cell>
          <cell r="C10679" t="str">
            <v>Spatel-Osteotom, Urata, 4 mm</v>
          </cell>
          <cell r="D10679" t="str">
            <v>OSTEOTOME, SPATULA,  URATA, 4 MM TIP, 15</v>
          </cell>
        </row>
        <row r="10680">
          <cell r="B10680" t="str">
            <v>38-810-01-07</v>
          </cell>
          <cell r="C10680" t="str">
            <v>Spatel-Osteotom, Urata, 3,7 mm, 15 cm</v>
          </cell>
          <cell r="D10680" t="str">
            <v>Spatula Osteotome, Urata, 3.7 mm, 15 cm</v>
          </cell>
        </row>
        <row r="10681">
          <cell r="B10681" t="str">
            <v>38-810-02-07</v>
          </cell>
          <cell r="C10681" t="str">
            <v>Spatel-Osteotom, MARTINI,  4,5 mm, 15 cm</v>
          </cell>
          <cell r="D10681" t="str">
            <v>OSTEOTOME, SPATULA,  MARTINI,  4.5 MM TIP,</v>
          </cell>
        </row>
        <row r="10682">
          <cell r="B10682" t="str">
            <v>38-810-03-07</v>
          </cell>
          <cell r="C10682" t="str">
            <v>Spatel-Osteotom, MARTINI,  7 mm, 15 cm</v>
          </cell>
          <cell r="D10682" t="str">
            <v>OSTEOTOME, SPATULA,  MARTINI,  7 MM TIP, 1</v>
          </cell>
        </row>
        <row r="10683">
          <cell r="B10683" t="str">
            <v>38-829-00-07</v>
          </cell>
          <cell r="C10683" t="str">
            <v>LIPPEN- U. WANGENHALTER, HARGIS, 16 CM</v>
          </cell>
          <cell r="D10683" t="str">
            <v>LIP &amp; CHEEK RETRACTOR, HARGIS, 16 CM</v>
          </cell>
        </row>
        <row r="10684">
          <cell r="B10684" t="str">
            <v>38-831-01-07</v>
          </cell>
          <cell r="C10684" t="str">
            <v>RAMUSHAKEN, HARGIS, LI., 19,5 CM</v>
          </cell>
          <cell r="D10684" t="str">
            <v>RAMUS RETRACTOR, HARGIS, LEFT, 19.5 CM</v>
          </cell>
        </row>
        <row r="10685">
          <cell r="B10685" t="str">
            <v>38-831-02-07</v>
          </cell>
          <cell r="C10685" t="str">
            <v>RAMUSHAKEN, HARGIS, RE., 19,5 CM</v>
          </cell>
          <cell r="D10685" t="str">
            <v>RAMUS RETRACTOR, HARGIS, RIGHT, 19.5 CM</v>
          </cell>
        </row>
        <row r="10686">
          <cell r="B10686" t="str">
            <v>38-833-18-07</v>
          </cell>
          <cell r="C10686" t="str">
            <v>UNTERKIEFERHAKEN, HARGIS, GEB., 17,5 CM</v>
          </cell>
          <cell r="D10686" t="str">
            <v>MANDIB.  RETRACTOR, HARGIS, CVD., 17.5 CM</v>
          </cell>
        </row>
        <row r="10687">
          <cell r="B10687" t="str">
            <v>38-835-19-07</v>
          </cell>
          <cell r="C10687" t="str">
            <v>VORDERRANDSTRIPPER, HARGIS, 18,5 CM</v>
          </cell>
          <cell r="D10687" t="str">
            <v>ANTER. BORDER STRIPPER,  HARGIS, 18.5 CM</v>
          </cell>
        </row>
        <row r="10688">
          <cell r="B10688" t="str">
            <v>38-837-01-07</v>
          </cell>
          <cell r="C10688" t="str">
            <v>STRIPPER,  HARGIS, 6,5 MM, RE., 23,5 CM</v>
          </cell>
          <cell r="D10688" t="str">
            <v>STRIPPER,  HARGIS, 6.5 MM, RIGHT, 23.5 CM</v>
          </cell>
        </row>
        <row r="10689">
          <cell r="B10689" t="str">
            <v>38-837-02-07</v>
          </cell>
          <cell r="C10689" t="str">
            <v>STRIPPER,  HARGIS, 9,0 MM, RE., 24 CM</v>
          </cell>
          <cell r="D10689" t="str">
            <v>STRIPPER,  HARGIS, 9.0 MM, RIGHT, 24 CM</v>
          </cell>
        </row>
        <row r="10690">
          <cell r="B10690" t="str">
            <v>38-837-03-07</v>
          </cell>
          <cell r="C10690" t="str">
            <v>STRIPPER,  HARGIS, 6,5 MM, LI., 23,5 CM</v>
          </cell>
          <cell r="D10690" t="str">
            <v>STRIPPER,  HARGIS, 6.5 MM, LEFT, 23.5 CM</v>
          </cell>
        </row>
        <row r="10691">
          <cell r="B10691" t="str">
            <v>38-837-04-07</v>
          </cell>
          <cell r="C10691" t="str">
            <v>STRIPPER,  HARGIS, 9,0 MM, LI., 23 CM</v>
          </cell>
          <cell r="D10691" t="str">
            <v>STRIPPER,  HARGIS, 9.0 MM, LEFT, 23 CM</v>
          </cell>
        </row>
        <row r="10692">
          <cell r="B10692" t="str">
            <v>38-839-18-07</v>
          </cell>
          <cell r="C10692" t="str">
            <v>PIRIFORMIS-HAKEN, HARGIS, 18,5 CM</v>
          </cell>
          <cell r="D10692" t="str">
            <v>PIRIFORM  RIM RETRACTOR, HARGIS, 18.5 CM</v>
          </cell>
        </row>
        <row r="10693">
          <cell r="B10693" t="str">
            <v>38-841-22-07</v>
          </cell>
          <cell r="C10693" t="str">
            <v>PTERYGOID-OSTEOTOM, HARGIS, GEB., 22 CM</v>
          </cell>
          <cell r="D10693" t="str">
            <v>PTERYGOID-OSTEOTOME, HARGIS, CVD., 22 CM</v>
          </cell>
        </row>
        <row r="10694">
          <cell r="B10694" t="str">
            <v>38-843-19-07</v>
          </cell>
          <cell r="C10694" t="str">
            <v>FASSKLEMME, HARGIS, M. KETTE, 19 CM</v>
          </cell>
          <cell r="D10694" t="str">
            <v>CORONOID RETR., HARGIS, W. CHAIN, 19 CM</v>
          </cell>
        </row>
        <row r="10695">
          <cell r="B10695" t="str">
            <v>38-845-01-07</v>
          </cell>
          <cell r="C10695" t="str">
            <v>MOBILISIERHAKEN, SMITH, RE., 18,5 CM</v>
          </cell>
          <cell r="D10695" t="str">
            <v>SEPARATOR, SMITH, RIGHT, 18.5 CM</v>
          </cell>
        </row>
        <row r="10696">
          <cell r="B10696" t="str">
            <v>38-845-02-07</v>
          </cell>
          <cell r="C10696" t="str">
            <v>MOBILISIERHAKEN, SMITH, LI., 18,5 CM</v>
          </cell>
          <cell r="D10696" t="str">
            <v>SEPARATOR, SMITH, LEFT, 18.5 CM</v>
          </cell>
        </row>
        <row r="10697">
          <cell r="B10697" t="str">
            <v>38-846-20-07</v>
          </cell>
          <cell r="C10697" t="str">
            <v>RAMUSSPREIZZANGE, SMITH, 23,5 CM</v>
          </cell>
          <cell r="D10697" t="str">
            <v>RAMUS SEPARATOR, SMITH, 23.5 CM</v>
          </cell>
        </row>
        <row r="10698">
          <cell r="B10698" t="str">
            <v>38-848-20-07</v>
          </cell>
          <cell r="C10698" t="str">
            <v>Ramusspreizzange Smith, m. Sperre 23,5cm</v>
          </cell>
          <cell r="D10698" t="str">
            <v>Ramus Separator  Smith w. ratchet, 23.5cm</v>
          </cell>
        </row>
        <row r="10699">
          <cell r="B10699" t="str">
            <v>38-850-01-07</v>
          </cell>
          <cell r="C10699" t="str">
            <v>ATR.-MUSKELKLEMME, TERRY, LI., 17 CM</v>
          </cell>
          <cell r="D10699" t="str">
            <v>ATR. MUSCLE FORCEPS,  TERRY, LEFT, 17 CM</v>
          </cell>
        </row>
        <row r="10700">
          <cell r="B10700" t="str">
            <v>38-850-02-07</v>
          </cell>
          <cell r="C10700" t="str">
            <v>ATR.-MUSKELKLEMME, TERRY, RE., 17 CM</v>
          </cell>
          <cell r="D10700" t="str">
            <v>ATR. MUSCLE FORCEPS,  TERRY, RIGHT, 17 CM</v>
          </cell>
        </row>
        <row r="10701">
          <cell r="B10701" t="str">
            <v>38-851-16-07</v>
          </cell>
          <cell r="C10701" t="str">
            <v>UNTERKIEFERRETRAKTOR, TERRY, 16,5 CM</v>
          </cell>
          <cell r="D10701" t="str">
            <v>CHANNEL  RETRACTOR, TERRY, 16.5 CM</v>
          </cell>
        </row>
        <row r="10702">
          <cell r="B10702" t="str">
            <v>38-853-24-07</v>
          </cell>
          <cell r="C10702" t="str">
            <v>RAMUSSCHIEBER, TERRY, 24 CM</v>
          </cell>
          <cell r="D10702" t="str">
            <v>RAMUS PUSHER, TERRY, 24 CM</v>
          </cell>
        </row>
        <row r="10703">
          <cell r="B10703" t="str">
            <v>38-855-17-07</v>
          </cell>
          <cell r="C10703" t="str">
            <v>DRAHTEINFÜHRINSTRUMENT, TERRY, 17 CM</v>
          </cell>
          <cell r="D10703" t="str">
            <v>WIRE INTRODUCER, TERRY, 17 CM</v>
          </cell>
        </row>
        <row r="10704">
          <cell r="B10704" t="str">
            <v>38-856-19-07</v>
          </cell>
          <cell r="C10704" t="str">
            <v>SEPTUMOSTEOTOM, TERRY, 19 CM</v>
          </cell>
          <cell r="D10704" t="str">
            <v>SEPTUM OSTEOTOME, TERRY, 19 CM</v>
          </cell>
        </row>
        <row r="10705">
          <cell r="B10705" t="str">
            <v>38-870-17-07</v>
          </cell>
          <cell r="C10705" t="str">
            <v>PALATUMSPREIZER, TURVEY, 17 CM</v>
          </cell>
          <cell r="D10705" t="str">
            <v>PALATAL  EXPANDER, TURVEY, 17 CM</v>
          </cell>
        </row>
        <row r="10706">
          <cell r="B10706" t="str">
            <v>38-875-18-07</v>
          </cell>
          <cell r="C10706" t="str">
            <v>ELEVATORIUM, STEINH., ST. GEB., 18,5 CM</v>
          </cell>
          <cell r="D10706" t="str">
            <v>ELEVATOR,  STEINH., STR. CVD., 18.5 CM</v>
          </cell>
        </row>
        <row r="10707">
          <cell r="B10707" t="str">
            <v>38-877-00-07</v>
          </cell>
          <cell r="C10707" t="str">
            <v>PROGENIERINNE, STEINHÄUSER, 27 CM</v>
          </cell>
          <cell r="D10707" t="str">
            <v>CHANNEL  RETRACTOR, STEINHAEUSER, 27 CM</v>
          </cell>
        </row>
        <row r="10708">
          <cell r="B10708" t="str">
            <v>38-878-01-07</v>
          </cell>
          <cell r="C10708" t="str">
            <v>RAMUSKLEMME, STEINHÄUSER, RE., 16 CM</v>
          </cell>
          <cell r="D10708" t="str">
            <v>RAMUS FORCEPS,  STEINHAEUSER, L., 16 CM</v>
          </cell>
        </row>
        <row r="10709">
          <cell r="B10709" t="str">
            <v>38-878-02-07</v>
          </cell>
          <cell r="C10709" t="str">
            <v>RAMUSKLEMME, STEINHÄUSER, LI., 16 CM</v>
          </cell>
          <cell r="D10709" t="str">
            <v>RAMUS FORCEPS,  STEINHAEUSER, R., 16 CM</v>
          </cell>
        </row>
        <row r="10710">
          <cell r="B10710" t="str">
            <v>38-881-07-07</v>
          </cell>
          <cell r="C10710" t="str">
            <v>RAMUSOSTEOTOM, STEINHÄUSER, 7 MM, 17 CM</v>
          </cell>
          <cell r="D10710" t="str">
            <v>RAMUS OSTEOTOME, STEINH., 7 MM, 17 CM</v>
          </cell>
        </row>
        <row r="10711">
          <cell r="B10711" t="str">
            <v>38-881-10-07</v>
          </cell>
          <cell r="C10711" t="str">
            <v>RAMUSOSTEOTOM, STEINHÄUS., 10 MM, 17 CM</v>
          </cell>
          <cell r="D10711" t="str">
            <v>RAMUS OSTEOTOME, STEINH., 10 MM, 17 CM</v>
          </cell>
        </row>
        <row r="10712">
          <cell r="B10712" t="str">
            <v>38-883-07-07</v>
          </cell>
          <cell r="C10712" t="str">
            <v>MEISSEL,  STEINHÄUSER, 7 MM, 19 CM</v>
          </cell>
          <cell r="D10712" t="str">
            <v>CHISEL, STEINHAEUSER, 7 MM, 19 CM</v>
          </cell>
        </row>
        <row r="10713">
          <cell r="B10713" t="str">
            <v>38-883-11-07</v>
          </cell>
          <cell r="C10713" t="str">
            <v>MEISSEL,  STEINHÄUSER, 11 MM, 19 CM</v>
          </cell>
          <cell r="D10713" t="str">
            <v>CHISEL, STEINHAEUSER, 11 MM, 19 CM</v>
          </cell>
        </row>
        <row r="10714">
          <cell r="B10714" t="str">
            <v>38-883-15-07</v>
          </cell>
          <cell r="C10714" t="str">
            <v>MEISSEL,  STEINHÄUSER, 15 MM, 19 CM</v>
          </cell>
          <cell r="D10714" t="str">
            <v>CHISEL, STEINHAEUSER, 15 MM, 19 CM</v>
          </cell>
        </row>
        <row r="10715">
          <cell r="B10715" t="str">
            <v>38-885-18-07</v>
          </cell>
          <cell r="C10715" t="str">
            <v>REPOSTIONSINSTRUMENT, STEINHÄUSER, 18 CM</v>
          </cell>
          <cell r="D10715" t="str">
            <v>REPOSTION FORCEPS,  STEINHAEUSER, 18 CM</v>
          </cell>
        </row>
        <row r="10716">
          <cell r="B10716" t="str">
            <v>38-893-16-07</v>
          </cell>
          <cell r="C10716" t="str">
            <v>ORBITAELEVATORIUM, 4 MM, 17 CM</v>
          </cell>
          <cell r="D10716" t="str">
            <v>ORBITA ELEVATOR,  4 MM, 17 CM</v>
          </cell>
        </row>
        <row r="10717">
          <cell r="B10717" t="str">
            <v>38-895-05-07</v>
          </cell>
          <cell r="C10717" t="str">
            <v>ORBITAOSTEOTOM, STEINHÄUS., 5 MM, 18 CM</v>
          </cell>
          <cell r="D10717" t="str">
            <v>ORBITAL OSTEOTOME, STEINH., 5 MM, 18 CM</v>
          </cell>
        </row>
        <row r="10718">
          <cell r="B10718" t="str">
            <v>38-895-08-07</v>
          </cell>
          <cell r="C10718" t="str">
            <v>ORBITAOSTEOTOM, STEINHÄUS., 8 MM, 18 CM</v>
          </cell>
          <cell r="D10718" t="str">
            <v>ORBITAL OSTEOTOME, STEINH., 8 MM, 18 CM</v>
          </cell>
        </row>
        <row r="10719">
          <cell r="B10719" t="str">
            <v>38-899-06-07</v>
          </cell>
          <cell r="C10719" t="str">
            <v>OSTEOTOM, WOLFORD,  GEW., 6 MM, 21,5 CM</v>
          </cell>
          <cell r="D10719" t="str">
            <v>OSTEOTOME, WOLFORD,  ANG., 6 MM, 21.5 CM</v>
          </cell>
        </row>
        <row r="10720">
          <cell r="B10720" t="str">
            <v>38-899-08-07</v>
          </cell>
          <cell r="C10720" t="str">
            <v>OSTEOTOM, WOLFORD,  GEW., 8 MM, 21,5 CM</v>
          </cell>
          <cell r="D10720" t="str">
            <v>OSTEOTOME, WOLFORD,  ANG., 8 MM, 21.5 CM</v>
          </cell>
        </row>
        <row r="10721">
          <cell r="B10721" t="str">
            <v>39-001-18-07</v>
          </cell>
          <cell r="C10721" t="str">
            <v>GAUMENSPALTENHAKEN, KURZ, 18 CM</v>
          </cell>
          <cell r="D10721" t="str">
            <v>CLEFT PALATE RETRACTOR, SHORT, 18 CM</v>
          </cell>
        </row>
        <row r="10722">
          <cell r="B10722" t="str">
            <v>39-003-18-07</v>
          </cell>
          <cell r="C10722" t="str">
            <v>GAUMENSPALTENHAKEN, LANG, 18 CM</v>
          </cell>
          <cell r="D10722" t="str">
            <v>CLEFT PALATE RETRACTOR, LONG, 18 CM</v>
          </cell>
        </row>
        <row r="10723">
          <cell r="B10723" t="str">
            <v>39-011-18-07</v>
          </cell>
          <cell r="C10723" t="str">
            <v>DISSEKTOR, SALYER, GEW., KURZ, 18 CM</v>
          </cell>
          <cell r="D10723" t="str">
            <v>DISSECTOR, SALYER, ANG., SHORT, 18 CM</v>
          </cell>
        </row>
        <row r="10724">
          <cell r="B10724" t="str">
            <v>39-013-18-07</v>
          </cell>
          <cell r="C10724" t="str">
            <v>DISSEKTOR, SALYER, GEW., LANG, 18 CM</v>
          </cell>
          <cell r="D10724" t="str">
            <v>DISSECTOR, SALYER, ANG., LONG, 18 CM</v>
          </cell>
        </row>
        <row r="10725">
          <cell r="B10725" t="str">
            <v>39-021-18-07</v>
          </cell>
          <cell r="C10725" t="str">
            <v>ELEVATORIUM, SALYER, LEICHT GEB., 18 CM</v>
          </cell>
          <cell r="D10725" t="str">
            <v>ELEVATOR,  SALYER, SLIGHT CVD., 18 CM</v>
          </cell>
        </row>
        <row r="10726">
          <cell r="B10726" t="str">
            <v>39-023-18-07</v>
          </cell>
          <cell r="C10726" t="str">
            <v>ELEVATORIUM, SALYER, ST. GEB., 18 CM</v>
          </cell>
          <cell r="D10726" t="str">
            <v>ELEVATOR,  SALYER, STRONG CVD., 18 CM</v>
          </cell>
        </row>
        <row r="10727">
          <cell r="B10727" t="str">
            <v>39-027-18-07</v>
          </cell>
          <cell r="C10727" t="str">
            <v>ELEVATORIUM, SALYER, GEW., GRAD., 18 CM</v>
          </cell>
          <cell r="D10727" t="str">
            <v>ELEVATOR,  SALYER, ANGLED,  GRADU., 18 CM</v>
          </cell>
        </row>
        <row r="10728">
          <cell r="B10728" t="str">
            <v>39-100-17-07</v>
          </cell>
          <cell r="C10728" t="str">
            <v>GAUMENSPALTENRASPATORIUM, JABOMA,  17 CM</v>
          </cell>
          <cell r="D10728" t="str">
            <v>CLEFT PALATE RASPATORY, JABOMA,  17 CM</v>
          </cell>
        </row>
        <row r="10729">
          <cell r="B10729" t="str">
            <v>39-101-18-07</v>
          </cell>
          <cell r="C10729" t="str">
            <v>GAUMENRASPATORIUM, LI. GEB., 4 MM, 14 CM</v>
          </cell>
          <cell r="D10729" t="str">
            <v>PALATAL  RASPATORY, CVD. L., 4 MM, 14 CM</v>
          </cell>
        </row>
        <row r="10730">
          <cell r="B10730" t="str">
            <v>39-102-18-07</v>
          </cell>
          <cell r="C10730" t="str">
            <v>GAUMENRASPATORIUM, RE. GEB., 4 MM, 14 CM</v>
          </cell>
          <cell r="D10730" t="str">
            <v>PALATAL  RASPATORY, CVD. R., 4 MM, 14 CM</v>
          </cell>
        </row>
        <row r="10731">
          <cell r="B10731" t="str">
            <v>39-137-21-07</v>
          </cell>
          <cell r="C10731" t="str">
            <v>GAUMENNADEL, HURD, RE., 20,5 CM</v>
          </cell>
          <cell r="D10731" t="str">
            <v>PALATAL  NEEDLE, HURD, RIGHT, 20.5 CM</v>
          </cell>
        </row>
        <row r="10732">
          <cell r="B10732" t="str">
            <v>39-139-21-07</v>
          </cell>
          <cell r="C10732" t="str">
            <v>GAUMENNADEL, HURD, LI., 20,5 CM</v>
          </cell>
          <cell r="D10732" t="str">
            <v>PALATAL  NEEDLE, HURD, LEFT, 20.5 CM</v>
          </cell>
        </row>
        <row r="10733">
          <cell r="B10733" t="str">
            <v>39-220-22-07</v>
          </cell>
          <cell r="C10733" t="str">
            <v>TONSILLENMESSER, FISHER, 22,5 CM</v>
          </cell>
          <cell r="D10733" t="str">
            <v>TONSIL KNIFE, FISHER, 22.5 CM</v>
          </cell>
        </row>
        <row r="10734">
          <cell r="B10734" t="str">
            <v>39-228-23-07</v>
          </cell>
          <cell r="C10734" t="str">
            <v>TONSILLENMESSER, BRÜNINGS, 23 CM</v>
          </cell>
          <cell r="D10734" t="str">
            <v>TONSIL KNIFE, BRUENINGS, 23 CM</v>
          </cell>
        </row>
        <row r="10735">
          <cell r="B10735" t="str">
            <v>39-281-22-07</v>
          </cell>
          <cell r="C10735" t="str">
            <v>DISSEKTOR  U. RETRAKTOR, HURD, 22,5 CM</v>
          </cell>
          <cell r="D10735" t="str">
            <v>DISSECTOR  &amp; RETRACTOR, HURD, 22.5 CM</v>
          </cell>
        </row>
        <row r="10736">
          <cell r="B10736" t="str">
            <v>39-289-23-07</v>
          </cell>
          <cell r="C10736" t="str">
            <v>Elevatorium, Henke, 11,5X5 MM, 23,5 CM</v>
          </cell>
          <cell r="D10736" t="str">
            <v>Elevator,  Henke, 11.5X5 MM, 23.5 CM</v>
          </cell>
        </row>
        <row r="10737">
          <cell r="B10737" t="str">
            <v>39-291-23-07</v>
          </cell>
          <cell r="C10737" t="str">
            <v>Elevatorium, Henke, 16,5X5 MM, 23,5 CM</v>
          </cell>
          <cell r="D10737" t="str">
            <v>Elevator,  Henke 16.5X5 MM, 23.5 CM</v>
          </cell>
        </row>
        <row r="10738">
          <cell r="B10738" t="str">
            <v>39-311-19-07</v>
          </cell>
          <cell r="C10738" t="str">
            <v>TAMPONADENSTOPFER, LUNIAT., 3 MM, 17,5CM</v>
          </cell>
          <cell r="D10738" t="str">
            <v>GAUZE PACKER, LUNIATSCHEK, 3 MM, 17.5 CM</v>
          </cell>
        </row>
        <row r="10739">
          <cell r="B10739" t="str">
            <v>39-311-20-07</v>
          </cell>
          <cell r="C10739" t="str">
            <v>TAMPONADENSTOPFER, LUNIAT., 2 MM, 17,5CM</v>
          </cell>
          <cell r="D10739" t="str">
            <v>GAUZE PACKER, LUNIATSCHEK, 2 MM, 17.5 CM</v>
          </cell>
        </row>
        <row r="10740">
          <cell r="B10740" t="str">
            <v>39-419-18-07</v>
          </cell>
          <cell r="C10740" t="str">
            <v>TONSILLENFASSZANGE, WHITE, GEB., 18 CM</v>
          </cell>
          <cell r="D10740" t="str">
            <v>TONSIL SEIZ. FORCEPS,  WHITE, CVD., 18 CM</v>
          </cell>
        </row>
        <row r="10741">
          <cell r="B10741" t="str">
            <v>39-423-20-07</v>
          </cell>
          <cell r="C10741" t="str">
            <v>TONSILLENZANGE, BLOHMKE,  2X3 Z., 20 CM</v>
          </cell>
          <cell r="D10741" t="str">
            <v>TONSIL FORCEPS,  BLOHMKE,  1X2 T., 20 CM</v>
          </cell>
        </row>
        <row r="10742">
          <cell r="B10742" t="str">
            <v>39-443-19-07</v>
          </cell>
          <cell r="C10742" t="str">
            <v>TONSILLENKLEMME, SCHNIDT,  GEB., 19 CM</v>
          </cell>
          <cell r="D10742" t="str">
            <v>TONSIL FORCEPS,  SCHNIDT,  CVD., 19 CM</v>
          </cell>
        </row>
        <row r="10743">
          <cell r="B10743" t="str">
            <v>39-445-19-07</v>
          </cell>
          <cell r="C10743" t="str">
            <v>TONSILLENKLEMME, SCHNIDT,  GEB., 18,5 CM</v>
          </cell>
          <cell r="D10743" t="str">
            <v>TONSIL FORCEPS,  SCHNIDT,  CVD., 18.5 CM</v>
          </cell>
        </row>
        <row r="10744">
          <cell r="B10744" t="str">
            <v>39-447-19-07</v>
          </cell>
          <cell r="C10744" t="str">
            <v>TONSILLENKLEMME, SCHNIDT,  GEB., 19 CM</v>
          </cell>
          <cell r="D10744" t="str">
            <v>TONSIL FORCEPS,  SCHNIDT,  CVD., 19 CM</v>
          </cell>
        </row>
        <row r="10745">
          <cell r="B10745" t="str">
            <v>39-449-19-07</v>
          </cell>
          <cell r="C10745" t="str">
            <v>TONSILLENKLEMME, SCHNIDT,  GEB., 18,5 CM</v>
          </cell>
          <cell r="D10745" t="str">
            <v>TONSIL FORCEPS,  SCHNIDT,  CVD., 18.5 CM</v>
          </cell>
        </row>
        <row r="10746">
          <cell r="B10746" t="str">
            <v>39-500-28-07</v>
          </cell>
          <cell r="C10746" t="str">
            <v>TONSILLENSCHNÜRER, EVE, O. RASTE, 28,5CM</v>
          </cell>
          <cell r="D10746" t="str">
            <v>TONSIL SNARE, EVE, W/O RATCHET,  28.5CM</v>
          </cell>
        </row>
        <row r="10747">
          <cell r="B10747" t="str">
            <v>39-502-28-07</v>
          </cell>
          <cell r="C10747" t="str">
            <v>TONSILLENSCHNÜRER, EVE, M. RASTE, 28,5CM</v>
          </cell>
          <cell r="D10747" t="str">
            <v>TONSIL SNARE, EVE, W. RATCHET,  28.5CM</v>
          </cell>
        </row>
        <row r="10748">
          <cell r="B10748" t="str">
            <v>39-506-28-07</v>
          </cell>
          <cell r="C10748" t="str">
            <v>TONSILLENSCHNÜRER, BRÜNINGS, 29 CM</v>
          </cell>
          <cell r="D10748" t="str">
            <v>TONSIL SNARE, BRUENINGS, 29 CM</v>
          </cell>
        </row>
        <row r="10749">
          <cell r="B10749" t="str">
            <v>39-511-40-07</v>
          </cell>
          <cell r="C10749" t="str">
            <v>SCHLINGE  F. TONSILLENSCHNÜRER, 40X0,3 MM</v>
          </cell>
          <cell r="D10749" t="str">
            <v>SNARE LOOP F. TONSILS,  40X0.3 MM</v>
          </cell>
        </row>
        <row r="10750">
          <cell r="B10750" t="str">
            <v>39-511-50-07</v>
          </cell>
          <cell r="C10750" t="str">
            <v>SCHLINGE  F. TONSILLENSCHNÜRER, 50X0,3 MM</v>
          </cell>
          <cell r="D10750" t="str">
            <v>SNARE LOOP F. TONSILS,  50X0.3 MM</v>
          </cell>
        </row>
        <row r="10751">
          <cell r="B10751" t="str">
            <v>39-513-01-07</v>
          </cell>
          <cell r="C10751" t="str">
            <v>SCHNÜRDRAHT, Ø 0,3 MM, 100 STCK.</v>
          </cell>
          <cell r="D10751" t="str">
            <v>SNARE WIRE, Ø 0.3 MM, BUNDLE OF 100 PCS.</v>
          </cell>
        </row>
        <row r="10752">
          <cell r="B10752" t="str">
            <v>39-525-01-07</v>
          </cell>
          <cell r="C10752" t="str">
            <v>TONSILLENSCHNÜRER, TYDING, M. 1 AUFSATZ</v>
          </cell>
          <cell r="D10752" t="str">
            <v>TONSIL SNARE, TYDING, W. 1 TIP</v>
          </cell>
        </row>
        <row r="10753">
          <cell r="B10753" t="str">
            <v>39-541-13-07</v>
          </cell>
          <cell r="C10753" t="str">
            <v>TONSILLENZANGE, HARTMANN, MAUL Ø 13 MM</v>
          </cell>
          <cell r="D10753" t="str">
            <v>TONSIL FORCEPS,  HARTMANN, JAW Ø 13 MM</v>
          </cell>
        </row>
        <row r="10754">
          <cell r="B10754" t="str">
            <v>39-541-15-07</v>
          </cell>
          <cell r="C10754" t="str">
            <v>TONSILLENZANGE, HARTMANN, MAUL Ø 15 MM</v>
          </cell>
          <cell r="D10754" t="str">
            <v>TONSIL FORCEPS,  HARTMANN, JAW Ø 15 MM</v>
          </cell>
        </row>
        <row r="10755">
          <cell r="B10755" t="str">
            <v>39-581-01-07</v>
          </cell>
          <cell r="C10755" t="str">
            <v>UNIVERSAL-ZANGENGRIFF, HUBER</v>
          </cell>
          <cell r="D10755" t="str">
            <v>UNIV. HANDLE F. LARYNG.  FORCEPS,  HUBER</v>
          </cell>
        </row>
        <row r="10756">
          <cell r="B10756" t="str">
            <v>39-584-20-07</v>
          </cell>
          <cell r="C10756" t="str">
            <v>VERLÄNGERUNGSROHR, GER., 22 CM</v>
          </cell>
          <cell r="D10756" t="str">
            <v>EXTENSION TUBE, STR., 22 CM</v>
          </cell>
        </row>
        <row r="10757">
          <cell r="B10757" t="str">
            <v>39-584-30-07</v>
          </cell>
          <cell r="C10757" t="str">
            <v>VERLÄNGERUNGSROHR, GER., 32 CM</v>
          </cell>
          <cell r="D10757" t="str">
            <v>EXTENSION TUBE, STR., 32 CM</v>
          </cell>
        </row>
        <row r="10758">
          <cell r="B10758" t="str">
            <v>39-584-40-07</v>
          </cell>
          <cell r="C10758" t="str">
            <v>VERLÄNGERUNGSROHR, GER., 41 CM</v>
          </cell>
          <cell r="D10758" t="str">
            <v>EXTENSION TUBE, STR., 41 CM</v>
          </cell>
        </row>
        <row r="10759">
          <cell r="B10759" t="str">
            <v>39-587-20-07</v>
          </cell>
          <cell r="C10759" t="str">
            <v>KEHLKOPFROHR, BRÜNINGS, GEB., 18 CM</v>
          </cell>
          <cell r="D10759" t="str">
            <v>EXTENSION TUBE, BRUENINGS, CVD., 18 CM</v>
          </cell>
        </row>
        <row r="10760">
          <cell r="B10760" t="str">
            <v>39-600-01-07</v>
          </cell>
          <cell r="C10760" t="str">
            <v>ZANGENAUFSATZ, FRÄNKEL,  GERIEFT</v>
          </cell>
          <cell r="D10760" t="str">
            <v>TIP F. LARYN. FCPS., FRAENKEL,  SERR.</v>
          </cell>
        </row>
        <row r="10761">
          <cell r="B10761" t="str">
            <v>39-604-01-07</v>
          </cell>
          <cell r="C10761" t="str">
            <v>ZANGENAUFSATZ, SEIFFERT,  GROB GERIEFT</v>
          </cell>
          <cell r="D10761" t="str">
            <v>TIP F. LARYN. FCPS., SEIFFERT,  COARSE</v>
          </cell>
        </row>
        <row r="10762">
          <cell r="B10762" t="str">
            <v>39-608-01-07</v>
          </cell>
          <cell r="C10762" t="str">
            <v>ZANGENAUFSATZ, FRÄNKEL,  LÄNGSOVAL</v>
          </cell>
          <cell r="D10762" t="str">
            <v>TIP F. LARYN. FCPS., FRAENKEL,  OVAL</v>
          </cell>
        </row>
        <row r="10763">
          <cell r="B10763" t="str">
            <v>39-616-02-07</v>
          </cell>
          <cell r="C10763" t="str">
            <v>ZANGENAUFSATZ, BRÜNINGS, FIG. 2, 3 MM</v>
          </cell>
          <cell r="D10763" t="str">
            <v>TIP F. FCPS., BRUENINGS, NO. 2, Ø 3 MM</v>
          </cell>
        </row>
        <row r="10764">
          <cell r="B10764" t="str">
            <v>39-616-03-07</v>
          </cell>
          <cell r="C10764" t="str">
            <v>ZANGENAUFSATZ, BRÜNINGS, FIG. 3, 4 MM</v>
          </cell>
          <cell r="D10764" t="str">
            <v>TIP F. FCPS., BRUENINGS, NO. 3, Ø 4 MM</v>
          </cell>
        </row>
        <row r="10765">
          <cell r="B10765" t="str">
            <v>39-618-02-07</v>
          </cell>
          <cell r="C10765" t="str">
            <v>ZANGENAUFSATZ, BRÜNINGS, FIG. 2, LÄNGS</v>
          </cell>
          <cell r="D10765" t="str">
            <v>TIP F. FCPS., BRUENINGS, NO. 2, OVAL</v>
          </cell>
        </row>
        <row r="10766">
          <cell r="B10766" t="str">
            <v>39-618-03-07</v>
          </cell>
          <cell r="C10766" t="str">
            <v>ZANGENAUFSATZ, BRÜNINGS, FIG. 3, LÄNGS</v>
          </cell>
          <cell r="D10766" t="str">
            <v>TIP F. FCPS., BRUENINGS, NO. 3, OVAL</v>
          </cell>
        </row>
        <row r="10767">
          <cell r="B10767" t="str">
            <v>39-624-01-07</v>
          </cell>
          <cell r="C10767" t="str">
            <v>ZANGENAUFSATZ, LANGE, OVAL</v>
          </cell>
          <cell r="D10767" t="str">
            <v>TIP F. LARYN. FCPS., LANGE, OVAL</v>
          </cell>
        </row>
        <row r="10768">
          <cell r="B10768" t="str">
            <v>39-628-01-07</v>
          </cell>
          <cell r="C10768" t="str">
            <v>ZANGENAUFSATZ, KRAUSE, FIG. 1, OVAL</v>
          </cell>
          <cell r="D10768" t="str">
            <v>TIP F. LARYN. FCPS., KRAUSE, NO. 1, OVAL</v>
          </cell>
        </row>
        <row r="10769">
          <cell r="B10769" t="str">
            <v>39-628-02-07</v>
          </cell>
          <cell r="C10769" t="str">
            <v>ZANGENAUFSATZ, KRAUSE, FIG. 2, OVAL</v>
          </cell>
          <cell r="D10769" t="str">
            <v>TIP F. LARYN. FCPS., KRAUSE, NO. 2, OVAL</v>
          </cell>
        </row>
        <row r="10770">
          <cell r="B10770" t="str">
            <v>39-632-01-07</v>
          </cell>
          <cell r="C10770" t="str">
            <v>ZANGENAUFSATZ, KRAUSE, HOHER BOGEN</v>
          </cell>
          <cell r="D10770" t="str">
            <v>TIP F. LARYN. FCPS., KRAUSE, HIGH ARCH</v>
          </cell>
        </row>
        <row r="10771">
          <cell r="B10771" t="str">
            <v>39-781-16-01</v>
          </cell>
          <cell r="C10771" t="str">
            <v>KEHLKOPFSPIEGEL, M. GRIFF, Ø 16 MM</v>
          </cell>
          <cell r="D10771" t="str">
            <v>LARYNGEAL MIRROR,  W. HANDLE,  Ø 16 MM</v>
          </cell>
        </row>
        <row r="10772">
          <cell r="B10772" t="str">
            <v>39-781-18-01</v>
          </cell>
          <cell r="C10772" t="str">
            <v>KEHLKOPFSPIEGEL, M. GRIFF, Ø 18 MM</v>
          </cell>
          <cell r="D10772" t="str">
            <v>LARYNGEAL MIRROR,  W. HANDLE,  Ø 18 MM</v>
          </cell>
        </row>
        <row r="10773">
          <cell r="B10773" t="str">
            <v>39-781-20-01</v>
          </cell>
          <cell r="C10773" t="str">
            <v>KEHLKOPFSPIEGEL, M. GRIFF, Ø 20 MM</v>
          </cell>
          <cell r="D10773" t="str">
            <v>LARYNGEAL MIRROR,  W. HANDLE,  Ø 20 MM</v>
          </cell>
        </row>
        <row r="10774">
          <cell r="B10774" t="str">
            <v>39-781-22-01</v>
          </cell>
          <cell r="C10774" t="str">
            <v>KEHLKOPFSPIEGEL, M. GRIFF, Ø 22 MM</v>
          </cell>
          <cell r="D10774" t="str">
            <v>LARYNGEAL MIRROR,  W. HANDLE,  Ø 22 MM</v>
          </cell>
        </row>
        <row r="10775">
          <cell r="B10775" t="str">
            <v>39-781-24-01</v>
          </cell>
          <cell r="C10775" t="str">
            <v>KEHLKOPFSPIEGEL, M. GRIFF, Ø 24 MM</v>
          </cell>
          <cell r="D10775" t="str">
            <v>LARYNGEAL MIRROR,  W. HANDLE,  Ø 24 MM</v>
          </cell>
        </row>
        <row r="10776">
          <cell r="B10776" t="str">
            <v>39-781-26-01</v>
          </cell>
          <cell r="C10776" t="str">
            <v>KEHLKOPFSPIEGEL, M. GRIFF, Ø 26 MM</v>
          </cell>
          <cell r="D10776" t="str">
            <v>LARYNGEAL MIRROR,  W. HANDLE,  Ø 26 MM</v>
          </cell>
        </row>
        <row r="10777">
          <cell r="B10777" t="str">
            <v>39-782-08-04</v>
          </cell>
          <cell r="C10777" t="str">
            <v>RHOD.-KEHLKOPFSPIEGEL, M. GRIFF, FIG. 00</v>
          </cell>
          <cell r="D10777" t="str">
            <v>LARYNGEAL MIRROR,  RHOD., W. HDL., NO. 00</v>
          </cell>
        </row>
        <row r="10778">
          <cell r="B10778" t="str">
            <v>39-782-10-04</v>
          </cell>
          <cell r="C10778" t="str">
            <v>RHOD.-KEHLKOPFSPIEGEL, M. GRIFF, FIG. 0</v>
          </cell>
          <cell r="D10778" t="str">
            <v>LARYNGEAL MIRROR,  RHOD., W. HDL., NO. 0</v>
          </cell>
        </row>
        <row r="10779">
          <cell r="B10779" t="str">
            <v>39-782-12-04</v>
          </cell>
          <cell r="C10779" t="str">
            <v>RHOD.-KEHLKOPFSPIEGEL, M. GRIFF, FIG. 1</v>
          </cell>
          <cell r="D10779" t="str">
            <v>LARYNGEAL MIRROR,  RHOD., W. HDL., NO. 1</v>
          </cell>
        </row>
        <row r="10780">
          <cell r="B10780" t="str">
            <v>39-782-14-04</v>
          </cell>
          <cell r="C10780" t="str">
            <v>RHOD.-KEHLKOPFSPIEGEL, M. GRIFF, FIG. 2</v>
          </cell>
          <cell r="D10780" t="str">
            <v>LARYNGEAL MIRROR,  RHOD., W. HDL., NO. 2</v>
          </cell>
        </row>
        <row r="10781">
          <cell r="B10781" t="str">
            <v>39-782-16-04</v>
          </cell>
          <cell r="C10781" t="str">
            <v>RHOD.-KEHLKOPFSPIEGEL, M. GRIFF, FIG. 3</v>
          </cell>
          <cell r="D10781" t="str">
            <v>LARYNGEAL MIRROR,  RHOD., W. HDL., NO. 3</v>
          </cell>
        </row>
        <row r="10782">
          <cell r="B10782" t="str">
            <v>39-782-18-04</v>
          </cell>
          <cell r="C10782" t="str">
            <v>RHOD.-KEHLKOPFSPIEGEL, M. GRIFF, FIG. 4</v>
          </cell>
          <cell r="D10782" t="str">
            <v>LARYNGEAL MIRROR,  RHOD., W. HDL., NO. 4</v>
          </cell>
        </row>
        <row r="10783">
          <cell r="B10783" t="str">
            <v>39-782-20-04</v>
          </cell>
          <cell r="C10783" t="str">
            <v>RHOD.-KEHLKOPFSPIEGEL, M. GRIFF, FIG. 5</v>
          </cell>
          <cell r="D10783" t="str">
            <v>LARYNGEAL MIRROR,  RHOD., W. HDL., NO. 5</v>
          </cell>
        </row>
        <row r="10784">
          <cell r="B10784" t="str">
            <v>39-782-22-04</v>
          </cell>
          <cell r="C10784" t="str">
            <v>RHOD.-KEHLKOPFSPIEGEL, M. GRIFF, FIG. 6</v>
          </cell>
          <cell r="D10784" t="str">
            <v>LARYNGEAL MIRROR,  RHOD., W. HDL., NO. 6</v>
          </cell>
        </row>
        <row r="10785">
          <cell r="B10785" t="str">
            <v>39-782-24-04</v>
          </cell>
          <cell r="C10785" t="str">
            <v>RHOD.-KEHLKOPFSPIEGEL, M. GRIFF, FIG. 7</v>
          </cell>
          <cell r="D10785" t="str">
            <v>LARYNGEAL MIRROR,  RHOD., W. HDL., NO. 7</v>
          </cell>
        </row>
        <row r="10786">
          <cell r="B10786" t="str">
            <v>39-782-26-04</v>
          </cell>
          <cell r="C10786" t="str">
            <v>RHOD.-KEHLKOPFSPIEGEL, M. GRIFF, FIG. 8</v>
          </cell>
          <cell r="D10786" t="str">
            <v>LARYNGEAL MIRROR,  RHOD., W. HDL., NO. 8</v>
          </cell>
        </row>
        <row r="10787">
          <cell r="B10787" t="str">
            <v>39-782-28-04</v>
          </cell>
          <cell r="C10787" t="str">
            <v>RHOD.-KEHLKOPFSPIEGEL, M. GRIFF, FIG. 9</v>
          </cell>
          <cell r="D10787" t="str">
            <v>LARYNGEAL MIRROR,  RHOD., W. HDL., NO. 9</v>
          </cell>
        </row>
        <row r="10788">
          <cell r="B10788" t="str">
            <v>39-782-30-04</v>
          </cell>
          <cell r="C10788" t="str">
            <v>RHOD.-KEHLKOPFSPIEGEL, M. GRIFF, FIG. 10</v>
          </cell>
          <cell r="D10788" t="str">
            <v>LARYNGEAL MIRROR,  RHOD., W. HDL., NO. 10</v>
          </cell>
        </row>
        <row r="10789">
          <cell r="B10789" t="str">
            <v>39-785-16-01</v>
          </cell>
          <cell r="C10789" t="str">
            <v>KEHLKOPFSPIEGEL, O. GRIFF, Ø 16 MM</v>
          </cell>
          <cell r="D10789" t="str">
            <v>LARYNGEAL MIRROR,  W/O HANDLE,  Ø 16 MM</v>
          </cell>
        </row>
        <row r="10790">
          <cell r="B10790" t="str">
            <v>39-785-18-01</v>
          </cell>
          <cell r="C10790" t="str">
            <v>KEHLKOPFSPIEGEL, O. GRIFF, Ø 18 MM</v>
          </cell>
          <cell r="D10790" t="str">
            <v>LARYNGEAL MIRROR,  W/O HANDLE,  Ø 18 MM</v>
          </cell>
        </row>
        <row r="10791">
          <cell r="B10791" t="str">
            <v>39-785-20-01</v>
          </cell>
          <cell r="C10791" t="str">
            <v>KEHLKOPFSPIEGEL, O. GRIFF, Ø 20 MM</v>
          </cell>
          <cell r="D10791" t="str">
            <v>LARYNGEAL MIRROR,  W/O HANDLE,  Ø 20 MM</v>
          </cell>
        </row>
        <row r="10792">
          <cell r="B10792" t="str">
            <v>39-785-22-01</v>
          </cell>
          <cell r="C10792" t="str">
            <v>KEHLKOPFSPIEGEL, O. GRIFF, Ø 22 MM</v>
          </cell>
          <cell r="D10792" t="str">
            <v>LARYNGEAL MIRROR,  W/O HANDLE,  Ø 22 MM</v>
          </cell>
        </row>
        <row r="10793">
          <cell r="B10793" t="str">
            <v>39-785-24-01</v>
          </cell>
          <cell r="C10793" t="str">
            <v>KEHLKOPFSPIEGEL, O. GRIFF, Ø 24 MM</v>
          </cell>
          <cell r="D10793" t="str">
            <v>LARYNGEAL MIRROR,  W/O HANDLE,  Ø 24 MM</v>
          </cell>
        </row>
        <row r="10794">
          <cell r="B10794" t="str">
            <v>39-785-26-01</v>
          </cell>
          <cell r="C10794" t="str">
            <v>KEHLKOPFSPIEGEL, O. GRIFF, Ø 26 MM</v>
          </cell>
          <cell r="D10794" t="str">
            <v>LARYNGEAL MIRROR,  W/O HANDLE,  Ø 26 MM</v>
          </cell>
        </row>
        <row r="10795">
          <cell r="B10795" t="str">
            <v>39-785-28-01</v>
          </cell>
          <cell r="C10795" t="str">
            <v>KEHLKOPFSPIEGEL, O. GRIFF, Ø 28 MM</v>
          </cell>
          <cell r="D10795" t="str">
            <v>LARYNGEAL MIRROR,  W/O HANDLE,  Ø 28 MM</v>
          </cell>
        </row>
        <row r="10796">
          <cell r="B10796" t="str">
            <v>39-786-08-04</v>
          </cell>
          <cell r="C10796" t="str">
            <v>RHOD.-KEHLKOPFSPIEGEL, O. GRIFF, FIG. 00</v>
          </cell>
          <cell r="D10796" t="str">
            <v>LARYNG.  MIRROR,  RHOD., W/O HDL., NO. 00</v>
          </cell>
        </row>
        <row r="10797">
          <cell r="B10797" t="str">
            <v>39-786-10-04</v>
          </cell>
          <cell r="C10797" t="str">
            <v>RHOD.-KEHLKOPFSPIEGEL, O. GRIFF, FIG. 0</v>
          </cell>
          <cell r="D10797" t="str">
            <v>LARYNGEAL MIRROR,  RHOD., W/O HDL., NO. 0</v>
          </cell>
        </row>
        <row r="10798">
          <cell r="B10798" t="str">
            <v>39-786-12-04</v>
          </cell>
          <cell r="C10798" t="str">
            <v>RHOD.-KEHLKOPFSPIEGEL, O. GRIFF, FIG. 1</v>
          </cell>
          <cell r="D10798" t="str">
            <v>LARYNGEAL MIRROR,  RHOD., W/O HDL., NO. 1</v>
          </cell>
        </row>
        <row r="10799">
          <cell r="B10799" t="str">
            <v>39-786-14-04</v>
          </cell>
          <cell r="C10799" t="str">
            <v>RHOD.-KEHLKOPFSPIEGEL, O. GRIFF, FIG. 2</v>
          </cell>
          <cell r="D10799" t="str">
            <v>LARYNGEAL MIRROR,  RHOD., W/O HDL., NO. 2</v>
          </cell>
        </row>
        <row r="10800">
          <cell r="B10800" t="str">
            <v>39-786-16-04</v>
          </cell>
          <cell r="C10800" t="str">
            <v>RHOD.-KEHLKOPFSPIEGEL, O. GRIFF, FIG. 3</v>
          </cell>
          <cell r="D10800" t="str">
            <v>LARYNGEAL MIRROR,  RHOD., W/O HDL., NO. 3</v>
          </cell>
        </row>
        <row r="10801">
          <cell r="B10801" t="str">
            <v>39-786-18-04</v>
          </cell>
          <cell r="C10801" t="str">
            <v>RHOD.-KEHLKOPFSPIEGEL, O. GRIFF, FIG. 4</v>
          </cell>
          <cell r="D10801" t="str">
            <v>LARYNGEAL MIRROR,  RHOD., W/O HDL., NO. 4</v>
          </cell>
        </row>
        <row r="10802">
          <cell r="B10802" t="str">
            <v>39-786-20-04</v>
          </cell>
          <cell r="C10802" t="str">
            <v>RHOD.-KEHLKOPFSPIEGEL, O. GRIFF, FIG. 5</v>
          </cell>
          <cell r="D10802" t="str">
            <v>LARYNGEAL MIRROR,  RHOD., W/O HDL., NO. 5</v>
          </cell>
        </row>
        <row r="10803">
          <cell r="B10803" t="str">
            <v>39-786-22-04</v>
          </cell>
          <cell r="C10803" t="str">
            <v>RHOD.-KEHLKOPFSPIEGEL, O. GRIFF, FIG. 6</v>
          </cell>
          <cell r="D10803" t="str">
            <v>LARYNGEAL MIRROR,  RHOD., W/O HDL., NO. 6</v>
          </cell>
        </row>
        <row r="10804">
          <cell r="B10804" t="str">
            <v>39-786-24-04</v>
          </cell>
          <cell r="C10804" t="str">
            <v>RHOD.-KEHLKOPFSPIEGEL, O. GRIFF, FIG. 7</v>
          </cell>
          <cell r="D10804" t="str">
            <v>LARYNGEAL MIRROR,  RHOD., W/O HDL., NO. 7</v>
          </cell>
        </row>
        <row r="10805">
          <cell r="B10805" t="str">
            <v>39-786-26-04</v>
          </cell>
          <cell r="C10805" t="str">
            <v>RHOD.-KEHLKOPFSPIEGEL, O. GRIFF, FIG. 8</v>
          </cell>
          <cell r="D10805" t="str">
            <v>LARYNGEAL MIRROR,  RHOD., W/O HDL., NO. 8</v>
          </cell>
        </row>
        <row r="10806">
          <cell r="B10806" t="str">
            <v>39-786-28-04</v>
          </cell>
          <cell r="C10806" t="str">
            <v>RHOD.-KEHLKOPFSPIEGEL, O. GRIFF, FIG. 9</v>
          </cell>
          <cell r="D10806" t="str">
            <v>LARYNGEAL MIRROR,  RHOD., W/O HDL., NO. 9</v>
          </cell>
        </row>
        <row r="10807">
          <cell r="B10807" t="str">
            <v>39-786-30-04</v>
          </cell>
          <cell r="C10807" t="str">
            <v>RHOD.-KEHLKOPFSPIEGEL, O. GRIFF, FIG. 10</v>
          </cell>
          <cell r="D10807" t="str">
            <v>LARYNG.  MIRROR,  RHOD., W/O HDL., NO. 10</v>
          </cell>
        </row>
        <row r="10808">
          <cell r="B10808" t="str">
            <v>39-789-12-02</v>
          </cell>
          <cell r="C10808" t="str">
            <v>KEHLKOPFSPIEGEL, MICHEL, Ø 12 MM, BEWEG.</v>
          </cell>
          <cell r="D10808" t="str">
            <v>LARYNGEAL MIRROR,  MICHEL, Ø 12 MM</v>
          </cell>
        </row>
        <row r="10809">
          <cell r="B10809" t="str">
            <v>39-789-14-02</v>
          </cell>
          <cell r="C10809" t="str">
            <v>KEHLKOPFSPIEGEL, MICHEL, Ø 14 MM, BEWEG.</v>
          </cell>
          <cell r="D10809" t="str">
            <v>LARYNGEAL MIRROR,  MICHEL, Ø 14 MM</v>
          </cell>
        </row>
        <row r="10810">
          <cell r="B10810" t="str">
            <v>39-789-16-02</v>
          </cell>
          <cell r="C10810" t="str">
            <v>KEHLKOPFSPIEGEL, MICHEL, Ø 16 MM, BEWEG.</v>
          </cell>
          <cell r="D10810" t="str">
            <v>LARYNGEAL MIRROR,  MICHEL, Ø 16 MM</v>
          </cell>
        </row>
        <row r="10811">
          <cell r="B10811" t="str">
            <v>39-789-18-02</v>
          </cell>
          <cell r="C10811" t="str">
            <v>KEHLKOPFSPIEGEL, MICHEL, Ø 18 MM, BEWEG.</v>
          </cell>
          <cell r="D10811" t="str">
            <v>LARYNGEAL MIRROR,  MICHEL, Ø 18 MM</v>
          </cell>
        </row>
        <row r="10812">
          <cell r="B10812" t="str">
            <v>39-794-11-02</v>
          </cell>
          <cell r="C10812" t="str">
            <v>GRIFF F. KEHLKOPFSPIEGEL, GLATT, 11 CM</v>
          </cell>
          <cell r="D10812" t="str">
            <v>HANDLE F. LARYNG.  MIRRORS,  SMOOTH,  11 CM</v>
          </cell>
        </row>
        <row r="10813">
          <cell r="B10813" t="str">
            <v>40-001-00-07</v>
          </cell>
          <cell r="C10813" t="str">
            <v>ZAHNZANGE, ENGLISCHE FORM, FIG. 1</v>
          </cell>
          <cell r="D10813" t="str">
            <v>EXTRACTING FCPS.ENGL.PAT. F1</v>
          </cell>
        </row>
        <row r="10814">
          <cell r="B10814" t="str">
            <v>40-002-00-07</v>
          </cell>
          <cell r="C10814" t="str">
            <v>ZAHNZANGE, ENGLISCHE FORM, FIG. 2</v>
          </cell>
          <cell r="D10814" t="str">
            <v>EXTRACTING FCPS.ENGL.PAT. F2</v>
          </cell>
        </row>
        <row r="10815">
          <cell r="B10815" t="str">
            <v>40-004-00-07</v>
          </cell>
          <cell r="C10815" t="str">
            <v>ZAHNZANGE, ENGLISCHE FORM, FIG. 4</v>
          </cell>
          <cell r="D10815" t="str">
            <v>EXTRACTING FCPS.ENGL.PAT. F4</v>
          </cell>
        </row>
        <row r="10816">
          <cell r="B10816" t="str">
            <v>40-007-00-07</v>
          </cell>
          <cell r="C10816" t="str">
            <v>ZAHNZANGE, ENGLISCHE FORM, FIG. 7</v>
          </cell>
          <cell r="D10816" t="str">
            <v>EXTRACTING FCPS.ENGL.PAT. F7</v>
          </cell>
        </row>
        <row r="10817">
          <cell r="B10817" t="str">
            <v>40-013-00-07</v>
          </cell>
          <cell r="C10817" t="str">
            <v>ZAHNZANGE, ENGLISCHE FORM, FIG. 13</v>
          </cell>
          <cell r="D10817" t="str">
            <v>FORCEPS  ENGL.PATTERN,FIG. 13</v>
          </cell>
        </row>
        <row r="10818">
          <cell r="B10818" t="str">
            <v>40-017-00-07</v>
          </cell>
          <cell r="C10818" t="str">
            <v>ZAHNZANGE, ENGLISCHE FORM, FIG. 17</v>
          </cell>
          <cell r="D10818" t="str">
            <v>EXTRACTING FCPS.ENGL.PAT.F17</v>
          </cell>
        </row>
        <row r="10819">
          <cell r="B10819" t="str">
            <v>40-018-00-07</v>
          </cell>
          <cell r="C10819" t="str">
            <v>ZAHNZANGE, ENGLISCHE FORM, FIG. 18</v>
          </cell>
          <cell r="D10819" t="str">
            <v>EXTRACTING FCPS.ENGL.PAT.F18</v>
          </cell>
        </row>
        <row r="10820">
          <cell r="B10820" t="str">
            <v>40-018-01-07</v>
          </cell>
          <cell r="C10820" t="str">
            <v>ZAHNZANGE, ENGLISCHE FORM, FIG. 18A</v>
          </cell>
          <cell r="D10820" t="str">
            <v>EXTRACTING FCPS.ENGL.PAT.F18A</v>
          </cell>
        </row>
        <row r="10821">
          <cell r="B10821" t="str">
            <v>40-022-00-07</v>
          </cell>
          <cell r="C10821" t="str">
            <v>ZAHNZANGE, ENGLISCHE FORM, FIG. 22</v>
          </cell>
          <cell r="D10821" t="str">
            <v>EXTRACTING FCPS.ENGL.PAT.F22</v>
          </cell>
        </row>
        <row r="10822">
          <cell r="B10822" t="str">
            <v>40-023-00-07</v>
          </cell>
          <cell r="C10822" t="str">
            <v>ZAHNZANGE, ENGLISCHE FORM, FIG. 23</v>
          </cell>
          <cell r="D10822" t="str">
            <v>EXTRACTING FCPS.ENGL.PAT.F23</v>
          </cell>
        </row>
        <row r="10823">
          <cell r="B10823" t="str">
            <v>40-024-00-07</v>
          </cell>
          <cell r="C10823" t="str">
            <v>ZAHNZANGE, ENGLISCHE FORM, FIG. 24</v>
          </cell>
          <cell r="D10823" t="str">
            <v>EXTRACTING FCPS.ENGL.PAT.F24</v>
          </cell>
        </row>
        <row r="10824">
          <cell r="B10824" t="str">
            <v>40-029-00-07</v>
          </cell>
          <cell r="C10824" t="str">
            <v>ZAHNZANGE, ENGLISCHE FORM, FIG. 29</v>
          </cell>
          <cell r="D10824" t="str">
            <v>EXTRACTING FCPS.ENGL.PAT.F29</v>
          </cell>
        </row>
        <row r="10825">
          <cell r="B10825" t="str">
            <v>40-033-00-07</v>
          </cell>
          <cell r="C10825" t="str">
            <v>ZAHNZANGE, ENGLISCHE FORM, FIG. 33</v>
          </cell>
          <cell r="D10825" t="str">
            <v>EXTRACTING FCPS.ENGL.PAT.F33</v>
          </cell>
        </row>
        <row r="10826">
          <cell r="B10826" t="str">
            <v>40-033-01-07</v>
          </cell>
          <cell r="C10826" t="str">
            <v>ZAHNZANGE, ENGLISCHE FORM, FIG. 33A</v>
          </cell>
          <cell r="D10826" t="str">
            <v>EXTRACTING FCPS.ENGL.PAT.F33A</v>
          </cell>
        </row>
        <row r="10827">
          <cell r="B10827" t="str">
            <v>40-033-03-07</v>
          </cell>
          <cell r="C10827" t="str">
            <v>ZAHNZANGE, ENGLISCHE FORM, FIG. 33C</v>
          </cell>
          <cell r="D10827" t="str">
            <v>EXTRACTING FCPS.ENGL.PAT.F33C</v>
          </cell>
        </row>
        <row r="10828">
          <cell r="B10828" t="str">
            <v>40-033-06-07</v>
          </cell>
          <cell r="C10828" t="str">
            <v>ZAHNZANGE, ENGLISCHE FORM, FIG. 33M</v>
          </cell>
          <cell r="D10828" t="str">
            <v>EXTRACTING FCPS.ENGL.PAT.F33M</v>
          </cell>
        </row>
        <row r="10829">
          <cell r="B10829" t="str">
            <v>40-034-00-07</v>
          </cell>
          <cell r="C10829" t="str">
            <v>ZAHNZANGE, ENGLISCHE FORM, FIG. 34N</v>
          </cell>
          <cell r="D10829" t="str">
            <v>EXTRACTING FCPS. ENGL. PAT. FIG. 34N</v>
          </cell>
        </row>
        <row r="10830">
          <cell r="B10830" t="str">
            <v>40-035-00-07</v>
          </cell>
          <cell r="C10830" t="str">
            <v>ZAHNZANGE, ENGLISCHE FORM, FIG. 35N</v>
          </cell>
          <cell r="D10830" t="str">
            <v>EXTRACTING FCPS. ENGL. PAT. FIG. 35N</v>
          </cell>
        </row>
        <row r="10831">
          <cell r="B10831" t="str">
            <v>40-046-01-07</v>
          </cell>
          <cell r="C10831" t="str">
            <v>ZAHNZANGE, ENGLISCHE FORM, FIG. 46L</v>
          </cell>
          <cell r="D10831" t="str">
            <v>EXTRACTING FCPS. ENGL. PAT. FIG. 46L</v>
          </cell>
        </row>
        <row r="10832">
          <cell r="B10832" t="str">
            <v>40-046-02-07</v>
          </cell>
          <cell r="C10832" t="str">
            <v>ZAHNZANGE, ENGLISCHE FORM, FIG. 46LX</v>
          </cell>
          <cell r="D10832" t="str">
            <v>EXTRACTING FCPS. ENGL. PAT. FIG. 46LX</v>
          </cell>
        </row>
        <row r="10833">
          <cell r="B10833" t="str">
            <v>40-049-00-07</v>
          </cell>
          <cell r="C10833" t="str">
            <v>ZAHNZANGE, ENGLISCHE FORM, FIG. 49</v>
          </cell>
          <cell r="D10833" t="str">
            <v>EXTRACTING FCPS. ENGL. PAT. FIG. 49</v>
          </cell>
        </row>
        <row r="10834">
          <cell r="B10834" t="str">
            <v>40-051-00-07</v>
          </cell>
          <cell r="C10834" t="str">
            <v>ZAHNZANGE, ENGLISCHE FORM, FIG. 51</v>
          </cell>
          <cell r="D10834" t="str">
            <v>EXTRACTING FCPS.ENGL.PAT.F51</v>
          </cell>
        </row>
        <row r="10835">
          <cell r="B10835" t="str">
            <v>40-051-01-07</v>
          </cell>
          <cell r="C10835" t="str">
            <v>ZAHNZANGE, ENGLISCHE FORM, FIG. 51A</v>
          </cell>
          <cell r="D10835" t="str">
            <v>EXTRACTING FCPS.ENG.PAT.F51A</v>
          </cell>
        </row>
        <row r="10836">
          <cell r="B10836" t="str">
            <v>40-051-03-07</v>
          </cell>
          <cell r="C10836" t="str">
            <v>ZAHNZANGE, ENGLISCHE FORM, FIG. 51C</v>
          </cell>
          <cell r="D10836" t="str">
            <v>EXTRACTING FCPS.ENG.PAT.F51C</v>
          </cell>
        </row>
        <row r="10837">
          <cell r="B10837" t="str">
            <v>40-067-00-07</v>
          </cell>
          <cell r="C10837" t="str">
            <v>ZAHNZANGE, ENGLISCHE FORM, FIG. 67</v>
          </cell>
          <cell r="D10837" t="str">
            <v>EXTR.ECPS.ENGL.PAT.FIG.67</v>
          </cell>
        </row>
        <row r="10838">
          <cell r="B10838" t="str">
            <v>40-067-01-07</v>
          </cell>
          <cell r="C10838" t="str">
            <v>ZAHNZANGE, ENGLISCHE FORM, FIG. 67A</v>
          </cell>
          <cell r="D10838" t="str">
            <v>ECTR.FCPS.ENGL.PAT.FG. 67A</v>
          </cell>
        </row>
        <row r="10839">
          <cell r="B10839" t="str">
            <v>40-067-02-07</v>
          </cell>
          <cell r="C10839" t="str">
            <v>ZAHNZANGE, ENGLISCHE FORM, FIG. 67N</v>
          </cell>
          <cell r="D10839" t="str">
            <v>EXTRACTING FCPS. ENGL. PAT. FIG. 67N</v>
          </cell>
        </row>
        <row r="10840">
          <cell r="B10840" t="str">
            <v>40-073-00-07</v>
          </cell>
          <cell r="C10840" t="str">
            <v>ZAHNZANGE, ENGLISCHE FORM, FIG. 73</v>
          </cell>
          <cell r="D10840" t="str">
            <v>EXTR.FCPS.ENGL.PAT.FIG.73</v>
          </cell>
        </row>
        <row r="10841">
          <cell r="B10841" t="str">
            <v>40-074-00-07</v>
          </cell>
          <cell r="C10841" t="str">
            <v>ZAHNZANGE, ENGLISCHE FORM, FIG. 74</v>
          </cell>
          <cell r="D10841" t="str">
            <v>EXTR.FCPS.ENGL.PAT.FIG.74</v>
          </cell>
        </row>
        <row r="10842">
          <cell r="B10842" t="str">
            <v>40-074-06-07</v>
          </cell>
          <cell r="C10842" t="str">
            <v>ZAHNZANGE, ENGLISCHE FORM, FIG. 74 N</v>
          </cell>
          <cell r="D10842" t="str">
            <v>EXTR.FCPS.ENGL.PAT.FIG.74N</v>
          </cell>
        </row>
        <row r="10843">
          <cell r="B10843" t="str">
            <v>40-074-07-07</v>
          </cell>
          <cell r="C10843" t="str">
            <v>ZAHNZANGE, ENGLISCHE FORM, FIG. 74XN</v>
          </cell>
          <cell r="D10843" t="str">
            <v>EXTR.FCPS.ENGL.PAT.FIG.74N</v>
          </cell>
        </row>
        <row r="10844">
          <cell r="B10844" t="str">
            <v>40-075-00-07</v>
          </cell>
          <cell r="C10844" t="str">
            <v>ZAHNZANGE, ENGLISCHE FORM, FIG. 75</v>
          </cell>
          <cell r="D10844" t="str">
            <v>EXTR.FCPS.ENGL.PAT.FIG.75</v>
          </cell>
        </row>
        <row r="10845">
          <cell r="B10845" t="str">
            <v>40-076-00-07</v>
          </cell>
          <cell r="C10845" t="str">
            <v>ZAHNZANGE, LAWRENCE-READ, FIG. 76</v>
          </cell>
          <cell r="D10845" t="str">
            <v>LAWRENCE READ EXTR.FCPS  F76</v>
          </cell>
        </row>
        <row r="10846">
          <cell r="B10846" t="str">
            <v>40-079-00-07</v>
          </cell>
          <cell r="C10846" t="str">
            <v>ZAHNZANGE, ENGLISCHE FORM, FIG. 79</v>
          </cell>
          <cell r="D10846" t="str">
            <v>EXTR.FCPS.ENGL.PAT.FG 79</v>
          </cell>
        </row>
        <row r="10847">
          <cell r="B10847" t="str">
            <v>40-079-01-07</v>
          </cell>
          <cell r="C10847" t="str">
            <v>ZAHNZANGE, ENGLISCHE FORM, FIG. 79A</v>
          </cell>
          <cell r="D10847" t="str">
            <v>EXTR.FCPS.ENGL.PAT.FG 79A</v>
          </cell>
        </row>
        <row r="10848">
          <cell r="B10848" t="str">
            <v>40-079-02-07</v>
          </cell>
          <cell r="C10848" t="str">
            <v>ZAHNZANGE, ENGLISCHE FORM, FIG. 79N</v>
          </cell>
          <cell r="D10848" t="str">
            <v>EXTRACTING FCPS. ENGL. PAT. FIG. 79N</v>
          </cell>
        </row>
        <row r="10849">
          <cell r="B10849" t="str">
            <v>40-086-01-07</v>
          </cell>
          <cell r="C10849" t="str">
            <v>ZAHNZANGE, ENGLISCHE FORM, FIG. 86A</v>
          </cell>
          <cell r="D10849" t="str">
            <v>EXTR.FCPS.ENGL.PAT.FG 86 A</v>
          </cell>
        </row>
        <row r="10850">
          <cell r="B10850" t="str">
            <v>40-086-02-07</v>
          </cell>
          <cell r="C10850" t="str">
            <v>ZAHNZANGE, ENGLISCHE FORM, FIG. 86B</v>
          </cell>
          <cell r="D10850" t="str">
            <v>EXTR.FCPS.ENGL.PAT.FG 86B</v>
          </cell>
        </row>
        <row r="10851">
          <cell r="B10851" t="str">
            <v>40-086-03-07</v>
          </cell>
          <cell r="C10851" t="str">
            <v>ZAHNZANGE, ENGLISCHE FORM, FIG. 86C</v>
          </cell>
          <cell r="D10851" t="str">
            <v>EXTR.FCPS.ENGL.PAT.FG 86C</v>
          </cell>
        </row>
        <row r="10852">
          <cell r="B10852" t="str">
            <v>40-097-00-07</v>
          </cell>
          <cell r="C10852" t="str">
            <v>ZAHNZANGE, ENGLISCHE FORM, FIG. 97</v>
          </cell>
          <cell r="D10852" t="str">
            <v>EXTRACTING FCPS. ENGL. PAT. FIG. 97</v>
          </cell>
        </row>
        <row r="10853">
          <cell r="B10853" t="str">
            <v>40-146-00-07</v>
          </cell>
          <cell r="C10853" t="str">
            <v>ZAHNZANGE, ENGLISCHE FORM, FIG. 146</v>
          </cell>
          <cell r="D10853" t="str">
            <v>EXTRACTING FCPS. ENGL. PAT. FIG. 146</v>
          </cell>
        </row>
        <row r="10854">
          <cell r="B10854" t="str">
            <v>40-151-00-07</v>
          </cell>
          <cell r="C10854" t="str">
            <v>ZAHNZANGE, ENGLISCHE FORM, FIG. 351S</v>
          </cell>
          <cell r="D10854" t="str">
            <v>EXTRACTING FCPS. ENGL. PAT. FIG. 351S</v>
          </cell>
        </row>
        <row r="10855">
          <cell r="B10855" t="str">
            <v>40-153-00-07</v>
          </cell>
          <cell r="C10855" t="str">
            <v>ZAHNZANGE, ENGLISCHE FORM, FIG. 153</v>
          </cell>
          <cell r="D10855" t="str">
            <v>EXTRACTING FCPS. ENGL. PAT. FIG. 153</v>
          </cell>
        </row>
        <row r="10856">
          <cell r="B10856" t="str">
            <v>40-301-00-07</v>
          </cell>
          <cell r="C10856" t="str">
            <v>ZAHNZANGE, MARTIN-FINO, FIG. 1</v>
          </cell>
          <cell r="D10856" t="str">
            <v>FORCEPS   MARTIN FINO  FIG 1</v>
          </cell>
        </row>
        <row r="10857">
          <cell r="B10857" t="str">
            <v>40-302-00-07</v>
          </cell>
          <cell r="C10857" t="str">
            <v>ZAHNZANGE, MARTIN-FINO, FIG. 2</v>
          </cell>
          <cell r="D10857" t="str">
            <v>FORCEPS   MARTIN FINO  FIG 2</v>
          </cell>
        </row>
        <row r="10858">
          <cell r="B10858" t="str">
            <v>40-307-00-07</v>
          </cell>
          <cell r="C10858" t="str">
            <v>ZAHNZANGE, MARTIN-FINO, FIG. 7</v>
          </cell>
          <cell r="D10858" t="str">
            <v>FORCEPS   MARTIN FINO  FIG 7</v>
          </cell>
        </row>
        <row r="10859">
          <cell r="B10859" t="str">
            <v>40-313-00-07</v>
          </cell>
          <cell r="C10859" t="str">
            <v>ZAHNZANGE, MARTIN-FINO, FIG. 13</v>
          </cell>
          <cell r="D10859" t="str">
            <v>FORCEPS   MARTIN FINO  FIG13</v>
          </cell>
        </row>
        <row r="10860">
          <cell r="B10860" t="str">
            <v>40-317-00-07</v>
          </cell>
          <cell r="C10860" t="str">
            <v>ZAHNZANGE, MARTIN-FINO, FIG. 17</v>
          </cell>
          <cell r="D10860" t="str">
            <v>FORCEPS   MARTIN FINO  FIG17</v>
          </cell>
        </row>
        <row r="10861">
          <cell r="B10861" t="str">
            <v>40-318-00-07</v>
          </cell>
          <cell r="C10861" t="str">
            <v>ZAHNZANGE, MARTIN-FINO, FIG. 18</v>
          </cell>
          <cell r="D10861" t="str">
            <v>FORCEPS   MARTIN FINO  FIG18</v>
          </cell>
        </row>
        <row r="10862">
          <cell r="B10862" t="str">
            <v>40-322-00-07</v>
          </cell>
          <cell r="C10862" t="str">
            <v>ZAHNZANGE, MARTIN-FINO, FIG. 22</v>
          </cell>
          <cell r="D10862" t="str">
            <v>FORCEPS   MARTIN FINO  FIG22</v>
          </cell>
        </row>
        <row r="10863">
          <cell r="B10863" t="str">
            <v>40-330-00-07</v>
          </cell>
          <cell r="C10863" t="str">
            <v>ZAHNZANGE, MARTIN-FINO, FIG. 30</v>
          </cell>
          <cell r="D10863" t="str">
            <v>FORCEPS   MARTIN FINO  FIG30</v>
          </cell>
        </row>
        <row r="10864">
          <cell r="B10864" t="str">
            <v>40-333-00-07</v>
          </cell>
          <cell r="C10864" t="str">
            <v>ZAHNZANGE, MARTIN-FINO, FIG. 33</v>
          </cell>
          <cell r="D10864" t="str">
            <v>FORCEPS   MARTIN FINO  FIG33</v>
          </cell>
        </row>
        <row r="10865">
          <cell r="B10865" t="str">
            <v>40-367-01-07</v>
          </cell>
          <cell r="C10865" t="str">
            <v>ZAHNZANGE, MARTIN-FINO, FIG. 67A</v>
          </cell>
          <cell r="D10865" t="str">
            <v>FORCEPS   MARTIN FINO  FIG67A</v>
          </cell>
        </row>
        <row r="10866">
          <cell r="B10866" t="str">
            <v>40-373-00-07</v>
          </cell>
          <cell r="C10866" t="str">
            <v>ZAHNZANGE, MARTIN-FINO, FIG. 73</v>
          </cell>
          <cell r="D10866" t="str">
            <v>FORCEPS  MARTIN FINO   FIG73</v>
          </cell>
        </row>
        <row r="10867">
          <cell r="B10867" t="str">
            <v>40-374-00-07</v>
          </cell>
          <cell r="C10867" t="str">
            <v>ZAHNZANGE, MARTIN-FINO, FIG. 74</v>
          </cell>
          <cell r="D10867" t="str">
            <v>FORCEPS  MARTIN FINO   FIG74</v>
          </cell>
        </row>
        <row r="10868">
          <cell r="B10868" t="str">
            <v>40-374-01-07</v>
          </cell>
          <cell r="C10868" t="str">
            <v>ZAHNZANGE, MARTIN-FINO, FIG. 74N</v>
          </cell>
          <cell r="D10868" t="str">
            <v>FORCEPS  MARTIN FINO   FIG74N</v>
          </cell>
        </row>
        <row r="10869">
          <cell r="B10869" t="str">
            <v>40-379-00-07</v>
          </cell>
          <cell r="C10869" t="str">
            <v>ZAHNZANGE, MARTIN-FINO, FIG. 79</v>
          </cell>
          <cell r="D10869" t="str">
            <v>FORCEPS   MARTIN FINO  FIG79</v>
          </cell>
        </row>
        <row r="10870">
          <cell r="B10870" t="str">
            <v>40-401-00-07</v>
          </cell>
          <cell r="C10870" t="str">
            <v>ZAHNZANGE, MARTIN-ERGO, DIAM., FIG. 1</v>
          </cell>
          <cell r="D10870" t="str">
            <v>MARTIN ERGO EXTR. FCPS, FIG. 1, DIAM.</v>
          </cell>
        </row>
        <row r="10871">
          <cell r="B10871" t="str">
            <v>40-413-00-07</v>
          </cell>
          <cell r="C10871" t="str">
            <v>ZAHNZANGE, MARTIN-ERGO, DIAM., FIG. 13</v>
          </cell>
          <cell r="D10871" t="str">
            <v>MARTIN ERGO EXTR. FCPS, FIG. 13, DIAM.</v>
          </cell>
        </row>
        <row r="10872">
          <cell r="B10872" t="str">
            <v>40-422-00-07</v>
          </cell>
          <cell r="C10872" t="str">
            <v>ZAHNZANGE, MARTIN-ERGO, DIAM., FIG. 22</v>
          </cell>
          <cell r="D10872" t="str">
            <v>MARTIN ERGO EXTR. FCPS, FIG. 22, DIAM.</v>
          </cell>
        </row>
        <row r="10873">
          <cell r="B10873" t="str">
            <v>40-433-00-07</v>
          </cell>
          <cell r="C10873" t="str">
            <v>ZAHNZANGE, MARTIN-ERGO, DIAM., FIG. 33</v>
          </cell>
          <cell r="D10873" t="str">
            <v>MARTIN ERGO EXTR. FCPS, FIG. 33, DIAM.</v>
          </cell>
        </row>
        <row r="10874">
          <cell r="B10874" t="str">
            <v>40-446-00-07</v>
          </cell>
          <cell r="C10874" t="str">
            <v>ZAHNZANGE, MARTIN-ERGO, DIAM., FIG. 46L</v>
          </cell>
          <cell r="D10874" t="str">
            <v>MARTIN ERGO EXTR. FCPS, FIG. 46L, DIAM.</v>
          </cell>
        </row>
        <row r="10875">
          <cell r="B10875" t="str">
            <v>40-449-00-07</v>
          </cell>
          <cell r="C10875" t="str">
            <v>ZAHNZANGE, MARTIN-ERGO, DIAM., FIG. 49</v>
          </cell>
          <cell r="D10875" t="str">
            <v>MARTIN ERGO EXTR. FCPS, FIG. 49, DIAM.</v>
          </cell>
        </row>
        <row r="10876">
          <cell r="B10876" t="str">
            <v>40-451-00-07</v>
          </cell>
          <cell r="C10876" t="str">
            <v>ZAHNZANGE, MARTIN-ERGO, DIAM., FIG. 51</v>
          </cell>
          <cell r="D10876" t="str">
            <v>MARTIN ERGO EXTR. FCPS, FIG. 51, DIAM.</v>
          </cell>
        </row>
        <row r="10877">
          <cell r="B10877" t="str">
            <v>40-451-01-07</v>
          </cell>
          <cell r="C10877" t="str">
            <v>ZAHNZANGE, MARTIN-ERGO, DIAM., FIG. 51A</v>
          </cell>
          <cell r="D10877" t="str">
            <v>MARTIN ERGO EXTR. FCPS, FIG. 51A, DIAM.</v>
          </cell>
        </row>
        <row r="10878">
          <cell r="B10878" t="str">
            <v>40-467-01-07</v>
          </cell>
          <cell r="C10878" t="str">
            <v>ZAHNZANGE, MARTIN-ERGO, DIAM., FIG. 67A</v>
          </cell>
          <cell r="D10878" t="str">
            <v>MARTIN ERGO EXTR. FCPS, FIG. 67A, DIAM.</v>
          </cell>
        </row>
        <row r="10879">
          <cell r="B10879" t="str">
            <v>40-474-00-07</v>
          </cell>
          <cell r="C10879" t="str">
            <v>ZAHNZANGE, MARTIN-ERGO, DIAM., FIG. 74N</v>
          </cell>
          <cell r="D10879" t="str">
            <v>MARTIN ERGO EXTR. FCPS, FIG. 74N, DIAM.</v>
          </cell>
        </row>
        <row r="10880">
          <cell r="B10880" t="str">
            <v>40-479-00-07</v>
          </cell>
          <cell r="C10880" t="str">
            <v>ZAHNZANGE, MARTIN-ERGO, DIAM., FIG. 79</v>
          </cell>
          <cell r="D10880" t="str">
            <v>MARTIN ERGO EXTR. FCPS, FIG. 79, DIAM.</v>
          </cell>
        </row>
        <row r="10881">
          <cell r="B10881" t="str">
            <v>40-497-00-07</v>
          </cell>
          <cell r="C10881" t="str">
            <v>ZAHNZANGE, MARTIN-ERGO, DIAM., FIG. 97</v>
          </cell>
          <cell r="D10881" t="str">
            <v>MARTIN ERGO EXTR. FCPS, FIG. 97, DIAM.</v>
          </cell>
        </row>
        <row r="10882">
          <cell r="B10882" t="str">
            <v>40-613-09-07</v>
          </cell>
          <cell r="C10882" t="str">
            <v>KINDER-ZAHNZANGE, ENGL. FORM, FIG. 13S</v>
          </cell>
          <cell r="D10882" t="str">
            <v>CHILDREN  FCPS.ENGL.PAT F13S</v>
          </cell>
        </row>
        <row r="10883">
          <cell r="B10883" t="str">
            <v>40-622-09-07</v>
          </cell>
          <cell r="C10883" t="str">
            <v>KINDER-ZAHNZANGE, ENGL. FORM, FIG. 22S</v>
          </cell>
          <cell r="D10883" t="str">
            <v>CHILDREN  FCPS.ENGL.PAT F22S</v>
          </cell>
        </row>
        <row r="10884">
          <cell r="B10884" t="str">
            <v>40-630-09-07</v>
          </cell>
          <cell r="C10884" t="str">
            <v>KINDER-ZAHNZANGE, ENGL. FORM, 30S</v>
          </cell>
          <cell r="D10884" t="str">
            <v>CHILDREN  FCPS.ENGL.PAT F30S</v>
          </cell>
        </row>
        <row r="10885">
          <cell r="B10885" t="str">
            <v>40-633-09-07</v>
          </cell>
          <cell r="C10885" t="str">
            <v>KINDER-ZAHNZANGE, ENGL. FORM, FIG. 33S</v>
          </cell>
          <cell r="D10885" t="str">
            <v>CHILDREN  FCPS.ENGL.PAT F33S</v>
          </cell>
        </row>
        <row r="10886">
          <cell r="B10886" t="str">
            <v>40-637-00-07</v>
          </cell>
          <cell r="C10886" t="str">
            <v>KINDER-ZAHNZANGE, ENGL. FORM, FIG. 37</v>
          </cell>
          <cell r="D10886" t="str">
            <v>CHILDREN  FCPS.ENGL.PAT F37</v>
          </cell>
        </row>
        <row r="10887">
          <cell r="B10887" t="str">
            <v>40-638-00-07</v>
          </cell>
          <cell r="C10887" t="str">
            <v>KINDER-ZAHNZANGE, ENGL. FORM, FIG. 38</v>
          </cell>
          <cell r="D10887" t="str">
            <v>CHILDREN  FCPS.ENGL.PAT F38</v>
          </cell>
        </row>
        <row r="10888">
          <cell r="B10888" t="str">
            <v>40-639-00-07</v>
          </cell>
          <cell r="C10888" t="str">
            <v>KINDER-ZAHNZANGE, ENGL. FORM, FIG. 39</v>
          </cell>
          <cell r="D10888" t="str">
            <v>CHILDREN  FCPS.ENGL.PAT F39</v>
          </cell>
        </row>
        <row r="10889">
          <cell r="B10889" t="str">
            <v>40-639-05-07</v>
          </cell>
          <cell r="C10889" t="str">
            <v>KINDER-ZAHNZANGE, ENGL. FORM, FIG. 39L</v>
          </cell>
          <cell r="D10889" t="str">
            <v>CHILDREN  FCPS.ENGL.PAT.F39L</v>
          </cell>
        </row>
        <row r="10890">
          <cell r="B10890" t="str">
            <v>40-639-08-07</v>
          </cell>
          <cell r="C10890" t="str">
            <v>KINDER-ZAHNZANGE, ENGL. FORM, FIG. 39R</v>
          </cell>
          <cell r="D10890" t="str">
            <v>CHILDREN  FCPS.ENGL.PAT.F39R</v>
          </cell>
        </row>
        <row r="10891">
          <cell r="B10891" t="str">
            <v>40-640-00-07</v>
          </cell>
          <cell r="C10891" t="str">
            <v>KINDER-ZAHNZANGE, ENGL. FORM, FIG. 40</v>
          </cell>
          <cell r="D10891" t="str">
            <v>CHILDREN  FCPS.ENGL.PAT.F40</v>
          </cell>
        </row>
        <row r="10892">
          <cell r="B10892" t="str">
            <v>40-651-09-07</v>
          </cell>
          <cell r="C10892" t="str">
            <v>KINDER-ZAHZANGE, ENGL. FORM, FIG. 51S</v>
          </cell>
          <cell r="D10892" t="str">
            <v>CHILDREN  FCPS.ENGL.PAT.F51S</v>
          </cell>
        </row>
        <row r="10893">
          <cell r="B10893" t="str">
            <v>40-676-09-07</v>
          </cell>
          <cell r="C10893" t="str">
            <v>KIND.-ZAHNZANGE, LAWRENCE-READ, FIG. 76S</v>
          </cell>
          <cell r="D10893" t="str">
            <v>LAWRENCE READ CHILD.FCPS.76S</v>
          </cell>
        </row>
        <row r="10894">
          <cell r="B10894" t="str">
            <v>40-703-00-07</v>
          </cell>
          <cell r="C10894" t="str">
            <v>KLEINKINDER-ZAHNZANGE, FIG. 3</v>
          </cell>
          <cell r="D10894" t="str">
            <v>KLEIN CHILDREN  FCPS FG.3</v>
          </cell>
        </row>
        <row r="10895">
          <cell r="B10895" t="str">
            <v>40-705-00-07</v>
          </cell>
          <cell r="C10895" t="str">
            <v>KLEINKINDER-ZAHNZANGE, FIG. 5</v>
          </cell>
          <cell r="D10895" t="str">
            <v>KLEIN CHILDEN  FCPS FG.5</v>
          </cell>
        </row>
        <row r="10896">
          <cell r="B10896" t="str">
            <v>40-706-00-07</v>
          </cell>
          <cell r="C10896" t="str">
            <v>KLEINKINDER-ZAHNZANGE, FIG. 6</v>
          </cell>
          <cell r="D10896" t="str">
            <v>KLEIN CHILDREN  FCPS FG.6</v>
          </cell>
        </row>
        <row r="10897">
          <cell r="B10897" t="str">
            <v>40-707-00-07</v>
          </cell>
          <cell r="C10897" t="str">
            <v>KLEINKINDER-ZAHNZANGE, FIG. 7</v>
          </cell>
          <cell r="D10897" t="str">
            <v>KLEIN CHILDREN  FCPS FG.7</v>
          </cell>
        </row>
        <row r="10898">
          <cell r="B10898" t="str">
            <v>40-737-00-07</v>
          </cell>
          <cell r="C10898" t="str">
            <v>KLEINKINDER-ZAHNZANGE, FIG. 137</v>
          </cell>
          <cell r="D10898" t="str">
            <v>KLEIN CHILDREN  FCPS FG.137</v>
          </cell>
        </row>
        <row r="10899">
          <cell r="B10899" t="str">
            <v>40-739-00-07</v>
          </cell>
          <cell r="C10899" t="str">
            <v>KLEINKINDER-ZAHNZANGE, FIG. 139</v>
          </cell>
          <cell r="D10899" t="str">
            <v>KLEIN CHILDREN  FCPS FG.139</v>
          </cell>
        </row>
        <row r="10900">
          <cell r="B10900" t="str">
            <v>40-751-09-07</v>
          </cell>
          <cell r="C10900" t="str">
            <v>KLEINKINDER-ZAHNZANGE, FIG. 51S</v>
          </cell>
          <cell r="D10900" t="str">
            <v>KLEIN CHILDREN  FCPS FG.51S</v>
          </cell>
        </row>
        <row r="10901">
          <cell r="B10901" t="str">
            <v>40-817-09-07</v>
          </cell>
          <cell r="C10901" t="str">
            <v>KINDER-ZAHNZANGE, MOD. USA, FIG. 17C</v>
          </cell>
          <cell r="D10901" t="str">
            <v>CHILDREN  FCPS.AM.PAT.FG17SK</v>
          </cell>
        </row>
        <row r="10902">
          <cell r="B10902" t="str">
            <v>40-850-09-07</v>
          </cell>
          <cell r="C10902" t="str">
            <v>KINDER-ZAHNZANGE, MOD. USA, FIG. 150SK</v>
          </cell>
          <cell r="D10902" t="str">
            <v>CHILDREN  FCPS.AM.PAT.FG150SK</v>
          </cell>
        </row>
        <row r="10903">
          <cell r="B10903" t="str">
            <v>40-851-09-07</v>
          </cell>
          <cell r="C10903" t="str">
            <v>KINDER-ZAHNZANGE, MOD. USA, FIG. 151SK</v>
          </cell>
          <cell r="D10903" t="str">
            <v>CHILDREN  FCPS.AM.PAT.FG151SK</v>
          </cell>
        </row>
        <row r="10904">
          <cell r="B10904" t="str">
            <v>41-001-00-07</v>
          </cell>
          <cell r="C10904" t="str">
            <v>ZAHNZANGE, MODELL USA, FIG. 1</v>
          </cell>
          <cell r="D10904" t="str">
            <v>EXTR.FCPS.STANDARD FIG.1</v>
          </cell>
        </row>
        <row r="10905">
          <cell r="B10905" t="str">
            <v>41-010-09-07</v>
          </cell>
          <cell r="C10905" t="str">
            <v>ZAHNZANGE, MODELL USA, FIG. 10S</v>
          </cell>
          <cell r="D10905" t="str">
            <v>EXTR.FCPS.AMERIC.PAT.F.10S</v>
          </cell>
        </row>
        <row r="10906">
          <cell r="B10906" t="str">
            <v>41-016-00-07</v>
          </cell>
          <cell r="C10906" t="str">
            <v>ZAHNZANGE, MODELL USA, FIG. 16</v>
          </cell>
          <cell r="D10906" t="str">
            <v>EXTR.FCPS.AMERIC.PAT.FIG16</v>
          </cell>
        </row>
        <row r="10907">
          <cell r="B10907" t="str">
            <v>41-023-00-07</v>
          </cell>
          <cell r="C10907" t="str">
            <v>ZAHNZANGE, MODELL USA, FIG. 23</v>
          </cell>
          <cell r="D10907" t="str">
            <v>EXTR.FCPS.AMERIC.PAT.F.23</v>
          </cell>
        </row>
        <row r="10908">
          <cell r="B10908" t="str">
            <v>41-032-00-07</v>
          </cell>
          <cell r="C10908" t="str">
            <v>ZAHNZANGE N. PARMLY,  MOD. USA, FIG. 32</v>
          </cell>
          <cell r="D10908" t="str">
            <v>PARMLY EXTR.FCPS.FIG.32</v>
          </cell>
        </row>
        <row r="10909">
          <cell r="B10909" t="str">
            <v>41-053-05-07</v>
          </cell>
          <cell r="C10909" t="str">
            <v>ZAHNZANGE, MODELL USA, FIG. 53L</v>
          </cell>
          <cell r="D10909" t="str">
            <v>EXTR.FCPS.AMERIC.PAT.F.53L</v>
          </cell>
        </row>
        <row r="10910">
          <cell r="B10910" t="str">
            <v>41-053-08-07</v>
          </cell>
          <cell r="C10910" t="str">
            <v>ZAHNZANGE, MODELL USA, FIG. 53R</v>
          </cell>
          <cell r="D10910" t="str">
            <v>EXTR.FCPS.AMERIC.PAT.F.53R</v>
          </cell>
        </row>
        <row r="10911">
          <cell r="B10911" t="str">
            <v>41-062-00-07</v>
          </cell>
          <cell r="C10911" t="str">
            <v>ZAHNZANGE, MODELL USA, FIG. 62</v>
          </cell>
          <cell r="D10911" t="str">
            <v>EXTR.FCPS.AMERIC.PAT.F62</v>
          </cell>
        </row>
        <row r="10912">
          <cell r="B10912" t="str">
            <v>41-065-00-07</v>
          </cell>
          <cell r="C10912" t="str">
            <v>ZAHNZANGE, MODELL USA, FIG. 65</v>
          </cell>
          <cell r="D10912" t="str">
            <v>EXTR.FCPS.AMERIC.PAT.F.65</v>
          </cell>
        </row>
        <row r="10913">
          <cell r="B10913" t="str">
            <v>41-069-00-07</v>
          </cell>
          <cell r="C10913" t="str">
            <v>ZAHNZANGE N. TOMES, MOD. USA, FIG. 69</v>
          </cell>
          <cell r="D10913" t="str">
            <v>TOMES EXTR.FCPS.FIG.69</v>
          </cell>
        </row>
        <row r="10914">
          <cell r="B10914" t="str">
            <v>41-088-05-07</v>
          </cell>
          <cell r="C10914" t="str">
            <v>ZAHNZANGE N. NEVIUS, MOD. USA, FIG. 88L</v>
          </cell>
          <cell r="D10914" t="str">
            <v>NEVIUS EXTR.FCPS.FIG 88L</v>
          </cell>
        </row>
        <row r="10915">
          <cell r="B10915" t="str">
            <v>41-088-08-07</v>
          </cell>
          <cell r="C10915" t="str">
            <v>ZAHNZANGE N. NEVIUS, MOD. USA, FIG. 88R</v>
          </cell>
          <cell r="D10915" t="str">
            <v>NEVIUS EXTR.FCPS.FIG 88R</v>
          </cell>
        </row>
        <row r="10916">
          <cell r="B10916" t="str">
            <v>41-150-00-07</v>
          </cell>
          <cell r="C10916" t="str">
            <v>ZAHNZANGE N. CRYER, MOD. USA, FIG. 150</v>
          </cell>
          <cell r="D10916" t="str">
            <v>CRYER EXTR.FCPS.A.P.FG 150</v>
          </cell>
        </row>
        <row r="10917">
          <cell r="B10917" t="str">
            <v>41-151-00-07</v>
          </cell>
          <cell r="C10917" t="str">
            <v>ZAHNZANGE N. CRYER, MOD. USA, FIG. 151</v>
          </cell>
          <cell r="D10917" t="str">
            <v>CRYER EXTR.FCPS.AM.PAT.FIG. 151</v>
          </cell>
        </row>
        <row r="10918">
          <cell r="B10918" t="str">
            <v>41-151-01-07</v>
          </cell>
          <cell r="C10918" t="str">
            <v>ZAHNZANGE N. CRYER, MOD. USA, FIG. 151A</v>
          </cell>
          <cell r="D10918" t="str">
            <v>CRYER EXTR.FCPS.AM.PAT.FIG. 151A</v>
          </cell>
        </row>
        <row r="10919">
          <cell r="B10919" t="str">
            <v>41-151-09-07</v>
          </cell>
          <cell r="C10919" t="str">
            <v>KINDER-ZAHNZANGE N. CRYER, FIG. 151S</v>
          </cell>
          <cell r="D10919" t="str">
            <v>CRYER CHILDREN  FCPS. FIG.151S</v>
          </cell>
        </row>
        <row r="10920">
          <cell r="B10920" t="str">
            <v>41-222-00-07</v>
          </cell>
          <cell r="C10920" t="str">
            <v>ZAHNZANGE, MODELL USA, FIG. 222</v>
          </cell>
          <cell r="D10920" t="str">
            <v>EXTR.FCPS.AM.PAT.FIG.222</v>
          </cell>
        </row>
        <row r="10921">
          <cell r="B10921" t="str">
            <v>41-500-00-07</v>
          </cell>
          <cell r="C10921" t="str">
            <v>ZAHNZANGE FUER PRAEMOLAREN</v>
          </cell>
          <cell r="D10921" t="str">
            <v>EXTRACTING FORCEPS  FOR BISCUSPIDS</v>
          </cell>
        </row>
        <row r="10922">
          <cell r="B10922" t="str">
            <v>41-501-00-07</v>
          </cell>
          <cell r="C10922" t="str">
            <v>WURZELSPLITTERZANGE N. WITZEL, FIG. 501</v>
          </cell>
          <cell r="D10922" t="str">
            <v>WITZEL ROOT EXTR. FCPS FIG. 501</v>
          </cell>
        </row>
        <row r="10923">
          <cell r="B10923" t="str">
            <v>41-502-00-07</v>
          </cell>
          <cell r="C10923" t="str">
            <v>WURZELSPLITTERZANGE N. WITZEL, FIG. 502</v>
          </cell>
          <cell r="D10923" t="str">
            <v>WITZEL ROOT EXTR. FCPS</v>
          </cell>
        </row>
        <row r="10924">
          <cell r="B10924" t="str">
            <v>42-001-05-07</v>
          </cell>
          <cell r="C10924" t="str">
            <v>WURZELHEBER, FIG. 1L</v>
          </cell>
          <cell r="D10924" t="str">
            <v>ROOT ELEVATOR,  FIG. 1L</v>
          </cell>
        </row>
        <row r="10925">
          <cell r="B10925" t="str">
            <v>42-001-08-07</v>
          </cell>
          <cell r="C10925" t="str">
            <v>WURZELHEBER, FIG. 1R</v>
          </cell>
          <cell r="D10925" t="str">
            <v>ROOT ELEVATOR,  FIG. 1R</v>
          </cell>
        </row>
        <row r="10926">
          <cell r="B10926" t="str">
            <v>42-002-00-07</v>
          </cell>
          <cell r="C10926" t="str">
            <v>WURZELHEBER N. SELDIN, FIG. 2</v>
          </cell>
          <cell r="D10926" t="str">
            <v>SELDIN ROOT ELEVATOR,  FIG. 2</v>
          </cell>
        </row>
        <row r="10927">
          <cell r="B10927" t="str">
            <v>42-003-00-07</v>
          </cell>
          <cell r="C10927" t="str">
            <v>WURZELHEBER N. SELDIN, FIG. 3</v>
          </cell>
          <cell r="D10927" t="str">
            <v>SELDIN ROOT ELEVATOR,  FIG. 3</v>
          </cell>
        </row>
        <row r="10928">
          <cell r="B10928" t="str">
            <v>42-003-01-07</v>
          </cell>
          <cell r="C10928" t="str">
            <v>WURZELHEBER N. CRYER, FIG. 3A</v>
          </cell>
          <cell r="D10928" t="str">
            <v>CRYER ROOT ELEVATOR,  FIG. 3A</v>
          </cell>
        </row>
        <row r="10929">
          <cell r="B10929" t="str">
            <v>42-004-05-07</v>
          </cell>
          <cell r="C10929" t="str">
            <v>WURZELHEBER N. SELDIN, FIG. 4L</v>
          </cell>
          <cell r="D10929" t="str">
            <v>SELDIN ROOT ELEVATOR  FIG. 4L</v>
          </cell>
        </row>
        <row r="10930">
          <cell r="B10930" t="str">
            <v>42-004-08-07</v>
          </cell>
          <cell r="C10930" t="str">
            <v>WURZELHEBER N. SELDIN, FIG. 4R</v>
          </cell>
          <cell r="D10930" t="str">
            <v>SELDIN ROOT ELEVATOR  FIG. 4R</v>
          </cell>
        </row>
        <row r="10931">
          <cell r="B10931" t="str">
            <v>42-006-00-07</v>
          </cell>
          <cell r="C10931" t="str">
            <v>WURZELHEBER, FIG. 6</v>
          </cell>
          <cell r="D10931" t="str">
            <v>ROOT ELEVATOR,  FIG. 6</v>
          </cell>
        </row>
        <row r="10932">
          <cell r="B10932" t="str">
            <v>42-008-00-07</v>
          </cell>
          <cell r="C10932" t="str">
            <v>WURZELHEBER, FIG.  8</v>
          </cell>
          <cell r="D10932" t="str">
            <v>ROOT ELEVATOR  FIG. 8</v>
          </cell>
        </row>
        <row r="10933">
          <cell r="B10933" t="str">
            <v>42-009-00-07</v>
          </cell>
          <cell r="C10933" t="str">
            <v>WURZELHEBER, FIG.  9</v>
          </cell>
          <cell r="D10933" t="str">
            <v>ROOT ELEVATOR,  FIG. 9</v>
          </cell>
        </row>
        <row r="10934">
          <cell r="B10934" t="str">
            <v>42-010-00-07</v>
          </cell>
          <cell r="C10934" t="str">
            <v>WURZELHEBER, FIG. 10</v>
          </cell>
          <cell r="D10934" t="str">
            <v>ROOT ELEVATOR,  FIG. 10</v>
          </cell>
        </row>
        <row r="10935">
          <cell r="B10935" t="str">
            <v>42-011-00-07</v>
          </cell>
          <cell r="C10935" t="str">
            <v>WURZELHEBER, FIG. 11</v>
          </cell>
          <cell r="D10935" t="str">
            <v>ROOT ELEVATOR  FIG. 11</v>
          </cell>
        </row>
        <row r="10936">
          <cell r="B10936" t="str">
            <v>42-012-00-07</v>
          </cell>
          <cell r="C10936" t="str">
            <v>WURZELHEBER, FIG. 12</v>
          </cell>
          <cell r="D10936" t="str">
            <v>ROOT ELEVATOR,  FIG. 12</v>
          </cell>
        </row>
        <row r="10937">
          <cell r="B10937" t="str">
            <v>42-027-00-07</v>
          </cell>
          <cell r="C10937" t="str">
            <v>WURZELHEBER N. CRYER, FIG. 27</v>
          </cell>
          <cell r="D10937" t="str">
            <v>CRYER ROOT ELEVATOR  FIG. 27</v>
          </cell>
        </row>
        <row r="10938">
          <cell r="B10938" t="str">
            <v>42-028-00-07</v>
          </cell>
          <cell r="C10938" t="str">
            <v>WURZELHEBER N. CRYER, FIG. 28</v>
          </cell>
          <cell r="D10938" t="str">
            <v>CRYER ROOT ELEVATOR  FIG. 28</v>
          </cell>
        </row>
        <row r="10939">
          <cell r="B10939" t="str">
            <v>42-034-00-07</v>
          </cell>
          <cell r="C10939" t="str">
            <v>WURZELHEBER N. SELDIN, FIG. 34</v>
          </cell>
          <cell r="D10939" t="str">
            <v>SELDIN ROOT ELEVATOR,  FIG. 34</v>
          </cell>
        </row>
        <row r="10940">
          <cell r="B10940" t="str">
            <v>42-034-09-07</v>
          </cell>
          <cell r="C10940" t="str">
            <v>WURZELHEBER N. SELDIN, FIG. 32S</v>
          </cell>
          <cell r="D10940" t="str">
            <v>SELDIN ROOT ELEVATOR,  FIG. 34 S</v>
          </cell>
        </row>
        <row r="10941">
          <cell r="B10941" t="str">
            <v>42-039-00-07</v>
          </cell>
          <cell r="C10941" t="str">
            <v>WURZELHEBER N. CRYER, FIG. 39</v>
          </cell>
          <cell r="D10941" t="str">
            <v>CRYER ROOT ELEVATOR,  FIG. 39</v>
          </cell>
        </row>
        <row r="10942">
          <cell r="B10942" t="str">
            <v>42-040-00-07</v>
          </cell>
          <cell r="C10942" t="str">
            <v>WURZELHEBER N. CRYER, FIG. 40</v>
          </cell>
          <cell r="D10942" t="str">
            <v>CRYER ROOT ELEVATOR  FIG. 40</v>
          </cell>
        </row>
        <row r="10943">
          <cell r="B10943" t="str">
            <v>42-046-00-07</v>
          </cell>
          <cell r="C10943" t="str">
            <v>WURZELHEBER N. FLOHR, FIG. 46</v>
          </cell>
          <cell r="D10943" t="str">
            <v>FLOHR ROOT ELEVATOR  FIG. 46</v>
          </cell>
        </row>
        <row r="10944">
          <cell r="B10944" t="str">
            <v>42-050-00-07</v>
          </cell>
          <cell r="C10944" t="str">
            <v>WURZELHEBER, FIG. 50</v>
          </cell>
          <cell r="D10944" t="str">
            <v>ROOT ELEVATOR  FIG. 50</v>
          </cell>
        </row>
        <row r="10945">
          <cell r="B10945" t="str">
            <v>42-051-00-07</v>
          </cell>
          <cell r="C10945" t="str">
            <v>WURZELHEBER, FIG. 51</v>
          </cell>
          <cell r="D10945" t="str">
            <v>ROOT ELEVATOR,  FIG. 51</v>
          </cell>
        </row>
        <row r="10946">
          <cell r="B10946" t="str">
            <v>42-200-01-07</v>
          </cell>
          <cell r="C10946" t="str">
            <v>WURZELHEBER, LINDO LEVIAN, FIG. 1, 3 MM</v>
          </cell>
          <cell r="D10946" t="str">
            <v>LINDO LEVIAN ROOT ELEV. FIG. 1, 3 MM</v>
          </cell>
        </row>
        <row r="10947">
          <cell r="B10947" t="str">
            <v>42-200-03-07</v>
          </cell>
          <cell r="C10947" t="str">
            <v>WURZELHEBER, LINDO LEVIAN, FIG. 3, 4 MM</v>
          </cell>
          <cell r="D10947" t="str">
            <v>LINDO LEVIAN ROOT ELEV. FIG. 3, 4 MM</v>
          </cell>
        </row>
        <row r="10948">
          <cell r="B10948" t="str">
            <v>42-204-00-07</v>
          </cell>
          <cell r="C10948" t="str">
            <v>WURZELHEBER, FIG. 1,3 S, 1,2 MM</v>
          </cell>
          <cell r="D10948" t="str">
            <v>ROOT ELEV. FIG. 1,3 S, 1,2 MM</v>
          </cell>
        </row>
        <row r="10949">
          <cell r="B10949" t="str">
            <v>42-204-01-07</v>
          </cell>
          <cell r="C10949" t="str">
            <v>WURZELHEBER, FIG. 1,8 S, 1,7 MM</v>
          </cell>
          <cell r="D10949" t="str">
            <v>ROOT ELEV. FIG. 1,8 S, 1,7 MM</v>
          </cell>
        </row>
        <row r="10950">
          <cell r="B10950" t="str">
            <v>42-204-02-07</v>
          </cell>
          <cell r="C10950" t="str">
            <v>WURZELHEBER, FIG. 2,3 S, 2,2 MM</v>
          </cell>
          <cell r="D10950" t="str">
            <v>ROOT ELEV. FIG. 2,3 S, 2,2 MM</v>
          </cell>
        </row>
        <row r="10951">
          <cell r="B10951" t="str">
            <v>42-205-00-07</v>
          </cell>
          <cell r="C10951" t="str">
            <v>WURZELHEBER, FIG. 1,3 C, GEB., 1,2 MM</v>
          </cell>
          <cell r="D10951" t="str">
            <v>ROOT ELEV., FIG. 1,3 C, CURVED,  1,2 MM</v>
          </cell>
        </row>
        <row r="10952">
          <cell r="B10952" t="str">
            <v>42-205-01-07</v>
          </cell>
          <cell r="C10952" t="str">
            <v>WURZELHEBER, FIG. 1,3 RC, GEB., 1,2 MM</v>
          </cell>
          <cell r="D10952" t="str">
            <v>ROOT ELEV., FIG. 1,3 RC, CURVED,  1,2 MM</v>
          </cell>
        </row>
        <row r="10953">
          <cell r="B10953" t="str">
            <v>42-220-01-07</v>
          </cell>
          <cell r="C10953" t="str">
            <v>LUXATOR  N. BEIN, GERADE,  FIG. 1, 2 MM</v>
          </cell>
          <cell r="D10953" t="str">
            <v>BEIN LUX. ROOT ELEV. FIG. 1, 2 MM</v>
          </cell>
        </row>
        <row r="10954">
          <cell r="B10954" t="str">
            <v>42-220-02-07</v>
          </cell>
          <cell r="C10954" t="str">
            <v>LUXATOR  N. BEIN, GERADE,  FIG. 2, 3 MM</v>
          </cell>
          <cell r="D10954" t="str">
            <v>BEIN LUX. ROOT ELEV. FIG. 2 3 MM</v>
          </cell>
        </row>
        <row r="10955">
          <cell r="B10955" t="str">
            <v>42-220-03-07</v>
          </cell>
          <cell r="C10955" t="str">
            <v>LUXATOR  N. BEIN, GERADE,  FIG. 3, 4 MM</v>
          </cell>
          <cell r="D10955" t="str">
            <v>BEIN LUX. ROOT ELEV. FIG. 3, 4 MM</v>
          </cell>
        </row>
        <row r="10956">
          <cell r="B10956" t="str">
            <v>42-220-04-07</v>
          </cell>
          <cell r="C10956" t="str">
            <v>LUXATOR  N. BEIN, GERADE,  FIG. 4, 5 MM</v>
          </cell>
          <cell r="D10956" t="str">
            <v>BEIN LUX. ROOT ELEV. FIG. 4, 5 MM</v>
          </cell>
        </row>
        <row r="10957">
          <cell r="B10957" t="str">
            <v>42-221-01-07</v>
          </cell>
          <cell r="C10957" t="str">
            <v>LUXATOR  N. BEIN, GEBOGEN,  FIG. 1A, 2 MM</v>
          </cell>
          <cell r="D10957" t="str">
            <v>BEIN LUX. ROOT ELEV. FIG. 1A, 2 MM</v>
          </cell>
        </row>
        <row r="10958">
          <cell r="B10958" t="str">
            <v>42-221-02-07</v>
          </cell>
          <cell r="C10958" t="str">
            <v>LUXATOR  N. BEIN, GEBOGEN,  FIG. 2A, 3 MM</v>
          </cell>
          <cell r="D10958" t="str">
            <v>BEIN LUX. ROOT ELEV. FIG. 2A, 3 MM</v>
          </cell>
        </row>
        <row r="10959">
          <cell r="B10959" t="str">
            <v>42-221-03-07</v>
          </cell>
          <cell r="C10959" t="str">
            <v>LUXATOR  N. BEIN, GEBOGEN,  FIG. 3A, 4 MM</v>
          </cell>
          <cell r="D10959" t="str">
            <v>BEIN LUX. ROOT ELEV. FIG. 3A, 4 MM</v>
          </cell>
        </row>
        <row r="10960">
          <cell r="B10960" t="str">
            <v>42-221-04-07</v>
          </cell>
          <cell r="C10960" t="str">
            <v>LUXATOR  N. BEIN, GEBOGEN,  FIG. 4A, 5 MM</v>
          </cell>
          <cell r="D10960" t="str">
            <v>BEIN LUX. ROOT ELEV. FIG. 4A, 5 MM</v>
          </cell>
        </row>
        <row r="10961">
          <cell r="B10961" t="str">
            <v>42-222-01-07</v>
          </cell>
          <cell r="C10961" t="str">
            <v>LUXATOR,  APICAL, GERADE,  FIG. 1, 2 MM</v>
          </cell>
          <cell r="D10961" t="str">
            <v>APICAL LUX. ROOT ELEV. FIG. 1, 2 MM</v>
          </cell>
        </row>
        <row r="10962">
          <cell r="B10962" t="str">
            <v>42-222-02-07</v>
          </cell>
          <cell r="C10962" t="str">
            <v>LUXATOR,  APICAL, GERADE,  FIG. 2, 3 MM</v>
          </cell>
          <cell r="D10962" t="str">
            <v>APICAL LUX. ROOT ELEV. FIG. 2, 3 MM</v>
          </cell>
        </row>
        <row r="10963">
          <cell r="B10963" t="str">
            <v>42-222-03-07</v>
          </cell>
          <cell r="C10963" t="str">
            <v>LUXATOR,  APICAL, GERADE,  FIG. 3, 4 MM</v>
          </cell>
          <cell r="D10963" t="str">
            <v>APICAL LUXATOR  ROOT ELEV. FIG. 3, 4 MM</v>
          </cell>
        </row>
        <row r="10964">
          <cell r="B10964" t="str">
            <v>42-222-04-07</v>
          </cell>
          <cell r="C10964" t="str">
            <v>LUXATOR,  APICAL, GERADE,  FIG. 4, 5 MM</v>
          </cell>
          <cell r="D10964" t="str">
            <v>APICAL LUXATOR,  ROOT ELEV. FIG. 4, 5 MM</v>
          </cell>
        </row>
        <row r="10965">
          <cell r="B10965" t="str">
            <v>42-223-01-07</v>
          </cell>
          <cell r="C10965" t="str">
            <v>LUXATOR,  APICAL, GEBOGEN,  FIG. 1A, 2 MM</v>
          </cell>
          <cell r="D10965" t="str">
            <v>APICAL LUX. ROOT ELEV. CUR. FIG 1A, 2 MM</v>
          </cell>
        </row>
        <row r="10966">
          <cell r="B10966" t="str">
            <v>42-223-02-07</v>
          </cell>
          <cell r="C10966" t="str">
            <v>LUXATOR,  APICAL, GEBOGEN,  FIG. 2A, 3 MM</v>
          </cell>
          <cell r="D10966" t="str">
            <v>APICAL LUX. ROOT ELEV. CUR. FIG 2A, 3 MM</v>
          </cell>
        </row>
        <row r="10967">
          <cell r="B10967" t="str">
            <v>42-223-03-07</v>
          </cell>
          <cell r="C10967" t="str">
            <v>LUXATOR,  APICAL, GEBOGEN,  FIG. 3A, 4 MM</v>
          </cell>
          <cell r="D10967" t="str">
            <v>APICAL LUX. ROOT ELEV. CUR. FIG 3A, 4 MM</v>
          </cell>
        </row>
        <row r="10968">
          <cell r="B10968" t="str">
            <v>42-223-04-07</v>
          </cell>
          <cell r="C10968" t="str">
            <v>LUXATOR,  APICAL, GEBOGEN,  FIG. 4A, 5 MM</v>
          </cell>
          <cell r="D10968" t="str">
            <v>APICAL LUX. ROOT ELEV. CUR. FIG 4A, 5 MM</v>
          </cell>
        </row>
        <row r="10969">
          <cell r="B10969" t="str">
            <v>42-301-00-07</v>
          </cell>
          <cell r="C10969" t="str">
            <v>WURZELHEBER, APICAL, FIG. 301</v>
          </cell>
          <cell r="D10969" t="str">
            <v>APICAL ROOT ELEVATOR,  FIG. 301</v>
          </cell>
        </row>
        <row r="10970">
          <cell r="B10970" t="str">
            <v>42-302-00-07</v>
          </cell>
          <cell r="C10970" t="str">
            <v>WURZELHEBER, APICAL-FLOHR, FIG. 302</v>
          </cell>
          <cell r="D10970" t="str">
            <v>APICAL-FLOHR ROOT ELEVATOR,  FIG. 302</v>
          </cell>
        </row>
        <row r="10971">
          <cell r="B10971" t="str">
            <v>42-303-00-07</v>
          </cell>
          <cell r="C10971" t="str">
            <v>WURZELHEBER, APICAL-FLOHR, FIG. 303</v>
          </cell>
          <cell r="D10971" t="str">
            <v>APICAL-FLOHR ROOT ELEVATOR,  FIG. 303</v>
          </cell>
        </row>
        <row r="10972">
          <cell r="B10972" t="str">
            <v>42-304-00-07</v>
          </cell>
          <cell r="C10972" t="str">
            <v>WURZELHEBER, APICAL, FIG. 304</v>
          </cell>
          <cell r="D10972" t="str">
            <v>APICAL ROOT ELEVATOR,  FIG. 304</v>
          </cell>
        </row>
        <row r="10973">
          <cell r="B10973" t="str">
            <v>42-311-00-07</v>
          </cell>
          <cell r="C10973" t="str">
            <v>APICAL WURZELHEBER, FIG. 46R</v>
          </cell>
          <cell r="D10973" t="str">
            <v>APICAL ROOT ELEVATOR,  FIG. 46R</v>
          </cell>
        </row>
        <row r="10974">
          <cell r="B10974" t="str">
            <v>42-405-01-07</v>
          </cell>
          <cell r="C10974" t="str">
            <v>WURZELHEBER N. COLEMAN,  FIG. 1</v>
          </cell>
          <cell r="D10974" t="str">
            <v>COLEMAN  ROOT ELEVATOR,  FIG. 1</v>
          </cell>
        </row>
        <row r="10975">
          <cell r="B10975" t="str">
            <v>42-405-02-07</v>
          </cell>
          <cell r="C10975" t="str">
            <v>WURZELHEBER N. COLEMAN,  FIG. 2L</v>
          </cell>
          <cell r="D10975" t="str">
            <v>COLEMAN  ROOT ELEVATOR,  FIG. 2L</v>
          </cell>
        </row>
        <row r="10976">
          <cell r="B10976" t="str">
            <v>42-405-03-07</v>
          </cell>
          <cell r="C10976" t="str">
            <v>WURZELHEBER N. COLEMAN,  FIG. 2R</v>
          </cell>
          <cell r="D10976" t="str">
            <v>COLEMAN  ROOT ELEVATOR,  FIG. 2R</v>
          </cell>
        </row>
        <row r="10977">
          <cell r="B10977" t="str">
            <v>42-415-01-07</v>
          </cell>
          <cell r="C10977" t="str">
            <v>WURZELHEBER N. COUPLAND, 2 MM</v>
          </cell>
          <cell r="D10977" t="str">
            <v>COUPLAND ELEVATOR       2 MM</v>
          </cell>
        </row>
        <row r="10978">
          <cell r="B10978" t="str">
            <v>42-415-02-07</v>
          </cell>
          <cell r="C10978" t="str">
            <v>WURZELHEBER N. COUPLAND, 2,5 MM</v>
          </cell>
          <cell r="D10978" t="str">
            <v>COUPLAND ROOT ELEVATOR,  2,5 MM</v>
          </cell>
        </row>
        <row r="10979">
          <cell r="B10979" t="str">
            <v>42-415-03-07</v>
          </cell>
          <cell r="C10979" t="str">
            <v>WURZELHEBER N. COUPLAND, 3 MM</v>
          </cell>
          <cell r="D10979" t="str">
            <v>COUPLAND ROOT ELEVATOR,  3 MM</v>
          </cell>
        </row>
        <row r="10980">
          <cell r="B10980" t="str">
            <v>42-505-01-07</v>
          </cell>
          <cell r="C10980" t="str">
            <v>WURZELHEBER N. FRIEDMAN, FIG. 1</v>
          </cell>
          <cell r="D10980" t="str">
            <v>FRIEDMAN  ROOT ELEVATOR  FIG. 1</v>
          </cell>
        </row>
        <row r="10981">
          <cell r="B10981" t="str">
            <v>42-505-02-07</v>
          </cell>
          <cell r="C10981" t="str">
            <v>WURZELHEBER N. FRIEDMAN, FIG. 2L</v>
          </cell>
          <cell r="D10981" t="str">
            <v>FRIEDMAN  ROOT ELEVATOR  FIG. 2L</v>
          </cell>
        </row>
        <row r="10982">
          <cell r="B10982" t="str">
            <v>42-505-03-07</v>
          </cell>
          <cell r="C10982" t="str">
            <v>WURZELHEBER N. FRIEDMAN, FIG. 3R</v>
          </cell>
          <cell r="D10982" t="str">
            <v>FRIEDMAN  ROOT ELEVATOR  FIG. 3R</v>
          </cell>
        </row>
        <row r="10983">
          <cell r="B10983" t="str">
            <v>42-506-01-07</v>
          </cell>
          <cell r="C10983" t="str">
            <v>FRIEDMAN  WURZELHEBER, FIG. 31F</v>
          </cell>
          <cell r="D10983" t="str">
            <v>FRIEDMAN  ROOT ELEVATOR  FIG. 31F</v>
          </cell>
        </row>
        <row r="10984">
          <cell r="B10984" t="str">
            <v>42-508-01-07</v>
          </cell>
          <cell r="C10984" t="str">
            <v>WURZELHEBER N. HYLIN, FIG. 1, 3 MM</v>
          </cell>
          <cell r="D10984" t="str">
            <v>HYLIN ROOT ELEVATOR  FIG. 1, 3 MM</v>
          </cell>
        </row>
        <row r="10985">
          <cell r="B10985" t="str">
            <v>42-508-02-07</v>
          </cell>
          <cell r="C10985" t="str">
            <v>WURZELHEBER N. HYLIN, FIG. 2, 4,5 MM</v>
          </cell>
          <cell r="D10985" t="str">
            <v>HYLIN ROOT ELEVATOR,  FIG. 2, 4,5 MM</v>
          </cell>
        </row>
        <row r="10986">
          <cell r="B10986" t="str">
            <v>42-508-03-07</v>
          </cell>
          <cell r="C10986" t="str">
            <v>WURZELHEBER N. HYLIN, FIG. 3L, 3 MM</v>
          </cell>
          <cell r="D10986" t="str">
            <v>HYLIN ROOT ELEVATOR,  FIG. 3L, 3 MM</v>
          </cell>
        </row>
        <row r="10987">
          <cell r="B10987" t="str">
            <v>42-508-04-07</v>
          </cell>
          <cell r="C10987" t="str">
            <v>WURZELHEBER N. HYLIN, FIG. 4R, 3 MM</v>
          </cell>
          <cell r="D10987" t="str">
            <v>HYLIN ROOT ELEVATOR,  FIG. 4R, 3 MM</v>
          </cell>
        </row>
        <row r="10988">
          <cell r="B10988" t="str">
            <v>42-511-00-07</v>
          </cell>
          <cell r="C10988" t="str">
            <v>WURZELHEBER N. BEIN, HOHL, FIG. 0, 2 MM</v>
          </cell>
          <cell r="D10988" t="str">
            <v>BEIN ROOT ELEV., FIG 0, 2 MM</v>
          </cell>
        </row>
        <row r="10989">
          <cell r="B10989" t="str">
            <v>42-511-01-07</v>
          </cell>
          <cell r="C10989" t="str">
            <v>WURZELHEBER N. BEIN, FIG. 1, 3 MM</v>
          </cell>
          <cell r="D10989" t="str">
            <v>BEIN ROOT ELEVATOR,  FIG. 1, 3 MM</v>
          </cell>
        </row>
        <row r="10990">
          <cell r="B10990" t="str">
            <v>42-511-02-07</v>
          </cell>
          <cell r="C10990" t="str">
            <v>BEIN WURZELHEBER, HOHL, FIG. 2, 4 MM</v>
          </cell>
          <cell r="D10990" t="str">
            <v>BEIN ROOT ELEVATOR,  FIG. 2, 4 MM</v>
          </cell>
        </row>
        <row r="10991">
          <cell r="B10991" t="str">
            <v>42-512-00-07</v>
          </cell>
          <cell r="C10991" t="str">
            <v>WURZELHEBER N. BEIN, RUND, FIG. 0, 2 MM</v>
          </cell>
          <cell r="D10991" t="str">
            <v>BEIN ROOT ELEV., FIG 0, 2 MM</v>
          </cell>
        </row>
        <row r="10992">
          <cell r="B10992" t="str">
            <v>42-512-01-07</v>
          </cell>
          <cell r="C10992" t="str">
            <v>WURZELHEBER N. BEIN, RUND, FIG. 1, 3 MM</v>
          </cell>
          <cell r="D10992" t="str">
            <v>BEIN ROOT ELEVATOR,  FIG. 1, 3 MM</v>
          </cell>
        </row>
        <row r="10993">
          <cell r="B10993" t="str">
            <v>42-512-02-07</v>
          </cell>
          <cell r="C10993" t="str">
            <v>WURZELHEBER N. BEIN, RUND, FIG. 2, 4 MM</v>
          </cell>
          <cell r="D10993" t="str">
            <v>BEIN ROOT ELEVATOR,  FIG. 2, 4 MM</v>
          </cell>
        </row>
        <row r="10994">
          <cell r="B10994" t="str">
            <v>42-513-00-07</v>
          </cell>
          <cell r="C10994" t="str">
            <v>WURZELHEBER N. BEIN, SPITZ, FIG. 0, 2 MM</v>
          </cell>
          <cell r="D10994" t="str">
            <v>BEIN ROOT ELEV., FIG 0, 2 MM</v>
          </cell>
        </row>
        <row r="10995">
          <cell r="B10995" t="str">
            <v>42-513-01-07</v>
          </cell>
          <cell r="C10995" t="str">
            <v>WURZELHEBER N. BEIN, SPITZ, FIG. 1</v>
          </cell>
          <cell r="D10995" t="str">
            <v>BEIN ROOT ELEVATOR  FIG 1</v>
          </cell>
        </row>
        <row r="10996">
          <cell r="B10996" t="str">
            <v>42-513-02-07</v>
          </cell>
          <cell r="C10996" t="str">
            <v>WURZELHEBER N. BEIN, SPITZ, FIG. 2</v>
          </cell>
          <cell r="D10996" t="str">
            <v>BEIN ROOT ELEVATOR  FIG 2</v>
          </cell>
        </row>
        <row r="10997">
          <cell r="B10997" t="str">
            <v>42-514-00-07</v>
          </cell>
          <cell r="C10997" t="str">
            <v>WURZELHEBER N. BEIN, RUND, FIG. 0A, 2 MM</v>
          </cell>
          <cell r="D10997" t="str">
            <v>BEIN ROOT ELEV., FIG 0A, 2 MM</v>
          </cell>
        </row>
        <row r="10998">
          <cell r="B10998" t="str">
            <v>42-514-01-07</v>
          </cell>
          <cell r="C10998" t="str">
            <v>WURZELHEBER N. BEIN, RUND, FIG. 1A, 3 MM</v>
          </cell>
          <cell r="D10998" t="str">
            <v>BEIN ROOT ELEV., FIG 1A, 3 MM</v>
          </cell>
        </row>
        <row r="10999">
          <cell r="B10999" t="str">
            <v>42-514-02-07</v>
          </cell>
          <cell r="C10999" t="str">
            <v>WURZELHEBER N. BEIN, RUND, FIG. 2A, 4 MM</v>
          </cell>
          <cell r="D10999" t="str">
            <v>BEIN ROOT ELEV., FIG 2A, 4 MM</v>
          </cell>
        </row>
        <row r="11000">
          <cell r="B11000" t="str">
            <v>42-515-00-07</v>
          </cell>
          <cell r="C11000" t="str">
            <v>WURZELHEBER, BEIN, SPITZ, FIG. 0A, 2 MM</v>
          </cell>
          <cell r="D11000" t="str">
            <v>BEIN ROOT ELEV., FIG. 0A, 2 MM</v>
          </cell>
        </row>
        <row r="11001">
          <cell r="B11001" t="str">
            <v>42-515-01-07</v>
          </cell>
          <cell r="C11001" t="str">
            <v>WURZELHEBER, BEIN, SPITZ, FIG. 1A, 3 MM</v>
          </cell>
          <cell r="D11001" t="str">
            <v>BEIN ROOT ELEV., FIG. 1A, 3 MM</v>
          </cell>
        </row>
        <row r="11002">
          <cell r="B11002" t="str">
            <v>42-515-02-07</v>
          </cell>
          <cell r="C11002" t="str">
            <v>WURZELHEBER, BEIN, SPITZ, FIG. 2A, 4 MM</v>
          </cell>
          <cell r="D11002" t="str">
            <v>BEIN ROOT ELEV., FIG. 2A, 4 MM</v>
          </cell>
        </row>
        <row r="11003">
          <cell r="B11003" t="str">
            <v>42-533-20-07</v>
          </cell>
          <cell r="C11003" t="str">
            <v>WURZELHEBER, WALT. F. BARRY, FIG. 320L</v>
          </cell>
          <cell r="D11003" t="str">
            <v>W.F.BARRY ROOT ELEVATOR,  FIG. 320L</v>
          </cell>
        </row>
        <row r="11004">
          <cell r="B11004" t="str">
            <v>42-533-21-07</v>
          </cell>
          <cell r="C11004" t="str">
            <v>WURZELHEBER, WALT. F. BARRY, FIG. 321R</v>
          </cell>
          <cell r="D11004" t="str">
            <v>W.F.BARRY ROOT ELEVATOR,  FIG. 321R</v>
          </cell>
        </row>
        <row r="11005">
          <cell r="B11005" t="str">
            <v>42-533-22-07</v>
          </cell>
          <cell r="C11005" t="str">
            <v>WALT.F.BARRY WURZELHEBER, FIG. 322</v>
          </cell>
          <cell r="D11005" t="str">
            <v>W.F.BARRY ROOT ELEVATOR,  FIG. 322</v>
          </cell>
        </row>
        <row r="11006">
          <cell r="B11006" t="str">
            <v>42-533-23-07</v>
          </cell>
          <cell r="C11006" t="str">
            <v>WALT.F.BARRY WURZELHEBER, FIG. 323</v>
          </cell>
          <cell r="D11006" t="str">
            <v>W.F.BARRY ROOT ELEVATOR,  FIG. 323</v>
          </cell>
        </row>
        <row r="11007">
          <cell r="B11007" t="str">
            <v>42-533-70-07</v>
          </cell>
          <cell r="C11007" t="str">
            <v>WURZELHEBER, WALT. F. BARRY, FIG. 370L</v>
          </cell>
          <cell r="D11007" t="str">
            <v>W.F.BARRY ROOT ELEVATOR,  FIG. 370L</v>
          </cell>
        </row>
        <row r="11008">
          <cell r="B11008" t="str">
            <v>42-533-71-07</v>
          </cell>
          <cell r="C11008" t="str">
            <v>WURZELHEBER, WALT. F. BARRY, FIG. 371R</v>
          </cell>
          <cell r="D11008" t="str">
            <v>W.F.BARRY ROOT ELEVATOR,  FIG. 371R</v>
          </cell>
        </row>
        <row r="11009">
          <cell r="B11009" t="str">
            <v>42-551-05-07</v>
          </cell>
          <cell r="C11009" t="str">
            <v>WURZELHEBER N. WINTER,  FIG. 11L</v>
          </cell>
          <cell r="D11009" t="str">
            <v>WINTER ROOT ELEVATOR,  FIG. 11 L</v>
          </cell>
        </row>
        <row r="11010">
          <cell r="B11010" t="str">
            <v>42-551-08-07</v>
          </cell>
          <cell r="C11010" t="str">
            <v>WURZELHEBER N. WINTER,  FIG. 11R</v>
          </cell>
          <cell r="D11010" t="str">
            <v>WINTER ROOT ELEVATOR,  FIG. 11R</v>
          </cell>
        </row>
        <row r="11011">
          <cell r="B11011" t="str">
            <v>42-553-05-07</v>
          </cell>
          <cell r="C11011" t="str">
            <v>WINTER WURZELHEBER, FIG. 13L</v>
          </cell>
          <cell r="D11011" t="str">
            <v>WINTER ROOT ELEVATOR,  FIG. 13L</v>
          </cell>
        </row>
        <row r="11012">
          <cell r="B11012" t="str">
            <v>42-553-08-07</v>
          </cell>
          <cell r="C11012" t="str">
            <v>WINTER WURZELHEBER, FIG. 13R</v>
          </cell>
          <cell r="D11012" t="str">
            <v>WINTER ROOT ELEVATOR,  FIG. 13R</v>
          </cell>
        </row>
        <row r="11013">
          <cell r="B11013" t="str">
            <v>42-554-05-07</v>
          </cell>
          <cell r="C11013" t="str">
            <v>WURZELHEBER N. WINTER,  FIG. 14L</v>
          </cell>
          <cell r="D11013" t="str">
            <v>WINTER ROOT ELEVATOR,  FIG. 14 L</v>
          </cell>
        </row>
        <row r="11014">
          <cell r="B11014" t="str">
            <v>42-554-08-07</v>
          </cell>
          <cell r="C11014" t="str">
            <v>WURZELHEBER N. WINTER,  FIG. 14R</v>
          </cell>
          <cell r="D11014" t="str">
            <v>WINTER ROOT ELEVATOR,  FIG. 14R</v>
          </cell>
        </row>
        <row r="11015">
          <cell r="B11015" t="str">
            <v>42-567-01-07</v>
          </cell>
          <cell r="C11015" t="str">
            <v>WURZELHEBER, POTT, FIG.  1, T-GRIFF</v>
          </cell>
          <cell r="D11015" t="str">
            <v>ROOT ELEVATOR,  POTT, FIG. 1, T-HANDLE</v>
          </cell>
        </row>
        <row r="11016">
          <cell r="B11016" t="str">
            <v>42-567-02-07</v>
          </cell>
          <cell r="C11016" t="str">
            <v>WURZELHEBER, POTT, FIG.  2, T-GRIFF</v>
          </cell>
          <cell r="D11016" t="str">
            <v>ROOT ELEVATOR,  POTT, FIG. 2, T-HANDLE</v>
          </cell>
        </row>
        <row r="11017">
          <cell r="B11017" t="str">
            <v>42-571-01-07</v>
          </cell>
          <cell r="C11017" t="str">
            <v>KRALLENHEBER, FIG. 1K</v>
          </cell>
          <cell r="D11017" t="str">
            <v>ROOT ELEVATOR,  FIG. 1K</v>
          </cell>
        </row>
        <row r="11018">
          <cell r="B11018" t="str">
            <v>42-571-02-07</v>
          </cell>
          <cell r="C11018" t="str">
            <v>KRALLENHEBER, FIG. 2K</v>
          </cell>
          <cell r="D11018" t="str">
            <v>ROOT ELEVATOR,  FIG. 2K</v>
          </cell>
        </row>
        <row r="11019">
          <cell r="B11019" t="str">
            <v>42-576-01-07</v>
          </cell>
          <cell r="C11019" t="str">
            <v>WURZELHEBER N. WARWICK-JAMES, FIG. 1</v>
          </cell>
          <cell r="D11019" t="str">
            <v>WARWICK-JAMES ROOT ELEVATOR,  FIG. 1</v>
          </cell>
        </row>
        <row r="11020">
          <cell r="B11020" t="str">
            <v>42-576-02-07</v>
          </cell>
          <cell r="C11020" t="str">
            <v>WURZELHEBER N. WARWICK-JONES, FIG. 2L</v>
          </cell>
          <cell r="D11020" t="str">
            <v>WARWICK-JAMES ROOT ELEVATOR,  FIG. 2L</v>
          </cell>
        </row>
        <row r="11021">
          <cell r="B11021" t="str">
            <v>42-576-03-07</v>
          </cell>
          <cell r="C11021" t="str">
            <v>WURZELHEBER N. WARWICK-JAMES, FIG. 3R</v>
          </cell>
          <cell r="D11021" t="str">
            <v>WARWICK-JAMES ROOT ELEVATOR,  FIG. 3R</v>
          </cell>
        </row>
        <row r="11022">
          <cell r="B11022" t="str">
            <v>42-577-01-07</v>
          </cell>
          <cell r="C11022" t="str">
            <v>WURZELHEBER N. CHOMPRET, FIG. 1</v>
          </cell>
          <cell r="D11022" t="str">
            <v>CHOMPRET ROOT ELEVATOR,  FIG. 1</v>
          </cell>
        </row>
        <row r="11023">
          <cell r="B11023" t="str">
            <v>42-577-02-07</v>
          </cell>
          <cell r="C11023" t="str">
            <v>WURZELHEBER N. CHOMPRET, FIG. 2</v>
          </cell>
          <cell r="D11023" t="str">
            <v>CHOMPRET ROOT ELEVATOR,  FIG. 2</v>
          </cell>
        </row>
        <row r="11024">
          <cell r="B11024" t="str">
            <v>42-577-03-07</v>
          </cell>
          <cell r="C11024" t="str">
            <v>WURZELHEBER N. CHOMPRET, FIG. 3</v>
          </cell>
          <cell r="D11024" t="str">
            <v>CHOMPRET ROOT ELEVATOR,  FIG. 3</v>
          </cell>
        </row>
        <row r="11025">
          <cell r="B11025" t="str">
            <v>42-582-01-07</v>
          </cell>
          <cell r="C11025" t="str">
            <v>WURZELSPITZENHEBER N. HEIDEBRINK, FIG. 1</v>
          </cell>
          <cell r="D11025" t="str">
            <v>HEIDEBRINK FRAGMENT ELEV., FIG. 1</v>
          </cell>
        </row>
        <row r="11026">
          <cell r="B11026" t="str">
            <v>42-582-02-07</v>
          </cell>
          <cell r="C11026" t="str">
            <v>WURZELSPITZENHEBER N. HEIDEBRINK, FIG. 2</v>
          </cell>
          <cell r="D11026" t="str">
            <v>HEIDEBRINK FRAGMENT ELEV., FIG. 2</v>
          </cell>
        </row>
        <row r="11027">
          <cell r="B11027" t="str">
            <v>42-582-03-07</v>
          </cell>
          <cell r="C11027" t="str">
            <v>WURZELSPITZENHEBER N. HEIDEBRINK, FIG. 3</v>
          </cell>
          <cell r="D11027" t="str">
            <v>HEIDEBRINK FRAGMENT ELEV., FIG. 3</v>
          </cell>
        </row>
        <row r="11028">
          <cell r="B11028" t="str">
            <v>42-584-01-07</v>
          </cell>
          <cell r="C11028" t="str">
            <v>WEST WURZELSPITZENHEBER, FIG. 1</v>
          </cell>
          <cell r="D11028" t="str">
            <v>WEST FRAGMENT ELEVATOR,  FIG. 1</v>
          </cell>
        </row>
        <row r="11029">
          <cell r="B11029" t="str">
            <v>42-584-02-07</v>
          </cell>
          <cell r="C11029" t="str">
            <v>WEST WURZELSPITZENHEBER FIG. 2</v>
          </cell>
          <cell r="D11029" t="str">
            <v>WEST FRAGMENT ELEV., FIG. 2</v>
          </cell>
        </row>
        <row r="11030">
          <cell r="B11030" t="str">
            <v>42-584-03-07</v>
          </cell>
          <cell r="C11030" t="str">
            <v>WEST WURZELSPITZENHEBER, FIG. 3</v>
          </cell>
          <cell r="D11030" t="str">
            <v>WEST FRGMENT  ELEVATOR,  FIG. 3</v>
          </cell>
        </row>
        <row r="11031">
          <cell r="B11031" t="str">
            <v>42-587-01-07</v>
          </cell>
          <cell r="C11031" t="str">
            <v>WURZELSPITZENHEBER N. HEIDEBRINK, FIG. 1</v>
          </cell>
          <cell r="D11031" t="str">
            <v>HEIDEBRINK ROOT TIP TEASER FIG.1</v>
          </cell>
        </row>
        <row r="11032">
          <cell r="B11032" t="str">
            <v>42-587-02-07</v>
          </cell>
          <cell r="C11032" t="str">
            <v>WURZELSPITZENHEBER N. HEIDEBRINK, FIG. 2</v>
          </cell>
          <cell r="D11032" t="str">
            <v>HEIDEBRINK ROOT TIP TEASER FIG.2</v>
          </cell>
        </row>
        <row r="11033">
          <cell r="B11033" t="str">
            <v>42-587-03-07</v>
          </cell>
          <cell r="C11033" t="str">
            <v>WURZELSPITZENHEBER N. HEIDEBRINK, FIG. 3</v>
          </cell>
          <cell r="D11033" t="str">
            <v>HEIDEBRINK ROOT TIP TEASER FIG.3</v>
          </cell>
        </row>
        <row r="11034">
          <cell r="B11034" t="str">
            <v>42-602-01-02</v>
          </cell>
          <cell r="C11034" t="str">
            <v>AMPULLENSPRITZE, 2,2 CCM, METR. GEWINDE</v>
          </cell>
          <cell r="D11034" t="str">
            <v>CART.SYR.2,2CC WITH AD.B,C</v>
          </cell>
        </row>
        <row r="11035">
          <cell r="B11035" t="str">
            <v>42-604-02-02</v>
          </cell>
          <cell r="C11035" t="str">
            <v>AMPULLENSPRITZE, 2,2 CCM, METR. GEWINDE</v>
          </cell>
          <cell r="D11035" t="str">
            <v>CART.SYR.2,2CC MTR</v>
          </cell>
        </row>
        <row r="11036">
          <cell r="B11036" t="str">
            <v>42-652-00-04</v>
          </cell>
          <cell r="C11036" t="str">
            <v>WASSERSPRITZE, METALL, SELBSTFUELL., L/L</v>
          </cell>
          <cell r="D11036" t="str">
            <v>ALL METAL WATER SYR.SPRING</v>
          </cell>
        </row>
        <row r="11037">
          <cell r="B11037" t="str">
            <v>42-702-22-07</v>
          </cell>
          <cell r="C11037" t="str">
            <v>MUNDSPIEGEL, PLAN, GR. 4, DM: 22 MM</v>
          </cell>
          <cell r="D11037" t="str">
            <v>MOUTH MIRROR,  PL.F.4   22 MM</v>
          </cell>
        </row>
        <row r="11038">
          <cell r="B11038" t="str">
            <v>42-702-24-07</v>
          </cell>
          <cell r="C11038" t="str">
            <v>MUNDSPIEGEL, PLAN, GR. 5, DM: 24 MM</v>
          </cell>
          <cell r="D11038" t="str">
            <v>MOUTH MIRROR,  PL.F.5   22 MM</v>
          </cell>
        </row>
        <row r="11039">
          <cell r="B11039" t="str">
            <v>42-703-22-07</v>
          </cell>
          <cell r="C11039" t="str">
            <v>MUNDSPIEGEL, HOHL, GR. 4, DM: 22 MM</v>
          </cell>
          <cell r="D11039" t="str">
            <v>MOUTH MIRROR,  HOLL.F.4  22 MM</v>
          </cell>
        </row>
        <row r="11040">
          <cell r="B11040" t="str">
            <v>42-703-24-07</v>
          </cell>
          <cell r="C11040" t="str">
            <v>MUNDSPIEGEL, HOHL, GR. 5, DM: 24 MM</v>
          </cell>
          <cell r="D11040" t="str">
            <v>MOUTH MIRROR,  HOLL.F.5  24 MM</v>
          </cell>
        </row>
        <row r="11041">
          <cell r="B11041" t="str">
            <v>42-704-10-04</v>
          </cell>
          <cell r="C11041" t="str">
            <v>RHODIUM-MUNDSPIEGEL, GR. 00, PLAN, 10 MM</v>
          </cell>
          <cell r="D11041" t="str">
            <v>RHODIUM  MOUTH MIRROR,  SIZE 00,PLANE,10MM</v>
          </cell>
        </row>
        <row r="11042">
          <cell r="B11042" t="str">
            <v>42-704-18-04</v>
          </cell>
          <cell r="C11042" t="str">
            <v>RHODIUM-MUNDSPIEGEL, GR. 2, PLAN, 18 MM</v>
          </cell>
          <cell r="D11042" t="str">
            <v>RHODIUM  MOUTH MIRROR W/O HDLE PLANE 18MM</v>
          </cell>
        </row>
        <row r="11043">
          <cell r="B11043" t="str">
            <v>42-704-22-07</v>
          </cell>
          <cell r="C11043" t="str">
            <v>RHODIUM-MUNDSPIEGEL, PLAN, GR. 4, 22 MM</v>
          </cell>
          <cell r="D11043" t="str">
            <v>MOUTH-MIRROR RHODIUM,  PLANE, SIZE 4 22MM</v>
          </cell>
        </row>
        <row r="11044">
          <cell r="B11044" t="str">
            <v>42-704-24-07</v>
          </cell>
          <cell r="C11044" t="str">
            <v>RHODIUM-MUNDSPIEGEL, PLAN, GR. 5, 24 MM</v>
          </cell>
          <cell r="D11044" t="str">
            <v>MOUTH-MIRROR RHODIUM,  PLANE, SIZE 5 24MM</v>
          </cell>
        </row>
        <row r="11045">
          <cell r="B11045" t="str">
            <v>42-705-22-07</v>
          </cell>
          <cell r="C11045" t="str">
            <v>RHODIUM-MUNDSPIEGEL, MEGADUO</v>
          </cell>
          <cell r="D11045" t="str">
            <v>RHODIUM  MOUTH MIRROR "MEGADUO"</v>
          </cell>
        </row>
        <row r="11046">
          <cell r="B11046" t="str">
            <v>42-706-22-07</v>
          </cell>
          <cell r="C11046" t="str">
            <v>MUNDSPIEGEL, CONE-SOCK., PLAN, DM: 22 MM</v>
          </cell>
          <cell r="D11046" t="str">
            <v>MOUTH MIRR.C.S.PL.NO4 22MM</v>
          </cell>
        </row>
        <row r="11047">
          <cell r="B11047" t="str">
            <v>42-706-24-07</v>
          </cell>
          <cell r="C11047" t="str">
            <v>MUNDSPIEGEL, CONE-SOCK., PLAN, DM: 24 MM</v>
          </cell>
          <cell r="D11047" t="str">
            <v>MOUTH MIRR.C.S.P.NO5 24MM</v>
          </cell>
        </row>
        <row r="11048">
          <cell r="B11048" t="str">
            <v>42-710-03-04</v>
          </cell>
          <cell r="C11048" t="str">
            <v>MIKROSPIEGEL, 2,5 MM, ECKIG, 45 GRAD</v>
          </cell>
          <cell r="D11048" t="str">
            <v>MICRO-MIRROR, 2,5 MM, 45°</v>
          </cell>
        </row>
        <row r="11049">
          <cell r="B11049" t="str">
            <v>42-710-05-04</v>
          </cell>
          <cell r="C11049" t="str">
            <v>MIKROSPIEGEL, RUND, DM: 5,0 MM</v>
          </cell>
          <cell r="D11049" t="str">
            <v>MICRO-MIRROR, ROUND, 5,0 MM</v>
          </cell>
        </row>
        <row r="11050">
          <cell r="B11050" t="str">
            <v>42-710-06-07</v>
          </cell>
          <cell r="C11050" t="str">
            <v>MIKROSPIEGEL, RHODIUM,  RECHTECK., 3X6 MM</v>
          </cell>
          <cell r="D11050" t="str">
            <v>MICRO-MIRROR, RHODIUM,  3 x 6 MM</v>
          </cell>
        </row>
        <row r="11051">
          <cell r="B11051" t="str">
            <v>42-711-05-07</v>
          </cell>
          <cell r="C11051" t="str">
            <v>MIKRO-RHODIUM-SPIEGEL, DM: 5,0 MM</v>
          </cell>
          <cell r="D11051" t="str">
            <v>MICRO MOUTH-MIRROR-RHODIUM-DIAM 5 MM</v>
          </cell>
        </row>
        <row r="11052">
          <cell r="B11052" t="str">
            <v>42-721-01-01</v>
          </cell>
          <cell r="C11052" t="str">
            <v>GRIFF F. MUNDSPIEGEL, EDELSTAHL, 14 CM</v>
          </cell>
          <cell r="D11052" t="str">
            <v>MOUTH HANDEL WITH SIMP THREA</v>
          </cell>
        </row>
        <row r="11053">
          <cell r="B11053" t="str">
            <v>42-721-02-01</v>
          </cell>
          <cell r="C11053" t="str">
            <v>GRIFF F. MUNDSPIEGEL, EDELST., CONE-SO.</v>
          </cell>
          <cell r="D11053" t="str">
            <v>MOUTH MIRR HANDLE CONESOCKET</v>
          </cell>
        </row>
        <row r="11054">
          <cell r="B11054" t="str">
            <v>42-726-02-07</v>
          </cell>
          <cell r="C11054" t="str">
            <v>MUNDSPIEGELGRIFF, 6-KANT, 8MM</v>
          </cell>
          <cell r="D11054" t="str">
            <v>MOUTH MIRROR HANDLE,  HEXAGONAL, 8MM</v>
          </cell>
        </row>
        <row r="11055">
          <cell r="B11055" t="str">
            <v>42-728-02-07</v>
          </cell>
          <cell r="C11055" t="str">
            <v>MUNDSPIEGELGRIFF, 8-KANT, 6MM</v>
          </cell>
          <cell r="D11055" t="str">
            <v>MOUTH MIRROR HANDLE,OCT.SHAPED, 6MM</v>
          </cell>
        </row>
        <row r="11056">
          <cell r="B11056" t="str">
            <v>42-746-02-07</v>
          </cell>
          <cell r="C11056" t="str">
            <v>MUNDSPIEGELGRIFF, RUND</v>
          </cell>
          <cell r="D11056" t="str">
            <v>MOUTH MIRROR HANDLE,  ROUND</v>
          </cell>
        </row>
        <row r="11057">
          <cell r="B11057" t="str">
            <v>42-755-02-07</v>
          </cell>
          <cell r="C11057" t="str">
            <v>MARTIN-ERGO, SPIEGELGRIFF</v>
          </cell>
          <cell r="D11057" t="str">
            <v>MARTIN-ERGO, MOUTH MIRROR HANDLE</v>
          </cell>
        </row>
        <row r="11058">
          <cell r="B11058" t="str">
            <v>42-757-08-07</v>
          </cell>
          <cell r="C11058" t="str">
            <v>MARTIN-GRIP MUNDSPIEGELGRIFF, DM: 8 MM</v>
          </cell>
          <cell r="D11058" t="str">
            <v>MARTIN-GRIP, MOUTH MIRROR HANDLE</v>
          </cell>
        </row>
        <row r="11059">
          <cell r="B11059" t="str">
            <v>43-031-01-07</v>
          </cell>
          <cell r="C11059" t="str">
            <v>ZAHNPINZETTE, LONDON-COLLEGE, FIG. 1</v>
          </cell>
          <cell r="D11059" t="str">
            <v>LONDON  COLLEGE  TWEEZ.F1</v>
          </cell>
        </row>
        <row r="11060">
          <cell r="B11060" t="str">
            <v>43-031-03-07</v>
          </cell>
          <cell r="C11060" t="str">
            <v>ZAHNPINZETTE, LONDON-COLLEGE, FIG. 3</v>
          </cell>
          <cell r="D11060" t="str">
            <v>LONDON  COLLEGE  TWEEZ.F3</v>
          </cell>
        </row>
        <row r="11061">
          <cell r="B11061" t="str">
            <v>43-031-05-07</v>
          </cell>
          <cell r="C11061" t="str">
            <v>ZAHNPINZETTE, LONDON-COLLEGE, FIG. 5</v>
          </cell>
          <cell r="D11061" t="str">
            <v>LONDON  COLLEGE  TWEEZ.F5</v>
          </cell>
        </row>
        <row r="11062">
          <cell r="B11062" t="str">
            <v>43-037-05-07</v>
          </cell>
          <cell r="C11062" t="str">
            <v>ZAHNPINZETTE, LON.-COLL., M. SP., FIG. 5</v>
          </cell>
          <cell r="D11062" t="str">
            <v>LOND COLL TWEEZ LOCK F 5</v>
          </cell>
        </row>
        <row r="11063">
          <cell r="B11063" t="str">
            <v>43-037-08-07</v>
          </cell>
          <cell r="C11063" t="str">
            <v>ZAHNPINZETTE, LON.-COLL., M. SP., FIG. 8</v>
          </cell>
          <cell r="D11063" t="str">
            <v>LOND COLL TWEEZ LOCK F 8</v>
          </cell>
        </row>
        <row r="11064">
          <cell r="B11064" t="str">
            <v>43-101-01-07</v>
          </cell>
          <cell r="C11064" t="str">
            <v>ZAHNPINZETTE, MERIAM,  FIG. 1</v>
          </cell>
          <cell r="D11064" t="str">
            <v>MERIAM  TWEEZERS  FIG 1</v>
          </cell>
        </row>
        <row r="11065">
          <cell r="B11065" t="str">
            <v>43-101-03-07</v>
          </cell>
          <cell r="C11065" t="str">
            <v>ZAHNPINZETTE, MERIAM,  FIG. 3</v>
          </cell>
          <cell r="D11065" t="str">
            <v>MERIAM  TWEEZERS  FIG 3</v>
          </cell>
        </row>
        <row r="11066">
          <cell r="B11066" t="str">
            <v>43-101-05-07</v>
          </cell>
          <cell r="C11066" t="str">
            <v>ZAHNPINZETTE, MERIAM,  FIG. 5</v>
          </cell>
          <cell r="D11066" t="str">
            <v>MERIAM  TWEEZERS  FIG 5</v>
          </cell>
        </row>
        <row r="11067">
          <cell r="B11067" t="str">
            <v>43-107-01-07</v>
          </cell>
          <cell r="C11067" t="str">
            <v>ZAHNPINZETTE N. FLAGG, FIG. 1</v>
          </cell>
          <cell r="D11067" t="str">
            <v>FLAGG TWEEZERS  FIG 1</v>
          </cell>
        </row>
        <row r="11068">
          <cell r="B11068" t="str">
            <v>43-107-02-07</v>
          </cell>
          <cell r="C11068" t="str">
            <v>ZAHNPINZETTE N. FLAGG, FIG. 2</v>
          </cell>
          <cell r="D11068" t="str">
            <v>FLAGG TWEEZERS  FIG 2</v>
          </cell>
        </row>
        <row r="11069">
          <cell r="B11069" t="str">
            <v>43-107-03-07</v>
          </cell>
          <cell r="C11069" t="str">
            <v>ZAHNPINZETTE N. FLAGG, FIG. 3</v>
          </cell>
          <cell r="D11069" t="str">
            <v>FLAGG TWEEZERS  FIG 3</v>
          </cell>
        </row>
        <row r="11070">
          <cell r="B11070" t="str">
            <v>43-107-04-07</v>
          </cell>
          <cell r="C11070" t="str">
            <v>ZAHNPINZETTE N. FLAGG, FIG. 4</v>
          </cell>
          <cell r="D11070" t="str">
            <v>FLAGG TWEEZERS  FIG 4</v>
          </cell>
        </row>
        <row r="11071">
          <cell r="B11071" t="str">
            <v>43-114-16-07</v>
          </cell>
          <cell r="C11071" t="str">
            <v>NAHT-/MEMBRANPINZETTE, DM: 1,6 MM, 16 CM</v>
          </cell>
          <cell r="D11071" t="str">
            <v>SUTURE/MEMBRANE FORCEPS,  DIA. = 1,6 MM</v>
          </cell>
        </row>
        <row r="11072">
          <cell r="B11072" t="str">
            <v>43-116-16-07</v>
          </cell>
          <cell r="C11072" t="str">
            <v>NAHT-/MEMBRANPINZETTE, DM: 2,2 MM, 16 CM</v>
          </cell>
          <cell r="D11072" t="str">
            <v>SUTURE/MEMBRANE FORCEPS,  DIA. = 2,2 MM</v>
          </cell>
        </row>
        <row r="11073">
          <cell r="B11073" t="str">
            <v>43-271-33-07</v>
          </cell>
          <cell r="C11073" t="str">
            <v>REINIGER  N. JAQUETTE,  RUNDGRIFF, FIG. 33</v>
          </cell>
          <cell r="D11073" t="str">
            <v>JAQUETTE-SCALER, ROUND HANDLE FIG.33</v>
          </cell>
        </row>
        <row r="11074">
          <cell r="B11074" t="str">
            <v>43-271-34-07</v>
          </cell>
          <cell r="C11074" t="str">
            <v>REINIGER  N. JAQUETTE,  RUNDGRIFF, FIG. 34</v>
          </cell>
          <cell r="D11074" t="str">
            <v>JAQUETTE-SCALER, ROUND HANDLE FIG.34</v>
          </cell>
        </row>
        <row r="11075">
          <cell r="B11075" t="str">
            <v>43-271-35-07</v>
          </cell>
          <cell r="C11075" t="str">
            <v>REINIGER  N. JAQUETTE,  RUNDGRIFF, FIG. 35</v>
          </cell>
          <cell r="D11075" t="str">
            <v>JAQUETTE-SCALER, ROUND HANDLE FIG.35</v>
          </cell>
        </row>
        <row r="11076">
          <cell r="B11076" t="str">
            <v>43-282-04-07</v>
          </cell>
          <cell r="C11076" t="str">
            <v>REINIGUNGSINSTRUMENT, N. CUMINE,  RUNDGR.</v>
          </cell>
          <cell r="D11076" t="str">
            <v>CUMINE-SCALER, ROUND HANDLE</v>
          </cell>
        </row>
        <row r="11077">
          <cell r="B11077" t="str">
            <v>43-283-04-07</v>
          </cell>
          <cell r="C11077" t="str">
            <v>REINIGUNGSINSTRUMENT, MITCHELL,  RUNDGR.</v>
          </cell>
          <cell r="D11077" t="str">
            <v>MITCHELL-SCALER, ROUND HANDLE</v>
          </cell>
        </row>
        <row r="11078">
          <cell r="B11078" t="str">
            <v>43-288-33-07</v>
          </cell>
          <cell r="C11078" t="str">
            <v>REINIGUNGSINSTRUM., FIG. 33/34, RUNDGR.</v>
          </cell>
          <cell r="D11078" t="str">
            <v>SCALER-,  ROUND HANDLE FIG.33/34</v>
          </cell>
        </row>
        <row r="11079">
          <cell r="B11079" t="str">
            <v>43-290-13-07</v>
          </cell>
          <cell r="C11079" t="str">
            <v>COLUMBIA-KÜRETTE, FIG. 13/14, HELLBLAU</v>
          </cell>
          <cell r="D11079" t="str">
            <v>COLUMBIA-CURETTE, FIG.13/14,  BLUE</v>
          </cell>
        </row>
        <row r="11080">
          <cell r="B11080" t="str">
            <v>43-290-20-07</v>
          </cell>
          <cell r="C11080" t="str">
            <v>COLUMBIA-KÜRETTE, FIG. 2R/2L, HELLBLAU</v>
          </cell>
          <cell r="D11080" t="str">
            <v>COLUMBIA-CURETTE, FIG.2R/2L,  BLUE</v>
          </cell>
        </row>
        <row r="11081">
          <cell r="B11081" t="str">
            <v>43-290-40-07</v>
          </cell>
          <cell r="C11081" t="str">
            <v>COLUMBIA-KÜRETTE, FIG. 4R/4L, HELLBLAU</v>
          </cell>
          <cell r="D11081" t="str">
            <v>COLUMBIA-CURETTE, FIG.4R/4L,  BLUE</v>
          </cell>
        </row>
        <row r="11082">
          <cell r="B11082" t="str">
            <v>43-291-07-07</v>
          </cell>
          <cell r="C11082" t="str">
            <v>REINIGER,  YOUNGER-GOOD, FIG. 7/8, RUNDG.</v>
          </cell>
          <cell r="D11082" t="str">
            <v>YOUNGER-GOOD-SCALER, FIG. 7/8</v>
          </cell>
        </row>
        <row r="11083">
          <cell r="B11083" t="str">
            <v>43-294-02-09</v>
          </cell>
          <cell r="C11083" t="str">
            <v>TI-KÜRETTE, LANGER,  1/2, RUNDGR.,  GRAU</v>
          </cell>
          <cell r="D11083" t="str">
            <v>LANGER-CURETTE, FIG. 1/2, TITAN, GREY</v>
          </cell>
        </row>
        <row r="11084">
          <cell r="B11084" t="str">
            <v>43-294-04-09</v>
          </cell>
          <cell r="C11084" t="str">
            <v>TI-KÜRETTE, LANGER 3/4, RUNDG.,  SCHWARZ</v>
          </cell>
          <cell r="D11084" t="str">
            <v>LANGER-CURETTE, FIG. 3/4, TITAN, BLACK</v>
          </cell>
        </row>
        <row r="11085">
          <cell r="B11085" t="str">
            <v>43-294-06-09</v>
          </cell>
          <cell r="C11085" t="str">
            <v>TI-KÜRETTE, LANGER,  5/6, RUNDGR.,  GELB</v>
          </cell>
          <cell r="D11085" t="str">
            <v>LANGER-CURETTE, FIG. 5/6, TITAN, YELLOW</v>
          </cell>
        </row>
        <row r="11086">
          <cell r="B11086" t="str">
            <v>43-300-01-07</v>
          </cell>
          <cell r="C11086" t="str">
            <v>PARODONTOMETER, DR.IGLHAUT</v>
          </cell>
          <cell r="D11086" t="str">
            <v>PERIOPROBE, DR.IGLHAUT</v>
          </cell>
        </row>
        <row r="11087">
          <cell r="B11087" t="str">
            <v>43-301-01-07</v>
          </cell>
          <cell r="C11087" t="str">
            <v>Mikroparodontometer n. Akiyama</v>
          </cell>
          <cell r="D11087" t="str">
            <v>Micro periodontal probe acc. to Akiyama</v>
          </cell>
        </row>
        <row r="11088">
          <cell r="B11088" t="str">
            <v>43-311-05-07</v>
          </cell>
          <cell r="C11088" t="str">
            <v>SCALER, TOWNER,  RUNDG.,  FIG. 5/33, GRUEN</v>
          </cell>
          <cell r="D11088" t="str">
            <v>TOWNER-SCALER,R. HANDLE,  FIG.5/33 GREEN</v>
          </cell>
        </row>
        <row r="11089">
          <cell r="B11089" t="str">
            <v>43-311-13-07</v>
          </cell>
          <cell r="C11089" t="str">
            <v>SCALER, MCCALL,  RUND, FIG. 13S/14, GRUEN</v>
          </cell>
          <cell r="D11089" t="str">
            <v>MCCALL-SCALER, ROUND,FIG.13S/14 GREEN</v>
          </cell>
        </row>
        <row r="11090">
          <cell r="B11090" t="str">
            <v>43-311-14-07</v>
          </cell>
          <cell r="C11090" t="str">
            <v>SCALER, MCCALL,  RUND, FIG. 13SM/14  GRUEN</v>
          </cell>
          <cell r="D11090" t="str">
            <v>MCCALL-SCALER, ROUND,FIG.13SM/14 GREEN</v>
          </cell>
        </row>
        <row r="11091">
          <cell r="B11091" t="str">
            <v>43-311-15-07</v>
          </cell>
          <cell r="C11091" t="str">
            <v>SCALER, RUNDGRIFF, FIG. T2/3, GRUEN</v>
          </cell>
          <cell r="D11091" t="str">
            <v>SCALER, ROUND HANDLE,  FIG.T2/3,  GREEN</v>
          </cell>
        </row>
        <row r="11092">
          <cell r="B11092" t="str">
            <v>43-311-16-07</v>
          </cell>
          <cell r="C11092" t="str">
            <v>SCALER, TOWNER,  RUND, FIG. 15/30, GRUEN</v>
          </cell>
          <cell r="D11092" t="str">
            <v>TOWNER-SCALER,R. HANDLE,  FIG.15/30  GREEN</v>
          </cell>
        </row>
        <row r="11093">
          <cell r="B11093" t="str">
            <v>43-311-17-07</v>
          </cell>
          <cell r="C11093" t="str">
            <v>SCALER, RUNDGRIFF, FIG. U135, GRUEN</v>
          </cell>
          <cell r="D11093" t="str">
            <v>SCALER, ROUND HANDLE,  FIG.U135,  GREEN</v>
          </cell>
        </row>
        <row r="11094">
          <cell r="B11094" t="str">
            <v>43-311-18-07</v>
          </cell>
          <cell r="C11094" t="str">
            <v>SCALER, RUNDGRIFF, FIG. CI 2/3, GRUEN</v>
          </cell>
          <cell r="D11094" t="str">
            <v>SCALER ROUND HANDLE,  FIG. CI 2/3, GREEN</v>
          </cell>
        </row>
        <row r="11095">
          <cell r="B11095" t="str">
            <v>43-311-19-07</v>
          </cell>
          <cell r="C11095" t="str">
            <v>SCALER, RUNDGRIFF, FIG. M23, GRUEN</v>
          </cell>
          <cell r="D11095" t="str">
            <v>SCALER ROUND HANDLE,  FIG.M23,  GREEN</v>
          </cell>
        </row>
        <row r="11096">
          <cell r="B11096" t="str">
            <v>43-312-06-07</v>
          </cell>
          <cell r="C11096" t="str">
            <v>SCALER, HYGIENIST, F. 6/7, 8 MM, GRUEN</v>
          </cell>
          <cell r="D11096" t="str">
            <v>HYGIENIST-SCALER, F. 6/7, D=8 MM, GREEN</v>
          </cell>
        </row>
        <row r="11097">
          <cell r="B11097" t="str">
            <v>43-312-10-07</v>
          </cell>
          <cell r="C11097" t="str">
            <v>SCALER, HYGIENIST, F. 6/7, 10 MM, GRUEN</v>
          </cell>
          <cell r="D11097" t="str">
            <v>HYGIENIST-SCALER, F. 6/7, D=10 MM, GREEN</v>
          </cell>
        </row>
        <row r="11098">
          <cell r="B11098" t="str">
            <v>43-314-00-07</v>
          </cell>
          <cell r="C11098" t="str">
            <v>SCALER, RUNDGRIFF, FIG. 204, GRUEN</v>
          </cell>
          <cell r="D11098" t="str">
            <v>SCALER ROUND HANDLE,  FIG.204, GREEN</v>
          </cell>
        </row>
        <row r="11099">
          <cell r="B11099" t="str">
            <v>43-314-01-07</v>
          </cell>
          <cell r="C11099" t="str">
            <v>SCALER, RUNDGRIFF, FIG. 204S, GRUEN</v>
          </cell>
          <cell r="D11099" t="str">
            <v>SCALER ROUND HANDLE,  FIG.204S,  GREEN</v>
          </cell>
        </row>
        <row r="11100">
          <cell r="B11100" t="str">
            <v>43-314-02-07</v>
          </cell>
          <cell r="C11100" t="str">
            <v>SCALER, RUNDGRIFF, FIG. 204SD, GRUEN</v>
          </cell>
          <cell r="D11100" t="str">
            <v>SCALER ROUND HANDLE,  FIG.204SD,  GREEN</v>
          </cell>
        </row>
        <row r="11101">
          <cell r="B11101" t="str">
            <v>43-315-03-07</v>
          </cell>
          <cell r="C11101" t="str">
            <v>FEILE N. HIRSCHFELD, RUND, FIG. 3/7</v>
          </cell>
          <cell r="D11101" t="str">
            <v>HIRSCHFELD-FILE, FIG. 3/7</v>
          </cell>
        </row>
        <row r="11102">
          <cell r="B11102" t="str">
            <v>43-315-05-07</v>
          </cell>
          <cell r="C11102" t="str">
            <v>FEILE N. HIRSCHFELD, RUND, FIG. 5/11</v>
          </cell>
          <cell r="D11102" t="str">
            <v>HIRSCHFELD-FILE, FIG. 5/11</v>
          </cell>
        </row>
        <row r="11103">
          <cell r="B11103" t="str">
            <v>43-318-04-07</v>
          </cell>
          <cell r="C11103" t="str">
            <v>MINI-SCALER, GRAU</v>
          </cell>
          <cell r="D11103" t="str">
            <v>MINI-SCALER, GRAY</v>
          </cell>
        </row>
        <row r="11104">
          <cell r="B11104" t="str">
            <v>43-321-06-07</v>
          </cell>
          <cell r="C11104" t="str">
            <v>REINIGER  RUNDGRIFF, FIG. SCC 6</v>
          </cell>
          <cell r="D11104" t="str">
            <v>SCALER ROUND HANDLE,  FIG. SCC6</v>
          </cell>
        </row>
        <row r="11105">
          <cell r="B11105" t="str">
            <v>43-321-23-07</v>
          </cell>
          <cell r="C11105" t="str">
            <v>REINIGER  RUNDGRIFF, FIG. ST 2/3</v>
          </cell>
          <cell r="D11105" t="str">
            <v>SCALER ROUND HANDLE,  FIG. ST 2/3</v>
          </cell>
        </row>
        <row r="11106">
          <cell r="B11106" t="str">
            <v>43-323-32-07</v>
          </cell>
          <cell r="C11106" t="str">
            <v>REINIGER,  JAQUETTE,  RUNDGR.,  FIG. 31/32</v>
          </cell>
          <cell r="D11106" t="str">
            <v>JAQUETTE-SCALER, R. HANDLE,  FIG. 31/32</v>
          </cell>
        </row>
        <row r="11107">
          <cell r="B11107" t="str">
            <v>43-323-33-07</v>
          </cell>
          <cell r="C11107" t="str">
            <v>REINIGER,  JAQUETTE,  RUNDGR.,  FIG. 30/33</v>
          </cell>
          <cell r="D11107" t="str">
            <v>JAQUETTE-SCALER, R. HANDLE,  FIG. 30/33</v>
          </cell>
        </row>
        <row r="11108">
          <cell r="B11108" t="str">
            <v>43-323-35-07</v>
          </cell>
          <cell r="C11108" t="str">
            <v>REINIGER,  JAQUETTE,  RUNDGR.,  FIG. 34/35</v>
          </cell>
          <cell r="D11108" t="str">
            <v>JAQUETTE-SCALER, R. HANDLE,  FIG. 34/35</v>
          </cell>
        </row>
        <row r="11109">
          <cell r="B11109" t="str">
            <v>43-326-31-07</v>
          </cell>
          <cell r="C11109" t="str">
            <v>REINIGER,  GOLDMAN-FOX, RUNDGR.,  FIG. 1</v>
          </cell>
          <cell r="D11109" t="str">
            <v>GOLDM.-FOX-SCALER, R. HANDLE,  FIG.1</v>
          </cell>
        </row>
        <row r="11110">
          <cell r="B11110" t="str">
            <v>43-326-32-07</v>
          </cell>
          <cell r="C11110" t="str">
            <v>REINIGER,  GOLDMAN-FOX, RUNDGR.,  FIG. 2</v>
          </cell>
          <cell r="D11110" t="str">
            <v>GOLDM.-FOX-SCALER, R. HANDLE,  FIG.2</v>
          </cell>
        </row>
        <row r="11111">
          <cell r="B11111" t="str">
            <v>43-326-33-07</v>
          </cell>
          <cell r="C11111" t="str">
            <v>REINIGER,  GOLDMAN-FOX, RUNDGR.,  FIG. 3</v>
          </cell>
          <cell r="D11111" t="str">
            <v>GOLDM.-FOX-SCALER, R. HANDLE,  FIG.3</v>
          </cell>
        </row>
        <row r="11112">
          <cell r="B11112" t="str">
            <v>43-326-34-07</v>
          </cell>
          <cell r="C11112" t="str">
            <v>REINIGER,  GOLDMAN-FOX, RUNDGR.,  FIG. 4</v>
          </cell>
          <cell r="D11112" t="str">
            <v>GOLDM.-FOX-SCALER, R. HANDLE,  FIG.4</v>
          </cell>
        </row>
        <row r="11113">
          <cell r="B11113" t="str">
            <v>43-326-35-07</v>
          </cell>
          <cell r="C11113" t="str">
            <v>REINIGER,  GOLDMAN-FOX, RUNDGR.,  FIG. 5</v>
          </cell>
          <cell r="D11113" t="str">
            <v>GOLDM.-FOX-SCALER, R. HANDLE,  FIG.5</v>
          </cell>
        </row>
        <row r="11114">
          <cell r="B11114" t="str">
            <v>43-326-36-07</v>
          </cell>
          <cell r="C11114" t="str">
            <v>REINIGER,  GOLDMAN-FOX, RUNDGR.,  FIG. 6</v>
          </cell>
          <cell r="D11114" t="str">
            <v>GOLDM.-FOX-SCALER, R. HANDLE,  FIG.6</v>
          </cell>
        </row>
        <row r="11115">
          <cell r="B11115" t="str">
            <v>43-326-37-07</v>
          </cell>
          <cell r="C11115" t="str">
            <v>GINGIVEKTOMIEINSTR., GOLDM.-FOX, FIG. 7</v>
          </cell>
          <cell r="D11115" t="str">
            <v>GOLDM.-FOX-GINGIVAL KNIFE, FIG.7</v>
          </cell>
        </row>
        <row r="11116">
          <cell r="B11116" t="str">
            <v>43-326-38-07</v>
          </cell>
          <cell r="C11116" t="str">
            <v>GINGIVEKTOMIEINSTR., GOLDM.-FOX, FIG. 8</v>
          </cell>
          <cell r="D11116" t="str">
            <v>GOLDM.-FOX-GINGIVAL KNIFE, FIG.8</v>
          </cell>
        </row>
        <row r="11117">
          <cell r="B11117" t="str">
            <v>43-326-39-07</v>
          </cell>
          <cell r="C11117" t="str">
            <v>GINGIVEKTOMIEINSTR., GOLDM.-FOX, FIG. 9</v>
          </cell>
          <cell r="D11117" t="str">
            <v>GOLDM.-FOX-GINGIVAL KNIFE, FIG.9</v>
          </cell>
        </row>
        <row r="11118">
          <cell r="B11118" t="str">
            <v>43-326-40-07</v>
          </cell>
          <cell r="C11118" t="str">
            <v>GINGIVEKTOMIEINSTR., GOLDM.-FOX, FIG. 10</v>
          </cell>
          <cell r="D11118" t="str">
            <v>GOLDM.-FOX-GINGIVAL KNIFE, FIG.10</v>
          </cell>
        </row>
        <row r="11119">
          <cell r="B11119" t="str">
            <v>43-326-41-07</v>
          </cell>
          <cell r="C11119" t="str">
            <v>GINGIVEKTOMIEINSTR., GOLDM.-FOX, FIG. 11</v>
          </cell>
          <cell r="D11119" t="str">
            <v>GOLDM.-FOX-GINGIVAL KNIFE, FIG.11</v>
          </cell>
        </row>
        <row r="11120">
          <cell r="B11120" t="str">
            <v>43-328-05-07</v>
          </cell>
          <cell r="C11120" t="str">
            <v>REINIGER,  MERCITAN, RUNDGR.,  FIG. SH 5</v>
          </cell>
          <cell r="D11120" t="str">
            <v>MERCITAN-SCALER, ROUND HANDLE</v>
          </cell>
        </row>
        <row r="11121">
          <cell r="B11121" t="str">
            <v>43-330-10-07</v>
          </cell>
          <cell r="C11121" t="str">
            <v>REINIGER,  WARD-KIRKLAND, RUNDGR.,  FIG. 1</v>
          </cell>
          <cell r="D11121" t="str">
            <v>WARD-KIRKLAND-SCALER, R. HANDLE,  FIG.1</v>
          </cell>
        </row>
        <row r="11122">
          <cell r="B11122" t="str">
            <v>43-331-51-07</v>
          </cell>
          <cell r="C11122" t="str">
            <v>GINGIV.-MESSER, KIRKLAND,  RUNDG.,  LINKS</v>
          </cell>
          <cell r="D11122" t="str">
            <v>KIRKLAND-GINGIVAL KNIFE, R. HANDLE,  LEFT</v>
          </cell>
        </row>
        <row r="11123">
          <cell r="B11123" t="str">
            <v>43-331-61-07</v>
          </cell>
          <cell r="C11123" t="str">
            <v>GINGIV.-MESSER, KIRGLAND,  RUNDG.,  RECHTS</v>
          </cell>
          <cell r="D11123" t="str">
            <v>KIRKLAND-GINGIVAL KNIFE, R. HANDLE,  RIGH</v>
          </cell>
        </row>
        <row r="11124">
          <cell r="B11124" t="str">
            <v>43-332-61-07</v>
          </cell>
          <cell r="C11124" t="str">
            <v>GINGIV.-MESSER, KIRKLAND,  RUND, RE./LI.</v>
          </cell>
          <cell r="D11124" t="str">
            <v>KIRKLAND-GINGIVAL KNIFE, R. HANDLE,  RI/L</v>
          </cell>
        </row>
        <row r="11125">
          <cell r="B11125" t="str">
            <v>43-333-01-07</v>
          </cell>
          <cell r="C11125" t="str">
            <v>GINGIVEKT.-MESSER, ORBAN, RUNDG.,  FIG. 1</v>
          </cell>
          <cell r="D11125" t="str">
            <v>ORBAN-GINGIVAL KNIFE, FIG. 1</v>
          </cell>
        </row>
        <row r="11126">
          <cell r="B11126" t="str">
            <v>43-333-02-07</v>
          </cell>
          <cell r="C11126" t="str">
            <v>GINGIVEKT.-MESSER, ORBAN, RUNDG.,  FIG. 2</v>
          </cell>
          <cell r="D11126" t="str">
            <v>ORBAN-GINGIVAL KNIFE, FIG. 2</v>
          </cell>
        </row>
        <row r="11127">
          <cell r="B11127" t="str">
            <v>43-333-12-07</v>
          </cell>
          <cell r="C11127" t="str">
            <v>GINGIVEKT.-MESSER, ORBAN, RUND, FIG. 1/2</v>
          </cell>
          <cell r="D11127" t="str">
            <v>ORBAN-GINGIVAL KNIFE, FIG. 1/2</v>
          </cell>
        </row>
        <row r="11128">
          <cell r="B11128" t="str">
            <v>43-334-06-07</v>
          </cell>
          <cell r="C11128" t="str">
            <v>GRACEY TITAN MINI FIG. 5/6</v>
          </cell>
          <cell r="D11128" t="str">
            <v>GRACEY TITAN MINI FIG. 5/6</v>
          </cell>
        </row>
        <row r="11129">
          <cell r="B11129" t="str">
            <v>43-334-08-07</v>
          </cell>
          <cell r="C11129" t="str">
            <v>GRACEY TITAN MINI FIG. 7/8</v>
          </cell>
          <cell r="D11129" t="str">
            <v>GRACEY TITAN MINI FIG. 7/8</v>
          </cell>
        </row>
        <row r="11130">
          <cell r="B11130" t="str">
            <v>43-334-12-07</v>
          </cell>
          <cell r="C11130" t="str">
            <v>GRACEY TITAN MINI FIG. 11/12</v>
          </cell>
          <cell r="D11130" t="str">
            <v>GRACEY TITAN MINI FIG. 11/12</v>
          </cell>
        </row>
        <row r="11131">
          <cell r="B11131" t="str">
            <v>43-334-14-07</v>
          </cell>
          <cell r="C11131" t="str">
            <v>GRACEY TITAN MINI FIG. 13/14</v>
          </cell>
          <cell r="D11131" t="str">
            <v>GRACEY TITAN MINI FIG. 13/14</v>
          </cell>
        </row>
        <row r="11132">
          <cell r="B11132" t="str">
            <v>43-334-50-07</v>
          </cell>
          <cell r="C11132" t="str">
            <v>GRACEY TITAN MINI SET</v>
          </cell>
          <cell r="D11132" t="str">
            <v>GRACEY TITAN MINI SET</v>
          </cell>
        </row>
        <row r="11133">
          <cell r="B11133" t="str">
            <v>43-335-01-07</v>
          </cell>
          <cell r="C11133" t="str">
            <v>ZAHNFLEISCHMESSER, 5D</v>
          </cell>
          <cell r="D11133" t="str">
            <v>GUM KNIFE, 5D</v>
          </cell>
        </row>
        <row r="11134">
          <cell r="B11134" t="str">
            <v>43-335-06-07</v>
          </cell>
          <cell r="C11134" t="str">
            <v>GRACEY TITAN STANDARD  FIG. 5/6</v>
          </cell>
          <cell r="D11134" t="str">
            <v>GRACEY TITAN STANDARD  FIG. 5/6</v>
          </cell>
        </row>
        <row r="11135">
          <cell r="B11135" t="str">
            <v>43-335-08-07</v>
          </cell>
          <cell r="C11135" t="str">
            <v>GRACEY TITAN STANDARD  FIG. 7/8</v>
          </cell>
          <cell r="D11135" t="str">
            <v>GRACEY TITAN STANDARD  FIG. 7/8</v>
          </cell>
        </row>
        <row r="11136">
          <cell r="B11136" t="str">
            <v>43-335-12-07</v>
          </cell>
          <cell r="C11136" t="str">
            <v>GRACEY TITAN STANDARD  FIG. 11/12</v>
          </cell>
          <cell r="D11136" t="str">
            <v>GRACEY TITAN STANDARD  FIG. 11/12</v>
          </cell>
        </row>
        <row r="11137">
          <cell r="B11137" t="str">
            <v>43-335-14-07</v>
          </cell>
          <cell r="C11137" t="str">
            <v>GRACEY TITAN STANDARD  FIG. 13/14</v>
          </cell>
          <cell r="D11137" t="str">
            <v>GRACEY TITAN STANDARD  FIG. 13/14</v>
          </cell>
        </row>
        <row r="11138">
          <cell r="B11138" t="str">
            <v>43-336-02-07</v>
          </cell>
          <cell r="C11138" t="str">
            <v>MINI-KUERETTE, GRACEY, 1/2, RUNDG.,  GELB</v>
          </cell>
          <cell r="D11138" t="str">
            <v>GRACEY-MINI 1/2,  YELLOW</v>
          </cell>
        </row>
        <row r="11139">
          <cell r="B11139" t="str">
            <v>43-336-04-07</v>
          </cell>
          <cell r="C11139" t="str">
            <v>MINI-KUERETTE, GRACEY, 3/4, RUNDG.,  GELB</v>
          </cell>
          <cell r="D11139" t="str">
            <v>GRACEY-MINI 3/4,  YELLOW</v>
          </cell>
        </row>
        <row r="11140">
          <cell r="B11140" t="str">
            <v>43-336-06-07</v>
          </cell>
          <cell r="C11140" t="str">
            <v>MINI-KUERETTE, GRACEY, 5/6, RUNDG.,  GELB</v>
          </cell>
          <cell r="D11140" t="str">
            <v>GRACEY-MINI 5/6,  YELLOW</v>
          </cell>
        </row>
        <row r="11141">
          <cell r="B11141" t="str">
            <v>43-336-08-07</v>
          </cell>
          <cell r="C11141" t="str">
            <v>MINI-KUERETTE, GRACEY, 7/8, RUNDG.,  GRAU</v>
          </cell>
          <cell r="D11141" t="str">
            <v>GRACEY-MINI 7/8,  GREY</v>
          </cell>
        </row>
        <row r="11142">
          <cell r="B11142" t="str">
            <v>43-336-10-07</v>
          </cell>
          <cell r="C11142" t="str">
            <v>MINI-KUERETTE, GRACEY, 9/10, RUND, GRAU</v>
          </cell>
          <cell r="D11142" t="str">
            <v>GRACEY-MINI 9/1O,  GREY</v>
          </cell>
        </row>
        <row r="11143">
          <cell r="B11143" t="str">
            <v>43-336-12-07</v>
          </cell>
          <cell r="C11143" t="str">
            <v>MINI-KUERETTE, GRACEY, 11/12, RUND, VIOL</v>
          </cell>
          <cell r="D11143" t="str">
            <v>GRACEY-MINI 11/12,  PURPLE</v>
          </cell>
        </row>
        <row r="11144">
          <cell r="B11144" t="str">
            <v>43-336-14-07</v>
          </cell>
          <cell r="C11144" t="str">
            <v>MINI-KUERETTE, GRACEY, 13/14, RUND, BLAU</v>
          </cell>
          <cell r="D11144" t="str">
            <v>GRACEY-MINI 13/14,  BLUE</v>
          </cell>
        </row>
        <row r="11145">
          <cell r="B11145" t="str">
            <v>43-336-16-07</v>
          </cell>
          <cell r="C11145" t="str">
            <v>MINI-KUERETTE, GRACEY, 15/16, RUND, VIOL</v>
          </cell>
          <cell r="D11145" t="str">
            <v>GRACEY-MINI 15/16,  PURPLE</v>
          </cell>
        </row>
        <row r="11146">
          <cell r="B11146" t="str">
            <v>43-336-18-07</v>
          </cell>
          <cell r="C11146" t="str">
            <v>MINI-KUERETTE, GRACEY, 17/18, RUND, BLAU</v>
          </cell>
          <cell r="D11146" t="str">
            <v>GRACEY-MINI 17/18,  BLUE</v>
          </cell>
        </row>
        <row r="11147">
          <cell r="B11147" t="str">
            <v>43-337-02-07</v>
          </cell>
          <cell r="C11147" t="str">
            <v>KUERETTE,  GRACEY, 1/2, RUNDGRIFF, GELB</v>
          </cell>
          <cell r="D11147" t="str">
            <v>GRACEY-CURETTE 1/2, YELLOW</v>
          </cell>
        </row>
        <row r="11148">
          <cell r="B11148" t="str">
            <v>43-337-04-07</v>
          </cell>
          <cell r="C11148" t="str">
            <v>KUERETTE,  GRACEY, 3/4, RUNDGRIFF, GELB</v>
          </cell>
          <cell r="D11148" t="str">
            <v>GRACEY-CURETTE 3/4, YELLOW</v>
          </cell>
        </row>
        <row r="11149">
          <cell r="B11149" t="str">
            <v>43-337-06-07</v>
          </cell>
          <cell r="C11149" t="str">
            <v>KUERETTE,  GRACEY, 5/6, RUNDGRIFF, GELB</v>
          </cell>
          <cell r="D11149" t="str">
            <v>GRACEY-CURETTE 5/6, YELLOW</v>
          </cell>
        </row>
        <row r="11150">
          <cell r="B11150" t="str">
            <v>43-337-08-07</v>
          </cell>
          <cell r="C11150" t="str">
            <v>KUERETTE,  GRACEY, 7/8, RUNDGRIFF, GRAU</v>
          </cell>
          <cell r="D11150" t="str">
            <v>GRACEY-CURETTE 7/8, GREY</v>
          </cell>
        </row>
        <row r="11151">
          <cell r="B11151" t="str">
            <v>43-337-10-07</v>
          </cell>
          <cell r="C11151" t="str">
            <v>KUERETTE,  GRACEY, 9/10, RUNDGRIFF, GRAU</v>
          </cell>
          <cell r="D11151" t="str">
            <v>GRACEY-CURETTE 9/10, GREY</v>
          </cell>
        </row>
        <row r="11152">
          <cell r="B11152" t="str">
            <v>43-337-12-07</v>
          </cell>
          <cell r="C11152" t="str">
            <v>KUERETTE,  GRACEY, 11/12, RUNDG.,  VIOLETT</v>
          </cell>
          <cell r="D11152" t="str">
            <v>GRACEY-CURETTE 11/12, PURPLE</v>
          </cell>
        </row>
        <row r="11153">
          <cell r="B11153" t="str">
            <v>43-337-14-07</v>
          </cell>
          <cell r="C11153" t="str">
            <v>KUERETTE,  GRACEY, 13/14, RUNDGRIFF, BLAU</v>
          </cell>
          <cell r="D11153" t="str">
            <v>GRACEY-CURETTE 13/14, BLUE</v>
          </cell>
        </row>
        <row r="11154">
          <cell r="B11154" t="str">
            <v>43-337-16-07</v>
          </cell>
          <cell r="C11154" t="str">
            <v>KUERETTE,  GRACEY, 15/16, RUNDG.,  VIOLETT</v>
          </cell>
          <cell r="D11154" t="str">
            <v>GRACEY-CURETTE 15/16, PURPLE</v>
          </cell>
        </row>
        <row r="11155">
          <cell r="B11155" t="str">
            <v>43-337-18-07</v>
          </cell>
          <cell r="C11155" t="str">
            <v>KUERETTE,  GRACEY, 17/18, RUNDGRIFF, BLAU</v>
          </cell>
          <cell r="D11155" t="str">
            <v>GRACEY-CURETTE 17/18, BLUE</v>
          </cell>
        </row>
        <row r="11156">
          <cell r="B11156" t="str">
            <v>43-338-02-07</v>
          </cell>
          <cell r="C11156" t="str">
            <v>KUERETTE,  GRACEY-RIGID, 1/2, RUND, GELB</v>
          </cell>
          <cell r="D11156" t="str">
            <v>GRACEY-RIGID 1/2, YELLOW</v>
          </cell>
        </row>
        <row r="11157">
          <cell r="B11157" t="str">
            <v>43-338-04-07</v>
          </cell>
          <cell r="C11157" t="str">
            <v>KUERETTE,  GRACEY-RIGID, 3/4, RUND, GELB</v>
          </cell>
          <cell r="D11157" t="str">
            <v>GRACEY-RIGID 3/4, YELLOW</v>
          </cell>
        </row>
        <row r="11158">
          <cell r="B11158" t="str">
            <v>43-338-06-07</v>
          </cell>
          <cell r="C11158" t="str">
            <v>KUERETTE,  GRACEY-RIGID, 5/6, RUND, GELB</v>
          </cell>
          <cell r="D11158" t="str">
            <v>GRACEY-RIGID 5/6, YELLOW</v>
          </cell>
        </row>
        <row r="11159">
          <cell r="B11159" t="str">
            <v>43-338-08-07</v>
          </cell>
          <cell r="C11159" t="str">
            <v>KUERETTE,  GRACEY-RIGID, 7/8, RUND, GRAU</v>
          </cell>
          <cell r="D11159" t="str">
            <v>GRACEY-RIGID 7/8, GREY</v>
          </cell>
        </row>
        <row r="11160">
          <cell r="B11160" t="str">
            <v>43-338-10-07</v>
          </cell>
          <cell r="C11160" t="str">
            <v>KUERETTE,  GRACEY-RIGID, 9/10, RUND, GRAU</v>
          </cell>
          <cell r="D11160" t="str">
            <v>GRACEY-RIGID 9/10, GREY</v>
          </cell>
        </row>
        <row r="11161">
          <cell r="B11161" t="str">
            <v>43-338-12-07</v>
          </cell>
          <cell r="C11161" t="str">
            <v>KUERETTE,  GRACEY-RIG., 11/12, RUND, VIOL</v>
          </cell>
          <cell r="D11161" t="str">
            <v>GRACEY-RIGID 11/12, PURPLE</v>
          </cell>
        </row>
        <row r="11162">
          <cell r="B11162" t="str">
            <v>43-338-14-07</v>
          </cell>
          <cell r="C11162" t="str">
            <v>KUERETTE,  GRACEY-RIG., 13/14, RUND, BLAU</v>
          </cell>
          <cell r="D11162" t="str">
            <v>GRACEY-RIGID 13/14, BLUE</v>
          </cell>
        </row>
        <row r="11163">
          <cell r="B11163" t="str">
            <v>43-338-16-07</v>
          </cell>
          <cell r="C11163" t="str">
            <v>KUERETTE,  GRACEY-RIG., 15/16, RUND, VIOL</v>
          </cell>
          <cell r="D11163" t="str">
            <v>GRACEY-RIGID 15/16, PURPLE</v>
          </cell>
        </row>
        <row r="11164">
          <cell r="B11164" t="str">
            <v>43-338-18-07</v>
          </cell>
          <cell r="C11164" t="str">
            <v>KUERETTE,  GRACEY-RIG., 17/18, RUND, BLAU</v>
          </cell>
          <cell r="D11164" t="str">
            <v>GRACEY-RIGID 17/18, BLUE</v>
          </cell>
        </row>
        <row r="11165">
          <cell r="B11165" t="str">
            <v>43-339-02-07</v>
          </cell>
          <cell r="C11165" t="str">
            <v>KUERETTE,  GRACEY, 1/2, RUND, 10 MM, GELB</v>
          </cell>
          <cell r="D11165" t="str">
            <v>GRACEY-CURETTE, 10 MM, 1/2, YELLOW</v>
          </cell>
        </row>
        <row r="11166">
          <cell r="B11166" t="str">
            <v>43-339-04-07</v>
          </cell>
          <cell r="C11166" t="str">
            <v>KUERETTE,  GRACEY, 3/4, RUND, 10 MM, GELB</v>
          </cell>
          <cell r="D11166" t="str">
            <v>GRACEY-CURETTE, 10 MM, 3/4, YELLOW</v>
          </cell>
        </row>
        <row r="11167">
          <cell r="B11167" t="str">
            <v>43-339-06-07</v>
          </cell>
          <cell r="C11167" t="str">
            <v>KUERETTE,  GRACEY, 5/6, RUND, 10 MM, GELB</v>
          </cell>
          <cell r="D11167" t="str">
            <v>GRACEY-CURETTE, 10 MM, 5/6, YELLOW</v>
          </cell>
        </row>
        <row r="11168">
          <cell r="B11168" t="str">
            <v>43-339-08-07</v>
          </cell>
          <cell r="C11168" t="str">
            <v>KUERETTE,  GRACEY, 7/8, RUND, 10 MM, GRAU</v>
          </cell>
          <cell r="D11168" t="str">
            <v>GRACEY-CURETTE, 10 MM, 7/8, GREY</v>
          </cell>
        </row>
        <row r="11169">
          <cell r="B11169" t="str">
            <v>43-339-10-07</v>
          </cell>
          <cell r="C11169" t="str">
            <v>KUERETTE,  GRACEY, 9/10, RD., 10 MM, GRAU</v>
          </cell>
          <cell r="D11169" t="str">
            <v>GRACEY-CURETTE, 10 MM, 9/10, GREY</v>
          </cell>
        </row>
        <row r="11170">
          <cell r="B11170" t="str">
            <v>43-339-12-07</v>
          </cell>
          <cell r="C11170" t="str">
            <v>KUERETTE,  GRACEY, 11/12, RD., 10 MM, VIO</v>
          </cell>
          <cell r="D11170" t="str">
            <v>GRACEY-CURETTE, 10 MM,11/12, PUR.</v>
          </cell>
        </row>
        <row r="11171">
          <cell r="B11171" t="str">
            <v>43-339-14-07</v>
          </cell>
          <cell r="C11171" t="str">
            <v>KUERETTE,  GRACEY, 13/14, RD., 10 MM BLAU</v>
          </cell>
          <cell r="D11171" t="str">
            <v>GRACEY-CURETTE, 10 MM,13/14, BLUE</v>
          </cell>
        </row>
        <row r="11172">
          <cell r="B11172" t="str">
            <v>43-339-16-07</v>
          </cell>
          <cell r="C11172" t="str">
            <v>KUERETTE,  GRACEY, 15/16, RD., 10 MM, VIO</v>
          </cell>
          <cell r="D11172" t="str">
            <v>GRACEY-CURETTE, 10 MM,15/16, PUR.</v>
          </cell>
        </row>
        <row r="11173">
          <cell r="B11173" t="str">
            <v>43-339-18-07</v>
          </cell>
          <cell r="C11173" t="str">
            <v>KUERETTE,  GRACEY, 17/18, RD., 10 MM BLAU</v>
          </cell>
          <cell r="D11173" t="str">
            <v>GRACEY-CURETTE, 10 MM,17/18, BLUE</v>
          </cell>
        </row>
        <row r="11174">
          <cell r="B11174" t="str">
            <v>43-340-01-07</v>
          </cell>
          <cell r="C11174" t="str">
            <v>MIKROKÜRETTE NACH AKIYAMA,  FIG. 1</v>
          </cell>
          <cell r="D11174" t="str">
            <v>MICRO CURETTE  ACC. TO AKIYAMA,  FIG. 1</v>
          </cell>
        </row>
        <row r="11175">
          <cell r="B11175" t="str">
            <v>43-340-02-07</v>
          </cell>
          <cell r="C11175" t="str">
            <v>MIKROKÜRETTE NACH AKIYAMA,  FIG. 2</v>
          </cell>
          <cell r="D11175" t="str">
            <v>MICRO CURETTE  ACC. TO AKIYAMA,  FIG. 2</v>
          </cell>
        </row>
        <row r="11176">
          <cell r="B11176" t="str">
            <v>43-347-40-07</v>
          </cell>
          <cell r="C11176" t="str">
            <v>MESSSONDE N. NABERS, GRADUIERT, RUNDGR.</v>
          </cell>
          <cell r="D11176" t="str">
            <v>NABERS-PERIO-PROBE, ROUND HANDLE</v>
          </cell>
        </row>
        <row r="11177">
          <cell r="B11177" t="str">
            <v>43-350-01-07</v>
          </cell>
          <cell r="C11177" t="str">
            <v>FURKATIONSKUERETTE, FIG. 1, 0,9 MM</v>
          </cell>
          <cell r="D11177" t="str">
            <v>FURKATION-CURETTE, FIG. 1, 0,9 MM</v>
          </cell>
        </row>
        <row r="11178">
          <cell r="B11178" t="str">
            <v>43-350-02-07</v>
          </cell>
          <cell r="C11178" t="str">
            <v>FURKATIONSKUERETTE, FIG. 2, 1,3 MM</v>
          </cell>
          <cell r="D11178" t="str">
            <v>FURKATION-CURETTE, FIG. 2, 1,3 MM</v>
          </cell>
        </row>
        <row r="11179">
          <cell r="B11179" t="str">
            <v>43-350-03-07</v>
          </cell>
          <cell r="C11179" t="str">
            <v>FURKATIONSKUERETTE, FIG. 3, 0,9 MM</v>
          </cell>
          <cell r="D11179" t="str">
            <v>FURKATION-CURETTE, FIG. 3, 0,9 MM</v>
          </cell>
        </row>
        <row r="11180">
          <cell r="B11180" t="str">
            <v>43-350-04-07</v>
          </cell>
          <cell r="C11180" t="str">
            <v>FURKATIONSKUERETTE, FIG. 4, 1,3 MM</v>
          </cell>
          <cell r="D11180" t="str">
            <v>FURKATION-CURETTE, FIG. 4, 1,3 MM</v>
          </cell>
        </row>
        <row r="11181">
          <cell r="B11181" t="str">
            <v>43-350-05-07</v>
          </cell>
          <cell r="C11181" t="str">
            <v>FURKATIONSKUERETTE, FIG. 5, 0,9 MM</v>
          </cell>
          <cell r="D11181" t="str">
            <v>FURKATION-CURETTE, FIG. 5, 0,9 MM</v>
          </cell>
        </row>
        <row r="11182">
          <cell r="B11182" t="str">
            <v>43-357-00-07</v>
          </cell>
          <cell r="C11182" t="str">
            <v>PARODONTOMETER, FIG. W</v>
          </cell>
          <cell r="D11182" t="str">
            <v>PERIO-PROBE, R. HANDLE,  FIG.W</v>
          </cell>
        </row>
        <row r="11183">
          <cell r="B11183" t="str">
            <v>43-363-01-07</v>
          </cell>
          <cell r="C11183" t="str">
            <v>MINI-MEISSEL N. RHODES,  FIG. 36/37</v>
          </cell>
          <cell r="D11183" t="str">
            <v>RHODES-MINI-CHISEL, FIG. 36/37</v>
          </cell>
        </row>
        <row r="11184">
          <cell r="B11184" t="str">
            <v>43-364-01-07</v>
          </cell>
          <cell r="C11184" t="str">
            <v>KUERETTE  N. PRICHARD</v>
          </cell>
          <cell r="D11184" t="str">
            <v>PRICHARD-CURETTE</v>
          </cell>
        </row>
        <row r="11185">
          <cell r="B11185" t="str">
            <v>43-365-01-07</v>
          </cell>
          <cell r="C11185" t="str">
            <v>OCHSENBEIN-MEISSEL, EINENDIG,  FIG. 1</v>
          </cell>
          <cell r="D11185" t="str">
            <v>OCHSENBEIN-CHISEL, FIG. 1</v>
          </cell>
        </row>
        <row r="11186">
          <cell r="B11186" t="str">
            <v>43-365-02-07</v>
          </cell>
          <cell r="C11186" t="str">
            <v>OCHSENBEIN-MEISSEL, EINENDIG,  FIG. 2</v>
          </cell>
          <cell r="D11186" t="str">
            <v>OCHSENBEIN-CHISEL, FIG. 2</v>
          </cell>
        </row>
        <row r="11187">
          <cell r="B11187" t="str">
            <v>43-366-01-07</v>
          </cell>
          <cell r="C11187" t="str">
            <v>FEDI-MEISSEL, RUNDGRIFF, FIG. 1</v>
          </cell>
          <cell r="D11187" t="str">
            <v>FEDI-CHISEL, FIG. 1</v>
          </cell>
        </row>
        <row r="11188">
          <cell r="B11188" t="str">
            <v>43-366-02-07</v>
          </cell>
          <cell r="C11188" t="str">
            <v>FEDI-MEISSEL, RUNDGRIFF, FIG. 2</v>
          </cell>
          <cell r="D11188" t="str">
            <v>FEDI-CHISEL, FIG. 2</v>
          </cell>
        </row>
        <row r="11189">
          <cell r="B11189" t="str">
            <v>43-400-02-07</v>
          </cell>
          <cell r="C11189" t="str">
            <v>MIKRO-ENDOSONDE, ROT</v>
          </cell>
          <cell r="D11189" t="str">
            <v>MICRO-ENDO-PROBE, RED</v>
          </cell>
        </row>
        <row r="11190">
          <cell r="B11190" t="str">
            <v>43-400-03-07</v>
          </cell>
          <cell r="C11190" t="str">
            <v>ZAHNSONDE, EXTRA FEIN, RUNDGRIFF, FIG. 3</v>
          </cell>
          <cell r="D11190" t="str">
            <v>EXTRA-FINE EXPLORER,  R. HANDLE FIG. 3</v>
          </cell>
        </row>
        <row r="11191">
          <cell r="B11191" t="str">
            <v>43-400-06-07</v>
          </cell>
          <cell r="C11191" t="str">
            <v>ZAHNSONDE, EXTRA FEIN, RUNDGRIFF, FIG. 6</v>
          </cell>
          <cell r="D11191" t="str">
            <v>EXTRA-FINE EXPLORER,  R. HANDLE FIG. 6</v>
          </cell>
        </row>
        <row r="11192">
          <cell r="B11192" t="str">
            <v>43-400-08-07</v>
          </cell>
          <cell r="C11192" t="str">
            <v>ZAHNSONDE, EXTRA FEIN, RUNDGR.,  FIG. 8A</v>
          </cell>
          <cell r="D11192" t="str">
            <v>EXTRA-FINE EXPLORER,  R. HANDLE FIG. 8A</v>
          </cell>
        </row>
        <row r="11193">
          <cell r="B11193" t="str">
            <v>43-400-09-07</v>
          </cell>
          <cell r="C11193" t="str">
            <v>ZAHNSONDE, EXTRA FEIN, RUNDGRIFF, FIG. 9</v>
          </cell>
          <cell r="D11193" t="str">
            <v>EXTRA-FINE EXPLORER,  R. HANDLE FIG. 9</v>
          </cell>
        </row>
        <row r="11194">
          <cell r="B11194" t="str">
            <v>43-400-12-07</v>
          </cell>
          <cell r="C11194" t="str">
            <v>ZAHNSONDE, EXTRA FEIN, RUNDGR.,  FIG. 12</v>
          </cell>
          <cell r="D11194" t="str">
            <v>EXTRA-FINE EXPLORER,  R. HANDLE FIG. 12</v>
          </cell>
        </row>
        <row r="11195">
          <cell r="B11195" t="str">
            <v>43-400-17-07</v>
          </cell>
          <cell r="C11195" t="str">
            <v>ZAHNSONDE, EXTRA FEIN, RUNDGR.,  FIG. 17</v>
          </cell>
          <cell r="D11195" t="str">
            <v>EXTRA-FINE EXPLORER,  R. HANDLE FIG. 17</v>
          </cell>
        </row>
        <row r="11196">
          <cell r="B11196" t="str">
            <v>43-400-23-07</v>
          </cell>
          <cell r="C11196" t="str">
            <v>ZAHNSONDE, EXTRA FEIN, RUNDGR.,  FIG. 23</v>
          </cell>
          <cell r="D11196" t="str">
            <v>EXTRA-FINE EXPLORER,  R. HANDLE FIG. 23</v>
          </cell>
        </row>
        <row r="11197">
          <cell r="B11197" t="str">
            <v>43-400-30-07</v>
          </cell>
          <cell r="C11197" t="str">
            <v>ZAHNSONDE, EXTRA FEIN, RUNDGR.,  FIG. 3A</v>
          </cell>
          <cell r="D11197" t="str">
            <v>EXTRA-FINE EXPLORER,  R. HANDLE FIG. 3A</v>
          </cell>
        </row>
        <row r="11198">
          <cell r="B11198" t="str">
            <v>43-400-60-07</v>
          </cell>
          <cell r="C11198" t="str">
            <v>ZAHNSONDE, EXTRA FEIN, RUNDGR.,  FIG. 6XL</v>
          </cell>
          <cell r="D11198" t="str">
            <v>EXTRA-FINE EXPLORER,  R. HANDLE FIG. 6XL</v>
          </cell>
        </row>
        <row r="11199">
          <cell r="B11199" t="str">
            <v>43-401-12-07</v>
          </cell>
          <cell r="C11199" t="str">
            <v>ZAHNSONDE N. WHITE, RUNDGRIFF, FIG. 12</v>
          </cell>
          <cell r="D11199" t="str">
            <v>WHITE-EXPLORER, R. HANDLE FIG. 12</v>
          </cell>
        </row>
        <row r="11200">
          <cell r="B11200" t="str">
            <v>43-402-03-07</v>
          </cell>
          <cell r="C11200" t="str">
            <v>ZAHNSONDE, RUNDGRIFF, FIG. 3</v>
          </cell>
          <cell r="D11200" t="str">
            <v>EXPLORER,  R. HANDLE FIG. 3</v>
          </cell>
        </row>
        <row r="11201">
          <cell r="B11201" t="str">
            <v>43-402-06-07</v>
          </cell>
          <cell r="C11201" t="str">
            <v>ZAHNSONDE, RUNDGRIFF, FIG. 6</v>
          </cell>
          <cell r="D11201" t="str">
            <v>EXPLORER,  R. HANDLE FIG. 6</v>
          </cell>
        </row>
        <row r="11202">
          <cell r="B11202" t="str">
            <v>43-402-08-07</v>
          </cell>
          <cell r="C11202" t="str">
            <v>ZAHNSONDE, RUNDGRIFF, FIG. 8A</v>
          </cell>
          <cell r="D11202" t="str">
            <v>EXPLORER,  R. HANDLE FIG. 8A</v>
          </cell>
        </row>
        <row r="11203">
          <cell r="B11203" t="str">
            <v>43-402-09-07</v>
          </cell>
          <cell r="C11203" t="str">
            <v>ZAHNSONDE, RUNDGRIFF, FIG. 9</v>
          </cell>
          <cell r="D11203" t="str">
            <v>EXPLORER,  R. HANDLE FIG. 9</v>
          </cell>
        </row>
        <row r="11204">
          <cell r="B11204" t="str">
            <v>43-402-11-07</v>
          </cell>
          <cell r="C11204" t="str">
            <v>ZAHNSONDE N. BRIAULT,  EXD 11</v>
          </cell>
          <cell r="D11204" t="str">
            <v>BRIAULT-EXPLORER EXD 11</v>
          </cell>
        </row>
        <row r="11205">
          <cell r="B11205" t="str">
            <v>43-402-12-07</v>
          </cell>
          <cell r="C11205" t="str">
            <v>ZAHNSONDE, RUNDGRIFF, EXD 11-12</v>
          </cell>
          <cell r="D11205" t="str">
            <v>EXPLORER  EXD 11-12, R. HANDLE</v>
          </cell>
        </row>
        <row r="11206">
          <cell r="B11206" t="str">
            <v>43-402-17-07</v>
          </cell>
          <cell r="C11206" t="str">
            <v>ZAHNSONDE N. WHITE, RUNDGRIFF, FIG. 17</v>
          </cell>
          <cell r="D11206" t="str">
            <v>WHITE-EXPLORER, R. HANDLE FIG. 17</v>
          </cell>
        </row>
        <row r="11207">
          <cell r="B11207" t="str">
            <v>43-402-23-07</v>
          </cell>
          <cell r="C11207" t="str">
            <v>ZAHNSONDE N. WHITE, RUNDGRIFF, FIG. 23</v>
          </cell>
          <cell r="D11207" t="str">
            <v>WHITE-EXPLORER, R. HANDLE,  FIG. 23</v>
          </cell>
        </row>
        <row r="11208">
          <cell r="B11208" t="str">
            <v>43-402-33-07</v>
          </cell>
          <cell r="C11208" t="str">
            <v>ZAHNSONDE, RUNDGRIFF, FIG. 3A</v>
          </cell>
          <cell r="D11208" t="str">
            <v>EXPLORER,  R. HANDLE FIG. 3A</v>
          </cell>
        </row>
        <row r="11209">
          <cell r="B11209" t="str">
            <v>43-402-54-07</v>
          </cell>
          <cell r="C11209" t="str">
            <v>ZAHNSONDE, RUNDGRIFF, FIG. 54</v>
          </cell>
          <cell r="D11209" t="str">
            <v>EXPLORER,  R. HANDLE FIG. 54</v>
          </cell>
        </row>
        <row r="11210">
          <cell r="B11210" t="str">
            <v>43-402-66-07</v>
          </cell>
          <cell r="C11210" t="str">
            <v>ZAHNSONDE, RUNDGRIFF, FIG. 6XL</v>
          </cell>
          <cell r="D11210" t="str">
            <v>EXPLORER,  R. HANDLE FIG. 6XL</v>
          </cell>
        </row>
        <row r="11211">
          <cell r="B11211" t="str">
            <v>43-403-01-07</v>
          </cell>
          <cell r="C11211" t="str">
            <v>ZAHNSONDE, DOPPELEND., RUND, FIG. UT 1/2</v>
          </cell>
          <cell r="D11211" t="str">
            <v>EXPLORER,  FIG. UT 1/2</v>
          </cell>
        </row>
        <row r="11212">
          <cell r="B11212" t="str">
            <v>43-403-02-07</v>
          </cell>
          <cell r="C11212" t="str">
            <v>ZAHNSONDE, RUNDGRIFF, FIG. 2/2</v>
          </cell>
          <cell r="D11212" t="str">
            <v>EXPLORER,  R. HANDLE,  FIG. 2/2</v>
          </cell>
        </row>
        <row r="11213">
          <cell r="B11213" t="str">
            <v>43-403-03-07</v>
          </cell>
          <cell r="C11213" t="str">
            <v>ZAHNSONDE, RUNDGRIFF, FIG. 3CH/3CH</v>
          </cell>
          <cell r="D11213" t="str">
            <v>EXPLORER,  R. HANDLE,  FIG. 3 CH/3 CH</v>
          </cell>
        </row>
        <row r="11214">
          <cell r="B11214" t="str">
            <v>43-403-06-07</v>
          </cell>
          <cell r="C11214" t="str">
            <v>ZAHNSONDE, DOPPELENDIG, FIG. 23/6</v>
          </cell>
          <cell r="D11214" t="str">
            <v>EXPLORER,  FIG. 23/6</v>
          </cell>
        </row>
        <row r="11215">
          <cell r="B11215" t="str">
            <v>43-403-16-07</v>
          </cell>
          <cell r="C11215" t="str">
            <v>ZAHNSONDE, DOPPELENDIG, RUND, FIG. 16/17</v>
          </cell>
          <cell r="D11215" t="str">
            <v>EXPLORER,  FIG. 16/17</v>
          </cell>
        </row>
        <row r="11216">
          <cell r="B11216" t="str">
            <v>43-403-17-07</v>
          </cell>
          <cell r="C11216" t="str">
            <v>ZAHNSONDE, RUNDGRIFF, FIG. 17/23</v>
          </cell>
          <cell r="D11216" t="str">
            <v>EXPLORER,  R. HANDLE,  FIG. 17/23</v>
          </cell>
        </row>
        <row r="11217">
          <cell r="B11217" t="str">
            <v>43-403-23-07</v>
          </cell>
          <cell r="C11217" t="str">
            <v>ZAHNSONDE, DOPPELEND., RUND, FIG. 23/17A</v>
          </cell>
          <cell r="D11217" t="str">
            <v>EXPLORER,  FIG. 23/17A</v>
          </cell>
        </row>
        <row r="11218">
          <cell r="B11218" t="str">
            <v>43-404-01-07</v>
          </cell>
          <cell r="C11218" t="str">
            <v>ZAHNSONDE N. NABERS, DOPPELEND., FIG. 1</v>
          </cell>
          <cell r="D11218" t="str">
            <v>NABERS EXPLORER  FIG. 1</v>
          </cell>
        </row>
        <row r="11219">
          <cell r="B11219" t="str">
            <v>43-404-02-07</v>
          </cell>
          <cell r="C11219" t="str">
            <v>ZAHNSONDE N. NABERS, DOPPELEND., FIG. 2</v>
          </cell>
          <cell r="D11219" t="str">
            <v>NABERS EXPLORER  FIG. 2</v>
          </cell>
        </row>
        <row r="11220">
          <cell r="B11220" t="str">
            <v>43-404-05-07</v>
          </cell>
          <cell r="C11220" t="str">
            <v>ZAHNSONDE, DOPPELENDIG, RUND, FIG. 5/6</v>
          </cell>
          <cell r="D11220" t="str">
            <v>EXPLORER  FIG. 5/6</v>
          </cell>
        </row>
        <row r="11221">
          <cell r="B11221" t="str">
            <v>43-404-23-07</v>
          </cell>
          <cell r="C11221" t="str">
            <v>ZAHNSONDE, DOPPELENDIG, RUND, FIG. 16/23</v>
          </cell>
          <cell r="D11221" t="str">
            <v>EXPLORER  FIG. 16/23</v>
          </cell>
        </row>
        <row r="11222">
          <cell r="B11222" t="str">
            <v>43-482-01-07</v>
          </cell>
          <cell r="C11222" t="str">
            <v>EXKAVATOR, RUNDGRIFF, FIG. GM 1A</v>
          </cell>
          <cell r="D11222" t="str">
            <v>EXCAVATOR, R. HANDLE,  FIG. GM 1A</v>
          </cell>
        </row>
        <row r="11223">
          <cell r="B11223" t="str">
            <v>43-482-02-07</v>
          </cell>
          <cell r="C11223" t="str">
            <v>EXKAVATOR, RUNDGRIFF, FIG. GM 2A</v>
          </cell>
          <cell r="D11223" t="str">
            <v>EXCAVATOR, R. HANDLE,  FIG. GM 2A</v>
          </cell>
        </row>
        <row r="11224">
          <cell r="B11224" t="str">
            <v>43-484-00-07</v>
          </cell>
          <cell r="C11224" t="str">
            <v>EXKAVATOR, RUNDGRIFF, FIG. GM 0</v>
          </cell>
          <cell r="D11224" t="str">
            <v>EXCAVATOR, R. HANDLE,  FIG. GM 0</v>
          </cell>
        </row>
        <row r="11225">
          <cell r="B11225" t="str">
            <v>43-484-01-07</v>
          </cell>
          <cell r="C11225" t="str">
            <v>EXKAVATOR, RUNDGRIFF, FIG. GM 1</v>
          </cell>
          <cell r="D11225" t="str">
            <v>EXCAVATOR, R. HANDLE,  FIG. GM 1</v>
          </cell>
        </row>
        <row r="11226">
          <cell r="B11226" t="str">
            <v>43-484-02-07</v>
          </cell>
          <cell r="C11226" t="str">
            <v>EXKAVATOR, RUNDGRIFF, FIG. GM 2</v>
          </cell>
          <cell r="D11226" t="str">
            <v>EXCAVATOR, R. HANDLE,  FIG. GM 2</v>
          </cell>
        </row>
        <row r="11227">
          <cell r="B11227" t="str">
            <v>43-484-03-07</v>
          </cell>
          <cell r="C11227" t="str">
            <v>EXKAVATOR, RUNDGRIFF, FIG. GM 3</v>
          </cell>
          <cell r="D11227" t="str">
            <v>EXCAVATOR, R. HANDLE,  FIG. GM 3</v>
          </cell>
        </row>
        <row r="11228">
          <cell r="B11228" t="str">
            <v>43-484-04-07</v>
          </cell>
          <cell r="C11228" t="str">
            <v>EXKAVATOR, RUNDGRIFF, FIG. GM 4</v>
          </cell>
          <cell r="D11228" t="str">
            <v>EXCAVATOR, R. HANDLE,  FIG. GM 4</v>
          </cell>
        </row>
        <row r="11229">
          <cell r="B11229" t="str">
            <v>43-486-34-07</v>
          </cell>
          <cell r="C11229" t="str">
            <v>EXKAVATOR, DM: 1,9 MM, GRAU</v>
          </cell>
          <cell r="D11229" t="str">
            <v>EXCAVATOR, DIAM. 1,9 MM, GREY</v>
          </cell>
        </row>
        <row r="11230">
          <cell r="B11230" t="str">
            <v>43-487-00-07</v>
          </cell>
          <cell r="C11230" t="str">
            <v>EXKAVATOR, RUNDGRIFF, FIG. GM 125/126</v>
          </cell>
          <cell r="D11230" t="str">
            <v>EXCAVATOR, R. HANDLE,  FIG. GM 125/126</v>
          </cell>
        </row>
        <row r="11231">
          <cell r="B11231" t="str">
            <v>43-487-02-07</v>
          </cell>
          <cell r="C11231" t="str">
            <v>EXKAVATOR, RUNDGRIFF, FIG. GM 127/128</v>
          </cell>
          <cell r="D11231" t="str">
            <v>EXCAVATOR, R. HANDLE,  FIG. GM 127/128</v>
          </cell>
        </row>
        <row r="11232">
          <cell r="B11232" t="str">
            <v>43-487-04-07</v>
          </cell>
          <cell r="C11232" t="str">
            <v>EXKAVATOR, RUNDGRIFF, FIG. GM 129/130</v>
          </cell>
          <cell r="D11232" t="str">
            <v>EXCAVATOR, R. HANDLE,  FIG. GM 129/130</v>
          </cell>
        </row>
        <row r="11233">
          <cell r="B11233" t="str">
            <v>43-487-06-07</v>
          </cell>
          <cell r="C11233" t="str">
            <v>EXKAVATOR, RUNDGRIFF, FIG. GM 133/134</v>
          </cell>
          <cell r="D11233" t="str">
            <v>EXCAVATOR, R. HANDLE,  FIG. GM 133/134</v>
          </cell>
        </row>
        <row r="11234">
          <cell r="B11234" t="str">
            <v>43-487-08-07</v>
          </cell>
          <cell r="C11234" t="str">
            <v>EXKAVATOR, RUNDGRIFF, FIG. GM 153/154</v>
          </cell>
          <cell r="D11234" t="str">
            <v>EXCAVATOR, R. HANDLE,  FIG. GM 153/154</v>
          </cell>
        </row>
        <row r="11235">
          <cell r="B11235" t="str">
            <v>43-487-10-07</v>
          </cell>
          <cell r="C11235" t="str">
            <v>EXKAVATOR, RUNDGRIFF, FIG. GM 14</v>
          </cell>
          <cell r="D11235" t="str">
            <v>EXCAVATOR, R. HANDLE,  FIG. GM 14</v>
          </cell>
        </row>
        <row r="11236">
          <cell r="B11236" t="str">
            <v>43-487-12-07</v>
          </cell>
          <cell r="C11236" t="str">
            <v>EXKAVATOR, RUNDGRIFF, FIG. GM 38/39</v>
          </cell>
          <cell r="D11236" t="str">
            <v>EXCAVATOR, R. HANDLE,  FIG. GM 38/39</v>
          </cell>
        </row>
        <row r="11237">
          <cell r="B11237" t="str">
            <v>43-487-14-07</v>
          </cell>
          <cell r="C11237" t="str">
            <v>EXKAVATOR, RUNDGRIFF, FIG. GM E1</v>
          </cell>
          <cell r="D11237" t="str">
            <v>EXCAVATOR, R. HANDLE,  FIG. GM E1</v>
          </cell>
        </row>
        <row r="11238">
          <cell r="B11238" t="str">
            <v>43-487-16-07</v>
          </cell>
          <cell r="C11238" t="str">
            <v>EXKAVATOR, RUNDGRIFF, FIG. GM E2</v>
          </cell>
          <cell r="D11238" t="str">
            <v>EXCAVATOR, R. HANDLE,  FIG. GM E2</v>
          </cell>
        </row>
        <row r="11239">
          <cell r="B11239" t="str">
            <v>43-487-18-07</v>
          </cell>
          <cell r="C11239" t="str">
            <v>EXKAVATOR, RUNDGRIFF, FIG. GM E3</v>
          </cell>
          <cell r="D11239" t="str">
            <v>EXCAVATOR, R. HANDLE,  FIG. GM E3</v>
          </cell>
        </row>
        <row r="11240">
          <cell r="B11240" t="str">
            <v>43-487-20-07</v>
          </cell>
          <cell r="C11240" t="str">
            <v>EXKAVATOR, RUNDGRIFF, FIG. GM 6</v>
          </cell>
          <cell r="D11240" t="str">
            <v>EXCAVATOR, R. HANDLE,  FIG. GM 6</v>
          </cell>
        </row>
        <row r="11241">
          <cell r="B11241" t="str">
            <v>43-487-22-07</v>
          </cell>
          <cell r="C11241" t="str">
            <v>EXKAVATOR, RUNDGRIFF, FIG. GM 17S</v>
          </cell>
          <cell r="D11241" t="str">
            <v>EXCAVATOR, R. HANDLE,  FIG. GM 17S</v>
          </cell>
        </row>
        <row r="11242">
          <cell r="B11242" t="str">
            <v>43-487-24-07</v>
          </cell>
          <cell r="C11242" t="str">
            <v>EXKAVATOR, RUNDGRIFF, FIG. GM 17</v>
          </cell>
          <cell r="D11242" t="str">
            <v>EXCAVATOR, R. HANDLE,  FIG. GM 17</v>
          </cell>
        </row>
        <row r="11243">
          <cell r="B11243" t="str">
            <v>43-487-26-07</v>
          </cell>
          <cell r="C11243" t="str">
            <v>EXKAVATOR, RUNDGRIFF, FIG. GM 18</v>
          </cell>
          <cell r="D11243" t="str">
            <v>EXCAVATOR, R. HANDLE,  FIG. GM 18</v>
          </cell>
        </row>
        <row r="11244">
          <cell r="B11244" t="str">
            <v>43-487-28-07</v>
          </cell>
          <cell r="C11244" t="str">
            <v>EXKAVATOR, RUNDGRIFF, FIG. GM 19</v>
          </cell>
          <cell r="D11244" t="str">
            <v>EXCAVATOR, R. HANDLE,  FIG. GM 19</v>
          </cell>
        </row>
        <row r="11245">
          <cell r="B11245" t="str">
            <v>43-487-30-07</v>
          </cell>
          <cell r="C11245" t="str">
            <v>EXKAVATOR, RUNDGRIFF, FIG. GM 17W</v>
          </cell>
          <cell r="D11245" t="str">
            <v>EXCAVATOR, R. HANDLE,  FIG. GM 17W</v>
          </cell>
        </row>
        <row r="11246">
          <cell r="B11246" t="str">
            <v>43-487-32-07</v>
          </cell>
          <cell r="C11246" t="str">
            <v>EXKAVATOR, RUNDGRIFF, FIG. GM 18W</v>
          </cell>
          <cell r="D11246" t="str">
            <v>EXCAVATOR, R. HANDLE,  FIG. GM 18W</v>
          </cell>
        </row>
        <row r="11247">
          <cell r="B11247" t="str">
            <v>43-487-34-07</v>
          </cell>
          <cell r="C11247" t="str">
            <v>EXKAVATOR, RUNDGRIFF, FIG. GM 19W</v>
          </cell>
          <cell r="D11247" t="str">
            <v>EXCAVATOR, R. HANDLE,  FIG. GM 19W</v>
          </cell>
        </row>
        <row r="11248">
          <cell r="B11248" t="str">
            <v>43-487-35-07</v>
          </cell>
          <cell r="C11248" t="str">
            <v>EXKAVATOR, RUNDGRIFF, FIG. GM 61/62</v>
          </cell>
          <cell r="D11248" t="str">
            <v>EXCAVATOR, R. HANDLE,  FIG. GM 61/62</v>
          </cell>
        </row>
        <row r="11249">
          <cell r="B11249" t="str">
            <v>43-487-36-07</v>
          </cell>
          <cell r="C11249" t="str">
            <v>EXKAVATOR, RUNDGRIFF, FIG. GM 63/64</v>
          </cell>
          <cell r="D11249" t="str">
            <v>EXCAVATOR, R. HANDLE,  FIG. GM 63/64</v>
          </cell>
        </row>
        <row r="11250">
          <cell r="B11250" t="str">
            <v>43-487-38-07</v>
          </cell>
          <cell r="C11250" t="str">
            <v>EXKAVATOR, RUNDGRIFF, FIG. GM 65/66</v>
          </cell>
          <cell r="D11250" t="str">
            <v>EXCAVATOR, R. HANDLE,  FIG. GM 65/66</v>
          </cell>
        </row>
        <row r="11251">
          <cell r="B11251" t="str">
            <v>43-487-40-07</v>
          </cell>
          <cell r="C11251" t="str">
            <v>EXKAVATOR, RUNDGRIFF, FIG. GM 31L</v>
          </cell>
          <cell r="D11251" t="str">
            <v>EXCAVATOR, R. HANDLE,  FIG. GM 31L</v>
          </cell>
        </row>
        <row r="11252">
          <cell r="B11252" t="str">
            <v>43-487-42-07</v>
          </cell>
          <cell r="C11252" t="str">
            <v>EXKAVATOR, RUNDGRIFF, FIG. GM 32L</v>
          </cell>
          <cell r="D11252" t="str">
            <v>EXCAVATOR, R. HANDLE,  FIG. GM 32L</v>
          </cell>
        </row>
        <row r="11253">
          <cell r="B11253" t="str">
            <v>43-487-44-07</v>
          </cell>
          <cell r="C11253" t="str">
            <v>EXKAVATOR, RUNDGRIFF, FIG. GM 33L</v>
          </cell>
          <cell r="D11253" t="str">
            <v>EXCAVATOR, R. HANDLE,  FIG. GM 33L</v>
          </cell>
        </row>
        <row r="11254">
          <cell r="B11254" t="str">
            <v>43-494-02-07</v>
          </cell>
          <cell r="C11254" t="str">
            <v>SCHMELZMEISSEL N. WEDELSTAEDT, FIG. 1/2</v>
          </cell>
          <cell r="D11254" t="str">
            <v>WEDELSTAEDT-ENAMEL-CHISEL, FIG. 1/2</v>
          </cell>
        </row>
        <row r="11255">
          <cell r="B11255" t="str">
            <v>43-494-04-07</v>
          </cell>
          <cell r="C11255" t="str">
            <v>SCHMELZMEISSEL N. WEDELSTAEDT, FIG. 3/4</v>
          </cell>
          <cell r="D11255" t="str">
            <v>WEDELSTAEDT-ENAMEL-CHISEL, FIG. 3/4</v>
          </cell>
        </row>
        <row r="11256">
          <cell r="B11256" t="str">
            <v>43-494-06-07</v>
          </cell>
          <cell r="C11256" t="str">
            <v>SCHMELZMEISSEL N. WEDELSTAEDT, FIG. 5/6</v>
          </cell>
          <cell r="D11256" t="str">
            <v>WEDELSTAEDT-ENAMEL-CHISEL, FIG. 5/6</v>
          </cell>
        </row>
        <row r="11257">
          <cell r="B11257" t="str">
            <v>43-500-31-07</v>
          </cell>
          <cell r="C11257" t="str">
            <v>PLUGGER,  ISO 30/40, BLAU-SCHWARZ</v>
          </cell>
          <cell r="D11257" t="str">
            <v>PLUGGER,  ISO 30/40, BLUE-BLACK</v>
          </cell>
        </row>
        <row r="11258">
          <cell r="B11258" t="str">
            <v>43-500-51-07</v>
          </cell>
          <cell r="C11258" t="str">
            <v>PLUGGER,  ISO 50/90, GELB-WEISS</v>
          </cell>
          <cell r="D11258" t="str">
            <v>PLUGGER,  ISO 50/90, YELLOW-WHITE</v>
          </cell>
        </row>
        <row r="11259">
          <cell r="B11259" t="str">
            <v>43-504-01-07</v>
          </cell>
          <cell r="C11259" t="str">
            <v>ENDO-SONDE N. STEWART</v>
          </cell>
          <cell r="D11259" t="str">
            <v>ENDO PROBE STEWART</v>
          </cell>
        </row>
        <row r="11260">
          <cell r="B11260" t="str">
            <v>43-506-01-07</v>
          </cell>
          <cell r="C11260" t="str">
            <v>PLUGGER,  FIG. 1</v>
          </cell>
          <cell r="D11260" t="str">
            <v>PLUGGER,  FIG. 1</v>
          </cell>
        </row>
        <row r="11261">
          <cell r="B11261" t="str">
            <v>43-506-02-07</v>
          </cell>
          <cell r="C11261" t="str">
            <v>PLUGGER,  FIG. 2</v>
          </cell>
          <cell r="D11261" t="str">
            <v>PLUGGER,  FIG. 2</v>
          </cell>
        </row>
        <row r="11262">
          <cell r="B11262" t="str">
            <v>43-506-03-07</v>
          </cell>
          <cell r="C11262" t="str">
            <v>PLUGGER,  FIG. 3</v>
          </cell>
          <cell r="D11262" t="str">
            <v>PLUGGER,  FIG. 3</v>
          </cell>
        </row>
        <row r="11263">
          <cell r="B11263" t="str">
            <v>43-507-02-07</v>
          </cell>
          <cell r="C11263" t="str">
            <v>SPREADER,  ISO 20, GELB</v>
          </cell>
          <cell r="D11263" t="str">
            <v>SPREADER,  ISO 20, YELLOW</v>
          </cell>
        </row>
        <row r="11264">
          <cell r="B11264" t="str">
            <v>43-507-03-07</v>
          </cell>
          <cell r="C11264" t="str">
            <v>SPREADER,  ISO 30, BLAU</v>
          </cell>
          <cell r="D11264" t="str">
            <v>SPREADER,  ISO 30, BLUE</v>
          </cell>
        </row>
        <row r="11265">
          <cell r="B11265" t="str">
            <v>43-507-04-07</v>
          </cell>
          <cell r="C11265" t="str">
            <v>SPREADER,  ISO 40, SCHWARZ</v>
          </cell>
          <cell r="D11265" t="str">
            <v>SPREADER,  ISO 40, BLACK</v>
          </cell>
        </row>
        <row r="11266">
          <cell r="B11266" t="str">
            <v>43-507-05-07</v>
          </cell>
          <cell r="C11266" t="str">
            <v>SPREADER,  ISO 50, GELB</v>
          </cell>
          <cell r="D11266" t="str">
            <v>SPREADER,  ISO 50, YELLOW</v>
          </cell>
        </row>
        <row r="11267">
          <cell r="B11267" t="str">
            <v>43-507-06-07</v>
          </cell>
          <cell r="C11267" t="str">
            <v>SPREADER,  ISO 60, BLAU</v>
          </cell>
          <cell r="D11267" t="str">
            <v>SPREADER,  ISO 60, BLUE</v>
          </cell>
        </row>
        <row r="11268">
          <cell r="B11268" t="str">
            <v>43-600-00-07</v>
          </cell>
          <cell r="C11268" t="str">
            <v>OSTEOTOM, DR.IGLHAUT, GER., 2,2 &lt; 2,7MM</v>
          </cell>
          <cell r="D11268" t="str">
            <v>OSTEOTOM, DR.IGLHAUT,STR., 2,2 &lt; 2,7MM</v>
          </cell>
        </row>
        <row r="11269">
          <cell r="B11269" t="str">
            <v>43-600-01-07</v>
          </cell>
          <cell r="C11269" t="str">
            <v>OSTEOTOM, DR.IGLHAUT, GER., 2,7 &lt; 3,2MM</v>
          </cell>
          <cell r="D11269" t="str">
            <v>OSTEOTOM, DR.IGLHAUT,STR., 2,7 &lt; 3,2MM</v>
          </cell>
        </row>
        <row r="11270">
          <cell r="B11270" t="str">
            <v>43-600-02-07</v>
          </cell>
          <cell r="C11270" t="str">
            <v>OSTEOTOM, DR.IGLHAUT, GER., 3,2 &lt; 3,7MM</v>
          </cell>
          <cell r="D11270" t="str">
            <v>OSTEOTOM, DR.IGLHAUT,STR., 3,2 &lt; 3,7MM</v>
          </cell>
        </row>
        <row r="11271">
          <cell r="B11271" t="str">
            <v>43-600-03-07</v>
          </cell>
          <cell r="C11271" t="str">
            <v>OSTEOTOM, DR.IGLHAUT, GER., 3,7 &lt; 4,2MM</v>
          </cell>
          <cell r="D11271" t="str">
            <v>OSTEOTOM, DR.IGLHAUT,STR., 3,7 &lt; 4,2MM</v>
          </cell>
        </row>
        <row r="11272">
          <cell r="B11272" t="str">
            <v>43-600-04-07</v>
          </cell>
          <cell r="C11272" t="str">
            <v>OSTEOTOM, DR.IGLHAUT, GER., 4,2 &lt; 4,7MM</v>
          </cell>
          <cell r="D11272" t="str">
            <v>OSTEOTOM, DR.IGLHAUT,STR., 4,2 &lt; 4,7MM</v>
          </cell>
        </row>
        <row r="11273">
          <cell r="B11273" t="str">
            <v>43-600-05-07</v>
          </cell>
          <cell r="C11273" t="str">
            <v>OSTEOTOM, DR.IGLHAUT, GER., 4,7 &lt; 5,4MM</v>
          </cell>
          <cell r="D11273" t="str">
            <v>OSTEOTOM, DR.IGLHAUT,STR., 4,7 &lt; 5,4MM</v>
          </cell>
        </row>
        <row r="11274">
          <cell r="B11274" t="str">
            <v>43-601-00-07</v>
          </cell>
          <cell r="C11274" t="str">
            <v>OSTEOTOM, DR.IGLHAUT, GEB., 2,2 &lt; 2,7MM</v>
          </cell>
          <cell r="D11274" t="str">
            <v>OSTEOTOM, DR.IGLHAUT,CRV., 2,2 &lt; 2,7MM</v>
          </cell>
        </row>
        <row r="11275">
          <cell r="B11275" t="str">
            <v>43-601-01-07</v>
          </cell>
          <cell r="C11275" t="str">
            <v>OSTEOTOM, DR.IGLHAUT, GEB., 2,7 &lt; 3,2MM</v>
          </cell>
          <cell r="D11275" t="str">
            <v>OSTEOTOM, DR.IGLHAUT,CRV., 2,7 &lt; 3,2MM</v>
          </cell>
        </row>
        <row r="11276">
          <cell r="B11276" t="str">
            <v>43-601-02-07</v>
          </cell>
          <cell r="C11276" t="str">
            <v>OSTEOTOM, DR.IGLHAUT, GEB., 3,2 &lt; 3,7MM</v>
          </cell>
          <cell r="D11276" t="str">
            <v>OSTEOTOM, DR.IGLHAUT,CRV., 3,2 &lt; 3,7MM</v>
          </cell>
        </row>
        <row r="11277">
          <cell r="B11277" t="str">
            <v>43-601-03-07</v>
          </cell>
          <cell r="C11277" t="str">
            <v>OSTEOTOM, DR.IGLHAUT, GEB., 3,7 &lt; 4,2MM</v>
          </cell>
          <cell r="D11277" t="str">
            <v>OSTEOTOM, DR.IGLHAUT,CRV., 3,7 &lt; 4,2MM</v>
          </cell>
        </row>
        <row r="11278">
          <cell r="B11278" t="str">
            <v>43-601-04-07</v>
          </cell>
          <cell r="C11278" t="str">
            <v>OSTEOTOM, DR.IGLHAUT, GEB., 4,2 &lt; 4,7MM</v>
          </cell>
          <cell r="D11278" t="str">
            <v>OSTEOTOM, DR.IGLHAUT,CRV., 4,2 &lt; 4,7MM</v>
          </cell>
        </row>
        <row r="11279">
          <cell r="B11279" t="str">
            <v>43-601-05-07</v>
          </cell>
          <cell r="C11279" t="str">
            <v>OSTEOTOM, DR.IGLHAUT, GEB., 4,7 &lt; 5,4MM</v>
          </cell>
          <cell r="D11279" t="str">
            <v>OSTEOTOM, DR.IGLHAUT,CRV., 4,7 &lt; 5,4MM</v>
          </cell>
        </row>
        <row r="11280">
          <cell r="B11280" t="str">
            <v>43-610-02-07</v>
          </cell>
          <cell r="C11280" t="str">
            <v>DILATATOR, DR.IGLHAUT, 4,0X11MM,M. GRAD.</v>
          </cell>
          <cell r="D11280" t="str">
            <v>DILATOR,DR. IGLHAUT,  4,0X11MM,W.GRAD</v>
          </cell>
        </row>
        <row r="11281">
          <cell r="B11281" t="str">
            <v>43-700-01-07</v>
          </cell>
          <cell r="C11281" t="str">
            <v>BACKACTION, DR. IGLHAUT,  FIG.1</v>
          </cell>
          <cell r="D11281" t="str">
            <v>BACKACTION, DR. IGLHAUT,  FIG.1</v>
          </cell>
        </row>
        <row r="11282">
          <cell r="B11282" t="str">
            <v>43-700-02-07</v>
          </cell>
          <cell r="C11282" t="str">
            <v>BACKACTION, DR. IGLHAUT,  FIG.2</v>
          </cell>
          <cell r="D11282" t="str">
            <v>BACKACTION, DR. IGLHAUT,  FIG.2</v>
          </cell>
        </row>
        <row r="11283">
          <cell r="B11283" t="str">
            <v>43-700-03-07</v>
          </cell>
          <cell r="C11283" t="str">
            <v>BACKACTION, DR. IGLHAUT,  FIG.3</v>
          </cell>
          <cell r="D11283" t="str">
            <v>BACKACTION, DR. IGLHAUT,  FIG.3</v>
          </cell>
        </row>
        <row r="11284">
          <cell r="B11284" t="str">
            <v>43-700-04-07</v>
          </cell>
          <cell r="C11284" t="str">
            <v>BACKACTION, DR. IGLHAUT,  FIG.4</v>
          </cell>
          <cell r="D11284" t="str">
            <v>BACKACTION, DR. IGLHAUT,  FIG.4</v>
          </cell>
        </row>
        <row r="11285">
          <cell r="B11285" t="str">
            <v>43-711-08-07</v>
          </cell>
          <cell r="C11285" t="str">
            <v>SONDENANSATZ, AUSWECHSELBAR, EXG 8</v>
          </cell>
          <cell r="D11285" t="str">
            <v>EXPLORER,INTERCH., EXG 8</v>
          </cell>
        </row>
        <row r="11286">
          <cell r="B11286" t="str">
            <v>43-711-09-07</v>
          </cell>
          <cell r="C11286" t="str">
            <v>SONDENANSATZ, AUSWECHSELBAR, EXG 9</v>
          </cell>
          <cell r="D11286" t="str">
            <v>EXPLORER,INTERCH.,EXG 9</v>
          </cell>
        </row>
        <row r="11287">
          <cell r="B11287" t="str">
            <v>43-711-23-07</v>
          </cell>
          <cell r="C11287" t="str">
            <v>SONDENANSATZ, AUSWECHSELBAR, EXG 23</v>
          </cell>
          <cell r="D11287" t="str">
            <v>EXPLORER,INTERCH.,EXG 23</v>
          </cell>
        </row>
        <row r="11288">
          <cell r="B11288" t="str">
            <v>43-734-11-07</v>
          </cell>
          <cell r="C11288" t="str">
            <v>PARO-SONDENANSATZ, FIG. CPG 11,5 WHO</v>
          </cell>
          <cell r="D11288" t="str">
            <v>PERIO-PROBE, INTERCH.,  FIG. CPG 11,5 WHO</v>
          </cell>
        </row>
        <row r="11289">
          <cell r="B11289" t="str">
            <v>43-734-13-07</v>
          </cell>
          <cell r="C11289" t="str">
            <v>PARO-SONDENANSATZ, FIG. CPG 12</v>
          </cell>
          <cell r="D11289" t="str">
            <v>PERIO-PROBE, INTERCH.,  FIG. CPG 12</v>
          </cell>
        </row>
        <row r="11290">
          <cell r="B11290" t="str">
            <v>43-734-21-07</v>
          </cell>
          <cell r="C11290" t="str">
            <v>PARO-SONDENANSATZ, FIG. CP 15 UNC</v>
          </cell>
          <cell r="D11290" t="str">
            <v>PERIO-PROBE, INTERCH.,  FIG. CP 15 UNC</v>
          </cell>
        </row>
        <row r="11291">
          <cell r="B11291" t="str">
            <v>43-734-23-07</v>
          </cell>
          <cell r="C11291" t="str">
            <v>PARO-SONDENANSATZ, FIG. CPNG 22</v>
          </cell>
          <cell r="D11291" t="str">
            <v>PERIO-PROBE, INTERCH.,  FIG. CPNG 22</v>
          </cell>
        </row>
        <row r="11292">
          <cell r="B11292" t="str">
            <v>43-735-11-09</v>
          </cell>
          <cell r="C11292" t="str">
            <v>PARO-SONDENANSATZ, FIG. CPG 11,5 WHO</v>
          </cell>
          <cell r="D11292" t="str">
            <v>PERIO-PROBE, INTERCH.,  FIG. CPG 11,5 WHO</v>
          </cell>
        </row>
        <row r="11293">
          <cell r="B11293" t="str">
            <v>43-735-13-09</v>
          </cell>
          <cell r="C11293" t="str">
            <v>PARO-SONDENANSATZ, FIG. CPG 12</v>
          </cell>
          <cell r="D11293" t="str">
            <v>PERIO-PROBE, INTERCH.,  FIG. CPG 12</v>
          </cell>
        </row>
        <row r="11294">
          <cell r="B11294" t="str">
            <v>43-735-21-09</v>
          </cell>
          <cell r="C11294" t="str">
            <v>PARO-SONDENANSATZ, FIG. CP 15 UNC</v>
          </cell>
          <cell r="D11294" t="str">
            <v>PERIO-PROBE, INTERCH.,  FIG. CP 15 UNC</v>
          </cell>
        </row>
        <row r="11295">
          <cell r="B11295" t="str">
            <v>43-735-23-09</v>
          </cell>
          <cell r="C11295" t="str">
            <v>PARO-SONDENANSATZ, FIG. CPNG 22</v>
          </cell>
          <cell r="D11295" t="str">
            <v>PERIO-PROBE, INTERCH.,  FIG. CPNG 22</v>
          </cell>
        </row>
        <row r="11296">
          <cell r="B11296" t="str">
            <v>43-736-00-07</v>
          </cell>
          <cell r="C11296" t="str">
            <v>PARO-SONDE, MERRIT A, 1-2-3-5-7-8-9-10</v>
          </cell>
          <cell r="D11296" t="str">
            <v>MERRIT A, PERIO PROBE, 1-2-3-5-7-8-9-10</v>
          </cell>
        </row>
        <row r="11297">
          <cell r="B11297" t="str">
            <v>43-736-01-07</v>
          </cell>
          <cell r="C11297" t="str">
            <v>PARO-SONDE, MERRIT E, 1-2-3-5-7-8-9-10</v>
          </cell>
          <cell r="D11297" t="str">
            <v>MERRIT E, PERIO PROBE, 1-2-3-5-7-8-9-10</v>
          </cell>
        </row>
        <row r="11298">
          <cell r="B11298" t="str">
            <v>43-736-04-07</v>
          </cell>
          <cell r="C11298" t="str">
            <v>PARODONTOMETER, GOLDM.-FOX., GRAD. 1-10</v>
          </cell>
          <cell r="D11298" t="str">
            <v>GOLD.-FOX, PERIO-PROBE, 1-2-3-5-7-8-9-10</v>
          </cell>
        </row>
        <row r="11299">
          <cell r="B11299" t="str">
            <v>43-736-06-07</v>
          </cell>
          <cell r="C11299" t="str">
            <v>PARODONTOMETER, MICHIGAN, GRAD. 3-6-8</v>
          </cell>
          <cell r="D11299" t="str">
            <v>MICHIGAN, PERIO-PROBE, 3-6-8</v>
          </cell>
        </row>
        <row r="11300">
          <cell r="B11300" t="str">
            <v>43-736-08-07</v>
          </cell>
          <cell r="C11300" t="str">
            <v>PARODONTOMETER, MERCURY,  GRAD. 3-6-9-12</v>
          </cell>
          <cell r="D11300" t="str">
            <v>MERCURY,  PERIO-PROBE, 3-6-9-12</v>
          </cell>
        </row>
        <row r="11301">
          <cell r="B11301" t="str">
            <v>43-736-10-07</v>
          </cell>
          <cell r="C11301" t="str">
            <v>PARODONTOMETER CPNG 12S, GRAD. 3-6-9-12</v>
          </cell>
          <cell r="D11301" t="str">
            <v>PERIO-PROBE, CPNG 12S, 3-6-9-12,  BALL</v>
          </cell>
        </row>
        <row r="11302">
          <cell r="B11302" t="str">
            <v>43-736-11-07</v>
          </cell>
          <cell r="C11302" t="str">
            <v>PARODONTOMETER, CPG 11,5 WHO, GRADUIERT</v>
          </cell>
          <cell r="D11302" t="str">
            <v>PERIO-P.,  CPG 11,5 WHO, 3,5-5,5-8,5-11,5</v>
          </cell>
        </row>
        <row r="11303">
          <cell r="B11303" t="str">
            <v>43-736-12-07</v>
          </cell>
          <cell r="C11303" t="str">
            <v>PARODONTOMETER, CPG 12, GRAD. 3-6-9-12</v>
          </cell>
          <cell r="D11303" t="str">
            <v>PERIO-P.,  CPG 12, 3-6-9-12</v>
          </cell>
        </row>
        <row r="11304">
          <cell r="B11304" t="str">
            <v>43-736-15-07</v>
          </cell>
          <cell r="C11304" t="str">
            <v>PARODONTOMETER, CP 15 UNC, GRAD. 1-15</v>
          </cell>
          <cell r="D11304" t="str">
            <v>PERIO-P.,  CP 15 UNC, 1-2...14-15, BALL</v>
          </cell>
        </row>
        <row r="11305">
          <cell r="B11305" t="str">
            <v>43-736-22-07</v>
          </cell>
          <cell r="C11305" t="str">
            <v>PAROD.-METER, CPNG 22, GR. 2-4-6-8-10-12</v>
          </cell>
          <cell r="D11305" t="str">
            <v>PERIO-P.,  CPNG 22, 2-4-6-8-10-12</v>
          </cell>
        </row>
        <row r="11306">
          <cell r="B11306" t="str">
            <v>43-736-26-07</v>
          </cell>
          <cell r="C11306" t="str">
            <v>PARODONTOMETER, FIG. 26G, GRAD. 1-10</v>
          </cell>
          <cell r="D11306" t="str">
            <v>PERIO-P.,  FIG. 26G, 1-2-3-5-7-8-9-10</v>
          </cell>
        </row>
        <row r="11307">
          <cell r="B11307" t="str">
            <v>43-738-02-07</v>
          </cell>
          <cell r="C11307" t="str">
            <v>PARODONTOMETER, DOPP., WILLIAMS/GOLD.-F.</v>
          </cell>
          <cell r="D11307" t="str">
            <v>WILLIAMS/G-FOX. -PERIO-PROBE</v>
          </cell>
        </row>
        <row r="11308">
          <cell r="B11308" t="str">
            <v>43-738-04-07</v>
          </cell>
          <cell r="C11308" t="str">
            <v>PARO-ZAHNSONDE, DOPP. CP11/23,  RUND 8 MM</v>
          </cell>
          <cell r="D11308" t="str">
            <v>PERIO-P./EXPLORER, CP11/23</v>
          </cell>
        </row>
        <row r="11309">
          <cell r="B11309" t="str">
            <v>43-738-06-07</v>
          </cell>
          <cell r="C11309" t="str">
            <v>PARO-ZAHNSONDE, DOPPELENDIG, CP12/23</v>
          </cell>
          <cell r="D11309" t="str">
            <v>PERIO-P./EXPLORER,  CP12/23</v>
          </cell>
        </row>
        <row r="11310">
          <cell r="B11310" t="str">
            <v>43-738-08-07</v>
          </cell>
          <cell r="C11310" t="str">
            <v>PARO-ZAHNSONDE, DOPPELENDIG, GF/3</v>
          </cell>
          <cell r="D11310" t="str">
            <v>PERIO-P./EXPLORER, GF/3</v>
          </cell>
        </row>
        <row r="11311">
          <cell r="B11311" t="str">
            <v>43-738-18-07</v>
          </cell>
          <cell r="C11311" t="str">
            <v>PARO-ZAHNSONDE, DOPPELENDIG, W/6</v>
          </cell>
          <cell r="D11311" t="str">
            <v>PERIO-P./EXPLORER, W/6</v>
          </cell>
        </row>
        <row r="11312">
          <cell r="B11312" t="str">
            <v>43-738-26-07</v>
          </cell>
          <cell r="C11312" t="str">
            <v>PARO-ZAHNSONDE, DOPPELENDIG, GF/23</v>
          </cell>
          <cell r="D11312" t="str">
            <v>PERIO-P./EXPLORER,  GF/23</v>
          </cell>
        </row>
        <row r="11313">
          <cell r="B11313" t="str">
            <v>43-738-28-07</v>
          </cell>
          <cell r="C11313" t="str">
            <v>PARO-ZAHNSONDE, DOPPELENDIG, UM/23</v>
          </cell>
          <cell r="D11313" t="str">
            <v>PERIO-P./EXPLORER,  UM/23</v>
          </cell>
        </row>
        <row r="11314">
          <cell r="B11314" t="str">
            <v>43-738-30-07</v>
          </cell>
          <cell r="C11314" t="str">
            <v>PARO-ZAHNSONDE, DOPPELENDIG, W/23</v>
          </cell>
          <cell r="D11314" t="str">
            <v>PERIO-P./EXPLORER,  W/23</v>
          </cell>
        </row>
        <row r="11315">
          <cell r="B11315" t="str">
            <v>43-784-02-04</v>
          </cell>
          <cell r="C11315" t="str">
            <v>KUERETTE,  MCCALL,  FIG. 17S/18S,  HELLBLAU</v>
          </cell>
          <cell r="D11315" t="str">
            <v>MCCALL-CURETTE, FIG. 17S/18S,  BLUE</v>
          </cell>
        </row>
        <row r="11316">
          <cell r="B11316" t="str">
            <v>43-784-18-07</v>
          </cell>
          <cell r="C11316" t="str">
            <v>REINIGER,  MCCALL,  17/18, DOPPEL.,  GRUEN</v>
          </cell>
          <cell r="D11316" t="str">
            <v>MCCALL-SCALER 17/18, GREEN</v>
          </cell>
        </row>
        <row r="11317">
          <cell r="B11317" t="str">
            <v>43-800-00-07</v>
          </cell>
          <cell r="C11317" t="str">
            <v>RONCATI  SCALER H6/H7</v>
          </cell>
          <cell r="D11317" t="str">
            <v>RONCATI  SCALER H6/H7</v>
          </cell>
        </row>
        <row r="11318">
          <cell r="B11318" t="str">
            <v>43-800-02-07</v>
          </cell>
          <cell r="C11318" t="str">
            <v>RONCATI  KUERETTE  MICRO GEBOGEN</v>
          </cell>
          <cell r="D11318" t="str">
            <v>RONCATI  CURETTE  MICRO CVD</v>
          </cell>
        </row>
        <row r="11319">
          <cell r="B11319" t="str">
            <v>43-805-01-07</v>
          </cell>
          <cell r="C11319" t="str">
            <v>SPREADER,  DR.IGLHAUT, GER., 1,6 MM</v>
          </cell>
          <cell r="D11319" t="str">
            <v>SPREADER,  DR. IGLHAUT,  STR., 1,6MM</v>
          </cell>
        </row>
        <row r="11320">
          <cell r="B11320" t="str">
            <v>43-805-02-07</v>
          </cell>
          <cell r="C11320" t="str">
            <v>SPREADER,  DR.IGLHAUT, GER., 1,6 &lt; 2,2 MM</v>
          </cell>
          <cell r="D11320" t="str">
            <v>SPREADER,  DR.IGLHAUT, STR., 1,6 &lt; 2,2 MM</v>
          </cell>
        </row>
        <row r="11321">
          <cell r="B11321" t="str">
            <v>43-805-03-07</v>
          </cell>
          <cell r="C11321" t="str">
            <v>SPREADER,  DR.IGLHAUT, GER., 2,2 MM</v>
          </cell>
          <cell r="D11321" t="str">
            <v>SPREADER,  DR.IGLHAUT, STR., 2,2 MM</v>
          </cell>
        </row>
        <row r="11322">
          <cell r="B11322" t="str">
            <v>43-806-01-07</v>
          </cell>
          <cell r="C11322" t="str">
            <v>SPREADER,  DR.IGLHAUT, BAY., 1,6 MM</v>
          </cell>
          <cell r="D11322" t="str">
            <v>SPREADER,  DR.IGLHAUT, BAY., 1,6 MM</v>
          </cell>
        </row>
        <row r="11323">
          <cell r="B11323" t="str">
            <v>43-806-02-07</v>
          </cell>
          <cell r="C11323" t="str">
            <v>SPREADER,  DR.IGLHAUT, BAY., 1,6 &lt; 2,2 MM</v>
          </cell>
          <cell r="D11323" t="str">
            <v>SPREADER,  DR.IGLHAUT, BAY., 1,6 &lt; 2,2 MM</v>
          </cell>
        </row>
        <row r="11324">
          <cell r="B11324" t="str">
            <v>43-806-03-07</v>
          </cell>
          <cell r="C11324" t="str">
            <v>SPREADER,  DR.IGLHAUT, BAY., 2,2 MM</v>
          </cell>
          <cell r="D11324" t="str">
            <v>SPREADER,  DR.IGLHAUT, BAY., 2,2 MM</v>
          </cell>
        </row>
        <row r="11325">
          <cell r="B11325" t="str">
            <v>43-810-00-07</v>
          </cell>
          <cell r="C11325" t="str">
            <v>RONCATI  FEILE GERADE/DIAMANTIERT</v>
          </cell>
          <cell r="D11325" t="str">
            <v>RONCATI  FEILE GERADE/DIAMANTIERT</v>
          </cell>
        </row>
        <row r="11326">
          <cell r="B11326" t="str">
            <v>43-810-01-07</v>
          </cell>
          <cell r="C11326" t="str">
            <v>RONCATI  FEILE GEBOGEN/DIAMANTIERT</v>
          </cell>
          <cell r="D11326" t="str">
            <v>RONCATI  FILE CURVED/DIAMOND</v>
          </cell>
        </row>
        <row r="11327">
          <cell r="B11327" t="str">
            <v>43-850-00-07</v>
          </cell>
          <cell r="C11327" t="str">
            <v>RONCATI  TITAN KUERETTE  MICRO</v>
          </cell>
          <cell r="D11327" t="str">
            <v>RONCATI  TITAN KUERETTE  MICRO</v>
          </cell>
        </row>
        <row r="11328">
          <cell r="B11328" t="str">
            <v>43-883-16-07</v>
          </cell>
          <cell r="C11328" t="str">
            <v>RASPATORIUM, BACK ACTION, SCHMAL</v>
          </cell>
          <cell r="D11328" t="str">
            <v>BACK-ACTION, PERIOSTEAL ELEVATOR,  SLIM</v>
          </cell>
        </row>
        <row r="11329">
          <cell r="B11329" t="str">
            <v>43-884-03-07</v>
          </cell>
          <cell r="C11329" t="str">
            <v>OCHSENBEIN-MEISSEL, MODIF., FIG. 1</v>
          </cell>
          <cell r="D11329" t="str">
            <v>OCHSENBEIN-CHISEL, MOD., FIG. 1</v>
          </cell>
        </row>
        <row r="11330">
          <cell r="B11330" t="str">
            <v>43-885-03-07</v>
          </cell>
          <cell r="C11330" t="str">
            <v>OCHSENBEIN-MEISSEL, MODIF., FIG. 2</v>
          </cell>
          <cell r="D11330" t="str">
            <v>OCHSENBEIN-CHISEL, MOD., FIG. 2</v>
          </cell>
        </row>
        <row r="11331">
          <cell r="B11331" t="str">
            <v>43-886-01-07</v>
          </cell>
          <cell r="C11331" t="str">
            <v>RASPATORIUM, BACKACTION, 5D</v>
          </cell>
          <cell r="D11331" t="str">
            <v>PERIOST.ELEVATOR, BACKACTION, 5D</v>
          </cell>
        </row>
        <row r="11332">
          <cell r="B11332" t="str">
            <v>43-893-01-07</v>
          </cell>
          <cell r="C11332" t="str">
            <v>PARODONTALFEILE</v>
          </cell>
          <cell r="D11332" t="str">
            <v>PERIODONTAL FILE</v>
          </cell>
        </row>
        <row r="11333">
          <cell r="B11333" t="str">
            <v>43-893-02-07</v>
          </cell>
          <cell r="C11333" t="str">
            <v>KNOCHENFEILE N. SUGARMAN, 3-4S</v>
          </cell>
          <cell r="D11333" t="str">
            <v>SUGARMAN-PERIODONTAL FILE, FIG. 3-4S</v>
          </cell>
        </row>
        <row r="11334">
          <cell r="B11334" t="str">
            <v>43-893-06-07</v>
          </cell>
          <cell r="C11334" t="str">
            <v>KNOCHENFEILE N. ORBAN, 10-11</v>
          </cell>
          <cell r="D11334" t="str">
            <v>ORBAN-PERIODONTAL FILE, FIG. 10-11</v>
          </cell>
        </row>
        <row r="11335">
          <cell r="B11335" t="str">
            <v>43-893-08-07</v>
          </cell>
          <cell r="C11335" t="str">
            <v>KNOCHENFEILE N. ORBAN, 12-13</v>
          </cell>
          <cell r="D11335" t="str">
            <v>ORBAN-PERIODONTAL FILE, FIG. 12-13</v>
          </cell>
        </row>
        <row r="11336">
          <cell r="B11336" t="str">
            <v>43-894-01-07</v>
          </cell>
          <cell r="C11336" t="str">
            <v>PIN-OSTEOTOM</v>
          </cell>
          <cell r="D11336" t="str">
            <v>PIN-OSTEOTOME</v>
          </cell>
        </row>
        <row r="11337">
          <cell r="B11337" t="str">
            <v>43-896-00-07</v>
          </cell>
          <cell r="C11337" t="str">
            <v>OSTEOTOM, KONKAV,  FIG. 0, GRAD., 17,5 CM</v>
          </cell>
          <cell r="D11337" t="str">
            <v>OSTEOTOME, CONCAVE,  FIG. 0, 17,5 CM</v>
          </cell>
        </row>
        <row r="11338">
          <cell r="B11338" t="str">
            <v>43-896-01-07</v>
          </cell>
          <cell r="C11338" t="str">
            <v>OSTEOTOM, KONKAV,  FIG. 1, GRAD., 17,5 CM</v>
          </cell>
          <cell r="D11338" t="str">
            <v>OSTEOTOME, CONCAVE,  FIG. 1, 17,5 CM</v>
          </cell>
        </row>
        <row r="11339">
          <cell r="B11339" t="str">
            <v>43-896-02-07</v>
          </cell>
          <cell r="C11339" t="str">
            <v>OSTEOTOM, KONKAV,  FIG. 2, GRAD., 17,5 CM</v>
          </cell>
          <cell r="D11339" t="str">
            <v>OSTEOTOME, CONCAVE,  FIG. 2, 17,5 CM</v>
          </cell>
        </row>
        <row r="11340">
          <cell r="B11340" t="str">
            <v>43-896-03-07</v>
          </cell>
          <cell r="C11340" t="str">
            <v>OSTEOTOM, KONKAV,  FIG. 3, GRAD., 17,5 CM</v>
          </cell>
          <cell r="D11340" t="str">
            <v>OSTEOTOME, CONCAVE,  FIG. 3, 17,5 CM</v>
          </cell>
        </row>
        <row r="11341">
          <cell r="B11341" t="str">
            <v>43-899-11-07</v>
          </cell>
          <cell r="C11341" t="str">
            <v>KNOCHENSPREIZER, FIG. 1B, 1,6/2,2 MM</v>
          </cell>
          <cell r="D11341" t="str">
            <v>BONE-SPREADER, FIG. 1B, 1,6/2,2 MM</v>
          </cell>
        </row>
        <row r="11342">
          <cell r="B11342" t="str">
            <v>43-899-22-07</v>
          </cell>
          <cell r="C11342" t="str">
            <v>KNOCHENSPREIZER, FIG. 2B, 2,2/2,8 MM</v>
          </cell>
          <cell r="D11342" t="str">
            <v>BONE-SPREADER, FIG. 2B, 2,2/2,8 MM</v>
          </cell>
        </row>
        <row r="11343">
          <cell r="B11343" t="str">
            <v>43-899-33-07</v>
          </cell>
          <cell r="C11343" t="str">
            <v>KNOCHENSPREIZER, FIG. 3B, 2,8/3,4 MM</v>
          </cell>
          <cell r="D11343" t="str">
            <v>BONE-SPREADER, FIG. 3B, 2,8/3,4 MM</v>
          </cell>
        </row>
        <row r="11344">
          <cell r="B11344" t="str">
            <v>43-899-44-07</v>
          </cell>
          <cell r="C11344" t="str">
            <v>KNOCHENSPREIZER, FIG. 4B, 3,4/4,0 MM</v>
          </cell>
          <cell r="D11344" t="str">
            <v>BONE-SPREADER, FIG. 4B, 3,4/4,0 MM</v>
          </cell>
        </row>
        <row r="11345">
          <cell r="B11345" t="str">
            <v>44-269-03-07</v>
          </cell>
          <cell r="C11345" t="str">
            <v>STOPFER,  KUGEL 1,5/SPATEL 1,7 MM</v>
          </cell>
          <cell r="D11345" t="str">
            <v>CONDENSER, BALL 1,5/SPATUAL 1,7 MM</v>
          </cell>
        </row>
        <row r="11346">
          <cell r="B11346" t="str">
            <v>44-272-01-07</v>
          </cell>
          <cell r="C11346" t="str">
            <v>Füllungsinstrument nach Fukunishi  (5-D)</v>
          </cell>
          <cell r="D11346" t="str">
            <v>Micro-Endo Conden.acc.to Fukunishi  (5-D)</v>
          </cell>
        </row>
        <row r="11347">
          <cell r="B11347" t="str">
            <v>44-272-03-07</v>
          </cell>
          <cell r="C11347" t="str">
            <v>STOPFER,  DOPPELEND., 90 GRAD GEW., BLAU</v>
          </cell>
          <cell r="D11347" t="str">
            <v>CONDENSER, 90°, BLUE</v>
          </cell>
        </row>
        <row r="11348">
          <cell r="B11348" t="str">
            <v>44-272-04-07</v>
          </cell>
          <cell r="C11348" t="str">
            <v>STOPFER,  KONTRAGEWINKELT, 90 GRAD, BLAU</v>
          </cell>
          <cell r="D11348" t="str">
            <v>CONDENSER, COUNTER  ANGLED,  90°, BLUE</v>
          </cell>
        </row>
        <row r="11349">
          <cell r="B11349" t="str">
            <v>44-330-01-07</v>
          </cell>
          <cell r="C11349" t="str">
            <v>KOMPOSITINSTRUMENT, TITANBESCH., FIG. 1</v>
          </cell>
          <cell r="D11349" t="str">
            <v>COMPOSITE INSTRUMENT, TI.-COATED, FIG. 1</v>
          </cell>
        </row>
        <row r="11350">
          <cell r="B11350" t="str">
            <v>44-330-02-07</v>
          </cell>
          <cell r="C11350" t="str">
            <v>KOMPOSITINSTRUMENT, TITANBESCH., FIG. 2</v>
          </cell>
          <cell r="D11350" t="str">
            <v>COMPOSITE INSTRUMENT, TI.-COATED, FIG. 2</v>
          </cell>
        </row>
        <row r="11351">
          <cell r="B11351" t="str">
            <v>44-330-03-07</v>
          </cell>
          <cell r="C11351" t="str">
            <v>KOMPOSITINSTRUMENT, TITANBESCH., FIG. 3</v>
          </cell>
          <cell r="D11351" t="str">
            <v>COMPOSITE INSTRUMENT, TI.-COATED, FIG. 3</v>
          </cell>
        </row>
        <row r="11352">
          <cell r="B11352" t="str">
            <v>44-330-04-07</v>
          </cell>
          <cell r="C11352" t="str">
            <v>KOMPOSITINSTRUMENT, TITANBESCH., FIG. 4</v>
          </cell>
          <cell r="D11352" t="str">
            <v>COMPOSITE INSTRUMENT, TI.-COATED, FIG. 4</v>
          </cell>
        </row>
        <row r="11353">
          <cell r="B11353" t="str">
            <v>44-330-05-07</v>
          </cell>
          <cell r="C11353" t="str">
            <v>KOMPOSITINSTRUMENT, TITANBESCH., FIG. 5</v>
          </cell>
          <cell r="D11353" t="str">
            <v>COMPOSITE INSTRUMENT, TI.-COATED, FIG. 5</v>
          </cell>
        </row>
        <row r="11354">
          <cell r="B11354" t="str">
            <v>44-330-10-07</v>
          </cell>
          <cell r="C11354" t="str">
            <v>KOMPOSITINSTRUMENT, TITANBESCH., FIG. 10</v>
          </cell>
          <cell r="D11354" t="str">
            <v>COMPOSITE INSTRUMENT, TI.-COATED, FIG.10</v>
          </cell>
        </row>
        <row r="11355">
          <cell r="B11355" t="str">
            <v>44-332-01-07</v>
          </cell>
          <cell r="C11355" t="str">
            <v>KOMPOSITINSTR. N. FELT, TITANB., FIG. 1</v>
          </cell>
          <cell r="D11355" t="str">
            <v>FELT-COMPOSITE INSTR., TITANB., FIG.1</v>
          </cell>
        </row>
        <row r="11356">
          <cell r="B11356" t="str">
            <v>44-332-02-07</v>
          </cell>
          <cell r="C11356" t="str">
            <v>KOMPOSITINSTR. N. FELT, TITANB., FIG. 2</v>
          </cell>
          <cell r="D11356" t="str">
            <v>FELT-COMPOSITE INSTR., TITANB., FIG.2</v>
          </cell>
        </row>
        <row r="11357">
          <cell r="B11357" t="str">
            <v>44-332-03-07</v>
          </cell>
          <cell r="C11357" t="str">
            <v>KOMPOSITINSTR. N. FELT, TITANB., FIG. 3</v>
          </cell>
          <cell r="D11357" t="str">
            <v>FELT-COMPOSITE INSTR., TITANB., FIG.3</v>
          </cell>
        </row>
        <row r="11358">
          <cell r="B11358" t="str">
            <v>44-332-04-07</v>
          </cell>
          <cell r="C11358" t="str">
            <v>KOMPOSITINSTR. N. FELT, TITANB., FIG. 4</v>
          </cell>
          <cell r="D11358" t="str">
            <v>FELT-COMPOSITE INSTR., TITANB., FIG.4</v>
          </cell>
        </row>
        <row r="11359">
          <cell r="B11359" t="str">
            <v>44-332-05-07</v>
          </cell>
          <cell r="C11359" t="str">
            <v>KOMPOSITINSTR. N. FELT, TITANB., FIG. 5</v>
          </cell>
          <cell r="D11359" t="str">
            <v>FELT-COMPOSITE INSTR., TITANB., FIG.5</v>
          </cell>
        </row>
        <row r="11360">
          <cell r="B11360" t="str">
            <v>44-332-06-07</v>
          </cell>
          <cell r="C11360" t="str">
            <v>KOMPOSITINSTR. N. FELT, TITANB., FIG. 6</v>
          </cell>
          <cell r="D11360" t="str">
            <v>FELT-COMPOSITE INSTR., TITANB., FIG.6</v>
          </cell>
        </row>
        <row r="11361">
          <cell r="B11361" t="str">
            <v>44-334-01-07</v>
          </cell>
          <cell r="C11361" t="str">
            <v>GOLDST.-KOMPOSITINSTR., TITANB., FIG. 1</v>
          </cell>
          <cell r="D11361" t="str">
            <v>GOLDST.-COMPOSITE INSTR., TITANB. FIG 1</v>
          </cell>
        </row>
        <row r="11362">
          <cell r="B11362" t="str">
            <v>44-334-02-07</v>
          </cell>
          <cell r="C11362" t="str">
            <v>GOLDST.-KOMPOSITINSTR., TITANB., FIG. 2</v>
          </cell>
          <cell r="D11362" t="str">
            <v>GOLDST.-COMPOSITE INSTR., TITANB. FIG 2</v>
          </cell>
        </row>
        <row r="11363">
          <cell r="B11363" t="str">
            <v>44-334-03-07</v>
          </cell>
          <cell r="C11363" t="str">
            <v>GOLDST.-KOMPOSITINSTR., TITANB., FIG. 3</v>
          </cell>
          <cell r="D11363" t="str">
            <v>GOLDST.-COMPOSITE INSTR., TITANB. FIG 3</v>
          </cell>
        </row>
        <row r="11364">
          <cell r="B11364" t="str">
            <v>44-334-04-07</v>
          </cell>
          <cell r="C11364" t="str">
            <v>GOLDST.-KOMPOSITINSTR., TITANB., FIG. 4</v>
          </cell>
          <cell r="D11364" t="str">
            <v>GOLDST.-COMPOSITE INSTR., TITANB. FIG 4</v>
          </cell>
        </row>
        <row r="11365">
          <cell r="B11365" t="str">
            <v>44-375-00-07</v>
          </cell>
          <cell r="C11365" t="str">
            <v>ELEFANTENFUSS-STOPFER, FIG. 0</v>
          </cell>
          <cell r="D11365" t="str">
            <v>ELEPHANT-FOOT-COND., FIG. 0</v>
          </cell>
        </row>
        <row r="11366">
          <cell r="B11366" t="str">
            <v>44-375-01-07</v>
          </cell>
          <cell r="C11366" t="str">
            <v>ELEFANTENFUSS-STOPFER, FIG. 1</v>
          </cell>
          <cell r="D11366" t="str">
            <v>ELEPHANT-FOOT-COND., FIG. 1</v>
          </cell>
        </row>
        <row r="11367">
          <cell r="B11367" t="str">
            <v>44-375-02-07</v>
          </cell>
          <cell r="C11367" t="str">
            <v>ELEFANTENFUSS-STOPFER, FIG. 2</v>
          </cell>
          <cell r="D11367" t="str">
            <v>ELEPHANT-FOOT-COND., FIG. 2</v>
          </cell>
        </row>
        <row r="11368">
          <cell r="B11368" t="str">
            <v>44-377-01-07</v>
          </cell>
          <cell r="C11368" t="str">
            <v>KUGELSTOPFER, FIG. 1</v>
          </cell>
          <cell r="D11368" t="str">
            <v>BALL CONDENSER, FIG. 1</v>
          </cell>
        </row>
        <row r="11369">
          <cell r="B11369" t="str">
            <v>44-377-02-07</v>
          </cell>
          <cell r="C11369" t="str">
            <v>KUGELSTOPFER, FIG. 2</v>
          </cell>
          <cell r="D11369" t="str">
            <v>BALL CONDENSER, FIG. 2</v>
          </cell>
        </row>
        <row r="11370">
          <cell r="B11370" t="str">
            <v>44-377-03-07</v>
          </cell>
          <cell r="C11370" t="str">
            <v>KUGELSTOPFER, FIG. 3</v>
          </cell>
          <cell r="D11370" t="str">
            <v>BALL CONDENSER, FIG. 3</v>
          </cell>
        </row>
        <row r="11371">
          <cell r="B11371" t="str">
            <v>44-377-04-07</v>
          </cell>
          <cell r="C11371" t="str">
            <v>KUGELSTOPFER, FIG. 4</v>
          </cell>
          <cell r="D11371" t="str">
            <v>BALL CONDENSER, FIG. 4</v>
          </cell>
        </row>
        <row r="11372">
          <cell r="B11372" t="str">
            <v>44-377-05-07</v>
          </cell>
          <cell r="C11372" t="str">
            <v>KUGELSTOPFER, FIG. 5</v>
          </cell>
          <cell r="D11372" t="str">
            <v>BALL CONDENSER, FIG. 5</v>
          </cell>
        </row>
        <row r="11373">
          <cell r="B11373" t="str">
            <v>44-377-18-07</v>
          </cell>
          <cell r="C11373" t="str">
            <v>KUGELSTOPFER, FIG. 18</v>
          </cell>
          <cell r="D11373" t="str">
            <v>BALL CONDENSER, FIG. 18</v>
          </cell>
        </row>
        <row r="11374">
          <cell r="B11374" t="str">
            <v>44-377-27-07</v>
          </cell>
          <cell r="C11374" t="str">
            <v>KUGELSTOPFER, FIG. 26/27S</v>
          </cell>
          <cell r="D11374" t="str">
            <v>BALL CONDENSER, FIG. 26/27S</v>
          </cell>
        </row>
        <row r="11375">
          <cell r="B11375" t="str">
            <v>44-377-28-07</v>
          </cell>
          <cell r="C11375" t="str">
            <v>POLIERINSTRUMENT, DOPPELEND., FIG. 28/29</v>
          </cell>
          <cell r="D11375" t="str">
            <v>BURNISHER FIG. 27/28</v>
          </cell>
        </row>
        <row r="11376">
          <cell r="B11376" t="str">
            <v>44-377-29-07</v>
          </cell>
          <cell r="C11376" t="str">
            <v>KUGELSTOPFER/POLIERINSTRUM., FIG. 27/29</v>
          </cell>
          <cell r="D11376" t="str">
            <v>BALL CONDENDSER/BURNISHER FIG. 27/29</v>
          </cell>
        </row>
        <row r="11377">
          <cell r="B11377" t="str">
            <v>44-379-01-07</v>
          </cell>
          <cell r="C11377" t="str">
            <v>PLANSTOPFER, DOPPELENDIG, FIG. 1</v>
          </cell>
          <cell r="D11377" t="str">
            <v>CONDENSER FIG. 1</v>
          </cell>
        </row>
        <row r="11378">
          <cell r="B11378" t="str">
            <v>44-379-02-07</v>
          </cell>
          <cell r="C11378" t="str">
            <v>PLANSTOPFER, DOPPELENDIG, FIG. 2</v>
          </cell>
          <cell r="D11378" t="str">
            <v>CONDENSER FIG. 2</v>
          </cell>
        </row>
        <row r="11379">
          <cell r="B11379" t="str">
            <v>44-379-03-07</v>
          </cell>
          <cell r="C11379" t="str">
            <v>PLANSTOPFER, DOPPELENDIG, FIG. 3</v>
          </cell>
          <cell r="D11379" t="str">
            <v>CONDENSER FIG. 3</v>
          </cell>
        </row>
        <row r="11380">
          <cell r="B11380" t="str">
            <v>44-379-11-07</v>
          </cell>
          <cell r="C11380" t="str">
            <v>PLANSTOPFER, DOPPELEND., GER., FIG. 1S</v>
          </cell>
          <cell r="D11380" t="str">
            <v>CONDENSER FIG. 1S</v>
          </cell>
        </row>
        <row r="11381">
          <cell r="B11381" t="str">
            <v>44-379-12-07</v>
          </cell>
          <cell r="C11381" t="str">
            <v>PLANSTOPFER, DOPPELEND., GER., FIG. 2S</v>
          </cell>
          <cell r="D11381" t="str">
            <v>CONDENSER FIG. 2S</v>
          </cell>
        </row>
        <row r="11382">
          <cell r="B11382" t="str">
            <v>44-379-13-07</v>
          </cell>
          <cell r="C11382" t="str">
            <v>PLANSTOPFER, DOPPELEND., GER., FIG. 3S</v>
          </cell>
          <cell r="D11382" t="str">
            <v>CONDENSER FIG. 3S</v>
          </cell>
        </row>
        <row r="11383">
          <cell r="B11383" t="str">
            <v>44-380-02-07</v>
          </cell>
          <cell r="C11383" t="str">
            <v>FUELLUNGSINSTRUMENT, DOPPELEND., FIG. 1S</v>
          </cell>
          <cell r="D11383" t="str">
            <v>FILLING INSTRUMENT, DOUBLE,  FIG. 1S</v>
          </cell>
        </row>
        <row r="11384">
          <cell r="B11384" t="str">
            <v>44-380-04-07</v>
          </cell>
          <cell r="C11384" t="str">
            <v>FUELLUNGSINSTRUMENT, DOPPELEND., FIG. 2S</v>
          </cell>
          <cell r="D11384" t="str">
            <v>FILLING INSTRUMENT, DOUBLE,  FIG. 2S</v>
          </cell>
        </row>
        <row r="11385">
          <cell r="B11385" t="str">
            <v>44-380-06-07</v>
          </cell>
          <cell r="C11385" t="str">
            <v>FUELLUNGSINSTRUMENT, DOPPELEND., FIG. 3S</v>
          </cell>
          <cell r="D11385" t="str">
            <v>FILLING INSTRUMENT, DOUBLE,  FIG. 3S</v>
          </cell>
        </row>
        <row r="11386">
          <cell r="B11386" t="str">
            <v>44-380-08-07</v>
          </cell>
          <cell r="C11386" t="str">
            <v>FUELLUNGSINSTRUMENT, DOPPELEND., FIG. 4S</v>
          </cell>
          <cell r="D11386" t="str">
            <v>FILLING INSTRUMENT, DOUBLE,  FIG. 4S</v>
          </cell>
        </row>
        <row r="11387">
          <cell r="B11387" t="str">
            <v>44-380-10-07</v>
          </cell>
          <cell r="C11387" t="str">
            <v>FUELLUNGSINSTRUMENT, DOPPELEND., FIG. 1P</v>
          </cell>
          <cell r="D11387" t="str">
            <v>FILLING INSTRUMENT, DOUBLE,  FIG. 1P</v>
          </cell>
        </row>
        <row r="11388">
          <cell r="B11388" t="str">
            <v>44-380-12-07</v>
          </cell>
          <cell r="C11388" t="str">
            <v>FUELLUNGSINSTRUMENT, DOPPELEND., FIG. 2P</v>
          </cell>
          <cell r="D11388" t="str">
            <v>FILLING INSTRUMENT, DOUBLE,  FIG. 2P</v>
          </cell>
        </row>
        <row r="11389">
          <cell r="B11389" t="str">
            <v>44-380-14-07</v>
          </cell>
          <cell r="C11389" t="str">
            <v>FUELLUNGSINSTRUMENT, DOPPELEND., FIG. 3P</v>
          </cell>
          <cell r="D11389" t="str">
            <v>FILLING INSTRUMENT, DOUBLE,  FIG. 3P</v>
          </cell>
        </row>
        <row r="11390">
          <cell r="B11390" t="str">
            <v>44-380-16-07</v>
          </cell>
          <cell r="C11390" t="str">
            <v>FUELLUNGSINSTRUMENT, DOPPELEND., FIG. 4P</v>
          </cell>
          <cell r="D11390" t="str">
            <v>FILLING INSTRUMENT, DOUBLE,  FIG. 4P</v>
          </cell>
        </row>
        <row r="11391">
          <cell r="B11391" t="str">
            <v>44-380-20-07</v>
          </cell>
          <cell r="C11391" t="str">
            <v>FUELLUNGSINSTRUMENT, DOPPELEND., FIG. 2D</v>
          </cell>
          <cell r="D11391" t="str">
            <v>FILLING INSTRUMENT, DOUBLE,  FIG. 2D</v>
          </cell>
        </row>
        <row r="11392">
          <cell r="B11392" t="str">
            <v>44-380-36-07</v>
          </cell>
          <cell r="C11392" t="str">
            <v>FUELLINSTR., HOLLENBACK, DOPP., FIG. H 1</v>
          </cell>
          <cell r="D11392" t="str">
            <v>HOLLENBACK FILLING INST. DOUBLE,  FIG H1</v>
          </cell>
        </row>
        <row r="11393">
          <cell r="B11393" t="str">
            <v>44-380-38-07</v>
          </cell>
          <cell r="C11393" t="str">
            <v>FUELLINSTR., HOLLENBACK, DOPP., FIG. H 2</v>
          </cell>
          <cell r="D11393" t="str">
            <v>HOLLENBACK FILLING INST. DOUBLE,  FIG H2</v>
          </cell>
        </row>
        <row r="11394">
          <cell r="B11394" t="str">
            <v>44-380-40-07</v>
          </cell>
          <cell r="C11394" t="str">
            <v>FUELLINSTR., HOLLENBACK, DOPP., FIG. H 3</v>
          </cell>
          <cell r="D11394" t="str">
            <v>HOLLENBACK FILLING INST. DOUBLE,  FIG H3</v>
          </cell>
        </row>
        <row r="11395">
          <cell r="B11395" t="str">
            <v>44-380-44-07</v>
          </cell>
          <cell r="C11395" t="str">
            <v>FUELLUNGSINSTRUMENT, DOPPEL.,  FIG. MQ 1S</v>
          </cell>
          <cell r="D11395" t="str">
            <v>FILLING INSTRUMENT, DOUBLE,  FIG. MQ 1S</v>
          </cell>
        </row>
        <row r="11396">
          <cell r="B11396" t="str">
            <v>44-382-01-07</v>
          </cell>
          <cell r="C11396" t="str">
            <v>FUELLUNGSINSTRUMENT, MOD. USA, FIG. 1</v>
          </cell>
          <cell r="D11396" t="str">
            <v>FILLING INSTRUMENT, USA MOD. FIG. 1</v>
          </cell>
        </row>
        <row r="11397">
          <cell r="B11397" t="str">
            <v>44-382-02-07</v>
          </cell>
          <cell r="C11397" t="str">
            <v>FUELLUNGSINSTRUMENT, MOD. USA, FIG. 2</v>
          </cell>
          <cell r="D11397" t="str">
            <v>FILLING INSTRUMENT, USA MOD. FIG. 2</v>
          </cell>
        </row>
        <row r="11398">
          <cell r="B11398" t="str">
            <v>44-382-03-07</v>
          </cell>
          <cell r="C11398" t="str">
            <v>FUELLUNGSINSTRUMENT, MOD. USA, FIG. 3</v>
          </cell>
          <cell r="D11398" t="str">
            <v>FILLING INSTRUMENT, USA MOD. FIG. 3</v>
          </cell>
        </row>
        <row r="11399">
          <cell r="B11399" t="str">
            <v>44-384-01-07</v>
          </cell>
          <cell r="C11399" t="str">
            <v>FUELLUNGSINSTRUMENT, FIG. WO 1</v>
          </cell>
          <cell r="D11399" t="str">
            <v>FILLING INSTRUMENT, FIG. WO1</v>
          </cell>
        </row>
        <row r="11400">
          <cell r="B11400" t="str">
            <v>44-384-02-07</v>
          </cell>
          <cell r="C11400" t="str">
            <v>FUELLUNGSINSTRUMENT, FIG. WO 2</v>
          </cell>
          <cell r="D11400" t="str">
            <v>FILLING INSTRUMENT, FIG. WO2</v>
          </cell>
        </row>
        <row r="11401">
          <cell r="B11401" t="str">
            <v>44-384-03-07</v>
          </cell>
          <cell r="C11401" t="str">
            <v>FUELLUNGSINSTRUMENT, FIG. WO 3</v>
          </cell>
          <cell r="D11401" t="str">
            <v>FILLING INSTRUMENT, FIG. WO3</v>
          </cell>
        </row>
        <row r="11402">
          <cell r="B11402" t="str">
            <v>44-386-02-07</v>
          </cell>
          <cell r="C11402" t="str">
            <v>FUELLUNGSINSTRUMENT, FIG. L 2</v>
          </cell>
          <cell r="D11402" t="str">
            <v>FILLING INSTRUMENT, FIG. L2</v>
          </cell>
        </row>
        <row r="11403">
          <cell r="B11403" t="str">
            <v>44-386-03-07</v>
          </cell>
          <cell r="C11403" t="str">
            <v>FUELLUNGSINSTRUMENT, FIG. L 3</v>
          </cell>
          <cell r="D11403" t="str">
            <v>FILLING INSTRUMENT, FIG. L3</v>
          </cell>
        </row>
        <row r="11404">
          <cell r="B11404" t="str">
            <v>44-390-01-07</v>
          </cell>
          <cell r="C11404" t="str">
            <v>FUELLUNGSINSTRUM., KUGEL/SPATEL, FIG. 1</v>
          </cell>
          <cell r="D11404" t="str">
            <v>FILLING INSTR. BALL/SPATULA FIG. 1</v>
          </cell>
        </row>
        <row r="11405">
          <cell r="B11405" t="str">
            <v>44-390-02-07</v>
          </cell>
          <cell r="C11405" t="str">
            <v>FUELLUNGSINSTRUM., KUGEL/SPATEL, FIG. 2</v>
          </cell>
          <cell r="D11405" t="str">
            <v>FILLING INSTR. BALL/SPATULA FIG. 2</v>
          </cell>
        </row>
        <row r="11406">
          <cell r="B11406" t="str">
            <v>44-390-03-07</v>
          </cell>
          <cell r="C11406" t="str">
            <v>FUELLUNGSINSTRUM., KUGEL/SPATEL, FIG. 3</v>
          </cell>
          <cell r="D11406" t="str">
            <v>FILLING INSTR. BALL/SPATULA FIG. 3</v>
          </cell>
        </row>
        <row r="11407">
          <cell r="B11407" t="str">
            <v>44-390-11-07</v>
          </cell>
          <cell r="C11407" t="str">
            <v>FUELLUNGSINSTRUM., KUGEL/SPATEL, FIG. 1A</v>
          </cell>
          <cell r="D11407" t="str">
            <v>FILLING INSTR. BALL/SPATULA FIG. 1A</v>
          </cell>
        </row>
        <row r="11408">
          <cell r="B11408" t="str">
            <v>44-390-12-07</v>
          </cell>
          <cell r="C11408" t="str">
            <v>FUELLUNGSINSTRUM., KUGEL/SPATEL, FIG. 2A</v>
          </cell>
          <cell r="D11408" t="str">
            <v>FILLING INSTR. BALL/SPATULA FIG. 2A</v>
          </cell>
        </row>
        <row r="11409">
          <cell r="B11409" t="str">
            <v>44-390-13-07</v>
          </cell>
          <cell r="C11409" t="str">
            <v>FUELLUNGSINSTRUM., KUGEL/SPATEL, FIG. 3A</v>
          </cell>
          <cell r="D11409" t="str">
            <v>FILLING INSTR. BALL/SPATULA FIG. 3A</v>
          </cell>
        </row>
        <row r="11410">
          <cell r="B11410" t="str">
            <v>44-390-21-07</v>
          </cell>
          <cell r="C11410" t="str">
            <v>FUELLUNGSINSTRUM., KUGEL/SPATEL, FIG. 1B</v>
          </cell>
          <cell r="D11410" t="str">
            <v>FILLING INSTR. BALL/SPATULA FIG. 1B</v>
          </cell>
        </row>
        <row r="11411">
          <cell r="B11411" t="str">
            <v>44-390-22-07</v>
          </cell>
          <cell r="C11411" t="str">
            <v>FUELLUNGSINSTRUM., KUGEL/SPATEL, FIG. 2B</v>
          </cell>
          <cell r="D11411" t="str">
            <v>FILLING INSTR. BALL/SPATULA FIG. 2B</v>
          </cell>
        </row>
        <row r="11412">
          <cell r="B11412" t="str">
            <v>44-390-31-07</v>
          </cell>
          <cell r="C11412" t="str">
            <v>FUELLUNGSINSTRUM., KUGEL/SPATEL, FIG. 1C</v>
          </cell>
          <cell r="D11412" t="str">
            <v>FILLING INSTR. BALL/SPATULA FIG. 1C</v>
          </cell>
        </row>
        <row r="11413">
          <cell r="B11413" t="str">
            <v>44-390-32-07</v>
          </cell>
          <cell r="C11413" t="str">
            <v>FUELLUNGSINSTRUM., KUGEL/SPATEL, FIG. 2C</v>
          </cell>
          <cell r="D11413" t="str">
            <v>FILLING INSTR. BALL/SPATULA FIG. 2C</v>
          </cell>
        </row>
        <row r="11414">
          <cell r="B11414" t="str">
            <v>44-392-01-07</v>
          </cell>
          <cell r="C11414" t="str">
            <v>FUELLUNGSINSTRUM., SPATEL, DOPP., FIG. 1</v>
          </cell>
          <cell r="D11414" t="str">
            <v>FILLING INSTR., SPATULA,  FIG. 1</v>
          </cell>
        </row>
        <row r="11415">
          <cell r="B11415" t="str">
            <v>44-392-02-07</v>
          </cell>
          <cell r="C11415" t="str">
            <v>FUELLUNGSINSTRUM., SPATEL, DOPP., FIG. 2</v>
          </cell>
          <cell r="D11415" t="str">
            <v>FILLING INSTR., SPATULA,  FIG. 2</v>
          </cell>
        </row>
        <row r="11416">
          <cell r="B11416" t="str">
            <v>44-392-03-07</v>
          </cell>
          <cell r="C11416" t="str">
            <v>FUELLUNGSINSTRUM., SPATEL, DOPP., FIG. 3</v>
          </cell>
          <cell r="D11416" t="str">
            <v>FILLING INSTR., SPATULA,  FIG. 3</v>
          </cell>
        </row>
        <row r="11417">
          <cell r="B11417" t="str">
            <v>44-392-10-07</v>
          </cell>
          <cell r="C11417" t="str">
            <v>FUELLUNGSINSTRUM., SPATEL, DE., FIG. 10</v>
          </cell>
          <cell r="D11417" t="str">
            <v>FILLING INSTR., SPATUALA,  FIG. 10</v>
          </cell>
        </row>
        <row r="11418">
          <cell r="B11418" t="str">
            <v>44-392-11-07</v>
          </cell>
          <cell r="C11418" t="str">
            <v>FUELLUNGSINSTRUM., SPATEL, DE., FIG. 11A</v>
          </cell>
          <cell r="D11418" t="str">
            <v>FILLING INSTR., SPAUTLA,  FIG. 11A</v>
          </cell>
        </row>
        <row r="11419">
          <cell r="B11419" t="str">
            <v>44-392-12-07</v>
          </cell>
          <cell r="C11419" t="str">
            <v>FUELLUNGSINSTRUM., SPATEL, DE., FIG. 12</v>
          </cell>
          <cell r="D11419" t="str">
            <v>FILLING INSTR., SPAUTLA,  FIG. 12</v>
          </cell>
        </row>
        <row r="11420">
          <cell r="B11420" t="str">
            <v>44-392-13-07</v>
          </cell>
          <cell r="C11420" t="str">
            <v>FUELLUNGSINSTRUM., SPATEL, DE., FIG. 13</v>
          </cell>
          <cell r="D11420" t="str">
            <v>FILLING INSTR., SPATULA,  FIG. 13</v>
          </cell>
        </row>
        <row r="11421">
          <cell r="B11421" t="str">
            <v>44-394-07-07</v>
          </cell>
          <cell r="C11421" t="str">
            <v>PLAST. FUELLUNGSINSTRUM., RUND, FIG. 7A</v>
          </cell>
          <cell r="D11421" t="str">
            <v>FILL.-INSTR. F. PLASTIC FILL. FIG. 7A</v>
          </cell>
        </row>
        <row r="11422">
          <cell r="B11422" t="str">
            <v>44-394-19-07</v>
          </cell>
          <cell r="C11422" t="str">
            <v>PLAST. FUELLUNGSINSTRUM., RUND, FIG. 19</v>
          </cell>
          <cell r="D11422" t="str">
            <v>FILL.-INSTR. F. PLASTIC FILL. FIG. 19</v>
          </cell>
        </row>
        <row r="11423">
          <cell r="B11423" t="str">
            <v>44-394-77-07</v>
          </cell>
          <cell r="C11423" t="str">
            <v>PLAST. FUELLUNGSINSTRUM., RUND, FIG. 7B</v>
          </cell>
          <cell r="D11423" t="str">
            <v>FILL.-INSTR. F. PLASTIC FILL. FIG. 7B</v>
          </cell>
        </row>
        <row r="11424">
          <cell r="B11424" t="str">
            <v>44-396-06-07</v>
          </cell>
          <cell r="C11424" t="str">
            <v>FUELLUNGSINSTRUM., SPATEL, DOPP., FIG. 6</v>
          </cell>
          <cell r="D11424" t="str">
            <v>FILLING INSTR. SPATULA,  FIG. 6</v>
          </cell>
        </row>
        <row r="11425">
          <cell r="B11425" t="str">
            <v>44-396-11-07</v>
          </cell>
          <cell r="C11425" t="str">
            <v>FUELLUNGSINSTRUM., SPATEL, DE., FIG. 11</v>
          </cell>
          <cell r="D11425" t="str">
            <v>FILLING INSTR. SPATULA,  FIG. 11</v>
          </cell>
        </row>
        <row r="11426">
          <cell r="B11426" t="str">
            <v>44-396-79-07</v>
          </cell>
          <cell r="C11426" t="str">
            <v>FUELLUNGSINSTRUM., SPATEL, DE., FIG. 179</v>
          </cell>
          <cell r="D11426" t="str">
            <v>FILLING INSTR. SPATULA,  FIG. 179</v>
          </cell>
        </row>
        <row r="11427">
          <cell r="B11427" t="str">
            <v>44-398-01-07</v>
          </cell>
          <cell r="C11427" t="str">
            <v>SPATEL N. HEIDEMANN, DE., FIG. 1, 2,0 MM</v>
          </cell>
          <cell r="D11427" t="str">
            <v>HEIDEMANN SPATULA,  FIG. 1 - 2,0 MM</v>
          </cell>
        </row>
        <row r="11428">
          <cell r="B11428" t="str">
            <v>44-398-02-07</v>
          </cell>
          <cell r="C11428" t="str">
            <v>SPATEL N. HEIDEMANN, DE., FIG. 2, 2,5 MM</v>
          </cell>
          <cell r="D11428" t="str">
            <v>HEIDEMANN SPATULA,  FIG. 2 - 2,5 MM</v>
          </cell>
        </row>
        <row r="11429">
          <cell r="B11429" t="str">
            <v>44-398-04-07</v>
          </cell>
          <cell r="C11429" t="str">
            <v>SPATEL N. HEIDEMANN, DE., FIG. 3, 3,0 MM</v>
          </cell>
          <cell r="D11429" t="str">
            <v>HEIDEMANN SPATULA,  FIG. 3 - 3,0 MM</v>
          </cell>
        </row>
        <row r="11430">
          <cell r="B11430" t="str">
            <v>44-399-11-07</v>
          </cell>
          <cell r="C11430" t="str">
            <v>SPATEL, HEIDEM.,  SCHARF, FIG. 11, 2,0 MM</v>
          </cell>
          <cell r="D11430" t="str">
            <v>HEIDEMANN SPATULA,  S, FIG. 11 - 2,0 MM</v>
          </cell>
        </row>
        <row r="11431">
          <cell r="B11431" t="str">
            <v>44-399-12-07</v>
          </cell>
          <cell r="C11431" t="str">
            <v>SPATEL, HEIDEM.,  SCHARF, FIG. 12, 2,5 MM</v>
          </cell>
          <cell r="D11431" t="str">
            <v>HEIDEMANN SPATULA,  S, FIG. 12 - 2,5 MM</v>
          </cell>
        </row>
        <row r="11432">
          <cell r="B11432" t="str">
            <v>44-399-13-07</v>
          </cell>
          <cell r="C11432" t="str">
            <v>SPATEL, HEIDEM.,  SCHARF, FIG. 13, 3,0 MM</v>
          </cell>
          <cell r="D11432" t="str">
            <v>HEIDEMANN SPATULA,  S, FIG. 13 - 3,0 MM</v>
          </cell>
        </row>
        <row r="11433">
          <cell r="B11433" t="str">
            <v>44-432-03-07</v>
          </cell>
          <cell r="C11433" t="str">
            <v>MINI-ZEMENTSPATEL, ZUERICH</v>
          </cell>
          <cell r="D11433" t="str">
            <v>MINI-CEMENT SPATULA,  ZUERICH</v>
          </cell>
        </row>
        <row r="11434">
          <cell r="B11434" t="str">
            <v>44-438-01-07</v>
          </cell>
          <cell r="C11434" t="str">
            <v>ZEMENTSPATEL, DOPPELENDIG, FIG. 1 A</v>
          </cell>
          <cell r="D11434" t="str">
            <v>CEMENT SPATULA  FIG. 1A</v>
          </cell>
        </row>
        <row r="11435">
          <cell r="B11435" t="str">
            <v>44-438-02-07</v>
          </cell>
          <cell r="C11435" t="str">
            <v>ZEMENTSPATEL, DOPPELENDIG, FIG. 2 A</v>
          </cell>
          <cell r="D11435" t="str">
            <v>CEMENT SPATULA  FIG. 2A</v>
          </cell>
        </row>
        <row r="11436">
          <cell r="B11436" t="str">
            <v>44-438-03-07</v>
          </cell>
          <cell r="C11436" t="str">
            <v>ZEMENTSPATEL, DOPPELENDIG, FIG. 3 A</v>
          </cell>
          <cell r="D11436" t="str">
            <v>CEMENT SPATULA  FIG. 3A</v>
          </cell>
        </row>
        <row r="11437">
          <cell r="B11437" t="str">
            <v>44-438-14-07</v>
          </cell>
          <cell r="C11437" t="str">
            <v>ZEMENTSPATEL, DOPPELENDIG, FIG. 4</v>
          </cell>
          <cell r="D11437" t="str">
            <v>CEMENT SPATULA  FIG. 4</v>
          </cell>
        </row>
        <row r="11438">
          <cell r="B11438" t="str">
            <v>44-440-02-07</v>
          </cell>
          <cell r="C11438" t="str">
            <v>ZEMENTSPATEL, EINENDIG,  FIG. 2</v>
          </cell>
          <cell r="D11438" t="str">
            <v>CEMENT SPATULA  FIG. 2</v>
          </cell>
        </row>
        <row r="11439">
          <cell r="B11439" t="str">
            <v>44-442-00-07</v>
          </cell>
          <cell r="C11439" t="str">
            <v>ZEMENTSPATEL, DOPPELENDIG, FIG. 00</v>
          </cell>
          <cell r="D11439" t="str">
            <v>CEMENT SPATULA  FIG. 00</v>
          </cell>
        </row>
        <row r="11440">
          <cell r="B11440" t="str">
            <v>44-442-01-07</v>
          </cell>
          <cell r="C11440" t="str">
            <v>ZEMENTSPATEL, DOPPELENDIG, FIG. 0</v>
          </cell>
          <cell r="D11440" t="str">
            <v>CEMENT SPATULA  FIG. 0</v>
          </cell>
        </row>
        <row r="11441">
          <cell r="B11441" t="str">
            <v>44-444-01-07</v>
          </cell>
          <cell r="C11441" t="str">
            <v>ZEMENTSPATEL, MARTIN,  DOPPEL.,  FIG. 1</v>
          </cell>
          <cell r="D11441" t="str">
            <v>MARTIN CEMENT SPATULA  FIG. 1</v>
          </cell>
        </row>
        <row r="11442">
          <cell r="B11442" t="str">
            <v>44-444-02-07</v>
          </cell>
          <cell r="C11442" t="str">
            <v>ZEMENTSPATEL, MARTIN,  DOPPEL.,  FIG. 2</v>
          </cell>
          <cell r="D11442" t="str">
            <v>MARTIN CEMENT SPATULA  FIG. 2</v>
          </cell>
        </row>
        <row r="11443">
          <cell r="B11443" t="str">
            <v>44-444-03-07</v>
          </cell>
          <cell r="C11443" t="str">
            <v>ZEMENTSPATEL, MARTIN,  DOPPEL.,  FIG. 3</v>
          </cell>
          <cell r="D11443" t="str">
            <v>MARTIN CEMENT SPATULA  FIG. 3</v>
          </cell>
        </row>
        <row r="11444">
          <cell r="B11444" t="str">
            <v>44-457-01-04</v>
          </cell>
          <cell r="C11444" t="str">
            <v>SILIKATSPATEL AUS KUNSTSTOFF</v>
          </cell>
          <cell r="D11444" t="str">
            <v>SILICATE SPAT OF PLEXIGLASS</v>
          </cell>
        </row>
        <row r="11445">
          <cell r="B11445" t="str">
            <v>44-465-01-07</v>
          </cell>
          <cell r="C11445" t="str">
            <v>MATRIZENSPANNER N. IVORY, FIG. 1</v>
          </cell>
          <cell r="D11445" t="str">
            <v>IVORY MATRIX RETAINER</v>
          </cell>
        </row>
        <row r="11446">
          <cell r="B11446" t="str">
            <v>44-467-01-07</v>
          </cell>
          <cell r="C11446" t="str">
            <v>MATRIZENSPANNER N. IVORY, FIG. 12</v>
          </cell>
          <cell r="D11446" t="str">
            <v>IVORY MATRIX RETAINER</v>
          </cell>
        </row>
        <row r="11447">
          <cell r="B11447" t="str">
            <v>44-468-01-07</v>
          </cell>
          <cell r="C11447" t="str">
            <v>MATRIZENSPANNER N. IVORY, FIG. 12A</v>
          </cell>
          <cell r="D11447" t="str">
            <v>IVORY MATRIX RETAINER</v>
          </cell>
        </row>
        <row r="11448">
          <cell r="B11448" t="str">
            <v>44-470-01-07</v>
          </cell>
          <cell r="C11448" t="str">
            <v>MATRIZE  F. MOLAREN,  FIG. 1</v>
          </cell>
          <cell r="D11448" t="str">
            <v>MATRIXBAND F MOLARS FG1</v>
          </cell>
        </row>
        <row r="11449">
          <cell r="B11449" t="str">
            <v>44-470-02-07</v>
          </cell>
          <cell r="C11449" t="str">
            <v>MATRIZE  F. MOLAREN,  FIG. 2</v>
          </cell>
          <cell r="D11449" t="str">
            <v>MATRIXBAND F MOLARS FG2</v>
          </cell>
        </row>
        <row r="11450">
          <cell r="B11450" t="str">
            <v>44-470-03-07</v>
          </cell>
          <cell r="C11450" t="str">
            <v>MATRIZE  F. MOLAREN,  FIG. 3</v>
          </cell>
          <cell r="D11450" t="str">
            <v>MATRIXBAND F MOLARS FG3</v>
          </cell>
        </row>
        <row r="11451">
          <cell r="B11451" t="str">
            <v>44-470-04-07</v>
          </cell>
          <cell r="C11451" t="str">
            <v>MATRIZE  F. PRAEMOLAREN, FIG. 4</v>
          </cell>
          <cell r="D11451" t="str">
            <v>MATRIXBD  BICUSPID  FG4</v>
          </cell>
        </row>
        <row r="11452">
          <cell r="B11452" t="str">
            <v>44-470-05-07</v>
          </cell>
          <cell r="C11452" t="str">
            <v>MATRIZE  F. PRAEMOLAREN, FIG. 5</v>
          </cell>
          <cell r="D11452" t="str">
            <v>MATRIXBD  BICUSPID  FG5</v>
          </cell>
        </row>
        <row r="11453">
          <cell r="B11453" t="str">
            <v>44-470-06-07</v>
          </cell>
          <cell r="C11453" t="str">
            <v>MATRIZE  F. PRAEMOLAREN, FIG. 6</v>
          </cell>
          <cell r="D11453" t="str">
            <v>MATRIXBD  BICUSPID  FG6</v>
          </cell>
        </row>
        <row r="11454">
          <cell r="B11454" t="str">
            <v>44-480-05-07</v>
          </cell>
          <cell r="C11454" t="str">
            <v>MATRIZENSPANNER N. IVORY, FIG. 8, 5 MM</v>
          </cell>
          <cell r="D11454" t="str">
            <v>IVORY MATRIX RETAINER  5MM</v>
          </cell>
        </row>
        <row r="11455">
          <cell r="B11455" t="str">
            <v>44-480-06-07</v>
          </cell>
          <cell r="C11455" t="str">
            <v>MATRIZENSPANNER N. IVORY, FIG. 8, 6 MM</v>
          </cell>
          <cell r="D11455" t="str">
            <v>IVORY MATRIX RETAINER  6 MM</v>
          </cell>
        </row>
        <row r="11456">
          <cell r="B11456" t="str">
            <v>44-480-07-07</v>
          </cell>
          <cell r="C11456" t="str">
            <v>MATRIZENSPANNER N. IVORY, FIG. 8, 7 MM</v>
          </cell>
          <cell r="D11456" t="str">
            <v>IVORY MATRIX RETAINER  7 MM</v>
          </cell>
        </row>
        <row r="11457">
          <cell r="B11457" t="str">
            <v>44-481-05-07</v>
          </cell>
          <cell r="C11457" t="str">
            <v>MATRIZENSPANNER N. TOFFELMIRE, UNVERSAL</v>
          </cell>
          <cell r="D11457" t="str">
            <v>TOFFLEMIRE MATRIX RETAINER</v>
          </cell>
        </row>
        <row r="11458">
          <cell r="B11458" t="str">
            <v>44-482-01-07</v>
          </cell>
          <cell r="C11458" t="str">
            <v>MATRIZE  N. TOFFELMIRE, FIG. 1,12 ST.</v>
          </cell>
          <cell r="D11458" t="str">
            <v>TOFFLEMIRE MATRIXBD  FG 1,12PC</v>
          </cell>
        </row>
        <row r="11459">
          <cell r="B11459" t="str">
            <v>44-482-13-07</v>
          </cell>
          <cell r="C11459" t="str">
            <v>MATRIZE  N. TOFFELMIRE, FIG.13,12  ST.</v>
          </cell>
          <cell r="D11459" t="str">
            <v>TOFFLEMIRE MATRIXBD  FIG13,12PC</v>
          </cell>
        </row>
        <row r="11460">
          <cell r="B11460" t="str">
            <v>44-484-07-07</v>
          </cell>
          <cell r="C11460" t="str">
            <v>MATRIZE  F. MOLAREN,  FIG. 7</v>
          </cell>
          <cell r="D11460" t="str">
            <v>MATRIXBAND MOLAR FG7</v>
          </cell>
        </row>
        <row r="11461">
          <cell r="B11461" t="str">
            <v>44-484-08-07</v>
          </cell>
          <cell r="C11461" t="str">
            <v>MATRIZE  F. MOLAREN,  FIG. 8</v>
          </cell>
          <cell r="D11461" t="str">
            <v>MATRIXBAND MOLAR FG8</v>
          </cell>
        </row>
        <row r="11462">
          <cell r="B11462" t="str">
            <v>44-484-09-07</v>
          </cell>
          <cell r="C11462" t="str">
            <v>MATRIZE  F. MOLAREN,  FIG. 9</v>
          </cell>
          <cell r="D11462" t="str">
            <v>MATRIXBAND MOLAR FG9</v>
          </cell>
        </row>
        <row r="11463">
          <cell r="B11463" t="str">
            <v>44-484-10-07</v>
          </cell>
          <cell r="C11463" t="str">
            <v>MATRIZE  F. MOLAREN,  FIG. 10</v>
          </cell>
          <cell r="D11463" t="str">
            <v>MATRIXBAND MOLAR F10</v>
          </cell>
        </row>
        <row r="11464">
          <cell r="B11464" t="str">
            <v>44-484-11-07</v>
          </cell>
          <cell r="C11464" t="str">
            <v>MATRIZE  F. PRAEMOLAREN, FIG. 11</v>
          </cell>
          <cell r="D11464" t="str">
            <v>MATRIXBD  BICUSP FIG 11</v>
          </cell>
        </row>
        <row r="11465">
          <cell r="B11465" t="str">
            <v>44-484-12-07</v>
          </cell>
          <cell r="C11465" t="str">
            <v>MATRIZE  F. PRAEMOLAREN, FIG. 12</v>
          </cell>
          <cell r="D11465" t="str">
            <v>MATRIXBD  BICUSP FIG 12</v>
          </cell>
        </row>
        <row r="11466">
          <cell r="B11466" t="str">
            <v>44-485-05-07</v>
          </cell>
          <cell r="C11466" t="str">
            <v>MATRIZENBAND, 5 MM, ROLLE M. 1 METER</v>
          </cell>
          <cell r="D11466" t="str">
            <v>MATRIX BAND 5 MM ROLL 100 CM</v>
          </cell>
        </row>
        <row r="11467">
          <cell r="B11467" t="str">
            <v>44-485-06-07</v>
          </cell>
          <cell r="C11467" t="str">
            <v>MATRIZENBAND, 6 MM, ROLLE M. 1 METER</v>
          </cell>
          <cell r="D11467" t="str">
            <v>MATRIX BAND 6MM,COIL  1000MM</v>
          </cell>
        </row>
        <row r="11468">
          <cell r="B11468" t="str">
            <v>44-500-16-07</v>
          </cell>
          <cell r="C11468" t="str">
            <v>KOFFERDAM-LOCHZANGE N. AINSWORTH, 16 CM</v>
          </cell>
          <cell r="D11468" t="str">
            <v>AINSWORTH RUBBER DAM PUNCH</v>
          </cell>
        </row>
        <row r="11469">
          <cell r="B11469" t="str">
            <v>44-502-15-07</v>
          </cell>
          <cell r="C11469" t="str">
            <v>KOFFERDAM-LOCHZANGE, USA-MODELL, 15 CM</v>
          </cell>
          <cell r="D11469" t="str">
            <v>RUBBERDAM PUNCH AMER.PATT</v>
          </cell>
        </row>
        <row r="11470">
          <cell r="B11470" t="str">
            <v>44-506-16-07</v>
          </cell>
          <cell r="C11470" t="str">
            <v>KOFFERDAM-KLAMMERZANGE N. IVORY</v>
          </cell>
          <cell r="D11470" t="str">
            <v>RUBBER DAM CLAMP FORCEPS  IVORY</v>
          </cell>
        </row>
        <row r="11471">
          <cell r="B11471" t="str">
            <v>44-513-17-07</v>
          </cell>
          <cell r="C11471" t="str">
            <v>KOFFERDAM KLAMMERZANGE N. BREWER,  17 CM</v>
          </cell>
          <cell r="D11471" t="str">
            <v>RUB.DAM  CL.FCPS BREWER</v>
          </cell>
        </row>
        <row r="11472">
          <cell r="B11472" t="str">
            <v>44-515-26-07</v>
          </cell>
          <cell r="C11472" t="str">
            <v>KOFFERDAM-KLAMMER N. IVORY, FIG. 26</v>
          </cell>
          <cell r="D11472" t="str">
            <v>IVORY RUB DAM CLAMP FG 26</v>
          </cell>
        </row>
        <row r="11473">
          <cell r="B11473" t="str">
            <v>44-515-27-07</v>
          </cell>
          <cell r="C11473" t="str">
            <v>KOFFERDAM-KLAMMER N. IVORY, FIG. 27</v>
          </cell>
          <cell r="D11473" t="str">
            <v>IVORY RUB DAM CLAMP FG 27</v>
          </cell>
        </row>
        <row r="11474">
          <cell r="B11474" t="str">
            <v>44-515-28-07</v>
          </cell>
          <cell r="C11474" t="str">
            <v>KOFFERDAM-KLAMMER N. IVORY, FIG. 28</v>
          </cell>
          <cell r="D11474" t="str">
            <v>IVORY RUB DAM CLAMP FG 28</v>
          </cell>
        </row>
        <row r="11475">
          <cell r="B11475" t="str">
            <v>44-515-29-07</v>
          </cell>
          <cell r="C11475" t="str">
            <v>KOFFERDAM-KLAMMER N. IVORY, FIG. 29</v>
          </cell>
          <cell r="D11475" t="str">
            <v>IVORY RUB DAM CLAMP FG 29</v>
          </cell>
        </row>
        <row r="11476">
          <cell r="B11476" t="str">
            <v>44-515-30-07</v>
          </cell>
          <cell r="C11476" t="str">
            <v>KOFFERDAM-KLAMMER N. IVORY, FIG. 30</v>
          </cell>
          <cell r="D11476" t="str">
            <v>IVORY RUB DAM CLAMP FG 30</v>
          </cell>
        </row>
        <row r="11477">
          <cell r="B11477" t="str">
            <v>44-515-31-07</v>
          </cell>
          <cell r="C11477" t="str">
            <v>KOFFERDAM-KLAMMER N. IVORY, FIG. 31</v>
          </cell>
          <cell r="D11477" t="str">
            <v>IVORY RUB DAM CLAMP FG 31</v>
          </cell>
        </row>
        <row r="11478">
          <cell r="B11478" t="str">
            <v>44-515-51-07</v>
          </cell>
          <cell r="C11478" t="str">
            <v>KOFFERDAM-KLAMMER N. IVORY, FIG. 51</v>
          </cell>
          <cell r="D11478" t="str">
            <v>IVORY RUB DAM CLAMP FG 51</v>
          </cell>
        </row>
        <row r="11479">
          <cell r="B11479" t="str">
            <v>44-515-60-07</v>
          </cell>
          <cell r="C11479" t="str">
            <v>KOFFERDAM-KLAMMER N. IVORY, FIG. 60</v>
          </cell>
          <cell r="D11479" t="str">
            <v>IVORY RUB DAM CLAMP FG 60</v>
          </cell>
        </row>
        <row r="11480">
          <cell r="B11480" t="str">
            <v>44-520-00-02</v>
          </cell>
          <cell r="C11480" t="str">
            <v>KOFFERDAM-HALTER, WIZARD</v>
          </cell>
          <cell r="D11480" t="str">
            <v>WIZARD RUBBER DAM HOLDER</v>
          </cell>
        </row>
        <row r="11481">
          <cell r="B11481" t="str">
            <v>46-101-00-01</v>
          </cell>
          <cell r="C11481" t="str">
            <v>ELITE-ABDRUCKLOEFFEL, GEL., BO, FIG. 0</v>
          </cell>
          <cell r="D11481" t="str">
            <v>ELITE IMP.TRAY  SUP-B FG 0</v>
          </cell>
        </row>
        <row r="11482">
          <cell r="B11482" t="str">
            <v>46-101-01-01</v>
          </cell>
          <cell r="C11482" t="str">
            <v>ELITE-ABDRUCKLOEFFEL, GEL., BO, FIG. 1</v>
          </cell>
          <cell r="D11482" t="str">
            <v>ELITE IM TR PERF SUP-B FG 1</v>
          </cell>
        </row>
        <row r="11483">
          <cell r="B11483" t="str">
            <v>46-101-02-01</v>
          </cell>
          <cell r="C11483" t="str">
            <v>ELITE-ABDRUCKLOEFFEL, GEL., BO, FIG. 2</v>
          </cell>
          <cell r="D11483" t="str">
            <v>ELITE IM.TR.PERF.SUP-B FG 2</v>
          </cell>
        </row>
        <row r="11484">
          <cell r="B11484" t="str">
            <v>46-101-03-01</v>
          </cell>
          <cell r="C11484" t="str">
            <v>ELITE-ABDRUCKLOEFFEL, GEL., BO, FIG. 3</v>
          </cell>
          <cell r="D11484" t="str">
            <v>ELITE IM.TR.PERF.SUP-B-FG 3</v>
          </cell>
        </row>
        <row r="11485">
          <cell r="B11485" t="str">
            <v>46-101-04-01</v>
          </cell>
          <cell r="C11485" t="str">
            <v>ELITE-ABDRUCKLOEFFEL, GEL., BO, FIG. 4</v>
          </cell>
          <cell r="D11485" t="str">
            <v>ELITE IM.TR-PERF.SOP-B FG 4</v>
          </cell>
        </row>
        <row r="11486">
          <cell r="B11486" t="str">
            <v>46-102-01-01</v>
          </cell>
          <cell r="C11486" t="str">
            <v>ELITE-ABDRUCKLOEFFEL, GEL., PO, FIG. 1</v>
          </cell>
          <cell r="D11486" t="str">
            <v>ELITE IM.TR.PERF.SUP-P FG 1</v>
          </cell>
        </row>
        <row r="11487">
          <cell r="B11487" t="str">
            <v>46-102-02-01</v>
          </cell>
          <cell r="C11487" t="str">
            <v>ELITE-ABDRUCKLOEFFEL, GEL., PO, FIG. 2</v>
          </cell>
          <cell r="D11487" t="str">
            <v>ELITE IM.TR.PERF.SUP-P FG2</v>
          </cell>
        </row>
        <row r="11488">
          <cell r="B11488" t="str">
            <v>46-102-03-01</v>
          </cell>
          <cell r="C11488" t="str">
            <v>ELITE-ABDRUCKLOEFFEL, GEL., PO, FIG. 3</v>
          </cell>
          <cell r="D11488" t="str">
            <v>ELITE IM.TR.PERF.SUP-P FG 3</v>
          </cell>
        </row>
        <row r="11489">
          <cell r="B11489" t="str">
            <v>46-103-01-01</v>
          </cell>
          <cell r="C11489" t="str">
            <v>ELITE-ABDRUCKLOEFFEL, GEL., FO, FIG. 1</v>
          </cell>
          <cell r="D11489" t="str">
            <v>ELITE IM.TR.PERF.SUP-F FG 1</v>
          </cell>
        </row>
        <row r="11490">
          <cell r="B11490" t="str">
            <v>46-103-02-01</v>
          </cell>
          <cell r="C11490" t="str">
            <v>ELITE-ABDRUCKLOEFFEL, GEL., FO, FIG. 2</v>
          </cell>
          <cell r="D11490" t="str">
            <v>ELITE IM.TR.PERF.SUP-F. FG 2</v>
          </cell>
        </row>
        <row r="11491">
          <cell r="B11491" t="str">
            <v>46-103-03-01</v>
          </cell>
          <cell r="C11491" t="str">
            <v>ELITE-ABDRUCKLOEFFEL, GEL., FO, FIG. 3</v>
          </cell>
          <cell r="D11491" t="str">
            <v>ELITE IM TR PERF SUP-F FG3</v>
          </cell>
        </row>
        <row r="11492">
          <cell r="B11492" t="str">
            <v>46-104-01-01</v>
          </cell>
          <cell r="C11492" t="str">
            <v>ELITE-ABDRUCKLOEFFEL, GEL., UO, FIG. 1</v>
          </cell>
          <cell r="D11492" t="str">
            <v>ELITE IM.TR.PERF.SUP-U FG1</v>
          </cell>
        </row>
        <row r="11493">
          <cell r="B11493" t="str">
            <v>46-104-02-01</v>
          </cell>
          <cell r="C11493" t="str">
            <v>ELITE-ABDRUCKLOEFFEL, GEL., UO, FIG. 2</v>
          </cell>
          <cell r="D11493" t="str">
            <v>ELITE IM.TR.PERF.SUP-U FG 2</v>
          </cell>
        </row>
        <row r="11494">
          <cell r="B11494" t="str">
            <v>46-104-03-01</v>
          </cell>
          <cell r="C11494" t="str">
            <v>ELITE-ABDRUCKLOEFFEL, GEL., UO, FIG. 3</v>
          </cell>
          <cell r="D11494" t="str">
            <v>ELITE IM.TR.PERF.SUP-U FG3</v>
          </cell>
        </row>
        <row r="11495">
          <cell r="B11495" t="str">
            <v>46-106-00-01</v>
          </cell>
          <cell r="C11495" t="str">
            <v>ELITE-ABDRUCKLOEFFEL, GEL., BU, FIG. 0</v>
          </cell>
          <cell r="D11495" t="str">
            <v>ELITE IM.TR.PERF.INF-B FG 0</v>
          </cell>
        </row>
        <row r="11496">
          <cell r="B11496" t="str">
            <v>46-106-01-01</v>
          </cell>
          <cell r="C11496" t="str">
            <v>ELITE-ABDRUCKLOEFFEL, GEL., BU, FIG. 1</v>
          </cell>
          <cell r="D11496" t="str">
            <v>ELITE IM.TR.PERF.INF-B FG1</v>
          </cell>
        </row>
        <row r="11497">
          <cell r="B11497" t="str">
            <v>46-106-02-01</v>
          </cell>
          <cell r="C11497" t="str">
            <v>ELITE-ABDRUCKLOEFFEL, GEL., BU, FIG. 2</v>
          </cell>
          <cell r="D11497" t="str">
            <v>ELITE IM.TR.PERF.INF-B FG2</v>
          </cell>
        </row>
        <row r="11498">
          <cell r="B11498" t="str">
            <v>46-106-03-01</v>
          </cell>
          <cell r="C11498" t="str">
            <v>ELITE-ABDRUCKLOEFFEL, GEL., BU, FIG. 3</v>
          </cell>
          <cell r="D11498" t="str">
            <v>ELITE IM.TR.PERF.INF-B 3</v>
          </cell>
        </row>
        <row r="11499">
          <cell r="B11499" t="str">
            <v>46-106-04-01</v>
          </cell>
          <cell r="C11499" t="str">
            <v>ELITE-ABDRUCKLOEFFEL, GEL., BU, FIG. 4</v>
          </cell>
          <cell r="D11499" t="str">
            <v>ELITE IM.TR.PERF.INF-B 4</v>
          </cell>
        </row>
        <row r="11500">
          <cell r="B11500" t="str">
            <v>46-107-01-01</v>
          </cell>
          <cell r="C11500" t="str">
            <v>ELITE-ABDRUCKLOEFFEL, GEL., PU, FIG. 1</v>
          </cell>
          <cell r="D11500" t="str">
            <v>ELITE IM.TR.PERF. INF-P-1</v>
          </cell>
        </row>
        <row r="11501">
          <cell r="B11501" t="str">
            <v>46-107-02-01</v>
          </cell>
          <cell r="C11501" t="str">
            <v>ELITE-ABDRUCKLOEFFEL, GEL., PU, FIG. 2</v>
          </cell>
          <cell r="D11501" t="str">
            <v>ELITE IM.TR.PERF.INF-P F 2</v>
          </cell>
        </row>
        <row r="11502">
          <cell r="B11502" t="str">
            <v>46-107-03-01</v>
          </cell>
          <cell r="C11502" t="str">
            <v>ELITE-ABDRUCKLOEFFEL, GEL., PU, FIG. 3</v>
          </cell>
          <cell r="D11502" t="str">
            <v>ELITE IM.TR.PERF.INF-P 3</v>
          </cell>
        </row>
        <row r="11503">
          <cell r="B11503" t="str">
            <v>46-108-01-01</v>
          </cell>
          <cell r="C11503" t="str">
            <v>ELITE-ABDRUCKLOEFFEL, GEL., UU, FIG. 1</v>
          </cell>
          <cell r="D11503" t="str">
            <v>ELITE IM.TR.PERF.INF.U FG 1</v>
          </cell>
        </row>
        <row r="11504">
          <cell r="B11504" t="str">
            <v>46-108-02-01</v>
          </cell>
          <cell r="C11504" t="str">
            <v>ELITE-ABDRUCKLOEFFEL, GEL., UU, FIG. 2</v>
          </cell>
          <cell r="D11504" t="str">
            <v>ELITE IM.TR.PERF.INF-U FG 2</v>
          </cell>
        </row>
        <row r="11505">
          <cell r="B11505" t="str">
            <v>46-108-03-01</v>
          </cell>
          <cell r="C11505" t="str">
            <v>ELITE-ABDRUCKLOEFFEL, GEL., UU, FIG. 3</v>
          </cell>
          <cell r="D11505" t="str">
            <v>ELITE IM.TR.PERF.INF-U F 3</v>
          </cell>
        </row>
        <row r="11506">
          <cell r="B11506" t="str">
            <v>46-131-00-01</v>
          </cell>
          <cell r="C11506" t="str">
            <v>ELITE-ABDRUCKLOEFFEL, VOLL, BO, FIG. 0</v>
          </cell>
          <cell r="D11506" t="str">
            <v>ELITE TRAY UNP.SUP-B  FG 0</v>
          </cell>
        </row>
        <row r="11507">
          <cell r="B11507" t="str">
            <v>46-131-01-01</v>
          </cell>
          <cell r="C11507" t="str">
            <v>ELITE-ABDRUCKLOEFFEL, VOLL, BO, FIG. 1</v>
          </cell>
          <cell r="D11507" t="str">
            <v>ELITE TRAY UNP.SUP-B  FG1</v>
          </cell>
        </row>
        <row r="11508">
          <cell r="B11508" t="str">
            <v>46-131-02-01</v>
          </cell>
          <cell r="C11508" t="str">
            <v>ELITE-ABDRUCKLOEFFEL, VOLL, BO, FIG. 2</v>
          </cell>
          <cell r="D11508" t="str">
            <v>ELITE TRAY UNP SUP-B FG 2</v>
          </cell>
        </row>
        <row r="11509">
          <cell r="B11509" t="str">
            <v>46-131-03-01</v>
          </cell>
          <cell r="C11509" t="str">
            <v>ELITE-ABDRUCKLOEFFEL, VOLL, BO, FIG. 3</v>
          </cell>
          <cell r="D11509" t="str">
            <v>ELITE TRAY UNP.SUP-B-F 3</v>
          </cell>
        </row>
        <row r="11510">
          <cell r="B11510" t="str">
            <v>46-131-04-01</v>
          </cell>
          <cell r="C11510" t="str">
            <v>ELITE-ABDRUCKLOEFFEL, VOLL, BO, FIG. 4</v>
          </cell>
          <cell r="D11510" t="str">
            <v>ELITE TRAY UNP.SUP-B  FG 4</v>
          </cell>
        </row>
        <row r="11511">
          <cell r="B11511" t="str">
            <v>46-133-01-21</v>
          </cell>
          <cell r="C11511" t="str">
            <v>Impr. Tray w/o Handle, unperf., FO, Fig.</v>
          </cell>
          <cell r="D11511" t="str">
            <v>Impr. Tray w/o Handle, unperf., FO, Fig.</v>
          </cell>
        </row>
        <row r="11512">
          <cell r="B11512" t="str">
            <v>46-133-02-21</v>
          </cell>
          <cell r="C11512" t="str">
            <v>Impr. Tray w/o Handle, unperf., FO, Fig.</v>
          </cell>
          <cell r="D11512" t="str">
            <v>Impr. Tray w/o Handle, unperf., FO, Fig.</v>
          </cell>
        </row>
        <row r="11513">
          <cell r="B11513" t="str">
            <v>46-133-03-21</v>
          </cell>
          <cell r="C11513" t="str">
            <v>Impr. Tray w/o Handle, unperf., FO, Fig.</v>
          </cell>
          <cell r="D11513" t="str">
            <v>Impr. Tray w/o Handle, unperf., FO, Fig.</v>
          </cell>
        </row>
        <row r="11514">
          <cell r="B11514" t="str">
            <v>46-136-00-01</v>
          </cell>
          <cell r="C11514" t="str">
            <v>ELITE-ABDRUCKLOEFFEL, VOLL, BU, FIG. 0</v>
          </cell>
          <cell r="D11514" t="str">
            <v>ELITE IMP.TR.UNP.UNF-B F0</v>
          </cell>
        </row>
        <row r="11515">
          <cell r="B11515" t="str">
            <v>46-136-01-01</v>
          </cell>
          <cell r="C11515" t="str">
            <v>ELITE-ABDRUCKLOEFFEL, VOLL, BU, FIG. 1</v>
          </cell>
          <cell r="D11515" t="str">
            <v>ELITE IMP.TR.UNP.INF-B FG1</v>
          </cell>
        </row>
        <row r="11516">
          <cell r="B11516" t="str">
            <v>46-136-02-01</v>
          </cell>
          <cell r="C11516" t="str">
            <v>ELITE-ABDRUCKLOEFFEL, VOLL, BU, FIG. 2</v>
          </cell>
          <cell r="D11516" t="str">
            <v>ELITE IMP.TR.UNP.INF.-B F2</v>
          </cell>
        </row>
        <row r="11517">
          <cell r="B11517" t="str">
            <v>46-136-03-01</v>
          </cell>
          <cell r="C11517" t="str">
            <v>ELITE-ABDRUCKLOEFFEL, VOLL, BU, FIG. 3</v>
          </cell>
          <cell r="D11517" t="str">
            <v>ELITE IMP.TR.UNP.INF-B F3</v>
          </cell>
        </row>
        <row r="11518">
          <cell r="B11518" t="str">
            <v>46-136-04-01</v>
          </cell>
          <cell r="C11518" t="str">
            <v>ELITE-ABDRUCKLOEFFEL, VOLL, BU, FIG. 4</v>
          </cell>
          <cell r="D11518" t="str">
            <v>ELITE IMP.TR.UNP.INF-B F 4</v>
          </cell>
        </row>
        <row r="11519">
          <cell r="B11519" t="str">
            <v>46-137-01-01</v>
          </cell>
          <cell r="C11519" t="str">
            <v>ELITE-ABDRUCKLOEFFEL, VOLL, PU, FIG. 1</v>
          </cell>
          <cell r="D11519" t="str">
            <v>ELITE IMP.TR.UNP.INF-P FG1</v>
          </cell>
        </row>
        <row r="11520">
          <cell r="B11520" t="str">
            <v>46-137-02-01</v>
          </cell>
          <cell r="C11520" t="str">
            <v>ELITE-ABDRUCKLOEFFEL, VOLL, PU, FIG. 2</v>
          </cell>
          <cell r="D11520" t="str">
            <v>ELITE IMPR.TR.UNP.INF-P F2</v>
          </cell>
        </row>
        <row r="11521">
          <cell r="B11521" t="str">
            <v>46-137-03-01</v>
          </cell>
          <cell r="C11521" t="str">
            <v>ELITE-ABDRUCKLOEFFEL, VOLL, PU, FIG. 3</v>
          </cell>
          <cell r="D11521" t="str">
            <v>ELITE IMP.TR.UNP.INF-P F3</v>
          </cell>
        </row>
        <row r="11522">
          <cell r="B11522" t="str">
            <v>46-151-01-01</v>
          </cell>
          <cell r="C11522" t="str">
            <v>ABDRUCKLOEFFEL, GEL., C 1/2 R, FIG. 1</v>
          </cell>
          <cell r="D11522" t="str">
            <v>IMPR.TRAY  PERF.C1/2  R F 1</v>
          </cell>
        </row>
        <row r="11523">
          <cell r="B11523" t="str">
            <v>46-151-02-01</v>
          </cell>
          <cell r="C11523" t="str">
            <v>ABDRUCKLOEFFEL, GEL., C 1/2 R, FIG. 2</v>
          </cell>
          <cell r="D11523" t="str">
            <v>IMPTR.TR.PERF.C 1/2 R FG 2</v>
          </cell>
        </row>
        <row r="11524">
          <cell r="B11524" t="str">
            <v>46-151-03-01</v>
          </cell>
          <cell r="C11524" t="str">
            <v>ABDRUCKLOEFFEL, GEL., C 1/2 R, FIG. 3</v>
          </cell>
          <cell r="D11524" t="str">
            <v>IMPR.TR.PERF.C 1/2 R FG 3</v>
          </cell>
        </row>
        <row r="11525">
          <cell r="B11525" t="str">
            <v>46-152-12-01</v>
          </cell>
          <cell r="C11525" t="str">
            <v>ABDRUCKLOEFFEL, VOLL, C 1/2 R, FIG. 2</v>
          </cell>
          <cell r="D11525" t="str">
            <v>IMPR.TRAY  UNP.C1/2  R FG 2</v>
          </cell>
        </row>
        <row r="11526">
          <cell r="B11526" t="str">
            <v>46-161-01-01</v>
          </cell>
          <cell r="C11526" t="str">
            <v>ABDRUCKLOEFFEL, GEL., C 1/2 L, FIG. 1</v>
          </cell>
          <cell r="D11526" t="str">
            <v>IMPR.TR.PERF.C1/2 L FG 1</v>
          </cell>
        </row>
        <row r="11527">
          <cell r="B11527" t="str">
            <v>46-161-02-01</v>
          </cell>
          <cell r="C11527" t="str">
            <v>ABDRUCKLOEFFEL, GEL., C 1/2 L, FIG. 2</v>
          </cell>
          <cell r="D11527" t="str">
            <v>IMPR.TR.PERF.C1/2 L FG 2</v>
          </cell>
        </row>
        <row r="11528">
          <cell r="B11528" t="str">
            <v>46-161-03-01</v>
          </cell>
          <cell r="C11528" t="str">
            <v>ABDRUCKLOEFFEL, GEL., C 1/2 L, FIG. 3</v>
          </cell>
          <cell r="D11528" t="str">
            <v>IMPR.TR.PERF.C1/2 L FG 3</v>
          </cell>
        </row>
        <row r="11529">
          <cell r="B11529" t="str">
            <v>46-171-01-01</v>
          </cell>
          <cell r="C11529" t="str">
            <v>UNIVERSAL-ABDRUCKLOEFFEL, GEL., BEWEGL.</v>
          </cell>
          <cell r="D11529" t="str">
            <v>UNIVERSAL IMPR.TRAY  PERF.</v>
          </cell>
        </row>
        <row r="11530">
          <cell r="B11530" t="str">
            <v>46-172-11-01</v>
          </cell>
          <cell r="C11530" t="str">
            <v>UNIVERSAL-ABDRUCKLOEFFEL, VOLL, BEWEGL.</v>
          </cell>
          <cell r="D11530" t="str">
            <v>UNIVERSAL IMPR.TRAY  PLAIN</v>
          </cell>
        </row>
        <row r="11531">
          <cell r="B11531" t="str">
            <v>46-175-01-01</v>
          </cell>
          <cell r="C11531" t="str">
            <v>ABDRUCKLOEFFEL, GEL., GRIFF DREHBAR</v>
          </cell>
          <cell r="D11531" t="str">
            <v>IMPR.TRAY  ADJUSTABLE PERF.</v>
          </cell>
        </row>
        <row r="11532">
          <cell r="B11532" t="str">
            <v>46-176-11-01</v>
          </cell>
          <cell r="C11532" t="str">
            <v>ABDRUCKLOEFFEL, VOLL, GRIFF DREHBAR</v>
          </cell>
          <cell r="D11532" t="str">
            <v>IMPR.TRAY  ADJUSTABLE PLAIN</v>
          </cell>
        </row>
        <row r="11533">
          <cell r="B11533" t="str">
            <v>46-181-01-01</v>
          </cell>
          <cell r="C11533" t="str">
            <v>ABDRUCKLOEFFEL N. STOLLEY,  GELOCHT</v>
          </cell>
          <cell r="D11533" t="str">
            <v>STOLLEY IMPR.TRAY  PERF.</v>
          </cell>
        </row>
        <row r="11534">
          <cell r="B11534" t="str">
            <v>46-185-01-07</v>
          </cell>
          <cell r="C11534" t="str">
            <v>FADENSTOPFER, RUNDGRIFF, FIG. 1</v>
          </cell>
          <cell r="D11534" t="str">
            <v>PLUGGER  F. RETRACTION SUTURE, FIG. 1</v>
          </cell>
        </row>
        <row r="11535">
          <cell r="B11535" t="str">
            <v>46-185-02-07</v>
          </cell>
          <cell r="C11535" t="str">
            <v>FADENSTOPFER, RUNDGRIFF, FIG. 2</v>
          </cell>
          <cell r="D11535" t="str">
            <v>PLUGGER  F. RETRACTION SUTURE, FIG. 2</v>
          </cell>
        </row>
        <row r="11536">
          <cell r="B11536" t="str">
            <v>46-185-03-07</v>
          </cell>
          <cell r="C11536" t="str">
            <v>Fadenstopfer nach Minami (5-D Japan)</v>
          </cell>
          <cell r="D11536" t="str">
            <v>Gingiv. cord packer acc. to Minami (5-D)</v>
          </cell>
        </row>
        <row r="11537">
          <cell r="B11537" t="str">
            <v>46-185-04-07</v>
          </cell>
          <cell r="C11537" t="str">
            <v>Fadenstopfer nach Minami</v>
          </cell>
          <cell r="D11537" t="str">
            <v>Gingiv. cord packer acc. to Minami</v>
          </cell>
        </row>
        <row r="11538">
          <cell r="B11538" t="str">
            <v>46-363-01-07</v>
          </cell>
          <cell r="C11538" t="str">
            <v>SCHNITZINSTRUMENT, HOLLENBACK, FIG. 1/2</v>
          </cell>
          <cell r="D11538" t="str">
            <v>HOLLENBACK-CARVING-INSTR. FIG. 1/2</v>
          </cell>
        </row>
        <row r="11539">
          <cell r="B11539" t="str">
            <v>46-363-02-07</v>
          </cell>
          <cell r="C11539" t="str">
            <v>SCHNITZINSTRUMENT, HOLLENBACK, FIG. 3</v>
          </cell>
          <cell r="D11539" t="str">
            <v>HOLLENBACK-CARVING-INSTR. FIG. 3</v>
          </cell>
        </row>
        <row r="11540">
          <cell r="B11540" t="str">
            <v>46-363-03-07</v>
          </cell>
          <cell r="C11540" t="str">
            <v>SCHNITZINSTRUMENT, HOLLENBACK, FIG. 3S</v>
          </cell>
          <cell r="D11540" t="str">
            <v>HOLLENBACK-CARVING-INSTR. FIG. 3S</v>
          </cell>
        </row>
        <row r="11541">
          <cell r="B11541" t="str">
            <v>46-364-01-07</v>
          </cell>
          <cell r="C11541" t="str">
            <v>SCHNITZINSTRUMENT N. FRAHM, FIG. 0/1</v>
          </cell>
          <cell r="D11541" t="str">
            <v>FRAHM-CARVING-INSTR. FIG. 0/1</v>
          </cell>
        </row>
        <row r="11542">
          <cell r="B11542" t="str">
            <v>46-364-02-07</v>
          </cell>
          <cell r="C11542" t="str">
            <v>SCHNITZINSTRUMENT N. FRAHM, FIG. 2/3</v>
          </cell>
          <cell r="D11542" t="str">
            <v>FRAHM-CARVING-INSTR. FIG. 2/3</v>
          </cell>
        </row>
        <row r="11543">
          <cell r="B11543" t="str">
            <v>46-365-01-07</v>
          </cell>
          <cell r="C11543" t="str">
            <v>SCHNITZINSTRUMENT N. WARD, FIG. 1</v>
          </cell>
          <cell r="D11543" t="str">
            <v>WARD-CARVING-INSTR. FIG. 1</v>
          </cell>
        </row>
        <row r="11544">
          <cell r="B11544" t="str">
            <v>46-365-02-07</v>
          </cell>
          <cell r="C11544" t="str">
            <v>SCHNITZINSTRUMENT N. WARD, FIG. 1S</v>
          </cell>
          <cell r="D11544" t="str">
            <v>WARD-CARVING-INSTR. FIG. 1S</v>
          </cell>
        </row>
        <row r="11545">
          <cell r="B11545" t="str">
            <v>46-365-03-07</v>
          </cell>
          <cell r="C11545" t="str">
            <v>SCHNITZINSTRUMENT N. WARD, FIG. 2</v>
          </cell>
          <cell r="D11545" t="str">
            <v>WARD-CARVING-INSTR. FIG. 2</v>
          </cell>
        </row>
        <row r="11546">
          <cell r="B11546" t="str">
            <v>46-366-01-07</v>
          </cell>
          <cell r="C11546" t="str">
            <v>SCHNITZINSTRUMENT N. NYSTROEM, FIG. 1</v>
          </cell>
          <cell r="D11546" t="str">
            <v>NYSTRÖM-CARVING-INSTR. FIG. 1</v>
          </cell>
        </row>
        <row r="11547">
          <cell r="B11547" t="str">
            <v>46-366-02-07</v>
          </cell>
          <cell r="C11547" t="str">
            <v>SCHNITZINSTRUMENT N. NYSTROEM, FIG. 2</v>
          </cell>
          <cell r="D11547" t="str">
            <v>NYSTRÖM-CARVING-INSTR. FIG. 2</v>
          </cell>
        </row>
        <row r="11548">
          <cell r="B11548" t="str">
            <v>46-366-03-07</v>
          </cell>
          <cell r="C11548" t="str">
            <v>SCHNITZINSTRUMENT N. NYSTROEM, FIG. 3</v>
          </cell>
          <cell r="D11548" t="str">
            <v>NYSTRÖM-CARVING-INSTR. FIG. 3</v>
          </cell>
        </row>
        <row r="11549">
          <cell r="B11549" t="str">
            <v>46-373-18-07</v>
          </cell>
          <cell r="C11549" t="str">
            <v>SCHNITZINSTRUMENT, MSPR-18</v>
          </cell>
          <cell r="D11549" t="str">
            <v>CARVING-INSTR. MSPR-18</v>
          </cell>
        </row>
        <row r="11550">
          <cell r="B11550" t="str">
            <v>46-374-00-07</v>
          </cell>
          <cell r="C11550" t="str">
            <v>SCHNITZINSTRUMENT, C/D, FIG. 0</v>
          </cell>
          <cell r="D11550" t="str">
            <v>CARVING-INSTR., C/D, FIG. 0</v>
          </cell>
        </row>
        <row r="11551">
          <cell r="B11551" t="str">
            <v>46-374-05-07</v>
          </cell>
          <cell r="C11551" t="str">
            <v>SCHNITZINSTRUMENT, C/D, FIG. 4/5</v>
          </cell>
          <cell r="D11551" t="str">
            <v>CARVING-INSTR., C/D, FIG. 4/5</v>
          </cell>
        </row>
        <row r="11552">
          <cell r="B11552" t="str">
            <v>46-374-06-07</v>
          </cell>
          <cell r="C11552" t="str">
            <v>SCHNITZINSTRUMENT, C/D, FIG. 3/6</v>
          </cell>
          <cell r="D11552" t="str">
            <v>CARVING-INSTR., C/D, FIG. 3/6</v>
          </cell>
        </row>
        <row r="11553">
          <cell r="B11553" t="str">
            <v>46-374-07-07</v>
          </cell>
          <cell r="C11553" t="str">
            <v>SCHNITZINSTRUMENT, C/D, FIG. 4/7</v>
          </cell>
          <cell r="D11553" t="str">
            <v>CARVING-INSTR., C/D, FIG. 4/7</v>
          </cell>
        </row>
        <row r="11554">
          <cell r="B11554" t="str">
            <v>46-374-92-07</v>
          </cell>
          <cell r="C11554" t="str">
            <v>SCHNITZINSTRUMENT, C/D, FIG. 89/92</v>
          </cell>
          <cell r="D11554" t="str">
            <v>CARVING-INSTR., C/D, FIG. 89/92</v>
          </cell>
        </row>
        <row r="11555">
          <cell r="B11555" t="str">
            <v>46-517-15-07</v>
          </cell>
          <cell r="C11555" t="str">
            <v>ARTIKULATIONSPAPIER-PINZETTE N. MILLER</v>
          </cell>
          <cell r="D11555" t="str">
            <v>MILLER FCPS F ARTIC PAPER</v>
          </cell>
        </row>
        <row r="11556">
          <cell r="B11556" t="str">
            <v>46-518-15-07</v>
          </cell>
          <cell r="C11556" t="str">
            <v>PINZETTE  F. ARTIKULATIONSPAPIER, L</v>
          </cell>
          <cell r="D11556" t="str">
            <v>MILLER-FORCEPS FOR ART. PAPER, L</v>
          </cell>
        </row>
        <row r="11557">
          <cell r="B11557" t="str">
            <v>46-528-01-07</v>
          </cell>
          <cell r="C11557" t="str">
            <v>MERSHON  BANDTREIBER</v>
          </cell>
          <cell r="D11557" t="str">
            <v>MERSHON  BAND PUSHER</v>
          </cell>
        </row>
        <row r="11558">
          <cell r="B11558" t="str">
            <v>46-578-02-07</v>
          </cell>
          <cell r="C11558" t="str">
            <v>KRONENRINGABNEHMER N. TREYMANN</v>
          </cell>
          <cell r="D11558" t="str">
            <v>TREYEMANN-CROWN REMOVER</v>
          </cell>
        </row>
        <row r="11559">
          <cell r="B11559" t="str">
            <v>46-582-01-07</v>
          </cell>
          <cell r="C11559" t="str">
            <v>CROWN BUTLER, FIG. 1, MIT 3 EINSAETZEN</v>
          </cell>
          <cell r="D11559" t="str">
            <v>CROWN BUTLER FIG. 1, WITH 3 INSERTS</v>
          </cell>
        </row>
        <row r="11560">
          <cell r="B11560" t="str">
            <v>46-583-00-07</v>
          </cell>
          <cell r="C11560" t="str">
            <v>CROWN BUTLER FIG. 2, MIT 3 EINSAETZEN</v>
          </cell>
          <cell r="D11560" t="str">
            <v>CROWN BUTLER FIG. 2, WITH 3 INSERTS</v>
          </cell>
        </row>
        <row r="11561">
          <cell r="B11561" t="str">
            <v>46-583-01-07</v>
          </cell>
          <cell r="C11561" t="str">
            <v>EINSATZ F. CROWN-BUT. FIG. 1/2, FIG. 1A</v>
          </cell>
          <cell r="D11561" t="str">
            <v>INSERT FIG. 1A, F. CROWN BUT. FIG. 1 + 2</v>
          </cell>
        </row>
        <row r="11562">
          <cell r="B11562" t="str">
            <v>46-583-02-07</v>
          </cell>
          <cell r="C11562" t="str">
            <v>EINSATZ F. CROWN-BUT. FIG. 1/2, FIG. 2A</v>
          </cell>
          <cell r="D11562" t="str">
            <v>INSERT FIG. 2A, F. CROWN BUT. FIG. 1 + 2</v>
          </cell>
        </row>
        <row r="11563">
          <cell r="B11563" t="str">
            <v>46-583-03-07</v>
          </cell>
          <cell r="C11563" t="str">
            <v>EINSATZ F. CROWN-BUT. FIG. 1/2, FIG. 3A</v>
          </cell>
          <cell r="D11563" t="str">
            <v>INSERT FIG. 3A, F. CROWN BUT. FIG. 1 + 2</v>
          </cell>
        </row>
        <row r="11564">
          <cell r="B11564" t="str">
            <v>46-593-00-07</v>
          </cell>
          <cell r="C11564" t="str">
            <v>MARTIN-KRONENAUFBIEGER</v>
          </cell>
          <cell r="D11564" t="str">
            <v>MARTIN-CROWN-SPREADER</v>
          </cell>
        </row>
        <row r="11565">
          <cell r="B11565" t="str">
            <v>47-505-14-07</v>
          </cell>
          <cell r="C11565" t="str">
            <v>FLACHZANGE, MAUL GERIEFT,  5 MM, 14 CM</v>
          </cell>
          <cell r="D11565" t="str">
            <v>FLAT NOSE PLIER SERRATED  5MM</v>
          </cell>
        </row>
        <row r="11566">
          <cell r="B11566" t="str">
            <v>47-518-14-07</v>
          </cell>
          <cell r="C11566" t="str">
            <v>FLACHZANGE N. LANGENBECK, 14 CM</v>
          </cell>
          <cell r="D11566" t="str">
            <v>LANGBECK  FLAT NOSE PLIERS</v>
          </cell>
        </row>
        <row r="11567">
          <cell r="B11567" t="str">
            <v>47-522-13-07</v>
          </cell>
          <cell r="C11567" t="str">
            <v>FLACHZANGE, GERIEFTES  MAUL, 13 CM</v>
          </cell>
          <cell r="D11567" t="str">
            <v>FLAT NOSE PLIERS SERRATED</v>
          </cell>
        </row>
        <row r="11568">
          <cell r="B11568" t="str">
            <v>47-524-14-07</v>
          </cell>
          <cell r="C11568" t="str">
            <v>FLACH- U. KONTURENZANGE N. GOSLEE, 14 CM</v>
          </cell>
          <cell r="D11568" t="str">
            <v>GOSLEE FLAT NOSE CONT PLIERS</v>
          </cell>
        </row>
        <row r="11569">
          <cell r="B11569" t="str">
            <v>47-538-15-07</v>
          </cell>
          <cell r="C11569" t="str">
            <v>FLACH-/RUNDZANGE, 13CM</v>
          </cell>
          <cell r="D11569" t="str">
            <v>FLAT ROUND NOSE PLIERS</v>
          </cell>
        </row>
        <row r="11570">
          <cell r="B11570" t="str">
            <v>47-554-11-07</v>
          </cell>
          <cell r="C11570" t="str">
            <v>FLACHZAENGCHEN N. DUMONT,  11 CM</v>
          </cell>
          <cell r="D11570" t="str">
            <v>DUMONT  FINE FLAT NOSE PLIERS</v>
          </cell>
        </row>
        <row r="11571">
          <cell r="B11571" t="str">
            <v>47-572-11-07</v>
          </cell>
          <cell r="C11571" t="str">
            <v>TC-SEITENSCHNEIDER, 11 CM</v>
          </cell>
          <cell r="D11571" t="str">
            <v>SIDE NIPPERS WITH TC TIPS</v>
          </cell>
        </row>
        <row r="11572">
          <cell r="B11572" t="str">
            <v>47-580-01-07</v>
          </cell>
          <cell r="C11572" t="str">
            <v>TC-DISTAL-SCHNEIDER M. FANGVORRICHTUNG</v>
          </cell>
          <cell r="D11572" t="str">
            <v>TC-DISTAL-CUTTER WITH WIRE CATCHER</v>
          </cell>
        </row>
        <row r="11573">
          <cell r="B11573" t="str">
            <v>47-582-11-07</v>
          </cell>
          <cell r="C11573" t="str">
            <v>TC-DRAHTSCHNEIDEZANGE, 11,5 CM</v>
          </cell>
          <cell r="D11573" t="str">
            <v>TC-WIRE-CUTTER, 11,5 CM</v>
          </cell>
        </row>
        <row r="11574">
          <cell r="B11574" t="str">
            <v>47-582-13-07</v>
          </cell>
          <cell r="C11574" t="str">
            <v>TC-DRAHTSCHNEIDEZANGE, 13 CM</v>
          </cell>
          <cell r="D11574" t="str">
            <v>TC-WIRE-CUTTER, 13 CM</v>
          </cell>
        </row>
        <row r="11575">
          <cell r="B11575" t="str">
            <v>47-583-01-07</v>
          </cell>
          <cell r="C11575" t="str">
            <v>ZAHNTECHNIK-ZANGE N. WEINGART, 14 CM</v>
          </cell>
          <cell r="D11575" t="str">
            <v>WEINGART-PLIER F. DENTAL TECH., 14 CM</v>
          </cell>
        </row>
        <row r="11576">
          <cell r="B11576" t="str">
            <v>47-584-01-07</v>
          </cell>
          <cell r="C11576" t="str">
            <v>BANDENTFERNUNGSZANGE</v>
          </cell>
          <cell r="D11576" t="str">
            <v>BAND REMOVING PLIER</v>
          </cell>
        </row>
        <row r="11577">
          <cell r="B11577" t="str">
            <v>47-585-01-07</v>
          </cell>
          <cell r="C11577" t="str">
            <v>DRAHTBIEGEZANGE N. ANGLE, 12 CM</v>
          </cell>
          <cell r="D11577" t="str">
            <v>ANGLE-WIRE BENDING  PLIER, 12 CM</v>
          </cell>
        </row>
        <row r="11578">
          <cell r="B11578" t="str">
            <v>47-585-02-07</v>
          </cell>
          <cell r="C11578" t="str">
            <v>DRAHTBIEGEZANGE MIT QUERRILLEN</v>
          </cell>
          <cell r="D11578" t="str">
            <v>WIRE BENDING  PLIER WITH HORIZ. PROFILE</v>
          </cell>
        </row>
        <row r="11579">
          <cell r="B11579" t="str">
            <v>47-585-03-07</v>
          </cell>
          <cell r="C11579" t="str">
            <v>DRAHTBIEGEZANGE N. TWEED</v>
          </cell>
          <cell r="D11579" t="str">
            <v>TWEED-WIRE BENDING  PLIER</v>
          </cell>
        </row>
        <row r="11580">
          <cell r="B11580" t="str">
            <v>47-586-01-07</v>
          </cell>
          <cell r="C11580" t="str">
            <v>BÜGELBIEGEZANGE</v>
          </cell>
          <cell r="D11580" t="str">
            <v>CLASP BENDING  PLIER</v>
          </cell>
        </row>
        <row r="11581">
          <cell r="B11581" t="str">
            <v>47-604-13-07</v>
          </cell>
          <cell r="C11581" t="str">
            <v>KLAMMERBIEGEZANGE N. SCHWARZ,  M 1, 13 CM</v>
          </cell>
          <cell r="D11581" t="str">
            <v>SCHWARZ  CLASP BEND PLIERS M1</v>
          </cell>
        </row>
        <row r="11582">
          <cell r="B11582" t="str">
            <v>47-606-13-07</v>
          </cell>
          <cell r="C11582" t="str">
            <v>KLAMMERBIEGEZANGE N. SCHWARZ,  M 2, 13 CM</v>
          </cell>
          <cell r="D11582" t="str">
            <v>SCHWARZ  CLASP BEND PLIERS M2</v>
          </cell>
        </row>
        <row r="11583">
          <cell r="B11583" t="str">
            <v>47-608-13-07</v>
          </cell>
          <cell r="C11583" t="str">
            <v>KLAMMERBIEGEZANGE N. SCHWARZ,  M 3, 13 CM</v>
          </cell>
          <cell r="D11583" t="str">
            <v>SCHWARZ  CLASP BEND PLIERS M3</v>
          </cell>
        </row>
        <row r="11584">
          <cell r="B11584" t="str">
            <v>47-650-12-07</v>
          </cell>
          <cell r="C11584" t="str">
            <v>DRAHTBIEGEZANGE, ANGLE, FLACH/RUND 12 CM</v>
          </cell>
          <cell r="D11584" t="str">
            <v>ANGLE WIRE BENDING  PLIERS</v>
          </cell>
        </row>
        <row r="11585">
          <cell r="B11585" t="str">
            <v>47-654-13-07</v>
          </cell>
          <cell r="C11585" t="str">
            <v>DRAHTBIEGEZANGE N. ADAMS, 13 CM</v>
          </cell>
          <cell r="D11585" t="str">
            <v>ADAMS WIRE BENDING  PLIERS</v>
          </cell>
        </row>
        <row r="11586">
          <cell r="B11586" t="str">
            <v>47-660-13-07</v>
          </cell>
          <cell r="C11586" t="str">
            <v>DRAHTBIEGEZANGE N. YOUNG, 13 CM</v>
          </cell>
          <cell r="D11586" t="str">
            <v>YOUNG WIRE BENDING  PLIERS</v>
          </cell>
        </row>
        <row r="11587">
          <cell r="B11587" t="str">
            <v>47-672-11-07</v>
          </cell>
          <cell r="C11587" t="str">
            <v>DRAHTBIEGEZANGE, ADERER, KLEIN, 11,5 CM</v>
          </cell>
          <cell r="D11587" t="str">
            <v>ADERER WIRE BEND PLIERS SM</v>
          </cell>
        </row>
        <row r="11588">
          <cell r="B11588" t="str">
            <v>47-674-13-07</v>
          </cell>
          <cell r="C11588" t="str">
            <v>DRAHTBIEGEZANGE, ADERER, GROSS, 13 CM</v>
          </cell>
          <cell r="D11588" t="str">
            <v>ADERER WIRE BEND PLIERS LAR</v>
          </cell>
        </row>
        <row r="11589">
          <cell r="B11589" t="str">
            <v>47-690-15-07</v>
          </cell>
          <cell r="C11589" t="str">
            <v>UNIVERSAL-BIEGEZANGE, WALDSACHS, 15,5 CM</v>
          </cell>
          <cell r="D11589" t="str">
            <v>WALDSACHS UNIVERSAL PLIERS</v>
          </cell>
        </row>
        <row r="11590">
          <cell r="B11590" t="str">
            <v>47-697-15-07</v>
          </cell>
          <cell r="C11590" t="str">
            <v>UNIVERSAL-KRAMPONZANGE, SPITZ, 15,5 CM</v>
          </cell>
          <cell r="D11590" t="str">
            <v>UNIV BEND CUTT PLIERS</v>
          </cell>
        </row>
        <row r="11591">
          <cell r="B11591" t="str">
            <v>47-702-15-07</v>
          </cell>
          <cell r="C11591" t="str">
            <v>KUPFERRING-ABNEHMEZANGE N. FURRER, 15 CM</v>
          </cell>
          <cell r="D11591" t="str">
            <v>FURRER COPP RING REMOV PLIER</v>
          </cell>
        </row>
        <row r="11592">
          <cell r="B11592" t="str">
            <v>47-750-14-07</v>
          </cell>
          <cell r="C11592" t="str">
            <v>KRONENZANGE N. HOW, GERADE,  14 CM</v>
          </cell>
          <cell r="D11592" t="str">
            <v>HOW CRONN AND LIG PLIERS STR</v>
          </cell>
        </row>
        <row r="11593">
          <cell r="B11593" t="str">
            <v>47-751-14-07</v>
          </cell>
          <cell r="C11593" t="str">
            <v>KRONENZANGE N. HOW, GEBOGEN,  14 CM</v>
          </cell>
          <cell r="D11593" t="str">
            <v>HOW CRONN AND LIG PLIERS CVD</v>
          </cell>
        </row>
        <row r="11594">
          <cell r="B11594" t="str">
            <v>47-783-12-07</v>
          </cell>
          <cell r="C11594" t="str">
            <v>KONTURZANGE N. REYNOLDS, 13 CM</v>
          </cell>
          <cell r="D11594" t="str">
            <v>REYNOLDS  CONTOURING PLIERS</v>
          </cell>
        </row>
        <row r="11595">
          <cell r="B11595" t="str">
            <v>47-788-13-07</v>
          </cell>
          <cell r="C11595" t="str">
            <v>KONTURZANGE N. JOHNSON,  SCHMAL,  13 CM</v>
          </cell>
          <cell r="D11595" t="str">
            <v>JOHNSON  CONTOURING PLIERS</v>
          </cell>
        </row>
        <row r="11596">
          <cell r="B11596" t="str">
            <v>47-794-13-07</v>
          </cell>
          <cell r="C11596" t="str">
            <v>KONTURZANGE N. ABELL, GERADE,  13 CM</v>
          </cell>
          <cell r="D11596" t="str">
            <v>ABELL CONTOURING PLIERS</v>
          </cell>
        </row>
        <row r="11597">
          <cell r="B11597" t="str">
            <v>48-101-16-07</v>
          </cell>
          <cell r="C11597" t="str">
            <v>WEICHTEILHAKEN, AUFGEB.,  16X5 MM, 21,5CM</v>
          </cell>
          <cell r="D11597" t="str">
            <v>RETRACTOR, OBWEG.,  UPW., 16X5 MM, 21.5CM</v>
          </cell>
        </row>
        <row r="11598">
          <cell r="B11598" t="str">
            <v>48-101-25-07</v>
          </cell>
          <cell r="C11598" t="str">
            <v>WEICHTEILHAKEN, AUFGEB.,  25X7 MM, 21 CM</v>
          </cell>
          <cell r="D11598" t="str">
            <v>RETRACTOR, OBWEG.,  UPW., 25X7 MM, 21 CM</v>
          </cell>
        </row>
        <row r="11599">
          <cell r="B11599" t="str">
            <v>48-101-35-07</v>
          </cell>
          <cell r="C11599" t="str">
            <v>WEICHTEILHAKEN, AUFGEB.,  35X10 MM, 23 CM</v>
          </cell>
          <cell r="D11599" t="str">
            <v>RETRACTOR, OBWEG.,  UPW., 35X10 MM, 23 CM</v>
          </cell>
        </row>
        <row r="11600">
          <cell r="B11600" t="str">
            <v>48-101-42-07</v>
          </cell>
          <cell r="C11600" t="str">
            <v>WEICHTEILHAKEN, AUFGEB.,  42X10 MM, 23 CM</v>
          </cell>
          <cell r="D11600" t="str">
            <v>RETRACTOR, OBWEG.,  UPW., 42X10 MM, 23 CM</v>
          </cell>
        </row>
        <row r="11601">
          <cell r="B11601" t="str">
            <v>48-101-55-07</v>
          </cell>
          <cell r="C11601" t="str">
            <v>WEICHTEILHAKEN,AUFGEB.,57X12,5MM, 23,5CM</v>
          </cell>
          <cell r="D11601" t="str">
            <v>RETRACTOR,OBWEG.,UPW., 57X12,5MM, 23.5CM</v>
          </cell>
        </row>
        <row r="11602">
          <cell r="B11602" t="str">
            <v>48-101-70-07</v>
          </cell>
          <cell r="C11602" t="str">
            <v>WEICHTEILHAKEN, AUFGEB.,  72X15MM,  23,5CM</v>
          </cell>
          <cell r="D11602" t="str">
            <v>RETRACTOR, OBWEG.,  UPW., 72X15MM,  23.5CM</v>
          </cell>
        </row>
        <row r="11603">
          <cell r="B11603" t="str">
            <v>48-101-80-07</v>
          </cell>
          <cell r="C11603" t="str">
            <v>WEICHTEILHAKEN, AUFGEB.,  87X16MM,  23,5CM</v>
          </cell>
          <cell r="D11603" t="str">
            <v>RETRACTOR, OBWEG.,  UPW., 87X16MM,  23,5CM</v>
          </cell>
        </row>
        <row r="11604">
          <cell r="B11604" t="str">
            <v>48-103-16-07</v>
          </cell>
          <cell r="C11604" t="str">
            <v>WEICHTEILHAKEN, ABGEB., 16X5 MM, 21 CM</v>
          </cell>
          <cell r="D11604" t="str">
            <v>RETRACTOR, OBWEG.,  DOWN, 16X5 MM, 21 CM</v>
          </cell>
        </row>
        <row r="11605">
          <cell r="B11605" t="str">
            <v>48-103-25-07</v>
          </cell>
          <cell r="C11605" t="str">
            <v>WEICHTEILHAKEN, ABGEB., 25X7 MM, 21 CM</v>
          </cell>
          <cell r="D11605" t="str">
            <v>RETRACTOR, OBWEG.,  DOWN, 25X7 MM, 21 CM</v>
          </cell>
        </row>
        <row r="11606">
          <cell r="B11606" t="str">
            <v>48-103-35-07</v>
          </cell>
          <cell r="C11606" t="str">
            <v>WEICHTEILHAKEN, ABGEB., 35X10 MM, 23 CM</v>
          </cell>
          <cell r="D11606" t="str">
            <v>RETRACTOR, OBWEG.,  DOWN, 35X10 MM, 23 CM</v>
          </cell>
        </row>
        <row r="11607">
          <cell r="B11607" t="str">
            <v>48-103-42-07</v>
          </cell>
          <cell r="C11607" t="str">
            <v>WEICHTEILHAKEN, ABGEB., 42X10 MM, 23 CM</v>
          </cell>
          <cell r="D11607" t="str">
            <v>RETRACTOR, OBWEG.,  DOWN, 42X10 MM, 23 CM</v>
          </cell>
        </row>
        <row r="11608">
          <cell r="B11608" t="str">
            <v>48-103-55-07</v>
          </cell>
          <cell r="C11608" t="str">
            <v>WEICHTEILHAKEN, ABGEB., 55X12 MM, 23,5CM</v>
          </cell>
          <cell r="D11608" t="str">
            <v>RETRACT.,  OBWEG.,  DOWN, 55X12 MM, 23.5CM</v>
          </cell>
        </row>
        <row r="11609">
          <cell r="B11609" t="str">
            <v>48-103-70-07</v>
          </cell>
          <cell r="C11609" t="str">
            <v>WEICHTEILHAKEN, ABGEB., 72X15 MM, 23,5CM</v>
          </cell>
          <cell r="D11609" t="str">
            <v>RETRACT.,  OBWEG.,  DOWN, 72X15 MM, 23.5CM</v>
          </cell>
        </row>
        <row r="11610">
          <cell r="B11610" t="str">
            <v>48-103-80-07</v>
          </cell>
          <cell r="C11610" t="str">
            <v>WEICHTEILHAKEN, ABGEB., 86X17 MM, 23,5CM</v>
          </cell>
          <cell r="D11610" t="str">
            <v>RETRACT.,  OBWEG.,  DOWN, 86X17 MM, 23.5CM</v>
          </cell>
        </row>
        <row r="11611">
          <cell r="B11611" t="str">
            <v>48-107-22-07</v>
          </cell>
          <cell r="C11611" t="str">
            <v>RAMUSHAKEN, OBWEGES., 75X11/15  MM, 24 CM</v>
          </cell>
          <cell r="D11611" t="str">
            <v>RAMUS RETR., OBWEG.,  75X11/15  MM, 24 CM</v>
          </cell>
        </row>
        <row r="11612">
          <cell r="B11612" t="str">
            <v>48-109-22-07</v>
          </cell>
          <cell r="C11612" t="str">
            <v>RAMUSHAKEN, OBWEGES., 75X12/22  MM, 24 CM</v>
          </cell>
          <cell r="D11612" t="str">
            <v>RAMUS RETR., OBWEG.,  75X12/22  MM, 24 CM</v>
          </cell>
        </row>
        <row r="11613">
          <cell r="B11613" t="str">
            <v>48-111-22-07</v>
          </cell>
          <cell r="C11613" t="str">
            <v>WEISHEITSZAHN-HAKEN, OBWEGESER, 24 CM</v>
          </cell>
          <cell r="D11613" t="str">
            <v>ALVEOLAR-RETRACTOR, OBWEGESER, 24 CM</v>
          </cell>
        </row>
        <row r="11614">
          <cell r="B11614" t="str">
            <v>48-113-22-07</v>
          </cell>
          <cell r="C11614" t="str">
            <v>SPINA NASALIS-HAKEN, OBWEGESER, 24 CM</v>
          </cell>
          <cell r="D11614" t="str">
            <v>SPINA NASALIS-RETRACT., OBWEGESER, 24 CM</v>
          </cell>
        </row>
        <row r="11615">
          <cell r="B11615" t="str">
            <v>48-115-01-07</v>
          </cell>
          <cell r="C11615" t="str">
            <v>RAMUSKLEMME, OBWEG.,  KLEIN, RE., 16,5 CM</v>
          </cell>
          <cell r="D11615" t="str">
            <v>RAMUS FCPS., OBWEG.,  SMALL, R., 16.5 CM</v>
          </cell>
        </row>
        <row r="11616">
          <cell r="B11616" t="str">
            <v>48-115-02-07</v>
          </cell>
          <cell r="C11616" t="str">
            <v>RAMUSKLEMME, OBWEG.,  KLEIN, LI., 16,5 CM</v>
          </cell>
          <cell r="D11616" t="str">
            <v>RAMUS FCPS., OBWEG.,  SMALL, L., 16.5 CM</v>
          </cell>
        </row>
        <row r="11617">
          <cell r="B11617" t="str">
            <v>48-117-01-07</v>
          </cell>
          <cell r="C11617" t="str">
            <v>RAMUSKLEMME, OBWEGES., GROSS, RE., 17 CM</v>
          </cell>
          <cell r="D11617" t="str">
            <v>RAMUS FCPS., OBWEG.,  LARGE, R., 17 CM</v>
          </cell>
        </row>
        <row r="11618">
          <cell r="B11618" t="str">
            <v>48-117-02-07</v>
          </cell>
          <cell r="C11618" t="str">
            <v>RAMUSKLEMME, OBWEGES., GROSS, LI., 17 CM</v>
          </cell>
          <cell r="D11618" t="str">
            <v>RAMUS FCPS., OBWEG.,  LARGE, L., 17 CM</v>
          </cell>
        </row>
        <row r="11619">
          <cell r="B11619" t="str">
            <v>48-121-08-07</v>
          </cell>
          <cell r="C11619" t="str">
            <v>PROGENIERINNE, OBWEGESER, 9 MM, 16,5 CM</v>
          </cell>
          <cell r="D11619" t="str">
            <v>CHANNEL  RETR., OBWEGESER, 9 MM, 16.5 CM</v>
          </cell>
        </row>
        <row r="11620">
          <cell r="B11620" t="str">
            <v>48-121-10-07</v>
          </cell>
          <cell r="C11620" t="str">
            <v>PROGENIERINNE, OBWEGESER, 10 MM, 16,5 CM</v>
          </cell>
          <cell r="D11620" t="str">
            <v>CHANNEL  RETR., OBWEGESER, 10 MM, 16.5 CM</v>
          </cell>
        </row>
        <row r="11621">
          <cell r="B11621" t="str">
            <v>48-121-20-07</v>
          </cell>
          <cell r="C11621" t="str">
            <v>PROGENIERINNE 16,5 CM N. RASSE</v>
          </cell>
          <cell r="D11621" t="str">
            <v>RASSE CHANNEL  RETRACTOR 165 MM</v>
          </cell>
        </row>
        <row r="11622">
          <cell r="B11622" t="str">
            <v>48-125-15-07</v>
          </cell>
          <cell r="C11622" t="str">
            <v>KINNHALTER, OBWEGESER, 16,5 MM, 16 CM</v>
          </cell>
          <cell r="D11622" t="str">
            <v>CHIN RETRACTOR, OBWEGES., 16.5 MM, 16 CM</v>
          </cell>
        </row>
        <row r="11623">
          <cell r="B11623" t="str">
            <v>48-130-06-07</v>
          </cell>
          <cell r="C11623" t="str">
            <v>RASPATORIUM, OBWEGESER, 6 MM, 18 CM</v>
          </cell>
          <cell r="D11623" t="str">
            <v>RASPATORY, OBWEGESER, 6 MM, 18 CM</v>
          </cell>
        </row>
        <row r="11624">
          <cell r="B11624" t="str">
            <v>48-130-07-07</v>
          </cell>
          <cell r="C11624" t="str">
            <v>RASPATORIUM, OBWEGESER, 7 MM, 18 CM</v>
          </cell>
          <cell r="D11624" t="str">
            <v>RASPATORY, OBWEGESER, 7 MM, 18 CM</v>
          </cell>
        </row>
        <row r="11625">
          <cell r="B11625" t="str">
            <v>48-130-09-07</v>
          </cell>
          <cell r="C11625" t="str">
            <v>RASPATORIUM, OBWEGESER, 9 MM, 18 CM</v>
          </cell>
          <cell r="D11625" t="str">
            <v>RASPATORY, OBWEGESER, 9 MM, 18 CM</v>
          </cell>
        </row>
        <row r="11626">
          <cell r="B11626" t="str">
            <v>48-130-11-07</v>
          </cell>
          <cell r="C11626" t="str">
            <v>RASPATORIUM, OBWEGESER, 11 MM, 18 CM</v>
          </cell>
          <cell r="D11626" t="str">
            <v>RASPATORY, OBWEGESER, 11 MM, 18 CM</v>
          </cell>
        </row>
        <row r="11627">
          <cell r="B11627" t="str">
            <v>48-132-06-07</v>
          </cell>
          <cell r="C11627" t="str">
            <v>RASPATORIUM, OBWEGES., RUND, 6 MM, 18 CM</v>
          </cell>
          <cell r="D11627" t="str">
            <v>RASPATORY, OBWEGES., ROUND, 6 MM, 18 CM</v>
          </cell>
        </row>
        <row r="11628">
          <cell r="B11628" t="str">
            <v>48-132-07-07</v>
          </cell>
          <cell r="C11628" t="str">
            <v>RASPATORIUM, OBWEGES., RUND, 7 MM, 18 CM</v>
          </cell>
          <cell r="D11628" t="str">
            <v>RASPATORY, OBWEGES., ROUND, 7 MM, 18 CM</v>
          </cell>
        </row>
        <row r="11629">
          <cell r="B11629" t="str">
            <v>48-132-09-07</v>
          </cell>
          <cell r="C11629" t="str">
            <v>RASPATORIUM, OBWEGES., RUND, 9 MM, 18 CM</v>
          </cell>
          <cell r="D11629" t="str">
            <v>RASPATORY, OBWEGES., ROUND, 9 MM, 18 CM</v>
          </cell>
        </row>
        <row r="11630">
          <cell r="B11630" t="str">
            <v>48-132-11-07</v>
          </cell>
          <cell r="C11630" t="str">
            <v>RASPATORIUM, OBWEGES., RUND, 11 MM, 18CM</v>
          </cell>
          <cell r="D11630" t="str">
            <v>RASPATORY, OBWEGES., ROUND, 11 MM, 18CM</v>
          </cell>
        </row>
        <row r="11631">
          <cell r="B11631" t="str">
            <v>48-135-21-07</v>
          </cell>
          <cell r="C11631" t="str">
            <v>ELEVATORIUM, OBWEGESER, 6 MM, 21 CM</v>
          </cell>
          <cell r="D11631" t="str">
            <v>ELEVATOR,  OBWEGESER, 6 MM, 21 CM</v>
          </cell>
        </row>
        <row r="11632">
          <cell r="B11632" t="str">
            <v>48-137-21-07</v>
          </cell>
          <cell r="C11632" t="str">
            <v>RASPATORIUM, OBWEGESER, 6 MM, 21 CM</v>
          </cell>
          <cell r="D11632" t="str">
            <v>RASPATORY, OBWEGESER, 6 MM, 21 CM</v>
          </cell>
        </row>
        <row r="11633">
          <cell r="B11633" t="str">
            <v>48-140-01-07</v>
          </cell>
          <cell r="C11633" t="str">
            <v>STRIPPER,  OBWEGESER, 10 MM, LI., 18 CM</v>
          </cell>
          <cell r="D11633" t="str">
            <v>STRIPPER,  OBWEGESER, 10 MM, LEFT, 18 CM</v>
          </cell>
        </row>
        <row r="11634">
          <cell r="B11634" t="str">
            <v>48-140-02-07</v>
          </cell>
          <cell r="C11634" t="str">
            <v>STRIPPER,  OBWEGESER, 10 MM, RE., 18 CM</v>
          </cell>
          <cell r="D11634" t="str">
            <v>STRIPPER,  OBWEGESER, 10 MM, RIGHT, 18 CM</v>
          </cell>
        </row>
        <row r="11635">
          <cell r="B11635" t="str">
            <v>48-150-01-07</v>
          </cell>
          <cell r="C11635" t="str">
            <v>RAMUSSTRIPPER, OBWEG.,  7,5 MM, 17,5 CM</v>
          </cell>
          <cell r="D11635" t="str">
            <v>RAMUS STRIPPER,  OBWEG.,  7.5 MM, 17.5 CM</v>
          </cell>
        </row>
        <row r="11636">
          <cell r="B11636" t="str">
            <v>48-150-02-07</v>
          </cell>
          <cell r="C11636" t="str">
            <v>RAMUSSTRIPPER, OBWEG.,  11 MM, 17,5 CM</v>
          </cell>
          <cell r="D11636" t="str">
            <v>RAMUS STRIPPER,  OBWEG.,  11 MM, 17.5 CM</v>
          </cell>
        </row>
        <row r="11637">
          <cell r="B11637" t="str">
            <v>48-152-05-07</v>
          </cell>
          <cell r="C11637" t="str">
            <v>RAMUSRASPATORIUM, OBWEG.,  5 MM, 21 CM</v>
          </cell>
          <cell r="D11637" t="str">
            <v>RAMUS RASPATORY, OBWEG.,  5 MM, 21 CM</v>
          </cell>
        </row>
        <row r="11638">
          <cell r="B11638" t="str">
            <v>48-152-07-07</v>
          </cell>
          <cell r="C11638" t="str">
            <v>RAMUSRASPATORIUM, OBWEG.,  7 MM, 21 CM</v>
          </cell>
          <cell r="D11638" t="str">
            <v>RAMUS RASPATORY, OBWEG.,  7 MM, 21 CM</v>
          </cell>
        </row>
        <row r="11639">
          <cell r="B11639" t="str">
            <v>48-152-09-07</v>
          </cell>
          <cell r="C11639" t="str">
            <v>RAMUSRASPATORIUM, OBWEG.,  9 MM, 21 CM</v>
          </cell>
          <cell r="D11639" t="str">
            <v>RAMUS RASPATORY, OBWEG.,  9 MM, 21 CM</v>
          </cell>
        </row>
        <row r="11640">
          <cell r="B11640" t="str">
            <v>48-156-04-07</v>
          </cell>
          <cell r="C11640" t="str">
            <v>SEPTUMOSTEOTOM, OBWEGESER, 4 MM, 19 CM</v>
          </cell>
          <cell r="D11640" t="str">
            <v>SEPTUM OSTEOTOME, OBWEGESER, 4 MM, 19 CM</v>
          </cell>
        </row>
        <row r="11641">
          <cell r="B11641" t="str">
            <v>48-156-06-07</v>
          </cell>
          <cell r="C11641" t="str">
            <v>SEPTUMOSTEOTOM, OBWEGESER, 6 MM, 19 CM</v>
          </cell>
          <cell r="D11641" t="str">
            <v>SEPTUM OSTEOTOME, OBWEGESER, 6 MM, 19 CM</v>
          </cell>
        </row>
        <row r="11642">
          <cell r="B11642" t="str">
            <v>48-156-08-07</v>
          </cell>
          <cell r="C11642" t="str">
            <v>SEPTUMOSTEOTOM, OBWEGESER, 8 MM, 19 CM</v>
          </cell>
          <cell r="D11642" t="str">
            <v>SEPTUM OSTEOTOME, OBWEGESER, 8 MM, 19 CM</v>
          </cell>
        </row>
        <row r="11643">
          <cell r="B11643" t="str">
            <v>48-160-08-04</v>
          </cell>
          <cell r="C11643" t="str">
            <v>KEILOSTEOTOM, OBWEGESER, 8 MM, 22,5 CM</v>
          </cell>
          <cell r="D11643" t="str">
            <v>WEDGE OSTEOTOME, OBWEGES., 8 MM, 22.5 CM</v>
          </cell>
        </row>
        <row r="11644">
          <cell r="B11644" t="str">
            <v>48-160-12-04</v>
          </cell>
          <cell r="C11644" t="str">
            <v>KEILOSTEOTOM, OBWEGESER, 12 MM, 22,5 CM</v>
          </cell>
          <cell r="D11644" t="str">
            <v>WEDGE OSTEOTOME, OBWEG.,  12 MM, 22.5 CM</v>
          </cell>
        </row>
        <row r="11645">
          <cell r="B11645" t="str">
            <v>48-160-16-04</v>
          </cell>
          <cell r="C11645" t="str">
            <v>KEILOSTEOTOM, OBWEGESER, 16 MM, 22,5 CM</v>
          </cell>
          <cell r="D11645" t="str">
            <v>WEDGE OSTEOTOME, OBWEG.,  16 MM, 22.5 CM</v>
          </cell>
        </row>
        <row r="11646">
          <cell r="B11646" t="str">
            <v>48-161-08-04</v>
          </cell>
          <cell r="C11646" t="str">
            <v>Keilosteotom, Obwegeser, 8 mm, 22,5 cm</v>
          </cell>
          <cell r="D11646" t="str">
            <v>Wedge Osteotome, Obweges.,  8 mm, 22.5 cm</v>
          </cell>
        </row>
        <row r="11647">
          <cell r="B11647" t="str">
            <v>48-161-12-04</v>
          </cell>
          <cell r="C11647" t="str">
            <v>Keilosteotom, Obwegeser, 12 mm, 22,5 cm</v>
          </cell>
          <cell r="D11647" t="str">
            <v>Wedge Osteotome, Obweges.,  12 mm, 22.5 c</v>
          </cell>
        </row>
        <row r="11648">
          <cell r="B11648" t="str">
            <v>48-161-16-04</v>
          </cell>
          <cell r="C11648" t="str">
            <v>Keilosteotom, Obwegeser, 16 mm, 22,5 cm</v>
          </cell>
          <cell r="D11648" t="str">
            <v>Wedge Osteotome, Obweges.,  16 mm, 22.5 c</v>
          </cell>
        </row>
        <row r="11649">
          <cell r="B11649" t="str">
            <v>48-162-08-04</v>
          </cell>
          <cell r="C11649" t="str">
            <v>BLATTOSTEOTOM, OBWEGESER, 8 MM, 22,5 CM</v>
          </cell>
          <cell r="D11649" t="str">
            <v>BLADE OSTEOTOME, OBWEGES., 8 MM, 22.5 CM</v>
          </cell>
        </row>
        <row r="11650">
          <cell r="B11650" t="str">
            <v>48-162-12-04</v>
          </cell>
          <cell r="C11650" t="str">
            <v>BLATTOSTEOTOM, OBWEGESER, 12 MM, 22,5 CM</v>
          </cell>
          <cell r="D11650" t="str">
            <v>BLADE OSTEOTOME, OBWEG.,  12 MM, 22.5 CM</v>
          </cell>
        </row>
        <row r="11651">
          <cell r="B11651" t="str">
            <v>48-162-16-04</v>
          </cell>
          <cell r="C11651" t="str">
            <v>BLATTOSTEOTOM, OBWEGESER, 16 MM, 22,5 CM</v>
          </cell>
          <cell r="D11651" t="str">
            <v>BLADE OSTEOTOME, OBWEG.,  16 MM, 22.5 CM</v>
          </cell>
        </row>
        <row r="11652">
          <cell r="B11652" t="str">
            <v>48-162-20-04</v>
          </cell>
          <cell r="C11652" t="str">
            <v>BLATTOSTEOTOM, OBWEGESER, 20 MM, 22,5 CM</v>
          </cell>
          <cell r="D11652" t="str">
            <v>BLADE OSTEOTOME, OBWEG.,  20 MM, 22.5 CM</v>
          </cell>
        </row>
        <row r="11653">
          <cell r="B11653" t="str">
            <v>48-163-01-07</v>
          </cell>
          <cell r="C11653" t="str">
            <v>FRAGMENTKLEMME, OBWEGESER, LI., 21 CM</v>
          </cell>
          <cell r="D11653" t="str">
            <v>FRAGMENT FORCEPS,  OBWEGESER, L., 21 CM</v>
          </cell>
        </row>
        <row r="11654">
          <cell r="B11654" t="str">
            <v>48-163-02-07</v>
          </cell>
          <cell r="C11654" t="str">
            <v>FRAGMENTKLEMME, OBWEGESER, RE., 21 CM</v>
          </cell>
          <cell r="D11654" t="str">
            <v>FRAGMENT FORCEPS,  OBWEGESER, R., 21 CM</v>
          </cell>
        </row>
        <row r="11655">
          <cell r="B11655" t="str">
            <v>48-164-15-07</v>
          </cell>
          <cell r="C11655" t="str">
            <v>Knochenspreizer, Obwegeser, 15 mm, 22cm</v>
          </cell>
          <cell r="D11655" t="str">
            <v>Bone Separator,  Obwegeser, 15 mm, 22 cm</v>
          </cell>
        </row>
        <row r="11656">
          <cell r="B11656" t="str">
            <v>48-164-20-07</v>
          </cell>
          <cell r="C11656" t="str">
            <v>Knochenspreizer, Obwegeser, 20 mm, 22cm</v>
          </cell>
          <cell r="D11656" t="str">
            <v>Bone Separator,  Obwegeser, 20 mm, 22 cm</v>
          </cell>
        </row>
        <row r="11657">
          <cell r="B11657" t="str">
            <v>48-165-08-04</v>
          </cell>
          <cell r="C11657" t="str">
            <v>Blattosteotom, Obwegeser, 8 mm, 22,5 cm</v>
          </cell>
          <cell r="D11657" t="str">
            <v>Blade Osteotome, Obweges.,  8 mm, 22.5 cm</v>
          </cell>
        </row>
        <row r="11658">
          <cell r="B11658" t="str">
            <v>48-165-12-04</v>
          </cell>
          <cell r="C11658" t="str">
            <v>Blattosteotom, Obwegeser, 12 mm, 22,5 cm</v>
          </cell>
          <cell r="D11658" t="str">
            <v>Blade Osteotome, Obweges.,  12 mm, 22.5 c</v>
          </cell>
        </row>
        <row r="11659">
          <cell r="B11659" t="str">
            <v>48-165-16-04</v>
          </cell>
          <cell r="C11659" t="str">
            <v>Blattosteotom, Obwegeser, 16 mm, 22,5 cm</v>
          </cell>
          <cell r="D11659" t="str">
            <v>Blade Osteotome, Obweges.,  16 mm, 22.5 c</v>
          </cell>
        </row>
        <row r="11660">
          <cell r="B11660" t="str">
            <v>48-165-20-04</v>
          </cell>
          <cell r="C11660" t="str">
            <v>Blattosteotom, Obwegeser, 20 mm, 22,5 cm</v>
          </cell>
          <cell r="D11660" t="str">
            <v>Blade Osteotome, Obweges.,  20 mm, 22.5 c</v>
          </cell>
        </row>
        <row r="11661">
          <cell r="B11661" t="str">
            <v>48-166-08-07</v>
          </cell>
          <cell r="C11661" t="str">
            <v>OSTEOTOM, OBWEGESER, GEB., 8 MM, 23 CM</v>
          </cell>
          <cell r="D11661" t="str">
            <v>OSTEOTOME, OBWEGESER, CVD., 8 MM, 23 CM</v>
          </cell>
        </row>
        <row r="11662">
          <cell r="B11662" t="str">
            <v>48-166-11-07</v>
          </cell>
          <cell r="C11662" t="str">
            <v>OSTEOTOM, OBWEGESER, GEB., 11 MM, 23 CM</v>
          </cell>
          <cell r="D11662" t="str">
            <v>OSTEOTOME, OBWEGESER, CVD., 11 MM, 23 CM</v>
          </cell>
        </row>
        <row r="11663">
          <cell r="B11663" t="str">
            <v>48-167-08-07</v>
          </cell>
          <cell r="C11663" t="str">
            <v>OSTEOTOM, ELASTISCH, GEB., 8 MM, 21 CM</v>
          </cell>
          <cell r="D11663" t="str">
            <v>OSTEOTOME, ELASTIC, CVD., 8 MM, 21 CM</v>
          </cell>
        </row>
        <row r="11664">
          <cell r="B11664" t="str">
            <v>48-167-11-07</v>
          </cell>
          <cell r="C11664" t="str">
            <v>OSTEOTOM, ELASTISCH, GEB., 11 MM, 21 CM</v>
          </cell>
          <cell r="D11664" t="str">
            <v>OSTEOTOME, ELASTIC, CVD., 11 MM, 21 CM</v>
          </cell>
        </row>
        <row r="11665">
          <cell r="B11665" t="str">
            <v>48-168-03-07</v>
          </cell>
          <cell r="C11665" t="str">
            <v>OSTEOTOM, OBWEGESER, 3 MM, 15,5 CM</v>
          </cell>
          <cell r="D11665" t="str">
            <v>OSTEOTOME, OBWEGESER, 3 MM, 15.5 CM</v>
          </cell>
        </row>
        <row r="11666">
          <cell r="B11666" t="str">
            <v>48-168-04-07</v>
          </cell>
          <cell r="C11666" t="str">
            <v>OSTEOTOM, OBWEGESER, 4 MM, 15,5 CM</v>
          </cell>
          <cell r="D11666" t="str">
            <v>OSTEOTOME, OBWEGESER, 4 MM, 15.5 CM</v>
          </cell>
        </row>
        <row r="11667">
          <cell r="B11667" t="str">
            <v>48-168-06-07</v>
          </cell>
          <cell r="C11667" t="str">
            <v>OSTEOTOM, OBWEGESER, 6,5 MM, 15,5 CM</v>
          </cell>
          <cell r="D11667" t="str">
            <v>OSTEOTOME, OBWEGESER, 6.5 MM, 15.5 CM</v>
          </cell>
        </row>
        <row r="11668">
          <cell r="B11668" t="str">
            <v>48-169-10-07</v>
          </cell>
          <cell r="C11668" t="str">
            <v>MI OS7, Osteotom,  groß, gebogen,  10 mm,</v>
          </cell>
          <cell r="D11668" t="str">
            <v>MI OS7, Osteotome, lg, cvd, 10 mm, 23 cm</v>
          </cell>
        </row>
        <row r="11669">
          <cell r="B11669" t="str">
            <v>48-170-23-07</v>
          </cell>
          <cell r="C11669" t="str">
            <v>MAXILLA-MOBILISATOR, 12 MM, 23 CM</v>
          </cell>
          <cell r="D11669" t="str">
            <v>MAXILLARY-MOBILIZER, 12 MM, 23 CM</v>
          </cell>
        </row>
        <row r="11670">
          <cell r="B11670" t="str">
            <v>48-175-15-07</v>
          </cell>
          <cell r="C11670" t="str">
            <v>MANDIBULAAHLE, OBWEGESER, 15 CM</v>
          </cell>
          <cell r="D11670" t="str">
            <v>MANDIBULA-AWL, OBWEGESER, 15 CM</v>
          </cell>
        </row>
        <row r="11671">
          <cell r="B11671" t="str">
            <v>48-175-17-07</v>
          </cell>
          <cell r="C11671" t="str">
            <v>MANDIBULAAHLE, OBWEGESER, 17,5 CM</v>
          </cell>
          <cell r="D11671" t="str">
            <v>MANDIBULA-AWL, OBWEGESER, 17.5 CM</v>
          </cell>
        </row>
        <row r="11672">
          <cell r="B11672" t="str">
            <v>48-177-24-07</v>
          </cell>
          <cell r="C11672" t="str">
            <v>ZYGOMAAHLE, OBWEGESER, 24 CM</v>
          </cell>
          <cell r="D11672" t="str">
            <v>ZYGOMATIC AWL, OBWEGESER, 24 CM</v>
          </cell>
        </row>
        <row r="11673">
          <cell r="B11673" t="str">
            <v>48-192-01-07</v>
          </cell>
          <cell r="C11673" t="str">
            <v>FLACHZANGE, OBWEGESER, 12,5 CM</v>
          </cell>
          <cell r="D11673" t="str">
            <v>FLAT NOSE PLIERS, OBWEGESER, 12.5 CM</v>
          </cell>
        </row>
        <row r="11674">
          <cell r="B11674" t="str">
            <v>48-192-02-07</v>
          </cell>
          <cell r="C11674" t="str">
            <v>FLACHZANGE, OBWEGESER, 13,0 CM</v>
          </cell>
          <cell r="D11674" t="str">
            <v>FLAT NOSE PLIERS, OBWEGESER, 13.0 CM</v>
          </cell>
        </row>
        <row r="11675">
          <cell r="B11675" t="str">
            <v>48-192-03-07</v>
          </cell>
          <cell r="C11675" t="str">
            <v>FLACHZANGE, OBWEGESER, 15,0 CM</v>
          </cell>
          <cell r="D11675" t="str">
            <v>FLAT NOSE PLIERS, OBWEGESER, 15.0 CM</v>
          </cell>
        </row>
        <row r="11676">
          <cell r="B11676" t="str">
            <v>48-194-13-07</v>
          </cell>
          <cell r="C11676" t="str">
            <v>FLACHZANGE, OBWEGESER, 13 CM</v>
          </cell>
          <cell r="D11676" t="str">
            <v>FLAT NOSE PLIERS, OBWEGESER, 13 CM</v>
          </cell>
        </row>
        <row r="11677">
          <cell r="B11677" t="str">
            <v>48-196-14-07</v>
          </cell>
          <cell r="C11677" t="str">
            <v>TC-DRAHTZWIRBELZANGE, OBWEGESER, 14 CM</v>
          </cell>
          <cell r="D11677" t="str">
            <v>TC-WIRE TWISTING  FCPS., OBWEGESER, 14 CM</v>
          </cell>
        </row>
        <row r="11678">
          <cell r="B11678" t="str">
            <v>48-220-01-07</v>
          </cell>
          <cell r="C11678" t="str">
            <v>KNOCHENFORMZANGE, KONVEX/KONKAV, 20 CM</v>
          </cell>
          <cell r="D11678" t="str">
            <v>CONTOUR.  FORCEPS,  CONVEX/CONCAVE, 20 CM</v>
          </cell>
        </row>
        <row r="11679">
          <cell r="B11679" t="str">
            <v>48-220-02-07</v>
          </cell>
          <cell r="C11679" t="str">
            <v>KNOCHENFORMZANGE, KONKAV/KONVEX, 20 CM</v>
          </cell>
          <cell r="D11679" t="str">
            <v>CONTOUR.  FORCEPS,  CONCAVE/CONVEX, 20 CM</v>
          </cell>
        </row>
        <row r="11680">
          <cell r="B11680" t="str">
            <v>48-220-03-07</v>
          </cell>
          <cell r="C11680" t="str">
            <v>KNOCHENFORMZANGE, FLACH, 20 CM</v>
          </cell>
          <cell r="D11680" t="str">
            <v>BONE CONTOURING FORCEPS,  FLAT, 20 CM</v>
          </cell>
        </row>
        <row r="11681">
          <cell r="B11681" t="str">
            <v>48-250-19-07</v>
          </cell>
          <cell r="C11681" t="str">
            <v>HAUTHÄKCHEN, TESSIER, SCHARF, 19 CM</v>
          </cell>
          <cell r="D11681" t="str">
            <v>SKIN HOOK, TESSIER, SHARP, 19 CM</v>
          </cell>
        </row>
        <row r="11682">
          <cell r="B11682" t="str">
            <v>48-252-13-07</v>
          </cell>
          <cell r="C11682" t="str">
            <v>ATR.-KOPFHAUTKLEMME, TESSIER, 13,5 CM</v>
          </cell>
          <cell r="D11682" t="str">
            <v>ATR. SCALP FORCEPS,  TESSIER, 13.5 CM</v>
          </cell>
        </row>
        <row r="11683">
          <cell r="B11683" t="str">
            <v>48-261-30-07</v>
          </cell>
          <cell r="C11683" t="str">
            <v>NASENSPEKULUM, TESSIER, 35 MM, 13,5 CM</v>
          </cell>
          <cell r="D11683" t="str">
            <v>NASAL SPECULUM, TESSIER, 35 MM, 13.5 CM</v>
          </cell>
        </row>
        <row r="11684">
          <cell r="B11684" t="str">
            <v>48-261-45-07</v>
          </cell>
          <cell r="C11684" t="str">
            <v>NASENSPEKULUM, TESSIER, 45 MM, 14 CM</v>
          </cell>
          <cell r="D11684" t="str">
            <v>NASAL SPECULUM, TESSIER, 45 MM, 14 CM</v>
          </cell>
        </row>
        <row r="11685">
          <cell r="B11685" t="str">
            <v>48-261-70-07</v>
          </cell>
          <cell r="C11685" t="str">
            <v>NASENSPEKULUM, TESSIER, 70 MM, 15,5 CM</v>
          </cell>
          <cell r="D11685" t="str">
            <v>NASAL SPECULUM, TESSIER, 70 MM, 15.5 CM</v>
          </cell>
        </row>
        <row r="11686">
          <cell r="B11686" t="str">
            <v>48-270-02-07</v>
          </cell>
          <cell r="C11686" t="str">
            <v>OSTEOTOM, TESSIER, GER., 2 MM, 16 CM</v>
          </cell>
          <cell r="D11686" t="str">
            <v>OSTEOTOME, TESSIER, STR., 2 MM, 16 CM</v>
          </cell>
        </row>
        <row r="11687">
          <cell r="B11687" t="str">
            <v>48-270-03-07</v>
          </cell>
          <cell r="C11687" t="str">
            <v>OSTEOTOM, TESSIER, GER., 3 MM, 16 CM</v>
          </cell>
          <cell r="D11687" t="str">
            <v>OSTEOTOME, TESSIER, STR., 3 MM, 16 CM</v>
          </cell>
        </row>
        <row r="11688">
          <cell r="B11688" t="str">
            <v>48-270-05-07</v>
          </cell>
          <cell r="C11688" t="str">
            <v>OSTEOTOM, TESSIER, GER., 5 MM, 16 CM</v>
          </cell>
          <cell r="D11688" t="str">
            <v>OSTEOTOME, TESSIER, STR., 5 MM, 16 CM</v>
          </cell>
        </row>
        <row r="11689">
          <cell r="B11689" t="str">
            <v>48-270-07-07</v>
          </cell>
          <cell r="C11689" t="str">
            <v>OSTEOTOM, TESSIER, GER., 7 MM, 16 CM</v>
          </cell>
          <cell r="D11689" t="str">
            <v>OSTEOTOME, TESSIER, STR., 7 MM, 16 CM</v>
          </cell>
        </row>
        <row r="11690">
          <cell r="B11690" t="str">
            <v>48-270-10-07</v>
          </cell>
          <cell r="C11690" t="str">
            <v>OSTEOTOM, TESSIER, GER., 10 MM, 16 CM</v>
          </cell>
          <cell r="D11690" t="str">
            <v>OSTEOTOME, TESSIER, STR., 10 MM, 16 CM</v>
          </cell>
        </row>
        <row r="11691">
          <cell r="B11691" t="str">
            <v>48-270-14-07</v>
          </cell>
          <cell r="C11691" t="str">
            <v>OSTEOTOM, TESSIER, GER., 14 MM, 16 CM</v>
          </cell>
          <cell r="D11691" t="str">
            <v>OSTEOTOME, TESSIER, STR., 14 MM, 16 CM</v>
          </cell>
        </row>
        <row r="11692">
          <cell r="B11692" t="str">
            <v>48-270-16-07</v>
          </cell>
          <cell r="C11692" t="str">
            <v>OSTEOTOM, TESSIER, GER., 16 MM, 16 CM</v>
          </cell>
          <cell r="D11692" t="str">
            <v>OSTEOTOME, TESSIER, STR., 16 MM, 16 CM</v>
          </cell>
        </row>
        <row r="11693">
          <cell r="B11693" t="str">
            <v>48-271-05-07</v>
          </cell>
          <cell r="C11693" t="str">
            <v>OSTEOTOM, TESSIER, GEB., 5 MM, 16 CM</v>
          </cell>
          <cell r="D11693" t="str">
            <v>OSTEOTOME, TESSIER, CVD., 5 MM, 16 CM</v>
          </cell>
        </row>
        <row r="11694">
          <cell r="B11694" t="str">
            <v>48-271-07-07</v>
          </cell>
          <cell r="C11694" t="str">
            <v>OSTEOTOM, TESSIER, GEB., 7 MM, 16 CM</v>
          </cell>
          <cell r="D11694" t="str">
            <v>OSTEOTOME, TESSIER, CVD., 7 MM, 16 CM</v>
          </cell>
        </row>
        <row r="11695">
          <cell r="B11695" t="str">
            <v>48-271-10-07</v>
          </cell>
          <cell r="C11695" t="str">
            <v>OSTEOTOM, TESSIER, GEB., 10 MM, 16 CM</v>
          </cell>
          <cell r="D11695" t="str">
            <v>OSTEOTOME, TESSIER, CVD., 10 MM, 16 CM</v>
          </cell>
        </row>
        <row r="11696">
          <cell r="B11696" t="str">
            <v>48-272-18-07</v>
          </cell>
          <cell r="C11696" t="str">
            <v>OSTEOTOM, TESSIER, GER., 18 MM, 16 CM</v>
          </cell>
          <cell r="D11696" t="str">
            <v>OSTEOTOME, TESSIER, STR., 18 MM, 16 CM</v>
          </cell>
        </row>
        <row r="11697">
          <cell r="B11697" t="str">
            <v>48-273-10-07</v>
          </cell>
          <cell r="C11697" t="str">
            <v>OSTEOTOM, TESSIER, GEB., 10 MM, 18 CM</v>
          </cell>
          <cell r="D11697" t="str">
            <v>OSTEOTOME, TESSIER, CVD., 10 MM, 18 CM</v>
          </cell>
        </row>
        <row r="11698">
          <cell r="B11698" t="str">
            <v>48-274-10-07</v>
          </cell>
          <cell r="C11698" t="str">
            <v>OSTEOTOM, TESSIER, GER., 10 MM, 20 CM</v>
          </cell>
          <cell r="D11698" t="str">
            <v>OSTEOTOME, TESSIER, STR., 10 MM, 20 CM</v>
          </cell>
        </row>
        <row r="11699">
          <cell r="B11699" t="str">
            <v>48-274-15-07</v>
          </cell>
          <cell r="C11699" t="str">
            <v>OSTEOTOM, TESSIER, GER., 15 MM, 20 CM</v>
          </cell>
          <cell r="D11699" t="str">
            <v>OSTEOTOME, TESSIER, STR., 15 MM, 20 CM</v>
          </cell>
        </row>
        <row r="11700">
          <cell r="B11700" t="str">
            <v>48-274-20-07</v>
          </cell>
          <cell r="C11700" t="str">
            <v>OSTEOTOM, TESSIER, GER., 20 MM, 20 CM</v>
          </cell>
          <cell r="D11700" t="str">
            <v>OSTEOTOME, TESSIER, STR., 20 MM, 20 CM</v>
          </cell>
        </row>
        <row r="11701">
          <cell r="B11701" t="str">
            <v>48-274-30-07</v>
          </cell>
          <cell r="C11701" t="str">
            <v>OSTEOTOM, TESSIER, GER., 30 MM, 20 CM</v>
          </cell>
          <cell r="D11701" t="str">
            <v>OSTEOTOME, TESSIER, STR., 30 MM, 20 CM</v>
          </cell>
        </row>
        <row r="11702">
          <cell r="B11702" t="str">
            <v>48-275-10-07</v>
          </cell>
          <cell r="C11702" t="str">
            <v>OSTEOTOM, TESSIER, GEB., 10 MM, 20 CM</v>
          </cell>
          <cell r="D11702" t="str">
            <v>OSTEOTOME, TESSIER, CVD., 10 MM, 20 CM</v>
          </cell>
        </row>
        <row r="11703">
          <cell r="B11703" t="str">
            <v>48-275-15-07</v>
          </cell>
          <cell r="C11703" t="str">
            <v>OSTEOTOM, TESSIER, GEB., 15 MM, 20 CM</v>
          </cell>
          <cell r="D11703" t="str">
            <v>OSTEOTOME, TESSIER, CVD., 15 MM, 20 CM</v>
          </cell>
        </row>
        <row r="11704">
          <cell r="B11704" t="str">
            <v>48-276-10-07</v>
          </cell>
          <cell r="C11704" t="str">
            <v>OSTEOTOM, TESSIER, GER., 10 MM, 16 CM</v>
          </cell>
          <cell r="D11704" t="str">
            <v>OSTEOTOME, TESSIER, STR., 10 MM, 16 CM</v>
          </cell>
        </row>
        <row r="11705">
          <cell r="B11705" t="str">
            <v>48-276-15-07</v>
          </cell>
          <cell r="C11705" t="str">
            <v>OSTEOTOM, TESSIER, GER., 15 MM, 16 CM</v>
          </cell>
          <cell r="D11705" t="str">
            <v>OSTEOTOME, TESSIER, STR., 15 MM, 16 CM</v>
          </cell>
        </row>
        <row r="11706">
          <cell r="B11706" t="str">
            <v>48-277-10-07</v>
          </cell>
          <cell r="C11706" t="str">
            <v>OSTEOTOM, TESSIER, GEB., 10 MM, 16 CM</v>
          </cell>
          <cell r="D11706" t="str">
            <v>OSTEOTOME, TESSIER, CVD., 10 MM, 16 CM</v>
          </cell>
        </row>
        <row r="11707">
          <cell r="B11707" t="str">
            <v>48-277-15-07</v>
          </cell>
          <cell r="C11707" t="str">
            <v>OSTEOTOM, TESSIER, GEB., 15 MM, 16 CM</v>
          </cell>
          <cell r="D11707" t="str">
            <v>OSTEOTOME, TESSIER, CVD., 15 MM, 16 CM</v>
          </cell>
        </row>
        <row r="11708">
          <cell r="B11708" t="str">
            <v>48-285-20-07</v>
          </cell>
          <cell r="C11708" t="str">
            <v>THORAXHAKEN, TESSIER, 90X22 MM, 21 CM</v>
          </cell>
          <cell r="D11708" t="str">
            <v>THORAX RET., TESSIER, 90X22 MM, 21 CM</v>
          </cell>
        </row>
        <row r="11709">
          <cell r="B11709" t="str">
            <v>48-285-28-07</v>
          </cell>
          <cell r="C11709" t="str">
            <v>THORAXHAKEN, TESSIER, 120X28 MM, 26,5 CM</v>
          </cell>
          <cell r="D11709" t="str">
            <v>THOR. RETR., TESSIER, 120X28 MM, 26.5 CM</v>
          </cell>
        </row>
        <row r="11710">
          <cell r="B11710" t="str">
            <v>48-291-15-07</v>
          </cell>
          <cell r="C11710" t="str">
            <v>KNOCHENHALTEZANGE, 5 MM, 16,5 CM</v>
          </cell>
          <cell r="D11710" t="str">
            <v>BONE HOLD. FCPS., TESSIER, 5 MM, 16.5 CM</v>
          </cell>
        </row>
        <row r="11711">
          <cell r="B11711" t="str">
            <v>48-293-19-07</v>
          </cell>
          <cell r="C11711" t="str">
            <v>KNOCHENHALTEZANGE, 5 MM, 18 CM</v>
          </cell>
          <cell r="D11711" t="str">
            <v>BONE HOLD. FORCEPS,  TESSIER, 5 MM, 18 CM</v>
          </cell>
        </row>
        <row r="11712">
          <cell r="B11712" t="str">
            <v>48-297-19-07</v>
          </cell>
          <cell r="C11712" t="str">
            <v>Knochenschneidezange n. Tessier</v>
          </cell>
          <cell r="D11712" t="str">
            <v>Bone cutting forceps acc. to Tessier</v>
          </cell>
        </row>
        <row r="11713">
          <cell r="B11713" t="str">
            <v>48-300-20-07</v>
          </cell>
          <cell r="C11713" t="str">
            <v>KNOCHENSPLITTERZANGE, TESSIER,18,5 CM</v>
          </cell>
          <cell r="D11713" t="str">
            <v>BONE CUTTING  FORCEPS,  TESSIER.18.5 CM</v>
          </cell>
        </row>
        <row r="11714">
          <cell r="B11714" t="str">
            <v>48-301-21-07</v>
          </cell>
          <cell r="C11714" t="str">
            <v>KNOCHENSPLITTERZANGE, TESSIER, 22 CM</v>
          </cell>
          <cell r="D11714" t="str">
            <v>BONE CUTTING  FORCEPS,  TESSIER, 22 CM</v>
          </cell>
        </row>
        <row r="11715">
          <cell r="B11715" t="str">
            <v>48-303-22-07</v>
          </cell>
          <cell r="C11715" t="str">
            <v>KNOCHENFORMZANGE, ABGEW. , 11 MM, 22 CM</v>
          </cell>
          <cell r="D11715" t="str">
            <v>BONE SHAPING  FCPS., ANG. , 11 MM, 22 CM</v>
          </cell>
        </row>
        <row r="11716">
          <cell r="B11716" t="str">
            <v>48-311-01-07</v>
          </cell>
          <cell r="C11716" t="str">
            <v>PERIOSTRASPATORIUM, 30°, 6 MM, 18 CM</v>
          </cell>
          <cell r="D11716" t="str">
            <v>RASPATORY, TESSIER, 30°, 6 MM, 18 CM</v>
          </cell>
        </row>
        <row r="11717">
          <cell r="B11717" t="str">
            <v>48-311-02-07</v>
          </cell>
          <cell r="C11717" t="str">
            <v>PERIOSTRASPATORIUM, 60°, 6 MM, 18 CM</v>
          </cell>
          <cell r="D11717" t="str">
            <v>RASPATORY, TESSIER, 60°, 6 MM, 18 CM</v>
          </cell>
        </row>
        <row r="11718">
          <cell r="B11718" t="str">
            <v>48-313-01-07</v>
          </cell>
          <cell r="C11718" t="str">
            <v>PERIOSTRASPATORIUM, 12 MM, 20,5 CM</v>
          </cell>
          <cell r="D11718" t="str">
            <v>RASPATORY, TESSIER, 12 MM, 20.5 CM</v>
          </cell>
        </row>
        <row r="11719">
          <cell r="B11719" t="str">
            <v>48-313-02-07</v>
          </cell>
          <cell r="C11719" t="str">
            <v>PERIOSTRASPATORIUM, 14 MM, 20,5 CM</v>
          </cell>
          <cell r="D11719" t="str">
            <v>RASPATORY, TESSIER, 14 MM, 20.5 CM</v>
          </cell>
        </row>
        <row r="11720">
          <cell r="B11720" t="str">
            <v>48-316-21-07</v>
          </cell>
          <cell r="C11720" t="str">
            <v>NASENAHLE, TESSIER, Ø 2,5 MM, 21 CM</v>
          </cell>
          <cell r="D11720" t="str">
            <v>NASAL AWL, TESSIER, Ø 2.5 MM, 21 CM</v>
          </cell>
        </row>
        <row r="11721">
          <cell r="B11721" t="str">
            <v>48-318-16-07</v>
          </cell>
          <cell r="C11721" t="str">
            <v>PERFORATOR, TESSIER, Ø 4,5 MM, 16,5 CM</v>
          </cell>
          <cell r="D11721" t="str">
            <v>PERFORATOR, TESSIER, Ø 4.5 MM, 16.5 CM</v>
          </cell>
        </row>
        <row r="11722">
          <cell r="B11722" t="str">
            <v>48-320-14-07</v>
          </cell>
          <cell r="C11722" t="str">
            <v>TROKAR,  TESSIER, Ø 2,0 MM, 14 CM</v>
          </cell>
          <cell r="D11722" t="str">
            <v>TROCAR,  TESSIER, Ø 2.0 MM, 14 CM</v>
          </cell>
        </row>
        <row r="11723">
          <cell r="B11723" t="str">
            <v>48-330-01-07</v>
          </cell>
          <cell r="C11723" t="str">
            <v>SPATEL, TESSIER, BIEGS., 10/12 MM, 22 CM</v>
          </cell>
          <cell r="D11723" t="str">
            <v>SPATULA,  TESSIER, MALL., 10/12 MM, 22 CM</v>
          </cell>
        </row>
        <row r="11724">
          <cell r="B11724" t="str">
            <v>48-330-02-07</v>
          </cell>
          <cell r="C11724" t="str">
            <v>SPATEL, TESSIER, BIEGS., 15/17 MM, 22 CM</v>
          </cell>
          <cell r="D11724" t="str">
            <v>SPATULA,  TESSIER, MALL., 15/17 MM, 22 CM</v>
          </cell>
        </row>
        <row r="11725">
          <cell r="B11725" t="str">
            <v>48-330-03-07</v>
          </cell>
          <cell r="C11725" t="str">
            <v>SPATEL, TESSIER, BIEGS., 20/22 MM, 22 CM</v>
          </cell>
          <cell r="D11725" t="str">
            <v>SPATULA,  TESSIER, MALL., 20/22 MM, 22 CM</v>
          </cell>
        </row>
        <row r="11726">
          <cell r="B11726" t="str">
            <v>48-331-01-07</v>
          </cell>
          <cell r="C11726" t="str">
            <v>WEICHTEILHAKEN, TESSIER, 19X7/29X10 MM</v>
          </cell>
          <cell r="D11726" t="str">
            <v>SOFT TISS. RETR., TESSIER, 19X7/29X10 MM</v>
          </cell>
        </row>
        <row r="11727">
          <cell r="B11727" t="str">
            <v>48-331-02-07</v>
          </cell>
          <cell r="C11727" t="str">
            <v>WEICHTEILHAKEN, TESSIER, 20X13/30X15 MM</v>
          </cell>
          <cell r="D11727" t="str">
            <v>SOFT TISS. RET., TESSIER, 20X13/30X15 MM</v>
          </cell>
        </row>
        <row r="11728">
          <cell r="B11728" t="str">
            <v>48-331-03-07</v>
          </cell>
          <cell r="C11728" t="str">
            <v>WEICHTEILHAKEN, TESSIER, 28X13/36X15 MM</v>
          </cell>
          <cell r="D11728" t="str">
            <v>SOFT TISS. RET., TESSIER, 28X13/36X15 MM</v>
          </cell>
        </row>
        <row r="11729">
          <cell r="B11729" t="str">
            <v>48-331-04-07</v>
          </cell>
          <cell r="C11729" t="str">
            <v>WEICHTEILHAKEN, TESSIER, 33X12/43X15 MM</v>
          </cell>
          <cell r="D11729" t="str">
            <v>SOFT TISS. RET., TESSIER, 33X12/43X15 MM</v>
          </cell>
        </row>
        <row r="11730">
          <cell r="B11730" t="str">
            <v>48-331-05-07</v>
          </cell>
          <cell r="C11730" t="str">
            <v>WEICHTEILHAKEN, TESSIER, 50X12/68X16 MM</v>
          </cell>
          <cell r="D11730" t="str">
            <v>SOFT TISS. RET., TESSIER, 50X12/68X16 MM</v>
          </cell>
        </row>
        <row r="11731">
          <cell r="B11731" t="str">
            <v>48-333-03-07</v>
          </cell>
          <cell r="C11731" t="str">
            <v>WEICHTEILHAKEN, TESSIER, 30X12/38X16 MM</v>
          </cell>
          <cell r="D11731" t="str">
            <v>SOFT TISS. RET., TESSIER, 30X12/38X16 MM</v>
          </cell>
        </row>
        <row r="11732">
          <cell r="B11732" t="str">
            <v>48-333-04-07</v>
          </cell>
          <cell r="C11732" t="str">
            <v>WEICHTEILHAKEN, TESSIER, 35X12/45X16 MM</v>
          </cell>
          <cell r="D11732" t="str">
            <v>SOFT TISS. RET., TESSIER, 35X12/45X16 MM</v>
          </cell>
        </row>
        <row r="11733">
          <cell r="B11733" t="str">
            <v>48-333-05-07</v>
          </cell>
          <cell r="C11733" t="str">
            <v>WEICHTEILHAKEN, TESSIER, 50X12/70X16 MM</v>
          </cell>
          <cell r="D11733" t="str">
            <v>SOFT TISS. RET., TESSIER, 50X12/70X16 MM</v>
          </cell>
        </row>
        <row r="11734">
          <cell r="B11734" t="str">
            <v>48-340-18-07</v>
          </cell>
          <cell r="C11734" t="str">
            <v>SEPTUMOSTEOTOM, TESSIER, GER., 19 CM</v>
          </cell>
          <cell r="D11734" t="str">
            <v>SEPTUM OSTEOTOME, TESSIER, STR., 19 CM</v>
          </cell>
        </row>
        <row r="11735">
          <cell r="B11735" t="str">
            <v>48-341-18-07</v>
          </cell>
          <cell r="C11735" t="str">
            <v>OSTEOTOM, TESSIER, GEB., 10 MM, 18 CM</v>
          </cell>
          <cell r="D11735" t="str">
            <v>OSTEOTOME, TESSIER, CVD., 10 MM, 18 CM</v>
          </cell>
        </row>
        <row r="11736">
          <cell r="B11736" t="str">
            <v>48-345-18-07</v>
          </cell>
          <cell r="C11736" t="str">
            <v>TESSIER-KAWAMOTO OSTEOTOM,  9MM, 18CM</v>
          </cell>
          <cell r="D11736" t="str">
            <v>TESSIER-KAWAMOTO OSTEOTOME, 9MM, 18CM</v>
          </cell>
        </row>
        <row r="11737">
          <cell r="B11737" t="str">
            <v>48-350-24-07</v>
          </cell>
          <cell r="C11737" t="str">
            <v>GAUMEN-OSTEOTOM, 22 CM</v>
          </cell>
          <cell r="D11737" t="str">
            <v>PALATAL  OSTEOTOME, 22 CM</v>
          </cell>
        </row>
        <row r="11738">
          <cell r="B11738" t="str">
            <v>48-351-13-07</v>
          </cell>
          <cell r="C11738" t="str">
            <v>UNTERMINIERSCHERE, TESSIER, GEB., 13 CM</v>
          </cell>
          <cell r="D11738" t="str">
            <v>UNDERMINING SCISS., TESSIER, CVD., 13 CM</v>
          </cell>
        </row>
        <row r="11739">
          <cell r="B11739" t="str">
            <v>48-352-14-07</v>
          </cell>
          <cell r="C11739" t="str">
            <v>TC-SCHERE, TESSIER, SPITZ, GER., 15 CM</v>
          </cell>
          <cell r="D11739" t="str">
            <v>TC-SCISSORS, TESSIER, SH/SH, STR., 15 CM</v>
          </cell>
        </row>
        <row r="11740">
          <cell r="B11740" t="str">
            <v>48-354-16-07</v>
          </cell>
          <cell r="C11740" t="str">
            <v>TC-SCHERE, TESSIER, STPF., GER., 16,5 CM</v>
          </cell>
          <cell r="D11740" t="str">
            <v>TC-SCISS.,  TESSIER, BL/BL, STR., 16.5 CM</v>
          </cell>
        </row>
        <row r="11741">
          <cell r="B11741" t="str">
            <v>48-356-16-07</v>
          </cell>
          <cell r="C11741" t="str">
            <v>DRAHTSCHERE, TESSIER, GER., SPITZ, 12 CM</v>
          </cell>
          <cell r="D11741" t="str">
            <v>WIRE CUTTER, TESSIER, STR., SH/SH, 12 CM</v>
          </cell>
        </row>
        <row r="11742">
          <cell r="B11742" t="str">
            <v>48-360-01-07</v>
          </cell>
          <cell r="C11742" t="str">
            <v>REPOSITIONSZANGE, LI., KINDER, 23 CM</v>
          </cell>
          <cell r="D11742" t="str">
            <v>REPOSITION FORCEPS,  L., CHILD, 23 CM</v>
          </cell>
        </row>
        <row r="11743">
          <cell r="B11743" t="str">
            <v>48-360-02-07</v>
          </cell>
          <cell r="C11743" t="str">
            <v>REPOSITIONSZANGE, LI., ERWACHS., 23 CM</v>
          </cell>
          <cell r="D11743" t="str">
            <v>REPOSITION FORCEPS,  L., ADULT, 23 CM</v>
          </cell>
        </row>
        <row r="11744">
          <cell r="B11744" t="str">
            <v>48-362-01-07</v>
          </cell>
          <cell r="C11744" t="str">
            <v>REPOSITIONSZANGE, RE., KINDER, 23 CM</v>
          </cell>
          <cell r="D11744" t="str">
            <v>REPOSITION FORCEPS,  R., CHILD, 23 CM</v>
          </cell>
        </row>
        <row r="11745">
          <cell r="B11745" t="str">
            <v>48-362-02-07</v>
          </cell>
          <cell r="C11745" t="str">
            <v>REPOSITIONSZANGE, RE., ERWACHS., 23 CM</v>
          </cell>
          <cell r="D11745" t="str">
            <v>REPOSITION FORCEPS,  R., ADULT, 23 CM</v>
          </cell>
        </row>
        <row r="11746">
          <cell r="B11746" t="str">
            <v>48-370-26-07</v>
          </cell>
          <cell r="C11746" t="str">
            <v>SCHIEBLEHRE, TESSIER, BIS 200 MM, 26 CM</v>
          </cell>
          <cell r="D11746" t="str">
            <v>CALIPER,  TESSIER, UP TO 200 MM, 26 CM</v>
          </cell>
        </row>
        <row r="11747">
          <cell r="B11747" t="str">
            <v>48-376-18-07</v>
          </cell>
          <cell r="C11747" t="str">
            <v>SPREIZZANGE, TESSIER, 7 MM, 17 CM</v>
          </cell>
          <cell r="D11747" t="str">
            <v>SPREADING FORCEPS,  TESSIER, 7 MM, 17 CM</v>
          </cell>
        </row>
        <row r="11748">
          <cell r="B11748" t="str">
            <v>48-380-01-07</v>
          </cell>
          <cell r="C11748" t="str">
            <v>MOBILISATIONSHAKEN, TESSIER, RE., 9 MM</v>
          </cell>
          <cell r="D11748" t="str">
            <v>MOBILIZATION LEVER, TESSIER, R., 9 MM</v>
          </cell>
        </row>
        <row r="11749">
          <cell r="B11749" t="str">
            <v>48-380-02-07</v>
          </cell>
          <cell r="C11749" t="str">
            <v>MOBILISATIONSHAKEN, TESSIER, LI., 9 MM</v>
          </cell>
          <cell r="D11749" t="str">
            <v>MOBILIZATION LEVER, TESSIER, L., 9 MM</v>
          </cell>
        </row>
        <row r="11750">
          <cell r="B11750" t="str">
            <v>48-420-00-07</v>
          </cell>
          <cell r="C11750" t="str">
            <v>MESSLEHRE, MARCHAC,  80 MM</v>
          </cell>
          <cell r="D11750" t="str">
            <v>CALIPER,  MARCHAC,  80 MM</v>
          </cell>
        </row>
        <row r="11751">
          <cell r="B11751" t="str">
            <v>48-500-18-07</v>
          </cell>
          <cell r="C11751" t="str">
            <v>ELEVATORIUM, STEINBERG, DOPPEL.,  18 CM</v>
          </cell>
          <cell r="D11751" t="str">
            <v>ELEVATOR,  STEINBERG, DOUBLE,  18 CM</v>
          </cell>
        </row>
        <row r="11752">
          <cell r="B11752" t="str">
            <v>48-506-20-07</v>
          </cell>
          <cell r="C11752" t="str">
            <v>ELEVATORIUM, STEINBERG, DOPPEL.,  19,5 CM</v>
          </cell>
          <cell r="D11752" t="str">
            <v>ELEVATOR,  STEINBERG, DOUBLE,  19.5 CM</v>
          </cell>
        </row>
        <row r="11753">
          <cell r="B11753" t="str">
            <v>48-525-23-07</v>
          </cell>
          <cell r="C11753" t="str">
            <v>ELEVATORIUM, STEINBERG, ATR/SP., 22,5 CM</v>
          </cell>
          <cell r="D11753" t="str">
            <v>ELEVATOR,  STEINBERG, ATR./SH.,  22.5 CM</v>
          </cell>
        </row>
        <row r="11754">
          <cell r="B11754" t="str">
            <v>48-531-19-07</v>
          </cell>
          <cell r="C11754" t="str">
            <v>ELEVATORIUM, STEINBERG, 4 MM, 18,5 CM</v>
          </cell>
          <cell r="D11754" t="str">
            <v>ELEVATOR,  STEINBERG, 4 MM, 18.5 CM</v>
          </cell>
        </row>
        <row r="11755">
          <cell r="B11755" t="str">
            <v>48-541-60-07</v>
          </cell>
          <cell r="C11755" t="str">
            <v>RAMUSHAKEN, STEINBERG, 60X9/13 MM, 22 CM</v>
          </cell>
          <cell r="D11755" t="str">
            <v>RAMUS RET., STEINBERG, 60X9/13 MM, 22 CM</v>
          </cell>
        </row>
        <row r="11756">
          <cell r="B11756" t="str">
            <v>48-550-03-07</v>
          </cell>
          <cell r="C11756" t="str">
            <v>BSSO Abstandhalter, Nadjmi</v>
          </cell>
          <cell r="D11756" t="str">
            <v>BSSO Space Maintainer, Nadjmi</v>
          </cell>
        </row>
        <row r="11757">
          <cell r="B11757" t="str">
            <v>48-555-00-07</v>
          </cell>
          <cell r="C11757" t="str">
            <v>Transbukkales Set, Nadjmi</v>
          </cell>
          <cell r="D11757" t="str">
            <v>Transbuccal Set, Nadjmi</v>
          </cell>
        </row>
        <row r="11758">
          <cell r="B11758" t="str">
            <v>48-555-01-07</v>
          </cell>
          <cell r="C11758" t="str">
            <v>Griff mit Kanüle für 48-555-00-07</v>
          </cell>
          <cell r="D11758" t="str">
            <v>Handle with Cannula for 48-555-00-07</v>
          </cell>
        </row>
        <row r="11759">
          <cell r="B11759" t="str">
            <v>48-555-02-07</v>
          </cell>
          <cell r="C11759" t="str">
            <v>Trokar allein für 48-555-00-07</v>
          </cell>
          <cell r="D11759" t="str">
            <v>Trocar only for 48-555-00-07</v>
          </cell>
        </row>
        <row r="11760">
          <cell r="B11760" t="str">
            <v>48-555-03-07</v>
          </cell>
          <cell r="C11760" t="str">
            <v>Bohrhülse  allein für 48-555-00-07</v>
          </cell>
          <cell r="D11760" t="str">
            <v>Drill Guide only for 48-555-00-07</v>
          </cell>
        </row>
        <row r="11761">
          <cell r="B11761" t="str">
            <v>48-555-04-07</v>
          </cell>
          <cell r="C11761" t="str">
            <v>Weichteilhalter für 48-555-00-07</v>
          </cell>
          <cell r="D11761" t="str">
            <v>Retractor  only for 48-555-00-07</v>
          </cell>
        </row>
        <row r="11762">
          <cell r="B11762" t="str">
            <v>48-557-21-07</v>
          </cell>
          <cell r="C11762" t="str">
            <v>Doppel-Elevatorium, Nadjmi, 6/4 mm</v>
          </cell>
          <cell r="D11762" t="str">
            <v>Double Elevator,  Nadjmi, 6/4 mm</v>
          </cell>
        </row>
        <row r="11763">
          <cell r="B11763" t="str">
            <v>48-559-21-07</v>
          </cell>
          <cell r="C11763" t="str">
            <v>Doppel-Elevatorium, Nadjmi,  6/7 mm</v>
          </cell>
          <cell r="D11763" t="str">
            <v>Double Evelator,  Nadjmi, 6/7 mm</v>
          </cell>
        </row>
        <row r="11764">
          <cell r="B11764" t="str">
            <v>48-560-18-04</v>
          </cell>
          <cell r="C11764" t="str">
            <v>Ramusstripper, Nadjmi, 18 cm</v>
          </cell>
          <cell r="D11764" t="str">
            <v>Ramus Stripper, Nadjmi, 18 cm</v>
          </cell>
        </row>
        <row r="11765">
          <cell r="B11765" t="str">
            <v>48-562-08-01</v>
          </cell>
          <cell r="C11765" t="str">
            <v>Unterkieferrand-Retraktor, Nadjmi, 8 mm</v>
          </cell>
          <cell r="D11765" t="str">
            <v>Mandib. Border Retractor,  Nadjmi, 8 mm</v>
          </cell>
        </row>
        <row r="11766">
          <cell r="B11766" t="str">
            <v>48-562-10-01</v>
          </cell>
          <cell r="C11766" t="str">
            <v>Unterkieferrand-Retraktor, Nadjmi, 10 mm</v>
          </cell>
          <cell r="D11766" t="str">
            <v>Mandib. Border Retractor,  Nadjmi, 10 mm</v>
          </cell>
        </row>
        <row r="11767">
          <cell r="B11767" t="str">
            <v>48-563-15-04</v>
          </cell>
          <cell r="C11767" t="str">
            <v>Multi-Retraktor, Nadjmi</v>
          </cell>
          <cell r="D11767" t="str">
            <v>Multipurpose Retractor,  Nadjmi</v>
          </cell>
        </row>
        <row r="11768">
          <cell r="B11768" t="str">
            <v>48-564-22-07</v>
          </cell>
          <cell r="C11768" t="str">
            <v>Ramus Retraktor,  Nadjmi, geb., 24 cm</v>
          </cell>
          <cell r="D11768" t="str">
            <v>Ramus Retractor,  Nadjmi, curved, 24 cm</v>
          </cell>
        </row>
        <row r="11769">
          <cell r="B11769" t="str">
            <v>48-565-35-07</v>
          </cell>
          <cell r="C11769" t="str">
            <v>Retraktor,  Nadjmi, 48 mm, 14,5 cm</v>
          </cell>
          <cell r="D11769" t="str">
            <v>Retractor,  Nadjmi, 48 mm, 14.5 cm</v>
          </cell>
        </row>
        <row r="11770">
          <cell r="B11770" t="str">
            <v>48-567-22-07</v>
          </cell>
          <cell r="C11770" t="str">
            <v>LeFort I Haken, Nadjmi, scharf, 22 cm</v>
          </cell>
          <cell r="D11770" t="str">
            <v>LeFort I Hook, Nadjmi, sharp, 22 cm</v>
          </cell>
        </row>
        <row r="11771">
          <cell r="B11771" t="str">
            <v>48-569-17-07</v>
          </cell>
          <cell r="C11771" t="str">
            <v>Ramusklemme, Nadjmi, 11  cm</v>
          </cell>
          <cell r="D11771" t="str">
            <v>Ramus Clamp, Nadjmi, 11 cm</v>
          </cell>
        </row>
        <row r="11772">
          <cell r="B11772" t="str">
            <v>48-570-19-07</v>
          </cell>
          <cell r="C11772" t="str">
            <v>BSSO Knochenhaltezange, Nadjmi, 18,5 cm</v>
          </cell>
          <cell r="D11772" t="str">
            <v>BSSO Bone Hol. Forceps, Nadjmi, 18.5 cm</v>
          </cell>
        </row>
        <row r="11773">
          <cell r="B11773" t="str">
            <v>48-572-08-04</v>
          </cell>
          <cell r="C11773" t="str">
            <v>Osteotom  45°, Nadjmi, 8 mm, 22 cm</v>
          </cell>
          <cell r="D11773" t="str">
            <v>Osteotome 45°, Nadjmi, 8 mm, 22 cm</v>
          </cell>
        </row>
        <row r="11774">
          <cell r="B11774" t="str">
            <v>48-574-15-07</v>
          </cell>
          <cell r="C11774" t="str">
            <v>Osteotom,  Nadjmi, 15 mm, 18 cm</v>
          </cell>
          <cell r="D11774" t="str">
            <v>Osteotome, Nadjmi, 15 mm, 18 cm</v>
          </cell>
        </row>
        <row r="11775">
          <cell r="B11775" t="str">
            <v>48-575-21-07</v>
          </cell>
          <cell r="C11775" t="str">
            <v>Nasenschere, Nadjmi, 21 cm</v>
          </cell>
          <cell r="D11775" t="str">
            <v>Nasal Bone Scissors, Nadjmi, 21 cm</v>
          </cell>
        </row>
        <row r="11776">
          <cell r="B11776" t="str">
            <v>48-702-22-04</v>
          </cell>
          <cell r="C11776" t="str">
            <v>Elevator f. Aufst. Ast n. Arnett, 22 cm</v>
          </cell>
          <cell r="D11776" t="str">
            <v>Asc. Ramus Elevator acc. Arnett, 22 cm</v>
          </cell>
        </row>
        <row r="11777">
          <cell r="B11777" t="str">
            <v>48-703-19-07</v>
          </cell>
          <cell r="C11777" t="str">
            <v>LFI INTERDENTAL ELEVATOR  N. ARNETTT</v>
          </cell>
          <cell r="D11777" t="str">
            <v>LFI INTERDENTAL ELEVATROR ACC. ARNETT</v>
          </cell>
        </row>
        <row r="11778">
          <cell r="B11778" t="str">
            <v>48-704-22-07</v>
          </cell>
          <cell r="C11778" t="str">
            <v>BSSO LINGUAL  RETRAKTOR N. ARNETT</v>
          </cell>
          <cell r="D11778" t="str">
            <v>BSSO LINGUAL  RETRACTOR ACC. ARNETT</v>
          </cell>
        </row>
        <row r="11779">
          <cell r="B11779" t="str">
            <v>48-705-14-07</v>
          </cell>
          <cell r="C11779" t="str">
            <v>BSSO TMJ PLATZIERER N. ARNETT, 20 CM</v>
          </cell>
          <cell r="D11779" t="str">
            <v>BSSO CONDYLAR  SEATING INST. ACC. ARNETT</v>
          </cell>
        </row>
        <row r="11780">
          <cell r="B11780" t="str">
            <v>48-706-18-07</v>
          </cell>
          <cell r="C11780" t="str">
            <v>MANDIBULAR RETRAKTOR N. ARNETT</v>
          </cell>
          <cell r="D11780" t="str">
            <v>MANDIBULAR BODY RETRACTOR ACC. ARNETT</v>
          </cell>
        </row>
        <row r="11781">
          <cell r="B11781" t="str">
            <v>48-707-14-07</v>
          </cell>
          <cell r="C11781" t="str">
            <v>MAXILLÄRE SINUS KÜRETTE  N. ARNETT</v>
          </cell>
          <cell r="D11781" t="str">
            <v>MAXILLARY SINUS CURETTE  ACC. ARNETT</v>
          </cell>
        </row>
        <row r="11782">
          <cell r="B11782" t="str">
            <v>48-708-01-07</v>
          </cell>
          <cell r="C11782" t="str">
            <v>KORONOID RETRAKTOR N. ARNETT</v>
          </cell>
          <cell r="D11782" t="str">
            <v>CORONOID RETRACTOR ACC. ARNETT</v>
          </cell>
        </row>
        <row r="11783">
          <cell r="B11783" t="str">
            <v>48-708-14-07</v>
          </cell>
          <cell r="C11783" t="str">
            <v>KLEMME  N. ARNETT, 1X2 Z, GER., 18,5 CM</v>
          </cell>
          <cell r="D11783" t="str">
            <v>FORCEPS  ACC. ARNETT, 1X2 T., STRAIGHT</v>
          </cell>
        </row>
        <row r="11784">
          <cell r="B11784" t="str">
            <v>48-709-18-07</v>
          </cell>
          <cell r="C11784" t="str">
            <v>LFI POSTERIOR RETRAKTOR N. ARNETT</v>
          </cell>
          <cell r="D11784" t="str">
            <v>LFI POSTERIOR RETRACTOR ACC. ARNETT</v>
          </cell>
        </row>
        <row r="11785">
          <cell r="B11785" t="str">
            <v>48-711-22-07</v>
          </cell>
          <cell r="C11785" t="str">
            <v>BSSO/LFI  NERV DISSEKTOR  N.ARNETT,  22,5CM</v>
          </cell>
          <cell r="D11785" t="str">
            <v>BSSO/LFI  NERVE DISS. ACC. ARNETT, 22.5CM</v>
          </cell>
        </row>
        <row r="11786">
          <cell r="B11786" t="str">
            <v>48-711-23-07</v>
          </cell>
          <cell r="C11786" t="str">
            <v>ALVEOLARNERV DISSEKTOR  N. ARNETT</v>
          </cell>
          <cell r="D11786" t="str">
            <v>ALVEOLAR  NERV DISSECTOR  ACC. ARNETT</v>
          </cell>
        </row>
        <row r="11787">
          <cell r="B11787" t="str">
            <v>48-711-24-07</v>
          </cell>
          <cell r="C11787" t="str">
            <v>ALVEOLARNERV DISSEKTOR  N. ARNETT</v>
          </cell>
          <cell r="D11787" t="str">
            <v>ALVEOLAR  NERV DISSECTOR  ACC. ARNETT</v>
          </cell>
        </row>
        <row r="11788">
          <cell r="B11788" t="str">
            <v>48-711-25-07</v>
          </cell>
          <cell r="C11788" t="str">
            <v>RETRAKTOR F. BSSO INZISSIONSVERSCHLUSS</v>
          </cell>
          <cell r="D11788" t="str">
            <v>RETRACTOR F. BSSO INCISION  CLOSURE  ARNET</v>
          </cell>
        </row>
        <row r="11789">
          <cell r="B11789" t="str">
            <v>48-712-12-07</v>
          </cell>
          <cell r="C11789" t="str">
            <v>SEPTUM ELEVATOR  N. ARNETT, 20 CM</v>
          </cell>
          <cell r="D11789" t="str">
            <v>SEPTUM ELEVATOR  ACC. ARNETT, 20 CM</v>
          </cell>
        </row>
        <row r="11790">
          <cell r="B11790" t="str">
            <v>48-714-20-07</v>
          </cell>
          <cell r="C11790" t="str">
            <v>RETRAKTOR F. MENTALNERV N. ARNETT</v>
          </cell>
          <cell r="D11790" t="str">
            <v>MENTAL NERVE RETRACTOR</v>
          </cell>
        </row>
        <row r="11791">
          <cell r="B11791" t="str">
            <v>48-715-42-07</v>
          </cell>
          <cell r="C11791" t="str">
            <v>RETRAKTOR F. OBERLIPPE  N. ARNETT</v>
          </cell>
          <cell r="D11791" t="str">
            <v>UPPER LIP RETRACTOR ACC. ARNETT</v>
          </cell>
        </row>
        <row r="11792">
          <cell r="B11792" t="str">
            <v>48-716-22-07</v>
          </cell>
          <cell r="C11792" t="str">
            <v>WANGENKNOCHEN HAKEN N. ARNETT, 10X80 MM</v>
          </cell>
          <cell r="D11792" t="str">
            <v>CHEEK BONE RETRACTOR ACC. ARNETT 10X80 M</v>
          </cell>
        </row>
        <row r="11793">
          <cell r="B11793" t="str">
            <v>48-716-42-07</v>
          </cell>
          <cell r="C11793" t="str">
            <v>WANGEN-LIPPEN HAKEN N. ARNETT, 10X40 MM</v>
          </cell>
          <cell r="D11793" t="str">
            <v>CHEEK-LIP  RETRACTOR ACC. ARNETT 10X40 MM</v>
          </cell>
        </row>
        <row r="11794">
          <cell r="B11794" t="str">
            <v>48-716-55-07</v>
          </cell>
          <cell r="C11794" t="str">
            <v>WANGEN-LIPPEN HAKEN N. ARNETT, 10X55 MM</v>
          </cell>
          <cell r="D11794" t="str">
            <v>CHEEK-LIP  RETRACTOR ACC. ARNETT 10X55 MM</v>
          </cell>
        </row>
        <row r="11795">
          <cell r="B11795" t="str">
            <v>48-717-22-07</v>
          </cell>
          <cell r="C11795" t="str">
            <v>WANGENKNOCHEN HAKEN N. ARNETT, 10X80 MM</v>
          </cell>
          <cell r="D11795" t="str">
            <v>CHEEK BONE RETRACTOR ACC. ARNETT 10X80 M</v>
          </cell>
        </row>
        <row r="11796">
          <cell r="B11796" t="str">
            <v>48-717-42-07</v>
          </cell>
          <cell r="C11796" t="str">
            <v>RETRAKTOR F. KINNOSTEOTOMIE N. ARNETT</v>
          </cell>
          <cell r="D11796" t="str">
            <v>CHIN OSTEOTOMY RETRACTOR ACC. ARNETT</v>
          </cell>
        </row>
        <row r="11797">
          <cell r="B11797" t="str">
            <v>48-717-80-07</v>
          </cell>
          <cell r="C11797" t="str">
            <v>RETRAKTOR F. KINNOSTEOTOMIE 6,5X80 MM</v>
          </cell>
          <cell r="D11797" t="str">
            <v>CHIN OSTEOTOMY RETRACTOR 6.5X80 MM</v>
          </cell>
        </row>
        <row r="11798">
          <cell r="B11798" t="str">
            <v>48-723-22-07</v>
          </cell>
          <cell r="C11798" t="str">
            <v>LFI INTERDENTAL RETRAKTOR N. ARNETT</v>
          </cell>
          <cell r="D11798" t="str">
            <v>LFI INTERDENT. OSTEOT. RETRACTOR ARNETT</v>
          </cell>
        </row>
        <row r="11799">
          <cell r="B11799" t="str">
            <v>48-724-08-04</v>
          </cell>
          <cell r="C11799" t="str">
            <v>BSSO Split Osteotom  n. Arnett, 7 mm</v>
          </cell>
          <cell r="D11799" t="str">
            <v>BSSO Splitting Osteotome acc. Arnett 7 m</v>
          </cell>
        </row>
        <row r="11800">
          <cell r="B11800" t="str">
            <v>48-724-15-04</v>
          </cell>
          <cell r="C11800" t="str">
            <v>BSSO Split Osteotom  n. Arnett, 14 mm</v>
          </cell>
          <cell r="D11800" t="str">
            <v>BSSO Splitting Osteotome acc. Arnett 14</v>
          </cell>
        </row>
        <row r="11801">
          <cell r="B11801" t="str">
            <v>48-725-18-07</v>
          </cell>
          <cell r="C11801" t="str">
            <v>INTERDENTAL OSTEOTOM N. ARNETT, 8 MM</v>
          </cell>
          <cell r="D11801" t="str">
            <v>INTERDENTAL OSTEOTOME ACC. ARNETT, 8 MM</v>
          </cell>
        </row>
        <row r="11802">
          <cell r="B11802" t="str">
            <v>48-727-20-07</v>
          </cell>
          <cell r="C11802" t="str">
            <v>HAMMER  N. ARNETT, 20 CM</v>
          </cell>
          <cell r="D11802" t="str">
            <v>MALLET ACC. ARNETT, 20 CM</v>
          </cell>
        </row>
        <row r="11803">
          <cell r="B11803" t="str">
            <v>48-728-18-07</v>
          </cell>
          <cell r="C11803" t="str">
            <v>PTERYGOID OSTEOTOM N. ARNETT</v>
          </cell>
          <cell r="D11803" t="str">
            <v>PTERYGOID OSTEOTOME ACC. ARNETT</v>
          </cell>
        </row>
        <row r="11804">
          <cell r="B11804" t="str">
            <v>48-728-19-07</v>
          </cell>
          <cell r="C11804" t="str">
            <v>BSSO SPLIT OSTEOTOM N. ARNETT, 6 MM</v>
          </cell>
          <cell r="D11804" t="str">
            <v>BSSO SPLITTING  OSTEOTOME ACC. ARNETT 6MM</v>
          </cell>
        </row>
        <row r="11805">
          <cell r="B11805" t="str">
            <v>48-729-55-07</v>
          </cell>
          <cell r="C11805" t="str">
            <v>BSSO TRANSORAL RETRAKTOR N. ARNETT</v>
          </cell>
          <cell r="D11805" t="str">
            <v>BSSO TRANSORAL RETRACTOR ACC. ARNETT</v>
          </cell>
        </row>
        <row r="11806">
          <cell r="B11806" t="str">
            <v>48-731-14-07</v>
          </cell>
          <cell r="C11806" t="str">
            <v>MEßSCHIEBER N. ARNETT, 100 MM</v>
          </cell>
          <cell r="D11806" t="str">
            <v>CALIPER ACC. ARNETT, 100 MM</v>
          </cell>
        </row>
        <row r="11807">
          <cell r="B11807" t="str">
            <v>48-731-22-07</v>
          </cell>
          <cell r="C11807" t="str">
            <v>PERIOSTELEVATOR N. ARNETT, 21 CM</v>
          </cell>
          <cell r="D11807" t="str">
            <v>PERIOSTEAL ELEVATOR  ACC. ARNETT, 21 CM</v>
          </cell>
        </row>
        <row r="11808">
          <cell r="B11808" t="str">
            <v>48-731-25-07</v>
          </cell>
          <cell r="C11808" t="str">
            <v>PERIOSTELEVATOR N. ARNETT, 24 CM</v>
          </cell>
          <cell r="D11808" t="str">
            <v>PERIOSTEAL ELEVATOR  ACC. ARNETT, 24 CM</v>
          </cell>
        </row>
        <row r="11809">
          <cell r="B11809" t="str">
            <v>48-735-19-07</v>
          </cell>
          <cell r="C11809" t="str">
            <v>RETRAKTOR F. KINNOSTEOTOMIE N. ARNETT</v>
          </cell>
          <cell r="D11809" t="str">
            <v>MIDLINE FLAP RETRACTOR ACC. ARNETT</v>
          </cell>
        </row>
        <row r="11810">
          <cell r="B11810" t="str">
            <v>48-738-12-07</v>
          </cell>
          <cell r="C11810" t="str">
            <v>PLATTENBIEGEZANGE N. ARNETT, KURZ</v>
          </cell>
          <cell r="D11810" t="str">
            <v>PLATE BENDING  FORCEPS  ACC. ARNETT, SHORT</v>
          </cell>
        </row>
        <row r="11811">
          <cell r="B11811" t="str">
            <v>48-738-13-07</v>
          </cell>
          <cell r="C11811" t="str">
            <v>PLATTENBIEGEZANGE, LF I, N. ARNETT 13 CM</v>
          </cell>
          <cell r="D11811" t="str">
            <v>LFI PLATE BENDING  FORCEPS  ACC. ARNETT</v>
          </cell>
        </row>
        <row r="11812">
          <cell r="B11812" t="str">
            <v>48-739-18-07</v>
          </cell>
          <cell r="C11812" t="str">
            <v>PLATTENHALTEKLEMME N. ARNETT, 18,5 CM</v>
          </cell>
          <cell r="D11812" t="str">
            <v>PLATE CARRIER ACC. ARNETT, 18,5 CM</v>
          </cell>
        </row>
        <row r="11813">
          <cell r="B11813" t="str">
            <v>48-740-20-07</v>
          </cell>
          <cell r="C11813" t="str">
            <v>NASAL MUCOSA  HAKEN N. ARNETT 18,5 CM</v>
          </cell>
          <cell r="D11813" t="str">
            <v>NASAL MUCOSA  RETRACTOR ARNETT 18,5 CM</v>
          </cell>
        </row>
        <row r="11814">
          <cell r="B11814" t="str">
            <v>50-022-01-07</v>
          </cell>
          <cell r="C11814" t="str">
            <v>VORBOHRER 2,2 X 70MM, JKUPPLUNG</v>
          </cell>
          <cell r="D11814" t="str">
            <v>TWIST DRILL 2.2 X 70MM, J-NOTCH</v>
          </cell>
        </row>
        <row r="11815">
          <cell r="B11815" t="str">
            <v>50-022-01-71</v>
          </cell>
          <cell r="C11815" t="str">
            <v>VORBOHRER 2,2 X 70MM, J-KUPPLUNG, STERIL</v>
          </cell>
          <cell r="D11815" t="str">
            <v>TWIST DRILL 2.2 X 70MM, J-NOTCH,  STERILE</v>
          </cell>
        </row>
        <row r="11816">
          <cell r="B11816" t="str">
            <v>50-022-03-07</v>
          </cell>
          <cell r="C11816" t="str">
            <v>VORBOHRER 2,2 X 105MM, JKUPPLUNG</v>
          </cell>
          <cell r="D11816" t="str">
            <v>TWIST DRILL 2.2 X 105MM, J-NOTCH</v>
          </cell>
        </row>
        <row r="11817">
          <cell r="B11817" t="str">
            <v>50-022-03-71</v>
          </cell>
          <cell r="C11817" t="str">
            <v>VORBOHRER 2,2X105MM, J-KUPPLUNG, STERIL</v>
          </cell>
          <cell r="D11817" t="str">
            <v>TWIST DRILL 2.2 X 105MM, J-NOTCH,  STERIL</v>
          </cell>
        </row>
        <row r="11818">
          <cell r="B11818" t="str">
            <v>50-022-05-07</v>
          </cell>
          <cell r="C11818" t="str">
            <v>VORBOHRER 2,2 X 105MM, A.O.</v>
          </cell>
          <cell r="D11818" t="str">
            <v>TWIST DRILL 2.2 X 105MM, A.O.</v>
          </cell>
        </row>
        <row r="11819">
          <cell r="B11819" t="str">
            <v>50-022-15-07</v>
          </cell>
          <cell r="C11819" t="str">
            <v>VORBOHRER 2,2 X 115MM, JKUPPLUNG</v>
          </cell>
          <cell r="D11819" t="str">
            <v>TWIST DRILL 2.2 X 115MM, J-NOTCH</v>
          </cell>
        </row>
        <row r="11820">
          <cell r="B11820" t="str">
            <v>50-022-15-71</v>
          </cell>
          <cell r="C11820" t="str">
            <v>VORBOHRER 2,2X115MM, J-KUPPLUNG, STERIL</v>
          </cell>
          <cell r="D11820" t="str">
            <v>TWIST DRILL 2.2 X 115MM, J-NOTCH,  STERIL</v>
          </cell>
        </row>
        <row r="11821">
          <cell r="B11821" t="str">
            <v>50-026-04-07</v>
          </cell>
          <cell r="C11821" t="str">
            <v>SPIRALBOHRER 2,0 X 105MM</v>
          </cell>
          <cell r="D11821" t="str">
            <v>TWIST DRILL         2,0X105MM</v>
          </cell>
        </row>
        <row r="11822">
          <cell r="B11822" t="str">
            <v>50-030-38-04</v>
          </cell>
          <cell r="C11822" t="str">
            <v>ENTGRATER FUER THREADLOCK TS</v>
          </cell>
          <cell r="D11822" t="str">
            <v>DEBURRER  FOR THREADLOCK TS</v>
          </cell>
        </row>
        <row r="11823">
          <cell r="B11823" t="str">
            <v>50-124-16-07</v>
          </cell>
          <cell r="C11823" t="str">
            <v>BIEGEZANGE</v>
          </cell>
          <cell r="D11823" t="str">
            <v>BENDING  PLIERS</v>
          </cell>
        </row>
        <row r="11824">
          <cell r="B11824" t="str">
            <v>50-125-16-07</v>
          </cell>
          <cell r="C11824" t="str">
            <v>Biegezange fuer X-Fix System</v>
          </cell>
          <cell r="D11824" t="str">
            <v>Rod Bender for X-Fix System</v>
          </cell>
        </row>
        <row r="11825">
          <cell r="B11825" t="str">
            <v>50-126-06-07</v>
          </cell>
          <cell r="C11825" t="str">
            <v>Bohrer fuer X-Fix Fixationsschraube</v>
          </cell>
          <cell r="D11825" t="str">
            <v>Twist Drill for X-Fix Fixation Screw</v>
          </cell>
        </row>
        <row r="11826">
          <cell r="B11826" t="str">
            <v>50-174-01-09</v>
          </cell>
          <cell r="C11826" t="str">
            <v>THREADLOCK TS GELENKKOPF-AUFSATZ RECHTS</v>
          </cell>
          <cell r="D11826" t="str">
            <v>THREADLOCK TS CONDYLAR  IMPLANT  RIGHT</v>
          </cell>
        </row>
        <row r="11827">
          <cell r="B11827" t="str">
            <v>50-174-01-71</v>
          </cell>
          <cell r="C11827" t="str">
            <v>THREADLOCK TS GELENKKOPF-AUFS. RE. STERI</v>
          </cell>
          <cell r="D11827" t="str">
            <v>THREADLOCK TS CONDYLAR  IMPL RIGHT STERIL</v>
          </cell>
        </row>
        <row r="11828">
          <cell r="B11828" t="str">
            <v>50-174-02-09</v>
          </cell>
          <cell r="C11828" t="str">
            <v>THREADLOCK TS GELENKKOPF-AUFSATZ LINKS</v>
          </cell>
          <cell r="D11828" t="str">
            <v>THREADLOCK TS CONDYLAR  IMPLANT  LEFT</v>
          </cell>
        </row>
        <row r="11829">
          <cell r="B11829" t="str">
            <v>50-174-02-71</v>
          </cell>
          <cell r="C11829" t="str">
            <v>THREADLOCK TS GELENKKOPF-AUFS. LI. STERI</v>
          </cell>
          <cell r="D11829" t="str">
            <v>THREADLOCK TS CONDYLAR  IMPL LEFT STERILE</v>
          </cell>
        </row>
        <row r="11830">
          <cell r="B11830" t="str">
            <v>50-174-04-09</v>
          </cell>
          <cell r="C11830" t="str">
            <v>Maxdrive  Befestigungsschr.f.50-174-01/02</v>
          </cell>
          <cell r="D11830" t="str">
            <v>Maxdrive  fixat. screws f. 50-174-01/-02</v>
          </cell>
        </row>
        <row r="11831">
          <cell r="B11831" t="str">
            <v>50-174-04-75</v>
          </cell>
          <cell r="C11831" t="str">
            <v>Maxdrive  Befestigungsschr.f.50-174-01/02</v>
          </cell>
          <cell r="D11831" t="str">
            <v>Maxdrive  fixat. screws f. 50-174-01/-02</v>
          </cell>
        </row>
        <row r="11832">
          <cell r="B11832" t="str">
            <v>50-205-17-07</v>
          </cell>
          <cell r="C11832" t="str">
            <v>PLATTENHALTEZANGE 16 CM</v>
          </cell>
          <cell r="D11832" t="str">
            <v>PLATE HOLDING  FORCEPS  16 CM</v>
          </cell>
        </row>
        <row r="11833">
          <cell r="B11833" t="str">
            <v>50-241-01-07</v>
          </cell>
          <cell r="C11833" t="str">
            <v>REPOSITIONSZANGE LINKS</v>
          </cell>
          <cell r="D11833" t="str">
            <v>BONE HOLDING  FORCEPS  LEFT</v>
          </cell>
        </row>
        <row r="11834">
          <cell r="B11834" t="str">
            <v>50-241-02-07</v>
          </cell>
          <cell r="C11834" t="str">
            <v>REPOSITIONSZANGE RECHTS</v>
          </cell>
          <cell r="D11834" t="str">
            <v>BONE HOLDING  FORCEPS  RIGHT</v>
          </cell>
        </row>
        <row r="11835">
          <cell r="B11835" t="str">
            <v>50-241-11-07</v>
          </cell>
          <cell r="C11835" t="str">
            <v>REPOSITIONSZANGE RECHTS N. ECKELT</v>
          </cell>
          <cell r="D11835" t="str">
            <v>ECKELT REPOSITIONING FORCEPS  RIGHT</v>
          </cell>
        </row>
        <row r="11836">
          <cell r="B11836" t="str">
            <v>50-241-12-07</v>
          </cell>
          <cell r="C11836" t="str">
            <v>REPOSITIONSZANGE LINKS N. ECKELT</v>
          </cell>
          <cell r="D11836" t="str">
            <v>ECKELT REPOSITIONING FORCEPS  LEFT</v>
          </cell>
        </row>
        <row r="11837">
          <cell r="B11837" t="str">
            <v>50-242-12-07</v>
          </cell>
          <cell r="C11837" t="str">
            <v>Endo-Condyle Unit,Repositionsklemme</v>
          </cell>
          <cell r="D11837" t="str">
            <v>Endo-Condyle Unit,reduction clamp</v>
          </cell>
        </row>
        <row r="11838">
          <cell r="B11838" t="str">
            <v>50-280-00-09</v>
          </cell>
          <cell r="C11838" t="str">
            <v>MIKRO PLATTEN  0MM,LINKS</v>
          </cell>
          <cell r="D11838" t="str">
            <v>MICRO PLATES   0MM,LEFT</v>
          </cell>
        </row>
        <row r="11839">
          <cell r="B11839" t="str">
            <v>50-280-03-09</v>
          </cell>
          <cell r="C11839" t="str">
            <v>MIKRO PLATTEN  3MM,LINKS</v>
          </cell>
          <cell r="D11839" t="str">
            <v>MICRO PLATES   3MM,LEFT</v>
          </cell>
        </row>
        <row r="11840">
          <cell r="B11840" t="str">
            <v>50-280-05-09</v>
          </cell>
          <cell r="C11840" t="str">
            <v>MIKRO PLATTEN  5MM,LINKS</v>
          </cell>
          <cell r="D11840" t="str">
            <v>MICRO PLATES   5MM,LEFT</v>
          </cell>
        </row>
        <row r="11841">
          <cell r="B11841" t="str">
            <v>50-280-07-09</v>
          </cell>
          <cell r="C11841" t="str">
            <v>MIKRO PLATTEN  7MM,LINKS</v>
          </cell>
          <cell r="D11841" t="str">
            <v>MICRO PLATES   7MM,LEFT</v>
          </cell>
        </row>
        <row r="11842">
          <cell r="B11842" t="str">
            <v>50-280-09-09</v>
          </cell>
          <cell r="C11842" t="str">
            <v>MIKRO PLATTEN  9MM,LINKS</v>
          </cell>
          <cell r="D11842" t="str">
            <v>MICRO PLATES   9MM,LEFT</v>
          </cell>
        </row>
        <row r="11843">
          <cell r="B11843" t="str">
            <v>50-280-11-09</v>
          </cell>
          <cell r="C11843" t="str">
            <v>MIKRO PLATTEN  11MM,LINKS</v>
          </cell>
          <cell r="D11843" t="str">
            <v>MICRO PLATES  11MM,LEFT</v>
          </cell>
        </row>
        <row r="11844">
          <cell r="B11844" t="str">
            <v>50-282-00-09</v>
          </cell>
          <cell r="C11844" t="str">
            <v>MIKRO PLATTEN  0MM,RECHTS</v>
          </cell>
          <cell r="D11844" t="str">
            <v>MICRO PLATES   0MM,RIGHT</v>
          </cell>
        </row>
        <row r="11845">
          <cell r="B11845" t="str">
            <v>50-282-03-09</v>
          </cell>
          <cell r="C11845" t="str">
            <v>MIKRO PLATTEN  3MM,RECHTS</v>
          </cell>
          <cell r="D11845" t="str">
            <v>MICRO PLATES   3MM,RIGHT</v>
          </cell>
        </row>
        <row r="11846">
          <cell r="B11846" t="str">
            <v>50-282-05-09</v>
          </cell>
          <cell r="C11846" t="str">
            <v>MIKRO PLATTEN  5MM,RECHTS</v>
          </cell>
          <cell r="D11846" t="str">
            <v>MICRO PLATES   5MM,RIGHT</v>
          </cell>
        </row>
        <row r="11847">
          <cell r="B11847" t="str">
            <v>50-282-07-09</v>
          </cell>
          <cell r="C11847" t="str">
            <v>MIKRO PLATTEN  7MM,RECHTS</v>
          </cell>
          <cell r="D11847" t="str">
            <v>MICRO PLATES   7MM,RIGHT</v>
          </cell>
        </row>
        <row r="11848">
          <cell r="B11848" t="str">
            <v>50-282-09-09</v>
          </cell>
          <cell r="C11848" t="str">
            <v>MIKRO PLATTEN  9MM,RECHTS</v>
          </cell>
          <cell r="D11848" t="str">
            <v>MICRO PLATES   9MM,RIGHT</v>
          </cell>
        </row>
        <row r="11849">
          <cell r="B11849" t="str">
            <v>50-282-11-09</v>
          </cell>
          <cell r="C11849" t="str">
            <v>MIKRO PLATTEN  11MM,RECHTS</v>
          </cell>
          <cell r="D11849" t="str">
            <v>MICRO PLATES  11MM,RIGHT</v>
          </cell>
        </row>
        <row r="11850">
          <cell r="B11850" t="str">
            <v>50-287-00-09</v>
          </cell>
          <cell r="C11850" t="str">
            <v>Platte, Le Fort I, 0 mm, links</v>
          </cell>
          <cell r="D11850" t="str">
            <v>Plate, Le Fort I, 0 mm, left</v>
          </cell>
        </row>
        <row r="11851">
          <cell r="B11851" t="str">
            <v>50-287-01-09</v>
          </cell>
          <cell r="C11851" t="str">
            <v>Platte, Le Fort I, 1 mm, links</v>
          </cell>
          <cell r="D11851" t="str">
            <v>Plate, Le Fort I, 1 mm, left</v>
          </cell>
        </row>
        <row r="11852">
          <cell r="B11852" t="str">
            <v>50-287-03-09</v>
          </cell>
          <cell r="C11852" t="str">
            <v>Platte, Le Fort I, 3 mm, links</v>
          </cell>
          <cell r="D11852" t="str">
            <v>Plate, Le Fort I, 3 mm, left</v>
          </cell>
        </row>
        <row r="11853">
          <cell r="B11853" t="str">
            <v>50-287-05-09</v>
          </cell>
          <cell r="C11853" t="str">
            <v>Platte, Le Fort I, 5 mm, links</v>
          </cell>
          <cell r="D11853" t="str">
            <v>Plate, Le Fort I, 5 mm, left</v>
          </cell>
        </row>
        <row r="11854">
          <cell r="B11854" t="str">
            <v>50-287-07-09</v>
          </cell>
          <cell r="C11854" t="str">
            <v>Platte, Le Fort I, 7 mm, links</v>
          </cell>
          <cell r="D11854" t="str">
            <v>Plate, Le Fort I, 7 mm, left</v>
          </cell>
        </row>
        <row r="11855">
          <cell r="B11855" t="str">
            <v>50-288-00-09</v>
          </cell>
          <cell r="C11855" t="str">
            <v>Platte, Le Fort I, 0 mm, rechts</v>
          </cell>
          <cell r="D11855" t="str">
            <v>Plate, Le Fort I, 0 mm, right</v>
          </cell>
        </row>
        <row r="11856">
          <cell r="B11856" t="str">
            <v>50-288-01-09</v>
          </cell>
          <cell r="C11856" t="str">
            <v>Platte, Le Fort I, 1 mm, rechts</v>
          </cell>
          <cell r="D11856" t="str">
            <v>Plate, Le Fort I, 1 mm, right</v>
          </cell>
        </row>
        <row r="11857">
          <cell r="B11857" t="str">
            <v>50-288-03-09</v>
          </cell>
          <cell r="C11857" t="str">
            <v>Platte, Le Fort I, 3 mm, rechts</v>
          </cell>
          <cell r="D11857" t="str">
            <v>Plate, Le Fort I, 3 mm, right</v>
          </cell>
        </row>
        <row r="11858">
          <cell r="B11858" t="str">
            <v>50-288-05-09</v>
          </cell>
          <cell r="C11858" t="str">
            <v>Platte, Le Fort I, 5 mm, rechts</v>
          </cell>
          <cell r="D11858" t="str">
            <v>Plate, Le Fort I, 5 mm, right</v>
          </cell>
        </row>
        <row r="11859">
          <cell r="B11859" t="str">
            <v>50-288-07-09</v>
          </cell>
          <cell r="C11859" t="str">
            <v>Platte, Le Fort I, 7 mm, rechts</v>
          </cell>
          <cell r="D11859" t="str">
            <v>Plate, Le Fort I, 7 mm, right</v>
          </cell>
        </row>
        <row r="11860">
          <cell r="B11860" t="str">
            <v>50-300-02-09</v>
          </cell>
          <cell r="C11860" t="str">
            <v>KINNPLATTE, 2MM</v>
          </cell>
          <cell r="D11860" t="str">
            <v>CHIN PLATE, 2MM</v>
          </cell>
        </row>
        <row r="11861">
          <cell r="B11861" t="str">
            <v>50-300-02-71</v>
          </cell>
          <cell r="C11861" t="str">
            <v>KINNPLATTE, 2MM, STERIL</v>
          </cell>
          <cell r="D11861" t="str">
            <v>CHIN PLATE, 2MM, STERILE</v>
          </cell>
        </row>
        <row r="11862">
          <cell r="B11862" t="str">
            <v>50-300-02-91</v>
          </cell>
          <cell r="C11862" t="str">
            <v>KINNPLATTE, 2MM</v>
          </cell>
          <cell r="D11862" t="str">
            <v>CHIN PLATE, 2MM</v>
          </cell>
        </row>
        <row r="11863">
          <cell r="B11863" t="str">
            <v>50-300-04-09</v>
          </cell>
          <cell r="C11863" t="str">
            <v>KINNPLATTE, 4MM</v>
          </cell>
          <cell r="D11863" t="str">
            <v>CHIN PLATE, 4MM</v>
          </cell>
        </row>
        <row r="11864">
          <cell r="B11864" t="str">
            <v>50-300-04-71</v>
          </cell>
          <cell r="C11864" t="str">
            <v>KINNPLATTE, 4MM, STERIL</v>
          </cell>
          <cell r="D11864" t="str">
            <v>CHIN PLATE, 4MM, STERILE</v>
          </cell>
        </row>
        <row r="11865">
          <cell r="B11865" t="str">
            <v>50-300-04-91</v>
          </cell>
          <cell r="C11865" t="str">
            <v>KINNPLATTE, 4MM</v>
          </cell>
          <cell r="D11865" t="str">
            <v>CHIN PLATE, 4MM</v>
          </cell>
        </row>
        <row r="11866">
          <cell r="B11866" t="str">
            <v>50-300-06-09</v>
          </cell>
          <cell r="C11866" t="str">
            <v>KINNPLATTE, 6MM</v>
          </cell>
          <cell r="D11866" t="str">
            <v>CHIN PLATE, 6MM</v>
          </cell>
        </row>
        <row r="11867">
          <cell r="B11867" t="str">
            <v>50-300-06-71</v>
          </cell>
          <cell r="C11867" t="str">
            <v>KINNPLATTE, 6MM, STERIL</v>
          </cell>
          <cell r="D11867" t="str">
            <v>CHIN PLATE, 6MM, STERILE</v>
          </cell>
        </row>
        <row r="11868">
          <cell r="B11868" t="str">
            <v>50-300-06-91</v>
          </cell>
          <cell r="C11868" t="str">
            <v>KINNPLATTE, 6MM</v>
          </cell>
          <cell r="D11868" t="str">
            <v>CHIN PLATE, 6MM</v>
          </cell>
        </row>
        <row r="11869">
          <cell r="B11869" t="str">
            <v>50-300-08-09</v>
          </cell>
          <cell r="C11869" t="str">
            <v>KINNPLATTE, 8MM</v>
          </cell>
          <cell r="D11869" t="str">
            <v>CHIN PLATE, 8MM</v>
          </cell>
        </row>
        <row r="11870">
          <cell r="B11870" t="str">
            <v>50-300-08-71</v>
          </cell>
          <cell r="C11870" t="str">
            <v>KINNPLATTE, 8MM, STERIL</v>
          </cell>
          <cell r="D11870" t="str">
            <v>CHIN PLATE, 8MM, STERILE</v>
          </cell>
        </row>
        <row r="11871">
          <cell r="B11871" t="str">
            <v>50-300-08-91</v>
          </cell>
          <cell r="C11871" t="str">
            <v>KINNPLATTE, 8MM</v>
          </cell>
          <cell r="D11871" t="str">
            <v>CHIN PLATE, 8MM</v>
          </cell>
        </row>
        <row r="11872">
          <cell r="B11872" t="str">
            <v>50-300-10-09</v>
          </cell>
          <cell r="C11872" t="str">
            <v>KINNPLATTE, 10MM</v>
          </cell>
          <cell r="D11872" t="str">
            <v>CHIN PLATE, 10MM</v>
          </cell>
        </row>
        <row r="11873">
          <cell r="B11873" t="str">
            <v>50-300-10-71</v>
          </cell>
          <cell r="C11873" t="str">
            <v>KINNPLATTE, 10MM, STERIL</v>
          </cell>
          <cell r="D11873" t="str">
            <v>CHIN PLATE, 10MM, STERILE</v>
          </cell>
        </row>
        <row r="11874">
          <cell r="B11874" t="str">
            <v>50-300-10-91</v>
          </cell>
          <cell r="C11874" t="str">
            <v>KINNPLATTE, 10MM</v>
          </cell>
          <cell r="D11874" t="str">
            <v>CHIN PLATE, 10MM</v>
          </cell>
        </row>
        <row r="11875">
          <cell r="B11875" t="str">
            <v>50-300-12-71</v>
          </cell>
          <cell r="C11875" t="str">
            <v>KINNPLATTE, 12MM, STERIL</v>
          </cell>
          <cell r="D11875" t="str">
            <v>CHIN PLATE, 12MM, STERILE</v>
          </cell>
        </row>
        <row r="11876">
          <cell r="B11876" t="str">
            <v>50-300-12-91</v>
          </cell>
          <cell r="C11876" t="str">
            <v>KINNPLATTE, 12MM</v>
          </cell>
          <cell r="D11876" t="str">
            <v>CHIN PLATE, 12MM</v>
          </cell>
        </row>
        <row r="11877">
          <cell r="B11877" t="str">
            <v>50-300-14-71</v>
          </cell>
          <cell r="C11877" t="str">
            <v>KINNPLATTE, 14MM, STERIL</v>
          </cell>
          <cell r="D11877" t="str">
            <v>CHIN PLATE, 14MM, STERILE</v>
          </cell>
        </row>
        <row r="11878">
          <cell r="B11878" t="str">
            <v>50-300-14-91</v>
          </cell>
          <cell r="C11878" t="str">
            <v>KINNPLATTE, 14MM</v>
          </cell>
          <cell r="D11878" t="str">
            <v>CHIN PLATE, 14MM</v>
          </cell>
        </row>
        <row r="11879">
          <cell r="B11879" t="str">
            <v>50-302-01-09</v>
          </cell>
          <cell r="C11879" t="str">
            <v>MIKRO KINNPLATTEN 1MM</v>
          </cell>
          <cell r="D11879" t="str">
            <v>MICRO CHIN PLATES 1 MM</v>
          </cell>
        </row>
        <row r="11880">
          <cell r="B11880" t="str">
            <v>50-302-03-09</v>
          </cell>
          <cell r="C11880" t="str">
            <v>MIKRO KINNPLATTEN 3MM</v>
          </cell>
          <cell r="D11880" t="str">
            <v>MICRO CHIN PLATES 3 MM</v>
          </cell>
        </row>
        <row r="11881">
          <cell r="B11881" t="str">
            <v>50-302-05-09</v>
          </cell>
          <cell r="C11881" t="str">
            <v>MIKRO KINNPLATTEN 5MM</v>
          </cell>
          <cell r="D11881" t="str">
            <v>MICRO CHIN PLATES 5 MM</v>
          </cell>
        </row>
        <row r="11882">
          <cell r="B11882" t="str">
            <v>50-302-07-09</v>
          </cell>
          <cell r="C11882" t="str">
            <v>MIKRO KINNPLATTEN 7MM</v>
          </cell>
          <cell r="D11882" t="str">
            <v>MICRO CHIN PLATES 7 MM</v>
          </cell>
        </row>
        <row r="11883">
          <cell r="B11883" t="str">
            <v>50-302-09-09</v>
          </cell>
          <cell r="C11883" t="str">
            <v>MIKRO KINNPLATTEN 9MM</v>
          </cell>
          <cell r="D11883" t="str">
            <v>MICRO CHIN PLATES 9 MM</v>
          </cell>
        </row>
        <row r="11884">
          <cell r="B11884" t="str">
            <v>50-302-11-09</v>
          </cell>
          <cell r="C11884" t="str">
            <v>MIKRO KINNPLATTEN 11MM</v>
          </cell>
          <cell r="D11884" t="str">
            <v>MICRO CHIN PLATES 11MM</v>
          </cell>
        </row>
        <row r="11885">
          <cell r="B11885" t="str">
            <v>50-303-02-09</v>
          </cell>
          <cell r="C11885" t="str">
            <v>2,0 Mini Kinnplatte,  2 mm</v>
          </cell>
          <cell r="D11885" t="str">
            <v>2.0 Mini Chin Plate, 2 mm</v>
          </cell>
        </row>
        <row r="11886">
          <cell r="B11886" t="str">
            <v>50-303-03-09</v>
          </cell>
          <cell r="C11886" t="str">
            <v>2,0 Mini Kinnplatte,  3 mm</v>
          </cell>
          <cell r="D11886" t="str">
            <v>2.0 Mini Chin Plate, 3 mm</v>
          </cell>
        </row>
        <row r="11887">
          <cell r="B11887" t="str">
            <v>50-303-04-09</v>
          </cell>
          <cell r="C11887" t="str">
            <v>2,0 Mini Kinnplatte,  4 mm</v>
          </cell>
          <cell r="D11887" t="str">
            <v>2.0 Mini Chin Plate, 4 mm</v>
          </cell>
        </row>
        <row r="11888">
          <cell r="B11888" t="str">
            <v>50-303-05-09</v>
          </cell>
          <cell r="C11888" t="str">
            <v>2,0 Mini Kinnplatte,  5 mm</v>
          </cell>
          <cell r="D11888" t="str">
            <v>2.0 Mini Chin Plate, 5 mm</v>
          </cell>
        </row>
        <row r="11889">
          <cell r="B11889" t="str">
            <v>50-303-06-09</v>
          </cell>
          <cell r="C11889" t="str">
            <v>2,0 Mini Kinnplatte,  6 mm</v>
          </cell>
          <cell r="D11889" t="str">
            <v>2.0 Mini Chin Plate, 6 mm</v>
          </cell>
        </row>
        <row r="11890">
          <cell r="B11890" t="str">
            <v>50-303-07-09</v>
          </cell>
          <cell r="C11890" t="str">
            <v>2,0 Mini Kinnplatte,  7 mm</v>
          </cell>
          <cell r="D11890" t="str">
            <v>2.0 Mini Chin Plate, 7 mm</v>
          </cell>
        </row>
        <row r="11891">
          <cell r="B11891" t="str">
            <v>50-303-08-09</v>
          </cell>
          <cell r="C11891" t="str">
            <v>2,0 Mini Kinnplatte,  8 mm</v>
          </cell>
          <cell r="D11891" t="str">
            <v>2.0 Mini Chin Plate, 8 mm</v>
          </cell>
        </row>
        <row r="11892">
          <cell r="B11892" t="str">
            <v>50-303-09-09</v>
          </cell>
          <cell r="C11892" t="str">
            <v>2,0 Mini Kinnplatte,  9 mm</v>
          </cell>
          <cell r="D11892" t="str">
            <v>2.0 Mini Chin Plate, 9 mm</v>
          </cell>
        </row>
        <row r="11893">
          <cell r="B11893" t="str">
            <v>50-304-02-09</v>
          </cell>
          <cell r="C11893" t="str">
            <v>ARNETT KINNPLATTE 2,0, 2 MM</v>
          </cell>
          <cell r="D11893" t="str">
            <v>ARNETT GENIOPLASTY PLATE 2,0, 2 MM</v>
          </cell>
        </row>
        <row r="11894">
          <cell r="B11894" t="str">
            <v>50-304-02-71</v>
          </cell>
          <cell r="C11894" t="str">
            <v>ARNETT KINNPLATTE 2,0, 2 MM</v>
          </cell>
          <cell r="D11894" t="str">
            <v>ARNETT GENIOPLASTY PLATE 2,0, 2 MM</v>
          </cell>
        </row>
        <row r="11895">
          <cell r="B11895" t="str">
            <v>50-304-03-09</v>
          </cell>
          <cell r="C11895" t="str">
            <v>ARNETT KINNPLATTE 2,0, 3 MM</v>
          </cell>
          <cell r="D11895" t="str">
            <v>ARNETT GENIOPLASTY PLATE 2,0, 3 MM</v>
          </cell>
        </row>
        <row r="11896">
          <cell r="B11896" t="str">
            <v>50-304-03-71</v>
          </cell>
          <cell r="C11896" t="str">
            <v>ARNETT KINNPLATTE 2,0, 3 MM</v>
          </cell>
          <cell r="D11896" t="str">
            <v>ARNETT GENIOPLASTY PLATE 2,0, 3 MM</v>
          </cell>
        </row>
        <row r="11897">
          <cell r="B11897" t="str">
            <v>50-304-04-09</v>
          </cell>
          <cell r="C11897" t="str">
            <v>ARNETT KINNPLATTE 2,0, 4 MM</v>
          </cell>
          <cell r="D11897" t="str">
            <v>ARNETT GENIOPLASTY PLATE 2,0, 4 MM</v>
          </cell>
        </row>
        <row r="11898">
          <cell r="B11898" t="str">
            <v>50-304-04-71</v>
          </cell>
          <cell r="C11898" t="str">
            <v>ARNETT KINNPLATTE 2,0, 4 MM</v>
          </cell>
          <cell r="D11898" t="str">
            <v>ARNETT GENIOPLASTY PLATE 2,0, 4 MM</v>
          </cell>
        </row>
        <row r="11899">
          <cell r="B11899" t="str">
            <v>50-304-06-09</v>
          </cell>
          <cell r="C11899" t="str">
            <v>ARNETT KINNPLATTE 2,0, 6 MM</v>
          </cell>
          <cell r="D11899" t="str">
            <v>ARNETT GENIOPLASTY PLATE 2,0, 6 MM</v>
          </cell>
        </row>
        <row r="11900">
          <cell r="B11900" t="str">
            <v>50-304-06-71</v>
          </cell>
          <cell r="C11900" t="str">
            <v>ARNETT KINNPLATTE 2,0, 6 MM</v>
          </cell>
          <cell r="D11900" t="str">
            <v>ARNETT GENIOPLASTY PLATE 2,0, 6 MM</v>
          </cell>
        </row>
        <row r="11901">
          <cell r="B11901" t="str">
            <v>50-304-08-09</v>
          </cell>
          <cell r="C11901" t="str">
            <v>ARNETT KINNPLATTE 2,0, 8 MM</v>
          </cell>
          <cell r="D11901" t="str">
            <v>ARNETT GENIOPLASTY PLATE 2,0, 8 MM</v>
          </cell>
        </row>
        <row r="11902">
          <cell r="B11902" t="str">
            <v>50-304-08-71</v>
          </cell>
          <cell r="C11902" t="str">
            <v>ARNETT KINNPLATTE 2,0, 8 MM</v>
          </cell>
          <cell r="D11902" t="str">
            <v>ARNETT GENIOPLASTY PLATE 2,0, 8 MM</v>
          </cell>
        </row>
        <row r="11903">
          <cell r="B11903" t="str">
            <v>50-304-10-09</v>
          </cell>
          <cell r="C11903" t="str">
            <v>ARNETT KINNPLATTE 2,0, 10 MM</v>
          </cell>
          <cell r="D11903" t="str">
            <v>ARNETT GENIOPLASTY PLATE 2,0, 10 MM</v>
          </cell>
        </row>
        <row r="11904">
          <cell r="B11904" t="str">
            <v>50-304-10-71</v>
          </cell>
          <cell r="C11904" t="str">
            <v>ARNETT KINNPLATTE 2,0, 10 MM</v>
          </cell>
          <cell r="D11904" t="str">
            <v>ARNETT GENIOPLASTY PLATE 2,0, 10 MM</v>
          </cell>
        </row>
        <row r="11905">
          <cell r="B11905" t="str">
            <v>50-309-20-09</v>
          </cell>
          <cell r="C11905" t="str">
            <v>BURR HOLE COVER 20MM</v>
          </cell>
          <cell r="D11905" t="str">
            <v>BURR-HOLES COVER 20MM</v>
          </cell>
        </row>
        <row r="11906">
          <cell r="B11906" t="str">
            <v>50-309-20-71</v>
          </cell>
          <cell r="C11906" t="str">
            <v>BURR HOLE COVER 20MM</v>
          </cell>
          <cell r="D11906" t="str">
            <v>BURR-HOLE COVER 20MM</v>
          </cell>
        </row>
        <row r="11907">
          <cell r="B11907" t="str">
            <v>50-309-27-09</v>
          </cell>
          <cell r="C11907" t="str">
            <v>BURR HOLE COVER, 1,0, D17MM,  0,3MM</v>
          </cell>
          <cell r="D11907" t="str">
            <v>BURR HOLE COVER, 1.0, D17MM,  0.3MM</v>
          </cell>
        </row>
        <row r="11908">
          <cell r="B11908" t="str">
            <v>50-309-27-71</v>
          </cell>
          <cell r="C11908" t="str">
            <v>BURR HOLE COVER, 1,0, D17MM,  0,3MM</v>
          </cell>
          <cell r="D11908" t="str">
            <v>BURR HOLE COVER, 1.0, D17MM,  0.3MM</v>
          </cell>
        </row>
        <row r="11909">
          <cell r="B11909" t="str">
            <v>50-309-30-09</v>
          </cell>
          <cell r="C11909" t="str">
            <v>BURR HOLE COVER, 1,0, D20MM,  0,3MM</v>
          </cell>
          <cell r="D11909" t="str">
            <v>BURR HOLE COVER, 1.0, D20MM,  0.3MM</v>
          </cell>
        </row>
        <row r="11910">
          <cell r="B11910" t="str">
            <v>50-309-30-71</v>
          </cell>
          <cell r="C11910" t="str">
            <v>BURR HOLE COVER, 1,0, D20MM,  0,3MM</v>
          </cell>
          <cell r="D11910" t="str">
            <v>BURR HOLE COVER, 1.0, D20MM,  0.3MM</v>
          </cell>
        </row>
        <row r="11911">
          <cell r="B11911" t="str">
            <v>50-310-08-09</v>
          </cell>
          <cell r="C11911" t="str">
            <v>BURR HOLE COVER-J,1,5MM,DRAI,D18,VORGEF.</v>
          </cell>
          <cell r="D11911" t="str">
            <v>BURR-HOLES COVER-J,1.5MM,DRAI,D18,PRECON</v>
          </cell>
        </row>
        <row r="11912">
          <cell r="B11912" t="str">
            <v>50-310-08-71</v>
          </cell>
          <cell r="C11912" t="str">
            <v>BURR HOLE COVER-J,1,5MM,DRAI,D18,VORGEF.</v>
          </cell>
          <cell r="D11912" t="str">
            <v>BURR-HOLE COVER-J,1.5MM,DRAI,D18,PRECON</v>
          </cell>
        </row>
        <row r="11913">
          <cell r="B11913" t="str">
            <v>50-310-09-09</v>
          </cell>
          <cell r="C11913" t="str">
            <v>BURR HOLE COVER, 1,5MM, DRAINAGE</v>
          </cell>
          <cell r="D11913" t="str">
            <v>BURR-HOLES COVER, 1.5MM, DRAINAGE</v>
          </cell>
        </row>
        <row r="11914">
          <cell r="B11914" t="str">
            <v>50-310-09-71</v>
          </cell>
          <cell r="C11914" t="str">
            <v>BURR HOLE COVER, 1,5MM, DRAINAGE</v>
          </cell>
          <cell r="D11914" t="str">
            <v>BURR-HOLE COVER, 1.5MM, DRAINAGE</v>
          </cell>
        </row>
        <row r="11915">
          <cell r="B11915" t="str">
            <v>50-310-11-09</v>
          </cell>
          <cell r="C11915" t="str">
            <v>BURR HOLE COVER, 1,5MM, DRAINAGE</v>
          </cell>
          <cell r="D11915" t="str">
            <v>BURR-HOLES COVER, 1.5MM, DRAINAGE</v>
          </cell>
        </row>
        <row r="11916">
          <cell r="B11916" t="str">
            <v>50-310-11-71</v>
          </cell>
          <cell r="C11916" t="str">
            <v>BURR HOLE COVER, 1,5MM, DRAINAGE</v>
          </cell>
          <cell r="D11916" t="str">
            <v>BURR-HOLE COVER, 1.5MM, DRAINAGE</v>
          </cell>
        </row>
        <row r="11917">
          <cell r="B11917" t="str">
            <v>50-310-12-09</v>
          </cell>
          <cell r="C11917" t="str">
            <v>BURR HOLE COVER, 1,5, D12MM,  0,6MM</v>
          </cell>
          <cell r="D11917" t="str">
            <v>BURR HOLE COVER, 1.5, D12MM,  0.6MM</v>
          </cell>
        </row>
        <row r="11918">
          <cell r="B11918" t="str">
            <v>50-310-12-71</v>
          </cell>
          <cell r="C11918" t="str">
            <v>BURR HOLE COVER, 1,5, D12MM,  0,6MM</v>
          </cell>
          <cell r="D11918" t="str">
            <v>BURR HOLE COVER, 1.5, D12MM,  0.6MM</v>
          </cell>
        </row>
        <row r="11919">
          <cell r="B11919" t="str">
            <v>50-310-17-09</v>
          </cell>
          <cell r="C11919" t="str">
            <v>BURR HOLE COVER, 1,5, D17MM,  0,6MM</v>
          </cell>
          <cell r="D11919" t="str">
            <v>BURR HOLE COVER, 1.5, D17MM,  0.6MM</v>
          </cell>
        </row>
        <row r="11920">
          <cell r="B11920" t="str">
            <v>50-310-17-71</v>
          </cell>
          <cell r="C11920" t="str">
            <v>BURR HOLE COVER, 1,5, D17MM,  0,6MM</v>
          </cell>
          <cell r="D11920" t="str">
            <v>BURR HOLE COVER, 1.5, D17MM,  0.6MM</v>
          </cell>
        </row>
        <row r="11921">
          <cell r="B11921" t="str">
            <v>50-310-22-09</v>
          </cell>
          <cell r="C11921" t="str">
            <v>BURR HOLE COVER, 1,5,D12MM,0,3MM,VORGEF.</v>
          </cell>
          <cell r="D11921" t="str">
            <v>BURR-HOLE COVER, 1.5, D12MM,0.3MM,PRECON</v>
          </cell>
        </row>
        <row r="11922">
          <cell r="B11922" t="str">
            <v>50-310-22-71</v>
          </cell>
          <cell r="C11922" t="str">
            <v>BURR HOLE COVER, 1,5,D12MM,0,3MM,VORGEF.</v>
          </cell>
          <cell r="D11922" t="str">
            <v>BURR-HOLE COVER, 1.5, D12MM,0.3MM,PRECON</v>
          </cell>
        </row>
        <row r="11923">
          <cell r="B11923" t="str">
            <v>50-310-23-09</v>
          </cell>
          <cell r="C11923" t="str">
            <v>LP NEURO BURR HOLE COVER VOR 12MMØ 0.3MM</v>
          </cell>
          <cell r="D11923" t="str">
            <v>LP NEURO BURR HOLE COVER CONT 12Ø 0.3MM</v>
          </cell>
        </row>
        <row r="11924">
          <cell r="B11924" t="str">
            <v>50-310-23-71</v>
          </cell>
          <cell r="C11924" t="str">
            <v>LP NEURO BURR HOLE C. 12MMØ 0.3MM,STER.</v>
          </cell>
          <cell r="D11924" t="str">
            <v>LP NEURO BURR HOLE C. 12Ø 0.3MM, STER</v>
          </cell>
        </row>
        <row r="11925">
          <cell r="B11925" t="str">
            <v>50-310-27-09</v>
          </cell>
          <cell r="C11925" t="str">
            <v>BURR HOLE COVER, 1,5MM, D 17MM</v>
          </cell>
          <cell r="D11925" t="str">
            <v>BURR-HOLES COVER 1,5MM, D 17MM</v>
          </cell>
        </row>
        <row r="11926">
          <cell r="B11926" t="str">
            <v>50-310-27-71</v>
          </cell>
          <cell r="C11926" t="str">
            <v>BURR HOLE COVER, 1,5MM, D 17MM</v>
          </cell>
          <cell r="D11926" t="str">
            <v>BURR-HOLE COVER 1,5MM, D 17MM</v>
          </cell>
        </row>
        <row r="11927">
          <cell r="B11927" t="str">
            <v>50-310-28-09</v>
          </cell>
          <cell r="C11927" t="str">
            <v>LP NEURO BURR HOLE COVER VOR 17MMØ 0.3MM</v>
          </cell>
          <cell r="D11927" t="str">
            <v>LP NEURO BURR HOLE COVER CONT 17Ø 0.3MM</v>
          </cell>
        </row>
        <row r="11928">
          <cell r="B11928" t="str">
            <v>50-310-28-71</v>
          </cell>
          <cell r="C11928" t="str">
            <v>LP NEURO BURR HOLE C. 17MMØ 0.3MM,STER.</v>
          </cell>
          <cell r="D11928" t="str">
            <v>LP NEURO BURR HOLE C. 17Ø 0.3MM, STER</v>
          </cell>
        </row>
        <row r="11929">
          <cell r="B11929" t="str">
            <v>50-310-32-09</v>
          </cell>
          <cell r="C11929" t="str">
            <v>BURR HOLE COVER, 1,5MM, D22MM</v>
          </cell>
          <cell r="D11929" t="str">
            <v>BURR-HOLES COVER, 1.5MM, D22MM</v>
          </cell>
        </row>
        <row r="11930">
          <cell r="B11930" t="str">
            <v>50-310-32-71</v>
          </cell>
          <cell r="C11930" t="str">
            <v>BURR HOLE COVER, 1,5MM, D22MM</v>
          </cell>
          <cell r="D11930" t="str">
            <v>BURR-HOLE COVER, 1.5MM, D22MM</v>
          </cell>
        </row>
        <row r="11931">
          <cell r="B11931" t="str">
            <v>50-310-33-09</v>
          </cell>
          <cell r="C11931" t="str">
            <v>LP NEURO BURR HOLE COVER VOR 22MMØ 0.3MM</v>
          </cell>
          <cell r="D11931" t="str">
            <v>LP NEURO BURR HOLE COVER CONT 22Ø 0.3MM</v>
          </cell>
        </row>
        <row r="11932">
          <cell r="B11932" t="str">
            <v>50-310-33-71</v>
          </cell>
          <cell r="C11932" t="str">
            <v>LP NEURO BURR HOLE C. 22MMØ 0.3MM, STER.</v>
          </cell>
          <cell r="D11932" t="str">
            <v>LP NEURO BURR HOLE C. 22Ø 0.3MM, STER</v>
          </cell>
        </row>
        <row r="11933">
          <cell r="B11933" t="str">
            <v>50-311-17-09</v>
          </cell>
          <cell r="C11933" t="str">
            <v>BURR HOLE COVER, 2,0, D17MM,  0,6MM</v>
          </cell>
          <cell r="D11933" t="str">
            <v>BURR-HOLE COVER, 2,0, D17MM,  0.6MM</v>
          </cell>
        </row>
        <row r="11934">
          <cell r="B11934" t="str">
            <v>50-311-17-71</v>
          </cell>
          <cell r="C11934" t="str">
            <v>BURR HOLE COVER, 2,0, D17MM,  0,6MM</v>
          </cell>
          <cell r="D11934" t="str">
            <v>BURR-HOLE COVER, 2,0, D17MM,  0.6MM</v>
          </cell>
        </row>
        <row r="11935">
          <cell r="B11935" t="str">
            <v>50-311-27-09</v>
          </cell>
          <cell r="C11935" t="str">
            <v>BURR HOLE COVER, 2,0MM, D17MM</v>
          </cell>
          <cell r="D11935" t="str">
            <v>BURR-HOLES COVER, 2.0MM, D17MM</v>
          </cell>
        </row>
        <row r="11936">
          <cell r="B11936" t="str">
            <v>50-311-27-71</v>
          </cell>
          <cell r="C11936" t="str">
            <v>BURR HOLE COVER, 2,0MM, D17MM</v>
          </cell>
          <cell r="D11936" t="str">
            <v>BURR-HOLE COVER, 2.0MM, D17MM</v>
          </cell>
        </row>
        <row r="11937">
          <cell r="B11937" t="str">
            <v>50-320-08-09</v>
          </cell>
          <cell r="C11937" t="str">
            <v>MINIPLATTE 2,0, 8-L, GERADE,  RB 1,0MM</v>
          </cell>
          <cell r="D11937" t="str">
            <v>MINI PL., 8-HOL, STRAIGHT,  RB 1.0MM</v>
          </cell>
        </row>
        <row r="11938">
          <cell r="B11938" t="str">
            <v>50-320-08-71</v>
          </cell>
          <cell r="C11938" t="str">
            <v>MINIPLATTE 2,0, 8-LOCH, GERADE,RB,STERIL</v>
          </cell>
          <cell r="D11938" t="str">
            <v>MINIPL. 2.0,8-HOLES,STRAIGHT,RB,STERILE</v>
          </cell>
        </row>
        <row r="11939">
          <cell r="B11939" t="str">
            <v>50-321-04-09</v>
          </cell>
          <cell r="C11939" t="str">
            <v>MINIPLATTE 2,0, 4-L, STEG-K, RB 1,0MM</v>
          </cell>
          <cell r="D11939" t="str">
            <v>MINI PL., 4-HOL, SHORT-STRAI, RB 1.0MM</v>
          </cell>
        </row>
        <row r="11940">
          <cell r="B11940" t="str">
            <v>50-321-04-71</v>
          </cell>
          <cell r="C11940" t="str">
            <v>MINIPLATTE 2,0, 4-L, STEG-K, RB 1,0MM</v>
          </cell>
          <cell r="D11940" t="str">
            <v>MINI PL., 4-HOL, SHORT-STRAI, RB 1.0MM</v>
          </cell>
        </row>
        <row r="11941">
          <cell r="B11941" t="str">
            <v>50-322-04-09</v>
          </cell>
          <cell r="C11941" t="str">
            <v>MINIPLATTE 2,0, 4-L, STEG-L, RB 1,0MM</v>
          </cell>
          <cell r="D11941" t="str">
            <v>MINI PL., 4-HOL, LONG-STR,  RB 1.0MM</v>
          </cell>
        </row>
        <row r="11942">
          <cell r="B11942" t="str">
            <v>50-322-04-71</v>
          </cell>
          <cell r="C11942" t="str">
            <v>MINIPLATTE 2,0, 4-L, STEG-L, RB 1,0MM</v>
          </cell>
          <cell r="D11942" t="str">
            <v>MINI PL., 4-HOL, LONG-STR,  RB 1.0MM</v>
          </cell>
        </row>
        <row r="11943">
          <cell r="B11943" t="str">
            <v>50-325-01-07</v>
          </cell>
          <cell r="C11943" t="str">
            <v>FRAKTURKLEMME 15CM</v>
          </cell>
          <cell r="D11943" t="str">
            <v>FRACTURE  REDUCTION CLAMP 15CM</v>
          </cell>
        </row>
        <row r="11944">
          <cell r="B11944" t="str">
            <v>50-325-11-07</v>
          </cell>
          <cell r="C11944" t="str">
            <v>KIEFERGELENKKLEMME LINKS N. ECKELT</v>
          </cell>
          <cell r="D11944" t="str">
            <v>ECKELT TMJ CLAMP LEFT</v>
          </cell>
        </row>
        <row r="11945">
          <cell r="B11945" t="str">
            <v>50-325-12-07</v>
          </cell>
          <cell r="C11945" t="str">
            <v>KIEFERGELENKKLEMME RECHTS N. ECKELT</v>
          </cell>
          <cell r="D11945" t="str">
            <v>ECKELT TMJ CLAMP RIGHT</v>
          </cell>
        </row>
        <row r="11946">
          <cell r="B11946" t="str">
            <v>50-330-06-09</v>
          </cell>
          <cell r="C11946" t="str">
            <v>MINI SAGITTAL-PL,6-L, STEG-K,RB  1,0MM</v>
          </cell>
          <cell r="D11946" t="str">
            <v>MINI SAGITTAL  PL.6-HOL,SHORT,RB 1.0MM</v>
          </cell>
        </row>
        <row r="11947">
          <cell r="B11947" t="str">
            <v>50-330-06-71</v>
          </cell>
          <cell r="C11947" t="str">
            <v>MINI SAGITTAL-PL,6-L, STEG-K,RB  1,0MM</v>
          </cell>
          <cell r="D11947" t="str">
            <v>MINI SAGITTAL  PL.6-HOL,SHORT,RB 1.0MM</v>
          </cell>
        </row>
        <row r="11948">
          <cell r="B11948" t="str">
            <v>50-331-06-09</v>
          </cell>
          <cell r="C11948" t="str">
            <v>MINI SAGITTAL-PL,6-L,STEG-M,RB 1,0MM</v>
          </cell>
          <cell r="D11948" t="str">
            <v>MINI SAGITTAL  PL. 6-HOL, MED., RB 1.0MM</v>
          </cell>
        </row>
        <row r="11949">
          <cell r="B11949" t="str">
            <v>50-331-06-71</v>
          </cell>
          <cell r="C11949" t="str">
            <v>MINI SAGITTAL-PL,6-L,STEG-M,RB 1,0MM</v>
          </cell>
          <cell r="D11949" t="str">
            <v>MINI SAGITTAL  PL. 6-HOL, MED., RB 1.0MM</v>
          </cell>
        </row>
        <row r="11950">
          <cell r="B11950" t="str">
            <v>50-332-06-09</v>
          </cell>
          <cell r="C11950" t="str">
            <v>MINI SAGITTAL-PL,6-L,STEG-L,RB 1,0MM</v>
          </cell>
          <cell r="D11950" t="str">
            <v>MINI SAGITtAL  PL., 6-HOL, LONG, RB 1.0MM</v>
          </cell>
        </row>
        <row r="11951">
          <cell r="B11951" t="str">
            <v>50-332-06-71</v>
          </cell>
          <cell r="C11951" t="str">
            <v>MINI SAGITTAL-PL,6-L,STEG-L,RB 1,0MM</v>
          </cell>
          <cell r="D11951" t="str">
            <v>MINI SAGITTAL  PL., 6-HOL, LONG, RB 1.0MM</v>
          </cell>
        </row>
        <row r="11952">
          <cell r="B11952" t="str">
            <v>50-334-08-09</v>
          </cell>
          <cell r="C11952" t="str">
            <v>MAXDRIVE  ORTHOANCHOR SCHR. 1.5X6X11.1MM</v>
          </cell>
          <cell r="D11952" t="str">
            <v>MAXDRIVE  ORTHOANCHOR SCR. 1.5X6X11.1MM</v>
          </cell>
        </row>
        <row r="11953">
          <cell r="B11953" t="str">
            <v>50-334-10-09</v>
          </cell>
          <cell r="C11953" t="str">
            <v>MAXDRIVE  ORTHOANCHOR SCHR. 1.5X8X13.1MM</v>
          </cell>
          <cell r="D11953" t="str">
            <v>MAXDRIVE  ORTHOANCHOR SCR. 1.5X8X13.1MM</v>
          </cell>
        </row>
        <row r="11954">
          <cell r="B11954" t="str">
            <v>50-334-11-09</v>
          </cell>
          <cell r="C11954" t="str">
            <v>MAXDRIVE  ORTHOANCHOR SCHR. 1.5X10X15.1MM</v>
          </cell>
          <cell r="D11954" t="str">
            <v>MAXDRIVE  ORTHOANCHOR SCR. 1.5X10X15.1MM</v>
          </cell>
        </row>
        <row r="11955">
          <cell r="B11955" t="str">
            <v>50-334-12-09</v>
          </cell>
          <cell r="C11955" t="str">
            <v>MAXDRIVE  ORTHOANCHOR SCHR. 1.5X8X13.6MM</v>
          </cell>
          <cell r="D11955" t="str">
            <v>MAXDRIVE  ORTHOANCHOR SCR. 1.5X8X13.6MM</v>
          </cell>
        </row>
        <row r="11956">
          <cell r="B11956" t="str">
            <v>50-335-11-09</v>
          </cell>
          <cell r="C11956" t="str">
            <v>MAXDRIVE  ORTHOANCHOR SCHR. 2.0X6X11.1MM</v>
          </cell>
          <cell r="D11956" t="str">
            <v>MAXDRIVE  ORTHOANCHOR SCR. 2.0X6X11.1MM</v>
          </cell>
        </row>
        <row r="11957">
          <cell r="B11957" t="str">
            <v>50-335-13-09</v>
          </cell>
          <cell r="C11957" t="str">
            <v>MAXDRIVE  ORTHOANCHOR SCHR. 2.0X8X13.1MM</v>
          </cell>
          <cell r="D11957" t="str">
            <v>MAXDRIVE  ORTHOANCHOR SCR. 2.0X8X13.1MM</v>
          </cell>
        </row>
        <row r="11958">
          <cell r="B11958" t="str">
            <v>50-335-14-09</v>
          </cell>
          <cell r="C11958" t="str">
            <v>MAXDRIVE  ORTHOANCHOR SCHR. 2.0X8X13.6MM</v>
          </cell>
          <cell r="D11958" t="str">
            <v>MAXDRIVE  ORTHOANCHOR SCR. 2.0X8X13.6MM</v>
          </cell>
        </row>
        <row r="11959">
          <cell r="B11959" t="str">
            <v>50-335-15-09</v>
          </cell>
          <cell r="C11959" t="str">
            <v>MAXDRIVE  ORTHOANCHOR SCHR. 2.0X10X15.1MM</v>
          </cell>
          <cell r="D11959" t="str">
            <v>MAXDRIVE  ORTHOANCHOR SCR. 2.0X10X15.1MM</v>
          </cell>
        </row>
        <row r="11960">
          <cell r="B11960" t="str">
            <v>50-339-07-09</v>
          </cell>
          <cell r="C11960" t="str">
            <v>ABSTANDSSCHRAUBE,MAXDR.,DF,1.5x7MM,4MM</v>
          </cell>
          <cell r="D11960" t="str">
            <v>TENTING  SCREW,MAXDRIVE, DF, 1.5x7MM,  4MM</v>
          </cell>
        </row>
        <row r="11961">
          <cell r="B11961" t="str">
            <v>50-339-09-09</v>
          </cell>
          <cell r="C11961" t="str">
            <v>ABSTANDSSCHRAUBE,MAXDR.,DF,1.5x9MM,4MM</v>
          </cell>
          <cell r="D11961" t="str">
            <v>TENTING  SCREW,MAXDRIVE, DF, 1.5x9MM,  4MM</v>
          </cell>
        </row>
        <row r="11962">
          <cell r="B11962" t="str">
            <v>50-339-11-09</v>
          </cell>
          <cell r="C11962" t="str">
            <v>ABSTANDSSCHRAUBE,MAXDR.,DF,1.5x11MM,4MM</v>
          </cell>
          <cell r="D11962" t="str">
            <v>TENTING  SCREW,MAXDRIVE, DF,1.5x11MM, 4MM</v>
          </cell>
        </row>
        <row r="11963">
          <cell r="B11963" t="str">
            <v>50-347-06-09</v>
          </cell>
          <cell r="C11963" t="str">
            <v>ZÜRICH K-Schraube 1.2 x 6 x 4mm</v>
          </cell>
          <cell r="D11963" t="str">
            <v>ZUERICH  BONE SCREW 1.2 x 6 x 4mm</v>
          </cell>
        </row>
        <row r="11964">
          <cell r="B11964" t="str">
            <v>50-347-07-09</v>
          </cell>
          <cell r="C11964" t="str">
            <v>ZÜRICH K-Schraube 1.2 x 7 x 5mm</v>
          </cell>
          <cell r="D11964" t="str">
            <v>ZUERICH  K-Screw 1.2 x 7 x 5mm</v>
          </cell>
        </row>
        <row r="11965">
          <cell r="B11965" t="str">
            <v>50-347-09-09</v>
          </cell>
          <cell r="C11965" t="str">
            <v>ZÜRICH K-Schraube 1.2 x 9 x 7mm</v>
          </cell>
          <cell r="D11965" t="str">
            <v>ZUERICH  K-Screw 1.2 x 9 x 7mm</v>
          </cell>
        </row>
        <row r="11966">
          <cell r="B11966" t="str">
            <v>50-348-07-09</v>
          </cell>
          <cell r="C11966" t="str">
            <v>ZÜRICH K-Schraube 1,5 x 7 x 5 mm</v>
          </cell>
          <cell r="D11966" t="str">
            <v>ZUERICH  K-Screw 1.5 x 7 x 5 mm</v>
          </cell>
        </row>
        <row r="11967">
          <cell r="B11967" t="str">
            <v>50-348-09-09</v>
          </cell>
          <cell r="C11967" t="str">
            <v>ZÜRICH K-Schraube 1,5 x 9 x 7 mm</v>
          </cell>
          <cell r="D11967" t="str">
            <v>ZUERICH  K-Screw 1.5 x 9 x 7 mm</v>
          </cell>
        </row>
        <row r="11968">
          <cell r="B11968" t="str">
            <v>50-360-04-09</v>
          </cell>
          <cell r="C11968" t="str">
            <v>MINIPL., 2,0, 4-LOCH, GERADE,  0,6MM</v>
          </cell>
          <cell r="D11968" t="str">
            <v>MINIPL., 2.0, 4-HOLES,  STRAIGHT,  0.6MM</v>
          </cell>
        </row>
        <row r="11969">
          <cell r="B11969" t="str">
            <v>50-360-04-25</v>
          </cell>
          <cell r="C11969" t="str">
            <v>MINIPL., 2,0, 4-LOCH, GERADE,  0,6MM</v>
          </cell>
          <cell r="D11969" t="str">
            <v>MINIPL., 2.0, 4-HOLES,  STRAIGHT,  0.6MM</v>
          </cell>
        </row>
        <row r="11970">
          <cell r="B11970" t="str">
            <v>50-360-04-71</v>
          </cell>
          <cell r="C11970" t="str">
            <v>MINIPL.2,0, 4-LOCH, GERADE,  0,6MM,STERIL</v>
          </cell>
          <cell r="D11970" t="str">
            <v>MINI PLATE 2.0,4-HOLE,STR.,0.6MM,STERILE</v>
          </cell>
        </row>
        <row r="11971">
          <cell r="B11971" t="str">
            <v>50-360-04-91</v>
          </cell>
          <cell r="C11971" t="str">
            <v>MINIPL., 2,0, 4-LOCH, GERADE,  0,6MM</v>
          </cell>
          <cell r="D11971" t="str">
            <v>MINIPL., 2.0, 4-HOLES,  STRAIGHT,  0.6MM</v>
          </cell>
        </row>
        <row r="11972">
          <cell r="B11972" t="str">
            <v>50-361-04-09</v>
          </cell>
          <cell r="C11972" t="str">
            <v>L-Platte 2,0, rechts, 100°, 15mm, 0,6mm</v>
          </cell>
          <cell r="D11972" t="str">
            <v>L-Plate 2.0, right, 100°, 15 mm, 0,6mm</v>
          </cell>
        </row>
        <row r="11973">
          <cell r="B11973" t="str">
            <v>50-362-02-09</v>
          </cell>
          <cell r="C11973" t="str">
            <v>MINIPL., 2,0, 2-LOCH, GERADE,  0,6MM</v>
          </cell>
          <cell r="D11973" t="str">
            <v>MINIPL., 2.0, 2-HOLES,  STRAIGHT,  0.6MM</v>
          </cell>
        </row>
        <row r="11974">
          <cell r="B11974" t="str">
            <v>50-362-02-71</v>
          </cell>
          <cell r="C11974" t="str">
            <v>MINIPL., 2,0, 2-LOCH, GERADE,  0,6MM</v>
          </cell>
          <cell r="D11974" t="str">
            <v>MINIPL., 2.0, 2-HOLES,  STRAIGHT,  0.6MM</v>
          </cell>
        </row>
        <row r="11975">
          <cell r="B11975" t="str">
            <v>50-362-02-91</v>
          </cell>
          <cell r="C11975" t="str">
            <v>MINIPL., 2,0, 2-LOCH, GERADE,  0,6MM</v>
          </cell>
          <cell r="D11975" t="str">
            <v>MINIPL., 2.0, 2-HOLES,  STRAIGHT,  0.6MM</v>
          </cell>
        </row>
        <row r="11976">
          <cell r="B11976" t="str">
            <v>50-362-04-09</v>
          </cell>
          <cell r="C11976" t="str">
            <v>MINIPL., 2,0, 4-LOCH, KURZ, GER., 0,6 MM</v>
          </cell>
          <cell r="D11976" t="str">
            <v>MINIPL., 2.0, 4-HOLES,  SHORT, STR.,0.6MM</v>
          </cell>
        </row>
        <row r="11977">
          <cell r="B11977" t="str">
            <v>50-362-04-25</v>
          </cell>
          <cell r="C11977" t="str">
            <v>MINIPL., 2,0, 4-LOCH, KURZ, GER., 0,6 MM</v>
          </cell>
          <cell r="D11977" t="str">
            <v>MINIPL., 2.0, 4-HOLES,  SHORT, STR.,0.6MM</v>
          </cell>
        </row>
        <row r="11978">
          <cell r="B11978" t="str">
            <v>50-362-04-71</v>
          </cell>
          <cell r="C11978" t="str">
            <v>MINIPL.2,0, 4-LO.,KURZ,GER.,0,6MM,STERIL</v>
          </cell>
          <cell r="D11978" t="str">
            <v>MINI PLATE 2.0,4-H,SH,STR.,0.6MM,STERILE</v>
          </cell>
        </row>
        <row r="11979">
          <cell r="B11979" t="str">
            <v>50-362-04-91</v>
          </cell>
          <cell r="C11979" t="str">
            <v>MINIPL., 2,0, 4-LOCH, KURZ, GER., 0,6 MM</v>
          </cell>
          <cell r="D11979" t="str">
            <v>MINIPL., 2.0, 4-HOLES,  SHORT, STR.,0.6MM</v>
          </cell>
        </row>
        <row r="11980">
          <cell r="B11980" t="str">
            <v>50-364-04-09</v>
          </cell>
          <cell r="C11980" t="str">
            <v>MINIPL., 2,0, 4-LOCH, LANG, GER., 0,6 MM</v>
          </cell>
          <cell r="D11980" t="str">
            <v>MINIPL., 2.0, 4-HOLES,  LONG, STR.,0.6MM</v>
          </cell>
        </row>
        <row r="11981">
          <cell r="B11981" t="str">
            <v>50-364-04-71</v>
          </cell>
          <cell r="C11981" t="str">
            <v>MINIPL., 2,0, 4-LOCH, LANG, GER., 0,6 MM</v>
          </cell>
          <cell r="D11981" t="str">
            <v>MINIPL., 2.0, 4-HOLES,  LONG, STR., 0.6MM</v>
          </cell>
        </row>
        <row r="11982">
          <cell r="B11982" t="str">
            <v>50-364-04-91</v>
          </cell>
          <cell r="C11982" t="str">
            <v>MINIPL., 2,0, 4-LOCH, LANG, GER., 0,6 MM</v>
          </cell>
          <cell r="D11982" t="str">
            <v>MINIPL., 2.0, 4-HOLES,  LONG, STR., 0.6MM</v>
          </cell>
        </row>
        <row r="11983">
          <cell r="B11983" t="str">
            <v>50-365-04-09</v>
          </cell>
          <cell r="C11983" t="str">
            <v>L-Platte 2,0, links, 100°, 15mm, 0,6mm</v>
          </cell>
          <cell r="D11983" t="str">
            <v>L-Plate 2.0, left, 100°, 15 mm, 0,6mm</v>
          </cell>
        </row>
        <row r="11984">
          <cell r="B11984" t="str">
            <v>50-366-04-09</v>
          </cell>
          <cell r="C11984" t="str">
            <v>L-Platte 2,0, rechts, 100°, 18mm, 0,6mm</v>
          </cell>
          <cell r="D11984" t="str">
            <v>L-Plate 2.0, right, 100°, 18 mm, 0,6mm</v>
          </cell>
        </row>
        <row r="11985">
          <cell r="B11985" t="str">
            <v>50-366-06-09</v>
          </cell>
          <cell r="C11985" t="str">
            <v>MINIPL., 2,0, 6-LOCH, GERADE,  0,6 MM</v>
          </cell>
          <cell r="D11985" t="str">
            <v>MINIPL., 2.0, 6-HOLES,  STRAIGHT,  0.6 MM</v>
          </cell>
        </row>
        <row r="11986">
          <cell r="B11986" t="str">
            <v>50-366-06-71</v>
          </cell>
          <cell r="C11986" t="str">
            <v>MINIPL., 2,0, 6-LOCH, GERADE,  0,6 MM</v>
          </cell>
          <cell r="D11986" t="str">
            <v>MINIPL., 2.0, 6-HOLES,  STRAIGHT,  0.6 MM</v>
          </cell>
        </row>
        <row r="11987">
          <cell r="B11987" t="str">
            <v>50-366-06-91</v>
          </cell>
          <cell r="C11987" t="str">
            <v>MINIPL., 2,0, 6-LOCH, GERADE,  0,6 MM</v>
          </cell>
          <cell r="D11987" t="str">
            <v>MINIPL., 2.0, 6-HOLES,  STRAIGHT,  0.6 MM</v>
          </cell>
        </row>
        <row r="11988">
          <cell r="B11988" t="str">
            <v>50-367-04-09</v>
          </cell>
          <cell r="C11988" t="str">
            <v>L-Platte 2,0, links, 100°, 18mm, 0,6mm</v>
          </cell>
          <cell r="D11988" t="str">
            <v>L-Plate 2.0, left, 100°, 18 mm, 0,6mm</v>
          </cell>
        </row>
        <row r="11989">
          <cell r="B11989" t="str">
            <v>50-368-04-09</v>
          </cell>
          <cell r="C11989" t="str">
            <v>L-Platte 2,0, rechts, 100°, 15mm, 0,6mm</v>
          </cell>
          <cell r="D11989" t="str">
            <v>L-Plate 2.0, right, 100°, 23 mm, 0,6mm</v>
          </cell>
        </row>
        <row r="11990">
          <cell r="B11990" t="str">
            <v>50-368-06-09</v>
          </cell>
          <cell r="C11990" t="str">
            <v>MINIPL., 2,0, 6-LOCH, GERADE,LANG, 0,6MM</v>
          </cell>
          <cell r="D11990" t="str">
            <v>MINIPL., 2.0, 6-HOLES,STR.LONG, 0,6MM</v>
          </cell>
        </row>
        <row r="11991">
          <cell r="B11991" t="str">
            <v>50-368-06-71</v>
          </cell>
          <cell r="C11991" t="str">
            <v>MINIPL., 2,0, 6-LOCH, GERADE,LANG, 0,6MM</v>
          </cell>
          <cell r="D11991" t="str">
            <v>MINIPL., 2.0, 6-HOLES,STR.LONG, 0,6MM</v>
          </cell>
        </row>
        <row r="11992">
          <cell r="B11992" t="str">
            <v>50-368-06-91</v>
          </cell>
          <cell r="C11992" t="str">
            <v>MINIPL., 2,0, 6-LOCH, GERADE,LANG, 0,6MM</v>
          </cell>
          <cell r="D11992" t="str">
            <v>MINIPL., 2.0, 6-HOLES,STR.LONG, 0,6MM</v>
          </cell>
        </row>
        <row r="11993">
          <cell r="B11993" t="str">
            <v>50-368-16-09</v>
          </cell>
          <cell r="C11993" t="str">
            <v>MINIPL., 2,0,16-LOCH, GERADE,  0,6 MM</v>
          </cell>
          <cell r="D11993" t="str">
            <v>MINIPL., 2.0,16-HOLES, STRAIGHT,  0.6MM</v>
          </cell>
        </row>
        <row r="11994">
          <cell r="B11994" t="str">
            <v>50-368-16-71</v>
          </cell>
          <cell r="C11994" t="str">
            <v>MINIPL.2,0,16-LOCH, GERADE,  0,6MM,STERIL</v>
          </cell>
          <cell r="D11994" t="str">
            <v>MINI PLATE 2.0,16-HOLE,STR,0.6MM,STERILE</v>
          </cell>
        </row>
        <row r="11995">
          <cell r="B11995" t="str">
            <v>50-368-16-91</v>
          </cell>
          <cell r="C11995" t="str">
            <v>MINIPL., 2,0,16-LOCH, GERADE,  0,6 MM</v>
          </cell>
          <cell r="D11995" t="str">
            <v>MINIPL., 2.0,16-HOLES, STRAIGHT,  0.6MM</v>
          </cell>
        </row>
        <row r="11996">
          <cell r="B11996" t="str">
            <v>50-369-04-09</v>
          </cell>
          <cell r="C11996" t="str">
            <v>L-Platte 2,0, links, 100°, 23mm, 0,6mm</v>
          </cell>
          <cell r="D11996" t="str">
            <v>L-Plate 2.0, left, 100°, 23 mm, 0,6mm</v>
          </cell>
        </row>
        <row r="11997">
          <cell r="B11997" t="str">
            <v>50-370-08-09</v>
          </cell>
          <cell r="C11997" t="str">
            <v>MINIPL., 2,0, 8-LOCH, GERADE,  0,6 MM</v>
          </cell>
          <cell r="D11997" t="str">
            <v>MINIPL., 2.0, 8-HOLES,  STRAIGHT,  0.6MM</v>
          </cell>
        </row>
        <row r="11998">
          <cell r="B11998" t="str">
            <v>50-370-08-71</v>
          </cell>
          <cell r="C11998" t="str">
            <v>MINIPL., 2,0, 8-LOCH, GERADE,  0,6 MM</v>
          </cell>
          <cell r="D11998" t="str">
            <v>MINIPL., 2.0, 8-HOLES,  STRAIGHT,  0.6MM</v>
          </cell>
        </row>
        <row r="11999">
          <cell r="B11999" t="str">
            <v>50-370-08-91</v>
          </cell>
          <cell r="C11999" t="str">
            <v>MINIPL., 2,0, 8-LOCH, GERADE,  0,6 MM</v>
          </cell>
          <cell r="D11999" t="str">
            <v>MINIPL., 2.0, 8-HOLES,  STRAIGHT,  0.6MM</v>
          </cell>
        </row>
        <row r="12000">
          <cell r="B12000" t="str">
            <v>50-371-04-09</v>
          </cell>
          <cell r="C12000" t="str">
            <v>MINIPL., 2,0, 4-L,L-FORM, KURZ, RE,0,6MM</v>
          </cell>
          <cell r="D12000" t="str">
            <v>MINIPL., 2.0,4-H,L-SHAPE,SHORT, RI,0.6MM</v>
          </cell>
        </row>
        <row r="12001">
          <cell r="B12001" t="str">
            <v>50-371-04-71</v>
          </cell>
          <cell r="C12001" t="str">
            <v>MINIPL., 2,0, 4-L,L-FORM, KURZ, RE,0,6MM</v>
          </cell>
          <cell r="D12001" t="str">
            <v>MINIPL., 2.0,4-H,L-SHAPE,SHORT, RI,0.6MM</v>
          </cell>
        </row>
        <row r="12002">
          <cell r="B12002" t="str">
            <v>50-371-04-91</v>
          </cell>
          <cell r="C12002" t="str">
            <v>MINIPL., 2,0, 4-L,L-FORM, KURZ, RE,0,6MM</v>
          </cell>
          <cell r="D12002" t="str">
            <v>MINIPL., 2.0,4-H,L-SHAPE,SHORT, RI,0.6MM</v>
          </cell>
        </row>
        <row r="12003">
          <cell r="B12003" t="str">
            <v>50-373-04-09</v>
          </cell>
          <cell r="C12003" t="str">
            <v>MINIPL., 2,0, 4-L,L-FORM, KURZ, LI,0,6MM</v>
          </cell>
          <cell r="D12003" t="str">
            <v>MINIPL., 2.0,4-H,L-SHAPE,SHORT, LE,0.6MM</v>
          </cell>
        </row>
        <row r="12004">
          <cell r="B12004" t="str">
            <v>50-373-04-71</v>
          </cell>
          <cell r="C12004" t="str">
            <v>MINIPL., 2,0, 4-L,L-FORM, KURZ, LI,0,6MM</v>
          </cell>
          <cell r="D12004" t="str">
            <v>MINIPL., 2.0,4-H,L-SHAPE,SHORT, LE,0.6MM</v>
          </cell>
        </row>
        <row r="12005">
          <cell r="B12005" t="str">
            <v>50-373-04-91</v>
          </cell>
          <cell r="C12005" t="str">
            <v>MINIPL., 2,0, 4-L,L-FORM, KURZ, LI,0,6MM</v>
          </cell>
          <cell r="D12005" t="str">
            <v>MINIPL., 2.0,4-H,L-SHAPE,SHORT, LE,0.6MM</v>
          </cell>
        </row>
        <row r="12006">
          <cell r="B12006" t="str">
            <v>50-375-04-09</v>
          </cell>
          <cell r="C12006" t="str">
            <v>MINIPL., 2,0, 4-L,L-FORM,RE,MITTEL,0,6MM</v>
          </cell>
          <cell r="D12006" t="str">
            <v>MINIPL., 2.0,4-H,L-SHAPE,MEDIUM,RI,0.6MM</v>
          </cell>
        </row>
        <row r="12007">
          <cell r="B12007" t="str">
            <v>50-375-04-25</v>
          </cell>
          <cell r="C12007" t="str">
            <v>MINIPL., 2,0, 4-L,L-FORM,RE,MITTEL,0,6MM</v>
          </cell>
          <cell r="D12007" t="str">
            <v>MINIPL., 2.0,4-H,L-SHAPE,MEDIUM,RI,0.6MM</v>
          </cell>
        </row>
        <row r="12008">
          <cell r="B12008" t="str">
            <v>50-375-04-71</v>
          </cell>
          <cell r="C12008" t="str">
            <v>MINIPL.2,0,4-L,L-FO,MIT.,RE,0,6MM,STERIL</v>
          </cell>
          <cell r="D12008" t="str">
            <v>MINI PLATE 2.0,4-H,L-SH,MED,RI,0.6MM,STE</v>
          </cell>
        </row>
        <row r="12009">
          <cell r="B12009" t="str">
            <v>50-375-04-91</v>
          </cell>
          <cell r="C12009" t="str">
            <v>MINIPL., 2,0, 4-L,L-FORM,RE,MITTEL,0,6MM</v>
          </cell>
          <cell r="D12009" t="str">
            <v>MINIPL., 2.0,4-H,L-SHAPE,MEDIUM,RI,0.6MM</v>
          </cell>
        </row>
        <row r="12010">
          <cell r="B12010" t="str">
            <v>50-377-04-09</v>
          </cell>
          <cell r="C12010" t="str">
            <v>MINIPL., 2,0, 4-L,L-FORM,LI,MITTEL,0,6MM</v>
          </cell>
          <cell r="D12010" t="str">
            <v>MINIPL., 2.0,4-H,L-SHAPE,MEDIUM,LE,0.6MM</v>
          </cell>
        </row>
        <row r="12011">
          <cell r="B12011" t="str">
            <v>50-377-04-25</v>
          </cell>
          <cell r="C12011" t="str">
            <v>MINIPL., 2,0, 4-L,L-FORM,LI,MITTEL,0,6MM</v>
          </cell>
          <cell r="D12011" t="str">
            <v>MINIPL., 2.0,4-H,L-SHAPE,MEDIUM,LE,0.6MM</v>
          </cell>
        </row>
        <row r="12012">
          <cell r="B12012" t="str">
            <v>50-377-04-71</v>
          </cell>
          <cell r="C12012" t="str">
            <v>MINIPL.2,0,4-L,L-FO,MIT.,LI,0,6MM,STERIL</v>
          </cell>
          <cell r="D12012" t="str">
            <v>MINI PLATE 2.0,4-H,L-SH,MED,LE,0.6MM,STE</v>
          </cell>
        </row>
        <row r="12013">
          <cell r="B12013" t="str">
            <v>50-377-04-91</v>
          </cell>
          <cell r="C12013" t="str">
            <v>MINIPL., 2,0, 4-L,L-FORM,LI,MITTEL,0,6MM</v>
          </cell>
          <cell r="D12013" t="str">
            <v>MINIPL., 2.0,4-H,L-SHAPE,MEDIUM,LE,0.6MM</v>
          </cell>
        </row>
        <row r="12014">
          <cell r="B12014" t="str">
            <v>50-379-04-09</v>
          </cell>
          <cell r="C12014" t="str">
            <v>MINIPL., 2,0, 4-L,L-FORM,LANG, RE, 0,6MM</v>
          </cell>
          <cell r="D12014" t="str">
            <v>MINIPL., 2.0,4-H,L-SHAPE,LONG, RI, 0.6MM</v>
          </cell>
        </row>
        <row r="12015">
          <cell r="B12015" t="str">
            <v>50-379-04-71</v>
          </cell>
          <cell r="C12015" t="str">
            <v>MINIPL., 2,0, 4-L,L-FORM,LANG, RE, 0,6MM</v>
          </cell>
          <cell r="D12015" t="str">
            <v>MINIPL., 2.0,4-H,L-SHAPE,LONG, RI, 0.6MM</v>
          </cell>
        </row>
        <row r="12016">
          <cell r="B12016" t="str">
            <v>50-379-04-91</v>
          </cell>
          <cell r="C12016" t="str">
            <v>MINIPL., 2,0, 4-L,L-FORM,LANG, RE, 0,6MM</v>
          </cell>
          <cell r="D12016" t="str">
            <v>MINIPL., 2.0,4-H,L-SHAPE,LONG, RI, 0.6MM</v>
          </cell>
        </row>
        <row r="12017">
          <cell r="B12017" t="str">
            <v>50-380-05-09</v>
          </cell>
          <cell r="C12017" t="str">
            <v>MINIPL., 2,0, 5-L,L-FORM,LANG, RE, 0,6MM</v>
          </cell>
          <cell r="D12017" t="str">
            <v>MINIPL., 2.0,5-H,L-SHAPE,LONG, RI, 0.6MM</v>
          </cell>
        </row>
        <row r="12018">
          <cell r="B12018" t="str">
            <v>50-380-05-71</v>
          </cell>
          <cell r="C12018" t="str">
            <v>MINIPL., 2,0, 5-L,L-FORM,LANG, RE, 0,6MM</v>
          </cell>
          <cell r="D12018" t="str">
            <v>MINIPL., 2.0,5-H,L-SHAPE,LONG, RI, 0.6MM</v>
          </cell>
        </row>
        <row r="12019">
          <cell r="B12019" t="str">
            <v>50-380-05-91</v>
          </cell>
          <cell r="C12019" t="str">
            <v>MINIPL., 2,0, 5-L,L-FORM,LANG, RE, 0,6MM</v>
          </cell>
          <cell r="D12019" t="str">
            <v>MINIPL., 2.0,5-H,L-SHAPE,LONG, RI, 0.6MM</v>
          </cell>
        </row>
        <row r="12020">
          <cell r="B12020" t="str">
            <v>50-381-04-09</v>
          </cell>
          <cell r="C12020" t="str">
            <v>MINIPL., 2,0, 4-L,L-FORM,LANG, LI, 0,6MM</v>
          </cell>
          <cell r="D12020" t="str">
            <v>MINIPL., 2.0,4-H,L-SHAPE,LONG, LE, 0.6MM</v>
          </cell>
        </row>
        <row r="12021">
          <cell r="B12021" t="str">
            <v>50-381-04-71</v>
          </cell>
          <cell r="C12021" t="str">
            <v>MINIPL., 2,0, 4-L,L-FORM,LANG, LI, 0,6MM</v>
          </cell>
          <cell r="D12021" t="str">
            <v>MINIPL., 2.0,4-H,L-SHAPE,LONG, LE, 0.6MM</v>
          </cell>
        </row>
        <row r="12022">
          <cell r="B12022" t="str">
            <v>50-381-04-91</v>
          </cell>
          <cell r="C12022" t="str">
            <v>MINIPL., 2,0, 4-L,L-FORM,LANG, LI, 0,6MM</v>
          </cell>
          <cell r="D12022" t="str">
            <v>MINIPL., 2.0,4-H,L-SHAPE,LONG, LE, 0.6MM</v>
          </cell>
        </row>
        <row r="12023">
          <cell r="B12023" t="str">
            <v>50-381-05-09</v>
          </cell>
          <cell r="C12023" t="str">
            <v>MINIPL. 2,0, 5-L, LANG, RE, L-FORM</v>
          </cell>
          <cell r="D12023" t="str">
            <v>MINIPL. 2.0, 5-HOL, LONG, RI., L-FORM</v>
          </cell>
        </row>
        <row r="12024">
          <cell r="B12024" t="str">
            <v>50-381-05-71</v>
          </cell>
          <cell r="C12024" t="str">
            <v>MINIPL. 2,0, 5-L, LANG, RE, L-FORM</v>
          </cell>
          <cell r="D12024" t="str">
            <v>MINIPL. 2.0, 5-HOL, LONG, RI., L-FORM</v>
          </cell>
        </row>
        <row r="12025">
          <cell r="B12025" t="str">
            <v>50-382-04-09</v>
          </cell>
          <cell r="C12025" t="str">
            <v>L-Platte 2,0, rechts, 100°, 15mm, 0,7mm</v>
          </cell>
          <cell r="D12025" t="str">
            <v>L-Plate 2.0, right, 100°, 15 mm, 0,7mm</v>
          </cell>
        </row>
        <row r="12026">
          <cell r="B12026" t="str">
            <v>50-382-05-09</v>
          </cell>
          <cell r="C12026" t="str">
            <v>MINIPL., 2,0, 5-L,L-FORM,LANG, LI, 0,6MM</v>
          </cell>
          <cell r="D12026" t="str">
            <v>MINIPL., 2.0,5-H,L-SHAPE,LONG, LE, 0.6MM</v>
          </cell>
        </row>
        <row r="12027">
          <cell r="B12027" t="str">
            <v>50-382-05-71</v>
          </cell>
          <cell r="C12027" t="str">
            <v>MINIPL., 2,0, 5-L,L-FORM,LANG, LI, 0,6MM</v>
          </cell>
          <cell r="D12027" t="str">
            <v>MINIPL., 2.0,5-H,L-SHAPE,LONG, LE, 0.6MM</v>
          </cell>
        </row>
        <row r="12028">
          <cell r="B12028" t="str">
            <v>50-382-05-91</v>
          </cell>
          <cell r="C12028" t="str">
            <v>MINIPL., 2,0, 5-L,L-FORM,LANG, LI, 0,6MM</v>
          </cell>
          <cell r="D12028" t="str">
            <v>MINIPL., 2.0,5-H,L-SHAPE,LONG, LE, 0.6MM</v>
          </cell>
        </row>
        <row r="12029">
          <cell r="B12029" t="str">
            <v>50-383-04-09</v>
          </cell>
          <cell r="C12029" t="str">
            <v>L-Platte 2,0, links, 100°, 15mm, 0,7mm</v>
          </cell>
          <cell r="D12029" t="str">
            <v>L-Plate 2.0, left, 100°, 15 mm, 0,7mm</v>
          </cell>
        </row>
        <row r="12030">
          <cell r="B12030" t="str">
            <v>50-383-05-09</v>
          </cell>
          <cell r="C12030" t="str">
            <v>MINIPL. 2,0, 5-L, LANG, LI, L-FORM</v>
          </cell>
          <cell r="D12030" t="str">
            <v>MINIPL. 2.0, 5-HOL, LONG, LE, L-FORM</v>
          </cell>
        </row>
        <row r="12031">
          <cell r="B12031" t="str">
            <v>50-383-05-71</v>
          </cell>
          <cell r="C12031" t="str">
            <v>MINIPL. 2,0, 5-L, LANG, LI, L-FORM</v>
          </cell>
          <cell r="D12031" t="str">
            <v>MINIPL. 2.0, 5-HOL, LONG, LE, L-FORM</v>
          </cell>
        </row>
        <row r="12032">
          <cell r="B12032" t="str">
            <v>50-384-04-91</v>
          </cell>
          <cell r="C12032" t="str">
            <v>MINIPLATTE 2,0 4-LOCH, H-FORM,  T=0,5 MM</v>
          </cell>
          <cell r="D12032" t="str">
            <v>MINIPLATE  2.0, 4-HOLES,  H-SHAPE,  0.5 MM</v>
          </cell>
        </row>
        <row r="12033">
          <cell r="B12033" t="str">
            <v>50-386-04-09</v>
          </cell>
          <cell r="C12033" t="str">
            <v>L-Platte 2,0, rechts, 100°, 18mm, 0,7mm</v>
          </cell>
          <cell r="D12033" t="str">
            <v>L-Plate 2.0, right, 100°, 18 mm, 0,7mm</v>
          </cell>
        </row>
        <row r="12034">
          <cell r="B12034" t="str">
            <v>50-386-05-09</v>
          </cell>
          <cell r="C12034" t="str">
            <v>MINIPL., 2,0, 5-L, T-FORM,  LANG, 0,6MM</v>
          </cell>
          <cell r="D12034" t="str">
            <v>MINIPL., 2.0, 5-H, T-SHAPE,  LONG, 0.6MM</v>
          </cell>
        </row>
        <row r="12035">
          <cell r="B12035" t="str">
            <v>50-386-05-71</v>
          </cell>
          <cell r="C12035" t="str">
            <v>MINIPL., 2,0, 5-L, T-FORM,  LANG, 0,6MM</v>
          </cell>
          <cell r="D12035" t="str">
            <v>MINIPL., 2.0, 5-H, T-SHAPE,  LONG, 0.6MM</v>
          </cell>
        </row>
        <row r="12036">
          <cell r="B12036" t="str">
            <v>50-386-05-91</v>
          </cell>
          <cell r="C12036" t="str">
            <v>MINIPL., 2,0, 5-L, T-FORM,  LANG, 0,6MM</v>
          </cell>
          <cell r="D12036" t="str">
            <v>MINIPL., 2.0, 5-H, T-SHAPE,  LONG, 0.6MM</v>
          </cell>
        </row>
        <row r="12037">
          <cell r="B12037" t="str">
            <v>50-386-06-09</v>
          </cell>
          <cell r="C12037" t="str">
            <v>MINIPL., 2,0, 6-LOCH, T-FORM,  0,6MM</v>
          </cell>
          <cell r="D12037" t="str">
            <v>MINIPL., 2.0, 6-HOLES,  T-SHAPE,  0.6MM</v>
          </cell>
        </row>
        <row r="12038">
          <cell r="B12038" t="str">
            <v>50-386-06-71</v>
          </cell>
          <cell r="C12038" t="str">
            <v>MINIPL., 2,0, 6-LOCH, T-FORM,  0,6MM</v>
          </cell>
          <cell r="D12038" t="str">
            <v>MINIPL., 2.0, 6-HOLES,  T-SHAPE,  0.6MM</v>
          </cell>
        </row>
        <row r="12039">
          <cell r="B12039" t="str">
            <v>50-386-06-91</v>
          </cell>
          <cell r="C12039" t="str">
            <v>MINIPL., 2,0, 6-LOCH, T-FORM,  0,6 MM</v>
          </cell>
          <cell r="D12039" t="str">
            <v>MINIPL., 2.0, 6-HOLES,  T-SHAPE,  0.6MM</v>
          </cell>
        </row>
        <row r="12040">
          <cell r="B12040" t="str">
            <v>50-387-04-09</v>
          </cell>
          <cell r="C12040" t="str">
            <v>L-Platte 2,0, links, 100°, 18mm, 0,7mm</v>
          </cell>
          <cell r="D12040" t="str">
            <v>L-Plate 2.0, left, 100°, 18 mm, 0,7mm</v>
          </cell>
        </row>
        <row r="12041">
          <cell r="B12041" t="str">
            <v>50-389-06-71</v>
          </cell>
          <cell r="C12041" t="str">
            <v>MINIPL., 2,0, 6-LOCH, H-FORM,  0,6MM</v>
          </cell>
          <cell r="D12041" t="str">
            <v>MINIPL., 2.0, 6-HOLES,  H-SHAPE,  0.6MM</v>
          </cell>
        </row>
        <row r="12042">
          <cell r="B12042" t="str">
            <v>50-389-06-91</v>
          </cell>
          <cell r="C12042" t="str">
            <v>MINIPL., 2,0, 6-LOCH, H-FORM,  0,6MM</v>
          </cell>
          <cell r="D12042" t="str">
            <v>MINIPL., 2.0, 6-HOLES,  H-SHAPE,  0.6MM</v>
          </cell>
        </row>
        <row r="12043">
          <cell r="B12043" t="str">
            <v>50-390-04-09</v>
          </cell>
          <cell r="C12043" t="str">
            <v>L-Platte 2,0, rechts, 100°, 23mm, 0,7mm</v>
          </cell>
          <cell r="D12043" t="str">
            <v>L-Plate 2.0, right, 100°, 23 mm, 0,7mm</v>
          </cell>
        </row>
        <row r="12044">
          <cell r="B12044" t="str">
            <v>50-390-05-09</v>
          </cell>
          <cell r="C12044" t="str">
            <v>MINIPL., 2,0, 5-LOCH, Y-FORM,  0,6MM</v>
          </cell>
          <cell r="D12044" t="str">
            <v>MINIPL., 2.0, 5-HOLES,  Y-SHAPE,  0.6MM</v>
          </cell>
        </row>
        <row r="12045">
          <cell r="B12045" t="str">
            <v>50-390-05-25</v>
          </cell>
          <cell r="C12045" t="str">
            <v>MINIPL., 2,0, 5-LOCH, Y-FORM,  0,6MM</v>
          </cell>
          <cell r="D12045" t="str">
            <v>MINIPL., 2.0, 5-HOLES,  Y-SHAPE,  0.6MM</v>
          </cell>
        </row>
        <row r="12046">
          <cell r="B12046" t="str">
            <v>50-390-05-71</v>
          </cell>
          <cell r="C12046" t="str">
            <v>MINIPL., 2,0, 5-LOCH, Y-FORM,  0,6MM</v>
          </cell>
          <cell r="D12046" t="str">
            <v>MINIPL., 2.0, 5-HOLES,  Y-SHAPE,  0.6MM</v>
          </cell>
        </row>
        <row r="12047">
          <cell r="B12047" t="str">
            <v>50-390-05-91</v>
          </cell>
          <cell r="C12047" t="str">
            <v>MINIPL., 2,0, 5-LOCH, Y-FORM,  0,6MM</v>
          </cell>
          <cell r="D12047" t="str">
            <v>MINIPL., 2.0, 5-HOLES,  Y-SHAPE,  0.6MM</v>
          </cell>
        </row>
        <row r="12048">
          <cell r="B12048" t="str">
            <v>50-391-04-09</v>
          </cell>
          <cell r="C12048" t="str">
            <v>L-Platte 2,0, links, 100°, 23mm, 0,7mm</v>
          </cell>
          <cell r="D12048" t="str">
            <v>L-Plate 2.0, left, 100°, 23 mm, 0,7mm</v>
          </cell>
        </row>
        <row r="12049">
          <cell r="B12049" t="str">
            <v>50-391-05-09</v>
          </cell>
          <cell r="C12049" t="str">
            <v>MINIPL., 2,0, 5-LOCH, Y-FORM,  LANG,0,6MM</v>
          </cell>
          <cell r="D12049" t="str">
            <v>MINIPL., 2.0,5-HOLES,Y-SHAPE,LONG, 0.6MM</v>
          </cell>
        </row>
        <row r="12050">
          <cell r="B12050" t="str">
            <v>50-391-05-71</v>
          </cell>
          <cell r="C12050" t="str">
            <v>MINIPL., 2,0, 5-LOCH, Y-FORM,  LANG,0,6MM</v>
          </cell>
          <cell r="D12050" t="str">
            <v>MINIPL., 2.0,5-HOLES,Y-SHAPE,LONG, 0.6MM</v>
          </cell>
        </row>
        <row r="12051">
          <cell r="B12051" t="str">
            <v>50-391-05-91</v>
          </cell>
          <cell r="C12051" t="str">
            <v>MINIPL., 2,0, 5-LOCH, Y-FORM,  LANG,0,6MM</v>
          </cell>
          <cell r="D12051" t="str">
            <v>MINIPL., 2.0,5-HOLES,Y-SHAPE,LONG, 0.6MM</v>
          </cell>
        </row>
        <row r="12052">
          <cell r="B12052" t="str">
            <v>50-392-04-09</v>
          </cell>
          <cell r="C12052" t="str">
            <v>L-Platte 2,0, rechts, 100°, 28mm, 0,8mm</v>
          </cell>
          <cell r="D12052" t="str">
            <v>L-Plate 2.0, right, 100°, 28 mm, 0,8mm</v>
          </cell>
        </row>
        <row r="12053">
          <cell r="B12053" t="str">
            <v>50-392-05-71</v>
          </cell>
          <cell r="C12053" t="str">
            <v>TI-MINIPL.,  2,0, 6-LOCH, Y-FORM,  0,6 MM</v>
          </cell>
          <cell r="D12053" t="str">
            <v>TI-MINIPL.,  2.0, 6-HOLES,  Y-SHAPE,  0,6MM</v>
          </cell>
        </row>
        <row r="12054">
          <cell r="B12054" t="str">
            <v>50-392-05-91</v>
          </cell>
          <cell r="C12054" t="str">
            <v>TI-MINIPL.2.0, 6-LOCH,Y-FORM, 0,6MM</v>
          </cell>
          <cell r="D12054" t="str">
            <v>TI-MINIPL.2.0, 6-HOLES,Y-SHAPE, 0.6MM</v>
          </cell>
        </row>
        <row r="12055">
          <cell r="B12055" t="str">
            <v>50-393-04-09</v>
          </cell>
          <cell r="C12055" t="str">
            <v>L-Platte 2,0, links, 100°, 28mm, 0,8mm</v>
          </cell>
          <cell r="D12055" t="str">
            <v>L-Plate 2.0, left, 100°, 28 mm, 0,8mm</v>
          </cell>
        </row>
        <row r="12056">
          <cell r="B12056" t="str">
            <v>50-394-04-09</v>
          </cell>
          <cell r="C12056" t="str">
            <v>Miniplatte  2,0, 4-Loch, S, 25mm, 1,0mm</v>
          </cell>
          <cell r="D12056" t="str">
            <v>Miniplate  2.0, 4 holes, S, 25mm, 1.0 mm</v>
          </cell>
        </row>
        <row r="12057">
          <cell r="B12057" t="str">
            <v>50-395-04-09</v>
          </cell>
          <cell r="C12057" t="str">
            <v>Miniplatte  2,0, 4-Loch, M, 29mm, 1,0mm</v>
          </cell>
          <cell r="D12057" t="str">
            <v>Miniplate  2.0, 4 holes, M, 29mm, 1.0 mm</v>
          </cell>
        </row>
        <row r="12058">
          <cell r="B12058" t="str">
            <v>50-396-04-09</v>
          </cell>
          <cell r="C12058" t="str">
            <v>Miniplatte  2,0, 4-Loch, L, 33mm, 1,0mm</v>
          </cell>
          <cell r="D12058" t="str">
            <v>Miniplate  2.0, 4 holes, L, 33mm, 1.0 mm</v>
          </cell>
        </row>
        <row r="12059">
          <cell r="B12059" t="str">
            <v>50-396-06-09</v>
          </cell>
          <cell r="C12059" t="str">
            <v>MINIPL., 2,0, 6-L, DOP.Y-FORM,KURZ,0,6MM</v>
          </cell>
          <cell r="D12059" t="str">
            <v>MINIPL., 2.0,6-H,DBL-Y-SHAPE,SHORT,0.6MM</v>
          </cell>
        </row>
        <row r="12060">
          <cell r="B12060" t="str">
            <v>50-396-06-71</v>
          </cell>
          <cell r="C12060" t="str">
            <v>MINIPL., 2,0, 6-L, DOP.Y-FORM,KURZ,0,6MM</v>
          </cell>
          <cell r="D12060" t="str">
            <v>MINIPL., 2.0,6-H,DBL-Y-SHAPE,SHORT,0.6MM</v>
          </cell>
        </row>
        <row r="12061">
          <cell r="B12061" t="str">
            <v>50-396-06-91</v>
          </cell>
          <cell r="C12061" t="str">
            <v>MINIPL., 2,0, 6-L, DOP.Y-FORM,KURZ,0,6MM</v>
          </cell>
          <cell r="D12061" t="str">
            <v>MINIPL., 2.0,6-H,DBL-Y-SHAPE,SHORT,0.6MM</v>
          </cell>
        </row>
        <row r="12062">
          <cell r="B12062" t="str">
            <v>50-397-04-09</v>
          </cell>
          <cell r="C12062" t="str">
            <v>Miniplatte  2,0, 4-Loch, XL, 37mm, 1,0mm</v>
          </cell>
          <cell r="D12062" t="str">
            <v>Miniplate  2.0, 4 holes, XL, 37mm, 1.0 mm</v>
          </cell>
        </row>
        <row r="12063">
          <cell r="B12063" t="str">
            <v>50-397-06-09</v>
          </cell>
          <cell r="C12063" t="str">
            <v>MINIPL., 2,0, 6-L, DOP.Y-FORM,MIT.,0,6MM</v>
          </cell>
          <cell r="D12063" t="str">
            <v>MINIPL., 2.0,6-H,DBL-Y-SHAPE,MED., 0.6MM</v>
          </cell>
        </row>
        <row r="12064">
          <cell r="B12064" t="str">
            <v>50-397-06-71</v>
          </cell>
          <cell r="C12064" t="str">
            <v>MINIPL., 2,0, 6-L, DOP.Y-FORM,MIT.,0,6MM</v>
          </cell>
          <cell r="D12064" t="str">
            <v>MINIPL., 2.0,6-H,DBL-Y-SHAPE,MED., 0.6MM</v>
          </cell>
        </row>
        <row r="12065">
          <cell r="B12065" t="str">
            <v>50-397-06-91</v>
          </cell>
          <cell r="C12065" t="str">
            <v>MINIPL., 2,0, 6-L, DOP.Y-FORM,MIT.,0,6MM</v>
          </cell>
          <cell r="D12065" t="str">
            <v>MINIPL., 2.0,6-H,DBL-Y-SHAPE,MED., 0.6MM</v>
          </cell>
        </row>
        <row r="12066">
          <cell r="B12066" t="str">
            <v>50-399-10-09</v>
          </cell>
          <cell r="C12066" t="str">
            <v>MINI NASENPLATTE, 10-LOCH,  Y-FORM,  0,6MM</v>
          </cell>
          <cell r="D12066" t="str">
            <v>MINI NASAL PLATE,10-HOLES,Y-SHAPE, 0.6MM</v>
          </cell>
        </row>
        <row r="12067">
          <cell r="B12067" t="str">
            <v>50-399-10-71</v>
          </cell>
          <cell r="C12067" t="str">
            <v>MINI NASENPLATTE, 10-LOCH,  Y-FORM,  0,6MM</v>
          </cell>
          <cell r="D12067" t="str">
            <v>MINI NASAL PLATE,10-HOLES,Y-SHAPE, 0.6MM</v>
          </cell>
        </row>
        <row r="12068">
          <cell r="B12068" t="str">
            <v>50-399-12-09</v>
          </cell>
          <cell r="C12068" t="str">
            <v>MINI NASENPLATTE, 12-LOCH,  H-FORM,  0,6MM</v>
          </cell>
          <cell r="D12068" t="str">
            <v>MINI NASAL PLATE,12-HOLES,H-SHAPE, 0.6MM</v>
          </cell>
        </row>
        <row r="12069">
          <cell r="B12069" t="str">
            <v>50-399-12-71</v>
          </cell>
          <cell r="C12069" t="str">
            <v>MINI NASENPLATTE, 12-LOCH,  H-FORM,  0,6MM</v>
          </cell>
          <cell r="D12069" t="str">
            <v>MINI NASAL PLATE,12-HOLES,H-SHAPE, 0.6MM</v>
          </cell>
        </row>
        <row r="12070">
          <cell r="B12070" t="str">
            <v>50-400-06-09</v>
          </cell>
          <cell r="C12070" t="str">
            <v>TI-MINIPL.,  2,0, ORBITA, 6-LOCH, 0,6MM</v>
          </cell>
          <cell r="D12070" t="str">
            <v>TI-MINIPL.,  2.0, ORBITA, 6-HOLES,  0.6MM</v>
          </cell>
        </row>
        <row r="12071">
          <cell r="B12071" t="str">
            <v>50-400-06-71</v>
          </cell>
          <cell r="C12071" t="str">
            <v>TI-MINIPL.,  2,0, ORBITA, 6-LOCH, 0,6MM</v>
          </cell>
          <cell r="D12071" t="str">
            <v>TI-MINIPL.,  2.0, ORBITA, 6-HOLES,  0.6MM</v>
          </cell>
        </row>
        <row r="12072">
          <cell r="B12072" t="str">
            <v>50-400-06-91</v>
          </cell>
          <cell r="C12072" t="str">
            <v>TI-MINIPL.,  2,0, ORBITA, 6-LOCH, 0,6MM</v>
          </cell>
          <cell r="D12072" t="str">
            <v>TI-MINIPL.,  2.0, ORBITA, 6-HOLES,  0.6MM</v>
          </cell>
        </row>
        <row r="12073">
          <cell r="B12073" t="str">
            <v>50-400-08-09</v>
          </cell>
          <cell r="C12073" t="str">
            <v>TI-MINIPL.,  2,0, ORBITA, 8-LOCH, 0,6MM</v>
          </cell>
          <cell r="D12073" t="str">
            <v>TI-MINIPL.,  2.0, ORBITA, 8-HOLES,  0.6MM</v>
          </cell>
        </row>
        <row r="12074">
          <cell r="B12074" t="str">
            <v>50-400-08-71</v>
          </cell>
          <cell r="C12074" t="str">
            <v>TI-MINIPL.,  2,0, ORBITA, 8-LOCH, 0,6MM</v>
          </cell>
          <cell r="D12074" t="str">
            <v>TI-MINIPL.,  2.0, ORBITA, 8-HOLES,  0.6MM</v>
          </cell>
        </row>
        <row r="12075">
          <cell r="B12075" t="str">
            <v>50-400-08-91</v>
          </cell>
          <cell r="C12075" t="str">
            <v>TI-MINIPL.,  2,0, ORBITA, 8-LOCH, 0,6MM</v>
          </cell>
          <cell r="D12075" t="str">
            <v>TI-MINIPL.,  2.0, ORBITA, 8-HOLES,  0.6MM</v>
          </cell>
        </row>
        <row r="12076">
          <cell r="B12076" t="str">
            <v>50-401-06-09</v>
          </cell>
          <cell r="C12076" t="str">
            <v>MINIPL., 2,0, 6-L,L-FORM,RE,MITTEL,0,6MM</v>
          </cell>
          <cell r="D12076" t="str">
            <v>MINIPL., 2.0, 6-H, L-SHAPE,RI,MED.,0.6MM</v>
          </cell>
        </row>
        <row r="12077">
          <cell r="B12077" t="str">
            <v>50-401-06-71</v>
          </cell>
          <cell r="C12077" t="str">
            <v>MINIPL., 2,0, 6-L,L-FORM,RE,MITTEL,0,6MM</v>
          </cell>
          <cell r="D12077" t="str">
            <v>MINIPL., 2.0, 6-H, L-SHAPE,RI,MED.,0.6MM</v>
          </cell>
        </row>
        <row r="12078">
          <cell r="B12078" t="str">
            <v>50-401-06-91</v>
          </cell>
          <cell r="C12078" t="str">
            <v>MINIPL., 2,0, 6-L,L-FORM,RE,MITTEL,0,6MM</v>
          </cell>
          <cell r="D12078" t="str">
            <v>MINIPL., 2.0, 6-H, L-SHAPE,RI,MED.,0.6MM</v>
          </cell>
        </row>
        <row r="12079">
          <cell r="B12079" t="str">
            <v>50-402-06-09</v>
          </cell>
          <cell r="C12079" t="str">
            <v>MINIPL., 2,0, 6-L,L-FORM,LI,MITTEL,0,6MM</v>
          </cell>
          <cell r="D12079" t="str">
            <v>MINIPL., 2.0, 6-H, L-SHAPE,LE,MED.,0.6MM</v>
          </cell>
        </row>
        <row r="12080">
          <cell r="B12080" t="str">
            <v>50-402-06-71</v>
          </cell>
          <cell r="C12080" t="str">
            <v>MINIPL., 2,0, 6-L,L-FORM,LI,MITTEL,0,6MM</v>
          </cell>
          <cell r="D12080" t="str">
            <v>MINIPL., 2.0, 6-H, L-SHAPE,LE,MED.,0.6MM</v>
          </cell>
        </row>
        <row r="12081">
          <cell r="B12081" t="str">
            <v>50-402-06-91</v>
          </cell>
          <cell r="C12081" t="str">
            <v>MINIPL., 2,0, 6-L,L-FORM,LI,MITTEL,0,6MM</v>
          </cell>
          <cell r="D12081" t="str">
            <v>MINIPL., 2.0, 6-H, L-SHAPE,LE,MED.,0.6MM</v>
          </cell>
        </row>
        <row r="12082">
          <cell r="B12082" t="str">
            <v>50-402-07-09</v>
          </cell>
          <cell r="C12082" t="str">
            <v>TI-MINIPL.,  2,0, 7-L, T-FORM,  KURZ,0,6MM</v>
          </cell>
          <cell r="D12082" t="str">
            <v>TI-MINIPL.,  2.0, 7-H,T-SHAPE,SHORT,0.6MM</v>
          </cell>
        </row>
        <row r="12083">
          <cell r="B12083" t="str">
            <v>50-402-07-71</v>
          </cell>
          <cell r="C12083" t="str">
            <v>TI-MINIPL.,  2,0, 7-L, T-FORM,  KURZ,0,6MM</v>
          </cell>
          <cell r="D12083" t="str">
            <v>TI-MINIPL.,  2.0, 7-H,T-SHAPE,SHORT,0.6MM</v>
          </cell>
        </row>
        <row r="12084">
          <cell r="B12084" t="str">
            <v>50-402-07-91</v>
          </cell>
          <cell r="C12084" t="str">
            <v>TI-MINIPL.,  2,0, 7-L, T-FORM,  KURZ,0,6MM</v>
          </cell>
          <cell r="D12084" t="str">
            <v>TI-MINIPL.,  2.0, 7-H,T-SHAPE,SHORT,0.6MM</v>
          </cell>
        </row>
        <row r="12085">
          <cell r="B12085" t="str">
            <v>50-403-06-71</v>
          </cell>
          <cell r="C12085" t="str">
            <v>MINIPL., 2,0, 6-L, L-FORM, RE,LANG,0,6MM</v>
          </cell>
          <cell r="D12085" t="str">
            <v>MINIPL., 2.0, 6-H,L-SHAPE, RI,LONG,0.6MM</v>
          </cell>
        </row>
        <row r="12086">
          <cell r="B12086" t="str">
            <v>50-403-06-91</v>
          </cell>
          <cell r="C12086" t="str">
            <v>MINIPL., 2,0, 6-L, L-FORM, RE,LANG,0,6MM</v>
          </cell>
          <cell r="D12086" t="str">
            <v>MINIPL., 2.0, 6-H,L-SHAPE, RI,LONG,0.6MM</v>
          </cell>
        </row>
        <row r="12087">
          <cell r="B12087" t="str">
            <v>50-403-07-09</v>
          </cell>
          <cell r="C12087" t="str">
            <v>TI-MINIPL.,  2,0, 7-L,T-FORM,MITTEL,0,6MM</v>
          </cell>
          <cell r="D12087" t="str">
            <v>TI-MINIPL.,  2.0, 7-H,T-SHAPE, MED, 0.6MM</v>
          </cell>
        </row>
        <row r="12088">
          <cell r="B12088" t="str">
            <v>50-403-07-71</v>
          </cell>
          <cell r="C12088" t="str">
            <v>TI-MINIPL.,  2,0, 7-L,T-FORM,MITTEL,0,6MM</v>
          </cell>
          <cell r="D12088" t="str">
            <v>TI-MINIPL.,  2.0, 7-H,T-SHAPE, MED, 0.6MM</v>
          </cell>
        </row>
        <row r="12089">
          <cell r="B12089" t="str">
            <v>50-403-07-91</v>
          </cell>
          <cell r="C12089" t="str">
            <v>TI-MINIPL.,  2,0, 7-L,T-FORM,MITTEL,0,6MM</v>
          </cell>
          <cell r="D12089" t="str">
            <v>TI-MINIPL.,  2.0, 7-H,T-SHAPE, MED, 0.6MM</v>
          </cell>
        </row>
        <row r="12090">
          <cell r="B12090" t="str">
            <v>50-404-06-71</v>
          </cell>
          <cell r="C12090" t="str">
            <v>MINIPL., 2,0, 6-L, L-FORM, LI,LANG,0,6MM</v>
          </cell>
          <cell r="D12090" t="str">
            <v>MINIPL., 2.0, 6-H,L-SHAPE, LE,LONG,0.6MM</v>
          </cell>
        </row>
        <row r="12091">
          <cell r="B12091" t="str">
            <v>50-404-06-91</v>
          </cell>
          <cell r="C12091" t="str">
            <v>MINIPL., 2,0, 6-L, L-FORM, LI,LANG,0,6MM</v>
          </cell>
          <cell r="D12091" t="str">
            <v>MINIPL., 2.0, 6-H,L-SHAPE, LE,LONG,0.6MM</v>
          </cell>
        </row>
        <row r="12092">
          <cell r="B12092" t="str">
            <v>50-404-07-09</v>
          </cell>
          <cell r="C12092" t="str">
            <v>TI-MINIPL.,  2,0, 7-L, T-FORM,  LONG,0,6MM</v>
          </cell>
          <cell r="D12092" t="str">
            <v>TI-MINIPL.,  2.0, 7-H,T-SHAPE,LONG, 0.6MM</v>
          </cell>
        </row>
        <row r="12093">
          <cell r="B12093" t="str">
            <v>50-404-07-71</v>
          </cell>
          <cell r="C12093" t="str">
            <v>TI-MINIPL.,  2,0, 7-L, T-FORM,  LONG,0,6MM</v>
          </cell>
          <cell r="D12093" t="str">
            <v>TI-MINIPL.,  2.0, 7-H,T-SHAPE,LONG, 0.6MM</v>
          </cell>
        </row>
        <row r="12094">
          <cell r="B12094" t="str">
            <v>50-404-07-91</v>
          </cell>
          <cell r="C12094" t="str">
            <v>TI-MINIPL.,  2,0, 7-L, T-FORM,  LONG,0,6MM</v>
          </cell>
          <cell r="D12094" t="str">
            <v>TI-MINIPL.,  2.0, 7-H,T-SHAPE,LONG, 0.6MM</v>
          </cell>
        </row>
        <row r="12095">
          <cell r="B12095" t="str">
            <v>50-405-06-71</v>
          </cell>
          <cell r="C12095" t="str">
            <v>MINIPL.2.0,GEW.,6 L, M. GLEITLOCH,T=1.5</v>
          </cell>
          <cell r="D12095" t="str">
            <v>MINIPL. 2.0,ANGLED, 6 H, COMPR.,  T=1.5</v>
          </cell>
        </row>
        <row r="12096">
          <cell r="B12096" t="str">
            <v>50-405-06-91</v>
          </cell>
          <cell r="C12096" t="str">
            <v>MINIPL.2.0,GEW.,6 L, M. GLEITLOCH,T=1.5</v>
          </cell>
          <cell r="D12096" t="str">
            <v>MINIPL. 2.0,ANGLED, 6 H, COMPR.,  T=1.5</v>
          </cell>
        </row>
        <row r="12097">
          <cell r="B12097" t="str">
            <v>50-405-07-09</v>
          </cell>
          <cell r="C12097" t="str">
            <v>TI-MINIPL.,2,0, 7-LOCH,L-FORM,RE,100GR</v>
          </cell>
          <cell r="D12097" t="str">
            <v>TI-MINIPL.,2.0,7-HOLES,L-SHAPE,RI,100DG</v>
          </cell>
        </row>
        <row r="12098">
          <cell r="B12098" t="str">
            <v>50-405-07-71</v>
          </cell>
          <cell r="C12098" t="str">
            <v>TI-MINIPL.,2,0, 7-LOCH,L-FORM,RE,100GR</v>
          </cell>
          <cell r="D12098" t="str">
            <v>TI-MINIPL.,2.0,7-HOLES,L-SHAPE,RI,100DG</v>
          </cell>
        </row>
        <row r="12099">
          <cell r="B12099" t="str">
            <v>50-405-08-09</v>
          </cell>
          <cell r="C12099" t="str">
            <v>MINIPL. 2,0, 8-L, Y-FORM</v>
          </cell>
          <cell r="D12099" t="str">
            <v>MINIPL. 2.0, 8-HOL, Y-FORM</v>
          </cell>
        </row>
        <row r="12100">
          <cell r="B12100" t="str">
            <v>50-405-08-71</v>
          </cell>
          <cell r="C12100" t="str">
            <v>MINIPL. 2,0, 8-L, Y-FORM</v>
          </cell>
          <cell r="D12100" t="str">
            <v>MINIPL. 2.0, 8-HOL, Y-FORM</v>
          </cell>
        </row>
        <row r="12101">
          <cell r="B12101" t="str">
            <v>50-405-09-09</v>
          </cell>
          <cell r="C12101" t="str">
            <v>MINIPL. 2,0, 9-L, RE, L-FORM</v>
          </cell>
          <cell r="D12101" t="str">
            <v>MINIPL. 2.0, 9-HOL, LONG, RI., L-FORM</v>
          </cell>
        </row>
        <row r="12102">
          <cell r="B12102" t="str">
            <v>50-405-09-71</v>
          </cell>
          <cell r="C12102" t="str">
            <v>MINIPL. 2,0, 9-L, RE, L-FORM</v>
          </cell>
          <cell r="D12102" t="str">
            <v>MINIPL. 2.0, 9-HOL, LONG, RI., L-FORM</v>
          </cell>
        </row>
        <row r="12103">
          <cell r="B12103" t="str">
            <v>50-405-12-09</v>
          </cell>
          <cell r="C12103" t="str">
            <v>MINIPL. 2,0, ORBITA, 12-LOCH</v>
          </cell>
          <cell r="D12103" t="str">
            <v>MINIPL. 2.0, ORBITA, 12-HOL</v>
          </cell>
        </row>
        <row r="12104">
          <cell r="B12104" t="str">
            <v>50-405-12-71</v>
          </cell>
          <cell r="C12104" t="str">
            <v>MINIPL. 2,0, ORBITA, 12-LOCH</v>
          </cell>
          <cell r="D12104" t="str">
            <v>MINIPL. 2.0, ORBITA, 12-HOL</v>
          </cell>
        </row>
        <row r="12105">
          <cell r="B12105" t="str">
            <v>50-405-17-09</v>
          </cell>
          <cell r="C12105" t="str">
            <v>MINIPL. 2,0, 20-LOCH,  GERADE,  1MM</v>
          </cell>
          <cell r="D12105" t="str">
            <v>MINIPL. 2.0, 20-HOL, STRAIGHT,  1MM</v>
          </cell>
        </row>
        <row r="12106">
          <cell r="B12106" t="str">
            <v>50-405-17-71</v>
          </cell>
          <cell r="C12106" t="str">
            <v>MINIPL. 2,0, 20-LOCH,  GERADE,  1MM</v>
          </cell>
          <cell r="D12106" t="str">
            <v>MINIPL. 2.0, 20-HOL, STRAIGHT,  1MM</v>
          </cell>
        </row>
        <row r="12107">
          <cell r="B12107" t="str">
            <v>50-406-04-09</v>
          </cell>
          <cell r="C12107" t="str">
            <v>MINIPL., 2,0,4-L,Z-FO.,LI,100GR,KU,0,6MM</v>
          </cell>
          <cell r="D12107" t="str">
            <v>MINIPL., 2.0,4-H,Z-SH.,LE,100DG,SH,0.6MM</v>
          </cell>
        </row>
        <row r="12108">
          <cell r="B12108" t="str">
            <v>50-406-04-71</v>
          </cell>
          <cell r="C12108" t="str">
            <v>MINIPL., 2,0,4-L,Z-FO.,LI,100GR,KU,0,6MM</v>
          </cell>
          <cell r="D12108" t="str">
            <v>MINIPL., 2.0,4-H,Z-SH.,LE,100DG,SH,0.6MM</v>
          </cell>
        </row>
        <row r="12109">
          <cell r="B12109" t="str">
            <v>50-406-04-91</v>
          </cell>
          <cell r="C12109" t="str">
            <v>MINIPL., 2,0,4-L,Z-FO.,LI,100GR,KU,0,6MM</v>
          </cell>
          <cell r="D12109" t="str">
            <v>MINIPL., 2.0,4-H,Z-SH.,LE,100DG,SH,0.6MM</v>
          </cell>
        </row>
        <row r="12110">
          <cell r="B12110" t="str">
            <v>50-406-08-09</v>
          </cell>
          <cell r="C12110" t="str">
            <v>MINIPL. 2,0, 8-LOCH, DOPPEL-Y-FORM</v>
          </cell>
          <cell r="D12110" t="str">
            <v>MINIPL. 2.0, 8-HOL, DOUBLE-Y-FORM</v>
          </cell>
        </row>
        <row r="12111">
          <cell r="B12111" t="str">
            <v>50-406-08-71</v>
          </cell>
          <cell r="C12111" t="str">
            <v>MINIPL. 2,0, 8-LOCH, DOPPEL-Y-FORM</v>
          </cell>
          <cell r="D12111" t="str">
            <v>MINIPL. 2.0, 8-HOL, DOUBLE-Y-FORM</v>
          </cell>
        </row>
        <row r="12112">
          <cell r="B12112" t="str">
            <v>50-406-17-09</v>
          </cell>
          <cell r="C12112" t="str">
            <v>MINIPL. 2,0, 17-LOCH,  GERADE,  1MM</v>
          </cell>
          <cell r="D12112" t="str">
            <v>MINIPL. 2.0, 17-HOL, STRAIGHT,  1MM</v>
          </cell>
        </row>
        <row r="12113">
          <cell r="B12113" t="str">
            <v>50-406-17-71</v>
          </cell>
          <cell r="C12113" t="str">
            <v>MINIPL. 2,0, 17-LOCH,  GERADE,  1MM</v>
          </cell>
          <cell r="D12113" t="str">
            <v>MINIPL. 2.0, 17-HOL, STRAIGHT,  1MM</v>
          </cell>
        </row>
        <row r="12114">
          <cell r="B12114" t="str">
            <v>50-407-04-09</v>
          </cell>
          <cell r="C12114" t="str">
            <v>MINIPL., 2,0,4-L,Z-FO.,RE,100GR,KU,0,6MM</v>
          </cell>
          <cell r="D12114" t="str">
            <v>MINIPL., 2.0,4-H,Z-SH.,RI,100DG,SH,0.6MM</v>
          </cell>
        </row>
        <row r="12115">
          <cell r="B12115" t="str">
            <v>50-407-04-71</v>
          </cell>
          <cell r="C12115" t="str">
            <v>MINIPL., 2,0,4-L,Z-FO.,RE,100GR,KU,0,6MM</v>
          </cell>
          <cell r="D12115" t="str">
            <v>MINIPL., 2.0,4-H,Z-SH.,RI,100DG,SH,0.6MM</v>
          </cell>
        </row>
        <row r="12116">
          <cell r="B12116" t="str">
            <v>50-407-04-91</v>
          </cell>
          <cell r="C12116" t="str">
            <v>MINIPL., 2,0,4-L,Z-FO.,RE,100GR,KU,0,6MM</v>
          </cell>
          <cell r="D12116" t="str">
            <v>MINIPL., 2.0,4-H,Z-SH.,RI,100DG,SH,0.6MM</v>
          </cell>
        </row>
        <row r="12117">
          <cell r="B12117" t="str">
            <v>50-407-07-09</v>
          </cell>
          <cell r="C12117" t="str">
            <v>TI-MINIPL.,2,0, 7-LOCH,L-FORM,LI,100GR</v>
          </cell>
          <cell r="D12117" t="str">
            <v>TI-MINIPL.,2.0,7-HOLES,L-SHAPE,LE,100DG</v>
          </cell>
        </row>
        <row r="12118">
          <cell r="B12118" t="str">
            <v>50-407-07-71</v>
          </cell>
          <cell r="C12118" t="str">
            <v>TI-MINIPL.,2,0, 7-LOCH,L-FORM,LI,100GR</v>
          </cell>
          <cell r="D12118" t="str">
            <v>TI-MINIPL.,2.,7-HOLES,L-SHAPE,LE,100DG</v>
          </cell>
        </row>
        <row r="12119">
          <cell r="B12119" t="str">
            <v>50-407-09-09</v>
          </cell>
          <cell r="C12119" t="str">
            <v>MINIPL. 2,0, 9-L, LI, L-FORM</v>
          </cell>
          <cell r="D12119" t="str">
            <v>MINIPL. 2.0, 9-HOL, LEFT, L-FORM</v>
          </cell>
        </row>
        <row r="12120">
          <cell r="B12120" t="str">
            <v>50-407-09-71</v>
          </cell>
          <cell r="C12120" t="str">
            <v>MINIPL. 2,0, 9-L, LI, L-FORM</v>
          </cell>
          <cell r="D12120" t="str">
            <v>MINIPL. 2.0, 9-HOL, LEFT, L-FORM</v>
          </cell>
        </row>
        <row r="12121">
          <cell r="B12121" t="str">
            <v>50-408-04-09</v>
          </cell>
          <cell r="C12121" t="str">
            <v>MINIPL., 2,0,4-L,Z-FO.,LI,100GR,LA,0,6MM</v>
          </cell>
          <cell r="D12121" t="str">
            <v>MINIPL.,2.0, 4-H,Z-SH.,LO,LE,100DG,0.6MM</v>
          </cell>
        </row>
        <row r="12122">
          <cell r="B12122" t="str">
            <v>50-408-04-71</v>
          </cell>
          <cell r="C12122" t="str">
            <v>MINIPL.2,0,4-L,Z-FO,LI,100,LA,0,6MM,STER</v>
          </cell>
          <cell r="D12122" t="str">
            <v>MINIPL.2.0,4-H,Z-SH,LO,LE,100,0.6MM,STER</v>
          </cell>
        </row>
        <row r="12123">
          <cell r="B12123" t="str">
            <v>50-408-04-91</v>
          </cell>
          <cell r="C12123" t="str">
            <v>MINIPL., 2,0,4-L,Z-FO.,LI,100GR,LA,0,6MM</v>
          </cell>
          <cell r="D12123" t="str">
            <v>MINIPL.,2.0, 4-H,Z-SH.,LO,LE,100DG,0.6MM</v>
          </cell>
        </row>
        <row r="12124">
          <cell r="B12124" t="str">
            <v>50-409-04-09</v>
          </cell>
          <cell r="C12124" t="str">
            <v>MINIPL., 2,0,4-L,Z-FO.,RE,100GR,LA,0,6MM</v>
          </cell>
          <cell r="D12124" t="str">
            <v>MINIPL.,2.0, 4-H,Z-SH.,LO,RI,100DG,0.6MM</v>
          </cell>
        </row>
        <row r="12125">
          <cell r="B12125" t="str">
            <v>50-409-04-71</v>
          </cell>
          <cell r="C12125" t="str">
            <v>MINIPL.2,0,4-L,Z-FO,RE,100,LA,0,6MM,STER</v>
          </cell>
          <cell r="D12125" t="str">
            <v>MINIPL.2.0,4-H,Z-SH,LO,RI,100,0.6MM,STER</v>
          </cell>
        </row>
        <row r="12126">
          <cell r="B12126" t="str">
            <v>50-409-04-91</v>
          </cell>
          <cell r="C12126" t="str">
            <v>MINIPL., 2,0,4-L,Z-FO.,RE,100GR,LA,0,6MM</v>
          </cell>
          <cell r="D12126" t="str">
            <v>MINIPL.,2.0, 4-H,Z-SH.,LO,RI,100DG,0.6MM</v>
          </cell>
        </row>
        <row r="12127">
          <cell r="B12127" t="str">
            <v>50-410-04-09</v>
          </cell>
          <cell r="C12127" t="str">
            <v>MINIPL., 2,0, 4-LOCH, GER.,1,0MM,KOMPR.</v>
          </cell>
          <cell r="D12127" t="str">
            <v>MINIPL., 2.0, 4-HOLES,  STR.,1.0MM,COMP.</v>
          </cell>
        </row>
        <row r="12128">
          <cell r="B12128" t="str">
            <v>50-410-04-71</v>
          </cell>
          <cell r="C12128" t="str">
            <v>MINI-KOMPRESSIONSPL.2,0,4LOCH,GER,STERIL</v>
          </cell>
          <cell r="D12128" t="str">
            <v>MINI COMP.PL.2.0,4HOLES,STRAIGHT,STERILE</v>
          </cell>
        </row>
        <row r="12129">
          <cell r="B12129" t="str">
            <v>50-410-04-91</v>
          </cell>
          <cell r="C12129" t="str">
            <v>MINIPL., 2,0, 4-LOCH, GER.,1,0MM,KOMPR.</v>
          </cell>
          <cell r="D12129" t="str">
            <v>MINIPL., 2.0, 4-HOLES,  STR.,1.0MM,COMP.</v>
          </cell>
        </row>
        <row r="12130">
          <cell r="B12130" t="str">
            <v>50-410-05-71</v>
          </cell>
          <cell r="C12130" t="str">
            <v>MINIPL., 2,0,5-LOCH,GER.,KURZ,1,0MM,KOMP</v>
          </cell>
          <cell r="D12130" t="str">
            <v>MINIPL.,2.0,5-HOLES,STR.,SHORT,1.0MM,COM</v>
          </cell>
        </row>
        <row r="12131">
          <cell r="B12131" t="str">
            <v>50-410-05-91</v>
          </cell>
          <cell r="C12131" t="str">
            <v>MINIPL., 2,0,5-LOCH,GER.,KURZ,1,0MM,KOMP</v>
          </cell>
          <cell r="D12131" t="str">
            <v>MINIPL.,2.0,5-HOLES,STR.,SHORT,1.0MM,COM</v>
          </cell>
        </row>
        <row r="12132">
          <cell r="B12132" t="str">
            <v>50-412-05-09</v>
          </cell>
          <cell r="C12132" t="str">
            <v>MINIPL., 2,0,5-LOCH,GER.,LANG,1,0MM,KOMP</v>
          </cell>
          <cell r="D12132" t="str">
            <v>MINIPL.,2.0,5-HOLES,STR.,LONG,1.0MM,COMP</v>
          </cell>
        </row>
        <row r="12133">
          <cell r="B12133" t="str">
            <v>50-412-05-71</v>
          </cell>
          <cell r="C12133" t="str">
            <v>MINIPL., 2,0,5-LOCH,GER.,LANG,1,0MM,KOMP</v>
          </cell>
          <cell r="D12133" t="str">
            <v>MINIPL.,2.0,5-HOLES,STR.,LONG,1.0MM,COMP</v>
          </cell>
        </row>
        <row r="12134">
          <cell r="B12134" t="str">
            <v>50-412-05-91</v>
          </cell>
          <cell r="C12134" t="str">
            <v>MINIPL., 2,0,5-LOCH,GER.,LANG,1,0MM,KOMP</v>
          </cell>
          <cell r="D12134" t="str">
            <v>MINIPL.,2.0,5-HOLES,STR.,LONG,1.0MM,COMP</v>
          </cell>
        </row>
        <row r="12135">
          <cell r="B12135" t="str">
            <v>50-417-04-09</v>
          </cell>
          <cell r="C12135" t="str">
            <v>Miniplatte,  L-Form, 4-Loch,links,mittel</v>
          </cell>
          <cell r="D12135" t="str">
            <v>Miniplate,  L-shape, 4-holes,left,medium</v>
          </cell>
        </row>
        <row r="12136">
          <cell r="B12136" t="str">
            <v>50-418-04-09</v>
          </cell>
          <cell r="C12136" t="str">
            <v>Miniplatte,  L-Form, 4-Loch, rechts, lang</v>
          </cell>
          <cell r="D12136" t="str">
            <v>Miniplate,  L-shape, 4-holes, right, long</v>
          </cell>
        </row>
        <row r="12137">
          <cell r="B12137" t="str">
            <v>50-419-04-09</v>
          </cell>
          <cell r="C12137" t="str">
            <v>Miniplatte,  L-Form, 4-Loch, links, lang</v>
          </cell>
          <cell r="D12137" t="str">
            <v>Miniplate,  L-shape, 4-holes, left, long</v>
          </cell>
        </row>
        <row r="12138">
          <cell r="B12138" t="str">
            <v>50-425-05-07</v>
          </cell>
          <cell r="C12138" t="str">
            <v>GRIFF F.SCHRAUBEN EXPLANTATIONS SYSTEM</v>
          </cell>
          <cell r="D12138" t="str">
            <v>HANDLE F.SCREW  REMOVAL  SYSTEM</v>
          </cell>
        </row>
        <row r="12139">
          <cell r="B12139" t="str">
            <v>50-425-11-07</v>
          </cell>
          <cell r="C12139" t="str">
            <v>SD-KLINGE  F.1  1,5/2,0MM SCHLITZ</v>
          </cell>
          <cell r="D12139" t="str">
            <v>SD-BLADE  F.1  1.5/2.0MM SLOT</v>
          </cell>
        </row>
        <row r="12140">
          <cell r="B12140" t="str">
            <v>50-425-12-07</v>
          </cell>
          <cell r="C12140" t="str">
            <v>SD-KLINGE  F.2  2,0/2,3MM CENTRE DRIVE</v>
          </cell>
          <cell r="D12140" t="str">
            <v>SD-BLADE  F.2  2.0/2.3MM CENTRE DRIVE</v>
          </cell>
        </row>
        <row r="12141">
          <cell r="B12141" t="str">
            <v>50-425-13-07</v>
          </cell>
          <cell r="C12141" t="str">
            <v>SD-KLINGE  F.3  1,3/2,4MM KREUZSCHLITZ</v>
          </cell>
          <cell r="D12141" t="str">
            <v>SD-BLADE  F.3  1.3/2.4MM CROSS SHAPED</v>
          </cell>
        </row>
        <row r="12142">
          <cell r="B12142" t="str">
            <v>50-425-14-07</v>
          </cell>
          <cell r="C12142" t="str">
            <v>SD-KLINGE  F.4  2,7MM INNENSECHSKANT</v>
          </cell>
          <cell r="D12142" t="str">
            <v>SD-BLADE  F.4  2.7MM INNER HEXAGONAL</v>
          </cell>
        </row>
        <row r="12143">
          <cell r="B12143" t="str">
            <v>50-425-15-07</v>
          </cell>
          <cell r="C12143" t="str">
            <v>SD-KLINGE  F.5  2,0/2,7MM PHILIPS</v>
          </cell>
          <cell r="D12143" t="str">
            <v>SD-BLADE  F.5  2.0/2.7MM PHILIPS</v>
          </cell>
        </row>
        <row r="12144">
          <cell r="B12144" t="str">
            <v>50-425-16-07</v>
          </cell>
          <cell r="C12144" t="str">
            <v>SD-KLINGE  F.6  0,8/1,0/1,2MM KREUZSCHL.</v>
          </cell>
          <cell r="D12144" t="str">
            <v>SD-BLADE  F.6  0.8/1.0/1.2MM CROSS SHAPED</v>
          </cell>
        </row>
        <row r="12145">
          <cell r="B12145" t="str">
            <v>50-425-17-07</v>
          </cell>
          <cell r="C12145" t="str">
            <v>SD-KLINGE  F.7  1,5MM CENTRE DRIVE</v>
          </cell>
          <cell r="D12145" t="str">
            <v>SD-BLADE  F.7  1.5MM CENTRE DRIVE</v>
          </cell>
        </row>
        <row r="12146">
          <cell r="B12146" t="str">
            <v>50-425-18-07</v>
          </cell>
          <cell r="C12146" t="str">
            <v>SD-KLINGE  F.8  1,0MM CENTRE DRIVE</v>
          </cell>
          <cell r="D12146" t="str">
            <v>SD-BLADE  F.8  1.0MM CENTRE DRIVE</v>
          </cell>
        </row>
        <row r="12147">
          <cell r="B12147" t="str">
            <v>50-425-19-07</v>
          </cell>
          <cell r="C12147" t="str">
            <v>SD-KLINGE  F.9  2,7MM CENTRE DRIVE</v>
          </cell>
          <cell r="D12147" t="str">
            <v>SD-BLADE  F.9  2.7MM CENTRE DRIVE</v>
          </cell>
        </row>
        <row r="12148">
          <cell r="B12148" t="str">
            <v>50-425-20-07</v>
          </cell>
          <cell r="C12148" t="str">
            <v>SD-KLINGE  F.10 2,7MM SCHLITZ</v>
          </cell>
          <cell r="D12148" t="str">
            <v>SD-BLADE  F.10 2.7MM SLOT</v>
          </cell>
        </row>
        <row r="12149">
          <cell r="B12149" t="str">
            <v>50-425-21-07</v>
          </cell>
          <cell r="C12149" t="str">
            <v>SD-KLINGE  F.11 2,0MM INNENSECHSKANT</v>
          </cell>
          <cell r="D12149" t="str">
            <v>SD-BLADE  F.11 2.0MM INNER HEXAGONAL</v>
          </cell>
        </row>
        <row r="12150">
          <cell r="B12150" t="str">
            <v>50-425-22-07</v>
          </cell>
          <cell r="C12150" t="str">
            <v>SD-KLINGE  F.12 2,3/2,7MM INNENSECHSKANT</v>
          </cell>
          <cell r="D12150" t="str">
            <v>SD-BLADE  F.12 2.3/2.7MM INNER HEXAGONAL</v>
          </cell>
        </row>
        <row r="12151">
          <cell r="B12151" t="str">
            <v>50-425-23-07</v>
          </cell>
          <cell r="C12151" t="str">
            <v>SD-KLINGE  F.13 KNOCHEN-EXPLANTATION</v>
          </cell>
          <cell r="D12151" t="str">
            <v>SD-BLADE  F.13 BONE REMOVAL</v>
          </cell>
        </row>
        <row r="12152">
          <cell r="B12152" t="str">
            <v>50-425-24-07</v>
          </cell>
          <cell r="C12152" t="str">
            <v>TORX-KLINGE F.SCHRAUBENEXPLANTATION 2.0</v>
          </cell>
          <cell r="D12152" t="str">
            <v>TORX-BLADE F. SCREWEXPLANTATION 2.0</v>
          </cell>
        </row>
        <row r="12153">
          <cell r="B12153" t="str">
            <v>50-425-25-07</v>
          </cell>
          <cell r="C12153" t="str">
            <v>SD-KLINGE  F.15 1,5MM TORX</v>
          </cell>
          <cell r="D12153" t="str">
            <v>SD-BLADE  F.15 1.5MM STAR</v>
          </cell>
        </row>
        <row r="12154">
          <cell r="B12154" t="str">
            <v>50-425-26-07</v>
          </cell>
          <cell r="C12154" t="str">
            <v>TORX-KLINGE T7 F.SCHRAUBENEXPLANTATION</v>
          </cell>
          <cell r="D12154" t="str">
            <v>TORX-BLADE T7 F. SCREWEXPLANTATION</v>
          </cell>
        </row>
        <row r="12155">
          <cell r="B12155" t="str">
            <v>50-425-27-07</v>
          </cell>
          <cell r="C12155" t="str">
            <v>TORX-KLINGE T8 F.SCHRAUBENEXPLANTATION</v>
          </cell>
          <cell r="D12155" t="str">
            <v>TORX-BLADE T8 F. SCREWEXPLANTATION</v>
          </cell>
        </row>
        <row r="12156">
          <cell r="B12156" t="str">
            <v>50-430-19-07</v>
          </cell>
          <cell r="C12156" t="str">
            <v>SAUGRASPATORIUM, MARCHAC,  GER., 19 CM</v>
          </cell>
          <cell r="D12156" t="str">
            <v>SUCTION  DISSECTOR, MARCHAC,  STR., 19 CM</v>
          </cell>
        </row>
        <row r="12157">
          <cell r="B12157" t="str">
            <v>50-440-04-07</v>
          </cell>
          <cell r="C12157" t="str">
            <v>OSTEOTOM, MARCHAC,  4 MM, GER., 18,5 CM</v>
          </cell>
          <cell r="D12157" t="str">
            <v>OSTEOTOME, MARCHAC,  4 MM, STR., 18.5 CM</v>
          </cell>
        </row>
        <row r="12158">
          <cell r="B12158" t="str">
            <v>50-440-06-07</v>
          </cell>
          <cell r="C12158" t="str">
            <v>OSTEOTOM, MARCHAC,  6 MM, GER., 18,5 CM</v>
          </cell>
          <cell r="D12158" t="str">
            <v>OSTEOTOME, MARCHAC,  6 MM, STR., 18.5 CM</v>
          </cell>
        </row>
        <row r="12159">
          <cell r="B12159" t="str">
            <v>50-440-08-07</v>
          </cell>
          <cell r="C12159" t="str">
            <v>OSTEOTOM, MARCHAC,  8 MM, GER., 18,5 CM</v>
          </cell>
          <cell r="D12159" t="str">
            <v>OSTEOTOME, MARCHAC,  8 MM, STR., 18.5 CM</v>
          </cell>
        </row>
        <row r="12160">
          <cell r="B12160" t="str">
            <v>50-441-06-07</v>
          </cell>
          <cell r="C12160" t="str">
            <v>OSTEOTOM, MARCHAC,  6 MM, GEB., 18,5 CM</v>
          </cell>
          <cell r="D12160" t="str">
            <v>OSTEOTOME, MARCHAC,  6 MM, CVD., 18.5 CM</v>
          </cell>
        </row>
        <row r="12161">
          <cell r="B12161" t="str">
            <v>50-446-19-07</v>
          </cell>
          <cell r="C12161" t="str">
            <v>KNOCHENHAKEN, MARCHAC,  SCHARF, 20 CM</v>
          </cell>
          <cell r="D12161" t="str">
            <v>BONE HOOK, MARCHAC,  SHARP, 20 CM</v>
          </cell>
        </row>
        <row r="12162">
          <cell r="B12162" t="str">
            <v>50-450-17-07</v>
          </cell>
          <cell r="C12162" t="str">
            <v>KNOCHENSPREIZZANGE, MARCHAC,  17,5 CM</v>
          </cell>
          <cell r="D12162" t="str">
            <v>BONE EXPANDER, MARCHAC,  17.5 CM</v>
          </cell>
        </row>
        <row r="12163">
          <cell r="B12163" t="str">
            <v>50-499-00-07</v>
          </cell>
          <cell r="C12163" t="str">
            <v>MODELLIERTISCH N. MARCHAC</v>
          </cell>
          <cell r="D12163" t="str">
            <v>MARCHAC  BENCH VISE</v>
          </cell>
        </row>
        <row r="12164">
          <cell r="B12164" t="str">
            <v>50-501-01-07</v>
          </cell>
          <cell r="C12164" t="str">
            <v>GRIFF ALLEIN</v>
          </cell>
          <cell r="D12164" t="str">
            <v>HANDLE ONLY</v>
          </cell>
        </row>
        <row r="12165">
          <cell r="B12165" t="str">
            <v>50-501-05-07</v>
          </cell>
          <cell r="C12165" t="str">
            <v>UNIVERSAL TROKAR ALLEIN</v>
          </cell>
          <cell r="D12165" t="str">
            <v>UNIVERSAL TROCAR ONLY</v>
          </cell>
        </row>
        <row r="12166">
          <cell r="B12166" t="str">
            <v>50-501-06-07</v>
          </cell>
          <cell r="C12166" t="str">
            <v>3D X DOPPEL-TROKAR FUER 2.0 MM PINS</v>
          </cell>
          <cell r="D12166" t="str">
            <v>3D X TWIN TROCAR FOR 2.0 MM PINS</v>
          </cell>
        </row>
        <row r="12167">
          <cell r="B12167" t="str">
            <v>50-501-09-07</v>
          </cell>
          <cell r="C12167" t="str">
            <v>X-FIX Trokar, kurz</v>
          </cell>
          <cell r="D12167" t="str">
            <v>X-FIX Trocar, short</v>
          </cell>
        </row>
        <row r="12168">
          <cell r="B12168" t="str">
            <v>50-501-10-07</v>
          </cell>
          <cell r="C12168" t="str">
            <v>WANGENHALTER, GESCHLOSSEN</v>
          </cell>
          <cell r="D12168" t="str">
            <v>CHEEK RETRACTOR, CLOSED</v>
          </cell>
        </row>
        <row r="12169">
          <cell r="B12169" t="str">
            <v>50-501-15-07</v>
          </cell>
          <cell r="C12169" t="str">
            <v>KANÜLE - EINZELDORN</v>
          </cell>
          <cell r="D12169" t="str">
            <v>CANNULA  - SINGLE THORN</v>
          </cell>
        </row>
        <row r="12170">
          <cell r="B12170" t="str">
            <v>50-501-16-07</v>
          </cell>
          <cell r="C12170" t="str">
            <v>KANÜLE - DOPPELDORN</v>
          </cell>
          <cell r="D12170" t="str">
            <v>CANNULA  - DOUBLE THORN</v>
          </cell>
        </row>
        <row r="12171">
          <cell r="B12171" t="str">
            <v>50-501-17-07</v>
          </cell>
          <cell r="C12171" t="str">
            <v>KANÜLE - GLATT</v>
          </cell>
          <cell r="D12171" t="str">
            <v>CANNULA  - SMOOTH</v>
          </cell>
        </row>
        <row r="12172">
          <cell r="B12172" t="str">
            <v>50-501-18-07</v>
          </cell>
          <cell r="C12172" t="str">
            <v>3D X DOPPEL-GEWEBESCHUTZHUELSE 2.0MM P.</v>
          </cell>
          <cell r="D12172" t="str">
            <v>3D X TWIN SOFT TISSUE PROTECTOR 2.0MM P.</v>
          </cell>
        </row>
        <row r="12173">
          <cell r="B12173" t="str">
            <v>50-501-19-07</v>
          </cell>
          <cell r="C12173" t="str">
            <v>X-FIX Kanüle, lang</v>
          </cell>
          <cell r="D12173" t="str">
            <v>X-FIX Cannula,  long</v>
          </cell>
        </row>
        <row r="12174">
          <cell r="B12174" t="str">
            <v>50-501-20-07</v>
          </cell>
          <cell r="C12174" t="str">
            <v>THREADLOCK TS BOHRHUELSE 2,0/2,3 MM KURZ</v>
          </cell>
          <cell r="D12174" t="str">
            <v>THREADLOCK TS DRILL GUIDE2,0/2,3MM SHORT</v>
          </cell>
        </row>
        <row r="12175">
          <cell r="B12175" t="str">
            <v>50-501-21-07</v>
          </cell>
          <cell r="C12175" t="str">
            <v>THREADLOCK TS BOHRHÜLSE 2,0/2,3 MM LANG</v>
          </cell>
          <cell r="D12175" t="str">
            <v>THREADLOCK TS DRILL GUIDE 2.0/2.3MM LONG</v>
          </cell>
        </row>
        <row r="12176">
          <cell r="B12176" t="str">
            <v>50-501-22-07</v>
          </cell>
          <cell r="C12176" t="str">
            <v>BOHRHÜLSE, D2,3/2,0MM</v>
          </cell>
          <cell r="D12176" t="str">
            <v>DRILL GUIDE, D2.3/2.0MM</v>
          </cell>
        </row>
        <row r="12177">
          <cell r="B12177" t="str">
            <v>50-501-25-07</v>
          </cell>
          <cell r="C12177" t="str">
            <v>BOHRHÜLSE, D1,5MM</v>
          </cell>
          <cell r="D12177" t="str">
            <v>DRILL GUIDE, D1.5MM</v>
          </cell>
        </row>
        <row r="12178">
          <cell r="B12178" t="str">
            <v>50-501-26-07</v>
          </cell>
          <cell r="C12178" t="str">
            <v>BOHRHÜLSE, UNIVERSAL KURZ</v>
          </cell>
          <cell r="D12178" t="str">
            <v>DRILL GUIDE, SHORT, UNIVERSAL</v>
          </cell>
        </row>
        <row r="12179">
          <cell r="B12179" t="str">
            <v>50-501-27-07</v>
          </cell>
          <cell r="C12179" t="str">
            <v>BOHRHÜLSE, D2,7MM  THREADLOCK RECON</v>
          </cell>
          <cell r="D12179" t="str">
            <v>DRILL GUIDE, D2.7 THREADLOCK RECON</v>
          </cell>
        </row>
        <row r="12180">
          <cell r="B12180" t="str">
            <v>50-501-28-07</v>
          </cell>
          <cell r="C12180" t="str">
            <v>3D X DOPPEL-GEWEBESCHUTZHUELSE 2.7MM P.</v>
          </cell>
          <cell r="D12180" t="str">
            <v>3D X TWIN SOFT TISSUE PROTECTOR 2.7MM P.</v>
          </cell>
        </row>
        <row r="12181">
          <cell r="B12181" t="str">
            <v>50-501-29-07</v>
          </cell>
          <cell r="C12181" t="str">
            <v>X-FIX Bohrhülse,  lang</v>
          </cell>
          <cell r="D12181" t="str">
            <v>X-FIX Drill Guide, long</v>
          </cell>
        </row>
        <row r="12182">
          <cell r="B12182" t="str">
            <v>50-501-30-07</v>
          </cell>
          <cell r="C12182" t="str">
            <v>THREADLOCK TS BOHRHÜLSE 2,7 MM KURZ</v>
          </cell>
          <cell r="D12182" t="str">
            <v>THREADLOCK TS DRILL GUIDE 2.7 MM SHORT</v>
          </cell>
        </row>
        <row r="12183">
          <cell r="B12183" t="str">
            <v>50-501-31-07</v>
          </cell>
          <cell r="C12183" t="str">
            <v>THREADLOCK TS BOHRHÜLSE 2,7 MM LANG</v>
          </cell>
          <cell r="D12183" t="str">
            <v>THREADLOCK TS DRILL GUIDE 2.7 MM LONG</v>
          </cell>
        </row>
        <row r="12184">
          <cell r="B12184" t="str">
            <v>50-501-33-07</v>
          </cell>
          <cell r="C12184" t="str">
            <v>PLATTENHALTEBUCHSE 2,3MM</v>
          </cell>
          <cell r="D12184" t="str">
            <v>PL.HOLDSOCKET FRACTURE  2.3MM</v>
          </cell>
        </row>
        <row r="12185">
          <cell r="B12185" t="str">
            <v>50-501-34-07</v>
          </cell>
          <cell r="C12185" t="str">
            <v>PLATTENHALTEBUCHSE 2,0MM</v>
          </cell>
          <cell r="D12185" t="str">
            <v>PL.HOLDSOCKET 2.0MM</v>
          </cell>
        </row>
        <row r="12186">
          <cell r="B12186" t="str">
            <v>50-501-36-07</v>
          </cell>
          <cell r="C12186" t="str">
            <v>3D X DOPPEL-TROKAR FUER 2.7 MM PINS</v>
          </cell>
          <cell r="D12186" t="str">
            <v>3D X TWIN TROCAR FOR 2.7 MM PINS</v>
          </cell>
        </row>
        <row r="12187">
          <cell r="B12187" t="str">
            <v>50-501-37-07</v>
          </cell>
          <cell r="C12187" t="str">
            <v>PLATTENHALTEBUCHSE THREADLOCK RECON</v>
          </cell>
          <cell r="D12187" t="str">
            <v>PL.HOLDSOCKET THREADLCOK RECON</v>
          </cell>
        </row>
        <row r="12188">
          <cell r="B12188" t="str">
            <v>50-501-40-07</v>
          </cell>
          <cell r="C12188" t="str">
            <v>TIEFENMESSER</v>
          </cell>
          <cell r="D12188" t="str">
            <v>DEPTH GAUGE</v>
          </cell>
        </row>
        <row r="12189">
          <cell r="B12189" t="str">
            <v>50-502-10-07</v>
          </cell>
          <cell r="C12189" t="str">
            <v>MULTIFUNKTIONSZANGE FÜR D1,0/1,5/2,0</v>
          </cell>
          <cell r="D12189" t="str">
            <v>MULTI PLATE BENDER D1.0/1.5/2.0</v>
          </cell>
        </row>
        <row r="12190">
          <cell r="B12190" t="str">
            <v>50-502-11-07</v>
          </cell>
          <cell r="C12190" t="str">
            <v>PLATTENSCHNEIDEZANGE FÜR D1,0/1,5/2,0</v>
          </cell>
          <cell r="D12190" t="str">
            <v>MULTI PLATE CUTTER D1.0/1.5/2.0</v>
          </cell>
        </row>
        <row r="12191">
          <cell r="B12191" t="str">
            <v>50-504-13-07</v>
          </cell>
          <cell r="C12191" t="str">
            <v>THREADLOCK TS BIEGEINSTR.1,0/1,5/2,0MM R</v>
          </cell>
          <cell r="D12191" t="str">
            <v>THREADL.TS BENDING  PLIER 1.0/1.5/2.0MM R</v>
          </cell>
        </row>
        <row r="12192">
          <cell r="B12192" t="str">
            <v>50-504-14-07</v>
          </cell>
          <cell r="C12192" t="str">
            <v>THREADLOCK TS BIEGEINSTR.1,0/1,5/2,0MM L</v>
          </cell>
          <cell r="D12192" t="str">
            <v>THREADL.TS BENDING  PLIER 1.0/1.5/2.0MM L</v>
          </cell>
        </row>
        <row r="12193">
          <cell r="B12193" t="str">
            <v>50-504-23-07</v>
          </cell>
          <cell r="C12193" t="str">
            <v>TL TS MULITIF.-ZANGE D1,5/2,0/3,0MM (A)</v>
          </cell>
          <cell r="D12193" t="str">
            <v>THREADL.TS BENDER-CUTTER D1.5/2.0/3.0(A)</v>
          </cell>
        </row>
        <row r="12194">
          <cell r="B12194" t="str">
            <v>50-504-24-07</v>
          </cell>
          <cell r="C12194" t="str">
            <v>TL TS MULITIF.-ZANGE D1,5/2,0/3,0MM (B)</v>
          </cell>
          <cell r="D12194" t="str">
            <v>THREADL.TS BENDER-CUTTER D1.5/2.0/3.0(B)</v>
          </cell>
        </row>
        <row r="12195">
          <cell r="B12195" t="str">
            <v>50-504-30-07</v>
          </cell>
          <cell r="C12195" t="str">
            <v>Plattenbiegezange ThreadLock TS</v>
          </cell>
          <cell r="D12195" t="str">
            <v>Plate Bending Forceps ThreadLock TS</v>
          </cell>
        </row>
        <row r="12196">
          <cell r="B12196" t="str">
            <v>50-511-05-07</v>
          </cell>
          <cell r="C12196" t="str">
            <v>VORBOHRER 1,1 X 105 X 5MM, JKUPPLUNG</v>
          </cell>
          <cell r="D12196" t="str">
            <v>TWIST DRILL 1.1 X 105 X 5MM, J-NOTCH</v>
          </cell>
        </row>
        <row r="12197">
          <cell r="B12197" t="str">
            <v>50-511-05-71</v>
          </cell>
          <cell r="C12197" t="str">
            <v>VORBOHRER 1,1 X 105 X 5MM, JKUPPLUNG STE</v>
          </cell>
          <cell r="D12197" t="str">
            <v>TWIST DRILL 1.1 X 105 X 5MM, J-NOTCH</v>
          </cell>
        </row>
        <row r="12198">
          <cell r="B12198" t="str">
            <v>50-511-35-07</v>
          </cell>
          <cell r="C12198" t="str">
            <v>VORBOHRER 1,1 X 105 X 3,5MM, JKUPPL</v>
          </cell>
          <cell r="D12198" t="str">
            <v>TWIST DRILL 1.1 X 105 X 3.5MM, J-NOTCH</v>
          </cell>
        </row>
        <row r="12199">
          <cell r="B12199" t="str">
            <v>50-511-35-71</v>
          </cell>
          <cell r="C12199" t="str">
            <v>VORBOHRER 1,1 X 105 X 3,5MM, JKUPPL STER</v>
          </cell>
          <cell r="D12199" t="str">
            <v>TWIST DRILL 1.1X105X3.5MM,J-N.STERILE</v>
          </cell>
        </row>
        <row r="12200">
          <cell r="B12200" t="str">
            <v>50-515-05-07</v>
          </cell>
          <cell r="C12200" t="str">
            <v>VORBOHRER 1,5 X 105 X 5MM, JKUPPLUNG</v>
          </cell>
          <cell r="D12200" t="str">
            <v>TWIST DRILL 1.5 X 105 X 5MM, J-NOTCH</v>
          </cell>
        </row>
        <row r="12201">
          <cell r="B12201" t="str">
            <v>50-519-07-07</v>
          </cell>
          <cell r="C12201" t="str">
            <v>VORBOHRER 1,9MM,STOP,7MM,105MM,JKUPPL</v>
          </cell>
          <cell r="D12201" t="str">
            <v>TWIST DRILL 1.9MM,STOP,7MM,105MM,J-NOTCH</v>
          </cell>
        </row>
        <row r="12202">
          <cell r="B12202" t="str">
            <v>50-519-07-71</v>
          </cell>
          <cell r="C12202" t="str">
            <v>VORBOHRER 1,9MM,STOP,7MM,105MM,JKUPPL</v>
          </cell>
          <cell r="D12202" t="str">
            <v>TWIST DRILL 1.9MM,STOP,7MM,105MM,J-NOTCH</v>
          </cell>
        </row>
        <row r="12203">
          <cell r="B12203" t="str">
            <v>50-519-15-07</v>
          </cell>
          <cell r="C12203" t="str">
            <v>VORBOHRER 1,9 X 115 MM, JKUPPLUNG</v>
          </cell>
          <cell r="D12203" t="str">
            <v>TWIST DRILL 1.9 X 115 MM, J-NOTCH</v>
          </cell>
        </row>
        <row r="12204">
          <cell r="B12204" t="str">
            <v>50-519-15-21</v>
          </cell>
          <cell r="C12204" t="str">
            <v>VORBOHRER 1,9 X 115 MM, GRAD. JKUPPLUNG</v>
          </cell>
          <cell r="D12204" t="str">
            <v>TWIST DRILL 1.9 X 115 MM, GRAD. J-NOTCH</v>
          </cell>
        </row>
        <row r="12205">
          <cell r="B12205" t="str">
            <v>50-519-15-71</v>
          </cell>
          <cell r="C12205" t="str">
            <v>VORBOHRER 1,9 X 115 MM, JKUPPLUNG</v>
          </cell>
          <cell r="D12205" t="str">
            <v>TWIST DRILL 1.9 X 115 MM, J-NOTCH</v>
          </cell>
        </row>
        <row r="12206">
          <cell r="B12206" t="str">
            <v>50-519-17-07</v>
          </cell>
          <cell r="C12206" t="str">
            <v>VORBOHRER 1,9X115MM, 7MM STOP,JKUPPL</v>
          </cell>
          <cell r="D12206" t="str">
            <v>TWIST DRILL 1,9X115MM, 7MM STOP,J-NOTCH</v>
          </cell>
        </row>
        <row r="12207">
          <cell r="B12207" t="str">
            <v>50-519-17-71</v>
          </cell>
          <cell r="C12207" t="str">
            <v>VORBOHRER 1,9X115MM, 7MM STOP,JKUPPL</v>
          </cell>
          <cell r="D12207" t="str">
            <v>TWIST DRILL 1,9X115MM, 7MM STOP,J-NOTCH</v>
          </cell>
        </row>
        <row r="12208">
          <cell r="B12208" t="str">
            <v>50-712-04-09</v>
          </cell>
          <cell r="C12208" t="str">
            <v>FRAKTURPL. 4-LOCH GERADE KURZ T=1,5MM  RB</v>
          </cell>
          <cell r="D12208" t="str">
            <v>FRACT.PL.4HOLE STRAIGHT  SHORT T=1.5MM  RB</v>
          </cell>
        </row>
        <row r="12209">
          <cell r="B12209" t="str">
            <v>50-712-04-71</v>
          </cell>
          <cell r="C12209" t="str">
            <v>FRAKTURPL. 4-LOCH GER.KURZ  T=1,5MM  STER.</v>
          </cell>
          <cell r="D12209" t="str">
            <v>FRACT.PL.4-HOLES STR. SHORT T=1.5MM  STER</v>
          </cell>
        </row>
        <row r="12210">
          <cell r="B12210" t="str">
            <v>50-712-54-04</v>
          </cell>
          <cell r="C12210" t="str">
            <v>Template  für 50-712/762-04</v>
          </cell>
          <cell r="D12210" t="str">
            <v>Template  for 50-712/762-04</v>
          </cell>
        </row>
        <row r="12211">
          <cell r="B12211" t="str">
            <v>50-714-04-09</v>
          </cell>
          <cell r="C12211" t="str">
            <v>FRAKTURPL. 4-LOCH GERADE LANG T=1,5MM  RB</v>
          </cell>
          <cell r="D12211" t="str">
            <v>FRACT.PL.4HOLES STRAIGHT  LONG T=1.5MM  RB</v>
          </cell>
        </row>
        <row r="12212">
          <cell r="B12212" t="str">
            <v>50-714-04-71</v>
          </cell>
          <cell r="C12212" t="str">
            <v>FRAKTURPL. 4-LOCH GER.LANG  T=1,5MM  STER.</v>
          </cell>
          <cell r="D12212" t="str">
            <v>FRACT.PL.4-HOLES STR. LONG T=1.5MM  STER.</v>
          </cell>
        </row>
        <row r="12213">
          <cell r="B12213" t="str">
            <v>50-714-54-04</v>
          </cell>
          <cell r="C12213" t="str">
            <v>Template  für 50-714/764-04</v>
          </cell>
          <cell r="D12213" t="str">
            <v>Template  for 50-714/764-04</v>
          </cell>
        </row>
        <row r="12214">
          <cell r="B12214" t="str">
            <v>50-716-06-09</v>
          </cell>
          <cell r="C12214" t="str">
            <v>FRAKTURPL.6LOCH GERADE M.STEG T=1,5MM  RB</v>
          </cell>
          <cell r="D12214" t="str">
            <v>FRACT.PL.6H.STRAI.W.INT.SPACE T=1.5MM  RB</v>
          </cell>
        </row>
        <row r="12215">
          <cell r="B12215" t="str">
            <v>50-716-06-71</v>
          </cell>
          <cell r="C12215" t="str">
            <v>FRAKTURPL.6-LOCH GER.M.STEG T=1,5MM  STER</v>
          </cell>
          <cell r="D12215" t="str">
            <v>FRACT.PL.6-HOLES STR. T=1.5MM,  STERILE</v>
          </cell>
        </row>
        <row r="12216">
          <cell r="B12216" t="str">
            <v>50-716-56-04</v>
          </cell>
          <cell r="C12216" t="str">
            <v>Template  f.50-716/766-06/50-796-16</v>
          </cell>
          <cell r="D12216" t="str">
            <v>Template  for 50-716/766-06/ 50-796-16</v>
          </cell>
        </row>
        <row r="12217">
          <cell r="B12217" t="str">
            <v>50-722-06-09</v>
          </cell>
          <cell r="C12217" t="str">
            <v>Frakturplatte 6-Loch gerade 2,0mm</v>
          </cell>
          <cell r="D12217" t="str">
            <v>Fracture Plate 6-holes straight 2.0mm</v>
          </cell>
        </row>
        <row r="12218">
          <cell r="B12218" t="str">
            <v>50-722-06-71</v>
          </cell>
          <cell r="C12218" t="str">
            <v>Frakturplatte 6-Loch gerade 2,0mm steril</v>
          </cell>
          <cell r="D12218" t="str">
            <v>Fracture Pl.6-holes  straight 2.0mm ster.</v>
          </cell>
        </row>
        <row r="12219">
          <cell r="B12219" t="str">
            <v>50-722-12-09</v>
          </cell>
          <cell r="C12219" t="str">
            <v>MINIPLATTE 2 X 6-LOCH GERADE T=1,0 MM</v>
          </cell>
          <cell r="D12219" t="str">
            <v>MINI PLATE 2 X 6-HOLES STRAIGHT  T=1.0 MM</v>
          </cell>
        </row>
        <row r="12220">
          <cell r="B12220" t="str">
            <v>50-722-12-71</v>
          </cell>
          <cell r="C12220" t="str">
            <v>MINIPLATTE 2 X 6-LOCH GERADE T=1,0 MM</v>
          </cell>
          <cell r="D12220" t="str">
            <v>MINI PLATE 2 X 6-HOLES STRAIGHT  T=1.0 MM</v>
          </cell>
        </row>
        <row r="12221">
          <cell r="B12221" t="str">
            <v>50-722-62-04</v>
          </cell>
          <cell r="C12221" t="str">
            <v>Template  für 50-722-12</v>
          </cell>
          <cell r="D12221" t="str">
            <v>Template  for 50-722-12</v>
          </cell>
        </row>
        <row r="12222">
          <cell r="B12222" t="str">
            <v>50-723-12-09</v>
          </cell>
          <cell r="C12222" t="str">
            <v>MINIPLATTE 2 X 6-LOCH GEBOGEN  T=1,0 MM</v>
          </cell>
          <cell r="D12222" t="str">
            <v>MINI PLATE 2 X 6-HOLES CURVED T=1.0 MM</v>
          </cell>
        </row>
        <row r="12223">
          <cell r="B12223" t="str">
            <v>50-723-12-71</v>
          </cell>
          <cell r="C12223" t="str">
            <v>MINIPLATTE 2 X 6-LOCH GEBOGEN  T=1,0 MM</v>
          </cell>
          <cell r="D12223" t="str">
            <v>MINI PLATE 2 X 6-HOLES CURVED T=1.0 MM</v>
          </cell>
        </row>
        <row r="12224">
          <cell r="B12224" t="str">
            <v>50-723-62-04</v>
          </cell>
          <cell r="C12224" t="str">
            <v>Template  für 50-723-12</v>
          </cell>
          <cell r="D12224" t="str">
            <v>Template  for 50-723-12</v>
          </cell>
        </row>
        <row r="12225">
          <cell r="B12225" t="str">
            <v>50-730-04-09</v>
          </cell>
          <cell r="C12225" t="str">
            <v>FRAKTURPL.4-LOCH GEBOGEN  KURZ T=1,5MM  RB</v>
          </cell>
          <cell r="D12225" t="str">
            <v>FRACT.PL.4-HOLES CURVED SHORT T=1.5MM  RB</v>
          </cell>
        </row>
        <row r="12226">
          <cell r="B12226" t="str">
            <v>50-730-04-71</v>
          </cell>
          <cell r="C12226" t="str">
            <v>FRAKTURPL.4-LOCH GEBOGEN  KURZ T=1,5MM  RB</v>
          </cell>
          <cell r="D12226" t="str">
            <v>FRACT.PL.4-HOLES CURVED SHORT T=1.5MM  RB</v>
          </cell>
        </row>
        <row r="12227">
          <cell r="B12227" t="str">
            <v>50-730-06-09</v>
          </cell>
          <cell r="C12227" t="str">
            <v>MINI SAG.PLATTE 6-LOCH KURZ.STEG  T=1,0MM</v>
          </cell>
          <cell r="D12227" t="str">
            <v>MINI SAGITTAL  PLATE 6HOLES SHORT T=1.0MM</v>
          </cell>
        </row>
        <row r="12228">
          <cell r="B12228" t="str">
            <v>50-730-06-71</v>
          </cell>
          <cell r="C12228" t="str">
            <v>MINI SAG. PLATTE 6-LOCH KURZ, T=1MM STER</v>
          </cell>
          <cell r="D12228" t="str">
            <v>MINI SAG. PL. 6-HOLES SHORT T=1.0MM  STER</v>
          </cell>
        </row>
        <row r="12229">
          <cell r="B12229" t="str">
            <v>50-730-54-04</v>
          </cell>
          <cell r="C12229" t="str">
            <v>Template  für 50-730/770-04</v>
          </cell>
          <cell r="D12229" t="str">
            <v>Template  for 50-730/770-04</v>
          </cell>
        </row>
        <row r="12230">
          <cell r="B12230" t="str">
            <v>50-730-56-04</v>
          </cell>
          <cell r="C12230" t="str">
            <v>Template  für 50-730-06</v>
          </cell>
          <cell r="D12230" t="str">
            <v>Template  for 50-730-06</v>
          </cell>
        </row>
        <row r="12231">
          <cell r="B12231" t="str">
            <v>50-731-06-09</v>
          </cell>
          <cell r="C12231" t="str">
            <v>MINI SAG.PLATTE 6-LOCH MITT.STEG  T=1,0MM</v>
          </cell>
          <cell r="D12231" t="str">
            <v>MINI SAGITTAL  PLATE 6-HOLES MED. T=1.0MM</v>
          </cell>
        </row>
        <row r="12232">
          <cell r="B12232" t="str">
            <v>50-731-06-71</v>
          </cell>
          <cell r="C12232" t="str">
            <v>MINI SAG.PLATTE 6-LOCH MITT.STEG  T=1,0MM</v>
          </cell>
          <cell r="D12232" t="str">
            <v>MINI SAGITTAL  PLATE 6-HOLES MED. T=1.0MM</v>
          </cell>
        </row>
        <row r="12233">
          <cell r="B12233" t="str">
            <v>50-731-56-04</v>
          </cell>
          <cell r="C12233" t="str">
            <v>Template  für 50-731-06</v>
          </cell>
          <cell r="D12233" t="str">
            <v>Template  for 50-731-06</v>
          </cell>
        </row>
        <row r="12234">
          <cell r="B12234" t="str">
            <v>50-732-04-09</v>
          </cell>
          <cell r="C12234" t="str">
            <v>FRAKTURPL.4-LOCH GEBOGEN  LANG T=1,5MM  RB</v>
          </cell>
          <cell r="D12234" t="str">
            <v>FRACT.PL.  4-HOLES CURVED LONG T=1.5MM  RB</v>
          </cell>
        </row>
        <row r="12235">
          <cell r="B12235" t="str">
            <v>50-732-04-71</v>
          </cell>
          <cell r="C12235" t="str">
            <v>FRAKTURPL.4-LOCH GEBOGEN  LANG T=1,5MM  RB</v>
          </cell>
          <cell r="D12235" t="str">
            <v>FRACT.PL.  4-HOLES CURVED LONG T=1.5MM  RB</v>
          </cell>
        </row>
        <row r="12236">
          <cell r="B12236" t="str">
            <v>50-732-06-09</v>
          </cell>
          <cell r="C12236" t="str">
            <v>MINI SAG.PLATTE 6-LOCH LANG.STEG T=1,0MM</v>
          </cell>
          <cell r="D12236" t="str">
            <v>MINI SAGITTAL  PLATE 6-HOLES LONG T=1.0MM</v>
          </cell>
        </row>
        <row r="12237">
          <cell r="B12237" t="str">
            <v>50-732-06-71</v>
          </cell>
          <cell r="C12237" t="str">
            <v>MINI SAG.PLATTE 6-LOCH LANG.STEG T=1,0MM</v>
          </cell>
          <cell r="D12237" t="str">
            <v>MINI SAGITTAL  PLATE 6-HOLES LONG T=1.0MM</v>
          </cell>
        </row>
        <row r="12238">
          <cell r="B12238" t="str">
            <v>50-732-54-04</v>
          </cell>
          <cell r="C12238" t="str">
            <v>Template  für 50-732/772-04</v>
          </cell>
          <cell r="D12238" t="str">
            <v>Template  for 50-732/772-04</v>
          </cell>
        </row>
        <row r="12239">
          <cell r="B12239" t="str">
            <v>50-732-56-04</v>
          </cell>
          <cell r="C12239" t="str">
            <v>Template  für 50-732-06</v>
          </cell>
          <cell r="D12239" t="str">
            <v>Template  for 50-732-06</v>
          </cell>
        </row>
        <row r="12240">
          <cell r="B12240" t="str">
            <v>50-735-04-09</v>
          </cell>
          <cell r="C12240" t="str">
            <v>LOCKING  MINI PLATTE 4-LOCH GERADE S</v>
          </cell>
          <cell r="D12240" t="str">
            <v>LOCKING  MINI PLATE 4-HOLE STRAIGHT  S</v>
          </cell>
        </row>
        <row r="12241">
          <cell r="B12241" t="str">
            <v>50-735-14-09</v>
          </cell>
          <cell r="C12241" t="str">
            <v>LOCKING  MINI PLATTE 4-LOCH GERADE S</v>
          </cell>
          <cell r="D12241" t="str">
            <v>LOCKING  MINI PLATTE 4-HOLE STRAIGHT  M</v>
          </cell>
        </row>
        <row r="12242">
          <cell r="B12242" t="str">
            <v>50-735-24-09</v>
          </cell>
          <cell r="C12242" t="str">
            <v>LOCKING  MINI PLATTE 4-LOCH GERADE M</v>
          </cell>
          <cell r="D12242" t="str">
            <v>LOCKING  MINI PLATE 4-HOLE STRAIGHT  L</v>
          </cell>
        </row>
        <row r="12243">
          <cell r="B12243" t="str">
            <v>50-735-34-09</v>
          </cell>
          <cell r="C12243" t="str">
            <v>LOCKING  MINI PLATTE 4-LOCH GERADE L</v>
          </cell>
          <cell r="D12243" t="str">
            <v>LOCKING  MINI PLATE 4-HOLE STRAIGHT  XL</v>
          </cell>
        </row>
        <row r="12244">
          <cell r="B12244" t="str">
            <v>50-735-36-09</v>
          </cell>
          <cell r="C12244" t="str">
            <v>LOCKING  MINI PLATTE 6-LOCH GERADE XL</v>
          </cell>
          <cell r="D12244" t="str">
            <v>LOCKING  MINI PLATE 6-HOLE STRAIGHT  XL</v>
          </cell>
        </row>
        <row r="12245">
          <cell r="B12245" t="str">
            <v>50-740-05-09</v>
          </cell>
          <cell r="C12245" t="str">
            <v>LOCKING  PLATTE 1.0 5-LOCH L-FORM RECHTS</v>
          </cell>
          <cell r="D12245" t="str">
            <v>LOCKING  PLATE 1.0 5-HOLE L-SHAPE RIGHT</v>
          </cell>
        </row>
        <row r="12246">
          <cell r="B12246" t="str">
            <v>50-740-09-09</v>
          </cell>
          <cell r="C12246" t="str">
            <v>LOCKING  PLATTE 1.0 9-LOCH L-FORM RECHTS</v>
          </cell>
          <cell r="D12246" t="str">
            <v>LOCKING  PLATE,T=1.0MM,L-SHAPE,R,9 HOLES</v>
          </cell>
        </row>
        <row r="12247">
          <cell r="B12247" t="str">
            <v>50-741-05-09</v>
          </cell>
          <cell r="C12247" t="str">
            <v>LOCKING  PLATTE 1.0 5-LOCH L-FORM LINKS</v>
          </cell>
          <cell r="D12247" t="str">
            <v>LOCKING  PLATE 1.0 5-HOLE L-SHAPE LEFT</v>
          </cell>
        </row>
        <row r="12248">
          <cell r="B12248" t="str">
            <v>50-741-09-09</v>
          </cell>
          <cell r="C12248" t="str">
            <v>LOCKING  PLATTE 1.0 9-LOCH L-FORM LINKS</v>
          </cell>
          <cell r="D12248" t="str">
            <v>LOCKING  PLATE 1.0 9-HOLE L-SHAPE LEFT</v>
          </cell>
        </row>
        <row r="12249">
          <cell r="B12249" t="str">
            <v>50-742-04-09</v>
          </cell>
          <cell r="C12249" t="str">
            <v>LOCKING  PLATTE Z-FORM LINKS 1.0 MM</v>
          </cell>
          <cell r="D12249" t="str">
            <v>LOCKING  PLATE Z-SHAPE LEFT 1.0 MM</v>
          </cell>
        </row>
        <row r="12250">
          <cell r="B12250" t="str">
            <v>50-743-04-09</v>
          </cell>
          <cell r="C12250" t="str">
            <v>LOCKING  PLATTE Z-FORM RECHTS 1.0 MM</v>
          </cell>
          <cell r="D12250" t="str">
            <v>LOCKING  PLATE Z-SHAPE RIGHT 1.0 MM</v>
          </cell>
        </row>
        <row r="12251">
          <cell r="B12251" t="str">
            <v>50-746-02-09</v>
          </cell>
          <cell r="C12251" t="str">
            <v>SIZER FÜR 50-746-22-09, 2.8MM</v>
          </cell>
          <cell r="D12251" t="str">
            <v>SIZER FOR 50-746-22-09,T=2.8MM</v>
          </cell>
        </row>
        <row r="12252">
          <cell r="B12252" t="str">
            <v>50-746-03-09</v>
          </cell>
          <cell r="C12252" t="str">
            <v>SIZER FÜR 50-746-23-09, 2.8MM</v>
          </cell>
          <cell r="D12252" t="str">
            <v>SIZER FOR 50-746-23-09,T=2.8MM</v>
          </cell>
        </row>
        <row r="12253">
          <cell r="B12253" t="str">
            <v>50-746-04-09</v>
          </cell>
          <cell r="C12253" t="str">
            <v>SIZER FÜR 50-746-24-09, 2.8MM</v>
          </cell>
          <cell r="D12253" t="str">
            <v>SIZER FOR 50-746-24-09,T=2.8MM</v>
          </cell>
        </row>
        <row r="12254">
          <cell r="B12254" t="str">
            <v>50-746-22-09</v>
          </cell>
          <cell r="C12254" t="str">
            <v>REKONPLATTE 22-LOCH  VORGEF.  RECHTS T=2,8</v>
          </cell>
          <cell r="D12254" t="str">
            <v>RECONPLATE 22-HOLE PREFORM.  RIGHT T=2.8</v>
          </cell>
        </row>
        <row r="12255">
          <cell r="B12255" t="str">
            <v>50-746-22-71</v>
          </cell>
          <cell r="C12255" t="str">
            <v>Rekonpl.  22-Loch vorgef. rechts 2,8/Ster</v>
          </cell>
          <cell r="D12255" t="str">
            <v>Reconpl. 22-Hole preform.  right 2.8/Ster</v>
          </cell>
        </row>
        <row r="12256">
          <cell r="B12256" t="str">
            <v>50-746-23-09</v>
          </cell>
          <cell r="C12256" t="str">
            <v>REKONPLATTE 23-LOCH  VORGEF.  RECHTS T=2,8</v>
          </cell>
          <cell r="D12256" t="str">
            <v>RECONPLATE 23-HOLE PREFORM.  RIGHT T=2.8</v>
          </cell>
        </row>
        <row r="12257">
          <cell r="B12257" t="str">
            <v>50-746-23-71</v>
          </cell>
          <cell r="C12257" t="str">
            <v>Rekonpl.  23-Loch vorgef. rechts 2,8/Ster</v>
          </cell>
          <cell r="D12257" t="str">
            <v>Reconpl. 23-Hole preform.  right 2.8/Ster</v>
          </cell>
        </row>
        <row r="12258">
          <cell r="B12258" t="str">
            <v>50-746-24-09</v>
          </cell>
          <cell r="C12258" t="str">
            <v>REKONPLATTE 24-LOCH  VORGEF.  RECHTS T=2,8</v>
          </cell>
          <cell r="D12258" t="str">
            <v>RECONPLATE 24-HOLE PREFORM.  RIGHT T=2.8</v>
          </cell>
        </row>
        <row r="12259">
          <cell r="B12259" t="str">
            <v>50-746-24-71</v>
          </cell>
          <cell r="C12259" t="str">
            <v>Rekonpl.  24-Loch vorgef. rechts 2,8/Ster</v>
          </cell>
          <cell r="D12259" t="str">
            <v>Reconpl. 24-Hole preform.  right 2.8/Ster</v>
          </cell>
        </row>
        <row r="12260">
          <cell r="B12260" t="str">
            <v>50-747-02-09</v>
          </cell>
          <cell r="C12260" t="str">
            <v>SIZER FÜR 50-747-22-09, 2.8MM</v>
          </cell>
          <cell r="D12260" t="str">
            <v>SIZER FOR 50-747-22-09,T=2.8MM</v>
          </cell>
        </row>
        <row r="12261">
          <cell r="B12261" t="str">
            <v>50-747-03-09</v>
          </cell>
          <cell r="C12261" t="str">
            <v>SIZER FÜR 50-747-23-09, 2.8MM</v>
          </cell>
          <cell r="D12261" t="str">
            <v>SIZER FOR 50-747-23-09,T=2.8MM</v>
          </cell>
        </row>
        <row r="12262">
          <cell r="B12262" t="str">
            <v>50-747-04-09</v>
          </cell>
          <cell r="C12262" t="str">
            <v>SIZER FÜR 50-747-24-09, 2.8MM</v>
          </cell>
          <cell r="D12262" t="str">
            <v>SIZER FOR 50-747-24-09,T=2.8MM</v>
          </cell>
        </row>
        <row r="12263">
          <cell r="B12263" t="str">
            <v>50-747-22-09</v>
          </cell>
          <cell r="C12263" t="str">
            <v>REKONPLATTE 22-LOCH  VORGEF.  LINKS T=2,8</v>
          </cell>
          <cell r="D12263" t="str">
            <v>RECONPLATE 22-HOLE PREFORM.  LEFT T=2.8</v>
          </cell>
        </row>
        <row r="12264">
          <cell r="B12264" t="str">
            <v>50-747-22-71</v>
          </cell>
          <cell r="C12264" t="str">
            <v>Rekonpl.  22-Loch vorgef. links 2,8/Ster</v>
          </cell>
          <cell r="D12264" t="str">
            <v>Reconpl. 22-Hole preform.  left 2.8/Ster</v>
          </cell>
        </row>
        <row r="12265">
          <cell r="B12265" t="str">
            <v>50-747-23-09</v>
          </cell>
          <cell r="C12265" t="str">
            <v>REKONPLATTE 23-LOCH  VORGEF.  LINKS T=2,8</v>
          </cell>
          <cell r="D12265" t="str">
            <v>RECONPLATE 23-HOLE PREFORM.  LEFT T=2.8</v>
          </cell>
        </row>
        <row r="12266">
          <cell r="B12266" t="str">
            <v>50-747-23-71</v>
          </cell>
          <cell r="C12266" t="str">
            <v>Rekonpl.  23-Loch vorgef. links 2,8/Ster</v>
          </cell>
          <cell r="D12266" t="str">
            <v>Reconpl. 23-Hole preform.  left 2.8/Ster</v>
          </cell>
        </row>
        <row r="12267">
          <cell r="B12267" t="str">
            <v>50-747-24-09</v>
          </cell>
          <cell r="C12267" t="str">
            <v>REKONPLATTE 24-LOCH  VORGEF.  LINKS T=2,8</v>
          </cell>
          <cell r="D12267" t="str">
            <v>RECONPLATE 24-HOLE PREFORM.  LEFT T=2.8</v>
          </cell>
        </row>
        <row r="12268">
          <cell r="B12268" t="str">
            <v>50-747-24-71</v>
          </cell>
          <cell r="C12268" t="str">
            <v>Rekonpl.  24-Loch vorgef. links 2,8/Ster</v>
          </cell>
          <cell r="D12268" t="str">
            <v>Reconpl. 24-Hole preform.  left 2.8/Ster</v>
          </cell>
        </row>
        <row r="12269">
          <cell r="B12269" t="str">
            <v>50-747-72-04</v>
          </cell>
          <cell r="C12269" t="str">
            <v>TEMPLATE  FÜR REKONPLATTE SMART, KLEIN</v>
          </cell>
          <cell r="D12269" t="str">
            <v>TEMPLATE  FOR SMART RECONPLATE, SMALL</v>
          </cell>
        </row>
        <row r="12270">
          <cell r="B12270" t="str">
            <v>50-747-73-04</v>
          </cell>
          <cell r="C12270" t="str">
            <v>TEMPLATE  FÜR REKONPLATTE SMART, MITTEL</v>
          </cell>
          <cell r="D12270" t="str">
            <v>TEMPLATE  FOR SMART RECONPLATE, MEDIUM</v>
          </cell>
        </row>
        <row r="12271">
          <cell r="B12271" t="str">
            <v>50-747-74-04</v>
          </cell>
          <cell r="C12271" t="str">
            <v>TEMPLATE  FÜR REKONPLATTE SMART, GROSS</v>
          </cell>
          <cell r="D12271" t="str">
            <v>TEMPLATE  FOR SMART RECONPLATE, LARGE</v>
          </cell>
        </row>
        <row r="12272">
          <cell r="B12272" t="str">
            <v>50-750-06-09</v>
          </cell>
          <cell r="C12272" t="str">
            <v>FRAKTURPLATTE 6LOCH GEWINKELT T=1,5MM  RB</v>
          </cell>
          <cell r="D12272" t="str">
            <v>FRACTURE  PLATE 6-HOLES ANGLED T=1.5MM  RB</v>
          </cell>
        </row>
        <row r="12273">
          <cell r="B12273" t="str">
            <v>50-750-06-71</v>
          </cell>
          <cell r="C12273" t="str">
            <v>FRAKTURPLATTE 6LOCH GEWINKELT T=1,5MM  RB</v>
          </cell>
          <cell r="D12273" t="str">
            <v>FRACTURE  PLATE 6-HOLES ANGLED T=1.5MM  RB</v>
          </cell>
        </row>
        <row r="12274">
          <cell r="B12274" t="str">
            <v>50-750-08-09</v>
          </cell>
          <cell r="C12274" t="str">
            <v>FRAKTURPLATTE 8LOCH GEWINKELT T=1,5MM  RB</v>
          </cell>
          <cell r="D12274" t="str">
            <v>FRACTURE  PLATE 8-HOLES ANGLED T=1.5MM  RB</v>
          </cell>
        </row>
        <row r="12275">
          <cell r="B12275" t="str">
            <v>50-750-08-71</v>
          </cell>
          <cell r="C12275" t="str">
            <v>FRAKTURPLATTE 8LOCH GEWINKELT T=1,5MM  RB</v>
          </cell>
          <cell r="D12275" t="str">
            <v>FRACTURE  PLATE 8-HOLES ANGLED T=1.5MM  RB</v>
          </cell>
        </row>
        <row r="12276">
          <cell r="B12276" t="str">
            <v>50-750-56-04</v>
          </cell>
          <cell r="C12276" t="str">
            <v>Template  f.50-750/780-06/50-792-16</v>
          </cell>
          <cell r="D12276" t="str">
            <v>Template  for 50-750/780-06/50-792-16</v>
          </cell>
        </row>
        <row r="12277">
          <cell r="B12277" t="str">
            <v>50-750-58-04</v>
          </cell>
          <cell r="C12277" t="str">
            <v>Template  für 50-750/780-08</v>
          </cell>
          <cell r="D12277" t="str">
            <v>Template  for 50-750/780-08</v>
          </cell>
        </row>
        <row r="12278">
          <cell r="B12278" t="str">
            <v>50-751-26-09</v>
          </cell>
          <cell r="C12278" t="str">
            <v>TEMPLATE  FÜR 50-754/755/756/757-26</v>
          </cell>
          <cell r="D12278" t="str">
            <v>TEMPLATE  FOR 50-754/755/756/757-26-09</v>
          </cell>
        </row>
        <row r="12279">
          <cell r="B12279" t="str">
            <v>50-753-26-09</v>
          </cell>
          <cell r="C12279" t="str">
            <v>TEMPLATE  FÜR 50-758/759-26-09</v>
          </cell>
          <cell r="D12279" t="str">
            <v>TEMPLATE  FOR 50-758/759-26-09</v>
          </cell>
        </row>
        <row r="12280">
          <cell r="B12280" t="str">
            <v>50-754-26-09</v>
          </cell>
          <cell r="C12280" t="str">
            <v>REKONPLATTE 26-LOCH  VORGEF.  RECHTS T=2,0</v>
          </cell>
          <cell r="D12280" t="str">
            <v>RECONPLATE 26-HOLE PREFORM.  RIGHT T=2,0</v>
          </cell>
        </row>
        <row r="12281">
          <cell r="B12281" t="str">
            <v>50-754-26-71</v>
          </cell>
          <cell r="C12281" t="str">
            <v>REKONPLATTE 26-LOCH  VORGEF.  RECHTS T=2,0</v>
          </cell>
          <cell r="D12281" t="str">
            <v>RECONPLATE 26-HOLE PREFORM.  RIGHT T=2,0</v>
          </cell>
        </row>
        <row r="12282">
          <cell r="B12282" t="str">
            <v>50-755-05-09</v>
          </cell>
          <cell r="C12282" t="str">
            <v>MINIPLATTE 7-LOCH L-FORM RECHTS,T  1,0MM</v>
          </cell>
          <cell r="D12282" t="str">
            <v>MINI PLATE 7-HOLE L-SHAPE RIGHT, T 1,0MM</v>
          </cell>
        </row>
        <row r="12283">
          <cell r="B12283" t="str">
            <v>50-755-05-71</v>
          </cell>
          <cell r="C12283" t="str">
            <v>MINIPLATTE 7-LOCH L-FORM RECHTS,T  1,0MM</v>
          </cell>
          <cell r="D12283" t="str">
            <v>MINI PLATE 7-HOLE L-SHAPE RIGHT, T 1,0MM</v>
          </cell>
        </row>
        <row r="12284">
          <cell r="B12284" t="str">
            <v>50-755-07-09</v>
          </cell>
          <cell r="C12284" t="str">
            <v>MINIPLATTE 7-LOCH L-FORM LINKS,T 1,0MM</v>
          </cell>
          <cell r="D12284" t="str">
            <v>MINI PLATE 7-HOLE L-SHAPE LEFT, T 1,0MM</v>
          </cell>
        </row>
        <row r="12285">
          <cell r="B12285" t="str">
            <v>50-755-07-71</v>
          </cell>
          <cell r="C12285" t="str">
            <v>MINIPLATTE 7-LOCH L-FORM LINKS,T 1,0MM</v>
          </cell>
          <cell r="D12285" t="str">
            <v>MINI PLATE 7-HOLE L-SHAPE LEFT, T 1,0MM</v>
          </cell>
        </row>
        <row r="12286">
          <cell r="B12286" t="str">
            <v>50-755-26-09</v>
          </cell>
          <cell r="C12286" t="str">
            <v>REKONPLATTE 26-LOCH  VORGEF.  LINKS T=2,0</v>
          </cell>
          <cell r="D12286" t="str">
            <v>RECONPLATE 26-HOLE PREFORM.  LEFT T=2,0</v>
          </cell>
        </row>
        <row r="12287">
          <cell r="B12287" t="str">
            <v>50-755-26-71</v>
          </cell>
          <cell r="C12287" t="str">
            <v>REKONPLATTE 26-LOCH  VORGEF.  LINKS T=2,0</v>
          </cell>
          <cell r="D12287" t="str">
            <v>RECONPLATE 26-HOLE PREFORM.  LEFT T=2,0</v>
          </cell>
        </row>
        <row r="12288">
          <cell r="B12288" t="str">
            <v>50-755-55-04</v>
          </cell>
          <cell r="C12288" t="str">
            <v>Template  für 50-755-05/50-755-07</v>
          </cell>
          <cell r="D12288" t="str">
            <v>Template  for 50-755-05/50-755-07</v>
          </cell>
        </row>
        <row r="12289">
          <cell r="B12289" t="str">
            <v>50-756-05-09</v>
          </cell>
          <cell r="C12289" t="str">
            <v>LOCKING  MINI PLATTE L-FORM Ø2,0</v>
          </cell>
          <cell r="D12289" t="str">
            <v>LOCKING  MINI PLATE L-SHAPE Ø2,0</v>
          </cell>
        </row>
        <row r="12290">
          <cell r="B12290" t="str">
            <v>50-756-07-09</v>
          </cell>
          <cell r="C12290" t="str">
            <v>LOCKING  MINI PLATTE L-FORM Ø2,0</v>
          </cell>
          <cell r="D12290" t="str">
            <v>LOCKING  MINI PLATE L-SHAPE Ø2,0</v>
          </cell>
        </row>
        <row r="12291">
          <cell r="B12291" t="str">
            <v>50-756-26-09</v>
          </cell>
          <cell r="C12291" t="str">
            <v>REKONPLATTE 26-LOCH  VORGEF.  RECHTS T=2,5</v>
          </cell>
          <cell r="D12291" t="str">
            <v>RECONPLATE 26-HOLE PREFORM.  RIGHT T=2,5</v>
          </cell>
        </row>
        <row r="12292">
          <cell r="B12292" t="str">
            <v>50-756-26-71</v>
          </cell>
          <cell r="C12292" t="str">
            <v>REKONPLATTE 26-LOCH  VORGEF.  RECHTS T=2,5</v>
          </cell>
          <cell r="D12292" t="str">
            <v>RECONPLATE 26-HOLE PREFORM.  RIGHT T=2,5</v>
          </cell>
        </row>
        <row r="12293">
          <cell r="B12293" t="str">
            <v>50-757-07-09</v>
          </cell>
          <cell r="C12293" t="str">
            <v>LOCKING  MINI PLATTE T-FORM Ø2,0 T=1MM</v>
          </cell>
          <cell r="D12293" t="str">
            <v>LOCKING  MINI PLATE T-SHAPE Ø2,0 T=1MM</v>
          </cell>
        </row>
        <row r="12294">
          <cell r="B12294" t="str">
            <v>50-757-26-09</v>
          </cell>
          <cell r="C12294" t="str">
            <v>REKONPLATTE 26-LOCH  VORGEF.  LINKS T=2,5</v>
          </cell>
          <cell r="D12294" t="str">
            <v>RECONPLATE 26-HOLE PREFORM.  LEFT T=2,5</v>
          </cell>
        </row>
        <row r="12295">
          <cell r="B12295" t="str">
            <v>50-757-26-71</v>
          </cell>
          <cell r="C12295" t="str">
            <v>REKONPLATTE 26-LOCH  VORGEF.  LINKS T=2,5</v>
          </cell>
          <cell r="D12295" t="str">
            <v>RECONPLATE 26-HOLE PREFORM.  LEFT T=2,5</v>
          </cell>
        </row>
        <row r="12296">
          <cell r="B12296" t="str">
            <v>50-758-26-09</v>
          </cell>
          <cell r="C12296" t="str">
            <v>REKONPLATTE 26-LOCH  VORGEF.  RECHTS T=3,0</v>
          </cell>
          <cell r="D12296" t="str">
            <v>RECONPLATE 26-HOLE PREFORM.  RIGHT T=3,0</v>
          </cell>
        </row>
        <row r="12297">
          <cell r="B12297" t="str">
            <v>50-758-26-71</v>
          </cell>
          <cell r="C12297" t="str">
            <v>REKONPLATTE 26-LOCH  VORGEF.  RECHTS T=3,0</v>
          </cell>
          <cell r="D12297" t="str">
            <v>RECONPLATE 26-HOLE PREFORM.  RIGHT T=3,0</v>
          </cell>
        </row>
        <row r="12298">
          <cell r="B12298" t="str">
            <v>50-759-26-09</v>
          </cell>
          <cell r="C12298" t="str">
            <v>REKONPLATTE 26-LOCH  VORGEF.  LINKS T=3,0</v>
          </cell>
          <cell r="D12298" t="str">
            <v>RECONPLATE 26-HOLE PREFORM.  LEFT T=3,0</v>
          </cell>
        </row>
        <row r="12299">
          <cell r="B12299" t="str">
            <v>50-759-26-71</v>
          </cell>
          <cell r="C12299" t="str">
            <v>REKONPLATTE 26-LOCH  VORGEF.  LINKS T=3,0</v>
          </cell>
          <cell r="D12299" t="str">
            <v>RECONPLATE 26-HOLE PREFORM.  LEFT T=3,0</v>
          </cell>
        </row>
        <row r="12300">
          <cell r="B12300" t="str">
            <v>50-760-12-09</v>
          </cell>
          <cell r="C12300" t="str">
            <v>REKONPLATTE 12-LOCH  GERADE T=2,5 MM</v>
          </cell>
          <cell r="D12300" t="str">
            <v>RECON PLATE, 12-HOLES,  STRAIGHT,  T=2.5MM</v>
          </cell>
        </row>
        <row r="12301">
          <cell r="B12301" t="str">
            <v>50-760-20-09</v>
          </cell>
          <cell r="C12301" t="str">
            <v>REKONPLATTE 20-LOCH  GERADE T=2,5 MM</v>
          </cell>
          <cell r="D12301" t="str">
            <v>RECON PLATE, 20-HOLES,  STRAIGHT,  T=2.5MM</v>
          </cell>
        </row>
        <row r="12302">
          <cell r="B12302" t="str">
            <v>50-760-20-71</v>
          </cell>
          <cell r="C12302" t="str">
            <v>REKONPLATTE 20-LOCH  GERADE T=2,5 MM</v>
          </cell>
          <cell r="D12302" t="str">
            <v>RECON PLATE, 20-HOLES,  STRAIGHT,  T=2.5MM</v>
          </cell>
        </row>
        <row r="12303">
          <cell r="B12303" t="str">
            <v>50-760-26-09</v>
          </cell>
          <cell r="C12303" t="str">
            <v>REKONPLATTE 6+20-LOCH RECHTS T=2,5 MM</v>
          </cell>
          <cell r="D12303" t="str">
            <v>RECON PLATE 6+20-HOLES, RIGHT, T=2.5MM</v>
          </cell>
        </row>
        <row r="12304">
          <cell r="B12304" t="str">
            <v>50-760-26-71</v>
          </cell>
          <cell r="C12304" t="str">
            <v>REKONPLATTE 6+20-LOCH RECHTS T=2,5 MM</v>
          </cell>
          <cell r="D12304" t="str">
            <v>RECON PLATE 6+20-HOLES, RIGHT, T=2.5MM</v>
          </cell>
        </row>
        <row r="12305">
          <cell r="B12305" t="str">
            <v>50-760-32-09</v>
          </cell>
          <cell r="C12305" t="str">
            <v>REKONPLATTE 6+20+6-LOCH T=2,5 MM</v>
          </cell>
          <cell r="D12305" t="str">
            <v>RECON PLATE, 6+20+6-HOLES, T=2.5 MM</v>
          </cell>
        </row>
        <row r="12306">
          <cell r="B12306" t="str">
            <v>50-760-32-71</v>
          </cell>
          <cell r="C12306" t="str">
            <v>REKONPLATTE 6+20+6-LOCH T=2,5 MM</v>
          </cell>
          <cell r="D12306" t="str">
            <v>RECON PLATE, 6+20+6-HOLES, T=2.5 MM</v>
          </cell>
        </row>
        <row r="12307">
          <cell r="B12307" t="str">
            <v>50-760-34-09</v>
          </cell>
          <cell r="C12307" t="str">
            <v>REKONPLATTE 6+22+6-LOCH T=2,5 MM</v>
          </cell>
          <cell r="D12307" t="str">
            <v>RECON PLATE 6+22+6-HOLES, T=2.5 MM</v>
          </cell>
        </row>
        <row r="12308">
          <cell r="B12308" t="str">
            <v>50-760-36-09</v>
          </cell>
          <cell r="C12308" t="str">
            <v>REKONPLATTE 6+24+6-LOCH T=2,5 MM</v>
          </cell>
          <cell r="D12308" t="str">
            <v>RECON PLATE 6+24+6-HOLES, T=2.5 MM</v>
          </cell>
        </row>
        <row r="12309">
          <cell r="B12309" t="str">
            <v>50-761-26-09</v>
          </cell>
          <cell r="C12309" t="str">
            <v>REKONPLATTE 6+20-LOCH LINKS T=2,5 MM</v>
          </cell>
          <cell r="D12309" t="str">
            <v>RECON PLATE 6+20-HOLES, LEFT, T=2.5MM</v>
          </cell>
        </row>
        <row r="12310">
          <cell r="B12310" t="str">
            <v>50-761-26-71</v>
          </cell>
          <cell r="C12310" t="str">
            <v>REKONPLATTE 6+20-LOCH LINKS T=2,5 MM</v>
          </cell>
          <cell r="D12310" t="str">
            <v>RECON PLATE 6+20-HOLES, LEFT, T=2.5MM</v>
          </cell>
        </row>
        <row r="12311">
          <cell r="B12311" t="str">
            <v>50-762-04-09</v>
          </cell>
          <cell r="C12311" t="str">
            <v>Frakturplatte 4-Loch gerade kurz 2,0mm</v>
          </cell>
          <cell r="D12311" t="str">
            <v>Fracture Plate 4-holes str. short 2.0mm</v>
          </cell>
        </row>
        <row r="12312">
          <cell r="B12312" t="str">
            <v>50-762-04-71</v>
          </cell>
          <cell r="C12312" t="str">
            <v>Frakturpl.  4-Loch ger.kurz 2,0mm steril</v>
          </cell>
          <cell r="D12312" t="str">
            <v>Fract.Pl. 4-holes str. short 2.0mm ster.</v>
          </cell>
        </row>
        <row r="12313">
          <cell r="B12313" t="str">
            <v>50-764-04-09</v>
          </cell>
          <cell r="C12313" t="str">
            <v>Frakturplatte 4-Loch gerade lang 2,0mm</v>
          </cell>
          <cell r="D12313" t="str">
            <v>Fracture Plate 4-holes str. long 2.0mm</v>
          </cell>
        </row>
        <row r="12314">
          <cell r="B12314" t="str">
            <v>50-764-04-71</v>
          </cell>
          <cell r="C12314" t="str">
            <v>Frakturpl.  4-Loch ger.lang 2,0mm steril</v>
          </cell>
          <cell r="D12314" t="str">
            <v>Fract.Pl. 4-holes str. long 2.0mm ster.</v>
          </cell>
        </row>
        <row r="12315">
          <cell r="B12315" t="str">
            <v>50-766-06-09</v>
          </cell>
          <cell r="C12315" t="str">
            <v>FRAKTURPL.6LOCH GERADE M.STEG T=2,0MM  RB</v>
          </cell>
          <cell r="D12315" t="str">
            <v>FRACT.PL.6H.STRAI.W.INT.SPACE T=2.0MM  RB</v>
          </cell>
        </row>
        <row r="12316">
          <cell r="B12316" t="str">
            <v>50-766-06-71</v>
          </cell>
          <cell r="C12316" t="str">
            <v>FRAKTURPL.6-LOCH GER.M.STEG T=2,0MM  STER</v>
          </cell>
          <cell r="D12316" t="str">
            <v>FRACT.PL.6-HOLES STR. T=2.0MM,  STERILE</v>
          </cell>
        </row>
        <row r="12317">
          <cell r="B12317" t="str">
            <v>50-770-04-09</v>
          </cell>
          <cell r="C12317" t="str">
            <v>Frakturplatte 4-Loch gebogen kurz 2,0mm</v>
          </cell>
          <cell r="D12317" t="str">
            <v>Fracture Pl. 4-holes curved short 2.0mm</v>
          </cell>
        </row>
        <row r="12318">
          <cell r="B12318" t="str">
            <v>50-770-04-71</v>
          </cell>
          <cell r="C12318" t="str">
            <v>Frakturpl.  4-Loch geb. kurz 2,0mm ster.</v>
          </cell>
          <cell r="D12318" t="str">
            <v>Fract.Pl. 4-holes curv.short  2.0mm ster.</v>
          </cell>
        </row>
        <row r="12319">
          <cell r="B12319" t="str">
            <v>50-771-26-09</v>
          </cell>
          <cell r="C12319" t="str">
            <v>REKONPLATTE 6+20LOCH  RECHTS T=2,0MM  ANAT</v>
          </cell>
          <cell r="D12319" t="str">
            <v>RECON PLATE 6+20HOLES RIGHT T=2.0MM  ANAT</v>
          </cell>
        </row>
        <row r="12320">
          <cell r="B12320" t="str">
            <v>50-771-26-71</v>
          </cell>
          <cell r="C12320" t="str">
            <v>REKONPL.  6+20-LOCH RECHTS T=2,0MM  STERIL</v>
          </cell>
          <cell r="D12320" t="str">
            <v>RECON PL. 6+20-HOLES RI. T=2.0MM  STERILE</v>
          </cell>
        </row>
        <row r="12321">
          <cell r="B12321" t="str">
            <v>50-772-04-09</v>
          </cell>
          <cell r="C12321" t="str">
            <v>Frakturplatte 4-Loch gebogen lang 2,0mm</v>
          </cell>
          <cell r="D12321" t="str">
            <v>Fracture Pl. 4-holes curved long 2.0mm</v>
          </cell>
        </row>
        <row r="12322">
          <cell r="B12322" t="str">
            <v>50-772-04-71</v>
          </cell>
          <cell r="C12322" t="str">
            <v>Frakturpl.4-Loch geb. lang 2,0mm steril</v>
          </cell>
          <cell r="D12322" t="str">
            <v>Fract.Pl. 4-holes curv. long 2.0mm ster.</v>
          </cell>
        </row>
        <row r="12323">
          <cell r="B12323" t="str">
            <v>50-773-26-09</v>
          </cell>
          <cell r="C12323" t="str">
            <v>REKONPLATTE 6+20-LOCH LINKS T=2,0MM  ANAT</v>
          </cell>
          <cell r="D12323" t="str">
            <v>RECON PLATE 6+20HOLES LEFT T=2.0MM  ANATO</v>
          </cell>
        </row>
        <row r="12324">
          <cell r="B12324" t="str">
            <v>50-773-26-71</v>
          </cell>
          <cell r="C12324" t="str">
            <v>REKONPL.  6+20-LOCH LINKS T=2,0MM   STERIL</v>
          </cell>
          <cell r="D12324" t="str">
            <v>RECON PL. 6+20-HOLES LE. T=2.0MM  STERILE</v>
          </cell>
        </row>
        <row r="12325">
          <cell r="B12325" t="str">
            <v>50-774-20-09</v>
          </cell>
          <cell r="C12325" t="str">
            <v>REKONPLATTE 20-LOCH  GERADE T=2,0 MM</v>
          </cell>
          <cell r="D12325" t="str">
            <v>RECON PLATE 20-HOLES  STRAIGHT  T=2.0 MM</v>
          </cell>
        </row>
        <row r="12326">
          <cell r="B12326" t="str">
            <v>50-774-20-71</v>
          </cell>
          <cell r="C12326" t="str">
            <v>REKONPLATTE 20-LOCH  GER. T=2,0MM,  STERIL</v>
          </cell>
          <cell r="D12326" t="str">
            <v>RECON PL. 20-HOLES  STR. T=2.0MM,  STERILE</v>
          </cell>
        </row>
        <row r="12327">
          <cell r="B12327" t="str">
            <v>50-774-70-04</v>
          </cell>
          <cell r="C12327" t="str">
            <v>Template  für 50-760/774/794-20</v>
          </cell>
          <cell r="D12327" t="str">
            <v>Template  for 50-760/774/794-20</v>
          </cell>
        </row>
        <row r="12328">
          <cell r="B12328" t="str">
            <v>50-775-26-09</v>
          </cell>
          <cell r="C12328" t="str">
            <v>REKONPLATTE 6+20-LOCH RECHTS T=2,0 MM</v>
          </cell>
          <cell r="D12328" t="str">
            <v>RECON PLATE 6+20-HOLES RIGHT T=2.0 MM</v>
          </cell>
        </row>
        <row r="12329">
          <cell r="B12329" t="str">
            <v>50-775-26-71</v>
          </cell>
          <cell r="C12329" t="str">
            <v>REKONPLATTE 6+20-LOCH RECHTS T=2,0 MM</v>
          </cell>
          <cell r="D12329" t="str">
            <v>RECON PLATE 6+20-HOLES RIGHT T=2.0 MM</v>
          </cell>
        </row>
        <row r="12330">
          <cell r="B12330" t="str">
            <v>50-777-26-09</v>
          </cell>
          <cell r="C12330" t="str">
            <v>REKONPLATTE 6+20-LOCH LINKS T=2,0 MM</v>
          </cell>
          <cell r="D12330" t="str">
            <v>RECON PLATE 6+20-HOLES LEFT T=2.0 MM</v>
          </cell>
        </row>
        <row r="12331">
          <cell r="B12331" t="str">
            <v>50-777-26-71</v>
          </cell>
          <cell r="C12331" t="str">
            <v>REKONPLATTE 6+20-LOCH LINKS T=2,0 MM</v>
          </cell>
          <cell r="D12331" t="str">
            <v>RECON PLATE 6+20-HOLES LEFT T=2.0 MM</v>
          </cell>
        </row>
        <row r="12332">
          <cell r="B12332" t="str">
            <v>50-778-32-09</v>
          </cell>
          <cell r="C12332" t="str">
            <v>REKONPLATTE 6+20+6-LOCH T=2,0MM  ANAT.VOR</v>
          </cell>
          <cell r="D12332" t="str">
            <v>RECON PLATE 6+20+6-HOLES T=2.0MM  ANATOMI</v>
          </cell>
        </row>
        <row r="12333">
          <cell r="B12333" t="str">
            <v>50-778-32-71</v>
          </cell>
          <cell r="C12333" t="str">
            <v>REKONPLATTE 6+20+6-LOCH T=2,0MM,  STERIL</v>
          </cell>
          <cell r="D12333" t="str">
            <v>RECON PL. 6+20+6-HOLES T=2.0MM  STERILE</v>
          </cell>
        </row>
        <row r="12334">
          <cell r="B12334" t="str">
            <v>50-778-83-04</v>
          </cell>
          <cell r="C12334" t="str">
            <v>Template  für 50-778-32</v>
          </cell>
          <cell r="D12334" t="str">
            <v>Template  for 50-778-32</v>
          </cell>
        </row>
        <row r="12335">
          <cell r="B12335" t="str">
            <v>50-779-32-09</v>
          </cell>
          <cell r="C12335" t="str">
            <v>REKONPLATTE 6+20+6-LOCH T=2,0 MM</v>
          </cell>
          <cell r="D12335" t="str">
            <v>RECON PLATE 6+20+6-HOLES T=2.0 MM</v>
          </cell>
        </row>
        <row r="12336">
          <cell r="B12336" t="str">
            <v>50-779-32-71</v>
          </cell>
          <cell r="C12336" t="str">
            <v>REKONPLATTE 6+20+6-LOCH T=2,0MM,  STERIL</v>
          </cell>
          <cell r="D12336" t="str">
            <v>RECON PLATE 6+20+6-HOLES T=2.0MM  STERILE</v>
          </cell>
        </row>
        <row r="12337">
          <cell r="B12337" t="str">
            <v>50-779-34-09</v>
          </cell>
          <cell r="C12337" t="str">
            <v>REKONPLATTE 6+22+6-LOCH T=2,0 MM</v>
          </cell>
          <cell r="D12337" t="str">
            <v>RECON PLATE 6+22+6-HOLES T=2.0 MM</v>
          </cell>
        </row>
        <row r="12338">
          <cell r="B12338" t="str">
            <v>50-779-36-09</v>
          </cell>
          <cell r="C12338" t="str">
            <v>REKONPLATTE 6+24+6-LOCH T=2,0 MM</v>
          </cell>
          <cell r="D12338" t="str">
            <v>RECON PLATE 6+24+6-HOLES T=2.0 MM</v>
          </cell>
        </row>
        <row r="12339">
          <cell r="B12339" t="str">
            <v>50-779-85-04</v>
          </cell>
          <cell r="C12339" t="str">
            <v>Template  für 50-760/779-34</v>
          </cell>
          <cell r="D12339" t="str">
            <v>Template  for 50-760/779-34</v>
          </cell>
        </row>
        <row r="12340">
          <cell r="B12340" t="str">
            <v>50-779-87-04</v>
          </cell>
          <cell r="C12340" t="str">
            <v>Template  für 50-760/779-36</v>
          </cell>
          <cell r="D12340" t="str">
            <v>Template  for 50-760/779-36</v>
          </cell>
        </row>
        <row r="12341">
          <cell r="B12341" t="str">
            <v>50-780-06-09</v>
          </cell>
          <cell r="C12341" t="str">
            <v>Frakturplatte 6-Loch gewinkelt  2,0mm</v>
          </cell>
          <cell r="D12341" t="str">
            <v>Fracture Plate 6-holes angled 2.0mm</v>
          </cell>
        </row>
        <row r="12342">
          <cell r="B12342" t="str">
            <v>50-780-06-71</v>
          </cell>
          <cell r="C12342" t="str">
            <v>Frakturpl.  6-Loch gewinkelt  2,0mm steril</v>
          </cell>
          <cell r="D12342" t="str">
            <v>Fracture Pl. 6-holes angled 2.0mm ster.</v>
          </cell>
        </row>
        <row r="12343">
          <cell r="B12343" t="str">
            <v>50-780-08-09</v>
          </cell>
          <cell r="C12343" t="str">
            <v>Frakturplatte 8-Loch gewinkelt  2,0mm</v>
          </cell>
          <cell r="D12343" t="str">
            <v>Fracture Plate 8-holes angled 2.0mm</v>
          </cell>
        </row>
        <row r="12344">
          <cell r="B12344" t="str">
            <v>50-780-08-71</v>
          </cell>
          <cell r="C12344" t="str">
            <v>Frakturpl.  8-Loch gewinkelt  2,0mm steril</v>
          </cell>
          <cell r="D12344" t="str">
            <v>Fracture Pl. 8-holes angled 2.0mm ster.</v>
          </cell>
        </row>
        <row r="12345">
          <cell r="B12345" t="str">
            <v>50-781-12-09</v>
          </cell>
          <cell r="C12345" t="str">
            <v>Frakturplatte 12-Loch gewinkelt  2,5mm</v>
          </cell>
          <cell r="D12345" t="str">
            <v>Fracture Plate 12-holes angled 2.5mm</v>
          </cell>
        </row>
        <row r="12346">
          <cell r="B12346" t="str">
            <v>50-781-12-71</v>
          </cell>
          <cell r="C12346" t="str">
            <v>Frakturpl.  12-Loch gewinkelt  2,5mm ster.</v>
          </cell>
          <cell r="D12346" t="str">
            <v>Fracture Pl. 12-holes angled 2.5mm ster.</v>
          </cell>
        </row>
        <row r="12347">
          <cell r="B12347" t="str">
            <v>50-781-62-04</v>
          </cell>
          <cell r="C12347" t="str">
            <v>Template  für 50-781-12</v>
          </cell>
          <cell r="D12347" t="str">
            <v>Template  for 50-781-12</v>
          </cell>
        </row>
        <row r="12348">
          <cell r="B12348" t="str">
            <v>50-781-77-04</v>
          </cell>
          <cell r="C12348" t="str">
            <v>Template  für 50-771/773-26</v>
          </cell>
          <cell r="D12348" t="str">
            <v>Template  for 50-771/773-26</v>
          </cell>
        </row>
        <row r="12349">
          <cell r="B12349" t="str">
            <v>50-785-77-04</v>
          </cell>
          <cell r="C12349" t="str">
            <v>Template  für 50-760/761/775/777-26</v>
          </cell>
          <cell r="D12349" t="str">
            <v>Template  for 50-760/761/775/777-26</v>
          </cell>
        </row>
        <row r="12350">
          <cell r="B12350" t="str">
            <v>50-789-83-04</v>
          </cell>
          <cell r="C12350" t="str">
            <v>Template  für 50-760/779-32</v>
          </cell>
          <cell r="D12350" t="str">
            <v>Template  for 50-760/779-32</v>
          </cell>
        </row>
        <row r="12351">
          <cell r="B12351" t="str">
            <v>50-790-06-09</v>
          </cell>
          <cell r="C12351" t="str">
            <v>FRAKTURPLATTE 6-LOCH 155GR T=3,0 MM</v>
          </cell>
          <cell r="D12351" t="str">
            <v>FRACTURE  PLATE 6-HOLES 155DG T=3.0 MM</v>
          </cell>
        </row>
        <row r="12352">
          <cell r="B12352" t="str">
            <v>50-790-06-30</v>
          </cell>
          <cell r="C12352" t="str">
            <v>FRAKTURPLATTE 6-LOCH 155GR T=3,0 MM</v>
          </cell>
          <cell r="D12352" t="str">
            <v>FRACTURE  PLATE 6-HOLES 155DG T=3.0 MM</v>
          </cell>
        </row>
        <row r="12353">
          <cell r="B12353" t="str">
            <v>50-790-06-71</v>
          </cell>
          <cell r="C12353" t="str">
            <v>FRAKTURPLATTE 6-LOCH 155GR T=3,0 MM</v>
          </cell>
          <cell r="D12353" t="str">
            <v>FRACTURE  PLATE 6-HOLES 155DG T=3.0 MM</v>
          </cell>
        </row>
        <row r="12354">
          <cell r="B12354" t="str">
            <v>50-790-46-04</v>
          </cell>
          <cell r="C12354" t="str">
            <v>Template  für 50-790-06</v>
          </cell>
          <cell r="D12354" t="str">
            <v>Template  for 50-790-06</v>
          </cell>
        </row>
        <row r="12355">
          <cell r="B12355" t="str">
            <v>50-790-66-04</v>
          </cell>
          <cell r="C12355" t="str">
            <v>Template  für 50-790-16</v>
          </cell>
          <cell r="D12355" t="str">
            <v>Template  for 50-790-16</v>
          </cell>
        </row>
        <row r="12356">
          <cell r="B12356" t="str">
            <v>50-791-26-09</v>
          </cell>
          <cell r="C12356" t="str">
            <v>REKONPL.6+20-LOCH RECHTS T=3,0MM  ANATOMI</v>
          </cell>
          <cell r="D12356" t="str">
            <v>RECON PL.6+20HOLES RIGHT T=3.0MM  ANATOMI</v>
          </cell>
        </row>
        <row r="12357">
          <cell r="B12357" t="str">
            <v>50-791-26-30</v>
          </cell>
          <cell r="C12357" t="str">
            <v>REKONPL.6+20-LOCH RECHTS T=3,0MM  ANATOMI</v>
          </cell>
          <cell r="D12357" t="str">
            <v>RECON PL.6+20HOLES RIGHT T=3.0MM  ANATOMI</v>
          </cell>
        </row>
        <row r="12358">
          <cell r="B12358" t="str">
            <v>50-791-26-71</v>
          </cell>
          <cell r="C12358" t="str">
            <v>REKONPL.6+20-LOCH RE.T=3,0MM ANAT.STERIL</v>
          </cell>
          <cell r="D12358" t="str">
            <v>RECON PL.6+20HOLES RIGHT T=3.0MM  ANAT. S</v>
          </cell>
        </row>
        <row r="12359">
          <cell r="B12359" t="str">
            <v>50-791-77-04</v>
          </cell>
          <cell r="C12359" t="str">
            <v>Template  für 50-791/793-26</v>
          </cell>
          <cell r="D12359" t="str">
            <v>Template  for 50-791/793-26</v>
          </cell>
        </row>
        <row r="12360">
          <cell r="B12360" t="str">
            <v>50-792-06-09</v>
          </cell>
          <cell r="C12360" t="str">
            <v>FRAKTURPLATTE 6-LOCH 120GR T=3,0 MM</v>
          </cell>
          <cell r="D12360" t="str">
            <v>FRACTURE  PLATE 6-HOLES 120DG T=3.0 MM</v>
          </cell>
        </row>
        <row r="12361">
          <cell r="B12361" t="str">
            <v>50-792-06-30</v>
          </cell>
          <cell r="C12361" t="str">
            <v>FRAKTURPLATTE 6-LOCH 120GR T=3,0 MM</v>
          </cell>
          <cell r="D12361" t="str">
            <v>FRACTURE  PLATE 6-HOLES 120DG T=3.0 MM</v>
          </cell>
        </row>
        <row r="12362">
          <cell r="B12362" t="str">
            <v>50-792-06-71</v>
          </cell>
          <cell r="C12362" t="str">
            <v>FRAKTURPLATTE 6-LOCH 120GR T=3,0 MM</v>
          </cell>
          <cell r="D12362" t="str">
            <v>FRACTURE  PLATE 6-HOLES 120DG T=3.0 MM</v>
          </cell>
        </row>
        <row r="12363">
          <cell r="B12363" t="str">
            <v>50-792-08-09</v>
          </cell>
          <cell r="C12363" t="str">
            <v>FRAKTURPLATTE 8-LOCH 120GR T=3,0 MM</v>
          </cell>
          <cell r="D12363" t="str">
            <v>FRACTURE  PLATE 8-HOLES 120DG T=3.0 MM</v>
          </cell>
        </row>
        <row r="12364">
          <cell r="B12364" t="str">
            <v>50-792-08-30</v>
          </cell>
          <cell r="C12364" t="str">
            <v>FRAKTURPLATTE 8-LOCH 120GR T=3,0 MM</v>
          </cell>
          <cell r="D12364" t="str">
            <v>FRACTURE  PLATE 8-HOLES 120DG T=3.0 MM</v>
          </cell>
        </row>
        <row r="12365">
          <cell r="B12365" t="str">
            <v>50-792-08-71</v>
          </cell>
          <cell r="C12365" t="str">
            <v>FRAKTURPLATTE 8-LOCH 120GR T=3,0 MM</v>
          </cell>
          <cell r="D12365" t="str">
            <v>FRACTURE  PLATE 8-HOLES 120DG T=3.0 MM</v>
          </cell>
        </row>
        <row r="12366">
          <cell r="B12366" t="str">
            <v>50-792-10-09</v>
          </cell>
          <cell r="C12366" t="str">
            <v>FRAKTURPLATTE 10-LOCH  120GR T=3,0 MM</v>
          </cell>
          <cell r="D12366" t="str">
            <v>FRACTURE  PLATE 10-HOLES  120DG T=3.0 MM</v>
          </cell>
        </row>
        <row r="12367">
          <cell r="B12367" t="str">
            <v>50-792-66-04</v>
          </cell>
          <cell r="C12367" t="str">
            <v>Template  für 50-792-06</v>
          </cell>
          <cell r="D12367" t="str">
            <v>Template  for 50-792-06</v>
          </cell>
        </row>
        <row r="12368">
          <cell r="B12368" t="str">
            <v>50-792-68-04</v>
          </cell>
          <cell r="C12368" t="str">
            <v>Template  für 50-792-08</v>
          </cell>
          <cell r="D12368" t="str">
            <v>Template  for 50-792-08</v>
          </cell>
        </row>
        <row r="12369">
          <cell r="B12369" t="str">
            <v>50-793-26-09</v>
          </cell>
          <cell r="C12369" t="str">
            <v>REKONPL.6+20-LOCH LINKS T=3,0MM  ANATOMIS</v>
          </cell>
          <cell r="D12369" t="str">
            <v>RECON PL.6+20HOLES LEFT T=3.0MM  ANATOMIC</v>
          </cell>
        </row>
        <row r="12370">
          <cell r="B12370" t="str">
            <v>50-793-26-30</v>
          </cell>
          <cell r="C12370" t="str">
            <v>REKONPL.6+20-LOCH LINKS T=3,0MM  ANATOMIS</v>
          </cell>
          <cell r="D12370" t="str">
            <v>RECON PL.6+20HOLES LEFT T=3.0MM  ANATOMIC</v>
          </cell>
        </row>
        <row r="12371">
          <cell r="B12371" t="str">
            <v>50-793-26-71</v>
          </cell>
          <cell r="C12371" t="str">
            <v>REKONPL.6+20-LOCH LI.T=3,0MM ANAT.STERIL</v>
          </cell>
          <cell r="D12371" t="str">
            <v>RECON PL.6+20HOLES LEFT T=3.0MM  ANAT.STE</v>
          </cell>
        </row>
        <row r="12372">
          <cell r="B12372" t="str">
            <v>50-794-08-09</v>
          </cell>
          <cell r="C12372" t="str">
            <v>REKONPLATTE 8-LOCH GERADE T=3,0 MM</v>
          </cell>
          <cell r="D12372" t="str">
            <v>RECON PLATE 8-HOLES STRAIGHT  T=3.0 MM</v>
          </cell>
        </row>
        <row r="12373">
          <cell r="B12373" t="str">
            <v>50-794-12-09</v>
          </cell>
          <cell r="C12373" t="str">
            <v>REKONPLATTE 12-LOCH  GERADE T=3,0 MM</v>
          </cell>
          <cell r="D12373" t="str">
            <v>RECON PLATE 12-HOLES  STRAIGHT  T=3.0 MM</v>
          </cell>
        </row>
        <row r="12374">
          <cell r="B12374" t="str">
            <v>50-794-12-30</v>
          </cell>
          <cell r="C12374" t="str">
            <v>REKONPLATTE 12-LOCH  GERADE T=3,0 MM</v>
          </cell>
          <cell r="D12374" t="str">
            <v>RECON PLATE 12-HOLES  STRAIGHT  T=3.0 MM</v>
          </cell>
        </row>
        <row r="12375">
          <cell r="B12375" t="str">
            <v>50-794-12-71</v>
          </cell>
          <cell r="C12375" t="str">
            <v>REKONPLATTE 12-LOCH  GERADE T=3,0 MM</v>
          </cell>
          <cell r="D12375" t="str">
            <v>RECON PLATE 12-HOLES  STRAIGHT  T=3.0 MM</v>
          </cell>
        </row>
        <row r="12376">
          <cell r="B12376" t="str">
            <v>50-794-16-09</v>
          </cell>
          <cell r="C12376" t="str">
            <v>REKONPLATTE 16-LOCH  GERADE T=3,0 MM</v>
          </cell>
          <cell r="D12376" t="str">
            <v>RECON PLATE 16-HOLES  STRAIGHT  T=3.0 MM</v>
          </cell>
        </row>
        <row r="12377">
          <cell r="B12377" t="str">
            <v>50-794-16-30</v>
          </cell>
          <cell r="C12377" t="str">
            <v>REKONPLATTE 16-LOCH  GERADE T=3,0 MM GRAU</v>
          </cell>
          <cell r="D12377" t="str">
            <v>RECON PLATE 16-HOLES  STRAIGHT  T=3.0 MM</v>
          </cell>
        </row>
        <row r="12378">
          <cell r="B12378" t="str">
            <v>50-794-16-71</v>
          </cell>
          <cell r="C12378" t="str">
            <v>REKONPLATTE 16-LOCH  GERADE T=3,0 MM</v>
          </cell>
          <cell r="D12378" t="str">
            <v>RECON PLATE 16-HOLES  STRAIGHT  T=3.0 MM</v>
          </cell>
        </row>
        <row r="12379">
          <cell r="B12379" t="str">
            <v>50-794-20-09</v>
          </cell>
          <cell r="C12379" t="str">
            <v>REKONPLATTE 20-LOCH  GERADE T=3,0 MM</v>
          </cell>
          <cell r="D12379" t="str">
            <v>RECON PLATE 20-HOLES  STRAIGHT  T=3.0 MM</v>
          </cell>
        </row>
        <row r="12380">
          <cell r="B12380" t="str">
            <v>50-794-20-30</v>
          </cell>
          <cell r="C12380" t="str">
            <v>REKONPLATTE 20-LOCH  GERADE T=3,0 MM</v>
          </cell>
          <cell r="D12380" t="str">
            <v>RECON PLATE 20-HOLES  STRAIGHT  T=3.0 MM</v>
          </cell>
        </row>
        <row r="12381">
          <cell r="B12381" t="str">
            <v>50-794-20-71</v>
          </cell>
          <cell r="C12381" t="str">
            <v>REKONPLATTE 20-LOCH  GER. T=3,0MM,  STERIL</v>
          </cell>
          <cell r="D12381" t="str">
            <v>RECON PLATE 20-HOLES  STR. T=3.0 MM STER.</v>
          </cell>
        </row>
        <row r="12382">
          <cell r="B12382" t="str">
            <v>50-794-82-04</v>
          </cell>
          <cell r="C12382" t="str">
            <v>Template  für 50-760/794-12</v>
          </cell>
          <cell r="D12382" t="str">
            <v>Template  for 50-760/794-12</v>
          </cell>
        </row>
        <row r="12383">
          <cell r="B12383" t="str">
            <v>50-795-26-09</v>
          </cell>
          <cell r="C12383" t="str">
            <v>REKONPLATTE 6+20-LOCH RECHTS T=3,0 MM</v>
          </cell>
          <cell r="D12383" t="str">
            <v>RECON PLATE 6+20-HOLES RIGHT T=3.0 MM</v>
          </cell>
        </row>
        <row r="12384">
          <cell r="B12384" t="str">
            <v>50-795-26-30</v>
          </cell>
          <cell r="C12384" t="str">
            <v>REKONPLATTE 6+20-LOCH RECHTS T=3,0 MM</v>
          </cell>
          <cell r="D12384" t="str">
            <v>RECON PLATE 6+20-HOLES RIGHT T=3.0 MM</v>
          </cell>
        </row>
        <row r="12385">
          <cell r="B12385" t="str">
            <v>50-795-26-71</v>
          </cell>
          <cell r="C12385" t="str">
            <v>REKONPLATTE 6+20-LOCH RE. T=3,0MM  STERIL</v>
          </cell>
          <cell r="D12385" t="str">
            <v>RECON PLATE 6+20-HOLES RIGHT T=3.0MM  STE</v>
          </cell>
        </row>
        <row r="12386">
          <cell r="B12386" t="str">
            <v>50-795-77-04</v>
          </cell>
          <cell r="C12386" t="str">
            <v>Template  für 50-795/797-26</v>
          </cell>
          <cell r="D12386" t="str">
            <v>Template  for 50-795/797-26</v>
          </cell>
        </row>
        <row r="12387">
          <cell r="B12387" t="str">
            <v>50-796-06-09</v>
          </cell>
          <cell r="C12387" t="str">
            <v>FRAKTURPLATTE 6-LOCH GERADE M.STEG T=3</v>
          </cell>
          <cell r="D12387" t="str">
            <v>FRACTURE  PL.6-HOLES STRAIGHT  W.BAR T=3.0</v>
          </cell>
        </row>
        <row r="12388">
          <cell r="B12388" t="str">
            <v>50-796-06-30</v>
          </cell>
          <cell r="C12388" t="str">
            <v>FRAKTURPLATTE 6-LOCH STRAIGHT  M.STEG T=3</v>
          </cell>
          <cell r="D12388" t="str">
            <v>FRACTURE  PL.6-HOLES STRAIGHT  W.BAR T=3.0</v>
          </cell>
        </row>
        <row r="12389">
          <cell r="B12389" t="str">
            <v>50-796-06-71</v>
          </cell>
          <cell r="C12389" t="str">
            <v>FRAKTURPLATTE 6-LOCH GERADE M.STEG T=3</v>
          </cell>
          <cell r="D12389" t="str">
            <v>FRACTURE  PL.6-HOLES STRAIGHT  W.BAR T=3.0</v>
          </cell>
        </row>
        <row r="12390">
          <cell r="B12390" t="str">
            <v>50-796-66-04</v>
          </cell>
          <cell r="C12390" t="str">
            <v>Template  für 50-796-06</v>
          </cell>
          <cell r="D12390" t="str">
            <v>Template  for 50-796-06</v>
          </cell>
        </row>
        <row r="12391">
          <cell r="B12391" t="str">
            <v>50-797-26-09</v>
          </cell>
          <cell r="C12391" t="str">
            <v>REKONPLATTE 6+20-LOCH LINKS T=3,0 MM</v>
          </cell>
          <cell r="D12391" t="str">
            <v>RECON PLATE 6+20-HOLES LEFT T=3.0 MM</v>
          </cell>
        </row>
        <row r="12392">
          <cell r="B12392" t="str">
            <v>50-797-26-30</v>
          </cell>
          <cell r="C12392" t="str">
            <v>REKONPLATTE 6+20-LOCH LINKS T=3,0 MM</v>
          </cell>
          <cell r="D12392" t="str">
            <v>RECON PLATE 6+20-HOLES LEFT T=3.0 MM</v>
          </cell>
        </row>
        <row r="12393">
          <cell r="B12393" t="str">
            <v>50-797-26-71</v>
          </cell>
          <cell r="C12393" t="str">
            <v>REKONPLATTE 6+20-LOCH LI. T=3,0MM  STERIL</v>
          </cell>
          <cell r="D12393" t="str">
            <v>RECON PLATE 6+20-HOLES LEFT T=3.0MM  STER</v>
          </cell>
        </row>
        <row r="12394">
          <cell r="B12394" t="str">
            <v>50-798-32-09</v>
          </cell>
          <cell r="C12394" t="str">
            <v>REKONPLATTE 6+20+6LOCH T=3,0MM  ANATOMISC</v>
          </cell>
          <cell r="D12394" t="str">
            <v>RECON PL.6+20+6-HOLES T=3.0MM  ANATOMICAL</v>
          </cell>
        </row>
        <row r="12395">
          <cell r="B12395" t="str">
            <v>50-798-32-30</v>
          </cell>
          <cell r="C12395" t="str">
            <v>REKONPLATTE 6+20+6LOCH T=3,0MM  ANATOMISC</v>
          </cell>
          <cell r="D12395" t="str">
            <v>RECON PL.6+20+6-HOLES T=3.0MM  ANATOMICAL</v>
          </cell>
        </row>
        <row r="12396">
          <cell r="B12396" t="str">
            <v>50-798-32-71</v>
          </cell>
          <cell r="C12396" t="str">
            <v>REKONPLATTE 6+20+6LOCH T=3,0MM  ANAT. STE</v>
          </cell>
          <cell r="D12396" t="str">
            <v>RECON PL.6+20+6-HOLES T=3.0MM  ANAT. STER</v>
          </cell>
        </row>
        <row r="12397">
          <cell r="B12397" t="str">
            <v>50-798-83-04</v>
          </cell>
          <cell r="C12397" t="str">
            <v>Template  für 50-798-32</v>
          </cell>
          <cell r="D12397" t="str">
            <v>Template  for 50-798-32</v>
          </cell>
        </row>
        <row r="12398">
          <cell r="B12398" t="str">
            <v>50-799-28-09</v>
          </cell>
          <cell r="C12398" t="str">
            <v>Rekonplatte 6+16+6-Loch T=3,0 mm</v>
          </cell>
          <cell r="D12398" t="str">
            <v>Recon Plate 6+16+6-Holes T=3.0 mm</v>
          </cell>
        </row>
        <row r="12399">
          <cell r="B12399" t="str">
            <v>50-799-28-71</v>
          </cell>
          <cell r="C12399" t="str">
            <v>Rekonplatte 6+16+6-Loch T=3,0, steril</v>
          </cell>
          <cell r="D12399" t="str">
            <v>Recon Pl:6+16+6-Holes T=3.0mm,  sterile</v>
          </cell>
        </row>
        <row r="12400">
          <cell r="B12400" t="str">
            <v>50-799-30-09</v>
          </cell>
          <cell r="C12400" t="str">
            <v>Rekonplatte 6+18+6-Loch T=3,0 mm</v>
          </cell>
          <cell r="D12400" t="str">
            <v>Recon Plate 6+18+6-Holes T=3.0 mm</v>
          </cell>
        </row>
        <row r="12401">
          <cell r="B12401" t="str">
            <v>50-799-30-71</v>
          </cell>
          <cell r="C12401" t="str">
            <v>Rekonplatte 6+18+6-Loch T=3,0, steril</v>
          </cell>
          <cell r="D12401" t="str">
            <v>Recon Pl:6+18+6-Holes T=3.0mm,  sterile</v>
          </cell>
        </row>
        <row r="12402">
          <cell r="B12402" t="str">
            <v>50-799-32-09</v>
          </cell>
          <cell r="C12402" t="str">
            <v>REKONPLATTE 6+20+6-LOCH T=3,0 MM</v>
          </cell>
          <cell r="D12402" t="str">
            <v>RECON PLATE 6+20+6-HOLES T=3.0 MM</v>
          </cell>
        </row>
        <row r="12403">
          <cell r="B12403" t="str">
            <v>50-799-32-30</v>
          </cell>
          <cell r="C12403" t="str">
            <v>REKONPLATTE 6+20+6-LOCH T=3,0 MM</v>
          </cell>
          <cell r="D12403" t="str">
            <v>RECON PLATE 6+20+6-HOLES T=3.0 MM</v>
          </cell>
        </row>
        <row r="12404">
          <cell r="B12404" t="str">
            <v>50-799-32-71</v>
          </cell>
          <cell r="C12404" t="str">
            <v>REKONPLATTE 6+20+6LOCH T=3,0MM,  STERIL</v>
          </cell>
          <cell r="D12404" t="str">
            <v>RECON PL.6+20+6-HOLES T=3.0MM  STERILE</v>
          </cell>
        </row>
        <row r="12405">
          <cell r="B12405" t="str">
            <v>50-799-34-09</v>
          </cell>
          <cell r="C12405" t="str">
            <v>REKONPLATTE 6+22+6-LOCH T=3,0 MM</v>
          </cell>
          <cell r="D12405" t="str">
            <v>RECON PLATE 6+22+6-HOLES T=3.0 MM</v>
          </cell>
        </row>
        <row r="12406">
          <cell r="B12406" t="str">
            <v>50-799-36-09</v>
          </cell>
          <cell r="C12406" t="str">
            <v>REKONPLATTE 6+24+6-LOCH T=3,0 MM</v>
          </cell>
          <cell r="D12406" t="str">
            <v>RECON PLATE 6+24+6-HOLES T=3.0 MM</v>
          </cell>
        </row>
        <row r="12407">
          <cell r="B12407" t="str">
            <v>50-799-78-04</v>
          </cell>
          <cell r="C12407" t="str">
            <v>Template  für 50-799-28-09</v>
          </cell>
          <cell r="D12407" t="str">
            <v>Template  for 50-799-28</v>
          </cell>
        </row>
        <row r="12408">
          <cell r="B12408" t="str">
            <v>50-799-80-04</v>
          </cell>
          <cell r="C12408" t="str">
            <v>Template  für 50-799-30-09</v>
          </cell>
          <cell r="D12408" t="str">
            <v>Template  for 50-799-30</v>
          </cell>
        </row>
        <row r="12409">
          <cell r="B12409" t="str">
            <v>50-799-83-04</v>
          </cell>
          <cell r="C12409" t="str">
            <v>Template  für 50-799-32</v>
          </cell>
          <cell r="D12409" t="str">
            <v>Template  for 50-799-32</v>
          </cell>
        </row>
        <row r="12410">
          <cell r="B12410" t="str">
            <v>50-799-85-04</v>
          </cell>
          <cell r="C12410" t="str">
            <v>Template  für 50-799-34</v>
          </cell>
          <cell r="D12410" t="str">
            <v>Template  for 50-799-34</v>
          </cell>
        </row>
        <row r="12411">
          <cell r="B12411" t="str">
            <v>50-799-87-04</v>
          </cell>
          <cell r="C12411" t="str">
            <v>Template  für 50-799-36</v>
          </cell>
          <cell r="D12411" t="str">
            <v>Template  for 50-799-36</v>
          </cell>
        </row>
        <row r="12412">
          <cell r="B12412" t="str">
            <v>50-800-02-71</v>
          </cell>
          <cell r="C12412" t="str">
            <v>BOS-BATTERIEPACK, STERIL, 1 STUECK</v>
          </cell>
          <cell r="D12412" t="str">
            <v>BOS-Battery Pack, sterile, 1 piece</v>
          </cell>
        </row>
        <row r="12413">
          <cell r="B12413" t="str">
            <v>50-800-03-07</v>
          </cell>
          <cell r="C12413" t="str">
            <v>BOS-DRILL  HANDGRIFF ALLEIN</v>
          </cell>
          <cell r="D12413" t="str">
            <v>BOS DRILL, HANDLE FOR DRILLING,  ONLY</v>
          </cell>
        </row>
        <row r="12414">
          <cell r="B12414" t="str">
            <v>50-800-04-07</v>
          </cell>
          <cell r="C12414" t="str">
            <v>HANDGRIFF F. BOS DRIVER "HT"</v>
          </cell>
          <cell r="D12414" t="str">
            <v>BOS-DRIVER "HT", HANDLE ONLY</v>
          </cell>
        </row>
        <row r="12415">
          <cell r="B12415" t="str">
            <v>50-810-05-07</v>
          </cell>
          <cell r="C12415" t="str">
            <v>VORBOHRER 0,7X40X5  MM FUER BOS DRILL</v>
          </cell>
          <cell r="D12415" t="str">
            <v>TWIST DRILL 0.7X40X5  MM FOR BOS DRILL</v>
          </cell>
        </row>
        <row r="12416">
          <cell r="B12416" t="str">
            <v>50-810-10-07</v>
          </cell>
          <cell r="C12416" t="str">
            <v>CENTRE DRIVE AUFSATZ  1,0MM F. BOS-DRIVER</v>
          </cell>
          <cell r="D12416" t="str">
            <v>CENTRE DRIVE BLADE 1.0MM F. BOS-DRIVER</v>
          </cell>
        </row>
        <row r="12417">
          <cell r="B12417" t="str">
            <v>50-810-15-07</v>
          </cell>
          <cell r="C12417" t="str">
            <v>CENTRE DRIVE AUFSATZ  1,5MM F. BOS-DRIVER</v>
          </cell>
          <cell r="D12417" t="str">
            <v>CENTRE DRIVE BLADE 1.5MM F. BOS-DRIVER</v>
          </cell>
        </row>
        <row r="12418">
          <cell r="B12418" t="str">
            <v>50-810-20-07</v>
          </cell>
          <cell r="C12418" t="str">
            <v>CENTRE DR. AUFS.2,0/2,3 MM BOS-DRIVER</v>
          </cell>
          <cell r="D12418" t="str">
            <v>CENTRE DRIVE BLADE 2.0/2.3 MM BOS-DRIVER</v>
          </cell>
        </row>
        <row r="12419">
          <cell r="B12419" t="str">
            <v>50-815-05-07</v>
          </cell>
          <cell r="C12419" t="str">
            <v>VORBOHRER 1,1X40X5  MM FUER BOS DRILL</v>
          </cell>
          <cell r="D12419" t="str">
            <v>TWIST DRILL 1.1X40X5  MM FOR BOS DRILL</v>
          </cell>
        </row>
        <row r="12420">
          <cell r="B12420" t="str">
            <v>50-815-07-07</v>
          </cell>
          <cell r="C12420" t="str">
            <v>VORBOHRER 1,1X40X7  MM FUER BOS DRILL</v>
          </cell>
          <cell r="D12420" t="str">
            <v>TWIST DRILL 1.1X40X7  MM FOR BOS DRILL</v>
          </cell>
        </row>
        <row r="12421">
          <cell r="B12421" t="str">
            <v>50-817-15-07</v>
          </cell>
          <cell r="C12421" t="str">
            <v>MAXDRIVE  FUNKTIONST. 1.5 BOS</v>
          </cell>
          <cell r="D12421" t="str">
            <v>MAXDRIVE  SCREWDRIVER BLADE 1.5 BOS</v>
          </cell>
        </row>
        <row r="12422">
          <cell r="B12422" t="str">
            <v>50-817-20-07</v>
          </cell>
          <cell r="C12422" t="str">
            <v>MAXDRIVE  FUNKTIONST. 2.0/2.3 BOS</v>
          </cell>
          <cell r="D12422" t="str">
            <v>MAXDRIVE  SCREWDRIVER BLADE 2.0/2.3 BOS</v>
          </cell>
        </row>
        <row r="12423">
          <cell r="B12423" t="str">
            <v>50-820-05-07</v>
          </cell>
          <cell r="C12423" t="str">
            <v>VORBOHRER 1,5X40X5  MM FUER BOS DRILL</v>
          </cell>
          <cell r="D12423" t="str">
            <v>TWIST DRILL 1.5X40X5  MM FOR BOS DRILL</v>
          </cell>
        </row>
        <row r="12424">
          <cell r="B12424" t="str">
            <v>50-820-07-07</v>
          </cell>
          <cell r="C12424" t="str">
            <v>VORBOHRER 1,5X40X7  MM FUER BOS DRILL</v>
          </cell>
          <cell r="D12424" t="str">
            <v>TWIST DRILL 1.5X40X7  MM FOR BOS DRILL</v>
          </cell>
        </row>
        <row r="12425">
          <cell r="B12425" t="str">
            <v>50-820-24-07</v>
          </cell>
          <cell r="C12425" t="str">
            <v>VORBOHRER 1,5X50X24  MM FUER BOS DRILL</v>
          </cell>
          <cell r="D12425" t="str">
            <v>TWIST DRILL 1.5X50X24  MM FOR BOS DRILL</v>
          </cell>
        </row>
        <row r="12426">
          <cell r="B12426" t="str">
            <v>50-821-24-07</v>
          </cell>
          <cell r="C12426" t="str">
            <v>VORBOHRER 1,5X115X40 MM FUER BOS DRILL</v>
          </cell>
          <cell r="D12426" t="str">
            <v>TWIST DRILL 1.5X115X40 MM FOR BOS DRILL</v>
          </cell>
        </row>
        <row r="12427">
          <cell r="B12427" t="str">
            <v>50-823-40-07</v>
          </cell>
          <cell r="C12427" t="str">
            <v>VORBOHRER 1,9X70X40  MM FUER BOS DRILL</v>
          </cell>
          <cell r="D12427" t="str">
            <v>TWIST DRILL 1,9X70X40  MM FOR BOS DRILL</v>
          </cell>
        </row>
        <row r="12428">
          <cell r="B12428" t="str">
            <v>50-824-40-07</v>
          </cell>
          <cell r="C12428" t="str">
            <v>VORBOHRER 1,9X115X86 MM FUER BOS DRILL</v>
          </cell>
          <cell r="D12428" t="str">
            <v>TWIST DRILL 1,9X115X86 MM FUER BOS DRILL</v>
          </cell>
        </row>
        <row r="12429">
          <cell r="B12429" t="str">
            <v>50-828-40-07</v>
          </cell>
          <cell r="C12429" t="str">
            <v>VORBOHRER 2,2X115X86 MM FUER BOS DRILL</v>
          </cell>
          <cell r="D12429" t="str">
            <v>TWIST DRILL 2,2X115X86 MM FOR BOS DRILL</v>
          </cell>
        </row>
        <row r="12430">
          <cell r="B12430" t="str">
            <v>50-910-10-07</v>
          </cell>
          <cell r="C12430" t="str">
            <v>CENTRE-DRIVE AUFSATZ  1,0MM DENTAL-ANSATZ</v>
          </cell>
          <cell r="D12430" t="str">
            <v>CENTRE-DRIVE BLADE 1,0MM DENTAL ATTACHM.</v>
          </cell>
        </row>
        <row r="12431">
          <cell r="B12431" t="str">
            <v>50-910-15-07</v>
          </cell>
          <cell r="C12431" t="str">
            <v>CENTRE-DRIVE AUFSATZ  1,5MM DENTAL-ANSATZ</v>
          </cell>
          <cell r="D12431" t="str">
            <v>CENTRE-DRIVE BLADE 1,5MM DENTAL ATTACHM.</v>
          </cell>
        </row>
        <row r="12432">
          <cell r="B12432" t="str">
            <v>50-910-20-07</v>
          </cell>
          <cell r="C12432" t="str">
            <v>CENTRE-DRIVE AUFSATZ  2,0/2,3MM DENT.ANS.</v>
          </cell>
          <cell r="D12432" t="str">
            <v>CENTRE-DRIVE BLADE 2,0/2,3MM DENT.ATT.</v>
          </cell>
        </row>
        <row r="12433">
          <cell r="B12433" t="str">
            <v>50-910-20-23</v>
          </cell>
          <cell r="C12433" t="str">
            <v>Centre-Drive Aufsatz 2,0/2,3mm  Howmedica</v>
          </cell>
          <cell r="D12433" t="str">
            <v>Centre-Drive Blade 2,0/2,3mm  Howmedica</v>
          </cell>
        </row>
        <row r="12434">
          <cell r="B12434" t="str">
            <v>50-910-25-07</v>
          </cell>
          <cell r="C12434" t="str">
            <v>VORBOHRER 1.0 X 15 MM, F. MARTIN-WSD</v>
          </cell>
          <cell r="D12434" t="str">
            <v>TWIST DRILL 1.0X15 MM, F. MARTIN-ASD</v>
          </cell>
        </row>
        <row r="12435">
          <cell r="B12435" t="str">
            <v>50-910-25-71</v>
          </cell>
          <cell r="C12435" t="str">
            <v>Vorbohrer  1.0 X 15 mm, f. Martin-WSD,ste</v>
          </cell>
          <cell r="D12435" t="str">
            <v>Twist Drill 1.0X15 mm, Martin-ASD,ste</v>
          </cell>
        </row>
        <row r="12436">
          <cell r="B12436" t="str">
            <v>50-911-15-07</v>
          </cell>
          <cell r="C12436" t="str">
            <v>CENTRE-DRIVE AUFSATZ  1,5MM HAUENSTEIN A.</v>
          </cell>
          <cell r="D12436" t="str">
            <v>CENTRE-DRIVE BLADE 1,5MM HAUENSTEIN ATT.</v>
          </cell>
        </row>
        <row r="12437">
          <cell r="B12437" t="str">
            <v>50-911-20-07</v>
          </cell>
          <cell r="C12437" t="str">
            <v>CENTRE-DRIVE AUFS.2,0/2,3MM HAUENSTEIN</v>
          </cell>
          <cell r="D12437" t="str">
            <v>CENTRE-DRIVE BL.2,0/2,3MM HAUENSTEIN</v>
          </cell>
        </row>
        <row r="12438">
          <cell r="B12438" t="str">
            <v>50-911-22-07</v>
          </cell>
          <cell r="C12438" t="str">
            <v>CENTRE-DRIVE KLINGE F.WSD 2,0 PALATINAL</v>
          </cell>
          <cell r="D12438" t="str">
            <v>CENTRE-DRIVE BIT FOR ASD 2.0 PALATINAL</v>
          </cell>
        </row>
        <row r="12439">
          <cell r="B12439" t="str">
            <v>50-912-12-07</v>
          </cell>
          <cell r="C12439" t="str">
            <v>SYNTHES  AUFSATZ  1,2MM DENTAL</v>
          </cell>
          <cell r="D12439" t="str">
            <v>SYNTHES  SCREW BLADE 1,2 MM DENTAL ATTACH</v>
          </cell>
        </row>
        <row r="12440">
          <cell r="B12440" t="str">
            <v>50-912-25-07</v>
          </cell>
          <cell r="C12440" t="str">
            <v>VORBOHRER 1.2 X 15 MM, F. MARTIN-WSD</v>
          </cell>
          <cell r="D12440" t="str">
            <v>TWIST DRILL 1.2X15 MM, F. MARTIN-ASD</v>
          </cell>
        </row>
        <row r="12441">
          <cell r="B12441" t="str">
            <v>50-912-25-71</v>
          </cell>
          <cell r="C12441" t="str">
            <v>Vorbohrer  1.2 X 15 mm, f. Martin-WSD,ste</v>
          </cell>
          <cell r="D12441" t="str">
            <v>Twist Drill 1.2X15 mm, Martin-ASD,ste</v>
          </cell>
        </row>
        <row r="12442">
          <cell r="B12442" t="str">
            <v>50-913-20-07</v>
          </cell>
          <cell r="C12442" t="str">
            <v>SCHRAUBENEINS.F.SCHR.M.SCHLITZ 1,5-2,0MM</v>
          </cell>
          <cell r="D12442" t="str">
            <v>SCREW INSERT SINGLE SLOT 1,5 - 2,0 MM</v>
          </cell>
        </row>
        <row r="12443">
          <cell r="B12443" t="str">
            <v>50-914-15-07</v>
          </cell>
          <cell r="C12443" t="str">
            <v>CENTRE-DRIVE AUFSATZ  1,5MM SYNTHES  WSD</v>
          </cell>
          <cell r="D12443" t="str">
            <v>CENTRE-DRIVE BLADE 1.5Mm SYNTHES  ASD</v>
          </cell>
        </row>
        <row r="12444">
          <cell r="B12444" t="str">
            <v>50-914-20-07</v>
          </cell>
          <cell r="C12444" t="str">
            <v>CENTRE-DRIVE AUFSATZ  2,0MM SYNTHES  WSD</v>
          </cell>
          <cell r="D12444" t="str">
            <v>CENTRE-DRIVE BLADE 2,0MM SYNTHES  ASD</v>
          </cell>
        </row>
        <row r="12445">
          <cell r="B12445" t="str">
            <v>50-914-27-07</v>
          </cell>
          <cell r="C12445" t="str">
            <v>SCHRAUBENEINSATZ F.SECHSKANTSCHR.2,7MM</v>
          </cell>
          <cell r="D12445" t="str">
            <v>SCREWINSERT F.HEXAGONAL SCREWS 2,7 MM</v>
          </cell>
        </row>
        <row r="12446">
          <cell r="B12446" t="str">
            <v>50-916-05-07</v>
          </cell>
          <cell r="C12446" t="str">
            <v>VORBOHRER 0,7 X 18 X 5MM DENTAL</v>
          </cell>
          <cell r="D12446" t="str">
            <v>DRILL BIT 0,7X18X5MM  DENTAL ATTACHMENT</v>
          </cell>
        </row>
        <row r="12447">
          <cell r="B12447" t="str">
            <v>50-916-07-07</v>
          </cell>
          <cell r="C12447" t="str">
            <v>VORBOHRER 0,7 X 20 X 7MM DENTAL</v>
          </cell>
          <cell r="D12447" t="str">
            <v>DRILL BIT 0,7X20X7MM  DENTAL ATTACHMENT</v>
          </cell>
        </row>
        <row r="12448">
          <cell r="B12448" t="str">
            <v>50-916-12-07</v>
          </cell>
          <cell r="C12448" t="str">
            <v>MAXDRIVE  KLINGE 1.2 MM, F. MARTIN-WSD</v>
          </cell>
          <cell r="D12448" t="str">
            <v>MAXDRIVE  BLADE 1.2 MM, F. MARTIN-ASD</v>
          </cell>
        </row>
        <row r="12449">
          <cell r="B12449" t="str">
            <v>50-916-15-07</v>
          </cell>
          <cell r="C12449" t="str">
            <v>MAXDRIVE  FUNKTIONST. 1.5 WSD</v>
          </cell>
          <cell r="D12449" t="str">
            <v>MAXDRIVE  SCREWDRIVER BLADE 1.5 WSD</v>
          </cell>
        </row>
        <row r="12450">
          <cell r="B12450" t="str">
            <v>50-917-20-07</v>
          </cell>
          <cell r="C12450" t="str">
            <v>MAXDRIVE  FUNKTIONST. 2.0/2.3 WSD</v>
          </cell>
          <cell r="D12450" t="str">
            <v>MAXDRIVE  SCREWDRIVER BLADE 2.0/2.3 WSD</v>
          </cell>
        </row>
        <row r="12451">
          <cell r="B12451" t="str">
            <v>50-919-15-07</v>
          </cell>
          <cell r="C12451" t="str">
            <v>MAXDRIVE  AUFSATZ  1,5 F. SYNTHES-WSD</v>
          </cell>
          <cell r="D12451" t="str">
            <v>MAXDRIVE  BLADE F. SYNTHES  ASD 1.5 MM</v>
          </cell>
        </row>
        <row r="12452">
          <cell r="B12452" t="str">
            <v>50-919-20-07</v>
          </cell>
          <cell r="C12452" t="str">
            <v>MAXDRIVE  AUFSATZ  2,0 F. SYNTHES-WSD</v>
          </cell>
          <cell r="D12452" t="str">
            <v>MAXDRIVE  BLADE F. SYNTHES  ASD 2,0 MM</v>
          </cell>
        </row>
        <row r="12453">
          <cell r="B12453" t="str">
            <v>50-920-00-07</v>
          </cell>
          <cell r="C12453" t="str">
            <v>Vorbohrer  f. WSD 1,1 x 30 mm, Dental</v>
          </cell>
          <cell r="D12453" t="str">
            <v>Twist Drill for ASD 1.1 x 30 mm, dental</v>
          </cell>
        </row>
        <row r="12454">
          <cell r="B12454" t="str">
            <v>50-920-07-07</v>
          </cell>
          <cell r="C12454" t="str">
            <v>Vorbohrer  1,1 x 20 x 7 mm Dental</v>
          </cell>
          <cell r="D12454" t="str">
            <v>Twist Drill 1.1 x 20 x 7 mm, dental</v>
          </cell>
        </row>
        <row r="12455">
          <cell r="B12455" t="str">
            <v>50-920-90-07</v>
          </cell>
          <cell r="C12455" t="str">
            <v>Funktionsteil 2,0/ 2,3 mm für WSD</v>
          </cell>
          <cell r="D12455" t="str">
            <v>Blade 2.0/ 2.3 mm for ASD</v>
          </cell>
        </row>
        <row r="12456">
          <cell r="B12456" t="str">
            <v>50-921-00-07</v>
          </cell>
          <cell r="C12456" t="str">
            <v>Vorbohrer  1,1 x 30 mm Hauenstein</v>
          </cell>
          <cell r="D12456" t="str">
            <v>Twist Drill 1.1 x 30 mm, Hauenstein att.</v>
          </cell>
        </row>
        <row r="12457">
          <cell r="B12457" t="str">
            <v>50-921-07-07</v>
          </cell>
          <cell r="C12457" t="str">
            <v>Vorbohrer  1,1 x 21 x 7 mm Hauenstein</v>
          </cell>
          <cell r="D12457" t="str">
            <v>Twist Drill 1.1x21x7  mm, Hauenstein att.</v>
          </cell>
        </row>
        <row r="12458">
          <cell r="B12458" t="str">
            <v>50-924-00-07</v>
          </cell>
          <cell r="C12458" t="str">
            <v>Vorbohrer  1.5x34x21  mm Dental</v>
          </cell>
          <cell r="D12458" t="str">
            <v>Twist Drill 1.5x34x21  mm, dental att.</v>
          </cell>
        </row>
        <row r="12459">
          <cell r="B12459" t="str">
            <v>50-924-07-07</v>
          </cell>
          <cell r="C12459" t="str">
            <v>Vorbohrer  1,5 x 20 x 7 mm Dental</v>
          </cell>
          <cell r="D12459" t="str">
            <v>Twist Drill 1.5x20x7mm, dental att.</v>
          </cell>
        </row>
        <row r="12460">
          <cell r="B12460" t="str">
            <v>50-924-09-07</v>
          </cell>
          <cell r="C12460" t="str">
            <v>Vorbohrer  1,5 x 22 x 9 mm Dental</v>
          </cell>
          <cell r="D12460" t="str">
            <v>Twist Drill 1.5 x 22 x 9 mm, dental att.</v>
          </cell>
        </row>
        <row r="12461">
          <cell r="B12461" t="str">
            <v>50-924-16-07</v>
          </cell>
          <cell r="C12461" t="str">
            <v>Vorbohrer  f. WSD 1,5x28,15mm Stop,Dental</v>
          </cell>
          <cell r="D12461" t="str">
            <v>Twist Dr. f. ASD 1.5x28,15mm stop,dental</v>
          </cell>
        </row>
        <row r="12462">
          <cell r="B12462" t="str">
            <v>50-925-00-07</v>
          </cell>
          <cell r="C12462" t="str">
            <v>Vorbohrer  1.5x34x21mm, Hauenstein</v>
          </cell>
          <cell r="D12462" t="str">
            <v>Twist Drill 1.5x34x21mm, Hauenstein att.</v>
          </cell>
        </row>
        <row r="12463">
          <cell r="B12463" t="str">
            <v>50-925-07-07</v>
          </cell>
          <cell r="C12463" t="str">
            <v>Vorbohrer  1,5 x 21 x 7 mm, Hauenstein</v>
          </cell>
          <cell r="D12463" t="str">
            <v>Twist Dr. 1.5x21x7mm Hauenstein attachm</v>
          </cell>
        </row>
        <row r="12464">
          <cell r="B12464" t="str">
            <v>50-925-09-07</v>
          </cell>
          <cell r="C12464" t="str">
            <v>Vorbohrer  1,5 x 23 x 9 mm, Hauenstein</v>
          </cell>
          <cell r="D12464" t="str">
            <v>Twist Dr. 1.5 x23x9 mm, Hauenstein att.</v>
          </cell>
        </row>
        <row r="12465">
          <cell r="B12465" t="str">
            <v>50-928-00-07</v>
          </cell>
          <cell r="C12465" t="str">
            <v>Vorbohrer  1.8x34x21mm, Dental</v>
          </cell>
          <cell r="D12465" t="str">
            <v>Twist Drill 1.8x34x21  mm, dental att.</v>
          </cell>
        </row>
        <row r="12466">
          <cell r="B12466" t="str">
            <v>50-928-00-71</v>
          </cell>
          <cell r="C12466" t="str">
            <v>Vorbohrer  1.8x34x21  mm, Dental</v>
          </cell>
          <cell r="D12466" t="str">
            <v>Twist Drill 1.8x34x21  mm, dental att.</v>
          </cell>
        </row>
        <row r="12467">
          <cell r="B12467" t="str">
            <v>50-928-09-07</v>
          </cell>
          <cell r="C12467" t="str">
            <v>Vorbohrer  1,8 x 22 x 9 mm, Dental</v>
          </cell>
          <cell r="D12467" t="str">
            <v>Twist Drill 1.8 x 22 x 9 mm, dental att.</v>
          </cell>
        </row>
        <row r="12468">
          <cell r="B12468" t="str">
            <v>50-928-09-71</v>
          </cell>
          <cell r="C12468" t="str">
            <v>Vorbohrer  1,8 x 22 x 9 mm, Dental</v>
          </cell>
          <cell r="D12468" t="str">
            <v>Twist Drill 1.8 x 22 x 9 mm, dental att.</v>
          </cell>
        </row>
        <row r="12469">
          <cell r="B12469" t="str">
            <v>50-929-00-07</v>
          </cell>
          <cell r="C12469" t="str">
            <v>Vorbohrer  1.8 x 34 x 21mm, Hauenstein</v>
          </cell>
          <cell r="D12469" t="str">
            <v>Twist Drill 1.8x34x21mm, Hauenstein att.</v>
          </cell>
        </row>
        <row r="12470">
          <cell r="B12470" t="str">
            <v>50-929-09-07</v>
          </cell>
          <cell r="C12470" t="str">
            <v>Vorbohrer  1,8 x 23 x 9 mm, Hauenstein</v>
          </cell>
          <cell r="D12470" t="str">
            <v>Twist Dr. 1.8x23x9mm, Hauenstein att.</v>
          </cell>
        </row>
        <row r="12471">
          <cell r="B12471" t="str">
            <v>50-930-15-07</v>
          </cell>
          <cell r="C12471" t="str">
            <v>CENTRE DRIVE AUFSATZ  1,5 FRITZEMEYER WSD</v>
          </cell>
          <cell r="D12471" t="str">
            <v>CENTRE DRIVE BLADE 1.5 FRITZEMEYER WSD</v>
          </cell>
        </row>
        <row r="12472">
          <cell r="B12472" t="str">
            <v>50-930-20-07</v>
          </cell>
          <cell r="C12472" t="str">
            <v>CENTRE DRIVE AUF.2,0/2,3 FRITZEMEYER WSD</v>
          </cell>
          <cell r="D12472" t="str">
            <v>CENTRE DRIVE BLA.2.0/2.3 FRITZEMEYER ASD</v>
          </cell>
        </row>
        <row r="12473">
          <cell r="B12473" t="str">
            <v>50-931-15-07</v>
          </cell>
          <cell r="C12473" t="str">
            <v>MAXDRIVE  EINSATZ F.FRITZEMEYER-WSD 1,5MM</v>
          </cell>
          <cell r="D12473" t="str">
            <v>MAXDRIVE  BLADE F.FRITZEMEYER ASD 1.5MM</v>
          </cell>
        </row>
        <row r="12474">
          <cell r="B12474" t="str">
            <v>50-931-20-07</v>
          </cell>
          <cell r="C12474" t="str">
            <v>MAXDRIVE  EINSATZ F.FRITZEMEYER-WSD 2,0MM</v>
          </cell>
          <cell r="D12474" t="str">
            <v>MAXDRIVE  BLADE F.FRITZEMEYER ASD 2,0MM</v>
          </cell>
        </row>
        <row r="12475">
          <cell r="B12475" t="str">
            <v>50-931-20-23</v>
          </cell>
          <cell r="C12475" t="str">
            <v>maxDrive  Klinge Fritzem.WSD 2,0/2,3,kurz</v>
          </cell>
          <cell r="D12475" t="str">
            <v>maxDrive  Blade Fritzem.ASD 2,0/2,3,short</v>
          </cell>
        </row>
        <row r="12476">
          <cell r="B12476" t="str">
            <v>50-932-15-07</v>
          </cell>
          <cell r="C12476" t="str">
            <v>SmartDrive Aufsatz 1,5 Fritzemeyer WSD</v>
          </cell>
          <cell r="D12476" t="str">
            <v>SmartDrive Blade 1.5 Fritzemeyer ASD</v>
          </cell>
        </row>
        <row r="12477">
          <cell r="B12477" t="str">
            <v>50-932-20-07</v>
          </cell>
          <cell r="C12477" t="str">
            <v>SmartDrive Aufsatz 2,0 Fritzemeyer WSD</v>
          </cell>
          <cell r="D12477" t="str">
            <v>SmartDrive Blade 2.0 Fritzemeyer ASD</v>
          </cell>
        </row>
        <row r="12478">
          <cell r="B12478" t="str">
            <v>50-940-07-07</v>
          </cell>
          <cell r="C12478" t="str">
            <v>VORBOHRER 1,1X15, 6 MM STOP, DENTAL</v>
          </cell>
          <cell r="D12478" t="str">
            <v>TWIST DRILL 1.1X15, 6 MM STOP, DENTAL</v>
          </cell>
        </row>
        <row r="12479">
          <cell r="B12479" t="str">
            <v>50-940-14-07</v>
          </cell>
          <cell r="C12479" t="str">
            <v>Vorbohrer  1,1 x 3,5 mm Dentalans., kurz</v>
          </cell>
          <cell r="D12479" t="str">
            <v>Twist Drill 1.1 x 3.5 mm, dental, short</v>
          </cell>
        </row>
        <row r="12480">
          <cell r="B12480" t="str">
            <v>50-940-15-07</v>
          </cell>
          <cell r="C12480" t="str">
            <v>Vorbohrer  1,1 x 5 mm Dentalans., kurz</v>
          </cell>
          <cell r="D12480" t="str">
            <v>Twist Drill 1.1 x 5 mm, dental, short</v>
          </cell>
        </row>
        <row r="12481">
          <cell r="B12481" t="str">
            <v>50-940-17-07</v>
          </cell>
          <cell r="C12481" t="str">
            <v>Vorbohrer  1,1 x 7 mm Dentalans., kurz</v>
          </cell>
          <cell r="D12481" t="str">
            <v>Twist Drill 1.1 x 7 mm, dental, short</v>
          </cell>
        </row>
        <row r="12482">
          <cell r="B12482" t="str">
            <v>50-940-19-07</v>
          </cell>
          <cell r="C12482" t="str">
            <v>Vorbohrer  1,1 x 9 mm Dentalans., kurz</v>
          </cell>
          <cell r="D12482" t="str">
            <v>Twist Drill 1.1 x 9 mm, dental, short</v>
          </cell>
        </row>
        <row r="12483">
          <cell r="B12483" t="str">
            <v>50-944-07-07</v>
          </cell>
          <cell r="C12483" t="str">
            <v>VORBOHRER 1,5X15, 6 MM STOP, DENTAL</v>
          </cell>
          <cell r="D12483" t="str">
            <v>TWIST DRILL 1.5X15, 6 MM STOP, DENTAL</v>
          </cell>
        </row>
        <row r="12484">
          <cell r="B12484" t="str">
            <v>50-944-15-07</v>
          </cell>
          <cell r="C12484" t="str">
            <v>Vorbohrer  1,5 x 5 mm Dentalans., kurz</v>
          </cell>
          <cell r="D12484" t="str">
            <v>Twist Drill 1.5 x 5 mm, dental, short</v>
          </cell>
        </row>
        <row r="12485">
          <cell r="B12485" t="str">
            <v>50-944-17-07</v>
          </cell>
          <cell r="C12485" t="str">
            <v>Vorbohrer  1,5 x 7 mm Dentalans., kurz</v>
          </cell>
          <cell r="D12485" t="str">
            <v>Twist Drill 1.5 x 7 mm, dental, short</v>
          </cell>
        </row>
        <row r="12486">
          <cell r="B12486" t="str">
            <v>50-944-19-07</v>
          </cell>
          <cell r="C12486" t="str">
            <v>Vorbohrer  1,5 x 9 mm Dentalans., kurz</v>
          </cell>
          <cell r="D12486" t="str">
            <v>Twist Drill 1.5 x 9 mm, dental, short</v>
          </cell>
        </row>
        <row r="12487">
          <cell r="B12487" t="str">
            <v>50-972-15-07</v>
          </cell>
          <cell r="C12487" t="str">
            <v>maxDrive  Aufsatz 1,5MM f. Hauenstein WSD</v>
          </cell>
          <cell r="D12487" t="str">
            <v>maxDrive  Blade 1.5MM f. Hauenstein ASD</v>
          </cell>
        </row>
        <row r="12488">
          <cell r="B12488" t="str">
            <v>50-972-20-07</v>
          </cell>
          <cell r="C12488" t="str">
            <v>maxDrive  Aufsatz 2,0MM f. Hauenstein WSD</v>
          </cell>
          <cell r="D12488" t="str">
            <v>maxDrive  Blade 2.0MM f. Hauenstein ASD</v>
          </cell>
        </row>
        <row r="12489">
          <cell r="B12489" t="str">
            <v>50-990-00-07</v>
          </cell>
          <cell r="C12489" t="str">
            <v>ANGULUS  2 WINKELSCHRAUBENDREHER KOMPL.</v>
          </cell>
          <cell r="D12489" t="str">
            <v>ANGULUS  2 ANGLED SCREWDRIVER, COMPLETE</v>
          </cell>
        </row>
        <row r="12490">
          <cell r="B12490" t="str">
            <v>50-990-01-07</v>
          </cell>
          <cell r="C12490" t="str">
            <v>ANGULUS  2 WINKELSCHRAUBENDREHER ALLEIN</v>
          </cell>
          <cell r="D12490" t="str">
            <v>ANGULUS  2 ANGLED SCREWDRIVER, ONLY</v>
          </cell>
        </row>
        <row r="12491">
          <cell r="B12491" t="str">
            <v>50-990-40-04</v>
          </cell>
          <cell r="C12491" t="str">
            <v>SIEBKORB  F. ANGULUS  2 WINKELSCHRAUBENDR.</v>
          </cell>
          <cell r="D12491" t="str">
            <v>WIRE BASKET FOR ANGULUS  2 ASD</v>
          </cell>
        </row>
        <row r="12492">
          <cell r="B12492" t="str">
            <v>50-991-12-07</v>
          </cell>
          <cell r="C12492" t="str">
            <v>maxDrive  Klinge 1.2 mm, f. Angulus 2</v>
          </cell>
          <cell r="D12492" t="str">
            <v>maxDrive  Blade 1.2 mm, f. Angulus 2-ASD</v>
          </cell>
        </row>
        <row r="12493">
          <cell r="B12493" t="str">
            <v>50-991-15-07</v>
          </cell>
          <cell r="C12493" t="str">
            <v>SD KLINGE maxDrive  1,5 FÜR ANGULUS  2 WSD</v>
          </cell>
          <cell r="D12493" t="str">
            <v>SD BLADE maxDrive  1.5 f. ANGULUS  2 ASD</v>
          </cell>
        </row>
        <row r="12494">
          <cell r="B12494" t="str">
            <v>50-991-20-07</v>
          </cell>
          <cell r="C12494" t="str">
            <v>SD KLINGE maxDrive  2,0 FÜR ANGULUS  2 WSD</v>
          </cell>
          <cell r="D12494" t="str">
            <v>SD BLADE maxDrive  2.0 f. ANGULUS  2 ASD</v>
          </cell>
        </row>
        <row r="12495">
          <cell r="B12495" t="str">
            <v>50-992-15-07</v>
          </cell>
          <cell r="C12495" t="str">
            <v>SD Klinge Centre Drive 1,5 für ANG 2 WSD</v>
          </cell>
          <cell r="D12495" t="str">
            <v>SD BLADE CENTRE DRIVE 1.5 f. ANG. 2 ASD</v>
          </cell>
        </row>
        <row r="12496">
          <cell r="B12496" t="str">
            <v>50-992-20-07</v>
          </cell>
          <cell r="C12496" t="str">
            <v>SD Klinge Centre Drive 2,0 für ANG 2 WSD</v>
          </cell>
          <cell r="D12496" t="str">
            <v>SD BLADE CENTRE DRIVE 2.0 f. ANG. 2 ASD</v>
          </cell>
        </row>
        <row r="12497">
          <cell r="B12497" t="str">
            <v>50-994-10-07</v>
          </cell>
          <cell r="C12497" t="str">
            <v>Vorbohrer  1.0 X 15 mm, f. Angulus 2</v>
          </cell>
          <cell r="D12497" t="str">
            <v>Twist Drill 1.0X15 mm, f. Angulus 2-ASD</v>
          </cell>
        </row>
        <row r="12498">
          <cell r="B12498" t="str">
            <v>50-994-10-71</v>
          </cell>
          <cell r="C12498" t="str">
            <v>Vorbohrer  1.0 X 15 mm, f. Angulus 2, ste</v>
          </cell>
          <cell r="D12498" t="str">
            <v>Twist Drill 1.0X15 mm, Angulus 2-ASD,ste</v>
          </cell>
        </row>
        <row r="12499">
          <cell r="B12499" t="str">
            <v>50-994-12-07</v>
          </cell>
          <cell r="C12499" t="str">
            <v>Vorbohrer  1.2 X 15 mm, f. Angulus 2</v>
          </cell>
          <cell r="D12499" t="str">
            <v>Twist Drill 1.2X15 mm, f. Angulus 2-ASD</v>
          </cell>
        </row>
        <row r="12500">
          <cell r="B12500" t="str">
            <v>50-994-12-71</v>
          </cell>
          <cell r="C12500" t="str">
            <v>Vorbohrer  1.2 X 15 mm, f. Angulus 2, ste</v>
          </cell>
          <cell r="D12500" t="str">
            <v>Twist Drill 1.2X15 mm, Angulus 2-ASD,ste</v>
          </cell>
        </row>
        <row r="12501">
          <cell r="B12501" t="str">
            <v>50-995-05-07</v>
          </cell>
          <cell r="C12501" t="str">
            <v>VORBOHRER FÜR ANGULUS  2 WSD, 1,1 X 5 MM</v>
          </cell>
          <cell r="D12501" t="str">
            <v>TWIST DRILL F. ANGULUS  2 ASD 1.1 X 5 MM</v>
          </cell>
        </row>
        <row r="12502">
          <cell r="B12502" t="str">
            <v>50-995-07-07</v>
          </cell>
          <cell r="C12502" t="str">
            <v>VORBOHRER FÜR ANGULUS  2 WSD, 1,1 X 7 MM</v>
          </cell>
          <cell r="D12502" t="str">
            <v>TWIST DRILL F. ANGULUS  2 ASD 1.1 X 7 MM</v>
          </cell>
        </row>
        <row r="12503">
          <cell r="B12503" t="str">
            <v>50-995-17-07</v>
          </cell>
          <cell r="C12503" t="str">
            <v>VORBOHRER FÜR ANGULUS  2 WSD, 1,1 X 17 MM</v>
          </cell>
          <cell r="D12503" t="str">
            <v>TWIST DRILL F. ANGULUS  2 ASD 1.1 X 17 MM</v>
          </cell>
        </row>
        <row r="12504">
          <cell r="B12504" t="str">
            <v>50-996-05-07</v>
          </cell>
          <cell r="C12504" t="str">
            <v>VORBOHRER FÜR ANGULUS  2 WSD, 1,5 X 5 MM</v>
          </cell>
          <cell r="D12504" t="str">
            <v>TWIST DRILL F. ANGULUS  2 ASD 1.5 X 5 MM</v>
          </cell>
        </row>
        <row r="12505">
          <cell r="B12505" t="str">
            <v>50-996-07-07</v>
          </cell>
          <cell r="C12505" t="str">
            <v>VORBOHRER FÜR ANGULUS  2 WSD, 1,5 X 7 MM</v>
          </cell>
          <cell r="D12505" t="str">
            <v>TWIST DRILL F. ANGULUS  2 ASD 1.5 X 7 MM</v>
          </cell>
        </row>
        <row r="12506">
          <cell r="B12506" t="str">
            <v>50-996-09-07</v>
          </cell>
          <cell r="C12506" t="str">
            <v>VORBOHRER FÜR ANGULUS  2 WSD, 1,5 X 9 MM</v>
          </cell>
          <cell r="D12506" t="str">
            <v>TWIST DRILL F. ANGULUS  2 ASD 1.5 X 9 MM</v>
          </cell>
        </row>
        <row r="12507">
          <cell r="B12507" t="str">
            <v>50-996-11-07</v>
          </cell>
          <cell r="C12507" t="str">
            <v>VORBOHRER FÜR ANGULUS  2 WSD, 1,5 X 11 MM</v>
          </cell>
          <cell r="D12507" t="str">
            <v>TWIST DRILL F. ANGULUS  2 ASD 1.5 X 11MM</v>
          </cell>
        </row>
        <row r="12508">
          <cell r="B12508" t="str">
            <v>50-996-13-07</v>
          </cell>
          <cell r="C12508" t="str">
            <v>VORBOHRER FÜR ANGULUS  2 WSD, 1,5 X 13 MM</v>
          </cell>
          <cell r="D12508" t="str">
            <v>TWIST DRILL F. ANGULUS  2 ASD 1.5 X 13 MM</v>
          </cell>
        </row>
        <row r="12509">
          <cell r="B12509" t="str">
            <v>50-996-15-07</v>
          </cell>
          <cell r="C12509" t="str">
            <v>VORBOHRER FÜR ANGULUS  2 WSD, 1,5 X 15 MM</v>
          </cell>
          <cell r="D12509" t="str">
            <v>TWIST DRILL F. ANGULUS  2 ASD 1.5 X 15 MM</v>
          </cell>
        </row>
        <row r="12510">
          <cell r="B12510" t="str">
            <v>50-996-17-07</v>
          </cell>
          <cell r="C12510" t="str">
            <v>VORBOHRER FÜR ANGULUS  2 WSD, 1,5 X 17 MM</v>
          </cell>
          <cell r="D12510" t="str">
            <v>TWIST DRILL F. ANGULUS  2 ASD 1.5 X 17 MM</v>
          </cell>
        </row>
        <row r="12511">
          <cell r="B12511" t="str">
            <v>50-997-05-07</v>
          </cell>
          <cell r="C12511" t="str">
            <v>VORBOHRER FÜR ANGULUS  2 WSD, 1,9 X 5 MM</v>
          </cell>
          <cell r="D12511" t="str">
            <v>TWIST DRILL F. ANGULUS  2 ASD 1.9 X 5 MM</v>
          </cell>
        </row>
        <row r="12512">
          <cell r="B12512" t="str">
            <v>50-997-07-07</v>
          </cell>
          <cell r="C12512" t="str">
            <v>VORBOHRER FÜR ANGULUS  2 WSD, 1,9 X 7 MM</v>
          </cell>
          <cell r="D12512" t="str">
            <v>TWIST DRILL F. ANGULUS  2 ASD 1.9 X 7 MM</v>
          </cell>
        </row>
        <row r="12513">
          <cell r="B12513" t="str">
            <v>50-997-19-07</v>
          </cell>
          <cell r="C12513" t="str">
            <v>VORBOHRER FÜR ANGULUS  2 WSD, 1,9 X 19 MM</v>
          </cell>
          <cell r="D12513" t="str">
            <v>TWIST DRILL F. ANGULUS  2 ASD 1.9 X 19 MM</v>
          </cell>
        </row>
        <row r="12514">
          <cell r="B12514" t="str">
            <v>50-999-15-07</v>
          </cell>
          <cell r="C12514" t="str">
            <v xml:space="preserve"> SD Klinge smartDrive  1,5 f. Angulus 2</v>
          </cell>
          <cell r="D12514" t="str">
            <v>SD Blade smartDrive  1.5 f. Angulus 2 ASD</v>
          </cell>
        </row>
        <row r="12515">
          <cell r="B12515" t="str">
            <v>50-999-20-07</v>
          </cell>
          <cell r="C12515" t="str">
            <v xml:space="preserve"> SD Klinge smartDrive  2,0 f. Angulus 2</v>
          </cell>
          <cell r="D12515" t="str">
            <v>SD Blade smartDrive  2.0 f. Angulus 2 ASD</v>
          </cell>
        </row>
        <row r="12516">
          <cell r="B12516" t="str">
            <v>51-110-06-09</v>
          </cell>
          <cell r="C12516" t="str">
            <v>TI-FRAKTURPLATTE, 2,3, 6-LOCH, GERADE</v>
          </cell>
          <cell r="D12516" t="str">
            <v>TI-FRACTURE PLATE, 2.3, 6-HOLES,STRAIGHT</v>
          </cell>
        </row>
        <row r="12517">
          <cell r="B12517" t="str">
            <v>51-110-06-71</v>
          </cell>
          <cell r="C12517" t="str">
            <v>TI-FRAKTURPLATTE, 2,3, 6-LOCH, GERADE</v>
          </cell>
          <cell r="D12517" t="str">
            <v>TI-FRACTURE PLATE, 2.3, 6-HOLES,STRAIGHT</v>
          </cell>
        </row>
        <row r="12518">
          <cell r="B12518" t="str">
            <v>51-110-06-91</v>
          </cell>
          <cell r="C12518" t="str">
            <v>TI-FRAKTURPLATTE, 2,3, 6-LOCH, GERADE</v>
          </cell>
          <cell r="D12518" t="str">
            <v>TI-FRACTURE PLATE, 2.3, 6-HOLES,STRAIGHT</v>
          </cell>
        </row>
        <row r="12519">
          <cell r="B12519" t="str">
            <v>51-110-08-09</v>
          </cell>
          <cell r="C12519" t="str">
            <v>TI-FRAKTURPLATTE, 2,3, 8-LOCH, GERADE</v>
          </cell>
          <cell r="D12519" t="str">
            <v>TI-FRACTURE PLATE, 2.3, 8-HOLES,STRAIGHT</v>
          </cell>
        </row>
        <row r="12520">
          <cell r="B12520" t="str">
            <v>51-110-08-71</v>
          </cell>
          <cell r="C12520" t="str">
            <v>TI-FRAKTURPLATTE, 2,3, 8-LOCH, GERADE</v>
          </cell>
          <cell r="D12520" t="str">
            <v>TI-FRACTURE PLATE, 2.3, 8-HOLES,STRAIGHT</v>
          </cell>
        </row>
        <row r="12521">
          <cell r="B12521" t="str">
            <v>51-110-08-91</v>
          </cell>
          <cell r="C12521" t="str">
            <v>TI-FRAKTURPLATTE, 2,3, 8-LOCH, GERADE</v>
          </cell>
          <cell r="D12521" t="str">
            <v>TI-FRACTURE PLATE, 2.3, 8-HOLES,STRAIGHT</v>
          </cell>
        </row>
        <row r="12522">
          <cell r="B12522" t="str">
            <v>51-110-16-09</v>
          </cell>
          <cell r="C12522" t="str">
            <v>TI-FRAKTURPLATTE, 2,3, 16-LOCH,  GERADE</v>
          </cell>
          <cell r="D12522" t="str">
            <v>TI-FRACTURE PLATE, 2.3,16-HOLES,STRAIGHT</v>
          </cell>
        </row>
        <row r="12523">
          <cell r="B12523" t="str">
            <v>51-110-16-71</v>
          </cell>
          <cell r="C12523" t="str">
            <v>TI-FRAKTURPLATTE, 2,3, 16-LOCH,  GERADE</v>
          </cell>
          <cell r="D12523" t="str">
            <v>TI-FRACTURE PLATE, 2.3,16-HOLES,STRAIGHT</v>
          </cell>
        </row>
        <row r="12524">
          <cell r="B12524" t="str">
            <v>51-110-16-91</v>
          </cell>
          <cell r="C12524" t="str">
            <v>TI-FRAKTURPLATTE, 2,3, 16-LOCH,  GERADE</v>
          </cell>
          <cell r="D12524" t="str">
            <v>TI-FRACTURE PLATE, 2.3,16-HOLES,STRAIGHT</v>
          </cell>
        </row>
        <row r="12525">
          <cell r="B12525" t="str">
            <v>51-112-04-09</v>
          </cell>
          <cell r="C12525" t="str">
            <v>TI-FRAKTURPLATTE, 2,3,4-LOCH,GERADE,KURZ</v>
          </cell>
          <cell r="D12525" t="str">
            <v>TI-FRACTURE PLATE,2.3,4-HOLES,STR.,SHORT</v>
          </cell>
        </row>
        <row r="12526">
          <cell r="B12526" t="str">
            <v>51-112-04-71</v>
          </cell>
          <cell r="C12526" t="str">
            <v>TI-FRAKTURPLATTE, 2,3,4-LOCH,GERADE,KURZ</v>
          </cell>
          <cell r="D12526" t="str">
            <v>TI-FRACTURE PLATE,2.3,4-HOLES,STR.,SHORT</v>
          </cell>
        </row>
        <row r="12527">
          <cell r="B12527" t="str">
            <v>51-112-04-91</v>
          </cell>
          <cell r="C12527" t="str">
            <v>TI-FRAKTURPLATTE, 2,3,4-LOCH,GERADE,KURZ</v>
          </cell>
          <cell r="D12527" t="str">
            <v>TI-FRACTURE PLATE,2.3,4-HOLES,STR.,SHORT</v>
          </cell>
        </row>
        <row r="12528">
          <cell r="B12528" t="str">
            <v>51-114-04-09</v>
          </cell>
          <cell r="C12528" t="str">
            <v>TI-FRAKTURPLATTE, 2,3,4-LOCH,GERADE,LANG</v>
          </cell>
          <cell r="D12528" t="str">
            <v>TI-FRACTURE PLATE,2.3,4-HOLES,STR., LONG</v>
          </cell>
        </row>
        <row r="12529">
          <cell r="B12529" t="str">
            <v>51-114-04-71</v>
          </cell>
          <cell r="C12529" t="str">
            <v>TI-FRAKTURPLATTE, 2,3,4-LOCH,GERADE,LANG</v>
          </cell>
          <cell r="D12529" t="str">
            <v>TI-FRACTURE PLATE,2.3,4-HOLES,STR., LONG</v>
          </cell>
        </row>
        <row r="12530">
          <cell r="B12530" t="str">
            <v>51-114-04-91</v>
          </cell>
          <cell r="C12530" t="str">
            <v>TI-FRAKTURPLATTE, 2,3,4-LOCH,GERADE,LANG</v>
          </cell>
          <cell r="D12530" t="str">
            <v>TI-FRACTURE PLATE,2.3,4-HOLES,STR., LONG</v>
          </cell>
        </row>
        <row r="12531">
          <cell r="B12531" t="str">
            <v>51-116-06-09</v>
          </cell>
          <cell r="C12531" t="str">
            <v>TI-FRAKTURPLATTE, 2,3,6-LOCH,GER.,M.STEG</v>
          </cell>
          <cell r="D12531" t="str">
            <v>TI-FRACTURE PLATE,2.3,6-HOLES,STR., LONG</v>
          </cell>
        </row>
        <row r="12532">
          <cell r="B12532" t="str">
            <v>51-116-06-71</v>
          </cell>
          <cell r="C12532" t="str">
            <v>TI-FRAKTURPLATTE, 2,3,6-LOCH,GER.,M.STEG</v>
          </cell>
          <cell r="D12532" t="str">
            <v>TI-FRACTURE PLATE,2.3,6-HOLES,STR., LONG</v>
          </cell>
        </row>
        <row r="12533">
          <cell r="B12533" t="str">
            <v>51-116-06-91</v>
          </cell>
          <cell r="C12533" t="str">
            <v>TI-FRAKTURPLATTE, 2,3,6-LOCH,GER.,M.STEG</v>
          </cell>
          <cell r="D12533" t="str">
            <v>TI-FRACTURE PLATE,2.3,6-HOLES,STR., LONG</v>
          </cell>
        </row>
        <row r="12534">
          <cell r="B12534" t="str">
            <v>51-130-04-09</v>
          </cell>
          <cell r="C12534" t="str">
            <v>TI-FRAKTURPLATTE, 2,3, 4-LOCH,GEB., KURZ</v>
          </cell>
          <cell r="D12534" t="str">
            <v>TI-FRACTURE PLATE, 2.3,4-HOLES,CUR,SHORT</v>
          </cell>
        </row>
        <row r="12535">
          <cell r="B12535" t="str">
            <v>51-130-04-71</v>
          </cell>
          <cell r="C12535" t="str">
            <v>TI-FRAKTURPLATTE, 2,3, 4-LOCH,GEB., KURZ</v>
          </cell>
          <cell r="D12535" t="str">
            <v>TI-FRACTURE PLATE, 2.3,4-HOLES,CUR,SHORT</v>
          </cell>
        </row>
        <row r="12536">
          <cell r="B12536" t="str">
            <v>51-130-04-91</v>
          </cell>
          <cell r="C12536" t="str">
            <v>TI-FRAKTURPLATTE, 2,3, 4-LOCH,GEB., KURZ</v>
          </cell>
          <cell r="D12536" t="str">
            <v>TI-FRACTURE PLATE, 2.3,4-HOLES,CUR,SHORT</v>
          </cell>
        </row>
        <row r="12537">
          <cell r="B12537" t="str">
            <v>51-132-04-09</v>
          </cell>
          <cell r="C12537" t="str">
            <v>TI-FRAKTURPLATTE, 2,3, 4-LOCH,GEB., LANG</v>
          </cell>
          <cell r="D12537" t="str">
            <v>TI-FRACTURE PLATE, 2.3,4-HOLES,CUR, LONG</v>
          </cell>
        </row>
        <row r="12538">
          <cell r="B12538" t="str">
            <v>51-132-04-71</v>
          </cell>
          <cell r="C12538" t="str">
            <v>TI-FRAKTURPLATTE, 2,3, 4-LOCH,GEB., LANG</v>
          </cell>
          <cell r="D12538" t="str">
            <v>TI-FRACTURE PLATE, 2.3,4-HOLES,CUR, LONG</v>
          </cell>
        </row>
        <row r="12539">
          <cell r="B12539" t="str">
            <v>51-132-04-91</v>
          </cell>
          <cell r="C12539" t="str">
            <v>TI-FRAKTURPLATTE, 2,3, 4-LOCH,GEB., LANG</v>
          </cell>
          <cell r="D12539" t="str">
            <v>TI-FRACTURE PLATE, 2.3,4-HOLES,CUR, LONG</v>
          </cell>
        </row>
        <row r="12540">
          <cell r="B12540" t="str">
            <v>51-150-06-09</v>
          </cell>
          <cell r="C12540" t="str">
            <v>TI-FRAKTURPLATTE, 2,3, 6-LOCH, GEWINKELT</v>
          </cell>
          <cell r="D12540" t="str">
            <v>TI-FRACTURE PLATE, 2.3, 6-HOLES,  ANGLED</v>
          </cell>
        </row>
        <row r="12541">
          <cell r="B12541" t="str">
            <v>51-150-06-71</v>
          </cell>
          <cell r="C12541" t="str">
            <v>TI-FRAKTURPLATTE, 2,3, 6-LOCH, GEWINKELT</v>
          </cell>
          <cell r="D12541" t="str">
            <v>TI-FRACTURE PLATE, 2.3, 6-HOLES,  ANGLED</v>
          </cell>
        </row>
        <row r="12542">
          <cell r="B12542" t="str">
            <v>51-150-06-91</v>
          </cell>
          <cell r="C12542" t="str">
            <v>TI-FRAKTURPLATTE, 2,3, 6-LOCH, GEWINKELT</v>
          </cell>
          <cell r="D12542" t="str">
            <v>TI-FRACTURE PLATE, 2.3, 6-HOLES,  ANGLED</v>
          </cell>
        </row>
        <row r="12543">
          <cell r="B12543" t="str">
            <v>51-150-08-09</v>
          </cell>
          <cell r="C12543" t="str">
            <v>TI-FRAKTURPLATTE, 2,3, 8-LOCH, GEWINKELT</v>
          </cell>
          <cell r="D12543" t="str">
            <v>TI-FRACTURE PLATE, 2.3, 8-HOLES,  ANGLED</v>
          </cell>
        </row>
        <row r="12544">
          <cell r="B12544" t="str">
            <v>51-150-08-71</v>
          </cell>
          <cell r="C12544" t="str">
            <v>TI-FRAKTURPLATTE, 2,3, 8-LOCH, GEWINKELT</v>
          </cell>
          <cell r="D12544" t="str">
            <v>TI-FRACTURE PLATE, 2.3, 8-HOLES,  ANGLED</v>
          </cell>
        </row>
        <row r="12545">
          <cell r="B12545" t="str">
            <v>51-150-08-91</v>
          </cell>
          <cell r="C12545" t="str">
            <v>TI-FRAKTURPLATTE, 2,3, 8-LOCH, GEWINKELT</v>
          </cell>
          <cell r="D12545" t="str">
            <v>TI-FRACTURE PLATE, 2.3, 8-HOLES,  ANGLED</v>
          </cell>
        </row>
        <row r="12546">
          <cell r="B12546" t="str">
            <v>51-210-17-09</v>
          </cell>
          <cell r="C12546" t="str">
            <v>SMART SHAPE PL 2,3,17-LOCH,RAMUS,RE,OBEN</v>
          </cell>
          <cell r="D12546" t="str">
            <v>SMART SHAPE PL 2.3, 17-H,RAMUS,RI, UPPER</v>
          </cell>
        </row>
        <row r="12547">
          <cell r="B12547" t="str">
            <v>51-210-17-71</v>
          </cell>
          <cell r="C12547" t="str">
            <v>SMART SHAPE PL 2,3,17-LOCH,RAMUS,RE,OBEN</v>
          </cell>
          <cell r="D12547" t="str">
            <v>SMART SHAPE PL 2.3, 17-H,RAMUS,RI, UPPER</v>
          </cell>
        </row>
        <row r="12548">
          <cell r="B12548" t="str">
            <v>51-210-19-09</v>
          </cell>
          <cell r="C12548" t="str">
            <v>SMART SHAPE PL 2,3,19-LOCH,RAMUS,RE,UNTE</v>
          </cell>
          <cell r="D12548" t="str">
            <v>SMART SHAPE PL 2.3, 19-H,RAMUS,RI, LOWER</v>
          </cell>
        </row>
        <row r="12549">
          <cell r="B12549" t="str">
            <v>51-210-19-71</v>
          </cell>
          <cell r="C12549" t="str">
            <v>SMART SHAPE PL 2,3,19-LOCH,RAMUS,RE,UNTE</v>
          </cell>
          <cell r="D12549" t="str">
            <v>SMART SHAPE PL 2.3, 19-H,RAMUS,RI, LOWER</v>
          </cell>
        </row>
        <row r="12550">
          <cell r="B12550" t="str">
            <v>51-211-17-09</v>
          </cell>
          <cell r="C12550" t="str">
            <v>SMART SHAPE PL 2,3,17-LOCH,RAMUS,LI,OBEN</v>
          </cell>
          <cell r="D12550" t="str">
            <v>SMART SHAPE PL 2.3, 17-H,RAMUS,LE, UPPER</v>
          </cell>
        </row>
        <row r="12551">
          <cell r="B12551" t="str">
            <v>51-211-17-71</v>
          </cell>
          <cell r="C12551" t="str">
            <v>SMART SHAPE PL 2,3,17-LOCH,RAMUS,LI,OBEN</v>
          </cell>
          <cell r="D12551" t="str">
            <v>SMART SHAPE PL 2.3, 17-H,RAMUS,LE, UPPER</v>
          </cell>
        </row>
        <row r="12552">
          <cell r="B12552" t="str">
            <v>51-211-19-09</v>
          </cell>
          <cell r="C12552" t="str">
            <v>SMART SHAPE PL 2,3,19-LOCH,RAMUS,LI,UNTE</v>
          </cell>
          <cell r="D12552" t="str">
            <v>SMART SHAPE PL 2.3, 19-H,RAMUS,LE, LOWER</v>
          </cell>
        </row>
        <row r="12553">
          <cell r="B12553" t="str">
            <v>51-211-19-71</v>
          </cell>
          <cell r="C12553" t="str">
            <v>SMART SHAPE PL 2,3,19-LOCH,RAMUS,LI,UNTE</v>
          </cell>
          <cell r="D12553" t="str">
            <v>SMART SHAPE PL 2.3, 19-H,RAMUS,LE, LOWER</v>
          </cell>
        </row>
        <row r="12554">
          <cell r="B12554" t="str">
            <v>51-212-17-09</v>
          </cell>
          <cell r="C12554" t="str">
            <v>SMART SHAPE PL 2,3, 17-LOCH,SYMPH.,OBEN</v>
          </cell>
          <cell r="D12554" t="str">
            <v>SMART SHAPE PL 2.3,17-HOLES,SYMPH.,UPPER</v>
          </cell>
        </row>
        <row r="12555">
          <cell r="B12555" t="str">
            <v>51-212-17-71</v>
          </cell>
          <cell r="C12555" t="str">
            <v>SMART SHAPE PL 2,3, 17-LOCH,SYMPH.,OBEN</v>
          </cell>
          <cell r="D12555" t="str">
            <v>SMART SHAPE PL 2.3,17-HOLES,SYMPH.,UPPER</v>
          </cell>
        </row>
        <row r="12556">
          <cell r="B12556" t="str">
            <v>51-212-18-09</v>
          </cell>
          <cell r="C12556" t="str">
            <v>SMART SHAPE PL 2,3, 18-LOCH,SYMPH.,UNTEN</v>
          </cell>
          <cell r="D12556" t="str">
            <v>SMART SHAPE PL 2.3,18-HOLES,SYMPH.,LOWER</v>
          </cell>
        </row>
        <row r="12557">
          <cell r="B12557" t="str">
            <v>51-212-18-71</v>
          </cell>
          <cell r="C12557" t="str">
            <v>SMART SHAPE PL 2,3, 18-LOCH,SYMPH.,UNTEN</v>
          </cell>
          <cell r="D12557" t="str">
            <v>SMART SHAPE PL 2.3,18-HOLES,SYMPH.,LOWER</v>
          </cell>
        </row>
        <row r="12558">
          <cell r="B12558" t="str">
            <v>51-213-27-09</v>
          </cell>
          <cell r="C12558" t="str">
            <v>SMART SHAPE PL 2,3, 27-LOCH,LANG, GERADE</v>
          </cell>
          <cell r="D12558" t="str">
            <v>SMART SHAPE PL 2.3, 27-HOLES,  LONG, STR.</v>
          </cell>
        </row>
        <row r="12559">
          <cell r="B12559" t="str">
            <v>51-213-27-71</v>
          </cell>
          <cell r="C12559" t="str">
            <v>SMART SHAPE PL 2,3, 27-LOCH,LANG, GERADE</v>
          </cell>
          <cell r="D12559" t="str">
            <v>SMART SHAPE PL 2.3, 27-HOLES,  LONG, STR.</v>
          </cell>
        </row>
        <row r="12560">
          <cell r="B12560" t="str">
            <v>51-300-20-09</v>
          </cell>
          <cell r="C12560" t="str">
            <v>WOOD ZÜRICH INTRAOR.DIST.20X20MM,LINKS</v>
          </cell>
          <cell r="D12560" t="str">
            <v>WOOD ZÜRICH INTRAOR.DIST.20X20MM, LEFT</v>
          </cell>
        </row>
        <row r="12561">
          <cell r="B12561" t="str">
            <v>51-301-20-09</v>
          </cell>
          <cell r="C12561" t="str">
            <v>WOOD ZÜRICH INTRAOR.DIST.20X20MM,RECHTS</v>
          </cell>
          <cell r="D12561" t="str">
            <v>WOOD ZÜRICH INTRAOR.DIST.20X20MM,RIGHT</v>
          </cell>
        </row>
        <row r="12562">
          <cell r="B12562" t="str">
            <v>51-310-20-09</v>
          </cell>
          <cell r="C12562" t="str">
            <v>ZUERICH  II DISTR.MIT-AKT.LINKS,15X20MM</v>
          </cell>
          <cell r="D12562" t="str">
            <v>ZURICH II DISTR.MIDDLEDR.LEFT,15X20MM</v>
          </cell>
        </row>
        <row r="12563">
          <cell r="B12563" t="str">
            <v>51-311-20-09</v>
          </cell>
          <cell r="C12563" t="str">
            <v>ZUERICH  II DISTR.MIT-AKT.RECHTS,15X20MM</v>
          </cell>
          <cell r="D12563" t="str">
            <v>ZURICH II DISTR.MIDDLEDR.RIGHT,15X20MM</v>
          </cell>
        </row>
        <row r="12564">
          <cell r="B12564" t="str">
            <v>51-350-20-09</v>
          </cell>
          <cell r="C12564" t="str">
            <v>TELESKOPDISTRAKTOR MANDIBULA 20 MM</v>
          </cell>
          <cell r="D12564" t="str">
            <v>TELESCOPIC MANDIBULAR DISTRACTOR 20 MM</v>
          </cell>
        </row>
        <row r="12565">
          <cell r="B12565" t="str">
            <v>51-350-30-09</v>
          </cell>
          <cell r="C12565" t="str">
            <v>TELESKOPDISTRAKTOR MANDIBULA 30 MM</v>
          </cell>
          <cell r="D12565" t="str">
            <v>TELESCOPIC MANDIBULAR DISTRACTOR 30 MM</v>
          </cell>
        </row>
        <row r="12566">
          <cell r="B12566" t="str">
            <v>51-360-30-09</v>
          </cell>
          <cell r="C12566" t="str">
            <v>TELESKOPDISTRAKTOR MAXILLA  30 MM LINKS</v>
          </cell>
          <cell r="D12566" t="str">
            <v>TELESCOPIC MAXIL.DISTRACTOR 30 MM LEFT</v>
          </cell>
        </row>
        <row r="12567">
          <cell r="B12567" t="str">
            <v>51-361-30-09</v>
          </cell>
          <cell r="C12567" t="str">
            <v>TELESKOPDISTRAKTOR MAXILLA  30 MM RECHTS</v>
          </cell>
          <cell r="D12567" t="str">
            <v>TELESCOPIC MAXIL.DISTRACTOR 30 MM RIGHT</v>
          </cell>
        </row>
        <row r="12568">
          <cell r="B12568" t="str">
            <v>51-400-01-07</v>
          </cell>
          <cell r="C12568" t="str">
            <v>PINZETTE  ZUR TRENNUNG D.AKTIVATIONSARMS</v>
          </cell>
          <cell r="D12568" t="str">
            <v>ACTIVATION ARM DISCONNECTION FORCEPS</v>
          </cell>
        </row>
        <row r="12569">
          <cell r="B12569" t="str">
            <v>51-400-02-07</v>
          </cell>
          <cell r="C12569" t="str">
            <v>PLATTENSCHNEIDER</v>
          </cell>
          <cell r="D12569" t="str">
            <v>PLATE CUTTER</v>
          </cell>
        </row>
        <row r="12570">
          <cell r="B12570" t="str">
            <v>51-400-03-07</v>
          </cell>
          <cell r="C12570" t="str">
            <v>DISTRAKTOR-HALTEINSTRUMENT</v>
          </cell>
          <cell r="D12570" t="str">
            <v>DISTRACTOR BODY HOLDING  INSTRUMENT</v>
          </cell>
        </row>
        <row r="12571">
          <cell r="B12571" t="str">
            <v>51-400-04-07</v>
          </cell>
          <cell r="C12571" t="str">
            <v>AKTIVATOR-MESSLEHRE</v>
          </cell>
          <cell r="D12571" t="str">
            <v>ACTIVATOR MEASURING DEVICE</v>
          </cell>
        </row>
        <row r="12572">
          <cell r="B12572" t="str">
            <v>51-400-05-09</v>
          </cell>
          <cell r="C12572" t="str">
            <v>POSITIONIERER F. ZUERICH  II DISTR.</v>
          </cell>
          <cell r="D12572" t="str">
            <v>ALIGNMENT ROD F. ZUERICH  II DISTR.</v>
          </cell>
        </row>
        <row r="12573">
          <cell r="B12573" t="str">
            <v>51-400-30-09</v>
          </cell>
          <cell r="C12573" t="str">
            <v>FLEX.AKTIVATIONSARM INKL.KARDANIK, 30 MM</v>
          </cell>
          <cell r="D12573" t="str">
            <v>FLEX.ACTIVATION ARM INCL.CARDANIC, 30 MM</v>
          </cell>
        </row>
        <row r="12574">
          <cell r="B12574" t="str">
            <v>51-400-40-09</v>
          </cell>
          <cell r="C12574" t="str">
            <v>FLEX.AKTIVATIONSARM INKL.KARDANIK, 40 MM</v>
          </cell>
          <cell r="D12574" t="str">
            <v>FLEX.ACTIVATION ARM INCL.CARDANIC, 40 MM</v>
          </cell>
        </row>
        <row r="12575">
          <cell r="B12575" t="str">
            <v>51-400-50-09</v>
          </cell>
          <cell r="C12575" t="str">
            <v>FLEX.AKTIVATIONSARM INKL.KARDANIK, 50 MM</v>
          </cell>
          <cell r="D12575" t="str">
            <v>FLEX.ACTIVATION ARM INCL.CARDANIC, 50 MM</v>
          </cell>
        </row>
        <row r="12576">
          <cell r="B12576" t="str">
            <v>51-401-25-09</v>
          </cell>
          <cell r="C12576" t="str">
            <v>STAR.AKTIVATIONSARM INKL.KARDANIK, 25 MM</v>
          </cell>
          <cell r="D12576" t="str">
            <v>STAR.ACTIVATION ARM INCL.CARDANIC, 25 MM</v>
          </cell>
        </row>
        <row r="12577">
          <cell r="B12577" t="str">
            <v>51-401-35-09</v>
          </cell>
          <cell r="C12577" t="str">
            <v>STAR.AKTIVATIONSARM INKL.KARDANIK, 35 MM</v>
          </cell>
          <cell r="D12577" t="str">
            <v>STAR.ACTIVATION ARM INCL.CARDANIC, 35 MM</v>
          </cell>
        </row>
        <row r="12578">
          <cell r="B12578" t="str">
            <v>51-401-45-09</v>
          </cell>
          <cell r="C12578" t="str">
            <v>STAR.AKTIVATIONSARM INKL.KARDANIK, 45 MM</v>
          </cell>
          <cell r="D12578" t="str">
            <v>STAR.ACTIVATION ARM INCL.CARDANIC, 45 MM</v>
          </cell>
        </row>
        <row r="12579">
          <cell r="B12579" t="str">
            <v>51-401-50-09</v>
          </cell>
          <cell r="C12579" t="str">
            <v>STAR.ABCLIB.AKTIV.ARM INKL.  KARD. 50 MM</v>
          </cell>
          <cell r="D12579" t="str">
            <v>RIGID CLIPABLE  ACTIV.ARM INCL.CARD. 50MM</v>
          </cell>
        </row>
        <row r="12580">
          <cell r="B12580" t="str">
            <v>51-401-90-09</v>
          </cell>
          <cell r="C12580" t="str">
            <v>DIREKTAKTIVATOR</v>
          </cell>
          <cell r="D12580" t="str">
            <v>DIRECT DRIVE ACTIVATOR</v>
          </cell>
        </row>
        <row r="12581">
          <cell r="B12581" t="str">
            <v>51-401-91-09</v>
          </cell>
          <cell r="C12581" t="str">
            <v>EINZELNE  VERLAENG.-KARDANIK F. AKT.ARM</v>
          </cell>
          <cell r="D12581" t="str">
            <v>SINGLE CARDANIC  EXTENSION FOR ACTIV.ARM</v>
          </cell>
        </row>
        <row r="12582">
          <cell r="B12582" t="str">
            <v>51-401-92-09</v>
          </cell>
          <cell r="C12582" t="str">
            <v>STARRE VERLAENGERUNG 20MM F.AKTIV.-ARM</v>
          </cell>
          <cell r="D12582" t="str">
            <v>RIGID EXTENSION 20MM FOR ACTIVATION ARM</v>
          </cell>
        </row>
        <row r="12583">
          <cell r="B12583" t="str">
            <v>51-401-93-09</v>
          </cell>
          <cell r="C12583" t="str">
            <v>TROKARSPITZE FUER AKTIVATIONSARM</v>
          </cell>
          <cell r="D12583" t="str">
            <v>TROCAR TIP FOR ACTIVATION ARM</v>
          </cell>
        </row>
        <row r="12584">
          <cell r="B12584" t="str">
            <v>51-402-30-09</v>
          </cell>
          <cell r="C12584" t="str">
            <v>KAWAMOTO MITTELGESICHTSDISTRAKTOR,30MM</v>
          </cell>
          <cell r="D12584" t="str">
            <v>KAWAMOTO MIDFACE  DISTRACTOR, 30MM</v>
          </cell>
        </row>
        <row r="12585">
          <cell r="B12585" t="str">
            <v>51-403-30-09</v>
          </cell>
          <cell r="C12585" t="str">
            <v>KAWAMOTO MITTELGESICHTSDIST. GEBOG.,30MM</v>
          </cell>
          <cell r="D12585" t="str">
            <v>KAWAMOTO MIDFACE  DISTRACTOR,CURVED,30MM</v>
          </cell>
        </row>
        <row r="12586">
          <cell r="B12586" t="str">
            <v>51-405-42-09</v>
          </cell>
          <cell r="C12586" t="str">
            <v>Cranialdistraktor, kleine Spindel, 30 mm</v>
          </cell>
          <cell r="D12586" t="str">
            <v>Cranial Vault Distractor,  small, 30 mm</v>
          </cell>
        </row>
        <row r="12587">
          <cell r="B12587" t="str">
            <v>51-410-33-09</v>
          </cell>
          <cell r="C12587" t="str">
            <v>RIGIDER FERNAUSLÖSBARER AKTIVATOR, 33MM</v>
          </cell>
          <cell r="D12587" t="str">
            <v>RIGID REMOTE-RELEASE ACTIVATOR, 33MM</v>
          </cell>
        </row>
        <row r="12588">
          <cell r="B12588" t="str">
            <v>51-410-43-09</v>
          </cell>
          <cell r="C12588" t="str">
            <v>RIGIDER FERNAUSLÖSBARER AKTIVATOR, 43MM</v>
          </cell>
          <cell r="D12588" t="str">
            <v>RIGID REMOTE-RELEASE ACTIVATOR, 43MM</v>
          </cell>
        </row>
        <row r="12589">
          <cell r="B12589" t="str">
            <v>51-410-53-09</v>
          </cell>
          <cell r="C12589" t="str">
            <v>RIGIDER FERNAUSLÖSBARER AKTIVATOR, 53MM</v>
          </cell>
          <cell r="D12589" t="str">
            <v>RIGID REMOTE-RELEASE ACTIVATOR, 53MM</v>
          </cell>
        </row>
        <row r="12590">
          <cell r="B12590" t="str">
            <v>51-411-33-09</v>
          </cell>
          <cell r="C12590" t="str">
            <v>FLEX. FERNAUSLÖSBARER AKTIVATOR, 33MM</v>
          </cell>
          <cell r="D12590" t="str">
            <v>FLEXIBLE  REMOTE-RELEASE ACTIVATOR, 33MM</v>
          </cell>
        </row>
        <row r="12591">
          <cell r="B12591" t="str">
            <v>51-415-15-09</v>
          </cell>
          <cell r="C12591" t="str">
            <v>ZUERICH  II DISTR,MANDIB.MIT-AKTIV, 15 MM</v>
          </cell>
          <cell r="D12591" t="str">
            <v>ZURICH II DISTR,MANDIB.MIDDLEDRIVEN,15MM</v>
          </cell>
        </row>
        <row r="12592">
          <cell r="B12592" t="str">
            <v>51-415-20-09</v>
          </cell>
          <cell r="C12592" t="str">
            <v>ZUERICH  II DISTR,MANDIB.MIT-AKTIV, 20MM</v>
          </cell>
          <cell r="D12592" t="str">
            <v>ZURICH II DISTR,MANDIB.MIDDLEDRIVEN,20MM</v>
          </cell>
        </row>
        <row r="12593">
          <cell r="B12593" t="str">
            <v>51-415-25-09</v>
          </cell>
          <cell r="C12593" t="str">
            <v>ZUERICH  II DISTR,MANDIB.MIT-AKTIV, 25MM</v>
          </cell>
          <cell r="D12593" t="str">
            <v>ZURICH II DISTR,MANDIB.MIDDLEDRIVEN,25MM</v>
          </cell>
        </row>
        <row r="12594">
          <cell r="B12594" t="str">
            <v>51-415-30-09</v>
          </cell>
          <cell r="C12594" t="str">
            <v>ZUERICH  II DISTR,MANDIB.MIT-AKTIV, 30MM</v>
          </cell>
          <cell r="D12594" t="str">
            <v>ZURICH II DISTR,MANDIB.MIDDLEDRIVEN,30MM</v>
          </cell>
        </row>
        <row r="12595">
          <cell r="B12595" t="str">
            <v>51-416-15-09</v>
          </cell>
          <cell r="C12595" t="str">
            <v>ZUERICH  II DISTR,MANDIB.END-AKTIV, 15 MM</v>
          </cell>
          <cell r="D12595" t="str">
            <v>ZURICH II DISTR,MANDIB.END-DRIVEN, 15MM</v>
          </cell>
        </row>
        <row r="12596">
          <cell r="B12596" t="str">
            <v>51-416-20-09</v>
          </cell>
          <cell r="C12596" t="str">
            <v>ZUERICH  II DISTR,MANDIB.END-AKTIV, 20 MM</v>
          </cell>
          <cell r="D12596" t="str">
            <v>ZURICH II DISTR,MANDIB.END-DRIVEN, 20MM</v>
          </cell>
        </row>
        <row r="12597">
          <cell r="B12597" t="str">
            <v>51-416-25-09</v>
          </cell>
          <cell r="C12597" t="str">
            <v>ZUERICH  II DISTR,MANDIB.END-AKTIV, 25 MM</v>
          </cell>
          <cell r="D12597" t="str">
            <v>ZURICH II DISTR,MANDIB.END-DRIVEN, 25MM</v>
          </cell>
        </row>
        <row r="12598">
          <cell r="B12598" t="str">
            <v>51-416-30-09</v>
          </cell>
          <cell r="C12598" t="str">
            <v>ZUERICH  II DIST,MANDIB.END-AKTIV,30MM</v>
          </cell>
          <cell r="D12598" t="str">
            <v>ZURICH II DIST,MANDIB.END-DRIVEN,30MM</v>
          </cell>
        </row>
        <row r="12599">
          <cell r="B12599" t="str">
            <v>51-421-20-09</v>
          </cell>
          <cell r="C12599" t="str">
            <v>RAMUS TRANSPORT DISTR.END-AKT.20MM</v>
          </cell>
          <cell r="D12599" t="str">
            <v>RAMUS TRANSPORT DIST.END-DR.20MM</v>
          </cell>
        </row>
        <row r="12600">
          <cell r="B12600" t="str">
            <v>51-421-25-09</v>
          </cell>
          <cell r="C12600" t="str">
            <v>RAMUS TRANSPORT DISTR.END-AKT.25MM</v>
          </cell>
          <cell r="D12600" t="str">
            <v>RAMUS TRANSPORT DIST.END-DR.25MM</v>
          </cell>
        </row>
        <row r="12601">
          <cell r="B12601" t="str">
            <v>51-421-30-09</v>
          </cell>
          <cell r="C12601" t="str">
            <v>RAMUS TRANSPORT DISTR.END-AKT.30MM</v>
          </cell>
          <cell r="D12601" t="str">
            <v>RAMUS TRANSPORT DIST.END-DR.30MM</v>
          </cell>
        </row>
        <row r="12602">
          <cell r="B12602" t="str">
            <v>51-422-12-09</v>
          </cell>
          <cell r="C12602" t="str">
            <v>RETENTIONSPLATTE F. RAMUS TRANSP. DIST</v>
          </cell>
          <cell r="D12602" t="str">
            <v>RETENTION PLATE F. RAMUS TRASPORT  DIST.</v>
          </cell>
        </row>
        <row r="12603">
          <cell r="B12603" t="str">
            <v>51-423-95-07</v>
          </cell>
          <cell r="C12603" t="str">
            <v>PATIENTENSCHRAUBENDR., 0,6MM, SILBE, GER</v>
          </cell>
          <cell r="D12603" t="str">
            <v>PATEINT SCREWDRIVER,0.6MM,SILVER,STR.</v>
          </cell>
        </row>
        <row r="12604">
          <cell r="B12604" t="str">
            <v>51-424-15-09</v>
          </cell>
          <cell r="C12604" t="str">
            <v>MIC-ZUERICH II DIST,END-AKT,RATSCHE,15MM</v>
          </cell>
          <cell r="D12604" t="str">
            <v>MIC-ZURICH II DIST,END-DR,RATSCHET,15MM</v>
          </cell>
        </row>
        <row r="12605">
          <cell r="B12605" t="str">
            <v>51-424-20-09</v>
          </cell>
          <cell r="C12605" t="str">
            <v>MICRO-ZUERICH II DIST.END-AKT.RAT.20MM</v>
          </cell>
          <cell r="D12605" t="str">
            <v>MICRO-ZURICH II DISTR.END-DR.RATCH.20MM</v>
          </cell>
        </row>
        <row r="12606">
          <cell r="B12606" t="str">
            <v>51-424-25-09</v>
          </cell>
          <cell r="C12606" t="str">
            <v>MICRO-ZUERICH II DIST.END-AKT.RAT.25MM</v>
          </cell>
          <cell r="D12606" t="str">
            <v>MICRO-ZURICH II DISTR.END-DR.RATCH.25MM</v>
          </cell>
        </row>
        <row r="12607">
          <cell r="B12607" t="str">
            <v>51-424-30-09</v>
          </cell>
          <cell r="C12607" t="str">
            <v>MICRO-ZUERICH II DIST.END-AKT.RAT.30MM</v>
          </cell>
          <cell r="D12607" t="str">
            <v>MICRO-ZURICH II DISTR.END-DR.RATCH.30MM</v>
          </cell>
        </row>
        <row r="12608">
          <cell r="B12608" t="str">
            <v>51-425-15-09</v>
          </cell>
          <cell r="C12608" t="str">
            <v>ZUERICH  II DISTR,MIT-AKTIV,RATSCHE,15MM</v>
          </cell>
          <cell r="D12608" t="str">
            <v>ZURICH II DISTR,MIDDLEDR,RATCHET,15MM</v>
          </cell>
        </row>
        <row r="12609">
          <cell r="B12609" t="str">
            <v>51-425-20-09</v>
          </cell>
          <cell r="C12609" t="str">
            <v>ZUERICH  II DISTR,MIT-AKTIV,RATSCHE,20MM</v>
          </cell>
          <cell r="D12609" t="str">
            <v>ZURICH II DISTR,MIDDLEDR,RATCHET,20MM</v>
          </cell>
        </row>
        <row r="12610">
          <cell r="B12610" t="str">
            <v>51-425-25-09</v>
          </cell>
          <cell r="C12610" t="str">
            <v>ZUERICH  II DISTR,MIT-AKTIV,RATSCHE,25MM</v>
          </cell>
          <cell r="D12610" t="str">
            <v>ZURICH II DISTR,MIDDLED,RATCHET,25MM</v>
          </cell>
        </row>
        <row r="12611">
          <cell r="B12611" t="str">
            <v>51-425-30-09</v>
          </cell>
          <cell r="C12611" t="str">
            <v>ZUERICH  II DISTR,MIT-AKT,RATSCHE,30MM</v>
          </cell>
          <cell r="D12611" t="str">
            <v>ZURICH II DISTR,MIDDLEDR,RATCHET,30MM</v>
          </cell>
        </row>
        <row r="12612">
          <cell r="B12612" t="str">
            <v>51-426-15-09</v>
          </cell>
          <cell r="C12612" t="str">
            <v>ZUERICH  II DISTR,END-AKT,RATSCHE,15MM</v>
          </cell>
          <cell r="D12612" t="str">
            <v>ZURICH II DISTR,END-DR,RATCHET,15MM</v>
          </cell>
        </row>
        <row r="12613">
          <cell r="B12613" t="str">
            <v>51-426-20-09</v>
          </cell>
          <cell r="C12613" t="str">
            <v>ZUERICH  II DISTR,END-AKT,RATSCHE,20MM</v>
          </cell>
          <cell r="D12613" t="str">
            <v>ZURICH II DISTR,END-DR,RATCHET,20MM</v>
          </cell>
        </row>
        <row r="12614">
          <cell r="B12614" t="str">
            <v>51-426-25-09</v>
          </cell>
          <cell r="C12614" t="str">
            <v>ZUERICH  II DISTR,END-AKT,RATSCHE,25MM</v>
          </cell>
          <cell r="D12614" t="str">
            <v>ZURICH II DISTR,END-DR,RATCHET,25MM</v>
          </cell>
        </row>
        <row r="12615">
          <cell r="B12615" t="str">
            <v>51-426-30-09</v>
          </cell>
          <cell r="C12615" t="str">
            <v>ZUERICH  II DISTR,END-AKT,RATSCHE,30MM</v>
          </cell>
          <cell r="D12615" t="str">
            <v>ZURICH II DISTR,END-DR,RATCHET,30MM</v>
          </cell>
        </row>
        <row r="12616">
          <cell r="B12616" t="str">
            <v>51-428-15-09</v>
          </cell>
          <cell r="C12616" t="str">
            <v>MICRO-ZUER.II 1.0 DIST.END-AKT.RAT.15MM</v>
          </cell>
          <cell r="D12616" t="str">
            <v>MICRO-ZUR.II 1.0 DISTR.END-DR.RATCH.15MM</v>
          </cell>
        </row>
        <row r="12617">
          <cell r="B12617" t="str">
            <v>51-428-20-09</v>
          </cell>
          <cell r="C12617" t="str">
            <v>MICRO-ZUER.II 1.0 DIST.END-AKT.RAT.20MM</v>
          </cell>
          <cell r="D12617" t="str">
            <v>MICRO-ZUR.II 1.0 DISTR.END-DR.RATCH.20MM</v>
          </cell>
        </row>
        <row r="12618">
          <cell r="B12618" t="str">
            <v>51-428-25-09</v>
          </cell>
          <cell r="C12618" t="str">
            <v>MICRO-ZUER.II 1.0 DIST.END-AKT.RAT.25MM</v>
          </cell>
          <cell r="D12618" t="str">
            <v>MICRO-ZUR.II 1.0 DISTR.END-DR.RATCH.25MM</v>
          </cell>
        </row>
        <row r="12619">
          <cell r="B12619" t="str">
            <v>51-428-30-09</v>
          </cell>
          <cell r="C12619" t="str">
            <v>MICRO-ZUER.II 1.0 DIST.END-AKT.RAT.30MM</v>
          </cell>
          <cell r="D12619" t="str">
            <v>MICRO-ZUR.II 1.0 DISTR.EN-DR.RATCH.30MM</v>
          </cell>
        </row>
        <row r="12620">
          <cell r="B12620" t="str">
            <v>51-430-95-07</v>
          </cell>
          <cell r="C12620" t="str">
            <v>PATIENTENSCHRAUBENDREHER,0,3MM,BLAU,GER</v>
          </cell>
          <cell r="D12620" t="str">
            <v>PATEINT SCREWDRIVER,0.3MM,BLUE,STRAIGHT</v>
          </cell>
        </row>
        <row r="12621">
          <cell r="B12621" t="str">
            <v>51-441-00-07</v>
          </cell>
          <cell r="C12621" t="str">
            <v>PLATTENHALTEZANGE, ZÜRICH II MODULAR</v>
          </cell>
          <cell r="D12621" t="str">
            <v>PLATE HOLDING  FORCEPS,  ZURICH II MODULAR</v>
          </cell>
        </row>
        <row r="12622">
          <cell r="B12622" t="str">
            <v>51-500-10-09</v>
          </cell>
          <cell r="C12622" t="str">
            <v>UNI-DIRECTIONAL DISTRACTOR 10MM</v>
          </cell>
          <cell r="D12622" t="str">
            <v>UNI-DIRECTIONAL DISTRACTOR 10 MM</v>
          </cell>
        </row>
        <row r="12623">
          <cell r="B12623" t="str">
            <v>51-500-15-09</v>
          </cell>
          <cell r="C12623" t="str">
            <v>UNI-DIRECTIONAL DISTRACTOR 15MM</v>
          </cell>
          <cell r="D12623" t="str">
            <v>UNI-DIRECTIONAL DISTRACTOR 15 MM</v>
          </cell>
        </row>
        <row r="12624">
          <cell r="B12624" t="str">
            <v>51-500-20-09</v>
          </cell>
          <cell r="C12624" t="str">
            <v>UNI-DIRECTIONAL DISTRACTOR 20MM</v>
          </cell>
          <cell r="D12624" t="str">
            <v>UNI-DIRECTIONAL DISTRACTOR 20 MM</v>
          </cell>
        </row>
        <row r="12625">
          <cell r="B12625" t="str">
            <v>51-500-90-07</v>
          </cell>
          <cell r="C12625" t="str">
            <v>VERSTELLSCHLUESSEL ZU 51-500-XX</v>
          </cell>
          <cell r="D12625" t="str">
            <v>SCREWDRIVER FOR 51-500-XX</v>
          </cell>
        </row>
        <row r="12626">
          <cell r="B12626" t="str">
            <v>51-500-91-07</v>
          </cell>
          <cell r="C12626" t="str">
            <v>PATIENT.SCHR.DREHER.F. 90° DIST. GELB</v>
          </cell>
          <cell r="D12626" t="str">
            <v>PATIENT SCREWDRIVER F. 90°DIST YELLOW</v>
          </cell>
        </row>
        <row r="12627">
          <cell r="B12627" t="str">
            <v>51-505-90-07</v>
          </cell>
          <cell r="C12627" t="str">
            <v>SCHRAUBENDREHER, KARDANISCH</v>
          </cell>
          <cell r="D12627" t="str">
            <v>SCREWDRIVER, KARDANIC</v>
          </cell>
        </row>
        <row r="12628">
          <cell r="B12628" t="str">
            <v>51-505-91-04</v>
          </cell>
          <cell r="C12628" t="str">
            <v>AKTIVATOR-KLINGE TRACK 1.5 F/25-402-99</v>
          </cell>
          <cell r="D12628" t="str">
            <v>ACTIVATION-BLADE TRACK 1.5 F/25-402-99</v>
          </cell>
        </row>
        <row r="12629">
          <cell r="B12629" t="str">
            <v>51-508-15-09</v>
          </cell>
          <cell r="C12629" t="str">
            <v>BOLOGNA  MIDLINE DISTRAKTOR 15 MM</v>
          </cell>
          <cell r="D12629" t="str">
            <v>BOLOGNA  MIDLINE DISTRACTOR 15 MM</v>
          </cell>
        </row>
        <row r="12630">
          <cell r="B12630" t="str">
            <v>51-509-15-09</v>
          </cell>
          <cell r="C12630" t="str">
            <v>ROTTERDAM MIDLINE DISTRAKTOR 15 MM</v>
          </cell>
          <cell r="D12630" t="str">
            <v>ROTTERDAM MIDLINE DISTRACTOR 15 MM</v>
          </cell>
        </row>
        <row r="12631">
          <cell r="B12631" t="str">
            <v>51-509-90-07</v>
          </cell>
          <cell r="C12631" t="str">
            <v>AKTIVATIONS DRAHT F.SYMPHYSEN DISTRAKTOR</v>
          </cell>
          <cell r="D12631" t="str">
            <v>ACTIVATION WIRE F. SYMPH. DISTRACTOR</v>
          </cell>
        </row>
        <row r="12632">
          <cell r="B12632" t="str">
            <v>51-510-15-09</v>
          </cell>
          <cell r="C12632" t="str">
            <v>RAMUS DISTRACTOR 15MM</v>
          </cell>
          <cell r="D12632" t="str">
            <v>RAMUS DISTRACTOR 15 MM</v>
          </cell>
        </row>
        <row r="12633">
          <cell r="B12633" t="str">
            <v>51-510-20-09</v>
          </cell>
          <cell r="C12633" t="str">
            <v>RAMUS DISTRACTOR 20MM</v>
          </cell>
          <cell r="D12633" t="str">
            <v>RAMUS DISTRACTOR 20 MM</v>
          </cell>
        </row>
        <row r="12634">
          <cell r="B12634" t="str">
            <v>51-510-25-09</v>
          </cell>
          <cell r="C12634" t="str">
            <v>RAMUS DISTRACTOR 25MM</v>
          </cell>
          <cell r="D12634" t="str">
            <v>RAMUS DISTRACTOR 25 MM</v>
          </cell>
        </row>
        <row r="12635">
          <cell r="B12635" t="str">
            <v>51-511-15-09</v>
          </cell>
          <cell r="C12635" t="str">
            <v>ZUERICH  RAMUS DISTRAKT.15MM LI.KLEEBLATT</v>
          </cell>
          <cell r="D12635" t="str">
            <v>ZUERICH  RAMUS DISTR.,15MM LEFT, TREFOIL</v>
          </cell>
        </row>
        <row r="12636">
          <cell r="B12636" t="str">
            <v>51-511-20-09</v>
          </cell>
          <cell r="C12636" t="str">
            <v>ZUERICH  RAMUS DISTRAKT.20MM LI.KLEEBLATT</v>
          </cell>
          <cell r="D12636" t="str">
            <v>ZUERICH  RAMUS DISTRACT.20MM LE.</v>
          </cell>
        </row>
        <row r="12637">
          <cell r="B12637" t="str">
            <v>51-511-25-09</v>
          </cell>
          <cell r="C12637" t="str">
            <v>ZUERICH  RAMUS DISTRAKT.25MM LI.KLEEBLATT</v>
          </cell>
          <cell r="D12637" t="str">
            <v>ZUERICH  RAMUS DISTRACT.25MM LE.</v>
          </cell>
        </row>
        <row r="12638">
          <cell r="B12638" t="str">
            <v>51-512-90-07</v>
          </cell>
          <cell r="C12638" t="str">
            <v>VERSTELLSCHLUESSEL FUER DISTRAKTOREN</v>
          </cell>
          <cell r="D12638" t="str">
            <v>PATIENT SCREWDRIVER</v>
          </cell>
        </row>
        <row r="12639">
          <cell r="B12639" t="str">
            <v>51-513-15-09</v>
          </cell>
          <cell r="C12639" t="str">
            <v>ZUERICH  RAMUS DISTRAKT.15MM RE.KLEEBLATT</v>
          </cell>
          <cell r="D12639" t="str">
            <v>ZUERICH  RAMUS DISTR.15MM,RIGHT,TREFOIL</v>
          </cell>
        </row>
        <row r="12640">
          <cell r="B12640" t="str">
            <v>51-513-20-09</v>
          </cell>
          <cell r="C12640" t="str">
            <v>ZUERICH  RAMUS DISTRAKT.20MM RE.KLEEBLATT</v>
          </cell>
          <cell r="D12640" t="str">
            <v>ZUERICH  RAMUS DISTRACT.20MM RI.</v>
          </cell>
        </row>
        <row r="12641">
          <cell r="B12641" t="str">
            <v>51-513-25-09</v>
          </cell>
          <cell r="C12641" t="str">
            <v>ZUERICH  RAMUS DISTRAKT.25MM RE.</v>
          </cell>
          <cell r="D12641" t="str">
            <v>ZUERICH  RAMUS DISTRACT.25MM RI.</v>
          </cell>
        </row>
        <row r="12642">
          <cell r="B12642" t="str">
            <v>51-515-15-09</v>
          </cell>
          <cell r="C12642" t="str">
            <v>ZUERICH  RAMUS DISTRAKTOR 15MM LINKS</v>
          </cell>
          <cell r="D12642" t="str">
            <v>ZUERICH  RAMUS DISTRACTOR 15 MM LEFT</v>
          </cell>
        </row>
        <row r="12643">
          <cell r="B12643" t="str">
            <v>51-515-20-09</v>
          </cell>
          <cell r="C12643" t="str">
            <v>ZUERICH  RAMUS DISTRAKTOR 20MM LINKS</v>
          </cell>
          <cell r="D12643" t="str">
            <v>ZUERICH  RAMUS DISTRACTOR 20 MM LEFT</v>
          </cell>
        </row>
        <row r="12644">
          <cell r="B12644" t="str">
            <v>51-515-25-09</v>
          </cell>
          <cell r="C12644" t="str">
            <v>ZUERICH  RAMUS DISTRAKTOR 25MM LINKS</v>
          </cell>
          <cell r="D12644" t="str">
            <v>ZUERICH  RAMUS DISTRACTOR 25 MM LEFT</v>
          </cell>
        </row>
        <row r="12645">
          <cell r="B12645" t="str">
            <v>51-515-90-07</v>
          </cell>
          <cell r="C12645" t="str">
            <v>ZUERICH  BIEGEZANGE</v>
          </cell>
          <cell r="D12645" t="str">
            <v>ZUERICH  BENDING  PLIERS</v>
          </cell>
        </row>
        <row r="12646">
          <cell r="B12646" t="str">
            <v>51-516-15-09</v>
          </cell>
          <cell r="C12646" t="str">
            <v>ZUERICH  RAMUS DISTRAKTOR 15MM RECHTS</v>
          </cell>
          <cell r="D12646" t="str">
            <v>ZUERICH  RAMUS DISTRACTOR 15 MM RIGHT</v>
          </cell>
        </row>
        <row r="12647">
          <cell r="B12647" t="str">
            <v>51-516-20-09</v>
          </cell>
          <cell r="C12647" t="str">
            <v>ZUERICH  RAMUS DISTRAKTOR 20MM RECHTS</v>
          </cell>
          <cell r="D12647" t="str">
            <v>ZUERICH  RAMUS DISTRACTOR 20 MM RIGHT</v>
          </cell>
        </row>
        <row r="12648">
          <cell r="B12648" t="str">
            <v>51-516-25-09</v>
          </cell>
          <cell r="C12648" t="str">
            <v>ZUERICH  RAMUS DISTRAKTOR 25MM RECHTS</v>
          </cell>
          <cell r="D12648" t="str">
            <v>ZUERICH  RAMUS DISTRACTOR 25 MM RIGHT</v>
          </cell>
        </row>
        <row r="12649">
          <cell r="B12649" t="str">
            <v>51-520-15-09</v>
          </cell>
          <cell r="C12649" t="str">
            <v>TRACK 1,5 MM ALVEOLARKAMMDISTRAKTOR 15MM</v>
          </cell>
          <cell r="D12649" t="str">
            <v>TRACK 1,5MM ALVEOLAR  RID.DISTRACTOR 15MM</v>
          </cell>
        </row>
        <row r="12650">
          <cell r="B12650" t="str">
            <v>51-520-70-07</v>
          </cell>
          <cell r="C12650" t="str">
            <v>HALTEZANGE F.DISTRAKTOR TRACK 1,5 MM</v>
          </cell>
          <cell r="D12650" t="str">
            <v>HOLDING  FORCEPS  F.DISTRACTOR TRACK 1,5MM</v>
          </cell>
        </row>
        <row r="12651">
          <cell r="B12651" t="str">
            <v>51-520-95-07</v>
          </cell>
          <cell r="C12651" t="str">
            <v>PATIENTEN SCHR.DREH.KLEIN F.TRACK1,5/2,0</v>
          </cell>
          <cell r="D12651" t="str">
            <v>PATIENT SCREWDR.SMALL,FOR TRACK 1.5/2,0</v>
          </cell>
        </row>
        <row r="12652">
          <cell r="B12652" t="str">
            <v>51-524-12-09</v>
          </cell>
          <cell r="C12652" t="str">
            <v>TRACK 1PLUS ALVEOLARKAMMDISTRAKTOR 12MM</v>
          </cell>
          <cell r="D12652" t="str">
            <v>TRACK 1PLUS ALVEOL.RIDGE DISTRACTOR 12MM</v>
          </cell>
        </row>
        <row r="12653">
          <cell r="B12653" t="str">
            <v>51-524-15-09</v>
          </cell>
          <cell r="C12653" t="str">
            <v>TRACK 1PLUS ALVEOLARKAMMDISTRAKTOR 15MM</v>
          </cell>
          <cell r="D12653" t="str">
            <v>TRACK 1PLUS ALVEOL.RIDGE DISTRACTOR 15MM</v>
          </cell>
        </row>
        <row r="12654">
          <cell r="B12654" t="str">
            <v>51-525-15-09</v>
          </cell>
          <cell r="C12654" t="str">
            <v>TRACK 1,0MM ALVEOLARKAMMDISTRAKTOR 15MM</v>
          </cell>
          <cell r="D12654" t="str">
            <v>TRACK 1,0MM ALVEOLAR  RIDGE DISTRAC.  15MM</v>
          </cell>
        </row>
        <row r="12655">
          <cell r="B12655" t="str">
            <v>51-525-40-09</v>
          </cell>
          <cell r="C12655" t="str">
            <v>ABSTUETZPLATTE FUER TRACK 1,0 MM</v>
          </cell>
          <cell r="D12655" t="str">
            <v>BUTTRESS  PLATE FOR TRACK 1.0 MM</v>
          </cell>
        </row>
        <row r="12656">
          <cell r="B12656" t="str">
            <v>51-525-76-04</v>
          </cell>
          <cell r="C12656" t="str">
            <v>HALTEZANGE F.MICRO  TRACK/TRACK 1.0/1PLUS</v>
          </cell>
          <cell r="D12656" t="str">
            <v>HOLDING  FORC.MICRO TRACK/TRACK 1.0/1PLUS</v>
          </cell>
        </row>
        <row r="12657">
          <cell r="B12657" t="str">
            <v>51-525-80-07</v>
          </cell>
          <cell r="C12657" t="str">
            <v>PLATTENHALTEPINZETTE, GEBOGEN</v>
          </cell>
          <cell r="D12657" t="str">
            <v>PLATEHOLDING FORCEPS,  CURVED</v>
          </cell>
        </row>
        <row r="12658">
          <cell r="B12658" t="str">
            <v>51-525-85-07</v>
          </cell>
          <cell r="C12658" t="str">
            <v>PATIENTENSCHRAUBENDREHER, GERADE</v>
          </cell>
          <cell r="D12658" t="str">
            <v>PATIENT SCREWDRIVER, STRAIGHT</v>
          </cell>
        </row>
        <row r="12659">
          <cell r="B12659" t="str">
            <v>51-525-90-07</v>
          </cell>
          <cell r="C12659" t="str">
            <v>PATIENTENSCHRAUBENDREHER, KOMBINATION</v>
          </cell>
          <cell r="D12659" t="str">
            <v>PATIENT SCREWDRIVER, COMBINATION</v>
          </cell>
        </row>
        <row r="12660">
          <cell r="B12660" t="str">
            <v>51-525-95-07</v>
          </cell>
          <cell r="C12660" t="str">
            <v>PATIENTEN SCHRAUBENDR. KLEIN F.TRACK 1.0</v>
          </cell>
          <cell r="D12660" t="str">
            <v>PATIENT SCREWDRIVER SMALL,F.TRACK 1.0</v>
          </cell>
        </row>
        <row r="12661">
          <cell r="B12661" t="str">
            <v>51-530-15-09</v>
          </cell>
          <cell r="C12661" t="str">
            <v>TRACK 2,0MM ALVEOLARKAMMDISTRAKTOR 15MM</v>
          </cell>
          <cell r="D12661" t="str">
            <v>TRACK 2,0MM ALVEOLAR  RIDGE DISTRAC.  15MM</v>
          </cell>
        </row>
        <row r="12662">
          <cell r="B12662" t="str">
            <v>51-530-70-07</v>
          </cell>
          <cell r="C12662" t="str">
            <v>HALTEZANGE F.DISTRAKTOR TRACK 2,0 MM</v>
          </cell>
          <cell r="D12662" t="str">
            <v>HOLDING  FORCEPS  F.DISTRACTOR TRACK 2,0MM</v>
          </cell>
        </row>
        <row r="12663">
          <cell r="B12663" t="str">
            <v>51-535-51-07</v>
          </cell>
          <cell r="C12663" t="str">
            <v>VORBOHRER 1,1X19X6MM,6MM STOP,DENTALANS.</v>
          </cell>
          <cell r="D12663" t="str">
            <v>DRILL BIT 1.1X19X6MM,6MM STOP,DENTALATT.</v>
          </cell>
        </row>
        <row r="12664">
          <cell r="B12664" t="str">
            <v>51-535-95-07</v>
          </cell>
          <cell r="C12664" t="str">
            <v>DISTRAKTIONS SCHRAUBENDREHER IKARDANISCH</v>
          </cell>
          <cell r="D12664" t="str">
            <v>DISTRACTION SCREWDRIVER CARDANIC</v>
          </cell>
        </row>
        <row r="12665">
          <cell r="B12665" t="str">
            <v>51-540-20-09</v>
          </cell>
          <cell r="C12665" t="str">
            <v>TS-MD MAXILLA  DISTRAKTOR 20 MM</v>
          </cell>
          <cell r="D12665" t="str">
            <v>TS-MD MAXILLARY DISTRACTOR 20 MM</v>
          </cell>
        </row>
        <row r="12666">
          <cell r="B12666" t="str">
            <v>51-540-25-09</v>
          </cell>
          <cell r="C12666" t="str">
            <v>TS-MD MAXILLA  DISTRAKTOR 25 MM</v>
          </cell>
          <cell r="D12666" t="str">
            <v>TS-MD MAXILLARY DISTRACTOR 25 MM</v>
          </cell>
        </row>
        <row r="12667">
          <cell r="B12667" t="str">
            <v>51-540-30-09</v>
          </cell>
          <cell r="C12667" t="str">
            <v>TS-MD MAXILLA  DISTRAKTOR 30 MM</v>
          </cell>
          <cell r="D12667" t="str">
            <v>TS-MD MAXILLARY DISTRACTOR 30 MM</v>
          </cell>
        </row>
        <row r="12668">
          <cell r="B12668" t="str">
            <v>51-550-15-09</v>
          </cell>
          <cell r="C12668" t="str">
            <v>ZUERICH  MAXILLA  DISTRAKTOR, 15MM LINKS</v>
          </cell>
          <cell r="D12668" t="str">
            <v>ZUERICH  MAXILLARY DISTRACTOR, 15MM LEFT</v>
          </cell>
        </row>
        <row r="12669">
          <cell r="B12669" t="str">
            <v>51-550-15-25</v>
          </cell>
          <cell r="C12669" t="str">
            <v>MAXILLA  DISTR-J,15MM LINKS (6-LOCH-PL.)</v>
          </cell>
          <cell r="D12669" t="str">
            <v>MAXILLARY DISTR-J,15MM LEFT (6-HOLE-PL.)</v>
          </cell>
        </row>
        <row r="12670">
          <cell r="B12670" t="str">
            <v>51-551-15-09</v>
          </cell>
          <cell r="C12670" t="str">
            <v>ZUERICH  MAXILLA  DISTRAKTOR, 15MM RECHTS</v>
          </cell>
          <cell r="D12670" t="str">
            <v>ZUERICH  MAXILLARY DISTRACTOR 15 MM RIGHT</v>
          </cell>
        </row>
        <row r="12671">
          <cell r="B12671" t="str">
            <v>51-551-15-25</v>
          </cell>
          <cell r="C12671" t="str">
            <v>MAXILLA  DISTR-J,15MM RECHTS (6-LOCH-PL.)</v>
          </cell>
          <cell r="D12671" t="str">
            <v>MAXILLARY DIST-J,15MM RIGHT (6-HOLE-PL.)</v>
          </cell>
        </row>
        <row r="12672">
          <cell r="B12672" t="str">
            <v>51-552-15-09</v>
          </cell>
          <cell r="C12672" t="str">
            <v>ZUERICH  MAXILLA  DISTRAKTOR, 15MM LINKS</v>
          </cell>
          <cell r="D12672" t="str">
            <v>ZUERICH  MAXILLARY DISTRACTOR, 15MM LEFT</v>
          </cell>
        </row>
        <row r="12673">
          <cell r="B12673" t="str">
            <v>51-553-15-09</v>
          </cell>
          <cell r="C12673" t="str">
            <v>ZUERICH  MAXILLA  DISTRAKTOR, 15MM RECHTS</v>
          </cell>
          <cell r="D12673" t="str">
            <v>ZUERICH  MAXILLARY DISTRACTOR 15 MM RIGHT</v>
          </cell>
        </row>
        <row r="12674">
          <cell r="B12674" t="str">
            <v>51-555-09-09</v>
          </cell>
          <cell r="C12674" t="str">
            <v>ROTTERDAM PALATINAL  DISTRAKTOR, 9 MM</v>
          </cell>
          <cell r="D12674" t="str">
            <v>ROTTERDAM PALATAL  DISTRACTOR, 9 MM</v>
          </cell>
        </row>
        <row r="12675">
          <cell r="B12675" t="str">
            <v>51-555-13-09</v>
          </cell>
          <cell r="C12675" t="str">
            <v>ROTTERDAM PALATINAL  DISTRAKTOR, 13 MM</v>
          </cell>
          <cell r="D12675" t="str">
            <v>ROTTERDAM PALATAL  DISTRACTOR, 13 MM</v>
          </cell>
        </row>
        <row r="12676">
          <cell r="B12676" t="str">
            <v>51-555-85-07</v>
          </cell>
          <cell r="C12676" t="str">
            <v>PATIENTEN-SD GERADE F. TELESKOP</v>
          </cell>
          <cell r="D12676" t="str">
            <v>PATIENT-SD STR. F. TELESCOPE-DISTRACTOR</v>
          </cell>
        </row>
        <row r="12677">
          <cell r="B12677" t="str">
            <v>51-555-90-07</v>
          </cell>
          <cell r="C12677" t="str">
            <v>AKTIVIERUNGSSCHLUESSEL F.ROTTERDAM DIST.</v>
          </cell>
          <cell r="D12677" t="str">
            <v>SCREW-WRENCH FOR AKTIV.ROTTERDAM DISTR.</v>
          </cell>
        </row>
        <row r="12678">
          <cell r="B12678" t="str">
            <v>51-555-91-07</v>
          </cell>
          <cell r="C12678" t="str">
            <v>GABELSCHLUESSEL</v>
          </cell>
          <cell r="D12678" t="str">
            <v>WRENCH</v>
          </cell>
        </row>
        <row r="12679">
          <cell r="B12679" t="str">
            <v>51-555-95-07</v>
          </cell>
          <cell r="C12679" t="str">
            <v>PATIENTEN-SD GEWINKELT F. TELESKOP</v>
          </cell>
          <cell r="D12679" t="str">
            <v>PATIENT-SD ANGL. F. TELESCOPE-DISTRACTOR</v>
          </cell>
        </row>
        <row r="12680">
          <cell r="B12680" t="str">
            <v>51-556-15-09</v>
          </cell>
          <cell r="C12680" t="str">
            <v>ZUERICH  II MAXILLA  DISTR.15MM LINKS</v>
          </cell>
          <cell r="D12680" t="str">
            <v>ZUERICH  II MAXILLARY DISTR. 15MM LEFT</v>
          </cell>
        </row>
        <row r="12681">
          <cell r="B12681" t="str">
            <v>51-556-20-09</v>
          </cell>
          <cell r="C12681" t="str">
            <v>ZUERICH  II MAXILLA  DISTR.20MM LINKS</v>
          </cell>
          <cell r="D12681" t="str">
            <v>ZUERICH  II MAXILLARY DISTR. 20MM LEFT</v>
          </cell>
        </row>
        <row r="12682">
          <cell r="B12682" t="str">
            <v>51-557-15-09</v>
          </cell>
          <cell r="C12682" t="str">
            <v>ZUERICH  II MAXILLA  DISTR.15MM RECHTS</v>
          </cell>
          <cell r="D12682" t="str">
            <v>ZUERICH  II MAXILLARY DISTR.15  MM RIGHT</v>
          </cell>
        </row>
        <row r="12683">
          <cell r="B12683" t="str">
            <v>51-557-20-09</v>
          </cell>
          <cell r="C12683" t="str">
            <v>ZUERICH  II MAXILLA  DISTR.20MM RECHTS</v>
          </cell>
          <cell r="D12683" t="str">
            <v>ZUERICH  II MAXILLARY DISTR.20  MM RIGHT</v>
          </cell>
        </row>
        <row r="12684">
          <cell r="B12684" t="str">
            <v>51-560-90-07</v>
          </cell>
          <cell r="C12684" t="str">
            <v>PATIENTENSCHAUBENDR., 0,1MM SILBER, GER.</v>
          </cell>
          <cell r="D12684" t="str">
            <v>PATIENT SCREWDRIVER 0,1MM SILVER, STR.</v>
          </cell>
        </row>
        <row r="12685">
          <cell r="B12685" t="str">
            <v>51-563-30-09</v>
          </cell>
          <cell r="C12685" t="str">
            <v>Cranialdistraktor, große Spindel, 30 mm</v>
          </cell>
          <cell r="D12685" t="str">
            <v>Cranial Vault Distractor,  big, 30 mm</v>
          </cell>
        </row>
        <row r="12686">
          <cell r="B12686" t="str">
            <v>51-564-09-09</v>
          </cell>
          <cell r="C12686" t="str">
            <v>SIZER F. RPE DISTRAKTOR, 9 MM</v>
          </cell>
          <cell r="D12686" t="str">
            <v>SIZER F. RPE DISTRACTOR, 9 MM</v>
          </cell>
        </row>
        <row r="12687">
          <cell r="B12687" t="str">
            <v>51-564-18-09</v>
          </cell>
          <cell r="C12687" t="str">
            <v>SIZER F. RPE DISTRAKTOR, 18MM</v>
          </cell>
          <cell r="D12687" t="str">
            <v>SIZER F. RPE DISTRACTOR, 18 MM</v>
          </cell>
        </row>
        <row r="12688">
          <cell r="B12688" t="str">
            <v>51-564-27-09</v>
          </cell>
          <cell r="C12688" t="str">
            <v>SIZER F. RPE DISTRAKTOR, 27MM</v>
          </cell>
          <cell r="D12688" t="str">
            <v>SIZER F. RPE DISTRACTOR, 27 MM</v>
          </cell>
        </row>
        <row r="12689">
          <cell r="B12689" t="str">
            <v>51-564-36-09</v>
          </cell>
          <cell r="C12689" t="str">
            <v>SIZER F. RPE DISTRAKTOR, 36MM</v>
          </cell>
          <cell r="D12689" t="str">
            <v>SIZER F. RPE DISTRACTOR, 36 MM</v>
          </cell>
        </row>
        <row r="12690">
          <cell r="B12690" t="str">
            <v>51-565-09-09</v>
          </cell>
          <cell r="C12690" t="str">
            <v>RAPID PALATAL  EX. DISTR 9 MM, GRUEN</v>
          </cell>
          <cell r="D12690" t="str">
            <v>RAPID PALATAL  EX. DISTR 9 MM, GREEN</v>
          </cell>
        </row>
        <row r="12691">
          <cell r="B12691" t="str">
            <v>51-565-09-71</v>
          </cell>
          <cell r="C12691" t="str">
            <v>RAPID PALATAL  EX. DISTRAKTOR 9 MM,STERIL</v>
          </cell>
          <cell r="D12691" t="str">
            <v>RAPID PALATAL  EX. DISTRACTOR 9MM,STERILE</v>
          </cell>
        </row>
        <row r="12692">
          <cell r="B12692" t="str">
            <v>51-565-18-09</v>
          </cell>
          <cell r="C12692" t="str">
            <v>RAPID PALATAL  EX. DISTR 18 MM, BLAU</v>
          </cell>
          <cell r="D12692" t="str">
            <v>RAPID PALATAL  EX. DISTR 18 MM, BLUE</v>
          </cell>
        </row>
        <row r="12693">
          <cell r="B12693" t="str">
            <v>51-565-18-71</v>
          </cell>
          <cell r="C12693" t="str">
            <v>RAPID PALATAL  EX. DISTRAKTOR 18MM,STERIL</v>
          </cell>
          <cell r="D12693" t="str">
            <v>RAPID PALATAL  EX.DISTRACTOR 18MM,STERILE</v>
          </cell>
        </row>
        <row r="12694">
          <cell r="B12694" t="str">
            <v>51-565-27-09</v>
          </cell>
          <cell r="C12694" t="str">
            <v>RAPID PALATAL  EX. DISTR 27 MM, GELB</v>
          </cell>
          <cell r="D12694" t="str">
            <v>RAPID PALATAL  EX DISTR.27  MM, YELLOW</v>
          </cell>
        </row>
        <row r="12695">
          <cell r="B12695" t="str">
            <v>51-565-27-71</v>
          </cell>
          <cell r="C12695" t="str">
            <v>RAPID PALATAL  EX. DISTRAKTOR 27MM,STERIL</v>
          </cell>
          <cell r="D12695" t="str">
            <v>RAPID PALATAL  EX DISTRACTOR 27MM,STERILE</v>
          </cell>
        </row>
        <row r="12696">
          <cell r="B12696" t="str">
            <v>51-565-36-09</v>
          </cell>
          <cell r="C12696" t="str">
            <v>RAPID PALATAL  EX. DISTR 36 MM, ROT</v>
          </cell>
          <cell r="D12696" t="str">
            <v>RAPID PALATAL  EX. DISTR 36 MM, RED</v>
          </cell>
        </row>
        <row r="12697">
          <cell r="B12697" t="str">
            <v>51-565-36-71</v>
          </cell>
          <cell r="C12697" t="str">
            <v>RAPID PALATAL  EX. DISTRAKTOR 36MM,STERIL</v>
          </cell>
          <cell r="D12697" t="str">
            <v>RAPID PALATAL  EX.DISTRACTOR 36MM,STERILE</v>
          </cell>
        </row>
        <row r="12698">
          <cell r="B12698" t="str">
            <v>51-565-90-07</v>
          </cell>
          <cell r="C12698" t="str">
            <v>AKTIV. SCHLUESSEL F. RPE DISTRAKTOREN</v>
          </cell>
          <cell r="D12698" t="str">
            <v>ACTIVATION WRENCH  F. RPE DISTR.</v>
          </cell>
        </row>
        <row r="12699">
          <cell r="B12699" t="str">
            <v>51-565-95-07</v>
          </cell>
          <cell r="C12699" t="str">
            <v>FLEX -AKTIV. SCHLUESSEL F. RPE DISTR.</v>
          </cell>
          <cell r="D12699" t="str">
            <v>FLEX ACTIVATING WRENCH  F. RPE DISTRACTOR</v>
          </cell>
        </row>
        <row r="12700">
          <cell r="B12700" t="str">
            <v>51-575-10-09</v>
          </cell>
          <cell r="C12700" t="str">
            <v>TITANIUM  SCHRAUBEN 45 MM  10/PCK</v>
          </cell>
          <cell r="D12700" t="str">
            <v>TITANIUM  FIXATION  SCREWS,  45MM  10/PA</v>
          </cell>
        </row>
        <row r="12701">
          <cell r="B12701" t="str">
            <v>51-575-12-09</v>
          </cell>
          <cell r="C12701" t="str">
            <v>TITANIUM  SCHRAUBEN 55 MM  10/PCK</v>
          </cell>
          <cell r="D12701" t="str">
            <v>TITANIUM  FIXATION  SCREWS 55MM  10/PA</v>
          </cell>
        </row>
        <row r="12702">
          <cell r="B12702" t="str">
            <v>51-575-14-09</v>
          </cell>
          <cell r="C12702" t="str">
            <v>TITANIUM  TEST STIFT 41 MM</v>
          </cell>
          <cell r="D12702" t="str">
            <v>TITANIUM  TRIAL PIN, 41 MM</v>
          </cell>
        </row>
        <row r="12703">
          <cell r="B12703" t="str">
            <v>51-575-15-04</v>
          </cell>
          <cell r="C12703" t="str">
            <v>CARBON STAB, 120 MM</v>
          </cell>
          <cell r="D12703" t="str">
            <v>CARBON ROD, 120 MM</v>
          </cell>
        </row>
        <row r="12704">
          <cell r="B12704" t="str">
            <v>51-575-16-04</v>
          </cell>
          <cell r="C12704" t="str">
            <v>CARBON STAB, 150 MM</v>
          </cell>
          <cell r="D12704" t="str">
            <v>CARBON ROD, 150 MM</v>
          </cell>
        </row>
        <row r="12705">
          <cell r="B12705" t="str">
            <v>51-575-90-07</v>
          </cell>
          <cell r="C12705" t="str">
            <v>HEXAGONAL SCHRAUBENDREHER</v>
          </cell>
          <cell r="D12705" t="str">
            <v>HEXAGONAL SCREWDRIVER</v>
          </cell>
        </row>
        <row r="12706">
          <cell r="B12706" t="str">
            <v>51-575-91-07</v>
          </cell>
          <cell r="C12706" t="str">
            <v>GRIFF ALLEIN FUER 51-575-90</v>
          </cell>
          <cell r="D12706" t="str">
            <v>HANDLE ONLY, FOR 51-575-90</v>
          </cell>
        </row>
        <row r="12707">
          <cell r="B12707" t="str">
            <v>51-575-92-07</v>
          </cell>
          <cell r="C12707" t="str">
            <v>KLINGE ALLEIN FUER 51-575-90</v>
          </cell>
          <cell r="D12707" t="str">
            <v>BLADE ONLY, FOR 51-575-90</v>
          </cell>
        </row>
        <row r="12708">
          <cell r="B12708" t="str">
            <v>51-575-94-09</v>
          </cell>
          <cell r="C12708" t="str">
            <v>POLLEY KONTERMUTTER FUER FIXATIONSPIN</v>
          </cell>
          <cell r="D12708" t="str">
            <v>POLLEY COUNTERNUT FOR RED FIXATION  PIN</v>
          </cell>
        </row>
        <row r="12709">
          <cell r="B12709" t="str">
            <v>51-575-99-09</v>
          </cell>
          <cell r="C12709" t="str">
            <v>POLLEY KRANIALER POSITIV STOP</v>
          </cell>
          <cell r="D12709" t="str">
            <v>POLLEY CRANIAL  POSITIVE  STOP</v>
          </cell>
        </row>
        <row r="12710">
          <cell r="B12710" t="str">
            <v>51-580-00-04</v>
          </cell>
          <cell r="C12710" t="str">
            <v>POLLEY MITTELGESICHT DISTRAKTIONS SYST.</v>
          </cell>
          <cell r="D12710" t="str">
            <v>POLLEY MIDFACE  DISTRACTOR, SET</v>
          </cell>
        </row>
        <row r="12711">
          <cell r="B12711" t="str">
            <v>51-580-01-04</v>
          </cell>
          <cell r="C12711" t="str">
            <v>POLLEY II RAHMEN,  LINKS, KOMPLETT</v>
          </cell>
          <cell r="D12711" t="str">
            <v>POLLEY II SEGMENT,  LEFT, COMPLETE</v>
          </cell>
        </row>
        <row r="12712">
          <cell r="B12712" t="str">
            <v>51-580-02-04</v>
          </cell>
          <cell r="C12712" t="str">
            <v>POLLEY II RAHMEN,  RECHTS, KOMPLETT</v>
          </cell>
          <cell r="D12712" t="str">
            <v>POLLEY II SEGMENT,  RIGHT, COMPLETE</v>
          </cell>
        </row>
        <row r="12713">
          <cell r="B12713" t="str">
            <v>51-580-05-04</v>
          </cell>
          <cell r="C12713" t="str">
            <v>POLLEY II OBERTEIL,  KOMPLETT</v>
          </cell>
          <cell r="D12713" t="str">
            <v>POLLEY II CENTER PART, COMPLETE</v>
          </cell>
        </row>
        <row r="12714">
          <cell r="B12714" t="str">
            <v>51-580-08-04</v>
          </cell>
          <cell r="C12714" t="str">
            <v>RAHMEN  VERGROSSERUNG F.RED DISTRAKTOR</v>
          </cell>
          <cell r="D12714" t="str">
            <v>POLLEY HALO EXTENDER  F.RED DISTRACTOR</v>
          </cell>
        </row>
        <row r="12715">
          <cell r="B12715" t="str">
            <v>51-580-13-09</v>
          </cell>
          <cell r="C12715" t="str">
            <v>POLLEY RENTENTIONSPLATTEN VERBINDER</v>
          </cell>
          <cell r="D12715" t="str">
            <v>POLLEY RETENTION PLATE CONNECTOR</v>
          </cell>
        </row>
        <row r="12716">
          <cell r="B12716" t="str">
            <v>51-580-26-04</v>
          </cell>
          <cell r="C12716" t="str">
            <v>POLLEY II SPINDELEINHEIT, KOMPLETT</v>
          </cell>
          <cell r="D12716" t="str">
            <v>POLLEY II SPINDEL UNI, COMPLETE</v>
          </cell>
        </row>
        <row r="12717">
          <cell r="B12717" t="str">
            <v>51-580-45-04</v>
          </cell>
          <cell r="C12717" t="str">
            <v>POLLEY II DISTRAKTIONSEINHEIT, KOMPLETT</v>
          </cell>
          <cell r="D12717" t="str">
            <v>POLLEY II HORIZONTAL CROSS BAR, COMPL.</v>
          </cell>
        </row>
        <row r="12718">
          <cell r="B12718" t="str">
            <v>51-580-85-07</v>
          </cell>
          <cell r="C12718" t="str">
            <v>PATIENTENSCHRAUBENDREHER,SECHSKANT</v>
          </cell>
          <cell r="D12718" t="str">
            <v>PATIENT SCREWDRIVER, HEXAGONAL</v>
          </cell>
        </row>
        <row r="12719">
          <cell r="B12719" t="str">
            <v>51-581-02-09</v>
          </cell>
          <cell r="C12719" t="str">
            <v>POLLEY FIXATIONSPLATTE 2-LOCH</v>
          </cell>
          <cell r="D12719" t="str">
            <v>POLLEY FIXATION  PLATE 2-HOLES</v>
          </cell>
        </row>
        <row r="12720">
          <cell r="B12720" t="str">
            <v>51-581-03-09</v>
          </cell>
          <cell r="C12720" t="str">
            <v>POLLEY FIXATIONSPLATTE 2 LOCH, RECHTWINK</v>
          </cell>
          <cell r="D12720" t="str">
            <v>POLLEY FIX PLATE 2 HOLES, RIGHTANGLED</v>
          </cell>
        </row>
        <row r="12721">
          <cell r="B12721" t="str">
            <v>51-581-06-09</v>
          </cell>
          <cell r="C12721" t="str">
            <v>POLLEY FIXATIONSPLATTE, ORBITA FORM</v>
          </cell>
          <cell r="D12721" t="str">
            <v>POLLEY FIX PLATE ORBITAL SHAPE</v>
          </cell>
        </row>
        <row r="12722">
          <cell r="B12722" t="str">
            <v>51-581-08-09</v>
          </cell>
          <cell r="C12722" t="str">
            <v>POLLEY FIXATIONSSCHRAUBE 8 MM</v>
          </cell>
          <cell r="D12722" t="str">
            <v>POLLEY FIXATION  SCREW 8 MM</v>
          </cell>
        </row>
        <row r="12723">
          <cell r="B12723" t="str">
            <v>51-581-10-09</v>
          </cell>
          <cell r="C12723" t="str">
            <v>POLLEY FIXATIONSSCHRAUBE 10,5 MM</v>
          </cell>
          <cell r="D12723" t="str">
            <v>POLLEY FIXATION  SCREW 10,5 MM</v>
          </cell>
        </row>
        <row r="12724">
          <cell r="B12724" t="str">
            <v>51-581-15-09</v>
          </cell>
          <cell r="C12724" t="str">
            <v>POLLEY FIXATIONSSCHRAUBE 15 MM</v>
          </cell>
          <cell r="D12724" t="str">
            <v>POLLEY FIXATION  SCREW 15 MM</v>
          </cell>
        </row>
        <row r="12725">
          <cell r="B12725" t="str">
            <v>51-581-21-09</v>
          </cell>
          <cell r="C12725" t="str">
            <v>POLLEY FIXATIONSSCHRAUBE 21 MM</v>
          </cell>
          <cell r="D12725" t="str">
            <v>POLLEY FIXATION  SCREW 21 MM</v>
          </cell>
        </row>
        <row r="12726">
          <cell r="B12726" t="str">
            <v>51-581-30-09</v>
          </cell>
          <cell r="C12726" t="str">
            <v>POLLEY FIXATIONSSCHRAUBE 30 MM</v>
          </cell>
          <cell r="D12726" t="str">
            <v>POLLEY FIXATION  SCREW 30 MM</v>
          </cell>
        </row>
        <row r="12727">
          <cell r="B12727" t="str">
            <v>51-582-50-04</v>
          </cell>
          <cell r="C12727" t="str">
            <v>RED RETENTIONSPLATTE 1,5 MM SET</v>
          </cell>
          <cell r="D12727" t="str">
            <v>RED RETENTION PLATE 1,5 MM SET</v>
          </cell>
        </row>
        <row r="12728">
          <cell r="B12728" t="str">
            <v>51-582-51-09</v>
          </cell>
          <cell r="C12728" t="str">
            <v>POLLEY FEST VERBUNDENE RETENSIONSPLATTE</v>
          </cell>
          <cell r="D12728" t="str">
            <v>POLLEY SOLIDLY CONNECTED RETENTION PLATE</v>
          </cell>
        </row>
        <row r="12729">
          <cell r="B12729" t="str">
            <v>51-582-55-04</v>
          </cell>
          <cell r="C12729" t="str">
            <v>RED RETENTIONSPLATTE 1,8 MM SET</v>
          </cell>
          <cell r="D12729" t="str">
            <v>RED RETENTION PLATE 1,8 MM SET</v>
          </cell>
        </row>
        <row r="12730">
          <cell r="B12730" t="str">
            <v>51-583-00-04</v>
          </cell>
          <cell r="C12730" t="str">
            <v>POLLEY RED II MIT ABGER. RAHMEN  KOMPLETT</v>
          </cell>
          <cell r="D12730" t="str">
            <v>POLLEY RED II W.ROUNDED FRAME COMPLETE</v>
          </cell>
        </row>
        <row r="12731">
          <cell r="B12731" t="str">
            <v>51-583-01-04</v>
          </cell>
          <cell r="C12731" t="str">
            <v>POLLEY RED II RAHMEN  ABGERUNDET LINKS</v>
          </cell>
          <cell r="D12731" t="str">
            <v>POLLEY RED II FRAME ROUNDED  LEFT</v>
          </cell>
        </row>
        <row r="12732">
          <cell r="B12732" t="str">
            <v>51-583-02-04</v>
          </cell>
          <cell r="C12732" t="str">
            <v>POLLEY RED II RAHMEN  ABGERUNDET RECHTS</v>
          </cell>
          <cell r="D12732" t="str">
            <v>POLLEY RED II FRAME ROUND RIGHT</v>
          </cell>
        </row>
        <row r="12733">
          <cell r="B12733" t="str">
            <v>51-600-01-09</v>
          </cell>
          <cell r="C12733" t="str">
            <v>MOLINA ERSATZ SCHRAUBEN, 2/PKS</v>
          </cell>
          <cell r="D12733" t="str">
            <v>MOLINA SPARE SCREWS,  2 EACH</v>
          </cell>
        </row>
        <row r="12734">
          <cell r="B12734" t="str">
            <v>51-600-28-09</v>
          </cell>
          <cell r="C12734" t="str">
            <v>MOLINA BABY MANDIBULA DISTRACTOR</v>
          </cell>
          <cell r="D12734" t="str">
            <v>MOLINA BABY MANDIBULAR DISTRACTOR</v>
          </cell>
        </row>
        <row r="12735">
          <cell r="B12735" t="str">
            <v>51-600-29-09</v>
          </cell>
          <cell r="C12735" t="str">
            <v>Kontermutter für Molina Distraktor</v>
          </cell>
          <cell r="D12735" t="str">
            <v>Lock nut for Molina distractor</v>
          </cell>
        </row>
        <row r="12736">
          <cell r="B12736" t="str">
            <v>51-600-43-09</v>
          </cell>
          <cell r="C12736" t="str">
            <v>MOLINA UNTERKIEFER DISTRACTOR 43 MM</v>
          </cell>
          <cell r="D12736" t="str">
            <v>MOLINA MANDIBULAR DISTACTOR 43MM</v>
          </cell>
        </row>
        <row r="12737">
          <cell r="B12737" t="str">
            <v>51-600-53-09</v>
          </cell>
          <cell r="C12737" t="str">
            <v>MOLINA UNTERKIEFER DISTRAKTOR 53 MM</v>
          </cell>
          <cell r="D12737" t="str">
            <v>MOLINA MANDIBULAR DISTRACTOR 53MM</v>
          </cell>
        </row>
        <row r="12738">
          <cell r="B12738" t="str">
            <v>51-600-65-07</v>
          </cell>
          <cell r="C12738" t="str">
            <v>X-FIX Schraubendreher f. Verbindungssta.</v>
          </cell>
          <cell r="D12738" t="str">
            <v>X-FIX Screwdriver for Connection Bar</v>
          </cell>
        </row>
        <row r="12739">
          <cell r="B12739" t="str">
            <v>51-600-70-07</v>
          </cell>
          <cell r="C12739" t="str">
            <v>Schraubendreher fuer Schraubenkopf X-Fix</v>
          </cell>
          <cell r="D12739" t="str">
            <v>Screw Cap Screwdriver</v>
          </cell>
        </row>
        <row r="12740">
          <cell r="B12740" t="str">
            <v>51-600-75-07</v>
          </cell>
          <cell r="C12740" t="str">
            <v>3D X PATIENTENSCHRAUBENDREHER</v>
          </cell>
          <cell r="D12740" t="str">
            <v>3D X PATIENT SCREWDRIVER</v>
          </cell>
        </row>
        <row r="12741">
          <cell r="B12741" t="str">
            <v>51-600-80-07</v>
          </cell>
          <cell r="C12741" t="str">
            <v>3D X VEKTOR EINSTELL-SCHRAUBENDREHER</v>
          </cell>
          <cell r="D12741" t="str">
            <v>3D X ANGULAR  ADJUSTMENT DRIVER</v>
          </cell>
        </row>
        <row r="12742">
          <cell r="B12742" t="str">
            <v>51-600-85-07</v>
          </cell>
          <cell r="C12742" t="str">
            <v>MOLINA SCHRAUBENDREHER</v>
          </cell>
          <cell r="D12742" t="str">
            <v>MOLINA SCREWDRIVER FOR PINS</v>
          </cell>
        </row>
        <row r="12743">
          <cell r="B12743" t="str">
            <v>51-600-86-07</v>
          </cell>
          <cell r="C12743" t="str">
            <v>Funktionsteil mit Dist.Ende  51-600-85-05</v>
          </cell>
          <cell r="D12743" t="str">
            <v>Screw Driver Blade/End  51-600-85-05</v>
          </cell>
        </row>
        <row r="12744">
          <cell r="B12744" t="str">
            <v>51-600-90-07</v>
          </cell>
          <cell r="C12744" t="str">
            <v>MOLINA AKTIVATOR/FIXATION SCHRAUBENDREH.</v>
          </cell>
          <cell r="D12744" t="str">
            <v>MOLINA ACTIVATOR/FIXATION SCREWDRIVER</v>
          </cell>
        </row>
        <row r="12745">
          <cell r="B12745" t="str">
            <v>51-601-00-09</v>
          </cell>
          <cell r="C12745" t="str">
            <v>3D X STANDARD  SET</v>
          </cell>
          <cell r="D12745" t="str">
            <v>3D X STANDARD  SET</v>
          </cell>
        </row>
        <row r="12746">
          <cell r="B12746" t="str">
            <v>51-601-01-09</v>
          </cell>
          <cell r="C12746" t="str">
            <v>3D X BASISELEMENT</v>
          </cell>
          <cell r="D12746" t="str">
            <v>3D X DISTRACTOR BODY</v>
          </cell>
        </row>
        <row r="12747">
          <cell r="B12747" t="str">
            <v>51-601-02-09</v>
          </cell>
          <cell r="C12747" t="str">
            <v>3D X PIN FIXIERUNGSELEMENT, KURZ</v>
          </cell>
          <cell r="D12747" t="str">
            <v>3D X PIN HOLDING  CLAMP, SHORT</v>
          </cell>
        </row>
        <row r="12748">
          <cell r="B12748" t="str">
            <v>51-601-03-04</v>
          </cell>
          <cell r="C12748" t="str">
            <v>3D X KOHLEFASERSTAB FUER KONSOLID,  98 MM</v>
          </cell>
          <cell r="D12748" t="str">
            <v>3D X CARBON FIBRE ROD F.CONSOLID, 98 MM</v>
          </cell>
        </row>
        <row r="12749">
          <cell r="B12749" t="str">
            <v>51-601-04-09</v>
          </cell>
          <cell r="C12749" t="str">
            <v>3D X KOHLEFASERSTAB-FIXIERUNGSELEMENT</v>
          </cell>
          <cell r="D12749" t="str">
            <v>3D X CARBON FIBRE ROD FIXATION  CLAMP</v>
          </cell>
        </row>
        <row r="12750">
          <cell r="B12750" t="str">
            <v>51-601-05-09</v>
          </cell>
          <cell r="C12750" t="str">
            <v>3D X SECHSKANT-FIXIERUNGSSCHRAUBE</v>
          </cell>
          <cell r="D12750" t="str">
            <v>3D X PIN HOLDING  CLAMP HEXAGONAL SCREW</v>
          </cell>
        </row>
        <row r="12751">
          <cell r="B12751" t="str">
            <v>51-601-06-09</v>
          </cell>
          <cell r="C12751" t="str">
            <v>3D X PIN FUEHRUNGSINSTRUMENT 2.0MM PINS</v>
          </cell>
          <cell r="D12751" t="str">
            <v>3D X PIN GUIDE FOR 2.0MM PINS</v>
          </cell>
        </row>
        <row r="12752">
          <cell r="B12752" t="str">
            <v>51-601-07-04</v>
          </cell>
          <cell r="C12752" t="str">
            <v>3D X KOHLEFASERSTAB FUER KONSOLID,150 MM</v>
          </cell>
          <cell r="D12752" t="str">
            <v>3D X CARBON FIBRE ROD F.CONSOLID, 150 MM</v>
          </cell>
        </row>
        <row r="12753">
          <cell r="B12753" t="str">
            <v>51-601-09-09</v>
          </cell>
          <cell r="C12753" t="str">
            <v>PIN FIXIERUNGSELEMENT KURZ, VERRIEGELBAR</v>
          </cell>
          <cell r="D12753" t="str">
            <v>PIN HOLDING  CLAMP SHORT W.LOCKING SLIDER</v>
          </cell>
        </row>
        <row r="12754">
          <cell r="B12754" t="str">
            <v>51-601-16-09</v>
          </cell>
          <cell r="C12754" t="str">
            <v>3D X PIN FUEHRUNGSINSTRUMENT 2.7MM PINS</v>
          </cell>
          <cell r="D12754" t="str">
            <v>3D X PIN GUIDE FOR 2.7MM PINS</v>
          </cell>
        </row>
        <row r="12755">
          <cell r="B12755" t="str">
            <v>51-601-35-09</v>
          </cell>
          <cell r="C12755" t="str">
            <v>3D X DISTRAKTIONSARM 35 MM</v>
          </cell>
          <cell r="D12755" t="str">
            <v>3D X DISTRACTION ARM 35 MM</v>
          </cell>
        </row>
        <row r="12756">
          <cell r="B12756" t="str">
            <v>51-601-50-09</v>
          </cell>
          <cell r="C12756" t="str">
            <v>3D X DISTRAKTIONSARM 50 MM</v>
          </cell>
          <cell r="D12756" t="str">
            <v>3D X DISTRACTION ARM 50 MM</v>
          </cell>
        </row>
        <row r="12757">
          <cell r="B12757" t="str">
            <v>51-601-56-09</v>
          </cell>
          <cell r="C12757" t="str">
            <v>MOLINA MANDIBULA DISTRACTOR,56X40MM,LI</v>
          </cell>
          <cell r="D12757" t="str">
            <v>MOLINA MANDIBULAR DISTRACTOR,56X47MM,LEF</v>
          </cell>
        </row>
        <row r="12758">
          <cell r="B12758" t="str">
            <v>51-601-65-09</v>
          </cell>
          <cell r="C12758" t="str">
            <v>3D X DISTRAKTIONSARM 65 MM</v>
          </cell>
          <cell r="D12758" t="str">
            <v>3D X DISTRACTION ARM 65 MM</v>
          </cell>
        </row>
        <row r="12759">
          <cell r="B12759" t="str">
            <v>51-601-76-09</v>
          </cell>
          <cell r="C12759" t="str">
            <v>MOLINA MANDIBULA DISTRACTOR,76X40MM,LI</v>
          </cell>
          <cell r="D12759" t="str">
            <v>MOLINA MANDIBULAR DISTRACTOR 76X40MM  LEF</v>
          </cell>
        </row>
        <row r="12760">
          <cell r="B12760" t="str">
            <v>51-602-56-09</v>
          </cell>
          <cell r="C12760" t="str">
            <v>MOLINA MANDIBULA DISTRACTOR,56X40MM,RE</v>
          </cell>
          <cell r="D12760" t="str">
            <v>MOLINA MANDIBULAR DISTRACTOR,56X47MM,RIG</v>
          </cell>
        </row>
        <row r="12761">
          <cell r="B12761" t="str">
            <v>51-602-76-09</v>
          </cell>
          <cell r="C12761" t="str">
            <v>MOLINA MANDIBULA DISTRACTOR,76X47MM,RE</v>
          </cell>
          <cell r="D12761" t="str">
            <v>MOLINA MANDIBULAR DISTRACTOR,76X47MM,RIG</v>
          </cell>
        </row>
        <row r="12762">
          <cell r="B12762" t="str">
            <v>51-603-45-09</v>
          </cell>
          <cell r="C12762" t="str">
            <v>Kranio-Mandibular Fixateur,  klein</v>
          </cell>
          <cell r="D12762" t="str">
            <v>Cranio-Mandibular Fixator, small</v>
          </cell>
        </row>
        <row r="12763">
          <cell r="B12763" t="str">
            <v>51-603-50-09</v>
          </cell>
          <cell r="C12763" t="str">
            <v>Kranio-Mandibular Fixateur,  normal</v>
          </cell>
          <cell r="D12763" t="str">
            <v>Cranio-Mandibular Fixator, regular</v>
          </cell>
        </row>
        <row r="12764">
          <cell r="B12764" t="str">
            <v>51-604-50-09</v>
          </cell>
          <cell r="C12764" t="str">
            <v>Kranio-Mandibular Fixateur,  lang</v>
          </cell>
          <cell r="D12764" t="str">
            <v>Cranio-Mandibular Fixator, long</v>
          </cell>
        </row>
        <row r="12765">
          <cell r="B12765" t="str">
            <v>51-606-12-09</v>
          </cell>
          <cell r="C12765" t="str">
            <v>MOLINA FIXATIONSSCHRAUBE 2X121MM</v>
          </cell>
          <cell r="D12765" t="str">
            <v>MOLINA FIXATION  PIN 2X121MM</v>
          </cell>
        </row>
        <row r="12766">
          <cell r="B12766" t="str">
            <v>51-606-40-09</v>
          </cell>
          <cell r="C12766" t="str">
            <v>MOLINA FIXATIONSSCHRAUBEN 2X42MM,  2/PKS</v>
          </cell>
          <cell r="D12766" t="str">
            <v>MOLINA FIXATION  PINS 2X42MM,  2 EACH</v>
          </cell>
        </row>
        <row r="12767">
          <cell r="B12767" t="str">
            <v>51-608-60-09</v>
          </cell>
          <cell r="C12767" t="str">
            <v>MOLINA SCHRAUBEN 2,7X62MM, 2/PKS</v>
          </cell>
          <cell r="D12767" t="str">
            <v>MOLINA PINS 2,7 X 62 MM 2 PACK</v>
          </cell>
        </row>
        <row r="12768">
          <cell r="B12768" t="str">
            <v>51-610-60-09</v>
          </cell>
          <cell r="C12768" t="str">
            <v>MOLINA FIXATIONSSCHRAUBEN 3,2X62MM  2/PKS</v>
          </cell>
          <cell r="D12768" t="str">
            <v>MOLINA FIXATION  PINS 3,2X62MM, 2 EACH</v>
          </cell>
        </row>
        <row r="12769">
          <cell r="B12769" t="str">
            <v>51-612-20-09</v>
          </cell>
          <cell r="C12769" t="str">
            <v>VERTIK.MANDIB.RAMUS-DISTR. LINKS, 20MM</v>
          </cell>
          <cell r="D12769" t="str">
            <v>VERTICAL  MANDIB.RAMUS DISTR.LEFT, 20MM</v>
          </cell>
        </row>
        <row r="12770">
          <cell r="B12770" t="str">
            <v>51-612-25-09</v>
          </cell>
          <cell r="C12770" t="str">
            <v>VERTIK.MANDIB.RAMUS-DISTR. LINKS, 25MM</v>
          </cell>
          <cell r="D12770" t="str">
            <v>VERTICAL  MANDIB.RAMUS DISTR.LEFT, 25MM</v>
          </cell>
        </row>
        <row r="12771">
          <cell r="B12771" t="str">
            <v>51-613-20-09</v>
          </cell>
          <cell r="C12771" t="str">
            <v>VERTIK.MANDIB.RAMUS-DISTR. RECHTS, 20MM</v>
          </cell>
          <cell r="D12771" t="str">
            <v>VERTICAL  MANDIB.RAMUS DISTR.RIGHT, 20MM</v>
          </cell>
        </row>
        <row r="12772">
          <cell r="B12772" t="str">
            <v>51-613-25-09</v>
          </cell>
          <cell r="C12772" t="str">
            <v>VERTIK.MANDIB.RAMUS-DISTR. RECHTS, 25MM</v>
          </cell>
          <cell r="D12772" t="str">
            <v>VERTICAL  MANDIB.RAMUS DISTR.RIGHT, 25MM</v>
          </cell>
        </row>
        <row r="12773">
          <cell r="B12773" t="str">
            <v>51-620-25-09</v>
          </cell>
          <cell r="C12773" t="str">
            <v>MARCHAC/ARNAUD TEMPORAL DISTR BABY 25MM</v>
          </cell>
          <cell r="D12773" t="str">
            <v>MARCHAC/ARNAUD TEMPORAL DISTR BABY 25MM</v>
          </cell>
        </row>
        <row r="12774">
          <cell r="B12774" t="str">
            <v>51-620-35-09</v>
          </cell>
          <cell r="C12774" t="str">
            <v>MARCHAC/ARNAUD TEMPORAL DISTR ERWA. 35MM</v>
          </cell>
          <cell r="D12774" t="str">
            <v>MARCHAC/ARNAUD TEMPOR.  DISTR ADULTS 35MM</v>
          </cell>
        </row>
        <row r="12775">
          <cell r="B12775" t="str">
            <v>51-620-50-05</v>
          </cell>
          <cell r="C12775" t="str">
            <v>3D X PIN 2,0 X 52 MM, STAHL, 4ER-PACK</v>
          </cell>
          <cell r="D12775" t="str">
            <v>3D X PIN 2,0 X 52 MM, Steel, 4EACH</v>
          </cell>
        </row>
        <row r="12776">
          <cell r="B12776" t="str">
            <v>51-623-40-09</v>
          </cell>
          <cell r="C12776" t="str">
            <v>SPINDEL INKL.PIVOT MARCHAC  DISTRAKT.40MM</v>
          </cell>
          <cell r="D12776" t="str">
            <v>SPINDLE INCL.PIVOT MARCHAC  DISTRACT.40MM</v>
          </cell>
        </row>
        <row r="12777">
          <cell r="B12777" t="str">
            <v>51-623-50-09</v>
          </cell>
          <cell r="C12777" t="str">
            <v>SPINDEL INKL.PIVOT MARCHAC  DISTRAKT.50MM</v>
          </cell>
          <cell r="D12777" t="str">
            <v>SPINDLE INCL.PIVOT MARCHAC  DISTRACT.50MM</v>
          </cell>
        </row>
        <row r="12778">
          <cell r="B12778" t="str">
            <v>51-623-60-09</v>
          </cell>
          <cell r="C12778" t="str">
            <v>SPINDEL INKL.PIVOT MARCHAC  DISTRAKT.60MM</v>
          </cell>
          <cell r="D12778" t="str">
            <v>SPINDLE INCL.PIVOT MARCHAC  DISTRACT.60MM</v>
          </cell>
        </row>
        <row r="12779">
          <cell r="B12779" t="str">
            <v>51-623-70-09</v>
          </cell>
          <cell r="C12779" t="str">
            <v>SPINDEL INKL.PIVOT MARCHAC  DISTRAKT.70MM</v>
          </cell>
          <cell r="D12779" t="str">
            <v>SPINDLE INCL.PIVOT MARCHAC  DISTRACT.70MM</v>
          </cell>
        </row>
        <row r="12780">
          <cell r="B12780" t="str">
            <v>51-627-60-05</v>
          </cell>
          <cell r="C12780" t="str">
            <v>PIN Ø2,7 X 62 MM, STAHL, 4ER-PACK</v>
          </cell>
          <cell r="D12780" t="str">
            <v>3D X PIN 2,7 X 62 MM, Steel, 4EACH</v>
          </cell>
        </row>
        <row r="12781">
          <cell r="B12781" t="str">
            <v>51-630-20-09</v>
          </cell>
          <cell r="C12781" t="str">
            <v>ARNAUD/MAR CRANIAL  MONOBLOC DISTR. 20MM</v>
          </cell>
          <cell r="D12781" t="str">
            <v>ARNAUD/MAR CRANIAL  MONOBLOC DISTR. 20MM</v>
          </cell>
        </row>
        <row r="12782">
          <cell r="B12782" t="str">
            <v>51-630-30-09</v>
          </cell>
          <cell r="C12782" t="str">
            <v>ARNAUD/MAR CRANIAL  MONOBLOC DISTR. 30MM</v>
          </cell>
          <cell r="D12782" t="str">
            <v>ARNAUD/MAR CRANIAL  MONOBLOC DISTR. 30MM</v>
          </cell>
        </row>
        <row r="12783">
          <cell r="B12783" t="str">
            <v>51-632-20-09</v>
          </cell>
          <cell r="C12783" t="str">
            <v>ARNAUD  CRAN ORB DISTR 20MM, NEW VERS.</v>
          </cell>
          <cell r="D12783" t="str">
            <v>ARNAUD  CRAN ORB DISTR 20MM, NEW VERS.</v>
          </cell>
        </row>
        <row r="12784">
          <cell r="B12784" t="str">
            <v>51-632-30-09</v>
          </cell>
          <cell r="C12784" t="str">
            <v>ARNAUD  CRAN ORB DISTR 30MM, NEW VERS.</v>
          </cell>
          <cell r="D12784" t="str">
            <v>ARNAUD  CRAN ORB DISTR 30MM, NEW VERS.</v>
          </cell>
        </row>
        <row r="12785">
          <cell r="B12785" t="str">
            <v>51-650-20-09</v>
          </cell>
          <cell r="C12785" t="str">
            <v>LIOU CLEFT TRANSP.DISTRAKTOR 20MM, LINKS</v>
          </cell>
          <cell r="D12785" t="str">
            <v>LIOU CLEFT TRANSP.DISTRACTOR 20MM, LEFT</v>
          </cell>
        </row>
        <row r="12786">
          <cell r="B12786" t="str">
            <v>51-651-20-09</v>
          </cell>
          <cell r="C12786" t="str">
            <v>LIOU CLEFT TRANSP.DISTRAKTOR 20MM,RECHTS</v>
          </cell>
          <cell r="D12786" t="str">
            <v>LIOU CLEFT TRANSP.DISTRACTOR 20MM, RIGHT</v>
          </cell>
        </row>
        <row r="12787">
          <cell r="B12787" t="str">
            <v>51-670-03-07</v>
          </cell>
          <cell r="C12787" t="str">
            <v>X-FIX Gelenkkopf</v>
          </cell>
          <cell r="D12787" t="str">
            <v>X-FIX Swivel Piece</v>
          </cell>
        </row>
        <row r="12788">
          <cell r="B12788" t="str">
            <v>51-670-04-09</v>
          </cell>
          <cell r="C12788" t="str">
            <v>X-FIX Klammer,  Ø 4 mm, symmetrisch</v>
          </cell>
          <cell r="D12788" t="str">
            <v>X-FIX Clamp Element Ø 4mm, symmetrical</v>
          </cell>
        </row>
        <row r="12789">
          <cell r="B12789" t="str">
            <v>51-670-05-09</v>
          </cell>
          <cell r="C12789" t="str">
            <v>X-FIX Klammer,  Ø 3,2+4 mm, asymmetrisch</v>
          </cell>
          <cell r="D12789" t="str">
            <v>X-FIX Clamp Ø 3.2 + 4 mm, asymmetrical</v>
          </cell>
        </row>
        <row r="12790">
          <cell r="B12790" t="str">
            <v>51-670-07-09</v>
          </cell>
          <cell r="C12790" t="str">
            <v>X-FIX Pin 3,2 X 70 X 7 mm</v>
          </cell>
          <cell r="D12790" t="str">
            <v>X-FIX Pin 3.2 X 70 X 7 mm</v>
          </cell>
        </row>
        <row r="12791">
          <cell r="B12791" t="str">
            <v>51-670-11-09</v>
          </cell>
          <cell r="C12791" t="str">
            <v>X-FIX Pin 3,2 X 70 X 11 mm</v>
          </cell>
          <cell r="D12791" t="str">
            <v>X-FIX Pin 3.2 X 70 X 11 mm</v>
          </cell>
        </row>
        <row r="12792">
          <cell r="B12792" t="str">
            <v>51-670-13-09</v>
          </cell>
          <cell r="C12792" t="str">
            <v>X-FIX Pin 3,2 X 70 X 13 mm</v>
          </cell>
          <cell r="D12792" t="str">
            <v>X-FIX Pin 3.2 X 70 X 13 mm</v>
          </cell>
        </row>
        <row r="12793">
          <cell r="B12793" t="str">
            <v>51-671-28-09</v>
          </cell>
          <cell r="C12793" t="str">
            <v>X-FIX Template  1 X 4 X 325 mm</v>
          </cell>
          <cell r="D12793" t="str">
            <v>X-FIX Template  1X4X325  mm</v>
          </cell>
        </row>
        <row r="12794">
          <cell r="B12794" t="str">
            <v>51-672-01-09</v>
          </cell>
          <cell r="C12794" t="str">
            <v>X-FIX Stange vorgebogen, ganzer UK</v>
          </cell>
          <cell r="D12794" t="str">
            <v>X-FIX Pre-Bent  Rod, Full Mandible</v>
          </cell>
        </row>
        <row r="12795">
          <cell r="B12795" t="str">
            <v>51-672-02-09</v>
          </cell>
          <cell r="C12795" t="str">
            <v>X-FIX Stange vorgebogen, ganzer UK II</v>
          </cell>
          <cell r="D12795" t="str">
            <v>X-FIX Pre-Bent  Rod, Full Mandible  II</v>
          </cell>
        </row>
        <row r="12796">
          <cell r="B12796" t="str">
            <v>51-672-03-09</v>
          </cell>
          <cell r="C12796" t="str">
            <v>X-FIX Stange vorgebogen, 1/1 UK, Ø 4 mm</v>
          </cell>
          <cell r="D12796" t="str">
            <v>X-FIX Pre-Bent  Rod 1/1 Mandible,  Ø 4 mm</v>
          </cell>
        </row>
        <row r="12797">
          <cell r="B12797" t="str">
            <v>51-672-04-09</v>
          </cell>
          <cell r="C12797" t="str">
            <v>X-FIX Stange vorgebogen, 3/4 UK, Ø 4 mm</v>
          </cell>
          <cell r="D12797" t="str">
            <v>X-FIX Pre-Bent  Rod 3/4 Mandible,  Ø 4 mm</v>
          </cell>
        </row>
        <row r="12798">
          <cell r="B12798" t="str">
            <v>51-672-05-09</v>
          </cell>
          <cell r="C12798" t="str">
            <v>X-FIX Stange vorgebogen, 1/2 UK, Ø 4 mm</v>
          </cell>
          <cell r="D12798" t="str">
            <v>X-FIX Pre-Bent  Rod 1/2 Mandible,  Ø 4 mm</v>
          </cell>
        </row>
        <row r="12799">
          <cell r="B12799" t="str">
            <v>51-672-06-09</v>
          </cell>
          <cell r="C12799" t="str">
            <v>X-FIX Stange gerade, mittel Ø 4 x 160 mm</v>
          </cell>
          <cell r="D12799" t="str">
            <v>X-FIX Straight Bar, medium,  Ø 4 x 160 mm</v>
          </cell>
        </row>
        <row r="12800">
          <cell r="B12800" t="str">
            <v>51-672-07-09</v>
          </cell>
          <cell r="C12800" t="str">
            <v>X-FIX Stange gerade, lang, Ø 4 x 325 mm</v>
          </cell>
          <cell r="D12800" t="str">
            <v>X-FIX Straight Bar, long, Ø 4 x 325 mm</v>
          </cell>
        </row>
        <row r="12801">
          <cell r="B12801" t="str">
            <v>51-672-08-09</v>
          </cell>
          <cell r="C12801" t="str">
            <v>X-FIX Stange gerade, kurz, Ø 4 x 102 mm</v>
          </cell>
          <cell r="D12801" t="str">
            <v>X-FIX Straight Bar, short, Ø 4 x 102 mm</v>
          </cell>
        </row>
        <row r="12802">
          <cell r="B12802" t="str">
            <v>51-673-07-09</v>
          </cell>
          <cell r="C12802" t="str">
            <v>X-FIX Pin 2.7 X 80 X 7 mm</v>
          </cell>
          <cell r="D12802" t="str">
            <v>X-FIX Pin 2.7 X 80 X 7 mm</v>
          </cell>
        </row>
        <row r="12803">
          <cell r="B12803" t="str">
            <v>51-673-09-09</v>
          </cell>
          <cell r="C12803" t="str">
            <v>X-FIX Pin 2.7 X 80 X 9 mm</v>
          </cell>
          <cell r="D12803" t="str">
            <v>X-FIX Pin 2.7 X 80 X 9 mm</v>
          </cell>
        </row>
        <row r="12804">
          <cell r="B12804" t="str">
            <v>51-673-13-09</v>
          </cell>
          <cell r="C12804" t="str">
            <v>X-FIX Pin 2.7 X 80 X 13 mm</v>
          </cell>
          <cell r="D12804" t="str">
            <v>X-FIX Pin 2.7 X 80 X 13 mm</v>
          </cell>
        </row>
        <row r="12805">
          <cell r="B12805" t="str">
            <v>51-673-17-09</v>
          </cell>
          <cell r="C12805" t="str">
            <v>X-FIX Pin 2.7 X 80 X 17 mm</v>
          </cell>
          <cell r="D12805" t="str">
            <v>X-FIX Pin 2.7 X 80 X 17 mm</v>
          </cell>
        </row>
        <row r="12806">
          <cell r="B12806" t="str">
            <v>51-700-50-09</v>
          </cell>
          <cell r="C12806" t="str">
            <v>THREADLOCK TRANSPORT DISTRAKTOR, 50MM</v>
          </cell>
          <cell r="D12806" t="str">
            <v>THREADLOCK TRANSPORT DISTRACTOR, 50MM</v>
          </cell>
        </row>
        <row r="12807">
          <cell r="B12807" t="str">
            <v>51-710-40-09</v>
          </cell>
          <cell r="C12807" t="str">
            <v>HERFORD  TRANSPORT DISTRAKTOR 40 MM,LINKS</v>
          </cell>
          <cell r="D12807" t="str">
            <v>HERFORD  TRANSPORT DISTRACTOR 40 MM,LEFT</v>
          </cell>
        </row>
        <row r="12808">
          <cell r="B12808" t="str">
            <v>51-710-60-09</v>
          </cell>
          <cell r="C12808" t="str">
            <v>HERFORD  TRANSPORT DISTRAKTOR 60 MM,LINKS</v>
          </cell>
          <cell r="D12808" t="str">
            <v>HERFORD  TRANSPORT DISTRACTOR 60 MM,LEFT</v>
          </cell>
        </row>
        <row r="12809">
          <cell r="B12809" t="str">
            <v>51-711-40-09</v>
          </cell>
          <cell r="C12809" t="str">
            <v>HERFORD  TRANSPORT DISTRAKTOR 40MM,RECHTS</v>
          </cell>
          <cell r="D12809" t="str">
            <v>HERFORD  TRANSPORT DISTRACTOR 40 MM,RIGHT</v>
          </cell>
        </row>
        <row r="12810">
          <cell r="B12810" t="str">
            <v>51-711-60-09</v>
          </cell>
          <cell r="C12810" t="str">
            <v>HERFORD  TRANSPORT DISTRAKTOR 60MM,RECHTS</v>
          </cell>
          <cell r="D12810" t="str">
            <v>HERFORD  TRANSPORT DISTRACTOR 60 MM,RIGHT</v>
          </cell>
        </row>
        <row r="12811">
          <cell r="B12811" t="str">
            <v>52-075-04-04</v>
          </cell>
          <cell r="C12811" t="str">
            <v>RESORB-X  PLATTE GERADE 4-LOCH, 1 STCK.</v>
          </cell>
          <cell r="D12811" t="str">
            <v>RESORB-X  PLATE STRAIGHT  4-HOLE,QTY.OF 1</v>
          </cell>
        </row>
        <row r="12812">
          <cell r="B12812" t="str">
            <v>52-075-08-04</v>
          </cell>
          <cell r="C12812" t="str">
            <v>RESORB-X  PLATTE GERADE 8-LOCH, 1 STCK.</v>
          </cell>
          <cell r="D12812" t="str">
            <v>RESORB-X  PLATE STRAIGHT  8-HOLE,QTY.OF 1</v>
          </cell>
        </row>
        <row r="12813">
          <cell r="B12813" t="str">
            <v>52-076-04-04</v>
          </cell>
          <cell r="C12813" t="str">
            <v>RESORB-X  PLATTE GER.4-LOCH,MAGDEBURG 1ST</v>
          </cell>
          <cell r="D12813" t="str">
            <v>RESORB-X  PLATE ST.MAGDEBURG 4-H.,QTY.OF1</v>
          </cell>
        </row>
        <row r="12814">
          <cell r="B12814" t="str">
            <v>52-076-08-04</v>
          </cell>
          <cell r="C12814" t="str">
            <v>RESORB-X  ORBITA-PLATTE 8-LOCH,1  STCK.</v>
          </cell>
          <cell r="D12814" t="str">
            <v>RESORB-X  ORBITAL PLATE,8-HOLE,QTY.OF1</v>
          </cell>
        </row>
        <row r="12815">
          <cell r="B12815" t="str">
            <v>52-076-22-04</v>
          </cell>
          <cell r="C12815" t="str">
            <v>RESORB X-PLATTE  GERADE 22-LOCH</v>
          </cell>
          <cell r="D12815" t="str">
            <v>RESORB X-PLATE STRAIGHT  22-HOLES</v>
          </cell>
        </row>
        <row r="12816">
          <cell r="B12816" t="str">
            <v>52-077-04-04</v>
          </cell>
          <cell r="C12816" t="str">
            <v>RESORB-X  PLATTE GERADE 4-LOCH,M.STEG 1ST</v>
          </cell>
          <cell r="D12816" t="str">
            <v>RESORB-X  PLATE STRAI.4-H.MEDIUM QTY.OF 1</v>
          </cell>
        </row>
        <row r="12817">
          <cell r="B12817" t="str">
            <v>52-080-04-04</v>
          </cell>
          <cell r="C12817" t="str">
            <v>RESORB-X  PLATTE GERADE 4-LOCH,T=0,8MM</v>
          </cell>
          <cell r="D12817" t="str">
            <v>RESORB-X  PLATE STRAIGHT  4-HOLE,T=0,8MM</v>
          </cell>
        </row>
        <row r="12818">
          <cell r="B12818" t="str">
            <v>52-082-04-04</v>
          </cell>
          <cell r="C12818" t="str">
            <v>RESORB-X  PLATTE GER.4-LO,M.STEG T=0,8MM</v>
          </cell>
          <cell r="D12818" t="str">
            <v>RESORB-X  PLATE STR.4-H.MEDIUM T=0,8MM</v>
          </cell>
        </row>
        <row r="12819">
          <cell r="B12819" t="str">
            <v>52-085-05-04</v>
          </cell>
          <cell r="C12819" t="str">
            <v>RESORB-X  Y-PLATTE  5-LOCH,M.STEG 1 STCK</v>
          </cell>
          <cell r="D12819" t="str">
            <v>RESORB-X  Y-PLATE 5-HOLE MEDIUM,  QTY.OF 1</v>
          </cell>
        </row>
        <row r="12820">
          <cell r="B12820" t="str">
            <v>52-088-06-04</v>
          </cell>
          <cell r="C12820" t="str">
            <v>RESORB-X  T-PLATTE  6-LOCH,1  STCK</v>
          </cell>
          <cell r="D12820" t="str">
            <v>RESORB-X  T-PLATE 6-HOLE QTY.OF 1</v>
          </cell>
        </row>
        <row r="12821">
          <cell r="B12821" t="str">
            <v>52-090-06-04</v>
          </cell>
          <cell r="C12821" t="str">
            <v>RESORB-X  DOPP-Y-PLATTE 6-LOCH,M.STEG 1ST</v>
          </cell>
          <cell r="D12821" t="str">
            <v>RESORB-X  DBL.Y-PLATE 6-H.MEDIUM,QTY.OF 1</v>
          </cell>
        </row>
        <row r="12822">
          <cell r="B12822" t="str">
            <v>52-091-06-04</v>
          </cell>
          <cell r="C12822" t="str">
            <v>RESORB-X  PLATTE DOPP-Y EXTRA BREIT 1,0MM</v>
          </cell>
          <cell r="D12822" t="str">
            <v>RESORB-X  PLATE DOUBLE-Y  EXTRA WIDE 1,0MM</v>
          </cell>
        </row>
        <row r="12823">
          <cell r="B12823" t="str">
            <v>52-092-06-04</v>
          </cell>
          <cell r="C12823" t="str">
            <v>RESORB-X  PLATTE DOPP-Y VORGEB.  T=1,0MM</v>
          </cell>
          <cell r="D12823" t="str">
            <v>RESORB-X  PLATE DOUBLE-Y  PREBENT.  1,0MM</v>
          </cell>
        </row>
        <row r="12824">
          <cell r="B12824" t="str">
            <v>52-095-06-04</v>
          </cell>
          <cell r="C12824" t="str">
            <v>RESORB-X  L-PLATTE  LK. 6-LOCH,M.STEG 1ST</v>
          </cell>
          <cell r="D12824" t="str">
            <v>RESORB-X  L-PLATE LEFT 6-H.MEDIUM,QTY.OF1</v>
          </cell>
        </row>
        <row r="12825">
          <cell r="B12825" t="str">
            <v>52-095-07-04</v>
          </cell>
          <cell r="C12825" t="str">
            <v>RESORB-X  L-PLATTE  LK.6-L.,M.STEG LG. 1ST</v>
          </cell>
          <cell r="D12825" t="str">
            <v>RESORB-X  L-PLATE LEFT 6-H.LONG,QTY.OF1</v>
          </cell>
        </row>
        <row r="12826">
          <cell r="B12826" t="str">
            <v>52-096-06-04</v>
          </cell>
          <cell r="C12826" t="str">
            <v>RESORB-X  L-PLATTE  RE.,6-LOCH,M.STEG 1ST</v>
          </cell>
          <cell r="D12826" t="str">
            <v>RESORB-X  L-PLATE R.,6-H.MEDIUM,QTY.OF1</v>
          </cell>
        </row>
        <row r="12827">
          <cell r="B12827" t="str">
            <v>52-096-07-04</v>
          </cell>
          <cell r="C12827" t="str">
            <v>RESORB-X  L-PLATTE  RE.6-L.M.STEG LANG 1ST</v>
          </cell>
          <cell r="D12827" t="str">
            <v>RESORB-X  L-PLATE RIGHT,6-H.LONG,QTY.OF1</v>
          </cell>
        </row>
        <row r="12828">
          <cell r="B12828" t="str">
            <v>52-118-06-07</v>
          </cell>
          <cell r="C12828" t="str">
            <v>VORBOHRER 1,8 X 50 6MM, JKUPPLUNG</v>
          </cell>
          <cell r="D12828" t="str">
            <v>TWIST DRILL 1.8X50 6MM, J-NOTCH</v>
          </cell>
        </row>
        <row r="12829">
          <cell r="B12829" t="str">
            <v>52-118-08-07</v>
          </cell>
          <cell r="C12829" t="str">
            <v>VORBOHRER 1,8 X 50 8MM, JKUPPLUNG</v>
          </cell>
          <cell r="D12829" t="str">
            <v>TWIST DRILL 1.8X50 8MM, J-NOTCH</v>
          </cell>
        </row>
        <row r="12830">
          <cell r="B12830" t="str">
            <v>52-118-10-07</v>
          </cell>
          <cell r="C12830" t="str">
            <v>VORBOHRER 1,8 X 50 10MM, JKUPPLUNG</v>
          </cell>
          <cell r="D12830" t="str">
            <v>TWIST DRILL 1.8X50 10MM, J-NOTCH</v>
          </cell>
        </row>
        <row r="12831">
          <cell r="B12831" t="str">
            <v>52-121-06-07</v>
          </cell>
          <cell r="C12831" t="str">
            <v>VORBOHRER 2,1 X 50 6MM, JKUPPLUNG</v>
          </cell>
          <cell r="D12831" t="str">
            <v>TWIST DRILL 2.1X50 6MM, J-NOTCH</v>
          </cell>
        </row>
        <row r="12832">
          <cell r="B12832" t="str">
            <v>52-121-08-07</v>
          </cell>
          <cell r="C12832" t="str">
            <v>VORBOHRER 2,1 X 50 8MM, JKUPPLUNG</v>
          </cell>
          <cell r="D12832" t="str">
            <v>TWIST DRILL 2.1X50 8MM, J-NOTCH</v>
          </cell>
        </row>
        <row r="12833">
          <cell r="B12833" t="str">
            <v>52-175-04-04</v>
          </cell>
          <cell r="C12833" t="str">
            <v>TEMPLATE  FUER 52-075-04</v>
          </cell>
          <cell r="D12833" t="str">
            <v>TEMPLATE  FOR 52-075-04</v>
          </cell>
        </row>
        <row r="12834">
          <cell r="B12834" t="str">
            <v>52-175-08-04</v>
          </cell>
          <cell r="C12834" t="str">
            <v>TEMPLATE  FUER 52-075-08</v>
          </cell>
          <cell r="D12834" t="str">
            <v>TEMPLATE  FOR 52-075-08</v>
          </cell>
        </row>
        <row r="12835">
          <cell r="B12835" t="str">
            <v>52-176-04-04</v>
          </cell>
          <cell r="C12835" t="str">
            <v>TEMPLATE  FUER 52-076-04</v>
          </cell>
          <cell r="D12835" t="str">
            <v>TEMPLATE  FOR 52-076-04</v>
          </cell>
        </row>
        <row r="12836">
          <cell r="B12836" t="str">
            <v>52-176-08-04</v>
          </cell>
          <cell r="C12836" t="str">
            <v>TEMPLATE  FUER 52-076-08</v>
          </cell>
          <cell r="D12836" t="str">
            <v>TEMPLATE  FOR 52-076-08</v>
          </cell>
        </row>
        <row r="12837">
          <cell r="B12837" t="str">
            <v>52-177-04-04</v>
          </cell>
          <cell r="C12837" t="str">
            <v>TEMPLATE  FUER 52-077-04</v>
          </cell>
          <cell r="D12837" t="str">
            <v>TEMPLATE  FOR 52-077-04</v>
          </cell>
        </row>
        <row r="12838">
          <cell r="B12838" t="str">
            <v>52-185-05-04</v>
          </cell>
          <cell r="C12838" t="str">
            <v>TEMPLATE  FUER 52-085-05</v>
          </cell>
          <cell r="D12838" t="str">
            <v>TEMPLATE  FOR 52-085-05</v>
          </cell>
        </row>
        <row r="12839">
          <cell r="B12839" t="str">
            <v>52-188-06-04</v>
          </cell>
          <cell r="C12839" t="str">
            <v>TEMPLATE  FUER 52-088-06</v>
          </cell>
          <cell r="D12839" t="str">
            <v>TEMPLATE  FOR 52-088-06</v>
          </cell>
        </row>
        <row r="12840">
          <cell r="B12840" t="str">
            <v>52-190-06-04</v>
          </cell>
          <cell r="C12840" t="str">
            <v>TEMPLATE  FUER 52-090-06</v>
          </cell>
          <cell r="D12840" t="str">
            <v>TEMPLATE  FOR 52-090-06</v>
          </cell>
        </row>
        <row r="12841">
          <cell r="B12841" t="str">
            <v>52-196-06-04</v>
          </cell>
          <cell r="C12841" t="str">
            <v>TEMPLATE  F. 52-096-06  U. 52-095-06</v>
          </cell>
          <cell r="D12841" t="str">
            <v>TEMPLATE  FOR 52-096-06  U. 52-095-06</v>
          </cell>
        </row>
        <row r="12842">
          <cell r="B12842" t="str">
            <v>52-196-07-04</v>
          </cell>
          <cell r="C12842" t="str">
            <v>TEMPLATE  F. 52-096-07  U. 52-095-07</v>
          </cell>
          <cell r="D12842" t="str">
            <v>TEMPLATE  FOR 52-096-07  U. 52-095-07</v>
          </cell>
        </row>
        <row r="12843">
          <cell r="B12843" t="str">
            <v>52-201-01-07</v>
          </cell>
          <cell r="C12843" t="str">
            <v>PLATTENHALTER RESORB-X</v>
          </cell>
          <cell r="D12843" t="str">
            <v>PLATE HOLDING  DEVICE RESORB-X</v>
          </cell>
        </row>
        <row r="12844">
          <cell r="B12844" t="str">
            <v>52-201-02-07</v>
          </cell>
          <cell r="C12844" t="str">
            <v>PINZETTE  RESORB-X</v>
          </cell>
          <cell r="D12844" t="str">
            <v>FORCEPS  RESORB-X</v>
          </cell>
        </row>
        <row r="12845">
          <cell r="B12845" t="str">
            <v>52-201-03-07</v>
          </cell>
          <cell r="C12845" t="str">
            <v>KNOCHENHALTEZANGE 25 CM, FÜR SONICWELD</v>
          </cell>
          <cell r="D12845" t="str">
            <v>BONE CLAMP 25 CM, FOR SONICWELD</v>
          </cell>
        </row>
        <row r="12846">
          <cell r="B12846" t="str">
            <v>52-218-06-07</v>
          </cell>
          <cell r="C12846" t="str">
            <v>VORBOHRER 1,8X40X6MM FUER BOS DRILL</v>
          </cell>
          <cell r="D12846" t="str">
            <v>TWIST DRILL 1,8X40X6MM FOR BOS DRILL</v>
          </cell>
        </row>
        <row r="12847">
          <cell r="B12847" t="str">
            <v>52-218-08-07</v>
          </cell>
          <cell r="C12847" t="str">
            <v>VORBOHRER 1,8X40X8MM FUER BOS DRILL</v>
          </cell>
          <cell r="D12847" t="str">
            <v>TWIST DRILL 1,8X40X8MM FOR BOS DRILL</v>
          </cell>
        </row>
        <row r="12848">
          <cell r="B12848" t="str">
            <v>52-218-10-07</v>
          </cell>
          <cell r="C12848" t="str">
            <v>VORBOHRER 1,8X40X10MM FUER BOS DRILL</v>
          </cell>
          <cell r="D12848" t="str">
            <v>TWIST DRILL 1,8X40X10MM FOR BOS DRILL</v>
          </cell>
        </row>
        <row r="12849">
          <cell r="B12849" t="str">
            <v>52-251-00-04</v>
          </cell>
          <cell r="C12849" t="str">
            <v>RESORB-X  MESH PLATTE 1,0/16X251 MM</v>
          </cell>
          <cell r="D12849" t="str">
            <v>RESORB-X  MESH PLATE 1,0/16X251 MM</v>
          </cell>
        </row>
        <row r="12850">
          <cell r="B12850" t="str">
            <v>52-251-01-04</v>
          </cell>
          <cell r="C12850" t="str">
            <v>RESORB-X  MESH 16X250 MM, T=1,5 MM</v>
          </cell>
          <cell r="D12850" t="str">
            <v>RESORB-X  MESH 16X250 MM, T=1,5 MM</v>
          </cell>
        </row>
        <row r="12851">
          <cell r="B12851" t="str">
            <v>52-301-00-04</v>
          </cell>
          <cell r="C12851" t="str">
            <v>Rx Alveolenprotektor Plus</v>
          </cell>
          <cell r="D12851" t="str">
            <v>Rx Alveolar Protector  Plus</v>
          </cell>
        </row>
        <row r="12852">
          <cell r="B12852" t="str">
            <v>52-301-07-04</v>
          </cell>
          <cell r="C12852" t="str">
            <v>RX Alveolenprotektor 7x2,5x0,1  MM</v>
          </cell>
          <cell r="D12852" t="str">
            <v>RX Alveolar Protector  7x2.5x0,1  MM</v>
          </cell>
        </row>
        <row r="12853">
          <cell r="B12853" t="str">
            <v>52-301-20-04</v>
          </cell>
          <cell r="C12853" t="str">
            <v>RESORB X-FOLIE 50 X 20MM, T=0,1 MM</v>
          </cell>
          <cell r="D12853" t="str">
            <v>RESORB X-SHEET 50 X 20MM, T=0,1 MM</v>
          </cell>
        </row>
        <row r="12854">
          <cell r="B12854" t="str">
            <v>52-301-28-04</v>
          </cell>
          <cell r="C12854" t="str">
            <v>RESORB X-FOLIE 25X25MM  T=0,1MM</v>
          </cell>
          <cell r="D12854" t="str">
            <v>RESORB X-SHEET 25X25MM  T=0,1MM</v>
          </cell>
        </row>
        <row r="12855">
          <cell r="B12855" t="str">
            <v>52-301-38-04</v>
          </cell>
          <cell r="C12855" t="str">
            <v>Resorb X Membran  25x25x0,1  MM</v>
          </cell>
          <cell r="D12855" t="str">
            <v>Resorb X Membrane  25x25x0,1  MM</v>
          </cell>
        </row>
        <row r="12856">
          <cell r="B12856" t="str">
            <v>52-302-30-04</v>
          </cell>
          <cell r="C12856" t="str">
            <v>Resorb X Membran  50x20x0,2  MM</v>
          </cell>
          <cell r="D12856" t="str">
            <v>Resorb X Membrane  50x20x0,2  MM</v>
          </cell>
        </row>
        <row r="12857">
          <cell r="B12857" t="str">
            <v>52-302-31-04</v>
          </cell>
          <cell r="C12857" t="str">
            <v>Resorb x Membran  30x30x0,2mm</v>
          </cell>
          <cell r="D12857" t="str">
            <v>Resorb x Membrane  30x30x0,2mm</v>
          </cell>
        </row>
        <row r="12858">
          <cell r="B12858" t="str">
            <v>52-302-41-04</v>
          </cell>
          <cell r="C12858" t="str">
            <v>Resorb x Membran  40x40x0,2mm</v>
          </cell>
          <cell r="D12858" t="str">
            <v>Resorb x Membrane  40x40x0,2mm</v>
          </cell>
        </row>
        <row r="12859">
          <cell r="B12859" t="str">
            <v>52-303-25-04</v>
          </cell>
          <cell r="C12859" t="str">
            <v>RESORB-X  MESH PLATTE 0,3 / 26X26 MM</v>
          </cell>
          <cell r="D12859" t="str">
            <v>RESORB-X  MESH SHEET 0,3 / 26X26 MM</v>
          </cell>
        </row>
        <row r="12860">
          <cell r="B12860" t="str">
            <v>52-303-26-04</v>
          </cell>
          <cell r="C12860" t="str">
            <v>RESORB-X  MESH FLEX. 0,3 / 29X29 MM</v>
          </cell>
          <cell r="D12860" t="str">
            <v>RESORB-X  MESH FLEX. 0,3 / 29X29 MM</v>
          </cell>
        </row>
        <row r="12861">
          <cell r="B12861" t="str">
            <v>52-303-28-04</v>
          </cell>
          <cell r="C12861" t="str">
            <v>RESORB X-FOLIE 26X26MM,  T=0,3MM</v>
          </cell>
          <cell r="D12861" t="str">
            <v>RESORB X-SHEET 26X26MM,  T=0,3MM</v>
          </cell>
        </row>
        <row r="12862">
          <cell r="B12862" t="str">
            <v>52-303-32-04</v>
          </cell>
          <cell r="C12862" t="str">
            <v>RESORB-X  MESH PLATTE 0,3 / 31 X 51 MM</v>
          </cell>
          <cell r="D12862" t="str">
            <v>RESORB-X  MESH SHEET 0.3 / 31X51 MM</v>
          </cell>
        </row>
        <row r="12863">
          <cell r="B12863" t="str">
            <v>52-303-50-04</v>
          </cell>
          <cell r="C12863" t="str">
            <v>RESORB-X  MESH PLATTE 0,3 / 51X51 MM</v>
          </cell>
          <cell r="D12863" t="str">
            <v>RESORB-X  MESH SHEET 0,3 / 51X51 MM</v>
          </cell>
        </row>
        <row r="12864">
          <cell r="B12864" t="str">
            <v>52-303-51-04</v>
          </cell>
          <cell r="C12864" t="str">
            <v>RESORB-X  MESH FLEX. 0,3 / 51X51 MM</v>
          </cell>
          <cell r="D12864" t="str">
            <v>RESORB-X  MESH FLEX. 0,3 / 51X51 MM</v>
          </cell>
        </row>
        <row r="12865">
          <cell r="B12865" t="str">
            <v>52-303-52-04</v>
          </cell>
          <cell r="C12865" t="str">
            <v>RESORB X-FOLIE 0,3 / 51 X 51 MM</v>
          </cell>
          <cell r="D12865" t="str">
            <v>RESORB X-SHEET 0,3 / 51 X 51 MM</v>
          </cell>
        </row>
        <row r="12866">
          <cell r="B12866" t="str">
            <v>52-306-12-04</v>
          </cell>
          <cell r="C12866" t="str">
            <v>RESORB X-MESH FLEX. 0,6 / 126X126  MM</v>
          </cell>
          <cell r="D12866" t="str">
            <v>RESORB X-MESH FLEX. 0,6 / 126X126  MM</v>
          </cell>
        </row>
        <row r="12867">
          <cell r="B12867" t="str">
            <v>52-306-17-04</v>
          </cell>
          <cell r="C12867" t="str">
            <v>RESORB X-FOLIE F. ORBITABODEN, 0.1MM</v>
          </cell>
          <cell r="D12867" t="str">
            <v>RESORB X-SHEET F. ORBITAL FLOOR, 0.1MM</v>
          </cell>
        </row>
        <row r="12868">
          <cell r="B12868" t="str">
            <v>52-306-19-04</v>
          </cell>
          <cell r="C12868" t="str">
            <v>RESORB X-PLA. ORBITABODEN,0.3MM, PERFOR.</v>
          </cell>
          <cell r="D12868" t="str">
            <v>RESORB X-PL. ORBITAL FLOOR,0.3MM,PERFOR.</v>
          </cell>
        </row>
        <row r="12869">
          <cell r="B12869" t="str">
            <v>52-306-23-04</v>
          </cell>
          <cell r="C12869" t="str">
            <v>RESORB-X  ORBITABODENPLATTE 23MM, T=0,6MM</v>
          </cell>
          <cell r="D12869" t="str">
            <v>RESORB-X  ORBIT. FLOOR MESH 23MM, T=0,6MM</v>
          </cell>
        </row>
        <row r="12870">
          <cell r="B12870" t="str">
            <v>52-306-24-04</v>
          </cell>
          <cell r="C12870" t="str">
            <v>RESORB-X  ORBITABODENPLATTE 30MM, T=0,6MM</v>
          </cell>
          <cell r="D12870" t="str">
            <v>RESORB-X  ORBIT. FLOOR MESH 30MM, T=0,6MM</v>
          </cell>
        </row>
        <row r="12871">
          <cell r="B12871" t="str">
            <v>52-306-25-04</v>
          </cell>
          <cell r="C12871" t="str">
            <v>RESORB-X  MESH PLATTE 0,6 / 26X26 MM</v>
          </cell>
          <cell r="D12871" t="str">
            <v>RESORB-X  MESH PLATE 0,6 / 26X26 MM</v>
          </cell>
        </row>
        <row r="12872">
          <cell r="B12872" t="str">
            <v>52-306-26-04</v>
          </cell>
          <cell r="C12872" t="str">
            <v>RESORB-X  MESH FLEX. 0,6 / 29X29 MM</v>
          </cell>
          <cell r="D12872" t="str">
            <v>RESORB-X  MESH FLEX. 0,6 / 29X29 MM</v>
          </cell>
        </row>
        <row r="12873">
          <cell r="B12873" t="str">
            <v>52-306-27-04</v>
          </cell>
          <cell r="C12873" t="str">
            <v>RESORB X-MESH FLEX. 0,6/29 X 104 MM</v>
          </cell>
          <cell r="D12873" t="str">
            <v>RESORB X-MESH FLEX. 0,6/29 X 104 MM</v>
          </cell>
        </row>
        <row r="12874">
          <cell r="B12874" t="str">
            <v>52-306-28-04</v>
          </cell>
          <cell r="C12874" t="str">
            <v>RESORB X-FOLIE 26X26MM,  T=0,6MM</v>
          </cell>
          <cell r="D12874" t="str">
            <v>RESORB X-SHEET 26X26MM,  T=0,6MM</v>
          </cell>
        </row>
        <row r="12875">
          <cell r="B12875" t="str">
            <v>52-306-30-04</v>
          </cell>
          <cell r="C12875" t="str">
            <v>RESORB-X  ORBIT.PLATTE M.LASCHEN T=0,6MM</v>
          </cell>
          <cell r="D12875" t="str">
            <v>RESORB-X  ORBIT.FLOOR PLATE W.ADD.PL0,6MM</v>
          </cell>
        </row>
        <row r="12876">
          <cell r="B12876" t="str">
            <v>52-306-32-04</v>
          </cell>
          <cell r="C12876" t="str">
            <v>RESORB-X  MESH PLATTE 0,6 / 31 X 51 MM</v>
          </cell>
          <cell r="D12876" t="str">
            <v>RESORB-X  MESH SHEET 0.6 / 31X51 MM</v>
          </cell>
        </row>
        <row r="12877">
          <cell r="B12877" t="str">
            <v>52-306-40-04</v>
          </cell>
          <cell r="C12877" t="str">
            <v>RESORB X-MESH FUER ORBITABODEN</v>
          </cell>
          <cell r="D12877" t="str">
            <v>RESORB X-MESH FOR ORBITAL FLOOR</v>
          </cell>
        </row>
        <row r="12878">
          <cell r="B12878" t="str">
            <v>52-306-50-04</v>
          </cell>
          <cell r="C12878" t="str">
            <v>RESORB-X  MESH PLATTE 0,6 / 51X51 MM</v>
          </cell>
          <cell r="D12878" t="str">
            <v>RESORB-X  MESH PLATE 0,6 / 51X51 MM</v>
          </cell>
        </row>
        <row r="12879">
          <cell r="B12879" t="str">
            <v>52-306-51-04</v>
          </cell>
          <cell r="C12879" t="str">
            <v>RESORB-X  MESH FLEX. 0,6 / 51X51 MM</v>
          </cell>
          <cell r="D12879" t="str">
            <v>RESORB-X  MESH FLEX. 0,6 / 51X51 MM</v>
          </cell>
        </row>
        <row r="12880">
          <cell r="B12880" t="str">
            <v>52-306-52-04</v>
          </cell>
          <cell r="C12880" t="str">
            <v>RESORB X-FOLIE 0,6 / 51X51 MM</v>
          </cell>
          <cell r="D12880" t="str">
            <v>RESORB X-SHEET 0,6 / 51X51 MM</v>
          </cell>
        </row>
        <row r="12881">
          <cell r="B12881" t="str">
            <v>52-308-11-04</v>
          </cell>
          <cell r="C12881" t="str">
            <v>RESORB X-PLATTE,  0,8 MM, 11X126 MM</v>
          </cell>
          <cell r="D12881" t="str">
            <v>RESORB X-PLATE,  0,8 MM, 11X126 MM</v>
          </cell>
        </row>
        <row r="12882">
          <cell r="B12882" t="str">
            <v>52-308-50-04</v>
          </cell>
          <cell r="C12882" t="str">
            <v>RESORB-X  MESH PLATTE 0,8/53X53  MM</v>
          </cell>
          <cell r="D12882" t="str">
            <v>RESORB-X  MESH PLATE 0,8/53X53  MM</v>
          </cell>
        </row>
        <row r="12883">
          <cell r="B12883" t="str">
            <v>52-310-11-04</v>
          </cell>
          <cell r="C12883" t="str">
            <v>RESORB X-PLATTE,  1,0 MM, 11X126 MM</v>
          </cell>
          <cell r="D12883" t="str">
            <v>RESORB X-PLATE,  1.0 MM, 11X126 MM</v>
          </cell>
        </row>
        <row r="12884">
          <cell r="B12884" t="str">
            <v>52-310-12-04</v>
          </cell>
          <cell r="C12884" t="str">
            <v>RESORB X-MESH FLEX. 1,0 / 126X126  MM</v>
          </cell>
          <cell r="D12884" t="str">
            <v>RESORB X-MESH FLEX. 1,0 / 126X126  MM</v>
          </cell>
        </row>
        <row r="12885">
          <cell r="B12885" t="str">
            <v>52-310-13-04</v>
          </cell>
          <cell r="C12885" t="str">
            <v>RESORB X-PLATTE,  1,0 MM, 126X126  MM</v>
          </cell>
          <cell r="D12885" t="str">
            <v>RESORB X-PLATE,  1.0 MM, 126X126  MM</v>
          </cell>
        </row>
        <row r="12886">
          <cell r="B12886" t="str">
            <v>52-310-14-04</v>
          </cell>
          <cell r="C12886" t="str">
            <v>RESORB X-FOLIE 1,0/11X126 MM</v>
          </cell>
          <cell r="D12886" t="str">
            <v>RESORB X-SHEET 1,0/11X126 MM</v>
          </cell>
        </row>
        <row r="12887">
          <cell r="B12887" t="str">
            <v>52-310-25-04</v>
          </cell>
          <cell r="C12887" t="str">
            <v>RESORB-X  MESH PLATTE 1,0 / 26X26 MM</v>
          </cell>
          <cell r="D12887" t="str">
            <v>RESORB-X  MESH PLATE 1,0 / 26X26 MM</v>
          </cell>
        </row>
        <row r="12888">
          <cell r="B12888" t="str">
            <v>52-310-27-04</v>
          </cell>
          <cell r="C12888" t="str">
            <v>RESORB X-MESH FLEX. 1,0/29 X 104 MM</v>
          </cell>
          <cell r="D12888" t="str">
            <v>RESORB X-MESH FLEX. 1,0/29 X 104 MM</v>
          </cell>
        </row>
        <row r="12889">
          <cell r="B12889" t="str">
            <v>52-310-31-04</v>
          </cell>
          <cell r="C12889" t="str">
            <v>RESORB X-PLATTE,  1,0 MM, 31X106 MM</v>
          </cell>
          <cell r="D12889" t="str">
            <v>RESORB X-PLATE,  1.0 MM, 31X106 MM</v>
          </cell>
        </row>
        <row r="12890">
          <cell r="B12890" t="str">
            <v>52-310-32-04</v>
          </cell>
          <cell r="C12890" t="str">
            <v>RESORB X-FOLIE 1,0/31X51  MM</v>
          </cell>
          <cell r="D12890" t="str">
            <v>RESORB X-SHEET 1,0/31X51  MM</v>
          </cell>
        </row>
        <row r="12891">
          <cell r="B12891" t="str">
            <v>52-310-50-04</v>
          </cell>
          <cell r="C12891" t="str">
            <v>RESORB-X  MESH PLATTE 1,0 / 51 X 51 MM</v>
          </cell>
          <cell r="D12891" t="str">
            <v>RESORB-X  MESH PLATE 1,0 / 51 X 51 MM</v>
          </cell>
        </row>
        <row r="12892">
          <cell r="B12892" t="str">
            <v>52-310-52-04</v>
          </cell>
          <cell r="C12892" t="str">
            <v>RESORB X-FOLIE 1,0 / 51X51 MM</v>
          </cell>
          <cell r="D12892" t="str">
            <v>RESORB X-SHEET 1,0 / 51X51 MM</v>
          </cell>
        </row>
        <row r="12893">
          <cell r="B12893" t="str">
            <v>52-310-53-04</v>
          </cell>
          <cell r="C12893" t="str">
            <v>RESORB X-MESH FLEX. 1,0 / 51X51 MM</v>
          </cell>
          <cell r="D12893" t="str">
            <v>RESORB X-MESH FLEX. 1,0 / 51X51 MM</v>
          </cell>
        </row>
        <row r="12894">
          <cell r="B12894" t="str">
            <v>52-311-11-04</v>
          </cell>
          <cell r="C12894" t="str">
            <v>RESORB-X  MESH PLATTE 1,0/11X249 MM</v>
          </cell>
          <cell r="D12894" t="str">
            <v>RESORB-X  MESH PLATE 1,0/11X249 MM</v>
          </cell>
        </row>
        <row r="12895">
          <cell r="B12895" t="str">
            <v>52-311-15-04</v>
          </cell>
          <cell r="C12895" t="str">
            <v>RESORB-X  MESH PLATTE 1,5/11X249 MM</v>
          </cell>
          <cell r="D12895" t="str">
            <v>RESORB-X  MESH PLATE 1,5/11X249 MM</v>
          </cell>
        </row>
        <row r="12896">
          <cell r="B12896" t="str">
            <v>52-312-12-04</v>
          </cell>
          <cell r="C12896" t="str">
            <v>RESORB X BOHRLO.ABDECKPL.12MM T=1,0MM</v>
          </cell>
          <cell r="D12896" t="str">
            <v>RESORB X BURR HOLE COVER 12MM T=1,0MM</v>
          </cell>
        </row>
        <row r="12897">
          <cell r="B12897" t="str">
            <v>52-312-13-04</v>
          </cell>
          <cell r="C12897" t="str">
            <v>RESORB X BOHRLO.ABDECKPL.1/12MM VORGEB.</v>
          </cell>
          <cell r="D12897" t="str">
            <v>RESORB X BURR HOLE COVER 1/12MM  PREBENT.</v>
          </cell>
        </row>
        <row r="12898">
          <cell r="B12898" t="str">
            <v>52-312-14-04</v>
          </cell>
          <cell r="C12898" t="str">
            <v>RxG Augmentationspl., S</v>
          </cell>
          <cell r="D12898" t="str">
            <v>RxG Augmentation plate, S</v>
          </cell>
        </row>
        <row r="12899">
          <cell r="B12899" t="str">
            <v>52-312-17-04</v>
          </cell>
          <cell r="C12899" t="str">
            <v>RESORB X BOHRLO.ABDECKPL.17MM T=1,0MM</v>
          </cell>
          <cell r="D12899" t="str">
            <v>RESORB X BURR HOLE COVER 17MM T=1,0MM</v>
          </cell>
        </row>
        <row r="12900">
          <cell r="B12900" t="str">
            <v>52-312-18-04</v>
          </cell>
          <cell r="C12900" t="str">
            <v>RESORB X BOHRLO.ABDECKPL.1/17MM VORGEB.</v>
          </cell>
          <cell r="D12900" t="str">
            <v>RESORB X BURR HOLE COVER 1/17MM  PREBENT.</v>
          </cell>
        </row>
        <row r="12901">
          <cell r="B12901" t="str">
            <v>52-312-19-04</v>
          </cell>
          <cell r="C12901" t="str">
            <v>RxG Augmentationspl., M</v>
          </cell>
          <cell r="D12901" t="str">
            <v>RxG Augmentation plate, M</v>
          </cell>
        </row>
        <row r="12902">
          <cell r="B12902" t="str">
            <v>52-312-22-04</v>
          </cell>
          <cell r="C12902" t="str">
            <v>RESORB X BOHRLO.ABDECKPL.22MM T=1,0MM</v>
          </cell>
          <cell r="D12902" t="str">
            <v>RESORB X BURR HOLE COVER 22MM T=1,0MM</v>
          </cell>
        </row>
        <row r="12903">
          <cell r="B12903" t="str">
            <v>52-312-23-04</v>
          </cell>
          <cell r="C12903" t="str">
            <v>RESORB X BOHRLO.ABDECKPL.1/22MM VORGEB.</v>
          </cell>
          <cell r="D12903" t="str">
            <v>RESORB X BURR HOLE COVER 1/22MM  PREBENT.</v>
          </cell>
        </row>
        <row r="12904">
          <cell r="B12904" t="str">
            <v>52-312-24-04</v>
          </cell>
          <cell r="C12904" t="str">
            <v>RxG Augmentationspl., L</v>
          </cell>
          <cell r="D12904" t="str">
            <v>RxG Augmentation plate, L</v>
          </cell>
        </row>
        <row r="12905">
          <cell r="B12905" t="str">
            <v>52-313-25-04</v>
          </cell>
          <cell r="C12905" t="str">
            <v>TEMPLATE  MESH 25X25MM</v>
          </cell>
          <cell r="D12905" t="str">
            <v>MESH TEMPLATE  25X25MM</v>
          </cell>
        </row>
        <row r="12906">
          <cell r="B12906" t="str">
            <v>52-313-50-04</v>
          </cell>
          <cell r="C12906" t="str">
            <v>TEMPLATE  MESH 50X50MM</v>
          </cell>
          <cell r="D12906" t="str">
            <v>MESH TEMPLATE  50X50MM</v>
          </cell>
        </row>
        <row r="12907">
          <cell r="B12907" t="str">
            <v>52-314-31-04</v>
          </cell>
          <cell r="C12907" t="str">
            <v>RESORB-X  MESH 1,0 /11X310 MM, RUND</v>
          </cell>
          <cell r="D12907" t="str">
            <v>RESORB-X  MESH 1,0 /11X310 MM,ROUND</v>
          </cell>
        </row>
        <row r="12908">
          <cell r="B12908" t="str">
            <v>52-400-10-04</v>
          </cell>
          <cell r="C12908" t="str">
            <v>RESORB X XCELSIOR,  KOMPLETT</v>
          </cell>
          <cell r="D12908" t="str">
            <v>RESORB X XCELSIOR,  COMPLETE</v>
          </cell>
        </row>
        <row r="12909">
          <cell r="B12909" t="str">
            <v>52-500-20-04</v>
          </cell>
          <cell r="C12909" t="str">
            <v>SonicWeld  Rx System, komplett</v>
          </cell>
          <cell r="D12909" t="str">
            <v>SonicWeld  Rx system, complete</v>
          </cell>
        </row>
        <row r="12910">
          <cell r="B12910" t="str">
            <v>52-500-21-04</v>
          </cell>
          <cell r="C12910" t="str">
            <v>SONICWELD Rx ULTRASCHALLGERÄT ALLEIN</v>
          </cell>
          <cell r="D12910" t="str">
            <v>SONICWELD Rx ULTRA SONIC UNIT ALONE</v>
          </cell>
        </row>
        <row r="12911">
          <cell r="B12911" t="str">
            <v>52-500-23-04</v>
          </cell>
          <cell r="C12911" t="str">
            <v>SonicWeld  Rx Handstück  Fingeraktiv.2,95m</v>
          </cell>
          <cell r="D12911" t="str">
            <v>SonicWeld  Rx Handpiece  Fingeractiv.2,95m</v>
          </cell>
        </row>
        <row r="12912">
          <cell r="B12912" t="str">
            <v>52-500-24-04</v>
          </cell>
          <cell r="C12912" t="str">
            <v>SonicWeld  Rx Handstück  Fingeraktiv. 6 m</v>
          </cell>
          <cell r="D12912" t="str">
            <v>SonicWeld  Rx Handpiece  Finger Activ. 6 m</v>
          </cell>
        </row>
        <row r="12913">
          <cell r="B12913" t="str">
            <v>52-501-21-04</v>
          </cell>
          <cell r="C12913" t="str">
            <v>SonicWeld  Rx Standardsonotrode gerade</v>
          </cell>
          <cell r="D12913" t="str">
            <v>SonicWeld  Rx Standard  Sonotrode  straight</v>
          </cell>
        </row>
        <row r="12914">
          <cell r="B12914" t="str">
            <v>52-501-21-71</v>
          </cell>
          <cell r="C12914" t="str">
            <v>SW Rx Standardsonotrode gerade, steril</v>
          </cell>
          <cell r="D12914" t="str">
            <v>SW Rx Standard  Sonotrode  straight, steri</v>
          </cell>
        </row>
        <row r="12915">
          <cell r="B12915" t="str">
            <v>52-501-22-04</v>
          </cell>
          <cell r="C12915" t="str">
            <v>SonicWeld  Rx Standardsonotrode gewinkelt</v>
          </cell>
          <cell r="D12915" t="str">
            <v>SonicWeld  Rx Standard  Sonotrode  angled</v>
          </cell>
        </row>
        <row r="12916">
          <cell r="B12916" t="str">
            <v>52-501-22-71</v>
          </cell>
          <cell r="C12916" t="str">
            <v>SW Rx Standardsonotrode gewinkelt,steril</v>
          </cell>
          <cell r="D12916" t="str">
            <v>SW Rx Standard  Sonotrode  angled, sterile</v>
          </cell>
        </row>
        <row r="12917">
          <cell r="B12917" t="str">
            <v>52-501-23-04</v>
          </cell>
          <cell r="C12917" t="str">
            <v>SonicWeld  Rx Glättungssonotrode gerade</v>
          </cell>
          <cell r="D12917" t="str">
            <v>SonicWeld  Rx Smooth. Sonotrode  straight</v>
          </cell>
        </row>
        <row r="12918">
          <cell r="B12918" t="str">
            <v>52-501-23-71</v>
          </cell>
          <cell r="C12918" t="str">
            <v>SW Rx Glättungssonotrode gerade, steril</v>
          </cell>
          <cell r="D12918" t="str">
            <v>SW Rx Smooth. Sonotrode  straight,sterile</v>
          </cell>
        </row>
        <row r="12919">
          <cell r="B12919" t="str">
            <v>52-501-24-04</v>
          </cell>
          <cell r="C12919" t="str">
            <v>SonicWeld  Rx Glätt. Sonotrode  gewinkelt</v>
          </cell>
          <cell r="D12919" t="str">
            <v>SonicWeld  Rx Smoothening Sonotrode  angl.</v>
          </cell>
        </row>
        <row r="12920">
          <cell r="B12920" t="str">
            <v>52-501-24-71</v>
          </cell>
          <cell r="C12920" t="str">
            <v>SW Rx Glättungssonotrode gewinkelt,  ster</v>
          </cell>
          <cell r="D12920" t="str">
            <v>SW Rx Smooth. Sonotrode  angled, sterile</v>
          </cell>
        </row>
        <row r="12921">
          <cell r="B12921" t="str">
            <v>52-509-05-07</v>
          </cell>
          <cell r="C12921" t="str">
            <v>VORBOHRER 1,0X20X5MM,DENTAL,F.SONICWELD</v>
          </cell>
          <cell r="D12921" t="str">
            <v>TWIST DRILL 1,0X20X5MM,DENT. F.SONICWELD</v>
          </cell>
        </row>
        <row r="12922">
          <cell r="B12922" t="str">
            <v>52-509-05-71</v>
          </cell>
          <cell r="C12922" t="str">
            <v>VORBOHRER 1,0X20X5MM,DENTAL,F.SONICWELD</v>
          </cell>
          <cell r="D12922" t="str">
            <v>TWIST DRILL 1,0X20X5MM,DENT. F.SONICWELD</v>
          </cell>
        </row>
        <row r="12923">
          <cell r="B12923" t="str">
            <v>52-509-06-07</v>
          </cell>
          <cell r="C12923" t="str">
            <v>VORBOHRER 1,0X20X6MM,DENTAL,F.SONICWELD</v>
          </cell>
          <cell r="D12923" t="str">
            <v>TWIST DRILL 1,0X20X6MM,DENT. F.SONICWELD</v>
          </cell>
        </row>
        <row r="12924">
          <cell r="B12924" t="str">
            <v>52-509-06-71</v>
          </cell>
          <cell r="C12924" t="str">
            <v>VORBOHRER 1,0X20X6MM,DENTAL,F.SONICWELD</v>
          </cell>
          <cell r="D12924" t="str">
            <v>TWIST DRILL 1,0X20X6MM,DENT. F.SONICWELD</v>
          </cell>
        </row>
        <row r="12925">
          <cell r="B12925" t="str">
            <v>52-510-03-07</v>
          </cell>
          <cell r="C12925" t="str">
            <v>VORBOHRER 1,0X50X3MM,JKUPPL F.SONICWELD</v>
          </cell>
          <cell r="D12925" t="str">
            <v>TWIST DRILL 1.0X50X3MM,STRY. F.SONICWELD</v>
          </cell>
        </row>
        <row r="12926">
          <cell r="B12926" t="str">
            <v>52-510-04-07</v>
          </cell>
          <cell r="C12926" t="str">
            <v>VORBOHRER 1,0X50X4MM,JKUPPL F.SONICWELD</v>
          </cell>
          <cell r="D12926" t="str">
            <v>TWIST DRILL 1.0X50X4MM,STRY. F.SONICWELD</v>
          </cell>
        </row>
        <row r="12927">
          <cell r="B12927" t="str">
            <v>52-510-04-71</v>
          </cell>
          <cell r="C12927" t="str">
            <v>VORBOHRER 1,0X50X4MM,JKUPPL F.SONICWELD</v>
          </cell>
          <cell r="D12927" t="str">
            <v>TWIST DRILL 1.0X50X4MM,J-NOTCH,SONICWELD</v>
          </cell>
        </row>
        <row r="12928">
          <cell r="B12928" t="str">
            <v>52-510-05-07</v>
          </cell>
          <cell r="C12928" t="str">
            <v>VORBOHRER 1,0X50X5MM,JKUPPL F.SONICWELD</v>
          </cell>
          <cell r="D12928" t="str">
            <v>TWIST DRILL 1.0X50X5MM,STRY. F.SONICWELD</v>
          </cell>
        </row>
        <row r="12929">
          <cell r="B12929" t="str">
            <v>52-510-05-71</v>
          </cell>
          <cell r="C12929" t="str">
            <v>VORBOHRER 1,0X50X5MM,JKUPPL F.SONICWELD</v>
          </cell>
          <cell r="D12929" t="str">
            <v>TWIST DRILL 1.0X50X5MM,J-NOTCH,SONICWELD</v>
          </cell>
        </row>
        <row r="12930">
          <cell r="B12930" t="str">
            <v>52-510-06-07</v>
          </cell>
          <cell r="C12930" t="str">
            <v>VORBOHRER 1,0X50X6MM,JKUPPL F.SONICWELD</v>
          </cell>
          <cell r="D12930" t="str">
            <v>TWIST DRILL 1.0X50X6MM,STRY. F.SONICWELD</v>
          </cell>
        </row>
        <row r="12931">
          <cell r="B12931" t="str">
            <v>52-510-07-07</v>
          </cell>
          <cell r="C12931" t="str">
            <v>VORBOHRER 1,0X50X7MM,JKUPPL F.SONICWELD</v>
          </cell>
          <cell r="D12931" t="str">
            <v>TWIST DRILL 1.0X50X7MM,STRY. F.SONICWELD</v>
          </cell>
        </row>
        <row r="12932">
          <cell r="B12932" t="str">
            <v>52-510-07-71</v>
          </cell>
          <cell r="C12932" t="str">
            <v>VORBOHRER 1,0X50X7MM,JKUPPL F.SONICWELD</v>
          </cell>
          <cell r="D12932" t="str">
            <v>TWIST DRILL 1.0X50X7MM,J-NOTCH,SONICWELD</v>
          </cell>
        </row>
        <row r="12933">
          <cell r="B12933" t="str">
            <v>52-510-08-07</v>
          </cell>
          <cell r="C12933" t="str">
            <v>VORBOHRER 1,0X50X8MM,JKUPPL F.SONICWELD</v>
          </cell>
          <cell r="D12933" t="str">
            <v>TWIST DRILL 1.0X50X8MM,STRY. F.SONICWELD</v>
          </cell>
        </row>
        <row r="12934">
          <cell r="B12934" t="str">
            <v>52-512-05-07</v>
          </cell>
          <cell r="C12934" t="str">
            <v>VORBOHRER 1,0X29,5X5MM,DENT.F.SONICWELD</v>
          </cell>
          <cell r="D12934" t="str">
            <v>TWIST DRILL1,0X29,5X5MM,DENT.F.SONICWELD</v>
          </cell>
        </row>
        <row r="12935">
          <cell r="B12935" t="str">
            <v>52-512-06-07</v>
          </cell>
          <cell r="C12935" t="str">
            <v>VORBOHRER 1,0X30,5X5MM,DENT.F.SONICWELD</v>
          </cell>
          <cell r="D12935" t="str">
            <v>TWIST DRILL1,0X30,5X5MM,DENT.F.SONICWELD</v>
          </cell>
        </row>
        <row r="12936">
          <cell r="B12936" t="str">
            <v>52-515-05-07</v>
          </cell>
          <cell r="C12936" t="str">
            <v>VORBOHRER 1,6X20X5MM,DENTAL,F.SONICWELD</v>
          </cell>
          <cell r="D12936" t="str">
            <v>TWIST DRILL 1,6X20X5MM,DENT. F.SONICWELD</v>
          </cell>
        </row>
        <row r="12937">
          <cell r="B12937" t="str">
            <v>52-515-05-71</v>
          </cell>
          <cell r="C12937" t="str">
            <v>VORBOHRER 1,6X20X5MM,DENTAL,F.SONICWELD</v>
          </cell>
          <cell r="D12937" t="str">
            <v>TWIST DRILL 1,6X20X5MM,DENT. F.SONICWELD</v>
          </cell>
        </row>
        <row r="12938">
          <cell r="B12938" t="str">
            <v>52-515-06-07</v>
          </cell>
          <cell r="C12938" t="str">
            <v>VORBOHRER 1,6X20X6MM,DENTAL,F.SONICWELD</v>
          </cell>
          <cell r="D12938" t="str">
            <v>TWIST DRILL 1,6X20X6MM,DENT. F.SONICWELD</v>
          </cell>
        </row>
        <row r="12939">
          <cell r="B12939" t="str">
            <v>52-515-06-71</v>
          </cell>
          <cell r="C12939" t="str">
            <v>VORBOHRER 1,6X20X6MM,DENTAL,F.SONICWELD</v>
          </cell>
          <cell r="D12939" t="str">
            <v>TWIST DRILL 1,6X20X6MM,DENT. F.SONICWELD</v>
          </cell>
        </row>
        <row r="12940">
          <cell r="B12940" t="str">
            <v>52-515-10-07</v>
          </cell>
          <cell r="C12940" t="str">
            <v>VORBOHRER 1,6X25X10MM,DENTAL,F.SONICWELD</v>
          </cell>
          <cell r="D12940" t="str">
            <v>TWIST DRILL 1,6X25X10MM,DENT.F.SONICWELD</v>
          </cell>
        </row>
        <row r="12941">
          <cell r="B12941" t="str">
            <v>52-515-20-07</v>
          </cell>
          <cell r="C12941" t="str">
            <v>VORBOHRER 1,6X35X20MM,DENTAL,F.SONICWELD</v>
          </cell>
          <cell r="D12941" t="str">
            <v>TWIST DRILL 1,6X35X20MM,DENT.F.SONICWELD</v>
          </cell>
        </row>
        <row r="12942">
          <cell r="B12942" t="str">
            <v>52-516-03-07</v>
          </cell>
          <cell r="C12942" t="str">
            <v>VORBOHRER 1,6X50X3MM,JKUPPL F.SONICWELD</v>
          </cell>
          <cell r="D12942" t="str">
            <v>TWIST DRILL 1.6X50X3MM,STRY. F.SONICWELD</v>
          </cell>
        </row>
        <row r="12943">
          <cell r="B12943" t="str">
            <v>52-516-04-07</v>
          </cell>
          <cell r="C12943" t="str">
            <v>VORBOHRER 1,6X50X4MM,JKUPPL F.SONICWELD</v>
          </cell>
          <cell r="D12943" t="str">
            <v>TWIST DRILL 1.6X50X4MM,STRY. F.SONICWELD</v>
          </cell>
        </row>
        <row r="12944">
          <cell r="B12944" t="str">
            <v>52-516-04-71</v>
          </cell>
          <cell r="C12944" t="str">
            <v>VORBOHRER 1,6X50X4MM,JKUPPL F.SONICWELD</v>
          </cell>
          <cell r="D12944" t="str">
            <v>TWIST DRILL 1.6X50X4MM,J-NOTCH,SONICWELD</v>
          </cell>
        </row>
        <row r="12945">
          <cell r="B12945" t="str">
            <v>52-516-05-07</v>
          </cell>
          <cell r="C12945" t="str">
            <v>VORBOHRER 1,6X50X5MM,JKUPPL F.SONICWELD</v>
          </cell>
          <cell r="D12945" t="str">
            <v>TWIST DRILL 1.6X50X5MM,STRY. F.SONICWELD</v>
          </cell>
        </row>
        <row r="12946">
          <cell r="B12946" t="str">
            <v>52-516-05-71</v>
          </cell>
          <cell r="C12946" t="str">
            <v>VORBOHRER 1,6X50X5MM,JKUPPL F.SONICWELD</v>
          </cell>
          <cell r="D12946" t="str">
            <v>TWIST DRILL 1.6X50X5MM,J-NOTCH,SONICWELD</v>
          </cell>
        </row>
        <row r="12947">
          <cell r="B12947" t="str">
            <v>52-516-06-07</v>
          </cell>
          <cell r="C12947" t="str">
            <v>VORBOHRER 1,6X50X6MM,JKUPPL F.SONICWELD</v>
          </cell>
          <cell r="D12947" t="str">
            <v>TWIST DRILL 1.6X50X6MM,STRY. F.SONICWELD</v>
          </cell>
        </row>
        <row r="12948">
          <cell r="B12948" t="str">
            <v>52-516-08-07</v>
          </cell>
          <cell r="C12948" t="str">
            <v>VORBOHRER 1,6X50X8MM,JKUPPL F.SONICWELD</v>
          </cell>
          <cell r="D12948" t="str">
            <v>TWIST DRILL 1.6X50X8MM,STRY. F.SONICWELD</v>
          </cell>
        </row>
        <row r="12949">
          <cell r="B12949" t="str">
            <v>52-516-10-07</v>
          </cell>
          <cell r="C12949" t="str">
            <v>VORBOHRER 1,6X50X10MM,STRYK. F.SONICWELD</v>
          </cell>
          <cell r="D12949" t="str">
            <v>TWIST DRILL 1.6X50X10MM,STR. F.SONICWELD</v>
          </cell>
        </row>
        <row r="12950">
          <cell r="B12950" t="str">
            <v>52-516-24-04</v>
          </cell>
          <cell r="C12950" t="str">
            <v>SONICPINS  RX 1,6 x 4 MM</v>
          </cell>
          <cell r="D12950" t="str">
            <v>SONICPINS  RX 1,6 x 4 MM</v>
          </cell>
        </row>
        <row r="12951">
          <cell r="B12951" t="str">
            <v>52-516-25-04</v>
          </cell>
          <cell r="C12951" t="str">
            <v>SONICPINS  RX 1,6 x 5 MM</v>
          </cell>
          <cell r="D12951" t="str">
            <v>SONICPINS  RX 1,6 x 5 MM</v>
          </cell>
        </row>
        <row r="12952">
          <cell r="B12952" t="str">
            <v>52-516-26-04</v>
          </cell>
          <cell r="C12952" t="str">
            <v>SONICPINS  RX 1,6 x 6 MM</v>
          </cell>
          <cell r="D12952" t="str">
            <v>SONICPINS  RX 1,6 x 6 MM</v>
          </cell>
        </row>
        <row r="12953">
          <cell r="B12953" t="str">
            <v>52-516-27-04</v>
          </cell>
          <cell r="C12953" t="str">
            <v>SONICPINS  RX 1,6 x 7 MM</v>
          </cell>
          <cell r="D12953" t="str">
            <v>SONICPINS  RX 1,6 x 7 MM</v>
          </cell>
        </row>
        <row r="12954">
          <cell r="B12954" t="str">
            <v>52-516-51-07</v>
          </cell>
          <cell r="C12954" t="str">
            <v>STUFENBOHRER SONICWELD 1,6X100MM, JKUPPL</v>
          </cell>
          <cell r="D12954" t="str">
            <v>SEGMENTED DRILL SONICWELD 1.6X100MM STRY</v>
          </cell>
        </row>
        <row r="12955">
          <cell r="B12955" t="str">
            <v>52-516-52-07</v>
          </cell>
          <cell r="C12955" t="str">
            <v>STUFENBOHRER SONICWELD 1,6X75MM, BOS</v>
          </cell>
          <cell r="D12955" t="str">
            <v>SEGMENTED DRILL SONICWELD 1.6X75MM, BOS</v>
          </cell>
        </row>
        <row r="12956">
          <cell r="B12956" t="str">
            <v>52-516-54-04</v>
          </cell>
          <cell r="C12956" t="str">
            <v>SONICPINS  RX 1,6 x 4 MM</v>
          </cell>
          <cell r="D12956" t="str">
            <v>SONICPINS  RX 1,6 x 4 MM</v>
          </cell>
        </row>
        <row r="12957">
          <cell r="B12957" t="str">
            <v>52-516-55-04</v>
          </cell>
          <cell r="C12957" t="str">
            <v>SONICPINS  RX 1,6 x 5 MM</v>
          </cell>
          <cell r="D12957" t="str">
            <v>SONICPINS  RX 1,6 x 5 MM</v>
          </cell>
        </row>
        <row r="12958">
          <cell r="B12958" t="str">
            <v>52-516-56-04</v>
          </cell>
          <cell r="C12958" t="str">
            <v>SONICPINS  RX 1,6 X 6 MM</v>
          </cell>
          <cell r="D12958" t="str">
            <v>SONICPINS  RX 1,6 X 6 MM</v>
          </cell>
        </row>
        <row r="12959">
          <cell r="B12959" t="str">
            <v>52-516-57-04</v>
          </cell>
          <cell r="C12959" t="str">
            <v>SONICPINS  RX 1,6 x 7 MM</v>
          </cell>
          <cell r="D12959" t="str">
            <v>SONICPINS  RX 1,6 x 7 MM</v>
          </cell>
        </row>
        <row r="12960">
          <cell r="B12960" t="str">
            <v>52-516-60-07</v>
          </cell>
          <cell r="C12960" t="str">
            <v>VERSTELLHUELSE F.SONICWELD STUFENBOHRER</v>
          </cell>
          <cell r="D12960" t="str">
            <v>ADJUSTING SLEEVE F. SEGMENTED DRILL</v>
          </cell>
        </row>
        <row r="12961">
          <cell r="B12961" t="str">
            <v>52-518-04-07</v>
          </cell>
          <cell r="C12961" t="str">
            <v>VORBOHRER 1,6X28,5X4MM,DENT.F.SONICWELD</v>
          </cell>
          <cell r="D12961" t="str">
            <v>TWIST DRILL1,6X28,5X4MM,DENT.F.SONICWELD</v>
          </cell>
        </row>
        <row r="12962">
          <cell r="B12962" t="str">
            <v>52-518-05-07</v>
          </cell>
          <cell r="C12962" t="str">
            <v>VORBOHRER 1,6X29,5X5MM,DENT.F.SONICWELD</v>
          </cell>
          <cell r="D12962" t="str">
            <v>TWIST DRILL1,6X29,5X5MM,DENT.F.SONICWELD</v>
          </cell>
        </row>
        <row r="12963">
          <cell r="B12963" t="str">
            <v>52-518-06-07</v>
          </cell>
          <cell r="C12963" t="str">
            <v>VORBOHRER 1,6X30,5X6MM,DENT.F.SONICWELD</v>
          </cell>
          <cell r="D12963" t="str">
            <v>TWIST DRILL1,6X30,5X6MM,DENT.F.SONICWELD</v>
          </cell>
        </row>
        <row r="12964">
          <cell r="B12964" t="str">
            <v>52-518-10-07</v>
          </cell>
          <cell r="C12964" t="str">
            <v>VORBOHRER 1,6X34,5X10MM,DENT.F.SONICWELD</v>
          </cell>
          <cell r="D12964" t="str">
            <v>TWIST DRILL1,6X34,5X10MM,DENT.F.SONICW.</v>
          </cell>
        </row>
        <row r="12965">
          <cell r="B12965" t="str">
            <v>52-518-20-07</v>
          </cell>
          <cell r="C12965" t="str">
            <v>VORBOHRER 1,6X44,5X20MM,DENT.F.SONICWELD</v>
          </cell>
          <cell r="D12965" t="str">
            <v>TWIST DRILL1,6X44,5X20MM,DENT.F.SONICW.</v>
          </cell>
        </row>
        <row r="12966">
          <cell r="B12966" t="str">
            <v>52-519-25-04</v>
          </cell>
          <cell r="C12966" t="str">
            <v>Micro SonicPin Rx 1,6 x 5 mm</v>
          </cell>
          <cell r="D12966" t="str">
            <v>Micro SonicPin Rx 1,6 x 5 mm</v>
          </cell>
        </row>
        <row r="12967">
          <cell r="B12967" t="str">
            <v>52-519-45-04</v>
          </cell>
          <cell r="C12967" t="str">
            <v>Micro SonicPin Rx 1,6 x 5 mm</v>
          </cell>
          <cell r="D12967" t="str">
            <v>Micro SonicPin Rx 1,6 x 5 mm</v>
          </cell>
        </row>
        <row r="12968">
          <cell r="B12968" t="str">
            <v>52-521-14-04</v>
          </cell>
          <cell r="C12968" t="str">
            <v>SONICPIN  2,1 x 4 mm</v>
          </cell>
          <cell r="D12968" t="str">
            <v>SONICPIN  RX 2.1 x 4 MM</v>
          </cell>
        </row>
        <row r="12969">
          <cell r="B12969" t="str">
            <v>52-521-15-04</v>
          </cell>
          <cell r="C12969" t="str">
            <v>SONICPIN  2,1 x 5 mm</v>
          </cell>
          <cell r="D12969" t="str">
            <v>SONICPIN  RX 2.1 x 5 MM</v>
          </cell>
        </row>
        <row r="12970">
          <cell r="B12970" t="str">
            <v>52-521-24-04</v>
          </cell>
          <cell r="C12970" t="str">
            <v>SONICPINS  RX 2,1 x 4 MM</v>
          </cell>
          <cell r="D12970" t="str">
            <v>SONICPINS  RX 2,1 x 4 MM</v>
          </cell>
        </row>
        <row r="12971">
          <cell r="B12971" t="str">
            <v>52-521-25-04</v>
          </cell>
          <cell r="C12971" t="str">
            <v>SONICPINS  RX 2,1 x 5 MM</v>
          </cell>
          <cell r="D12971" t="str">
            <v>SONICPINS  RX 2,1 x 5 MM</v>
          </cell>
        </row>
        <row r="12972">
          <cell r="B12972" t="str">
            <v>52-521-27-04</v>
          </cell>
          <cell r="C12972" t="str">
            <v>SONICPINS  RX 2,1 x 7 MM</v>
          </cell>
          <cell r="D12972" t="str">
            <v>SONICPINS  RX 2,1 x 7 MM</v>
          </cell>
        </row>
        <row r="12973">
          <cell r="B12973" t="str">
            <v>52-521-29-04</v>
          </cell>
          <cell r="C12973" t="str">
            <v>SONICPINS  RX 2,1 x 9 MM</v>
          </cell>
          <cell r="D12973" t="str">
            <v>SONICPINS  RX 2,1 x 9 MM</v>
          </cell>
        </row>
        <row r="12974">
          <cell r="B12974" t="str">
            <v>52-521-31-04</v>
          </cell>
          <cell r="C12974" t="str">
            <v>SONICPINS  RX 2,1X11 MM</v>
          </cell>
          <cell r="D12974" t="str">
            <v>SONICPINS  RX 2,1X11 MM</v>
          </cell>
        </row>
        <row r="12975">
          <cell r="B12975" t="str">
            <v>52-521-33-04</v>
          </cell>
          <cell r="C12975" t="str">
            <v>SONICPINS  RX 2,1X13 MM</v>
          </cell>
          <cell r="D12975" t="str">
            <v>SONICPINS  RX 2,1X13 MM</v>
          </cell>
        </row>
        <row r="12976">
          <cell r="B12976" t="str">
            <v>52-521-35-04</v>
          </cell>
          <cell r="C12976" t="str">
            <v>SONICPINS  RX 2,1X15 MM</v>
          </cell>
          <cell r="D12976" t="str">
            <v>SONICPINS  RX 2,1X15 MM</v>
          </cell>
        </row>
        <row r="12977">
          <cell r="B12977" t="str">
            <v>52-521-37-04</v>
          </cell>
          <cell r="C12977" t="str">
            <v>SONICPINS  RX 2,1X17 MM</v>
          </cell>
          <cell r="D12977" t="str">
            <v>SONICPINS  RX 2,1X17 MM</v>
          </cell>
        </row>
        <row r="12978">
          <cell r="B12978" t="str">
            <v>52-521-54-04</v>
          </cell>
          <cell r="C12978" t="str">
            <v>SONICPINS  RX 2,1 x 4 MM</v>
          </cell>
          <cell r="D12978" t="str">
            <v>SONICPINS  RX 2,1 x 4 MM</v>
          </cell>
        </row>
        <row r="12979">
          <cell r="B12979" t="str">
            <v>52-521-55-04</v>
          </cell>
          <cell r="C12979" t="str">
            <v>SONICPINS  RX 2,1 x 5 MM</v>
          </cell>
          <cell r="D12979" t="str">
            <v>SONICPINS  RX 2,1 x 5 MM</v>
          </cell>
        </row>
        <row r="12980">
          <cell r="B12980" t="str">
            <v>52-521-57-04</v>
          </cell>
          <cell r="C12980" t="str">
            <v>SONICPINS  RX 2,1 x 7 MM</v>
          </cell>
          <cell r="D12980" t="str">
            <v>SONICPINS  RX 2,1 x 7 MM</v>
          </cell>
        </row>
        <row r="12981">
          <cell r="B12981" t="str">
            <v>52-521-59-04</v>
          </cell>
          <cell r="C12981" t="str">
            <v>SONICPINS  RX 2,1 x 9 MM</v>
          </cell>
          <cell r="D12981" t="str">
            <v>SONICPINS  RX 2,1 x 9 MM</v>
          </cell>
        </row>
        <row r="12982">
          <cell r="B12982" t="str">
            <v>52-522-10-07</v>
          </cell>
          <cell r="C12982" t="str">
            <v>VORBOHRER 2,1X22X10MM, DENTAL</v>
          </cell>
          <cell r="D12982" t="str">
            <v>TWIST DRILL 2,1X22X10MM, DENTAL</v>
          </cell>
        </row>
        <row r="12983">
          <cell r="B12983" t="str">
            <v>52-525-10-07</v>
          </cell>
          <cell r="C12983" t="str">
            <v>VORBOHRER 2,1X34X12MM,DENT.F.SONICWELD</v>
          </cell>
          <cell r="D12983" t="str">
            <v>TWIST DRILL 2,1X34X12MM,DENT.F.SONICW.</v>
          </cell>
        </row>
        <row r="12984">
          <cell r="B12984" t="str">
            <v>52-610-03-07</v>
          </cell>
          <cell r="C12984" t="str">
            <v>VORBOHRER 1,0X40X3MM,BOS-DR. F.SONICWELD</v>
          </cell>
          <cell r="D12984" t="str">
            <v>TWIST DRILL 1.0X40X3MM,BOS-D F.SONICWELD</v>
          </cell>
        </row>
        <row r="12985">
          <cell r="B12985" t="str">
            <v>52-610-04-07</v>
          </cell>
          <cell r="C12985" t="str">
            <v>VORBOHRER 1,0X40X4MM,BOS-DR. F.SONICWELD</v>
          </cell>
          <cell r="D12985" t="str">
            <v>TWIST DRILL 1.0X40X4MM,BOS-D F.SONICWELD</v>
          </cell>
        </row>
        <row r="12986">
          <cell r="B12986" t="str">
            <v>52-610-04-71</v>
          </cell>
          <cell r="C12986" t="str">
            <v>VORBOHRER 1,0X40X4MM,BOS-DR. F.SONICWELD</v>
          </cell>
          <cell r="D12986" t="str">
            <v>TWIST DRILL 1.0X40X4MM,BOS-D F.SONICWELD</v>
          </cell>
        </row>
        <row r="12987">
          <cell r="B12987" t="str">
            <v>52-610-05-07</v>
          </cell>
          <cell r="C12987" t="str">
            <v>VORBOHRER 1,0X40X5MM,BOS-DR. F.SONICWELD</v>
          </cell>
          <cell r="D12987" t="str">
            <v>TWIST DRILL 1.0X40X5MM,BOS-D F.SONICWELD</v>
          </cell>
        </row>
        <row r="12988">
          <cell r="B12988" t="str">
            <v>52-610-08-07</v>
          </cell>
          <cell r="C12988" t="str">
            <v>VORBOHRER 1,0X40X8MM,BOS-DR. F.SONICWELD</v>
          </cell>
          <cell r="D12988" t="str">
            <v>TWIST DRILL 1.0X40X8MM,BOS-D F.SONICWELD</v>
          </cell>
        </row>
        <row r="12989">
          <cell r="B12989" t="str">
            <v>52-616-03-07</v>
          </cell>
          <cell r="C12989" t="str">
            <v>VORBOHRER 1,6X40X3MM,BOS-DR. F.SONICWELD</v>
          </cell>
          <cell r="D12989" t="str">
            <v>TWIST DRILL 1.6X40X3MM,BOS-D F.SONICWELD</v>
          </cell>
        </row>
        <row r="12990">
          <cell r="B12990" t="str">
            <v>52-616-04-07</v>
          </cell>
          <cell r="C12990" t="str">
            <v>VORBOHRER 1,6X40X4MM,BOS-DR. F.SONICWELD</v>
          </cell>
          <cell r="D12990" t="str">
            <v>TWIST DRILL 1.6X40X4MM,BOS-D F.SONICWELD</v>
          </cell>
        </row>
        <row r="12991">
          <cell r="B12991" t="str">
            <v>52-616-04-71</v>
          </cell>
          <cell r="C12991" t="str">
            <v>VORBOHRER 1,6X40X4MM,BOS-DR. F.SONICWELD</v>
          </cell>
          <cell r="D12991" t="str">
            <v>TWIST DRILL 1.6X40X4MM,BOS-D F.SONICWELD</v>
          </cell>
        </row>
        <row r="12992">
          <cell r="B12992" t="str">
            <v>52-616-05-07</v>
          </cell>
          <cell r="C12992" t="str">
            <v>VORBOHRER 1,6X40X5MM,BOS-DR. F.SONICWELD</v>
          </cell>
          <cell r="D12992" t="str">
            <v>TWIST DRILL 1.6X40X5MM,BOS-D F.SONICWELD</v>
          </cell>
        </row>
        <row r="12993">
          <cell r="B12993" t="str">
            <v>52-616-10-07</v>
          </cell>
          <cell r="C12993" t="str">
            <v>VORBOHRER 1,6X40X10MM,BOS-DR.F.SONICWELD</v>
          </cell>
          <cell r="D12993" t="str">
            <v>TWIST DRILL 1.6X40X10MM,BOS F.SONICWELD</v>
          </cell>
        </row>
        <row r="12994">
          <cell r="B12994" t="str">
            <v>52-616-24-04</v>
          </cell>
          <cell r="C12994" t="str">
            <v>SONICPINS  RX 1,6X4 MM</v>
          </cell>
          <cell r="D12994" t="str">
            <v>SONICPINS  RX 1,6X4 MM</v>
          </cell>
        </row>
        <row r="12995">
          <cell r="B12995" t="str">
            <v>52-616-25-04</v>
          </cell>
          <cell r="C12995" t="str">
            <v>SONICPINS  RX 1,6 X 5 MM</v>
          </cell>
          <cell r="D12995" t="str">
            <v>SONICPINS  RX 1,6 X 5 MM</v>
          </cell>
        </row>
        <row r="12996">
          <cell r="B12996" t="str">
            <v>52-621-24-04</v>
          </cell>
          <cell r="C12996" t="str">
            <v>SONICPINS  RX 2,1X4 MM</v>
          </cell>
          <cell r="D12996" t="str">
            <v>SONICPINS  RX 2,1X4 MM</v>
          </cell>
        </row>
        <row r="12997">
          <cell r="B12997" t="str">
            <v>52-621-25-04</v>
          </cell>
          <cell r="C12997" t="str">
            <v>SONICPINS  RX 2,1X5 MM</v>
          </cell>
          <cell r="D12997" t="str">
            <v>SONICPINS  RX 2,1X5 MM</v>
          </cell>
        </row>
        <row r="12998">
          <cell r="B12998" t="str">
            <v>52-641-14-04</v>
          </cell>
          <cell r="C12998" t="str">
            <v>ENDOBROW SONICPIN  RX 2,1X4 MM</v>
          </cell>
          <cell r="D12998" t="str">
            <v>ENDOBROW SONICPIN  RX 2,1X4 MM</v>
          </cell>
        </row>
        <row r="12999">
          <cell r="B12999" t="str">
            <v>52-641-15-04</v>
          </cell>
          <cell r="C12999" t="str">
            <v>ENDOBROW SONICPIN  RX 2,1X5 MM</v>
          </cell>
          <cell r="D12999" t="str">
            <v>ENDOBROW SONICPIN  RX 2,1X5 MM</v>
          </cell>
        </row>
        <row r="13000">
          <cell r="B13000" t="str">
            <v>52-806-13-04</v>
          </cell>
          <cell r="C13000" t="str">
            <v>RESORB XG MESH 0,6 MM, 126 X 126 MM</v>
          </cell>
          <cell r="D13000" t="str">
            <v>RESORB XG MESH 0,6 MM, 126 X 126 MM</v>
          </cell>
        </row>
        <row r="13001">
          <cell r="B13001" t="str">
            <v>52-806-50-04</v>
          </cell>
          <cell r="C13001" t="str">
            <v>RESORB XG MESH 0,6 MM, 51 X 51 MM</v>
          </cell>
          <cell r="D13001" t="str">
            <v>RESORB XG MESH 0,6 MM, 51 X 51 MM</v>
          </cell>
        </row>
        <row r="13002">
          <cell r="B13002" t="str">
            <v>52-808-11-04</v>
          </cell>
          <cell r="C13002" t="str">
            <v>RESORB XG PLATTE, 0.8 MM, 11X126 MM</v>
          </cell>
          <cell r="D13002" t="str">
            <v>RESORB XG PLATE, 0.8 MM, 11X126 MM</v>
          </cell>
        </row>
        <row r="13003">
          <cell r="B13003" t="str">
            <v>52-808-50-04</v>
          </cell>
          <cell r="C13003" t="str">
            <v>RESORB XG MESH 0,8 MM, 51 X 51 MM</v>
          </cell>
          <cell r="D13003" t="str">
            <v>RESORB XG MESH 0.8 MM, 51 X 51 MM</v>
          </cell>
        </row>
        <row r="13004">
          <cell r="B13004" t="str">
            <v>52-808-55-04</v>
          </cell>
          <cell r="C13004" t="str">
            <v>RESORB XG MESH PLATTE 1,5 MM, 51 X 51 MM</v>
          </cell>
          <cell r="D13004" t="str">
            <v>RESORB-XG MESH PLATE 1.5 / 51 X 51 MM</v>
          </cell>
        </row>
        <row r="13005">
          <cell r="B13005" t="str">
            <v>52-810-11-04</v>
          </cell>
          <cell r="C13005" t="str">
            <v>RESORB XG MESH 1,0 MM, 11 X 126 MM</v>
          </cell>
          <cell r="D13005" t="str">
            <v>RESORB XG MESH 1,0 MM, 11 X 126 MM</v>
          </cell>
        </row>
        <row r="13006">
          <cell r="B13006" t="str">
            <v>52-810-13-04</v>
          </cell>
          <cell r="C13006" t="str">
            <v>RESORB XG MESH 1,0 MM, 126 X 126 MM</v>
          </cell>
          <cell r="D13006" t="str">
            <v>RESORB XG MESH 1,0 MM, 126 X 126 MM</v>
          </cell>
        </row>
        <row r="13007">
          <cell r="B13007" t="str">
            <v>52-810-14-04</v>
          </cell>
          <cell r="C13007" t="str">
            <v>RESORB XG FOLIE 1,0/11X126 MM</v>
          </cell>
          <cell r="D13007" t="str">
            <v>RESORB XG FOIL 1,0/11X126 MM</v>
          </cell>
        </row>
        <row r="13008">
          <cell r="B13008" t="str">
            <v>52-810-50-04</v>
          </cell>
          <cell r="C13008" t="str">
            <v>RESORB XG MESH 1,0 MM, 51 X 51 MM</v>
          </cell>
          <cell r="D13008" t="str">
            <v>RESORB XG MESH 1,0 MM, 51 X 51 MM</v>
          </cell>
        </row>
        <row r="13009">
          <cell r="B13009" t="str">
            <v>52-810-52-04</v>
          </cell>
          <cell r="C13009" t="str">
            <v>RESORB XG FOLIE 1,0/51X51  MM</v>
          </cell>
          <cell r="D13009" t="str">
            <v>RESORB XG FOIL 1,0/51X51  MM</v>
          </cell>
        </row>
        <row r="13010">
          <cell r="B13010" t="str">
            <v>52-815-11-04</v>
          </cell>
          <cell r="C13010" t="str">
            <v>RESORB XG MESH 1,5 MM, 11 X 126 MM</v>
          </cell>
          <cell r="D13010" t="str">
            <v>RESORB XG MESH 1.5 MM, 11 X 126 MM</v>
          </cell>
        </row>
        <row r="13011">
          <cell r="B13011" t="str">
            <v>52-849-00-04</v>
          </cell>
          <cell r="C13011" t="str">
            <v>RESORB XG MESH 1,0 MM, 11 X 246 MM</v>
          </cell>
          <cell r="D13011" t="str">
            <v>RESORB XG MESH 1,0 MM, 11 X 246 MM</v>
          </cell>
        </row>
        <row r="13012">
          <cell r="B13012" t="str">
            <v>52-851-00-04</v>
          </cell>
          <cell r="C13012" t="str">
            <v>RESORB XG MESH 0,8 MM, 16 X 251 MM</v>
          </cell>
          <cell r="D13012" t="str">
            <v>RESORB XG MESH 0,8 MM, 16 X 251 MM</v>
          </cell>
        </row>
        <row r="13013">
          <cell r="B13013" t="str">
            <v>52-876-22-04</v>
          </cell>
          <cell r="C13013" t="str">
            <v>RESORB XG PLATTE GERADE,  1,0 MM, 22 LOCH</v>
          </cell>
          <cell r="D13013" t="str">
            <v>RESORB XG PLATE STRAI., 1,0 MM, 22 HOLE</v>
          </cell>
        </row>
        <row r="13014">
          <cell r="B13014" t="str">
            <v>52-877-04-04</v>
          </cell>
          <cell r="C13014" t="str">
            <v>RESORB XG PL.GERADE, STEG, 1,0MM,4  LOCH</v>
          </cell>
          <cell r="D13014" t="str">
            <v>RESORB XG PLATE STRAIGHT  1,0MM, 4 HOLE</v>
          </cell>
        </row>
        <row r="13015">
          <cell r="B13015" t="str">
            <v>52-890-06-04</v>
          </cell>
          <cell r="C13015" t="str">
            <v>RESORB XG DOPPELTE  Y-PLAT.,1,0 MM,6 LOCH</v>
          </cell>
          <cell r="D13015" t="str">
            <v>RESORB XG DOUBLE Y-PLATE, 1,0MM, 6 HOLE</v>
          </cell>
        </row>
        <row r="13016">
          <cell r="B13016" t="str">
            <v>53-002-28-04</v>
          </cell>
          <cell r="C13016" t="str">
            <v>RESORB XC FOLIE 25X25 MM T=0,2 MM</v>
          </cell>
          <cell r="D13016" t="str">
            <v>RESORB XC SHEET 25X25 MM T=0.2 MM</v>
          </cell>
        </row>
        <row r="13017">
          <cell r="B13017" t="str">
            <v>53-002-30-04</v>
          </cell>
          <cell r="C13017" t="str">
            <v>RESORB XC MEMBRAN  50X20MM  T=0,2 MM</v>
          </cell>
          <cell r="D13017" t="str">
            <v>RESORB XC MEMBRANE 50X20MM  T=0.2 MM</v>
          </cell>
        </row>
        <row r="13018">
          <cell r="B13018" t="str">
            <v>53-006-30-04</v>
          </cell>
          <cell r="C13018" t="str">
            <v>RESORB XC ORBIT.PLATTE M.LASCHEN T=0,6 M</v>
          </cell>
          <cell r="D13018" t="str">
            <v>RESORB XC ORBIT.PLATE WITH TABS T=0.6 MM</v>
          </cell>
        </row>
        <row r="13019">
          <cell r="B13019" t="str">
            <v>53-075-08-04</v>
          </cell>
          <cell r="C13019" t="str">
            <v>RESORB XC PLATTE GERADE 8-LOCH</v>
          </cell>
          <cell r="D13019" t="str">
            <v>RESORB-XC PLATE STRAIGHT  8-HOLE</v>
          </cell>
        </row>
        <row r="13020">
          <cell r="B13020" t="str">
            <v>53-076-08-04</v>
          </cell>
          <cell r="C13020" t="str">
            <v>RESORB XC ORBITA-PLATTE 8-LOCH</v>
          </cell>
          <cell r="D13020" t="str">
            <v>RESORB XC ORBITAL PLATE 8-HOLE</v>
          </cell>
        </row>
        <row r="13021">
          <cell r="B13021" t="str">
            <v>53-077-04-04</v>
          </cell>
          <cell r="C13021" t="str">
            <v>RESORB XC PLATTE GERADE 4-LOCH, MIT STEG</v>
          </cell>
          <cell r="D13021" t="str">
            <v>RESORB XC PLATE STRAIGHT  4-HOLE, W/BAR</v>
          </cell>
        </row>
        <row r="13022">
          <cell r="B13022" t="str">
            <v>53-800-10-04</v>
          </cell>
          <cell r="C13022" t="str">
            <v>HBS 2 Resorb Mg Ø2,5x10,  kurz, kan.</v>
          </cell>
          <cell r="D13022" t="str">
            <v>HBS 2 Resorb Mg Ø2,5x10,  short, can.</v>
          </cell>
        </row>
        <row r="13023">
          <cell r="B13023" t="str">
            <v>53-800-11-04</v>
          </cell>
          <cell r="C13023" t="str">
            <v>HBS 2 Resorb Mg Ø2,5x11,  kurz, kan.</v>
          </cell>
          <cell r="D13023" t="str">
            <v>HBS 2 Resorb Mg Ø2,5x11,  short, can.</v>
          </cell>
        </row>
        <row r="13024">
          <cell r="B13024" t="str">
            <v>53-800-12-04</v>
          </cell>
          <cell r="C13024" t="str">
            <v>HBS 2 Resorb Mg Ø2,5x12,  kurz, kan.</v>
          </cell>
          <cell r="D13024" t="str">
            <v>HBS 2 Resorb Mg Ø2,5x12,  short, can.</v>
          </cell>
        </row>
        <row r="13025">
          <cell r="B13025" t="str">
            <v>53-800-13-04</v>
          </cell>
          <cell r="C13025" t="str">
            <v>HBS 2 Resorb Mg Ø2,5x13,  kurz, kan.</v>
          </cell>
          <cell r="D13025" t="str">
            <v>HBS 2 Resorb Mg Ø2,5x13,  short, can.</v>
          </cell>
        </row>
        <row r="13026">
          <cell r="B13026" t="str">
            <v>53-800-14-04</v>
          </cell>
          <cell r="C13026" t="str">
            <v>HBS 2 Resorb Mg Ø2,5x14,  kurz, kan.</v>
          </cell>
          <cell r="D13026" t="str">
            <v>HBS 2 Resorb Mg Ø2,5x14,  short, can.</v>
          </cell>
        </row>
        <row r="13027">
          <cell r="B13027" t="str">
            <v>53-800-15-04</v>
          </cell>
          <cell r="C13027" t="str">
            <v>HBS 2 Resorb Mg Ø2,5x15,  kurz, kan.</v>
          </cell>
          <cell r="D13027" t="str">
            <v>HBS 2 Resorb Mg Ø2,5x15,  short, can.</v>
          </cell>
        </row>
        <row r="13028">
          <cell r="B13028" t="str">
            <v>53-800-16-04</v>
          </cell>
          <cell r="C13028" t="str">
            <v>HBS 2 Resorb Mg Ø2,5x16,  kurz, kan.</v>
          </cell>
          <cell r="D13028" t="str">
            <v>HBS 2 Resorb Mg Ø2,5x16,  short, can.</v>
          </cell>
        </row>
        <row r="13029">
          <cell r="B13029" t="str">
            <v>53-800-17-04</v>
          </cell>
          <cell r="C13029" t="str">
            <v>HBS 2 Resorb Mg Ø2,5x17,  kurz, kan.</v>
          </cell>
          <cell r="D13029" t="str">
            <v>HBS 2 Resorb Mg Ø2,5x17,  short, can.</v>
          </cell>
        </row>
        <row r="13030">
          <cell r="B13030" t="str">
            <v>53-800-18-04</v>
          </cell>
          <cell r="C13030" t="str">
            <v>HBS 2 Resorb Mg Ø2,5x18,  kurz, kan.</v>
          </cell>
          <cell r="D13030" t="str">
            <v>HBS 2 Resorb Mg Ø2,5x18,  short, can.</v>
          </cell>
        </row>
        <row r="13031">
          <cell r="B13031" t="str">
            <v>53-800-19-04</v>
          </cell>
          <cell r="C13031" t="str">
            <v>HBS 2 Resorb Mg Ø2,5x19,  kurz, kan.</v>
          </cell>
          <cell r="D13031" t="str">
            <v>HBS 2 Resorb Mg Ø2,5x19,  short, can.</v>
          </cell>
        </row>
        <row r="13032">
          <cell r="B13032" t="str">
            <v>53-800-20-04</v>
          </cell>
          <cell r="C13032" t="str">
            <v>HBS 2 Resorb Mg Ø2,5x20,  kurz, kan.</v>
          </cell>
          <cell r="D13032" t="str">
            <v>HBS 2 Resorb Mg Ø2,5x20,  short, can.</v>
          </cell>
        </row>
        <row r="13033">
          <cell r="B13033" t="str">
            <v>53-800-21-04</v>
          </cell>
          <cell r="C13033" t="str">
            <v>HBS 2 Resorb Mg Ø2,5x21,  kurz, kan.</v>
          </cell>
          <cell r="D13033" t="str">
            <v>HBS 2 Resorb Mg Ø2,5x21,  short, can.</v>
          </cell>
        </row>
        <row r="13034">
          <cell r="B13034" t="str">
            <v>53-800-22-04</v>
          </cell>
          <cell r="C13034" t="str">
            <v>HBS 2 Resorb Mg Ø2,5x22,  kurz, kan.</v>
          </cell>
          <cell r="D13034" t="str">
            <v>HBS 2 Resorb Mg Ø2,5x22,  short, can.</v>
          </cell>
        </row>
        <row r="13035">
          <cell r="B13035" t="str">
            <v>53-800-23-04</v>
          </cell>
          <cell r="C13035" t="str">
            <v>HBS 2 Resorb Mg Ø2,5x23,  kurz, kan.</v>
          </cell>
          <cell r="D13035" t="str">
            <v>HBS 2 Resorb Mg Ø2,5x23,  short, can.</v>
          </cell>
        </row>
        <row r="13036">
          <cell r="B13036" t="str">
            <v>53-800-24-04</v>
          </cell>
          <cell r="C13036" t="str">
            <v>HBS 2 Resorb Mg Ø2,5x24,  kurz, kan.</v>
          </cell>
          <cell r="D13036" t="str">
            <v>HBS 2 Resorb Mg Ø2,5x24,  short, can.</v>
          </cell>
        </row>
        <row r="13037">
          <cell r="B13037" t="str">
            <v>53-800-25-04</v>
          </cell>
          <cell r="C13037" t="str">
            <v>HBS 2 Resorb Mg Ø2,5x25,  kurz, kan.</v>
          </cell>
          <cell r="D13037" t="str">
            <v>HBS 2 Resorb Mg Ø2,5x25,  short, can.</v>
          </cell>
        </row>
        <row r="13038">
          <cell r="B13038" t="str">
            <v>53-800-26-04</v>
          </cell>
          <cell r="C13038" t="str">
            <v>HBS 2 Resorb Mg Ø2,5x26,  kurz, kan.</v>
          </cell>
          <cell r="D13038" t="str">
            <v>HBS 2 Resorb Mg Ø2,5x26,  short, can.</v>
          </cell>
        </row>
        <row r="13039">
          <cell r="B13039" t="str">
            <v>53-800-27-04</v>
          </cell>
          <cell r="C13039" t="str">
            <v>HBS 2 Resorb Mg Ø2,5x27,  kurz, kan.</v>
          </cell>
          <cell r="D13039" t="str">
            <v>HBS 2 Resorb Mg Ø2,5x27,  short, can.</v>
          </cell>
        </row>
        <row r="13040">
          <cell r="B13040" t="str">
            <v>53-800-28-04</v>
          </cell>
          <cell r="C13040" t="str">
            <v>HBS 2 Resorb Mg Ø2,5x28,  kurz, kan.</v>
          </cell>
          <cell r="D13040" t="str">
            <v>HBS 2 Resorb Mg Ø2,5x28,  short, can.</v>
          </cell>
        </row>
        <row r="13041">
          <cell r="B13041" t="str">
            <v>53-800-29-04</v>
          </cell>
          <cell r="C13041" t="str">
            <v>HBS 2 Resorb Mg Ø2,5x29,  kurz, kan.</v>
          </cell>
          <cell r="D13041" t="str">
            <v>HBS 2 Resorb Mg Ø2,5x29,  short, can.</v>
          </cell>
        </row>
        <row r="13042">
          <cell r="B13042" t="str">
            <v>53-800-30-04</v>
          </cell>
          <cell r="C13042" t="str">
            <v>HBS 2 Resorb Mg Ø2,5x30,  kurz, kan.</v>
          </cell>
          <cell r="D13042" t="str">
            <v>HBS 2 Resorb Mg Ø2,5x30,  short, can.</v>
          </cell>
        </row>
        <row r="13043">
          <cell r="B13043" t="str">
            <v>53-801-20-04</v>
          </cell>
          <cell r="C13043" t="str">
            <v>HBS 2 Resorb Mg Ø2,5x20,  lang, kan.</v>
          </cell>
          <cell r="D13043" t="str">
            <v>HBS 2 Resorb Mg Ø2,5x20,  long, can.</v>
          </cell>
        </row>
        <row r="13044">
          <cell r="B13044" t="str">
            <v>53-801-22-04</v>
          </cell>
          <cell r="C13044" t="str">
            <v>HBS 2 Resorb Mg Ø2,5x22,  lang, kan.</v>
          </cell>
          <cell r="D13044" t="str">
            <v>HBS 2 Resorb Mg Ø2,5x22,  long, can.</v>
          </cell>
        </row>
        <row r="13045">
          <cell r="B13045" t="str">
            <v>53-801-24-04</v>
          </cell>
          <cell r="C13045" t="str">
            <v>HBS 2 Resorb Mg Ø2,5x24,  lang, kan.</v>
          </cell>
          <cell r="D13045" t="str">
            <v>HBS 2 Resorb Mg Ø2,5x24,  long, can.</v>
          </cell>
        </row>
        <row r="13046">
          <cell r="B13046" t="str">
            <v>53-801-26-04</v>
          </cell>
          <cell r="C13046" t="str">
            <v>HBS 2 Resorb Mg Ø2,5x26,  lang, kan.</v>
          </cell>
          <cell r="D13046" t="str">
            <v>HBS 2 Resorb Mg Ø2,5x26,  long, can.</v>
          </cell>
        </row>
        <row r="13047">
          <cell r="B13047" t="str">
            <v>53-801-28-04</v>
          </cell>
          <cell r="C13047" t="str">
            <v>HBS 2 Resorb Mg Ø2,5x28,  lang, kan.</v>
          </cell>
          <cell r="D13047" t="str">
            <v>HBS 2 Resorb Mg Ø2,5x28,  long, can.</v>
          </cell>
        </row>
        <row r="13048">
          <cell r="B13048" t="str">
            <v>53-801-30-04</v>
          </cell>
          <cell r="C13048" t="str">
            <v>HBS 2 Resorb Mg Ø2,5x30,  lang, kan.</v>
          </cell>
          <cell r="D13048" t="str">
            <v>HBS 2 Resorb Mg Ø2,5x30,  long, can.</v>
          </cell>
        </row>
        <row r="13049">
          <cell r="B13049" t="str">
            <v>53-801-32-04</v>
          </cell>
          <cell r="C13049" t="str">
            <v>HBS 2 Resorb Mg Ø2,5x32,  lang, kan.</v>
          </cell>
          <cell r="D13049" t="str">
            <v>HBS 2 Resorb Mg Ø2,5x32,  long, can.</v>
          </cell>
        </row>
        <row r="13050">
          <cell r="B13050" t="str">
            <v>53-801-34-04</v>
          </cell>
          <cell r="C13050" t="str">
            <v>HBS 2 Resorb Mg Ø2,5x34,  lang, kan.</v>
          </cell>
          <cell r="D13050" t="str">
            <v>HBS 2 Resorb Mg Ø2,5x34,  long, can.</v>
          </cell>
        </row>
        <row r="13051">
          <cell r="B13051" t="str">
            <v>53-801-36-04</v>
          </cell>
          <cell r="C13051" t="str">
            <v>HBS 2 Resorb Mg Ø2,5x36,  lang, kan.</v>
          </cell>
          <cell r="D13051" t="str">
            <v>HBS 2 Resorb Mg Ø2,5x36,  long, can.</v>
          </cell>
        </row>
        <row r="13052">
          <cell r="B13052" t="str">
            <v>53-801-38-04</v>
          </cell>
          <cell r="C13052" t="str">
            <v>HBS 2 Resorb Mg Ø2,5x38,  lang, kan.</v>
          </cell>
          <cell r="D13052" t="str">
            <v>HBS 2 Resorb Mg Ø2,5x38,  long, can.</v>
          </cell>
        </row>
        <row r="13053">
          <cell r="B13053" t="str">
            <v>53-801-40-04</v>
          </cell>
          <cell r="C13053" t="str">
            <v>HBS 2 Resorb Mg Ø2,5x40,  lang, kan.</v>
          </cell>
          <cell r="D13053" t="str">
            <v>HBS 2 Resorb Mg Ø2,5x40,  long, can.</v>
          </cell>
        </row>
        <row r="13054">
          <cell r="B13054" t="str">
            <v>53-802-10-04</v>
          </cell>
          <cell r="C13054" t="str">
            <v>HBS 2 Resorb Mg Ø3,0x10,  kurz, kan.</v>
          </cell>
          <cell r="D13054" t="str">
            <v>HBS 2 Resorb Mg Ø3,0x10,  short, can.</v>
          </cell>
        </row>
        <row r="13055">
          <cell r="B13055" t="str">
            <v>53-802-11-04</v>
          </cell>
          <cell r="C13055" t="str">
            <v>HBS 2 Resorb Mg Ø3,0x11,  kurz, kan.</v>
          </cell>
          <cell r="D13055" t="str">
            <v>HBS 2 Resorb Mg Ø3,0x11,  short, can.</v>
          </cell>
        </row>
        <row r="13056">
          <cell r="B13056" t="str">
            <v>53-802-12-04</v>
          </cell>
          <cell r="C13056" t="str">
            <v>HBS 2 Resorb Mg Ø3,0x12,  kurz, kan.</v>
          </cell>
          <cell r="D13056" t="str">
            <v>HBS 2 Resorb Mg Ø3,0x12,  short, can.</v>
          </cell>
        </row>
        <row r="13057">
          <cell r="B13057" t="str">
            <v>53-802-13-04</v>
          </cell>
          <cell r="C13057" t="str">
            <v>HBS 2 Resorb Mg Ø3,0x13,  kurz, kan.</v>
          </cell>
          <cell r="D13057" t="str">
            <v>HBS 2 Resorb Mg Ø3,0x13,  short, can.</v>
          </cell>
        </row>
        <row r="13058">
          <cell r="B13058" t="str">
            <v>53-802-14-04</v>
          </cell>
          <cell r="C13058" t="str">
            <v>HBS 2 Resorb Mg Ø3,0x14,  kurz, kan.</v>
          </cell>
          <cell r="D13058" t="str">
            <v>HBS 2 Resorb Mg Ø3,0x14,  short, can.</v>
          </cell>
        </row>
        <row r="13059">
          <cell r="B13059" t="str">
            <v>53-802-15-04</v>
          </cell>
          <cell r="C13059" t="str">
            <v>HBS 2 Resorb Mg Ø3,0x15,  kurz, kan.</v>
          </cell>
          <cell r="D13059" t="str">
            <v>HBS 2 Resorb Mg Ø3,0x15,  short, can.</v>
          </cell>
        </row>
        <row r="13060">
          <cell r="B13060" t="str">
            <v>53-802-16-04</v>
          </cell>
          <cell r="C13060" t="str">
            <v>HBS 2 Resorb Mg Ø3,0x16,  kurz, kan.</v>
          </cell>
          <cell r="D13060" t="str">
            <v>HBS 2 Resorb Mg Ø3,0x16,  short, can.</v>
          </cell>
        </row>
        <row r="13061">
          <cell r="B13061" t="str">
            <v>53-802-17-04</v>
          </cell>
          <cell r="C13061" t="str">
            <v>HBS 2 Resorb Mg Ø3,0x17,  kurz, kan.</v>
          </cell>
          <cell r="D13061" t="str">
            <v>HBS 2 Resorb Mg Ø3,0x17,  short, can.</v>
          </cell>
        </row>
        <row r="13062">
          <cell r="B13062" t="str">
            <v>53-802-18-04</v>
          </cell>
          <cell r="C13062" t="str">
            <v>HBS 2 Resorb Mg Ø3,0x18,  kurz, kan.</v>
          </cell>
          <cell r="D13062" t="str">
            <v>HBS 2 Resorb Mg Ø3,0x18,  short, can.</v>
          </cell>
        </row>
        <row r="13063">
          <cell r="B13063" t="str">
            <v>53-802-19-04</v>
          </cell>
          <cell r="C13063" t="str">
            <v>HBS 2 Resorb Mg Ø3,0x19,  kurz, kan.</v>
          </cell>
          <cell r="D13063" t="str">
            <v>HBS 2 Resorb Mg Ø3,0x19,  short, can.</v>
          </cell>
        </row>
        <row r="13064">
          <cell r="B13064" t="str">
            <v>53-802-20-04</v>
          </cell>
          <cell r="C13064" t="str">
            <v>HBS 2 Resorb Mg Ø3,0x20,  kurz, kan.</v>
          </cell>
          <cell r="D13064" t="str">
            <v>HBS 2 Resorb Mg Ø3,0x20,  short, can.</v>
          </cell>
        </row>
        <row r="13065">
          <cell r="B13065" t="str">
            <v>53-802-21-04</v>
          </cell>
          <cell r="C13065" t="str">
            <v>HBS 2 Resorb Mg Ø3,0x21,  kurz, kan.</v>
          </cell>
          <cell r="D13065" t="str">
            <v>HBS 2 Resorb Mg Ø3,0x21,  short, can.</v>
          </cell>
        </row>
        <row r="13066">
          <cell r="B13066" t="str">
            <v>53-802-22-04</v>
          </cell>
          <cell r="C13066" t="str">
            <v>HBS 2 Resorb Mg Ø3,0x22,  kurz, kan.</v>
          </cell>
          <cell r="D13066" t="str">
            <v>HBS 2 Resorb Mg Ø3,0x22,  short, can.</v>
          </cell>
        </row>
        <row r="13067">
          <cell r="B13067" t="str">
            <v>53-802-23-04</v>
          </cell>
          <cell r="C13067" t="str">
            <v>HBS 2 Resorb Mg Ø3,0x23,  kurz, kan.</v>
          </cell>
          <cell r="D13067" t="str">
            <v>HBS 2 Resorb Mg Ø3,0x23,  short, can.</v>
          </cell>
        </row>
        <row r="13068">
          <cell r="B13068" t="str">
            <v>53-802-24-04</v>
          </cell>
          <cell r="C13068" t="str">
            <v>HBS 2 Resorb Mg Ø3,0x24,  kurz, kan.</v>
          </cell>
          <cell r="D13068" t="str">
            <v>HBS 2 Resorb Mg Ø3,0x24,  short, can.</v>
          </cell>
        </row>
        <row r="13069">
          <cell r="B13069" t="str">
            <v>53-802-25-04</v>
          </cell>
          <cell r="C13069" t="str">
            <v>HBS 2 Resorb Mg Ø3,0x25,  kurz, kan.</v>
          </cell>
          <cell r="D13069" t="str">
            <v>HBS 2 Resorb Mg Ø3,0x25,  short, can.</v>
          </cell>
        </row>
        <row r="13070">
          <cell r="B13070" t="str">
            <v>53-802-26-04</v>
          </cell>
          <cell r="C13070" t="str">
            <v>HBS 2 Resorb Mg Ø3,0x26,  kurz, kan.</v>
          </cell>
          <cell r="D13070" t="str">
            <v>HBS 2 Resorb Mg Ø3,0x26,  short, can.</v>
          </cell>
        </row>
        <row r="13071">
          <cell r="B13071" t="str">
            <v>53-802-27-04</v>
          </cell>
          <cell r="C13071" t="str">
            <v>HBS 2 Resorb Mg Ø3,0x27,  kurz, kan.</v>
          </cell>
          <cell r="D13071" t="str">
            <v>HBS 2 Resorb Mg Ø3,0x27,  short, can.</v>
          </cell>
        </row>
        <row r="13072">
          <cell r="B13072" t="str">
            <v>53-802-28-04</v>
          </cell>
          <cell r="C13072" t="str">
            <v>HBS 2 Resorb Mg Ø3,0x28,  kurz, kan.</v>
          </cell>
          <cell r="D13072" t="str">
            <v>HBS 2 Resorb Mg Ø3,0x28,  short, can.</v>
          </cell>
        </row>
        <row r="13073">
          <cell r="B13073" t="str">
            <v>53-802-29-04</v>
          </cell>
          <cell r="C13073" t="str">
            <v>HBS 2 Resorb Mg Ø3,0x29,  kurz, kan.</v>
          </cell>
          <cell r="D13073" t="str">
            <v>HBS 2 Resorb Mg Ø3,0x29,  short, can.</v>
          </cell>
        </row>
        <row r="13074">
          <cell r="B13074" t="str">
            <v>53-802-30-04</v>
          </cell>
          <cell r="C13074" t="str">
            <v>HBS 2 Resorb Mg Ø3,0x30,  kurz, kan.</v>
          </cell>
          <cell r="D13074" t="str">
            <v>HBS 2 Resorb Mg Ø3,0x30,  short, can.</v>
          </cell>
        </row>
        <row r="13075">
          <cell r="B13075" t="str">
            <v>53-803-20-04</v>
          </cell>
          <cell r="C13075" t="str">
            <v>HBS 2 Resorb Mg Ø3,0x20,  lang, kan.</v>
          </cell>
          <cell r="D13075" t="str">
            <v>HBS 2 Resorb Mg Ø3,0x20,  long, can.</v>
          </cell>
        </row>
        <row r="13076">
          <cell r="B13076" t="str">
            <v>53-803-22-04</v>
          </cell>
          <cell r="C13076" t="str">
            <v>HBS 2 Resorb Mg Ø3,0x22,  lang, kan.</v>
          </cell>
          <cell r="D13076" t="str">
            <v>HBS 2 Resorb Mg Ø3,0x22,  long, can.</v>
          </cell>
        </row>
        <row r="13077">
          <cell r="B13077" t="str">
            <v>53-803-24-04</v>
          </cell>
          <cell r="C13077" t="str">
            <v>HBS 2 Resorb Mg Ø3,0x24,  lang, kan.</v>
          </cell>
          <cell r="D13077" t="str">
            <v>HBS 2 Resorb Mg Ø3,0x24,  long, can.</v>
          </cell>
        </row>
        <row r="13078">
          <cell r="B13078" t="str">
            <v>53-803-26-04</v>
          </cell>
          <cell r="C13078" t="str">
            <v>HBS 2 Resorb Mg Ø3,0x26,  lang, kan.</v>
          </cell>
          <cell r="D13078" t="str">
            <v>HBS 2 Resorb Mg Ø3,0x26,  long, can.</v>
          </cell>
        </row>
        <row r="13079">
          <cell r="B13079" t="str">
            <v>53-803-28-04</v>
          </cell>
          <cell r="C13079" t="str">
            <v>HBS 2 Resorb Mg Ø3,0x28,  lang, kan.</v>
          </cell>
          <cell r="D13079" t="str">
            <v>HBS 2 Resorb Mg Ø3,0x28,  long, can.</v>
          </cell>
        </row>
        <row r="13080">
          <cell r="B13080" t="str">
            <v>53-803-30-04</v>
          </cell>
          <cell r="C13080" t="str">
            <v>HBS 2 Resorb Mg Ø3,0x30,  lang, kan.</v>
          </cell>
          <cell r="D13080" t="str">
            <v>HBS 2 Resorb Mg Ø3,0x30,  long, can.</v>
          </cell>
        </row>
        <row r="13081">
          <cell r="B13081" t="str">
            <v>53-803-32-04</v>
          </cell>
          <cell r="C13081" t="str">
            <v>HBS 2 Resorb Mg Ø3,0x32,  lang, kan.</v>
          </cell>
          <cell r="D13081" t="str">
            <v>HBS 2 Resorb Mg Ø3,0x32,  long, can.</v>
          </cell>
        </row>
        <row r="13082">
          <cell r="B13082" t="str">
            <v>53-803-34-04</v>
          </cell>
          <cell r="C13082" t="str">
            <v>HBS 2 Resorb Mg Ø3,0x34,  lang, kan.</v>
          </cell>
          <cell r="D13082" t="str">
            <v>HBS 2 Resorb Mg Ø3,0x34,  long, can.</v>
          </cell>
        </row>
        <row r="13083">
          <cell r="B13083" t="str">
            <v>53-803-36-04</v>
          </cell>
          <cell r="C13083" t="str">
            <v>HBS 2 Resorb Mg Ø3,0x36,  lang, kan.</v>
          </cell>
          <cell r="D13083" t="str">
            <v>HBS 2 Resorb Mg Ø3,0x36,  long, can.</v>
          </cell>
        </row>
        <row r="13084">
          <cell r="B13084" t="str">
            <v>53-803-38-04</v>
          </cell>
          <cell r="C13084" t="str">
            <v>HBS 2 Resorb Mg Ø3,0x38,  lang, kan.</v>
          </cell>
          <cell r="D13084" t="str">
            <v>HBS 2 Resorb Mg Ø3,0x38,  long, can.</v>
          </cell>
        </row>
        <row r="13085">
          <cell r="B13085" t="str">
            <v>53-803-40-04</v>
          </cell>
          <cell r="C13085" t="str">
            <v>HBS 2 Resorb Mg Ø3,0x40,  lang, kan.</v>
          </cell>
          <cell r="D13085" t="str">
            <v>HBS 2 Resorb Mg Ø3,0x40,  long, can.</v>
          </cell>
        </row>
        <row r="13086">
          <cell r="B13086" t="str">
            <v>54-301-10-07</v>
          </cell>
          <cell r="C13086" t="str">
            <v>SCHWESTERNGARNITUR, NAGELSCHERE &amp; FEILE</v>
          </cell>
          <cell r="D13086" t="str">
            <v>NURSE SET, NAIL SCISS. &amp; FILE, W. CHAIN</v>
          </cell>
        </row>
        <row r="13087">
          <cell r="B13087" t="str">
            <v>54-305-10-07</v>
          </cell>
          <cell r="C13087" t="str">
            <v>NAGELSCHERE, GEB., 10,5 CM</v>
          </cell>
          <cell r="D13087" t="str">
            <v>FINGERNAIL SCISSORS,  CVD., 10.5 CM</v>
          </cell>
        </row>
        <row r="13088">
          <cell r="B13088" t="str">
            <v>54-331-14-07</v>
          </cell>
          <cell r="C13088" t="str">
            <v>NAGELZANGE, SCHRÄGE  SCHNEIDE,  14 CM</v>
          </cell>
          <cell r="D13088" t="str">
            <v>FINGERNAIL NIPPER, OBLIQUE  CUT, 14 CM</v>
          </cell>
        </row>
        <row r="13089">
          <cell r="B13089" t="str">
            <v>54-336-14-07</v>
          </cell>
          <cell r="C13089" t="str">
            <v>NAGELZANGE, 14 CM</v>
          </cell>
          <cell r="D13089" t="str">
            <v>FINGERNAIL NIPPER, 14 CM</v>
          </cell>
        </row>
        <row r="13090">
          <cell r="B13090" t="str">
            <v>54-347-13-07</v>
          </cell>
          <cell r="C13090" t="str">
            <v>NAGELZANGE, 14 CM</v>
          </cell>
          <cell r="D13090" t="str">
            <v>FINGERNAIL NIPPER, 14 CM</v>
          </cell>
        </row>
        <row r="13091">
          <cell r="B13091" t="str">
            <v>54-373-10-07</v>
          </cell>
          <cell r="C13091" t="str">
            <v>HAUTZANGE, FEIN, GEWÖLBT,  11 CM</v>
          </cell>
          <cell r="D13091" t="str">
            <v>CUTICLE CUTTER, FINE, CVD. EDGE, 11 CM</v>
          </cell>
        </row>
        <row r="13092">
          <cell r="B13092" t="str">
            <v>54-378-10-07</v>
          </cell>
          <cell r="C13092" t="str">
            <v>NAGELHAUTSCHERE, FEIN, GER., 10,5 CM</v>
          </cell>
          <cell r="D13092" t="str">
            <v>CUTICLE SCISSORS,  FINE, STR., 10.5 CM</v>
          </cell>
        </row>
        <row r="13093">
          <cell r="B13093" t="str">
            <v>54-379-10-07</v>
          </cell>
          <cell r="C13093" t="str">
            <v>NAGELHAUTSCHERE, FEIN, GEB., 10,5 CM</v>
          </cell>
          <cell r="D13093" t="str">
            <v>CUTICLE SCISSORS,  FINE, CVD., 10.5 CM</v>
          </cell>
        </row>
        <row r="13094">
          <cell r="B13094" t="str">
            <v>55-085-27-07</v>
          </cell>
          <cell r="C13094" t="str">
            <v>STERILISIERZANGE, CHEATLE,  27 CM</v>
          </cell>
          <cell r="D13094" t="str">
            <v>STERILIZING FORCEPS,  CHEATLE,  27 CM</v>
          </cell>
        </row>
        <row r="13095">
          <cell r="B13095" t="str">
            <v>55-091-30-07</v>
          </cell>
          <cell r="C13095" t="str">
            <v>STERILISIERZANGE, 30 CM</v>
          </cell>
          <cell r="D13095" t="str">
            <v>STERILIZING FORCEPS,  30 CM</v>
          </cell>
        </row>
        <row r="13096">
          <cell r="B13096" t="str">
            <v>55-162-20-01</v>
          </cell>
          <cell r="C13096" t="str">
            <v>NADELETUI, GELOCHT,  210X125X17 MM</v>
          </cell>
          <cell r="D13096" t="str">
            <v>NEEDLE CASE, PERFORATED, 210X125X17 MM</v>
          </cell>
        </row>
        <row r="13097">
          <cell r="B13097" t="str">
            <v>55-164-20-01</v>
          </cell>
          <cell r="C13097" t="str">
            <v>NADELETUI, GELOCHT,  210X125X17 MM</v>
          </cell>
          <cell r="D13097" t="str">
            <v>NEEDLE CASE, PERFORATED, 210X125X17 MM</v>
          </cell>
        </row>
        <row r="13098">
          <cell r="B13098" t="str">
            <v>55-230-01-04</v>
          </cell>
          <cell r="C13098" t="str">
            <v>Wanne, marSafe,  grau, 30x30x11cm</v>
          </cell>
          <cell r="D13098" t="str">
            <v>Bottom, marSafe,  grey, 30x30x11cm</v>
          </cell>
        </row>
        <row r="13099">
          <cell r="B13099" t="str">
            <v>55-230-02-04</v>
          </cell>
          <cell r="C13099" t="str">
            <v>Wanne, marSafe,  grau, 30x30x14cm</v>
          </cell>
          <cell r="D13099" t="str">
            <v>Bottom, marSafe,  grey, 30x30x14cm</v>
          </cell>
        </row>
        <row r="13100">
          <cell r="B13100" t="str">
            <v>55-230-03-04</v>
          </cell>
          <cell r="C13100" t="str">
            <v>Wanne, marSafe,  grau, 30x30x16cm</v>
          </cell>
          <cell r="D13100" t="str">
            <v>Bottom, marSafe,  grey, 30x30x16cm</v>
          </cell>
        </row>
        <row r="13101">
          <cell r="B13101" t="str">
            <v>55-230-04-04</v>
          </cell>
          <cell r="C13101" t="str">
            <v>Wanne, marSafe,  grau, 30x30x21cm</v>
          </cell>
          <cell r="D13101" t="str">
            <v>Bottom, marSafe,  grey, 30x30x21cm</v>
          </cell>
        </row>
        <row r="13102">
          <cell r="B13102" t="str">
            <v>55-230-05-04</v>
          </cell>
          <cell r="C13102" t="str">
            <v>Wanne, marSafe,  grau, 30x30x27cm</v>
          </cell>
          <cell r="D13102" t="str">
            <v>Bottom, marSafe,  grey, 30x30x27cm</v>
          </cell>
        </row>
        <row r="13103">
          <cell r="B13103" t="str">
            <v>55-230-10-04</v>
          </cell>
          <cell r="C13103" t="str">
            <v>marSafe,  grau, 30x30x11cm</v>
          </cell>
          <cell r="D13103" t="str">
            <v>marSafe,  grey, 30x30x11cm</v>
          </cell>
        </row>
        <row r="13104">
          <cell r="B13104" t="str">
            <v>55-230-13-04</v>
          </cell>
          <cell r="C13104" t="str">
            <v>marSafe,  grau, 30x30x14cm</v>
          </cell>
          <cell r="D13104" t="str">
            <v>marSafe,  grey, 30x30x14cm</v>
          </cell>
        </row>
        <row r="13105">
          <cell r="B13105" t="str">
            <v>55-230-15-04</v>
          </cell>
          <cell r="C13105" t="str">
            <v>marSafe,  grau, 30x30x16cm</v>
          </cell>
          <cell r="D13105" t="str">
            <v>marSafe,  grey, 30x30x16cm</v>
          </cell>
        </row>
        <row r="13106">
          <cell r="B13106" t="str">
            <v>55-230-20-04</v>
          </cell>
          <cell r="C13106" t="str">
            <v>marSafe,  grau, 30x30x21cm</v>
          </cell>
          <cell r="D13106" t="str">
            <v>marSafe,  grey, 30x30x21cm</v>
          </cell>
        </row>
        <row r="13107">
          <cell r="B13107" t="str">
            <v>55-230-30-04</v>
          </cell>
          <cell r="C13107" t="str">
            <v>marSafe,  grau, 30x30x27cm</v>
          </cell>
          <cell r="D13107" t="str">
            <v>marSafe,  grey, 30x30x27cm</v>
          </cell>
        </row>
        <row r="13108">
          <cell r="B13108" t="str">
            <v>55-231-01-04</v>
          </cell>
          <cell r="C13108" t="str">
            <v>Wanne, marSafe,  grau, perf., 30x30x11cm</v>
          </cell>
          <cell r="D13108" t="str">
            <v>Bottom, marSafe,  grey, perf., 30x30x11cm</v>
          </cell>
        </row>
        <row r="13109">
          <cell r="B13109" t="str">
            <v>55-231-02-04</v>
          </cell>
          <cell r="C13109" t="str">
            <v>Wanne, marSafe,  grau, perf., 30x30x14cm</v>
          </cell>
          <cell r="D13109" t="str">
            <v>Bottom, marSafe,  grey, perf., 30x30x14cm</v>
          </cell>
        </row>
        <row r="13110">
          <cell r="B13110" t="str">
            <v>55-231-03-04</v>
          </cell>
          <cell r="C13110" t="str">
            <v>Wanne, marSafe,  grau, perf., 30x30x16cm</v>
          </cell>
          <cell r="D13110" t="str">
            <v>Bottom, marSafe,  grey, perf., 30x30x16cm</v>
          </cell>
        </row>
        <row r="13111">
          <cell r="B13111" t="str">
            <v>55-231-04-04</v>
          </cell>
          <cell r="C13111" t="str">
            <v>Wanne, marSafe,  grau, perf., 30x30x21cm</v>
          </cell>
          <cell r="D13111" t="str">
            <v>Bottom, marSafe,  grey, perf., 30x30x21cm</v>
          </cell>
        </row>
        <row r="13112">
          <cell r="B13112" t="str">
            <v>55-231-05-04</v>
          </cell>
          <cell r="C13112" t="str">
            <v>Wanne, marSafe,  grau, perf., 30x30x27cm</v>
          </cell>
          <cell r="D13112" t="str">
            <v>Bottom, marSafe,  grey, perf., 30x30x27cm</v>
          </cell>
        </row>
        <row r="13113">
          <cell r="B13113" t="str">
            <v>55-231-10-04</v>
          </cell>
          <cell r="C13113" t="str">
            <v>marSafe,  grau, perf., 30x30x11cm</v>
          </cell>
          <cell r="D13113" t="str">
            <v>marSafe,  grey, perf., 30x30x11cm</v>
          </cell>
        </row>
        <row r="13114">
          <cell r="B13114" t="str">
            <v>55-231-13-04</v>
          </cell>
          <cell r="C13114" t="str">
            <v>marSafe,  grau, perf., 30x30x14cm</v>
          </cell>
          <cell r="D13114" t="str">
            <v>marSafe,  grey, perf., 30x30x14cm</v>
          </cell>
        </row>
        <row r="13115">
          <cell r="B13115" t="str">
            <v>55-231-15-04</v>
          </cell>
          <cell r="C13115" t="str">
            <v>marSafe,  grau, perf., 30x30x16cm</v>
          </cell>
          <cell r="D13115" t="str">
            <v>marSafe,  grey, perf., 30x30x16cm</v>
          </cell>
        </row>
        <row r="13116">
          <cell r="B13116" t="str">
            <v>55-231-20-04</v>
          </cell>
          <cell r="C13116" t="str">
            <v>marSafe,  grau, perf., 30x30x21cm</v>
          </cell>
          <cell r="D13116" t="str">
            <v>marSafe,  grey, perf., 30x30x21cm</v>
          </cell>
        </row>
        <row r="13117">
          <cell r="B13117" t="str">
            <v>55-231-30-04</v>
          </cell>
          <cell r="C13117" t="str">
            <v>marSafe,  grau, perf., 30x30x27cm</v>
          </cell>
          <cell r="D13117" t="str">
            <v>marSafe,  grey, perf., 30x30x27cm</v>
          </cell>
        </row>
        <row r="13118">
          <cell r="B13118" t="str">
            <v>55-232-01-04</v>
          </cell>
          <cell r="C13118" t="str">
            <v>Wanne, marSafe,  grau, 47x30x11cm</v>
          </cell>
          <cell r="D13118" t="str">
            <v>Bottom, marSafe,  grey, 47x30x11cm</v>
          </cell>
        </row>
        <row r="13119">
          <cell r="B13119" t="str">
            <v>55-232-02-04</v>
          </cell>
          <cell r="C13119" t="str">
            <v>Wanne, marSafe,  grau, 47x30x14cm</v>
          </cell>
          <cell r="D13119" t="str">
            <v>Bottom, marSafe,  grey, 47x30x14cm</v>
          </cell>
        </row>
        <row r="13120">
          <cell r="B13120" t="str">
            <v>55-232-03-04</v>
          </cell>
          <cell r="C13120" t="str">
            <v>Wanne, marSafe,  grau, 47x30x16cm</v>
          </cell>
          <cell r="D13120" t="str">
            <v>Bottom, marSafe,  grey, 47x30x16cm</v>
          </cell>
        </row>
        <row r="13121">
          <cell r="B13121" t="str">
            <v>55-232-10-04</v>
          </cell>
          <cell r="C13121" t="str">
            <v>marSafe,  grau, 47x30x11cm</v>
          </cell>
          <cell r="D13121" t="str">
            <v>marSafe,  grey, 47x30x11cm</v>
          </cell>
        </row>
        <row r="13122">
          <cell r="B13122" t="str">
            <v>55-232-13-04</v>
          </cell>
          <cell r="C13122" t="str">
            <v>marSafe,  grau, 47x30x14cm</v>
          </cell>
          <cell r="D13122" t="str">
            <v>marSafe,  grey, 47x30x14cm</v>
          </cell>
        </row>
        <row r="13123">
          <cell r="B13123" t="str">
            <v>55-232-15-04</v>
          </cell>
          <cell r="C13123" t="str">
            <v>marSafe,  grau, 47x30x16cm</v>
          </cell>
          <cell r="D13123" t="str">
            <v>marSafe,  grey, 47x30x16cm</v>
          </cell>
        </row>
        <row r="13124">
          <cell r="B13124" t="str">
            <v>55-233-01-04</v>
          </cell>
          <cell r="C13124" t="str">
            <v>Wanne, marSafe,  grau, perf., 47x30x11cm</v>
          </cell>
          <cell r="D13124" t="str">
            <v>Bottom, marSafe,  grey, perf., 47x30x11cm</v>
          </cell>
        </row>
        <row r="13125">
          <cell r="B13125" t="str">
            <v>55-233-02-04</v>
          </cell>
          <cell r="C13125" t="str">
            <v>Wanne, marSafe,  grau, perf., 47x30x14cm</v>
          </cell>
          <cell r="D13125" t="str">
            <v>Bottom, marSafe,  grey, perf., 47x30x14cm</v>
          </cell>
        </row>
        <row r="13126">
          <cell r="B13126" t="str">
            <v>55-233-03-04</v>
          </cell>
          <cell r="C13126" t="str">
            <v>Wanne, marSafe,  grau, perf., 47x30x16cm</v>
          </cell>
          <cell r="D13126" t="str">
            <v>Bottom, marSafe,  grey, perf., 47x30x16cm</v>
          </cell>
        </row>
        <row r="13127">
          <cell r="B13127" t="str">
            <v>55-233-10-04</v>
          </cell>
          <cell r="C13127" t="str">
            <v>marSafe,  grau, perf., 47x30x11cm</v>
          </cell>
          <cell r="D13127" t="str">
            <v>marSafe,  grey, perf., 47x30x11cm</v>
          </cell>
        </row>
        <row r="13128">
          <cell r="B13128" t="str">
            <v>55-233-13-04</v>
          </cell>
          <cell r="C13128" t="str">
            <v>marSafe,  grau, perf., 47x30x14cm</v>
          </cell>
          <cell r="D13128" t="str">
            <v>marSafe,  grey, perf., 47x30x14cm</v>
          </cell>
        </row>
        <row r="13129">
          <cell r="B13129" t="str">
            <v>55-233-15-04</v>
          </cell>
          <cell r="C13129" t="str">
            <v>marSafe,  grau, perf., 47x30x16cm</v>
          </cell>
          <cell r="D13129" t="str">
            <v>marSafe,  grey, perf., 47x30x16cm</v>
          </cell>
        </row>
        <row r="13130">
          <cell r="B13130" t="str">
            <v>55-234-01-04</v>
          </cell>
          <cell r="C13130" t="str">
            <v>Wanne, marSafe,  grau, 60x30x11cm</v>
          </cell>
          <cell r="D13130" t="str">
            <v>Bottom, marSafe,  grey, 60x30x11cm</v>
          </cell>
        </row>
        <row r="13131">
          <cell r="B13131" t="str">
            <v>55-234-02-04</v>
          </cell>
          <cell r="C13131" t="str">
            <v>Wanne, marSafe,  grau, 60x30x14cm</v>
          </cell>
          <cell r="D13131" t="str">
            <v>Bottom, marSafe,  grey, 60x30x14cm</v>
          </cell>
        </row>
        <row r="13132">
          <cell r="B13132" t="str">
            <v>55-234-03-04</v>
          </cell>
          <cell r="C13132" t="str">
            <v>Wanne, marSafe,  grau, 60x30x16cm</v>
          </cell>
          <cell r="D13132" t="str">
            <v>Bottom, marSafe,  grey, 60x30x16cm</v>
          </cell>
        </row>
        <row r="13133">
          <cell r="B13133" t="str">
            <v>55-234-04-04</v>
          </cell>
          <cell r="C13133" t="str">
            <v>Wanne, marSafe,  grau, 60x30x21cm</v>
          </cell>
          <cell r="D13133" t="str">
            <v>Bottom, marSafe,  grey, 60x30x21cm</v>
          </cell>
        </row>
        <row r="13134">
          <cell r="B13134" t="str">
            <v>55-234-05-04</v>
          </cell>
          <cell r="C13134" t="str">
            <v>Wanne, marSafe,  grau, 60x30x27cm</v>
          </cell>
          <cell r="D13134" t="str">
            <v>Bottom, marSafe,  grey, 60x30x27cm</v>
          </cell>
        </row>
        <row r="13135">
          <cell r="B13135" t="str">
            <v>55-234-10-04</v>
          </cell>
          <cell r="C13135" t="str">
            <v>marSafe,  grau, 60x30x11cm</v>
          </cell>
          <cell r="D13135" t="str">
            <v>marSafe,  grey, 60x30x11cm</v>
          </cell>
        </row>
        <row r="13136">
          <cell r="B13136" t="str">
            <v>55-234-13-04</v>
          </cell>
          <cell r="C13136" t="str">
            <v>marSafe,  grau, 60x30x14cm</v>
          </cell>
          <cell r="D13136" t="str">
            <v>marSafe,  grey, 60x30x14cm</v>
          </cell>
        </row>
        <row r="13137">
          <cell r="B13137" t="str">
            <v>55-234-15-04</v>
          </cell>
          <cell r="C13137" t="str">
            <v>marSafe,  grau, 60x30x16cm</v>
          </cell>
          <cell r="D13137" t="str">
            <v>marSafe,  grey, 60x30x16cm</v>
          </cell>
        </row>
        <row r="13138">
          <cell r="B13138" t="str">
            <v>55-234-20-04</v>
          </cell>
          <cell r="C13138" t="str">
            <v>marSafe,  grau, 60x30x21cm</v>
          </cell>
          <cell r="D13138" t="str">
            <v>marSafe,  grey, 60x30x21cm</v>
          </cell>
        </row>
        <row r="13139">
          <cell r="B13139" t="str">
            <v>55-234-30-04</v>
          </cell>
          <cell r="C13139" t="str">
            <v>marSafe,  grau, 60x30x27cm</v>
          </cell>
          <cell r="D13139" t="str">
            <v>marSafe,  grey, 60x30x27cm</v>
          </cell>
        </row>
        <row r="13140">
          <cell r="B13140" t="str">
            <v>55-235-01-04</v>
          </cell>
          <cell r="C13140" t="str">
            <v>Wanne, marSafe,  grau, perf., 60x30x11cm</v>
          </cell>
          <cell r="D13140" t="str">
            <v>Bottom, marSafe,  grey, perf., 60x30x11cm</v>
          </cell>
        </row>
        <row r="13141">
          <cell r="B13141" t="str">
            <v>55-235-02-04</v>
          </cell>
          <cell r="C13141" t="str">
            <v>Wanne, marSafe,  grau, perf., 60x30x14cm</v>
          </cell>
          <cell r="D13141" t="str">
            <v>Bottom, marSafe,  grey, perf., 60x30x14cm</v>
          </cell>
        </row>
        <row r="13142">
          <cell r="B13142" t="str">
            <v>55-235-03-04</v>
          </cell>
          <cell r="C13142" t="str">
            <v>Wanne, marSafe,  grau, perf., 60x30x16cm</v>
          </cell>
          <cell r="D13142" t="str">
            <v>Bottom, marSafe,  grey, perf., 60x30x16cm</v>
          </cell>
        </row>
        <row r="13143">
          <cell r="B13143" t="str">
            <v>55-235-04-04</v>
          </cell>
          <cell r="C13143" t="str">
            <v>Wanne, marSafe,  grau, perf., 60x30x21cm</v>
          </cell>
          <cell r="D13143" t="str">
            <v>Bottom, marSafe,  grey, perf., 60x30x21cm</v>
          </cell>
        </row>
        <row r="13144">
          <cell r="B13144" t="str">
            <v>55-235-05-04</v>
          </cell>
          <cell r="C13144" t="str">
            <v>Wanne, marSafe,  grau, perf., 60x30x27cm</v>
          </cell>
          <cell r="D13144" t="str">
            <v>Bottom, marSafe,  grey, perf., 60x30x27cm</v>
          </cell>
        </row>
        <row r="13145">
          <cell r="B13145" t="str">
            <v>55-235-10-04</v>
          </cell>
          <cell r="C13145" t="str">
            <v>marSafe,  grau, perf., 60x30x11cm</v>
          </cell>
          <cell r="D13145" t="str">
            <v>marSafe,  grey, perf., 60x30x11cm</v>
          </cell>
        </row>
        <row r="13146">
          <cell r="B13146" t="str">
            <v>55-235-13-04</v>
          </cell>
          <cell r="C13146" t="str">
            <v>marSafe,  grau, perf., 60x30x14cm</v>
          </cell>
          <cell r="D13146" t="str">
            <v>marSafe,  grey, perf., 60x30x14cm</v>
          </cell>
        </row>
        <row r="13147">
          <cell r="B13147" t="str">
            <v>55-235-15-04</v>
          </cell>
          <cell r="C13147" t="str">
            <v>marSafe,  grau, perf., 60x30x16cm</v>
          </cell>
          <cell r="D13147" t="str">
            <v>marSafe,  grey, perf., 60x30x16cm</v>
          </cell>
        </row>
        <row r="13148">
          <cell r="B13148" t="str">
            <v>55-235-20-04</v>
          </cell>
          <cell r="C13148" t="str">
            <v>marSafe,  grau, perf., 60x30x21cm</v>
          </cell>
          <cell r="D13148" t="str">
            <v>marSafe,  grey, perf., 60x30x21cm</v>
          </cell>
        </row>
        <row r="13149">
          <cell r="B13149" t="str">
            <v>55-235-30-04</v>
          </cell>
          <cell r="C13149" t="str">
            <v>marSafe,  grau, perf., 60x30x27cm</v>
          </cell>
          <cell r="D13149" t="str">
            <v>marSafe,  grey, perf., 60x30x27cm</v>
          </cell>
        </row>
        <row r="13150">
          <cell r="B13150" t="str">
            <v>55-236-10-04</v>
          </cell>
          <cell r="C13150" t="str">
            <v>marSafe +, grau, 30x30x11cm</v>
          </cell>
          <cell r="D13150" t="str">
            <v>marSafe +, grey, 30x30x11cm</v>
          </cell>
        </row>
        <row r="13151">
          <cell r="B13151" t="str">
            <v>55-236-13-04</v>
          </cell>
          <cell r="C13151" t="str">
            <v>marSafe +, grau, 30x30x14cm</v>
          </cell>
          <cell r="D13151" t="str">
            <v>marSafe +, grey, 30x30x14cm</v>
          </cell>
        </row>
        <row r="13152">
          <cell r="B13152" t="str">
            <v>55-236-15-04</v>
          </cell>
          <cell r="C13152" t="str">
            <v>marSafe +, grau, 30x30x16cm</v>
          </cell>
          <cell r="D13152" t="str">
            <v>marSafe +, grey, 30x30x16cm</v>
          </cell>
        </row>
        <row r="13153">
          <cell r="B13153" t="str">
            <v>55-236-20-04</v>
          </cell>
          <cell r="C13153" t="str">
            <v>marSafe +, grau, 30x30x21cm</v>
          </cell>
          <cell r="D13153" t="str">
            <v>marSafe +, grey, 30x30x21cm</v>
          </cell>
        </row>
        <row r="13154">
          <cell r="B13154" t="str">
            <v>55-236-30-04</v>
          </cell>
          <cell r="C13154" t="str">
            <v>marSafe +, grau, 30x30x27cm</v>
          </cell>
          <cell r="D13154" t="str">
            <v>marSafe +, grey, 30x30x27cm</v>
          </cell>
        </row>
        <row r="13155">
          <cell r="B13155" t="str">
            <v>55-237-10-04</v>
          </cell>
          <cell r="C13155" t="str">
            <v>marSafe +, grau, 47x30x11cm</v>
          </cell>
          <cell r="D13155" t="str">
            <v>marSafe +, grey, 47x30x11cm</v>
          </cell>
        </row>
        <row r="13156">
          <cell r="B13156" t="str">
            <v>55-237-13-04</v>
          </cell>
          <cell r="C13156" t="str">
            <v>marSafe +, grau, 47x30x14cm</v>
          </cell>
          <cell r="D13156" t="str">
            <v>marSafe +, grey, 47x30x14cm</v>
          </cell>
        </row>
        <row r="13157">
          <cell r="B13157" t="str">
            <v>55-237-15-04</v>
          </cell>
          <cell r="C13157" t="str">
            <v>marSafe +, grau, 47x30x16cm</v>
          </cell>
          <cell r="D13157" t="str">
            <v>marSafe +, grey, 47x30x16cm</v>
          </cell>
        </row>
        <row r="13158">
          <cell r="B13158" t="str">
            <v>55-238-10-04</v>
          </cell>
          <cell r="C13158" t="str">
            <v>marSafe +, grau, 60x30x11cm</v>
          </cell>
          <cell r="D13158" t="str">
            <v>marSafe +, grey, 60x30x11cm</v>
          </cell>
        </row>
        <row r="13159">
          <cell r="B13159" t="str">
            <v>55-238-13-04</v>
          </cell>
          <cell r="C13159" t="str">
            <v>marSafe +, grau, 60x30x14cm</v>
          </cell>
          <cell r="D13159" t="str">
            <v>marSafe +, grey, 60x30x14cm</v>
          </cell>
        </row>
        <row r="13160">
          <cell r="B13160" t="str">
            <v>55-238-15-04</v>
          </cell>
          <cell r="C13160" t="str">
            <v>marSafe +, grau, 60x30x16cm</v>
          </cell>
          <cell r="D13160" t="str">
            <v>marSafe +, grey, 60x30x16cm</v>
          </cell>
        </row>
        <row r="13161">
          <cell r="B13161" t="str">
            <v>55-238-20-04</v>
          </cell>
          <cell r="C13161" t="str">
            <v>marSafe +, grau, 60x30x21cm</v>
          </cell>
          <cell r="D13161" t="str">
            <v>marSafe +, grey, 60x30x21cm</v>
          </cell>
        </row>
        <row r="13162">
          <cell r="B13162" t="str">
            <v>55-238-30-04</v>
          </cell>
          <cell r="C13162" t="str">
            <v>marSafe +, grau, 60x30x27cm</v>
          </cell>
          <cell r="D13162" t="str">
            <v>marSafe +, grey, 60x30x27cm</v>
          </cell>
        </row>
        <row r="13163">
          <cell r="B13163" t="str">
            <v>55-240-01-04</v>
          </cell>
          <cell r="C13163" t="str">
            <v>Wanne, marSafe,  rot, 30x30x11cm</v>
          </cell>
          <cell r="D13163" t="str">
            <v>Bottom, marSafe,  red, 30x30x11cm</v>
          </cell>
        </row>
        <row r="13164">
          <cell r="B13164" t="str">
            <v>55-240-02-04</v>
          </cell>
          <cell r="C13164" t="str">
            <v>Wanne, marSafe,  rot, 30x30x14cm</v>
          </cell>
          <cell r="D13164" t="str">
            <v>Bottom, marSafe,  red, 30x30x14cm</v>
          </cell>
        </row>
        <row r="13165">
          <cell r="B13165" t="str">
            <v>55-240-03-04</v>
          </cell>
          <cell r="C13165" t="str">
            <v>Wanne, marSafe,  rot, 30x30x16cm</v>
          </cell>
          <cell r="D13165" t="str">
            <v>Bottom, marSafe,  red, 30x30x16cm</v>
          </cell>
        </row>
        <row r="13166">
          <cell r="B13166" t="str">
            <v>55-240-04-04</v>
          </cell>
          <cell r="C13166" t="str">
            <v>Wanne, marSafe,  rot, 30x30x21cm</v>
          </cell>
          <cell r="D13166" t="str">
            <v>Bottom, marSafe,  red, 30x30x21cm</v>
          </cell>
        </row>
        <row r="13167">
          <cell r="B13167" t="str">
            <v>55-240-05-04</v>
          </cell>
          <cell r="C13167" t="str">
            <v>Wanne, marSafe,  rot, 30x30x27cm</v>
          </cell>
          <cell r="D13167" t="str">
            <v>Bottom, marSafe,  red, 30x30x27cm</v>
          </cell>
        </row>
        <row r="13168">
          <cell r="B13168" t="str">
            <v>55-240-10-04</v>
          </cell>
          <cell r="C13168" t="str">
            <v>marSafe,  rot, 30x30x11cm</v>
          </cell>
          <cell r="D13168" t="str">
            <v>marSafe,  red, 30x30x11cm</v>
          </cell>
        </row>
        <row r="13169">
          <cell r="B13169" t="str">
            <v>55-240-13-04</v>
          </cell>
          <cell r="C13169" t="str">
            <v>marSafe,  rot, 30x30x14cm</v>
          </cell>
          <cell r="D13169" t="str">
            <v>marSafe,  red, 30x30x14cm</v>
          </cell>
        </row>
        <row r="13170">
          <cell r="B13170" t="str">
            <v>55-240-15-04</v>
          </cell>
          <cell r="C13170" t="str">
            <v>marSafe,  rot, 30x30x16cm</v>
          </cell>
          <cell r="D13170" t="str">
            <v>marSafe,  red, 30x30x16cm</v>
          </cell>
        </row>
        <row r="13171">
          <cell r="B13171" t="str">
            <v>55-240-20-04</v>
          </cell>
          <cell r="C13171" t="str">
            <v>marSafe,  rot, 30x30x21cm</v>
          </cell>
          <cell r="D13171" t="str">
            <v>marSafe,  red, 30x30x21cm</v>
          </cell>
        </row>
        <row r="13172">
          <cell r="B13172" t="str">
            <v>55-240-30-04</v>
          </cell>
          <cell r="C13172" t="str">
            <v>marSafe,  rot, 30x30x27cm</v>
          </cell>
          <cell r="D13172" t="str">
            <v>marSafe,  red, 30x30x27cm</v>
          </cell>
        </row>
        <row r="13173">
          <cell r="B13173" t="str">
            <v>55-241-01-04</v>
          </cell>
          <cell r="C13173" t="str">
            <v>Wanne, marSafe,  rot, perf., 30x30x11cm</v>
          </cell>
          <cell r="D13173" t="str">
            <v>Bottom, marSafe,  red, perf., 30x30x11cm</v>
          </cell>
        </row>
        <row r="13174">
          <cell r="B13174" t="str">
            <v>55-241-02-04</v>
          </cell>
          <cell r="C13174" t="str">
            <v>Wanne, marSafe,  rot, perf., 30x30x14cm</v>
          </cell>
          <cell r="D13174" t="str">
            <v>Bottom, marSafe,  red, perf., 30x30x14cm</v>
          </cell>
        </row>
        <row r="13175">
          <cell r="B13175" t="str">
            <v>55-241-03-04</v>
          </cell>
          <cell r="C13175" t="str">
            <v>Wanne, marSafe,  rot, perf., 30x30x16cm</v>
          </cell>
          <cell r="D13175" t="str">
            <v>Bottom, marSafe,  red, perf., 30x30x16cm</v>
          </cell>
        </row>
        <row r="13176">
          <cell r="B13176" t="str">
            <v>55-241-04-04</v>
          </cell>
          <cell r="C13176" t="str">
            <v>Wanne, marSafe,  rot, perf., 30x30x21cm</v>
          </cell>
          <cell r="D13176" t="str">
            <v>Bottom, marSafe,  red, perf., 30x30x21cm</v>
          </cell>
        </row>
        <row r="13177">
          <cell r="B13177" t="str">
            <v>55-241-05-04</v>
          </cell>
          <cell r="C13177" t="str">
            <v>Wanne, marSafe,  rot, perf., 30x30x27cm</v>
          </cell>
          <cell r="D13177" t="str">
            <v>Bottom, marSafe,  red, perf., 30x30x27cm</v>
          </cell>
        </row>
        <row r="13178">
          <cell r="B13178" t="str">
            <v>55-241-10-04</v>
          </cell>
          <cell r="C13178" t="str">
            <v>marSafe,  rot, perf., 30x30x11cm</v>
          </cell>
          <cell r="D13178" t="str">
            <v>marSafe,  red, perf., 30x30x11cm</v>
          </cell>
        </row>
        <row r="13179">
          <cell r="B13179" t="str">
            <v>55-241-13-04</v>
          </cell>
          <cell r="C13179" t="str">
            <v>marSafe,  rot, perf., 30x30x14cm</v>
          </cell>
          <cell r="D13179" t="str">
            <v>marSafe,  red, perf., 30x30x14cm</v>
          </cell>
        </row>
        <row r="13180">
          <cell r="B13180" t="str">
            <v>55-241-15-04</v>
          </cell>
          <cell r="C13180" t="str">
            <v>marSafe,  rot, perf., 30x30x16cm</v>
          </cell>
          <cell r="D13180" t="str">
            <v>marSafe,  red, perf., 30x30x16cm</v>
          </cell>
        </row>
        <row r="13181">
          <cell r="B13181" t="str">
            <v>55-241-20-04</v>
          </cell>
          <cell r="C13181" t="str">
            <v>marSafe,  rot, perf., 30x30x21cm</v>
          </cell>
          <cell r="D13181" t="str">
            <v>marSafe,  red, perf., 30x30x21cm</v>
          </cell>
        </row>
        <row r="13182">
          <cell r="B13182" t="str">
            <v>55-241-30-04</v>
          </cell>
          <cell r="C13182" t="str">
            <v>marSafe,  rot, perf., 30x30x27cm</v>
          </cell>
          <cell r="D13182" t="str">
            <v>marSafe,  red, perf., 30x30x27cm</v>
          </cell>
        </row>
        <row r="13183">
          <cell r="B13183" t="str">
            <v>55-242-01-04</v>
          </cell>
          <cell r="C13183" t="str">
            <v>Wanne, marSafe,  rot, 47x30x11cm</v>
          </cell>
          <cell r="D13183" t="str">
            <v>Bottom, marSafe,  red, 47x30x11cm</v>
          </cell>
        </row>
        <row r="13184">
          <cell r="B13184" t="str">
            <v>55-242-02-04</v>
          </cell>
          <cell r="C13184" t="str">
            <v>Wanne, marSafe,  rot, 47x30x14cm</v>
          </cell>
          <cell r="D13184" t="str">
            <v>Bottom, marSafe,  red, 47x30x14cm</v>
          </cell>
        </row>
        <row r="13185">
          <cell r="B13185" t="str">
            <v>55-242-03-04</v>
          </cell>
          <cell r="C13185" t="str">
            <v>Wanne, marSafe,  rot, 47x30x16cm</v>
          </cell>
          <cell r="D13185" t="str">
            <v>Bottom, marSafe,  red, 47x30x16cm</v>
          </cell>
        </row>
        <row r="13186">
          <cell r="B13186" t="str">
            <v>55-242-10-04</v>
          </cell>
          <cell r="C13186" t="str">
            <v>marSafe,  rot, 47x30x11cm</v>
          </cell>
          <cell r="D13186" t="str">
            <v>marSafe,  red, 47x30x11cm</v>
          </cell>
        </row>
        <row r="13187">
          <cell r="B13187" t="str">
            <v>55-242-13-04</v>
          </cell>
          <cell r="C13187" t="str">
            <v>marSafe,  rot, 47x30x14cm</v>
          </cell>
          <cell r="D13187" t="str">
            <v>marSafe,  red, 47x30x14cm</v>
          </cell>
        </row>
        <row r="13188">
          <cell r="B13188" t="str">
            <v>55-242-15-04</v>
          </cell>
          <cell r="C13188" t="str">
            <v>marSafe,  rot, 47x30x16cm</v>
          </cell>
          <cell r="D13188" t="str">
            <v>marSafe,  red, 47x30x16cm</v>
          </cell>
        </row>
        <row r="13189">
          <cell r="B13189" t="str">
            <v>55-243-01-04</v>
          </cell>
          <cell r="C13189" t="str">
            <v>Wanne, marSafe,  rot, perf., 47x30x11cm</v>
          </cell>
          <cell r="D13189" t="str">
            <v>Bottom, marSafe,  red, perf., 47x30x11cm</v>
          </cell>
        </row>
        <row r="13190">
          <cell r="B13190" t="str">
            <v>55-243-02-04</v>
          </cell>
          <cell r="C13190" t="str">
            <v>Wanne, marSafe,  rot, perf., 47x30x14cm</v>
          </cell>
          <cell r="D13190" t="str">
            <v>Bottom, marSafe,  red, perf., 47x30x14cm</v>
          </cell>
        </row>
        <row r="13191">
          <cell r="B13191" t="str">
            <v>55-243-03-04</v>
          </cell>
          <cell r="C13191" t="str">
            <v>Wanne, marSafe,  rot, perf., 47x30x16cm</v>
          </cell>
          <cell r="D13191" t="str">
            <v>Bottom, marSafe,  red, perf., 47x30x16cm</v>
          </cell>
        </row>
        <row r="13192">
          <cell r="B13192" t="str">
            <v>55-243-10-04</v>
          </cell>
          <cell r="C13192" t="str">
            <v>marSafe,  rot, perf., 47x30x11cm</v>
          </cell>
          <cell r="D13192" t="str">
            <v>marSafe,  red, perf., 47x30x11cm</v>
          </cell>
        </row>
        <row r="13193">
          <cell r="B13193" t="str">
            <v>55-243-13-04</v>
          </cell>
          <cell r="C13193" t="str">
            <v>marSafe,  rot, perf., 47x30x14cm</v>
          </cell>
          <cell r="D13193" t="str">
            <v>marSafe,  red, perf., 47x30x14cm</v>
          </cell>
        </row>
        <row r="13194">
          <cell r="B13194" t="str">
            <v>55-243-15-04</v>
          </cell>
          <cell r="C13194" t="str">
            <v>marSafe,  rot, perf., 47x30x16cm</v>
          </cell>
          <cell r="D13194" t="str">
            <v>marSafe,  red, perf., 47x30x16cm</v>
          </cell>
        </row>
        <row r="13195">
          <cell r="B13195" t="str">
            <v>55-244-01-04</v>
          </cell>
          <cell r="C13195" t="str">
            <v>Wanne, marSafe,  rot, 60x30x11cm</v>
          </cell>
          <cell r="D13195" t="str">
            <v>Bottom, marSafe,  red, 60x30x11cm</v>
          </cell>
        </row>
        <row r="13196">
          <cell r="B13196" t="str">
            <v>55-244-02-04</v>
          </cell>
          <cell r="C13196" t="str">
            <v>Wanne, marSafe,  rot, 60x30x14cm</v>
          </cell>
          <cell r="D13196" t="str">
            <v>Bottom, marSafe,  red, 60x30x14cm</v>
          </cell>
        </row>
        <row r="13197">
          <cell r="B13197" t="str">
            <v>55-244-03-04</v>
          </cell>
          <cell r="C13197" t="str">
            <v>Wanne, marSafe,  rot, 60x30x16cm</v>
          </cell>
          <cell r="D13197" t="str">
            <v>Bottom, marSafe,  red, 60x30x16cm</v>
          </cell>
        </row>
        <row r="13198">
          <cell r="B13198" t="str">
            <v>55-244-04-04</v>
          </cell>
          <cell r="C13198" t="str">
            <v>Wanne, marSafe,  rot, 60x30x21cm</v>
          </cell>
          <cell r="D13198" t="str">
            <v>Bottom, marSafe,  red, 60x30x21cm</v>
          </cell>
        </row>
        <row r="13199">
          <cell r="B13199" t="str">
            <v>55-244-05-04</v>
          </cell>
          <cell r="C13199" t="str">
            <v>Wanne, marSafe,  rot, 60x30x27cm</v>
          </cell>
          <cell r="D13199" t="str">
            <v>Bottom, marSafe,  red, 60x30x27cm</v>
          </cell>
        </row>
        <row r="13200">
          <cell r="B13200" t="str">
            <v>55-244-10-04</v>
          </cell>
          <cell r="C13200" t="str">
            <v>marSafe,  rot, 60x30x11cm</v>
          </cell>
          <cell r="D13200" t="str">
            <v>marSafe,  red, 60x30x11cm</v>
          </cell>
        </row>
        <row r="13201">
          <cell r="B13201" t="str">
            <v>55-244-13-04</v>
          </cell>
          <cell r="C13201" t="str">
            <v>marSafe,  rot, 60x30x14cm</v>
          </cell>
          <cell r="D13201" t="str">
            <v>marSafe,  red, 60x30x14cm</v>
          </cell>
        </row>
        <row r="13202">
          <cell r="B13202" t="str">
            <v>55-244-15-04</v>
          </cell>
          <cell r="C13202" t="str">
            <v>marSafe,  rot, 60x30x16cm</v>
          </cell>
          <cell r="D13202" t="str">
            <v>marSafe,  red, 60x30x16cm</v>
          </cell>
        </row>
        <row r="13203">
          <cell r="B13203" t="str">
            <v>55-244-20-04</v>
          </cell>
          <cell r="C13203" t="str">
            <v>marSafe,  rot, 60x30x21cm</v>
          </cell>
          <cell r="D13203" t="str">
            <v>marSafe,  red, 60x30x21cm</v>
          </cell>
        </row>
        <row r="13204">
          <cell r="B13204" t="str">
            <v>55-244-30-04</v>
          </cell>
          <cell r="C13204" t="str">
            <v>marSafe,  rot, 60x30x27cm</v>
          </cell>
          <cell r="D13204" t="str">
            <v>marSafe,  red, 60x30x27cm</v>
          </cell>
        </row>
        <row r="13205">
          <cell r="B13205" t="str">
            <v>55-245-01-04</v>
          </cell>
          <cell r="C13205" t="str">
            <v>Wanne, marSafe,  rot, perf., 60x30x11cm</v>
          </cell>
          <cell r="D13205" t="str">
            <v>Bottom, marSafe,  red, perf., 60x30x11cm</v>
          </cell>
        </row>
        <row r="13206">
          <cell r="B13206" t="str">
            <v>55-245-02-04</v>
          </cell>
          <cell r="C13206" t="str">
            <v>Wanne, marSafe,  rot, perf., 60x30x14cm</v>
          </cell>
          <cell r="D13206" t="str">
            <v>Bottom, marSafe,  red, perf., 60x30x14cm</v>
          </cell>
        </row>
        <row r="13207">
          <cell r="B13207" t="str">
            <v>55-245-03-04</v>
          </cell>
          <cell r="C13207" t="str">
            <v>Wanne, marSafe,  rot, perf., 60x30x16cm</v>
          </cell>
          <cell r="D13207" t="str">
            <v>Bottom, marSafe,  red, perf., 60x30x16cm</v>
          </cell>
        </row>
        <row r="13208">
          <cell r="B13208" t="str">
            <v>55-245-04-04</v>
          </cell>
          <cell r="C13208" t="str">
            <v>Wanne, marSafe,  rot, perf., 60x30x21cm</v>
          </cell>
          <cell r="D13208" t="str">
            <v>Bottom, marSafe,  red, perf., 60x30x21cm</v>
          </cell>
        </row>
        <row r="13209">
          <cell r="B13209" t="str">
            <v>55-245-05-04</v>
          </cell>
          <cell r="C13209" t="str">
            <v>Wanne, marSafe,  rot, perf., 60x30x27cm</v>
          </cell>
          <cell r="D13209" t="str">
            <v>Bottom, marSafe,  red, perf., 60x30x27cm</v>
          </cell>
        </row>
        <row r="13210">
          <cell r="B13210" t="str">
            <v>55-245-10-04</v>
          </cell>
          <cell r="C13210" t="str">
            <v>marSafe,  rot, perf., 60x30x11cm</v>
          </cell>
          <cell r="D13210" t="str">
            <v>marSafe,  red, perf., 60x30x11cm</v>
          </cell>
        </row>
        <row r="13211">
          <cell r="B13211" t="str">
            <v>55-245-13-04</v>
          </cell>
          <cell r="C13211" t="str">
            <v>marSafe,  rot, perf., 60x30x14cm</v>
          </cell>
          <cell r="D13211" t="str">
            <v>marSafe,  red, perf., 60x30x14cm</v>
          </cell>
        </row>
        <row r="13212">
          <cell r="B13212" t="str">
            <v>55-245-15-04</v>
          </cell>
          <cell r="C13212" t="str">
            <v>marSafe,  rot, perf., 60x30x16cm</v>
          </cell>
          <cell r="D13212" t="str">
            <v>marSafe,  red, perf., 60x30x16cm</v>
          </cell>
        </row>
        <row r="13213">
          <cell r="B13213" t="str">
            <v>55-245-20-04</v>
          </cell>
          <cell r="C13213" t="str">
            <v>marSafe,  rot, perf., 60x30x21cm</v>
          </cell>
          <cell r="D13213" t="str">
            <v>marSafe,  red, perf., 60x30x21cm</v>
          </cell>
        </row>
        <row r="13214">
          <cell r="B13214" t="str">
            <v>55-245-30-04</v>
          </cell>
          <cell r="C13214" t="str">
            <v>marSafe,  rot, perf., 60x30x27cm</v>
          </cell>
          <cell r="D13214" t="str">
            <v>marSafe,  red, perf., 60x30x27cm</v>
          </cell>
        </row>
        <row r="13215">
          <cell r="B13215" t="str">
            <v>55-246-10-04</v>
          </cell>
          <cell r="C13215" t="str">
            <v>marSafe +, rot, 30x30x11cm</v>
          </cell>
          <cell r="D13215" t="str">
            <v>marSafe +, red, 30x30x11cm</v>
          </cell>
        </row>
        <row r="13216">
          <cell r="B13216" t="str">
            <v>55-246-13-04</v>
          </cell>
          <cell r="C13216" t="str">
            <v>marSafe +, rot, 30x30x14cm</v>
          </cell>
          <cell r="D13216" t="str">
            <v>marSafe +, red, 30x30x14cm</v>
          </cell>
        </row>
        <row r="13217">
          <cell r="B13217" t="str">
            <v>55-246-15-04</v>
          </cell>
          <cell r="C13217" t="str">
            <v>marSafe +, rot, 30x30x16cm</v>
          </cell>
          <cell r="D13217" t="str">
            <v>marSafe +, red, 30x30x16cm</v>
          </cell>
        </row>
        <row r="13218">
          <cell r="B13218" t="str">
            <v>55-246-20-04</v>
          </cell>
          <cell r="C13218" t="str">
            <v>marSafe +, rot, 30x30x21cm</v>
          </cell>
          <cell r="D13218" t="str">
            <v>marSafe +, red, 30x30x21cm</v>
          </cell>
        </row>
        <row r="13219">
          <cell r="B13219" t="str">
            <v>55-246-30-04</v>
          </cell>
          <cell r="C13219" t="str">
            <v>marSafe +, rot, 30x30x27cm</v>
          </cell>
          <cell r="D13219" t="str">
            <v>marSafe +, red, 30x30x27cm</v>
          </cell>
        </row>
        <row r="13220">
          <cell r="B13220" t="str">
            <v>55-247-10-04</v>
          </cell>
          <cell r="C13220" t="str">
            <v>marSafe +, rot, 47x30x11cm</v>
          </cell>
          <cell r="D13220" t="str">
            <v>marSafe +, red, 47x30x11cm</v>
          </cell>
        </row>
        <row r="13221">
          <cell r="B13221" t="str">
            <v>55-247-13-04</v>
          </cell>
          <cell r="C13221" t="str">
            <v>marSafe +, rot, 47x30x14cm</v>
          </cell>
          <cell r="D13221" t="str">
            <v>marSafe +, red, 47x30x14cm</v>
          </cell>
        </row>
        <row r="13222">
          <cell r="B13222" t="str">
            <v>55-247-15-04</v>
          </cell>
          <cell r="C13222" t="str">
            <v>marSafe +, rot, 47x30x16cm</v>
          </cell>
          <cell r="D13222" t="str">
            <v>marSafe +, red, 47x30x16cm</v>
          </cell>
        </row>
        <row r="13223">
          <cell r="B13223" t="str">
            <v>55-248-10-04</v>
          </cell>
          <cell r="C13223" t="str">
            <v>marSafe +, rot, 60x30x11cm</v>
          </cell>
          <cell r="D13223" t="str">
            <v>marSafe +, red, 60x30x11cm</v>
          </cell>
        </row>
        <row r="13224">
          <cell r="B13224" t="str">
            <v>55-248-13-04</v>
          </cell>
          <cell r="C13224" t="str">
            <v>marSafe +, rot, 60x30x14cm</v>
          </cell>
          <cell r="D13224" t="str">
            <v>marSafe +, red, 60x30x14cm</v>
          </cell>
        </row>
        <row r="13225">
          <cell r="B13225" t="str">
            <v>55-248-15-04</v>
          </cell>
          <cell r="C13225" t="str">
            <v>marSafe +, rot, 60x30x16cm</v>
          </cell>
          <cell r="D13225" t="str">
            <v>marSafe +, red, 60x30x16cm</v>
          </cell>
        </row>
        <row r="13226">
          <cell r="B13226" t="str">
            <v>55-248-20-04</v>
          </cell>
          <cell r="C13226" t="str">
            <v>marSafe +, rot, 60x30x21cm</v>
          </cell>
          <cell r="D13226" t="str">
            <v>marSafe +, red, 60x30x21cm</v>
          </cell>
        </row>
        <row r="13227">
          <cell r="B13227" t="str">
            <v>55-248-30-04</v>
          </cell>
          <cell r="C13227" t="str">
            <v>marSafe +, rot, 60x30x27cm</v>
          </cell>
          <cell r="D13227" t="str">
            <v>marSafe +, red, 60x30x27cm</v>
          </cell>
        </row>
        <row r="13228">
          <cell r="B13228" t="str">
            <v>55-250-01-04</v>
          </cell>
          <cell r="C13228" t="str">
            <v>Wanne, marSafe,  blau, 30x30x11cm</v>
          </cell>
          <cell r="D13228" t="str">
            <v>Bottom, marSafe,  blue, 30x30x11cm</v>
          </cell>
        </row>
        <row r="13229">
          <cell r="B13229" t="str">
            <v>55-250-02-04</v>
          </cell>
          <cell r="C13229" t="str">
            <v>Wanne, marSafe,  blau, 30x30x14cm</v>
          </cell>
          <cell r="D13229" t="str">
            <v>Bottom, marSafe,  blue, 30x30x14cm</v>
          </cell>
        </row>
        <row r="13230">
          <cell r="B13230" t="str">
            <v>55-250-03-04</v>
          </cell>
          <cell r="C13230" t="str">
            <v>Wanne, marSafe,  blau, 30x30x16cm</v>
          </cell>
          <cell r="D13230" t="str">
            <v>Bottom, marSafe,  blue, 30x30x16cm</v>
          </cell>
        </row>
        <row r="13231">
          <cell r="B13231" t="str">
            <v>55-250-04-04</v>
          </cell>
          <cell r="C13231" t="str">
            <v>Wanne, marSafe,  blau, 30x30x21cm</v>
          </cell>
          <cell r="D13231" t="str">
            <v>Bottom, marSafe,  blue, 30x30x21cm</v>
          </cell>
        </row>
        <row r="13232">
          <cell r="B13232" t="str">
            <v>55-250-05-04</v>
          </cell>
          <cell r="C13232" t="str">
            <v>Wanne, marSafe,  blau, 30x30x27cm</v>
          </cell>
          <cell r="D13232" t="str">
            <v>Bottom, marSafe,  blue, 30x30x27cm</v>
          </cell>
        </row>
        <row r="13233">
          <cell r="B13233" t="str">
            <v>55-250-10-04</v>
          </cell>
          <cell r="C13233" t="str">
            <v>marSafe,  blau, 30x30x11cm</v>
          </cell>
          <cell r="D13233" t="str">
            <v>marSafe,  blue, 30x30x11cm</v>
          </cell>
        </row>
        <row r="13234">
          <cell r="B13234" t="str">
            <v>55-250-13-04</v>
          </cell>
          <cell r="C13234" t="str">
            <v>marSafe,  blau, 30x30x14cm</v>
          </cell>
          <cell r="D13234" t="str">
            <v>marSafe,  blue, 30x30x14cm</v>
          </cell>
        </row>
        <row r="13235">
          <cell r="B13235" t="str">
            <v>55-250-15-04</v>
          </cell>
          <cell r="C13235" t="str">
            <v>marSafe,  blau, 30x30x16cm</v>
          </cell>
          <cell r="D13235" t="str">
            <v>marSafe,  blue, 30x30x16cm</v>
          </cell>
        </row>
        <row r="13236">
          <cell r="B13236" t="str">
            <v>55-250-20-04</v>
          </cell>
          <cell r="C13236" t="str">
            <v>marSafe,  blau, 30x30x21cm</v>
          </cell>
          <cell r="D13236" t="str">
            <v>marSafe,  blue, 30x30x21cm</v>
          </cell>
        </row>
        <row r="13237">
          <cell r="B13237" t="str">
            <v>55-250-30-04</v>
          </cell>
          <cell r="C13237" t="str">
            <v>marSafe,  blau, 30x30x27cm</v>
          </cell>
          <cell r="D13237" t="str">
            <v>marSafe,  blue, 30x30x27cm</v>
          </cell>
        </row>
        <row r="13238">
          <cell r="B13238" t="str">
            <v>55-251-01-04</v>
          </cell>
          <cell r="C13238" t="str">
            <v>Wanne, marSafe,  blau, perf., 30x30x11cm</v>
          </cell>
          <cell r="D13238" t="str">
            <v>Bottom, marSafe,  blue, perf., 30x30x11cm</v>
          </cell>
        </row>
        <row r="13239">
          <cell r="B13239" t="str">
            <v>55-251-02-04</v>
          </cell>
          <cell r="C13239" t="str">
            <v>Wanne, marSafe,  blau, perf., 30x30x14cm</v>
          </cell>
          <cell r="D13239" t="str">
            <v>Bottom, marSafe,  blue, perf., 30x30x14cm</v>
          </cell>
        </row>
        <row r="13240">
          <cell r="B13240" t="str">
            <v>55-251-03-04</v>
          </cell>
          <cell r="C13240" t="str">
            <v>Wanne, marSafe,  blau, perf., 30x30x16cm</v>
          </cell>
          <cell r="D13240" t="str">
            <v>Bottom, marSafe,  blue, perf., 30x30x16cm</v>
          </cell>
        </row>
        <row r="13241">
          <cell r="B13241" t="str">
            <v>55-251-04-04</v>
          </cell>
          <cell r="C13241" t="str">
            <v>Wanne, marSafe,  blau, perf., 30x30x21cm</v>
          </cell>
          <cell r="D13241" t="str">
            <v>Bottom, marSafe,  blue, perf., 30x30x21cm</v>
          </cell>
        </row>
        <row r="13242">
          <cell r="B13242" t="str">
            <v>55-251-05-04</v>
          </cell>
          <cell r="C13242" t="str">
            <v>Wanne, marSafe,  blau, perf., 30x30x27cm</v>
          </cell>
          <cell r="D13242" t="str">
            <v>Bottom, marSafe,  blue, perf., 30x30x27cm</v>
          </cell>
        </row>
        <row r="13243">
          <cell r="B13243" t="str">
            <v>55-251-10-04</v>
          </cell>
          <cell r="C13243" t="str">
            <v>marSafe,  blau, perf., 30x30x11cm</v>
          </cell>
          <cell r="D13243" t="str">
            <v>marSafe,  blue, perf., 30x30x11cm</v>
          </cell>
        </row>
        <row r="13244">
          <cell r="B13244" t="str">
            <v>55-251-13-04</v>
          </cell>
          <cell r="C13244" t="str">
            <v>marSafe,  blau, perf., 30x30x14cm</v>
          </cell>
          <cell r="D13244" t="str">
            <v>marSafe,  blue, perf., 30x30x14cm</v>
          </cell>
        </row>
        <row r="13245">
          <cell r="B13245" t="str">
            <v>55-251-15-04</v>
          </cell>
          <cell r="C13245" t="str">
            <v>marSafe,  blau, perf., 30x30x16cm</v>
          </cell>
          <cell r="D13245" t="str">
            <v>marSafe,  blue, perf., 30x30x16cm</v>
          </cell>
        </row>
        <row r="13246">
          <cell r="B13246" t="str">
            <v>55-251-20-04</v>
          </cell>
          <cell r="C13246" t="str">
            <v>marSafe,  blau, perf., 30x30x21cm</v>
          </cell>
          <cell r="D13246" t="str">
            <v>marSafe,  blue, perf., 30x30x21cm</v>
          </cell>
        </row>
        <row r="13247">
          <cell r="B13247" t="str">
            <v>55-251-30-04</v>
          </cell>
          <cell r="C13247" t="str">
            <v>marSafe,  blau, perf., 30x30x27cm</v>
          </cell>
          <cell r="D13247" t="str">
            <v>marSafe,  blue, perf., 30x30x27cm</v>
          </cell>
        </row>
        <row r="13248">
          <cell r="B13248" t="str">
            <v>55-252-01-04</v>
          </cell>
          <cell r="C13248" t="str">
            <v>Wanne, marSafe,  blau, 47x30x11cm</v>
          </cell>
          <cell r="D13248" t="str">
            <v>Bottom, marSafe,  blue, 47x30x11cm</v>
          </cell>
        </row>
        <row r="13249">
          <cell r="B13249" t="str">
            <v>55-252-02-04</v>
          </cell>
          <cell r="C13249" t="str">
            <v>Wanne, marSafe,  blau, 47x30x14cm</v>
          </cell>
          <cell r="D13249" t="str">
            <v>Bottom, marSafe,  blue, 47x30x14cm</v>
          </cell>
        </row>
        <row r="13250">
          <cell r="B13250" t="str">
            <v>55-252-03-04</v>
          </cell>
          <cell r="C13250" t="str">
            <v>Wanne, marSafe,  blau, 47x30x16cm</v>
          </cell>
          <cell r="D13250" t="str">
            <v>Bottom, marSafe,  blue, 47x30x16cm</v>
          </cell>
        </row>
        <row r="13251">
          <cell r="B13251" t="str">
            <v>55-252-10-04</v>
          </cell>
          <cell r="C13251" t="str">
            <v>marSafe,  blau, 47x30x11cm</v>
          </cell>
          <cell r="D13251" t="str">
            <v>marSafe,  blue, 47x30x11cm</v>
          </cell>
        </row>
        <row r="13252">
          <cell r="B13252" t="str">
            <v>55-252-13-04</v>
          </cell>
          <cell r="C13252" t="str">
            <v>marSafe,  blau, 47x30x14cm</v>
          </cell>
          <cell r="D13252" t="str">
            <v>marSafe,  blue, 47x30x14cm</v>
          </cell>
        </row>
        <row r="13253">
          <cell r="B13253" t="str">
            <v>55-252-15-04</v>
          </cell>
          <cell r="C13253" t="str">
            <v>marSafe,  blau, 47x30x16cm</v>
          </cell>
          <cell r="D13253" t="str">
            <v>marSafe,  blue, 47x30x16cm</v>
          </cell>
        </row>
        <row r="13254">
          <cell r="B13254" t="str">
            <v>55-253-01-04</v>
          </cell>
          <cell r="C13254" t="str">
            <v>Wanne, marSafe,  blau, perf., 47x30x11cm</v>
          </cell>
          <cell r="D13254" t="str">
            <v>Bottom, marSafe,  blue, perf., 47x30x11cm</v>
          </cell>
        </row>
        <row r="13255">
          <cell r="B13255" t="str">
            <v>55-253-02-04</v>
          </cell>
          <cell r="C13255" t="str">
            <v>Wanne, marSafe,  blau, perf., 47x30x14cm</v>
          </cell>
          <cell r="D13255" t="str">
            <v>Bottom, marSafe,  blue, perf., 47x30x14cm</v>
          </cell>
        </row>
        <row r="13256">
          <cell r="B13256" t="str">
            <v>55-253-03-04</v>
          </cell>
          <cell r="C13256" t="str">
            <v>Wanne, marSafe,  blau, perf., 47x30x16cm</v>
          </cell>
          <cell r="D13256" t="str">
            <v>Bottom, marSafe,  blue, perf., 47x30x16cm</v>
          </cell>
        </row>
        <row r="13257">
          <cell r="B13257" t="str">
            <v>55-253-10-04</v>
          </cell>
          <cell r="C13257" t="str">
            <v>marSafe,  blau, perf., 47x30x11cm</v>
          </cell>
          <cell r="D13257" t="str">
            <v>marSafe,  blue, perf., 47x30x11cm</v>
          </cell>
        </row>
        <row r="13258">
          <cell r="B13258" t="str">
            <v>55-253-13-04</v>
          </cell>
          <cell r="C13258" t="str">
            <v>marSafe,  blau, perf., 47x30x14cm</v>
          </cell>
          <cell r="D13258" t="str">
            <v>marSafe,  blue, perf., 47x30x14cm</v>
          </cell>
        </row>
        <row r="13259">
          <cell r="B13259" t="str">
            <v>55-253-15-04</v>
          </cell>
          <cell r="C13259" t="str">
            <v>marSafe,  blau, perf., 47x30x16cm</v>
          </cell>
          <cell r="D13259" t="str">
            <v>marSafe,  blue, perf., 47x30x16cm</v>
          </cell>
        </row>
        <row r="13260">
          <cell r="B13260" t="str">
            <v>55-254-01-04</v>
          </cell>
          <cell r="C13260" t="str">
            <v>Wanne, marSafe,  blau, 60x30x11cm</v>
          </cell>
          <cell r="D13260" t="str">
            <v>Bottom, marSafe,  blue, 60x30x11cm</v>
          </cell>
        </row>
        <row r="13261">
          <cell r="B13261" t="str">
            <v>55-254-02-04</v>
          </cell>
          <cell r="C13261" t="str">
            <v>Wanne, marSafe,  blau, 60x30x14cm</v>
          </cell>
          <cell r="D13261" t="str">
            <v>Bottom, marSafe,  blue, 60x30x14cm</v>
          </cell>
        </row>
        <row r="13262">
          <cell r="B13262" t="str">
            <v>55-254-03-04</v>
          </cell>
          <cell r="C13262" t="str">
            <v>Wanne, marSafe,  blau, 60x30x16cm</v>
          </cell>
          <cell r="D13262" t="str">
            <v>Bottom, marSafe,  blue, 60x30x16cm</v>
          </cell>
        </row>
        <row r="13263">
          <cell r="B13263" t="str">
            <v>55-254-04-04</v>
          </cell>
          <cell r="C13263" t="str">
            <v>Wanne, marSafe,  blau, 60x30x21cm</v>
          </cell>
          <cell r="D13263" t="str">
            <v>Bottom, marSafe,  blue, 60x30x21cm</v>
          </cell>
        </row>
        <row r="13264">
          <cell r="B13264" t="str">
            <v>55-254-05-04</v>
          </cell>
          <cell r="C13264" t="str">
            <v>Wanne, marSafe,  blau, 60x30x27cm</v>
          </cell>
          <cell r="D13264" t="str">
            <v>Bottom, marSafe,  blue, 60x30x27cm</v>
          </cell>
        </row>
        <row r="13265">
          <cell r="B13265" t="str">
            <v>55-254-10-04</v>
          </cell>
          <cell r="C13265" t="str">
            <v>marSafe,  blau, 60x30x11cm</v>
          </cell>
          <cell r="D13265" t="str">
            <v>marSafe,  blue, 60x30x11cm</v>
          </cell>
        </row>
        <row r="13266">
          <cell r="B13266" t="str">
            <v>55-254-13-04</v>
          </cell>
          <cell r="C13266" t="str">
            <v>marSafe,  blau, 60x30x14cm</v>
          </cell>
          <cell r="D13266" t="str">
            <v>marSafe,  blue, 60x30x14cm</v>
          </cell>
        </row>
        <row r="13267">
          <cell r="B13267" t="str">
            <v>55-254-15-04</v>
          </cell>
          <cell r="C13267" t="str">
            <v>marSafe,  blau, 60x30x16cm</v>
          </cell>
          <cell r="D13267" t="str">
            <v>marSafe,  blue, 60x30x16cm</v>
          </cell>
        </row>
        <row r="13268">
          <cell r="B13268" t="str">
            <v>55-254-20-04</v>
          </cell>
          <cell r="C13268" t="str">
            <v>marSafe,  blau, 60x30x21cm</v>
          </cell>
          <cell r="D13268" t="str">
            <v>marSafe,  blue, 60x30x21cm</v>
          </cell>
        </row>
        <row r="13269">
          <cell r="B13269" t="str">
            <v>55-254-30-04</v>
          </cell>
          <cell r="C13269" t="str">
            <v>marSafe,  blau, 60x30x27cm</v>
          </cell>
          <cell r="D13269" t="str">
            <v>marSafe,  blue, 60x30x27cm</v>
          </cell>
        </row>
        <row r="13270">
          <cell r="B13270" t="str">
            <v>55-255-01-04</v>
          </cell>
          <cell r="C13270" t="str">
            <v>Wanne, marSafe,  blau, perf., 60x30x11cm</v>
          </cell>
          <cell r="D13270" t="str">
            <v>Bottom, marSafe,  blue, perf., 60x30x11cm</v>
          </cell>
        </row>
        <row r="13271">
          <cell r="B13271" t="str">
            <v>55-255-02-04</v>
          </cell>
          <cell r="C13271" t="str">
            <v>Wanne, marSafe,  blau, perf., 60x30x14cm</v>
          </cell>
          <cell r="D13271" t="str">
            <v>Bottom, marSafe,  blue, perf., 60x30x14cm</v>
          </cell>
        </row>
        <row r="13272">
          <cell r="B13272" t="str">
            <v>55-255-03-04</v>
          </cell>
          <cell r="C13272" t="str">
            <v>Wanne, marSafe,  blau, perf., 60x30x16cm</v>
          </cell>
          <cell r="D13272" t="str">
            <v>Bottom, marSafe,  blue, perf., 60x30x16cm</v>
          </cell>
        </row>
        <row r="13273">
          <cell r="B13273" t="str">
            <v>55-255-04-04</v>
          </cell>
          <cell r="C13273" t="str">
            <v>Wanne, marSafe,  blau, perf., 60x30x21cm</v>
          </cell>
          <cell r="D13273" t="str">
            <v>Bottom, marSafe,  blue, perf., 60x30x21cm</v>
          </cell>
        </row>
        <row r="13274">
          <cell r="B13274" t="str">
            <v>55-255-05-04</v>
          </cell>
          <cell r="C13274" t="str">
            <v>Wanne, marSafe,  blau, perf., 60x30x27cm</v>
          </cell>
          <cell r="D13274" t="str">
            <v>Bottom, marSafe,  blue, perf., 60x30x27cm</v>
          </cell>
        </row>
        <row r="13275">
          <cell r="B13275" t="str">
            <v>55-255-10-04</v>
          </cell>
          <cell r="C13275" t="str">
            <v>marSafe,  blau, perf., 60x30x11cm</v>
          </cell>
          <cell r="D13275" t="str">
            <v>marSafe,  blue, perf., 60x30x11cm</v>
          </cell>
        </row>
        <row r="13276">
          <cell r="B13276" t="str">
            <v>55-255-13-04</v>
          </cell>
          <cell r="C13276" t="str">
            <v>marSafe,  blau, perf., 60x30x14cm</v>
          </cell>
          <cell r="D13276" t="str">
            <v>marSafe,  blue, perf., 60x30x14cm</v>
          </cell>
        </row>
        <row r="13277">
          <cell r="B13277" t="str">
            <v>55-255-15-04</v>
          </cell>
          <cell r="C13277" t="str">
            <v>marSafe,  blau, perf., 60x30x16cm</v>
          </cell>
          <cell r="D13277" t="str">
            <v>marSafe,  blue, perf., 60x30x16cm</v>
          </cell>
        </row>
        <row r="13278">
          <cell r="B13278" t="str">
            <v>55-255-20-04</v>
          </cell>
          <cell r="C13278" t="str">
            <v>marSafe,  blau, perf., 60x30x21cm</v>
          </cell>
          <cell r="D13278" t="str">
            <v>marSafe,  blue, perf., 60x30x21cm</v>
          </cell>
        </row>
        <row r="13279">
          <cell r="B13279" t="str">
            <v>55-255-30-04</v>
          </cell>
          <cell r="C13279" t="str">
            <v>marSafe,  blau, perf., 60x30x27cm</v>
          </cell>
          <cell r="D13279" t="str">
            <v>marSafe,  blue, perf., 60x30x27cm</v>
          </cell>
        </row>
        <row r="13280">
          <cell r="B13280" t="str">
            <v>55-256-10-04</v>
          </cell>
          <cell r="C13280" t="str">
            <v>marSafe +, blau, 30x30x11cm</v>
          </cell>
          <cell r="D13280" t="str">
            <v>marSafe +, blue, 30x30x11cm</v>
          </cell>
        </row>
        <row r="13281">
          <cell r="B13281" t="str">
            <v>55-256-13-04</v>
          </cell>
          <cell r="C13281" t="str">
            <v>marSafe +, blau, 30x30x14cm</v>
          </cell>
          <cell r="D13281" t="str">
            <v>marSafe +, blue, 30x30x14cm</v>
          </cell>
        </row>
        <row r="13282">
          <cell r="B13282" t="str">
            <v>55-256-15-04</v>
          </cell>
          <cell r="C13282" t="str">
            <v>marSafe +, blau, 30x30x16cm</v>
          </cell>
          <cell r="D13282" t="str">
            <v>marSafe +, blue, 30x30x16cm</v>
          </cell>
        </row>
        <row r="13283">
          <cell r="B13283" t="str">
            <v>55-256-20-04</v>
          </cell>
          <cell r="C13283" t="str">
            <v>marSafe +, blau, 30x30x21cm</v>
          </cell>
          <cell r="D13283" t="str">
            <v>marSafe +, blue, 30x30x21cm</v>
          </cell>
        </row>
        <row r="13284">
          <cell r="B13284" t="str">
            <v>55-256-30-04</v>
          </cell>
          <cell r="C13284" t="str">
            <v>marSafe +, blau, 30x30x27cm</v>
          </cell>
          <cell r="D13284" t="str">
            <v>marSafe +, blue, 30x30x27cm</v>
          </cell>
        </row>
        <row r="13285">
          <cell r="B13285" t="str">
            <v>55-257-10-04</v>
          </cell>
          <cell r="C13285" t="str">
            <v>marSafe +, blau, 47x30x11cm</v>
          </cell>
          <cell r="D13285" t="str">
            <v>marSafe +, blue, 47x30x11cm</v>
          </cell>
        </row>
        <row r="13286">
          <cell r="B13286" t="str">
            <v>55-257-13-04</v>
          </cell>
          <cell r="C13286" t="str">
            <v>marSafe +, blau, 47x30x14cm</v>
          </cell>
          <cell r="D13286" t="str">
            <v>marSafe +, blue, 47x30x14cm</v>
          </cell>
        </row>
        <row r="13287">
          <cell r="B13287" t="str">
            <v>55-257-15-04</v>
          </cell>
          <cell r="C13287" t="str">
            <v>marSafe +, blau, 47x30x16cm</v>
          </cell>
          <cell r="D13287" t="str">
            <v>marSafe +, blue, 47x30x16cm</v>
          </cell>
        </row>
        <row r="13288">
          <cell r="B13288" t="str">
            <v>55-258-10-04</v>
          </cell>
          <cell r="C13288" t="str">
            <v>marSafe +, blau, 60x30x11cm</v>
          </cell>
          <cell r="D13288" t="str">
            <v>marSafe +, blue, 60x30x11cm</v>
          </cell>
        </row>
        <row r="13289">
          <cell r="B13289" t="str">
            <v>55-258-13-04</v>
          </cell>
          <cell r="C13289" t="str">
            <v>marSafe +, blau, 60x30x14cm</v>
          </cell>
          <cell r="D13289" t="str">
            <v>marSafe +, blue, 60x30x14cm</v>
          </cell>
        </row>
        <row r="13290">
          <cell r="B13290" t="str">
            <v>55-258-15-04</v>
          </cell>
          <cell r="C13290" t="str">
            <v>marSafe +, blau, 60x30x16cm</v>
          </cell>
          <cell r="D13290" t="str">
            <v>marSafe +, blue, 60x30x16cm</v>
          </cell>
        </row>
        <row r="13291">
          <cell r="B13291" t="str">
            <v>55-258-20-04</v>
          </cell>
          <cell r="C13291" t="str">
            <v>marSafe +, blau, 60x30x21cm</v>
          </cell>
          <cell r="D13291" t="str">
            <v>marSafe +, blue, 60x30x21cm</v>
          </cell>
        </row>
        <row r="13292">
          <cell r="B13292" t="str">
            <v>55-258-30-04</v>
          </cell>
          <cell r="C13292" t="str">
            <v>marSafe +, blau, 60x30x27cm</v>
          </cell>
          <cell r="D13292" t="str">
            <v>marSafe +, blue, 60x30x27cm</v>
          </cell>
        </row>
        <row r="13293">
          <cell r="B13293" t="str">
            <v>55-260-01-04</v>
          </cell>
          <cell r="C13293" t="str">
            <v>Wanne, marSafe,  orange, 30x30x11cm</v>
          </cell>
          <cell r="D13293" t="str">
            <v>Bottom, marSafe,  orange, 30x30x11cm</v>
          </cell>
        </row>
        <row r="13294">
          <cell r="B13294" t="str">
            <v>55-260-02-04</v>
          </cell>
          <cell r="C13294" t="str">
            <v>Wanne, marSafe,  orange, 30x30x14cm</v>
          </cell>
          <cell r="D13294" t="str">
            <v>Bottom, marSafe,  orange, 30x30x14cm</v>
          </cell>
        </row>
        <row r="13295">
          <cell r="B13295" t="str">
            <v>55-260-03-04</v>
          </cell>
          <cell r="C13295" t="str">
            <v>Wanne, marSafe,  orange, 30x30x16cm</v>
          </cell>
          <cell r="D13295" t="str">
            <v>Bottom, marSafe,  orange, 30x30x16cm</v>
          </cell>
        </row>
        <row r="13296">
          <cell r="B13296" t="str">
            <v>55-260-04-04</v>
          </cell>
          <cell r="C13296" t="str">
            <v>Wanne, marSafe,  orange, 30x30x21cm</v>
          </cell>
          <cell r="D13296" t="str">
            <v>Bottom, marSafe,  orange, 30x30x21cm</v>
          </cell>
        </row>
        <row r="13297">
          <cell r="B13297" t="str">
            <v>55-260-05-04</v>
          </cell>
          <cell r="C13297" t="str">
            <v>Wanne, marSafe,  orange, 30x30x27cm</v>
          </cell>
          <cell r="D13297" t="str">
            <v>Bottom, marSafe,  orange, 30x30x27cm</v>
          </cell>
        </row>
        <row r="13298">
          <cell r="B13298" t="str">
            <v>55-260-10-04</v>
          </cell>
          <cell r="C13298" t="str">
            <v>marSafe,  orange, 30x30x11cm</v>
          </cell>
          <cell r="D13298" t="str">
            <v>marSafe,  orange, 30x30x11cm</v>
          </cell>
        </row>
        <row r="13299">
          <cell r="B13299" t="str">
            <v>55-260-13-04</v>
          </cell>
          <cell r="C13299" t="str">
            <v>marSafe,  orange, 30x30x14cm</v>
          </cell>
          <cell r="D13299" t="str">
            <v>marSafe,  orange, 30x30x14cm</v>
          </cell>
        </row>
        <row r="13300">
          <cell r="B13300" t="str">
            <v>55-260-15-04</v>
          </cell>
          <cell r="C13300" t="str">
            <v>marSafe,  orange, 30x30x16cm</v>
          </cell>
          <cell r="D13300" t="str">
            <v>marSafe,  orange, 30x30x16cm</v>
          </cell>
        </row>
        <row r="13301">
          <cell r="B13301" t="str">
            <v>55-260-20-04</v>
          </cell>
          <cell r="C13301" t="str">
            <v>marSafe,  orange, 30x30x21cm</v>
          </cell>
          <cell r="D13301" t="str">
            <v>marSafe,  orange, 30x30x21cm</v>
          </cell>
        </row>
        <row r="13302">
          <cell r="B13302" t="str">
            <v>55-260-30-04</v>
          </cell>
          <cell r="C13302" t="str">
            <v>marSafe,  orange, 30x30x27cm</v>
          </cell>
          <cell r="D13302" t="str">
            <v>marSafe,  orange, 30x30x27cm</v>
          </cell>
        </row>
        <row r="13303">
          <cell r="B13303" t="str">
            <v>55-261-01-04</v>
          </cell>
          <cell r="C13303" t="str">
            <v>Wanne, marSafe,  orange, perf.,30x30x11cm</v>
          </cell>
          <cell r="D13303" t="str">
            <v>Bottom, marSafe,  orange,perf.,30x30x11cm</v>
          </cell>
        </row>
        <row r="13304">
          <cell r="B13304" t="str">
            <v>55-261-02-04</v>
          </cell>
          <cell r="C13304" t="str">
            <v>Wanne, marSafe,  orange, perf.,30x30x14cm</v>
          </cell>
          <cell r="D13304" t="str">
            <v>Bottom, marSafe,  orange,perf.,30x30x14cm</v>
          </cell>
        </row>
        <row r="13305">
          <cell r="B13305" t="str">
            <v>55-261-03-04</v>
          </cell>
          <cell r="C13305" t="str">
            <v>Wanne, marSafe,  orange, perf.,30x30x16cm</v>
          </cell>
          <cell r="D13305" t="str">
            <v>Bottom, marSafe,  orange,perf.,30x30x16cm</v>
          </cell>
        </row>
        <row r="13306">
          <cell r="B13306" t="str">
            <v>55-261-04-04</v>
          </cell>
          <cell r="C13306" t="str">
            <v>Wanne, marSafe,  orange, perf.,30x30x21cm</v>
          </cell>
          <cell r="D13306" t="str">
            <v>Bottom, marSafe,  orange,perf.,30x30x21cm</v>
          </cell>
        </row>
        <row r="13307">
          <cell r="B13307" t="str">
            <v>55-261-05-04</v>
          </cell>
          <cell r="C13307" t="str">
            <v>Wanne, marSafe,  orange, perf.,30x30x27cm</v>
          </cell>
          <cell r="D13307" t="str">
            <v>Bottom, marSafe,  orange,perf.,30x30x27cm</v>
          </cell>
        </row>
        <row r="13308">
          <cell r="B13308" t="str">
            <v>55-261-10-04</v>
          </cell>
          <cell r="C13308" t="str">
            <v>marSafe,  orange, perf., 30x30x11cm</v>
          </cell>
          <cell r="D13308" t="str">
            <v>marSafe,  orange, perf., 30x30x11cm</v>
          </cell>
        </row>
        <row r="13309">
          <cell r="B13309" t="str">
            <v>55-261-13-04</v>
          </cell>
          <cell r="C13309" t="str">
            <v>marSafe,  orange, perf., 30x30x14cm</v>
          </cell>
          <cell r="D13309" t="str">
            <v>marSafe,  orange, perf., 30x30x14cm</v>
          </cell>
        </row>
        <row r="13310">
          <cell r="B13310" t="str">
            <v>55-261-15-04</v>
          </cell>
          <cell r="C13310" t="str">
            <v>marSafe,  orange, perf., 30x30x16cm</v>
          </cell>
          <cell r="D13310" t="str">
            <v>marSafe,  orange, perf., 30x30x16cm</v>
          </cell>
        </row>
        <row r="13311">
          <cell r="B13311" t="str">
            <v>55-261-20-04</v>
          </cell>
          <cell r="C13311" t="str">
            <v>marSafe,  orange, perf., 30x30x21cm</v>
          </cell>
          <cell r="D13311" t="str">
            <v>marSafe,  orange, perf., 30x30x21cm</v>
          </cell>
        </row>
        <row r="13312">
          <cell r="B13312" t="str">
            <v>55-261-30-04</v>
          </cell>
          <cell r="C13312" t="str">
            <v>marSafe,  orange, perf., 30x30x27cm</v>
          </cell>
          <cell r="D13312" t="str">
            <v>marSafe,  orange, perf., 30x30x27cm</v>
          </cell>
        </row>
        <row r="13313">
          <cell r="B13313" t="str">
            <v>55-262-01-04</v>
          </cell>
          <cell r="C13313" t="str">
            <v>Wanne, marSafe,  orange, 47x30x11cm</v>
          </cell>
          <cell r="D13313" t="str">
            <v>Bottom, marSafe,  orange, 47x30x11cm</v>
          </cell>
        </row>
        <row r="13314">
          <cell r="B13314" t="str">
            <v>55-262-02-04</v>
          </cell>
          <cell r="C13314" t="str">
            <v>Wanne, marSafe,  orange, 47x30x14cm</v>
          </cell>
          <cell r="D13314" t="str">
            <v>Bottom, marSafe,  orange, 47x30x14cm</v>
          </cell>
        </row>
        <row r="13315">
          <cell r="B13315" t="str">
            <v>55-262-03-04</v>
          </cell>
          <cell r="C13315" t="str">
            <v>Wanne, marSafe,  orange, 47x30x16cm</v>
          </cell>
          <cell r="D13315" t="str">
            <v>Bottom, marSafe,  orange, 47x30x16cm</v>
          </cell>
        </row>
        <row r="13316">
          <cell r="B13316" t="str">
            <v>55-262-10-04</v>
          </cell>
          <cell r="C13316" t="str">
            <v>marSafe,  orange, 47x30x11cm</v>
          </cell>
          <cell r="D13316" t="str">
            <v>marSafe,  orange, 47x30x11cm</v>
          </cell>
        </row>
        <row r="13317">
          <cell r="B13317" t="str">
            <v>55-262-13-04</v>
          </cell>
          <cell r="C13317" t="str">
            <v>marSafe,  orange, 47x30x14cm</v>
          </cell>
          <cell r="D13317" t="str">
            <v>marSafe,  orange, 47x30x14cm</v>
          </cell>
        </row>
        <row r="13318">
          <cell r="B13318" t="str">
            <v>55-262-15-04</v>
          </cell>
          <cell r="C13318" t="str">
            <v>marSafe,  orange, 47x30x16cm</v>
          </cell>
          <cell r="D13318" t="str">
            <v>marSafe,  orange, 47x30x16cm</v>
          </cell>
        </row>
        <row r="13319">
          <cell r="B13319" t="str">
            <v>55-263-01-04</v>
          </cell>
          <cell r="C13319" t="str">
            <v>Wanne, marSafe,  orange, perf.,47x30x11cm</v>
          </cell>
          <cell r="D13319" t="str">
            <v>Bottom, marSafe,  orange,perf.,47x30x11cm</v>
          </cell>
        </row>
        <row r="13320">
          <cell r="B13320" t="str">
            <v>55-263-02-04</v>
          </cell>
          <cell r="C13320" t="str">
            <v>Wanne, marSafe,  orange, perf.,47x30x14cm</v>
          </cell>
          <cell r="D13320" t="str">
            <v>Bottom, marSafe,  orange,perf.,47x30x14cm</v>
          </cell>
        </row>
        <row r="13321">
          <cell r="B13321" t="str">
            <v>55-263-03-04</v>
          </cell>
          <cell r="C13321" t="str">
            <v>Wanne, marSafe,  orange, perf.,47x30x16cm</v>
          </cell>
          <cell r="D13321" t="str">
            <v>Bottom, marSafe,  orange,perf.,47x30x16cm</v>
          </cell>
        </row>
        <row r="13322">
          <cell r="B13322" t="str">
            <v>55-263-10-04</v>
          </cell>
          <cell r="C13322" t="str">
            <v>marSafe,  orange, perf., 47x30x11cm</v>
          </cell>
          <cell r="D13322" t="str">
            <v>marSafe,  orange, perf., 47x30x11cm</v>
          </cell>
        </row>
        <row r="13323">
          <cell r="B13323" t="str">
            <v>55-263-13-04</v>
          </cell>
          <cell r="C13323" t="str">
            <v>marSafe,  orange, perf., 47x30x14cm</v>
          </cell>
          <cell r="D13323" t="str">
            <v>marSafe,  orange, perf., 47x30x14cm</v>
          </cell>
        </row>
        <row r="13324">
          <cell r="B13324" t="str">
            <v>55-263-15-04</v>
          </cell>
          <cell r="C13324" t="str">
            <v>marSafe,  orange, perf., 47x30x16cm</v>
          </cell>
          <cell r="D13324" t="str">
            <v>marSafe,  orange, perf., 47x30x16cm</v>
          </cell>
        </row>
        <row r="13325">
          <cell r="B13325" t="str">
            <v>55-264-01-04</v>
          </cell>
          <cell r="C13325" t="str">
            <v>Wanne, marSafe,  orange, 60x30x11cm</v>
          </cell>
          <cell r="D13325" t="str">
            <v>Bottom, marSafe,  orange, 60x30x11cm</v>
          </cell>
        </row>
        <row r="13326">
          <cell r="B13326" t="str">
            <v>55-264-02-04</v>
          </cell>
          <cell r="C13326" t="str">
            <v>Wanne, marSafe,  orange, 60x30x14cm</v>
          </cell>
          <cell r="D13326" t="str">
            <v>Bottom, marSafe,  orange, 60x30x14cm</v>
          </cell>
        </row>
        <row r="13327">
          <cell r="B13327" t="str">
            <v>55-264-03-04</v>
          </cell>
          <cell r="C13327" t="str">
            <v>Wanne, marSafe,  orange, 60x30x16cm</v>
          </cell>
          <cell r="D13327" t="str">
            <v>Bottom, marSafe,  orange, 60x30x16cm</v>
          </cell>
        </row>
        <row r="13328">
          <cell r="B13328" t="str">
            <v>55-264-04-04</v>
          </cell>
          <cell r="C13328" t="str">
            <v>Wanne, marSafe,  orange, 60x30x21cm</v>
          </cell>
          <cell r="D13328" t="str">
            <v>Bottom, marSafe,  orange, 60x30x21cm</v>
          </cell>
        </row>
        <row r="13329">
          <cell r="B13329" t="str">
            <v>55-264-05-04</v>
          </cell>
          <cell r="C13329" t="str">
            <v>Wanne, marSafe,  orange, 60x30x27cm</v>
          </cell>
          <cell r="D13329" t="str">
            <v>Bottom, marSafe,  orange, 60x30x27cm</v>
          </cell>
        </row>
        <row r="13330">
          <cell r="B13330" t="str">
            <v>55-264-10-04</v>
          </cell>
          <cell r="C13330" t="str">
            <v>marSafe,  orange, 60x30x11cm</v>
          </cell>
          <cell r="D13330" t="str">
            <v>marSafe,  orange, 60x30x11cm</v>
          </cell>
        </row>
        <row r="13331">
          <cell r="B13331" t="str">
            <v>55-264-13-04</v>
          </cell>
          <cell r="C13331" t="str">
            <v>marSafe,  orange, 60x30x14cm</v>
          </cell>
          <cell r="D13331" t="str">
            <v>marSafe,  orange, 60x30x14cm</v>
          </cell>
        </row>
        <row r="13332">
          <cell r="B13332" t="str">
            <v>55-264-15-04</v>
          </cell>
          <cell r="C13332" t="str">
            <v>marSafe,  orange, 60x30x16cm</v>
          </cell>
          <cell r="D13332" t="str">
            <v>marSafe,  orange, 60x30x16cm</v>
          </cell>
        </row>
        <row r="13333">
          <cell r="B13333" t="str">
            <v>55-264-20-04</v>
          </cell>
          <cell r="C13333" t="str">
            <v>marSafe,  orange, 60x30x21cm</v>
          </cell>
          <cell r="D13333" t="str">
            <v>marSafe,  orange, 60x30x21cm</v>
          </cell>
        </row>
        <row r="13334">
          <cell r="B13334" t="str">
            <v>55-264-30-04</v>
          </cell>
          <cell r="C13334" t="str">
            <v>marSafe,  orange, 60x30x27cm</v>
          </cell>
          <cell r="D13334" t="str">
            <v>marSafe,  orange, 60x30x27cm</v>
          </cell>
        </row>
        <row r="13335">
          <cell r="B13335" t="str">
            <v>55-265-01-04</v>
          </cell>
          <cell r="C13335" t="str">
            <v>Wanne, marSafe,  orange, perf.,60x30x11cm</v>
          </cell>
          <cell r="D13335" t="str">
            <v>Bottom, marSafe,  orange,perf.,60x30x11cm</v>
          </cell>
        </row>
        <row r="13336">
          <cell r="B13336" t="str">
            <v>55-265-02-04</v>
          </cell>
          <cell r="C13336" t="str">
            <v>Wanne, marSafe,  orange, perf.,60x30x14cm</v>
          </cell>
          <cell r="D13336" t="str">
            <v>Bottom, marSafe,  orange,perf.,60x30x14cm</v>
          </cell>
        </row>
        <row r="13337">
          <cell r="B13337" t="str">
            <v>55-265-03-04</v>
          </cell>
          <cell r="C13337" t="str">
            <v>Wanne, marSafe,  orange, perf.,60x30x16cm</v>
          </cell>
          <cell r="D13337" t="str">
            <v>Bottom, marSafe,  orange,perf.,60x30x16cm</v>
          </cell>
        </row>
        <row r="13338">
          <cell r="B13338" t="str">
            <v>55-265-04-04</v>
          </cell>
          <cell r="C13338" t="str">
            <v>Wanne, marSafe,  orange, perf.,60x30x21cm</v>
          </cell>
          <cell r="D13338" t="str">
            <v>Bottom, marSafe,  orange,perf.,60x30x21cm</v>
          </cell>
        </row>
        <row r="13339">
          <cell r="B13339" t="str">
            <v>55-265-05-04</v>
          </cell>
          <cell r="C13339" t="str">
            <v>Wanne, marSafe,  orange, perf.,60x30x27cm</v>
          </cell>
          <cell r="D13339" t="str">
            <v>Bottom, marSafe,  orange,perf.,60x30x27cm</v>
          </cell>
        </row>
        <row r="13340">
          <cell r="B13340" t="str">
            <v>55-265-10-04</v>
          </cell>
          <cell r="C13340" t="str">
            <v>marSafe,  orange, perf., 60x30x11cm</v>
          </cell>
          <cell r="D13340" t="str">
            <v>marSafe,  orange, perf., 60x30x11cm</v>
          </cell>
        </row>
        <row r="13341">
          <cell r="B13341" t="str">
            <v>55-265-13-04</v>
          </cell>
          <cell r="C13341" t="str">
            <v>marSafe,  orange, perf., 60x30x14cm</v>
          </cell>
          <cell r="D13341" t="str">
            <v>marSafe,  orange, perf., 60x30x14cm</v>
          </cell>
        </row>
        <row r="13342">
          <cell r="B13342" t="str">
            <v>55-265-15-04</v>
          </cell>
          <cell r="C13342" t="str">
            <v>marSafe,  orange, perf., 60x30x16cm</v>
          </cell>
          <cell r="D13342" t="str">
            <v>marSafe,  orange, perf., 60x30x16cm</v>
          </cell>
        </row>
        <row r="13343">
          <cell r="B13343" t="str">
            <v>55-265-20-04</v>
          </cell>
          <cell r="C13343" t="str">
            <v>marSafe,  orange, perf., 60x30x21cm</v>
          </cell>
          <cell r="D13343" t="str">
            <v>marSafe,  orange, perf., 60x30x21cm</v>
          </cell>
        </row>
        <row r="13344">
          <cell r="B13344" t="str">
            <v>55-265-30-04</v>
          </cell>
          <cell r="C13344" t="str">
            <v>marSafe,  orange, perf., 60x30x27cm</v>
          </cell>
          <cell r="D13344" t="str">
            <v>marSafe,  orange, perf., 60x30x27cm</v>
          </cell>
        </row>
        <row r="13345">
          <cell r="B13345" t="str">
            <v>55-266-10-04</v>
          </cell>
          <cell r="C13345" t="str">
            <v>marSafe +, orange, 30x30x11cm</v>
          </cell>
          <cell r="D13345" t="str">
            <v>marSafe +, orange, 30x30x11cm</v>
          </cell>
        </row>
        <row r="13346">
          <cell r="B13346" t="str">
            <v>55-266-13-04</v>
          </cell>
          <cell r="C13346" t="str">
            <v>marSafe +, orange, 30x30x14cm</v>
          </cell>
          <cell r="D13346" t="str">
            <v>marSafe +, orange, 30x30x14cm</v>
          </cell>
        </row>
        <row r="13347">
          <cell r="B13347" t="str">
            <v>55-266-15-04</v>
          </cell>
          <cell r="C13347" t="str">
            <v>marSafe +, orange, 30x30x16cm</v>
          </cell>
          <cell r="D13347" t="str">
            <v>marSafe +, orange, 30x30x16cm</v>
          </cell>
        </row>
        <row r="13348">
          <cell r="B13348" t="str">
            <v>55-266-20-04</v>
          </cell>
          <cell r="C13348" t="str">
            <v>marSafe +, orange, 30x30x21cm</v>
          </cell>
          <cell r="D13348" t="str">
            <v>marSafe +, orange, 30x30x21cm</v>
          </cell>
        </row>
        <row r="13349">
          <cell r="B13349" t="str">
            <v>55-266-30-04</v>
          </cell>
          <cell r="C13349" t="str">
            <v>marSafe +, orange, 30x30x27cm</v>
          </cell>
          <cell r="D13349" t="str">
            <v>marSafe +, orange, 30x30x27cm</v>
          </cell>
        </row>
        <row r="13350">
          <cell r="B13350" t="str">
            <v>55-267-10-04</v>
          </cell>
          <cell r="C13350" t="str">
            <v>marSafe +, orange, 47x30x11cm</v>
          </cell>
          <cell r="D13350" t="str">
            <v>marSafe +, orange, 47x30x11cm</v>
          </cell>
        </row>
        <row r="13351">
          <cell r="B13351" t="str">
            <v>55-267-13-04</v>
          </cell>
          <cell r="C13351" t="str">
            <v>marSafe +, orange, 47x30x14cm</v>
          </cell>
          <cell r="D13351" t="str">
            <v>marSafe +, orange, 47x30x14cm</v>
          </cell>
        </row>
        <row r="13352">
          <cell r="B13352" t="str">
            <v>55-267-15-04</v>
          </cell>
          <cell r="C13352" t="str">
            <v>marSafe +, orange, 47x30x16cm</v>
          </cell>
          <cell r="D13352" t="str">
            <v>marSafe +, orange, 47x30x16cm</v>
          </cell>
        </row>
        <row r="13353">
          <cell r="B13353" t="str">
            <v>55-268-10-04</v>
          </cell>
          <cell r="C13353" t="str">
            <v>marSafe +, orange, 60x30x11cm</v>
          </cell>
          <cell r="D13353" t="str">
            <v>marSafe +, orange, 60x30x11cm</v>
          </cell>
        </row>
        <row r="13354">
          <cell r="B13354" t="str">
            <v>55-268-13-04</v>
          </cell>
          <cell r="C13354" t="str">
            <v>marSafe +, orange, 60x30x14cm</v>
          </cell>
          <cell r="D13354" t="str">
            <v>marSafe +, orange, 60x30x14cm</v>
          </cell>
        </row>
        <row r="13355">
          <cell r="B13355" t="str">
            <v>55-268-15-04</v>
          </cell>
          <cell r="C13355" t="str">
            <v>marSafe +, orange, 60x30x16cm</v>
          </cell>
          <cell r="D13355" t="str">
            <v>marSafe +, orange, 60x30x16cm</v>
          </cell>
        </row>
        <row r="13356">
          <cell r="B13356" t="str">
            <v>55-268-20-04</v>
          </cell>
          <cell r="C13356" t="str">
            <v>marSafe +, orange, 60x30x21cm</v>
          </cell>
          <cell r="D13356" t="str">
            <v>marSafe +, orange, 60x30x21cm</v>
          </cell>
        </row>
        <row r="13357">
          <cell r="B13357" t="str">
            <v>55-268-30-04</v>
          </cell>
          <cell r="C13357" t="str">
            <v>marSafe +, orange, 60x30x27cm</v>
          </cell>
          <cell r="D13357" t="str">
            <v>marSafe +, orange, 60x30x27cm</v>
          </cell>
        </row>
        <row r="13358">
          <cell r="B13358" t="str">
            <v>55-270-01-04</v>
          </cell>
          <cell r="C13358" t="str">
            <v>Wanne, marSafe,  grün, 30x30x11cm</v>
          </cell>
          <cell r="D13358" t="str">
            <v>Bottom, marSafe,  green, 30x30x11cm</v>
          </cell>
        </row>
        <row r="13359">
          <cell r="B13359" t="str">
            <v>55-270-02-04</v>
          </cell>
          <cell r="C13359" t="str">
            <v>Wanne, marSafe,  grün, 30x30x14cm</v>
          </cell>
          <cell r="D13359" t="str">
            <v>Bottom, marSafe,  green, 30x30x14cm</v>
          </cell>
        </row>
        <row r="13360">
          <cell r="B13360" t="str">
            <v>55-270-03-04</v>
          </cell>
          <cell r="C13360" t="str">
            <v>Wanne, marSafe,  grün, 30x30x16cm</v>
          </cell>
          <cell r="D13360" t="str">
            <v>Bottom, marSafe,  green, 30x30x16cm</v>
          </cell>
        </row>
        <row r="13361">
          <cell r="B13361" t="str">
            <v>55-270-04-04</v>
          </cell>
          <cell r="C13361" t="str">
            <v>Wanne, marSafe,  grün, 30x30x21cm</v>
          </cell>
          <cell r="D13361" t="str">
            <v>Bottom, marSafe,  green, 30x30x21cm</v>
          </cell>
        </row>
        <row r="13362">
          <cell r="B13362" t="str">
            <v>55-270-05-04</v>
          </cell>
          <cell r="C13362" t="str">
            <v>Wanne, marSafe,  grün, 30x30x27cm</v>
          </cell>
          <cell r="D13362" t="str">
            <v>Bottom, marSafe,  green, 30x30x27cm</v>
          </cell>
        </row>
        <row r="13363">
          <cell r="B13363" t="str">
            <v>55-270-10-04</v>
          </cell>
          <cell r="C13363" t="str">
            <v>marSafe,  grün, 30x30x11cm</v>
          </cell>
          <cell r="D13363" t="str">
            <v>marSafe,  green, 30x30x11cm</v>
          </cell>
        </row>
        <row r="13364">
          <cell r="B13364" t="str">
            <v>55-270-13-04</v>
          </cell>
          <cell r="C13364" t="str">
            <v>marSafe,  grün, 30x30x14cm</v>
          </cell>
          <cell r="D13364" t="str">
            <v>marSafe,  green, 30x30x14cm</v>
          </cell>
        </row>
        <row r="13365">
          <cell r="B13365" t="str">
            <v>55-270-15-04</v>
          </cell>
          <cell r="C13365" t="str">
            <v>marSafe,  grün, 30x30x16cm</v>
          </cell>
          <cell r="D13365" t="str">
            <v>marSafe,  green, 30x30x16cm</v>
          </cell>
        </row>
        <row r="13366">
          <cell r="B13366" t="str">
            <v>55-270-20-04</v>
          </cell>
          <cell r="C13366" t="str">
            <v>marSafe,  grün, 30x30x21cm</v>
          </cell>
          <cell r="D13366" t="str">
            <v>marSafe,  green, 30x30x21cm</v>
          </cell>
        </row>
        <row r="13367">
          <cell r="B13367" t="str">
            <v>55-270-30-04</v>
          </cell>
          <cell r="C13367" t="str">
            <v>marSafe,  grün, 30x30x27cm</v>
          </cell>
          <cell r="D13367" t="str">
            <v>marSafe,  green, 30x30x27cm</v>
          </cell>
        </row>
        <row r="13368">
          <cell r="B13368" t="str">
            <v>55-271-01-04</v>
          </cell>
          <cell r="C13368" t="str">
            <v>Wanne, marSafe,  grün, perf., 30x30x11cm</v>
          </cell>
          <cell r="D13368" t="str">
            <v>Bottom, marSafe,  green, perf.,30x30x11cm</v>
          </cell>
        </row>
        <row r="13369">
          <cell r="B13369" t="str">
            <v>55-271-02-04</v>
          </cell>
          <cell r="C13369" t="str">
            <v>Wanne, marSafe,  grün, perf., 30x30x14cm</v>
          </cell>
          <cell r="D13369" t="str">
            <v>Bottom, marSafe,  green, perf.,30x30x14cm</v>
          </cell>
        </row>
        <row r="13370">
          <cell r="B13370" t="str">
            <v>55-271-03-04</v>
          </cell>
          <cell r="C13370" t="str">
            <v>Wanne, marSafe,  grün, perf., 30x30x16cm</v>
          </cell>
          <cell r="D13370" t="str">
            <v>Bottom, marSafe,  green, perf.,30x30x16cm</v>
          </cell>
        </row>
        <row r="13371">
          <cell r="B13371" t="str">
            <v>55-271-04-04</v>
          </cell>
          <cell r="C13371" t="str">
            <v>Wanne, marSafe,  grün, perf., 30x30x21cm</v>
          </cell>
          <cell r="D13371" t="str">
            <v>Bottom, marSafe,  green, perf.,30x30x21cm</v>
          </cell>
        </row>
        <row r="13372">
          <cell r="B13372" t="str">
            <v>55-271-05-04</v>
          </cell>
          <cell r="C13372" t="str">
            <v>Wanne, marSafe,  grün, perf., 30x30x27cm</v>
          </cell>
          <cell r="D13372" t="str">
            <v>Bottom, marSafe,  green, perf.,30x30x27cm</v>
          </cell>
        </row>
        <row r="13373">
          <cell r="B13373" t="str">
            <v>55-271-10-04</v>
          </cell>
          <cell r="C13373" t="str">
            <v>marSafe,  grün, perf., 30x30x11cm</v>
          </cell>
          <cell r="D13373" t="str">
            <v>marSafe,  green, perf., 30x30x11cm</v>
          </cell>
        </row>
        <row r="13374">
          <cell r="B13374" t="str">
            <v>55-271-13-04</v>
          </cell>
          <cell r="C13374" t="str">
            <v>marSafe,  grün, perf., 30x30x14cm</v>
          </cell>
          <cell r="D13374" t="str">
            <v>marSafe,  green, perf., 30x30x14cm</v>
          </cell>
        </row>
        <row r="13375">
          <cell r="B13375" t="str">
            <v>55-271-15-04</v>
          </cell>
          <cell r="C13375" t="str">
            <v>marSafe,  grün, perf., 30x30x16cm</v>
          </cell>
          <cell r="D13375" t="str">
            <v>marSafe,  green, perf., 30x30x16cm</v>
          </cell>
        </row>
        <row r="13376">
          <cell r="B13376" t="str">
            <v>55-271-20-04</v>
          </cell>
          <cell r="C13376" t="str">
            <v>marSafe,  grün, perf., 30x30x21cm</v>
          </cell>
          <cell r="D13376" t="str">
            <v>marSafe,  green, perf., 30x30x21cm</v>
          </cell>
        </row>
        <row r="13377">
          <cell r="B13377" t="str">
            <v>55-271-30-04</v>
          </cell>
          <cell r="C13377" t="str">
            <v>marSafe,  grün, perf., 30x30x27cm</v>
          </cell>
          <cell r="D13377" t="str">
            <v>marSafe,  green, perf., 30x30x27cm</v>
          </cell>
        </row>
        <row r="13378">
          <cell r="B13378" t="str">
            <v>55-272-01-04</v>
          </cell>
          <cell r="C13378" t="str">
            <v>Wanne, marSafe,  grün, 47x30x11cm</v>
          </cell>
          <cell r="D13378" t="str">
            <v>Bottom, marSafe,  green, 47x30x11cm</v>
          </cell>
        </row>
        <row r="13379">
          <cell r="B13379" t="str">
            <v>55-272-02-04</v>
          </cell>
          <cell r="C13379" t="str">
            <v>Wanne, marSafe,  grün, 47x30x14cm</v>
          </cell>
          <cell r="D13379" t="str">
            <v>Bottom, marSafe,  green, 47x30x14cm</v>
          </cell>
        </row>
        <row r="13380">
          <cell r="B13380" t="str">
            <v>55-272-03-04</v>
          </cell>
          <cell r="C13380" t="str">
            <v>Wanne, marSafe,  grün, 47x30x16cm</v>
          </cell>
          <cell r="D13380" t="str">
            <v>Bottom, marSafe,  green, 47x30x16cm</v>
          </cell>
        </row>
        <row r="13381">
          <cell r="B13381" t="str">
            <v>55-272-10-04</v>
          </cell>
          <cell r="C13381" t="str">
            <v>marSafe,  grün, 47x30x11cm</v>
          </cell>
          <cell r="D13381" t="str">
            <v>marSafe,  green, 47x30x11cm</v>
          </cell>
        </row>
        <row r="13382">
          <cell r="B13382" t="str">
            <v>55-272-13-04</v>
          </cell>
          <cell r="C13382" t="str">
            <v>marSafe,  grün, 47x30x14cm</v>
          </cell>
          <cell r="D13382" t="str">
            <v>marSafe,  green, 47x30x14cm</v>
          </cell>
        </row>
        <row r="13383">
          <cell r="B13383" t="str">
            <v>55-272-15-04</v>
          </cell>
          <cell r="C13383" t="str">
            <v>marSafe,  grün, 47x30x16cm</v>
          </cell>
          <cell r="D13383" t="str">
            <v>marSafe,  green, 47x30x16cm</v>
          </cell>
        </row>
        <row r="13384">
          <cell r="B13384" t="str">
            <v>55-273-01-04</v>
          </cell>
          <cell r="C13384" t="str">
            <v>Wanne, marSafe,  grün, perf., 47x30x11cm</v>
          </cell>
          <cell r="D13384" t="str">
            <v>Bottom, marSafe,  green, perf.,47x30x11cm</v>
          </cell>
        </row>
        <row r="13385">
          <cell r="B13385" t="str">
            <v>55-273-02-04</v>
          </cell>
          <cell r="C13385" t="str">
            <v>Wanne, marSafe,  grün, perf., 47x30x14cm</v>
          </cell>
          <cell r="D13385" t="str">
            <v>Bottom, marSafe,  green, perf.,47x30x14cm</v>
          </cell>
        </row>
        <row r="13386">
          <cell r="B13386" t="str">
            <v>55-273-03-04</v>
          </cell>
          <cell r="C13386" t="str">
            <v>Wanne, marSafe,  grün, perf., 47x30x16cm</v>
          </cell>
          <cell r="D13386" t="str">
            <v>Bottom, marSafe,  green, perf.,47x30x16cm</v>
          </cell>
        </row>
        <row r="13387">
          <cell r="B13387" t="str">
            <v>55-273-10-04</v>
          </cell>
          <cell r="C13387" t="str">
            <v>marSafe,  grün, perf., 47x30x11cm</v>
          </cell>
          <cell r="D13387" t="str">
            <v>marSafe,  green, perf., 47x30x11cm</v>
          </cell>
        </row>
        <row r="13388">
          <cell r="B13388" t="str">
            <v>55-273-13-04</v>
          </cell>
          <cell r="C13388" t="str">
            <v>marSafe,  grün, perf., 47x30x14cm</v>
          </cell>
          <cell r="D13388" t="str">
            <v>marSafe,  green, perf., 47x30x14cm</v>
          </cell>
        </row>
        <row r="13389">
          <cell r="B13389" t="str">
            <v>55-273-15-04</v>
          </cell>
          <cell r="C13389" t="str">
            <v>marSafe,  grün, perf., 47x30x16cm</v>
          </cell>
          <cell r="D13389" t="str">
            <v>marSafe,  green, perf., 47x30x16cm</v>
          </cell>
        </row>
        <row r="13390">
          <cell r="B13390" t="str">
            <v>55-274-01-04</v>
          </cell>
          <cell r="C13390" t="str">
            <v>Wanne, marSafe,  grün, 60x30x11cm</v>
          </cell>
          <cell r="D13390" t="str">
            <v>Bottom, marSafe,  green, 60x30x11cm</v>
          </cell>
        </row>
        <row r="13391">
          <cell r="B13391" t="str">
            <v>55-274-02-04</v>
          </cell>
          <cell r="C13391" t="str">
            <v>Wanne, marSafe,  grün, 60x30x14cm</v>
          </cell>
          <cell r="D13391" t="str">
            <v>Bottom, marSafe,  green, 60x30x14cm</v>
          </cell>
        </row>
        <row r="13392">
          <cell r="B13392" t="str">
            <v>55-274-03-04</v>
          </cell>
          <cell r="C13392" t="str">
            <v>Wanne, marSafe,  grün, 60x30x16cm</v>
          </cell>
          <cell r="D13392" t="str">
            <v>Bottom, marSafe,  green, 60x30x16cm</v>
          </cell>
        </row>
        <row r="13393">
          <cell r="B13393" t="str">
            <v>55-274-04-04</v>
          </cell>
          <cell r="C13393" t="str">
            <v>Wanne, marSafe,  grün, 60x30x21cm</v>
          </cell>
          <cell r="D13393" t="str">
            <v>Bottom, marSafe,  green, 60x30x21cm</v>
          </cell>
        </row>
        <row r="13394">
          <cell r="B13394" t="str">
            <v>55-274-05-04</v>
          </cell>
          <cell r="C13394" t="str">
            <v>Wanne, marSafe,  grün, 60x30x27cm</v>
          </cell>
          <cell r="D13394" t="str">
            <v>Bottom, marSafe,  green, 60x30x27cm</v>
          </cell>
        </row>
        <row r="13395">
          <cell r="B13395" t="str">
            <v>55-274-10-04</v>
          </cell>
          <cell r="C13395" t="str">
            <v>marSafe,  grün, 60x30x11cm</v>
          </cell>
          <cell r="D13395" t="str">
            <v>marSafe,  green, 60x30x11cm</v>
          </cell>
        </row>
        <row r="13396">
          <cell r="B13396" t="str">
            <v>55-274-13-04</v>
          </cell>
          <cell r="C13396" t="str">
            <v>marSafe,  grün, 60x30x14cm</v>
          </cell>
          <cell r="D13396" t="str">
            <v>marSafe,  green, 60x30x14cm</v>
          </cell>
        </row>
        <row r="13397">
          <cell r="B13397" t="str">
            <v>55-274-15-04</v>
          </cell>
          <cell r="C13397" t="str">
            <v>marSafe,  grün, 60x30x16cm</v>
          </cell>
          <cell r="D13397" t="str">
            <v>marSafe,  green, 60x30x16cm</v>
          </cell>
        </row>
        <row r="13398">
          <cell r="B13398" t="str">
            <v>55-274-20-04</v>
          </cell>
          <cell r="C13398" t="str">
            <v>marSafe,  grün, 60x30x21cm</v>
          </cell>
          <cell r="D13398" t="str">
            <v>marSafe,  green, 60x30x21cm</v>
          </cell>
        </row>
        <row r="13399">
          <cell r="B13399" t="str">
            <v>55-274-30-04</v>
          </cell>
          <cell r="C13399" t="str">
            <v>marSafe,  grün, 60x30x27cm</v>
          </cell>
          <cell r="D13399" t="str">
            <v>marSafe,  green, 60x30x27cm</v>
          </cell>
        </row>
        <row r="13400">
          <cell r="B13400" t="str">
            <v>55-275-01-04</v>
          </cell>
          <cell r="C13400" t="str">
            <v>Wanne, marSafe,  grün, perf., 60x30x11cm</v>
          </cell>
          <cell r="D13400" t="str">
            <v>Bottom, marSafe,  green, perf.,60x30x11cm</v>
          </cell>
        </row>
        <row r="13401">
          <cell r="B13401" t="str">
            <v>55-275-02-04</v>
          </cell>
          <cell r="C13401" t="str">
            <v>Wanne, marSafe,  grün, perf., 60x30x14cm</v>
          </cell>
          <cell r="D13401" t="str">
            <v>Bottom, marSafe,  green, perf.,60x30x14cm</v>
          </cell>
        </row>
        <row r="13402">
          <cell r="B13402" t="str">
            <v>55-275-03-04</v>
          </cell>
          <cell r="C13402" t="str">
            <v>Wanne, marSafe,  grün, perf., 60x30x16cm</v>
          </cell>
          <cell r="D13402" t="str">
            <v>Bottom, marSafe,  green, perf.,60x30x16cm</v>
          </cell>
        </row>
        <row r="13403">
          <cell r="B13403" t="str">
            <v>55-275-04-04</v>
          </cell>
          <cell r="C13403" t="str">
            <v>Wanne, marSafe,  grün, perf., 60x30x21cm</v>
          </cell>
          <cell r="D13403" t="str">
            <v>Bottom, marSafe,  green, perf.,60x30x21cm</v>
          </cell>
        </row>
        <row r="13404">
          <cell r="B13404" t="str">
            <v>55-275-05-04</v>
          </cell>
          <cell r="C13404" t="str">
            <v>Wanne, marSafe,  grün, perf., 60x30x27cm</v>
          </cell>
          <cell r="D13404" t="str">
            <v>Bottom, marSafe,  green, perf.,60x30x27cm</v>
          </cell>
        </row>
        <row r="13405">
          <cell r="B13405" t="str">
            <v>55-275-10-04</v>
          </cell>
          <cell r="C13405" t="str">
            <v>marSafe,  grün, perf., 60x30x11cm</v>
          </cell>
          <cell r="D13405" t="str">
            <v>marSafe,  green, perf., 60x30x11cm</v>
          </cell>
        </row>
        <row r="13406">
          <cell r="B13406" t="str">
            <v>55-275-13-04</v>
          </cell>
          <cell r="C13406" t="str">
            <v>marSafe,  grün, perf., 60x30x14cm</v>
          </cell>
          <cell r="D13406" t="str">
            <v>marSafe,  green, perf., 60x30x14cm</v>
          </cell>
        </row>
        <row r="13407">
          <cell r="B13407" t="str">
            <v>55-275-15-04</v>
          </cell>
          <cell r="C13407" t="str">
            <v>marSafe,  grün, perf., 60x30x16cm</v>
          </cell>
          <cell r="D13407" t="str">
            <v>marSafe,  green, perf., 60x30x16cm</v>
          </cell>
        </row>
        <row r="13408">
          <cell r="B13408" t="str">
            <v>55-275-20-04</v>
          </cell>
          <cell r="C13408" t="str">
            <v>marSafe,  grün, perf., 60x30x21cm</v>
          </cell>
          <cell r="D13408" t="str">
            <v>marSafe,  green, perf., 60x30x21cm</v>
          </cell>
        </row>
        <row r="13409">
          <cell r="B13409" t="str">
            <v>55-275-30-04</v>
          </cell>
          <cell r="C13409" t="str">
            <v>marSafe,  grün, perf., 60x30x27cm</v>
          </cell>
          <cell r="D13409" t="str">
            <v>marSafe,  green, perf., 60x30x27cm</v>
          </cell>
        </row>
        <row r="13410">
          <cell r="B13410" t="str">
            <v>55-276-10-04</v>
          </cell>
          <cell r="C13410" t="str">
            <v>marSafe +, grün, 30x30x11cm</v>
          </cell>
          <cell r="D13410" t="str">
            <v>marSafe +, green, 30x30x11cm</v>
          </cell>
        </row>
        <row r="13411">
          <cell r="B13411" t="str">
            <v>55-276-13-04</v>
          </cell>
          <cell r="C13411" t="str">
            <v>marSafe +, grün, 30x30x14cm</v>
          </cell>
          <cell r="D13411" t="str">
            <v>marSafe +, green, 30x30x14cm</v>
          </cell>
        </row>
        <row r="13412">
          <cell r="B13412" t="str">
            <v>55-276-15-04</v>
          </cell>
          <cell r="C13412" t="str">
            <v>marSafe +, grün, 30x30x16cm</v>
          </cell>
          <cell r="D13412" t="str">
            <v>marSafe +, green, 30x30x16cm</v>
          </cell>
        </row>
        <row r="13413">
          <cell r="B13413" t="str">
            <v>55-276-20-04</v>
          </cell>
          <cell r="C13413" t="str">
            <v>marSafe +, grün, 30x30x21cm</v>
          </cell>
          <cell r="D13413" t="str">
            <v>marSafe +, green, 30x30x21cm</v>
          </cell>
        </row>
        <row r="13414">
          <cell r="B13414" t="str">
            <v>55-276-30-04</v>
          </cell>
          <cell r="C13414" t="str">
            <v>marSafe +, grün, 30x30x27cm</v>
          </cell>
          <cell r="D13414" t="str">
            <v>marSafe +, green, 30x30x27cm</v>
          </cell>
        </row>
        <row r="13415">
          <cell r="B13415" t="str">
            <v>55-277-10-04</v>
          </cell>
          <cell r="C13415" t="str">
            <v>marSafe +, grün, 47x30x11cm</v>
          </cell>
          <cell r="D13415" t="str">
            <v>marSafe +, green, 47x30x11cm</v>
          </cell>
        </row>
        <row r="13416">
          <cell r="B13416" t="str">
            <v>55-277-13-04</v>
          </cell>
          <cell r="C13416" t="str">
            <v>marSafe +, grün, 47x30x14cm</v>
          </cell>
          <cell r="D13416" t="str">
            <v>marSafe +, green, 47x30x14cm</v>
          </cell>
        </row>
        <row r="13417">
          <cell r="B13417" t="str">
            <v>55-277-15-04</v>
          </cell>
          <cell r="C13417" t="str">
            <v>marSafe +, grün, 47x30x16cm</v>
          </cell>
          <cell r="D13417" t="str">
            <v>marSafe +, green, 47x30x16cm</v>
          </cell>
        </row>
        <row r="13418">
          <cell r="B13418" t="str">
            <v>55-278-10-04</v>
          </cell>
          <cell r="C13418" t="str">
            <v>marSafe +, grün, 60x30x11cm</v>
          </cell>
          <cell r="D13418" t="str">
            <v>marSafe +, green, 60x30x11cm</v>
          </cell>
        </row>
        <row r="13419">
          <cell r="B13419" t="str">
            <v>55-278-13-04</v>
          </cell>
          <cell r="C13419" t="str">
            <v>marSafe +, grün, 60x30x14cm</v>
          </cell>
          <cell r="D13419" t="str">
            <v>marSafe +, green, 60x30x14cm</v>
          </cell>
        </row>
        <row r="13420">
          <cell r="B13420" t="str">
            <v>55-278-15-04</v>
          </cell>
          <cell r="C13420" t="str">
            <v>marSafe +, grün, 60x30x16cm</v>
          </cell>
          <cell r="D13420" t="str">
            <v>marSafe +, green, 60x30x16cm</v>
          </cell>
        </row>
        <row r="13421">
          <cell r="B13421" t="str">
            <v>55-278-20-04</v>
          </cell>
          <cell r="C13421" t="str">
            <v>marSafe +, grün, 60x30x21cm</v>
          </cell>
          <cell r="D13421" t="str">
            <v>marSafe +, green, 60x30x21cm</v>
          </cell>
        </row>
        <row r="13422">
          <cell r="B13422" t="str">
            <v>55-278-30-04</v>
          </cell>
          <cell r="C13422" t="str">
            <v>marSafe +, grün, 60x30x27cm</v>
          </cell>
          <cell r="D13422" t="str">
            <v>marSafe +, green, 60x30x27cm</v>
          </cell>
        </row>
        <row r="13423">
          <cell r="B13423" t="str">
            <v>55-280-01-04</v>
          </cell>
          <cell r="C13423" t="str">
            <v>Wanne, marSafe,  l.grau, 30x30x11cm</v>
          </cell>
          <cell r="D13423" t="str">
            <v>Bottom, marSafe,  l.grey, 30x30x11cm</v>
          </cell>
        </row>
        <row r="13424">
          <cell r="B13424" t="str">
            <v>55-280-02-04</v>
          </cell>
          <cell r="C13424" t="str">
            <v>Wanne, marSafe,  l.grau, 30x30x14cm</v>
          </cell>
          <cell r="D13424" t="str">
            <v>Bottom, marSafe,  l.grey, 30x30x14cm</v>
          </cell>
        </row>
        <row r="13425">
          <cell r="B13425" t="str">
            <v>55-280-03-04</v>
          </cell>
          <cell r="C13425" t="str">
            <v>Wanne, marSafe,  l.grau, 30x30x16cm</v>
          </cell>
          <cell r="D13425" t="str">
            <v>Bottom, marSafe,  l.grey, 30x30x16cm</v>
          </cell>
        </row>
        <row r="13426">
          <cell r="B13426" t="str">
            <v>55-280-04-04</v>
          </cell>
          <cell r="C13426" t="str">
            <v>Wanne, marSafe,  l.grau, 30x30x21cm</v>
          </cell>
          <cell r="D13426" t="str">
            <v>Bottom, marSafe,  l.grey, 30x30x21cm</v>
          </cell>
        </row>
        <row r="13427">
          <cell r="B13427" t="str">
            <v>55-280-05-04</v>
          </cell>
          <cell r="C13427" t="str">
            <v>Wanne, marSafe,  l.grau, 30x30x27cm</v>
          </cell>
          <cell r="D13427" t="str">
            <v>Bottom, marSafe,  l.grey, 30x30x27cm</v>
          </cell>
        </row>
        <row r="13428">
          <cell r="B13428" t="str">
            <v>55-280-10-04</v>
          </cell>
          <cell r="C13428" t="str">
            <v>marSafe,  l.grau, 30x30x11cm</v>
          </cell>
          <cell r="D13428" t="str">
            <v>marSafe,  l.grey, 30x30x11cm</v>
          </cell>
        </row>
        <row r="13429">
          <cell r="B13429" t="str">
            <v>55-280-13-04</v>
          </cell>
          <cell r="C13429" t="str">
            <v>marSafe,  l.grau, 30x30x14cm</v>
          </cell>
          <cell r="D13429" t="str">
            <v>marSafe,  l.grey, 30x30x14cm</v>
          </cell>
        </row>
        <row r="13430">
          <cell r="B13430" t="str">
            <v>55-280-15-04</v>
          </cell>
          <cell r="C13430" t="str">
            <v>marSafe,  l.grau, 30x30x16cm</v>
          </cell>
          <cell r="D13430" t="str">
            <v>marSafe,  l.grey, 30x30x16cm</v>
          </cell>
        </row>
        <row r="13431">
          <cell r="B13431" t="str">
            <v>55-280-20-04</v>
          </cell>
          <cell r="C13431" t="str">
            <v>marSafe,  l.grau, 30x30x21cm</v>
          </cell>
          <cell r="D13431" t="str">
            <v>marSafe,  l.grey, 30x30x21cm</v>
          </cell>
        </row>
        <row r="13432">
          <cell r="B13432" t="str">
            <v>55-280-30-04</v>
          </cell>
          <cell r="C13432" t="str">
            <v>marSafe,  l.grau, 30x30x27cm</v>
          </cell>
          <cell r="D13432" t="str">
            <v>marSafe,  l.grey, 30x30x27cm</v>
          </cell>
        </row>
        <row r="13433">
          <cell r="B13433" t="str">
            <v>55-281-01-04</v>
          </cell>
          <cell r="C13433" t="str">
            <v>Wanne, marSafe,  l.grau, perf.,30x30x11cm</v>
          </cell>
          <cell r="D13433" t="str">
            <v>Bottom, marSafe,  l.grey,perf.,30x30x11cm</v>
          </cell>
        </row>
        <row r="13434">
          <cell r="B13434" t="str">
            <v>55-281-02-04</v>
          </cell>
          <cell r="C13434" t="str">
            <v>Wanne, marSafe,  l.grau, perf.,30x30x14cm</v>
          </cell>
          <cell r="D13434" t="str">
            <v>Bottom, marSafe,  l.grey,perf.,30x30x14cm</v>
          </cell>
        </row>
        <row r="13435">
          <cell r="B13435" t="str">
            <v>55-281-03-04</v>
          </cell>
          <cell r="C13435" t="str">
            <v>Wanne, marSafe,  l.grau, perf.,30x30x16cm</v>
          </cell>
          <cell r="D13435" t="str">
            <v>Bottom, marSafe,  l.grey,perf.,30x30x16cm</v>
          </cell>
        </row>
        <row r="13436">
          <cell r="B13436" t="str">
            <v>55-281-04-04</v>
          </cell>
          <cell r="C13436" t="str">
            <v>Wanne, marSafe,  l.grau, perf.,30x30x21cm</v>
          </cell>
          <cell r="D13436" t="str">
            <v>Bottom, marSafe,  l.grey,perf.,30x30x21cm</v>
          </cell>
        </row>
        <row r="13437">
          <cell r="B13437" t="str">
            <v>55-281-05-04</v>
          </cell>
          <cell r="C13437" t="str">
            <v>Wanne, marSafe,  l.grau, perf.,30x30x27cm</v>
          </cell>
          <cell r="D13437" t="str">
            <v>Bottom, marSafe,  l.grey,perf.,30x30x27cm</v>
          </cell>
        </row>
        <row r="13438">
          <cell r="B13438" t="str">
            <v>55-281-10-04</v>
          </cell>
          <cell r="C13438" t="str">
            <v>marSafe,  l.grau, perf., 30x30x11cm</v>
          </cell>
          <cell r="D13438" t="str">
            <v>marSafe,  l.grey, perf., 30x30x11cm</v>
          </cell>
        </row>
        <row r="13439">
          <cell r="B13439" t="str">
            <v>55-281-13-04</v>
          </cell>
          <cell r="C13439" t="str">
            <v>marSafe,  l.grau, perf., 30x30x14cm</v>
          </cell>
          <cell r="D13439" t="str">
            <v>marSafe,  l.grey, perf., 30x30x14cm</v>
          </cell>
        </row>
        <row r="13440">
          <cell r="B13440" t="str">
            <v>55-281-15-04</v>
          </cell>
          <cell r="C13440" t="str">
            <v>marSafe,  l.grau, perf., 30x30x16cm</v>
          </cell>
          <cell r="D13440" t="str">
            <v>marSafe,  l.grey, perf., 30x30x16cm</v>
          </cell>
        </row>
        <row r="13441">
          <cell r="B13441" t="str">
            <v>55-281-20-04</v>
          </cell>
          <cell r="C13441" t="str">
            <v>marSafe,  l.grau, perf., 30x30x21cm</v>
          </cell>
          <cell r="D13441" t="str">
            <v>marSafe,  l.grey, perf., 30x30x21cm</v>
          </cell>
        </row>
        <row r="13442">
          <cell r="B13442" t="str">
            <v>55-281-30-04</v>
          </cell>
          <cell r="C13442" t="str">
            <v>marSafe,  l.grau, perf., 30x30x27cm</v>
          </cell>
          <cell r="D13442" t="str">
            <v>marSafe,  l.grey, perf., 30x30x27cm</v>
          </cell>
        </row>
        <row r="13443">
          <cell r="B13443" t="str">
            <v>55-282-01-04</v>
          </cell>
          <cell r="C13443" t="str">
            <v>Wanne, marSafe,  l.grau, 47x30x11cm</v>
          </cell>
          <cell r="D13443" t="str">
            <v>Bottom, marSafe,  l.grey, 47x30x11cm</v>
          </cell>
        </row>
        <row r="13444">
          <cell r="B13444" t="str">
            <v>55-282-02-04</v>
          </cell>
          <cell r="C13444" t="str">
            <v>Wanne, marSafe,  l.grau, 47x30x14cm</v>
          </cell>
          <cell r="D13444" t="str">
            <v>Bottom, marSafe,  l.grey, 47x30x14cm</v>
          </cell>
        </row>
        <row r="13445">
          <cell r="B13445" t="str">
            <v>55-282-03-04</v>
          </cell>
          <cell r="C13445" t="str">
            <v>Wanne, marSafe,  l.grau, 47x30x16cm</v>
          </cell>
          <cell r="D13445" t="str">
            <v>Bottom, marSafe,  l.grey, 47x30x16cm</v>
          </cell>
        </row>
        <row r="13446">
          <cell r="B13446" t="str">
            <v>55-282-10-04</v>
          </cell>
          <cell r="C13446" t="str">
            <v>marSafe,  l.grau, 47x30x11cm</v>
          </cell>
          <cell r="D13446" t="str">
            <v>marSafe,  l.grey, 47x30x11cm</v>
          </cell>
        </row>
        <row r="13447">
          <cell r="B13447" t="str">
            <v>55-282-13-04</v>
          </cell>
          <cell r="C13447" t="str">
            <v>marSafe,  l.grau, 47x30x14cm</v>
          </cell>
          <cell r="D13447" t="str">
            <v>marSafe,  l.grey, 47x30x14cm</v>
          </cell>
        </row>
        <row r="13448">
          <cell r="B13448" t="str">
            <v>55-282-15-04</v>
          </cell>
          <cell r="C13448" t="str">
            <v>marSafe,  l.grau, 47x30x16cm</v>
          </cell>
          <cell r="D13448" t="str">
            <v>marSafe,  l.grey, 47x30x16cm</v>
          </cell>
        </row>
        <row r="13449">
          <cell r="B13449" t="str">
            <v>55-283-01-04</v>
          </cell>
          <cell r="C13449" t="str">
            <v>Wanne, marSafe,  l.grau, perf.,47x30x11cm</v>
          </cell>
          <cell r="D13449" t="str">
            <v>Bottom, marSafe,  l.grey,perf.,47x30x11cm</v>
          </cell>
        </row>
        <row r="13450">
          <cell r="B13450" t="str">
            <v>55-283-02-04</v>
          </cell>
          <cell r="C13450" t="str">
            <v>Wanne, marSafe,  l.grau, perf.,47x30x14cm</v>
          </cell>
          <cell r="D13450" t="str">
            <v>Bottom, marSafe,  l.grey,perf.,47x30x14cm</v>
          </cell>
        </row>
        <row r="13451">
          <cell r="B13451" t="str">
            <v>55-283-03-04</v>
          </cell>
          <cell r="C13451" t="str">
            <v>Wanne, marSafe,  l.grau, perf.,47x30x16cm</v>
          </cell>
          <cell r="D13451" t="str">
            <v>Bottom, marSafe,  l.grey,perf.,47x30x16cm</v>
          </cell>
        </row>
        <row r="13452">
          <cell r="B13452" t="str">
            <v>55-283-10-04</v>
          </cell>
          <cell r="C13452" t="str">
            <v>marSafe,  l.grau, perf., 47x30x11cm</v>
          </cell>
          <cell r="D13452" t="str">
            <v>marSafe,  l.grey, perf., 47x30x11cm</v>
          </cell>
        </row>
        <row r="13453">
          <cell r="B13453" t="str">
            <v>55-283-13-04</v>
          </cell>
          <cell r="C13453" t="str">
            <v>marSafe,  l.grau, perf., 47x30x14cm</v>
          </cell>
          <cell r="D13453" t="str">
            <v>marSafe,  l.grey, perf., 47x30x14cm</v>
          </cell>
        </row>
        <row r="13454">
          <cell r="B13454" t="str">
            <v>55-283-15-04</v>
          </cell>
          <cell r="C13454" t="str">
            <v>marSafe,  l.grau, perf., 47x30x16cm</v>
          </cell>
          <cell r="D13454" t="str">
            <v>marSafe,  l.grey, perf., 47x30x16cm</v>
          </cell>
        </row>
        <row r="13455">
          <cell r="B13455" t="str">
            <v>55-284-01-04</v>
          </cell>
          <cell r="C13455" t="str">
            <v>Wanne, marSafe,  l.grau, 60x30x11cm</v>
          </cell>
          <cell r="D13455" t="str">
            <v>Bottom, marSafe,  l.grey, 60x30x11cm</v>
          </cell>
        </row>
        <row r="13456">
          <cell r="B13456" t="str">
            <v>55-284-02-04</v>
          </cell>
          <cell r="C13456" t="str">
            <v>Wanne, marSafe,  l.grau, 60x30x14cm</v>
          </cell>
          <cell r="D13456" t="str">
            <v>Bottom, marSafe,  l.grey, 60x30x14cm</v>
          </cell>
        </row>
        <row r="13457">
          <cell r="B13457" t="str">
            <v>55-284-03-04</v>
          </cell>
          <cell r="C13457" t="str">
            <v>Wanne, marSafe,  l.grau, 60x30x16cm</v>
          </cell>
          <cell r="D13457" t="str">
            <v>Bottom, marSafe,  l.grey, 60x30x16cm</v>
          </cell>
        </row>
        <row r="13458">
          <cell r="B13458" t="str">
            <v>55-284-04-04</v>
          </cell>
          <cell r="C13458" t="str">
            <v>Wanne, marSafe,  l.grau, 60x30x21cm</v>
          </cell>
          <cell r="D13458" t="str">
            <v>Bottom, marSafe,  l.grey, 60x30x21cm</v>
          </cell>
        </row>
        <row r="13459">
          <cell r="B13459" t="str">
            <v>55-284-05-04</v>
          </cell>
          <cell r="C13459" t="str">
            <v>Wanne, marSafe,  l.grau, 60x30x27cm</v>
          </cell>
          <cell r="D13459" t="str">
            <v>Bottom, marSafe,  l.grey, 60x30x27cm</v>
          </cell>
        </row>
        <row r="13460">
          <cell r="B13460" t="str">
            <v>55-284-10-04</v>
          </cell>
          <cell r="C13460" t="str">
            <v>marSafe,  l.grau, 60x30x11cm</v>
          </cell>
          <cell r="D13460" t="str">
            <v>marSafe,  l.grey, 60x30x11cm</v>
          </cell>
        </row>
        <row r="13461">
          <cell r="B13461" t="str">
            <v>55-284-13-04</v>
          </cell>
          <cell r="C13461" t="str">
            <v>marSafe,  l.grau, 60x30x14cm</v>
          </cell>
          <cell r="D13461" t="str">
            <v>marSafe,  l.grey, 60x30x14cm</v>
          </cell>
        </row>
        <row r="13462">
          <cell r="B13462" t="str">
            <v>55-284-15-04</v>
          </cell>
          <cell r="C13462" t="str">
            <v>marSafe,  l.grau, 60x30x16cm</v>
          </cell>
          <cell r="D13462" t="str">
            <v>marSafe,  l.grey, 60x30x16cm</v>
          </cell>
        </row>
        <row r="13463">
          <cell r="B13463" t="str">
            <v>55-284-20-04</v>
          </cell>
          <cell r="C13463" t="str">
            <v>marSafe,  l.grau, 60x30x21cm</v>
          </cell>
          <cell r="D13463" t="str">
            <v>marSafe,  l.grey, 60x30x21cm</v>
          </cell>
        </row>
        <row r="13464">
          <cell r="B13464" t="str">
            <v>55-284-30-04</v>
          </cell>
          <cell r="C13464" t="str">
            <v>marSafe,  l.grau, 60x30x27cm</v>
          </cell>
          <cell r="D13464" t="str">
            <v>marSafe,  l.grey, 60x30x27cm</v>
          </cell>
        </row>
        <row r="13465">
          <cell r="B13465" t="str">
            <v>55-285-01-04</v>
          </cell>
          <cell r="C13465" t="str">
            <v>Wanne, marSafe,  l.grau, perf.,60x30x11cm</v>
          </cell>
          <cell r="D13465" t="str">
            <v>Bottom, marSafe,  l.grey,perf.,60x30x11cm</v>
          </cell>
        </row>
        <row r="13466">
          <cell r="B13466" t="str">
            <v>55-285-02-04</v>
          </cell>
          <cell r="C13466" t="str">
            <v>Wanne, marSafe,  l.grau, perf.,60x30x14cm</v>
          </cell>
          <cell r="D13466" t="str">
            <v>Bottom, marSafe,  l.grey,perf.,60x30x14cm</v>
          </cell>
        </row>
        <row r="13467">
          <cell r="B13467" t="str">
            <v>55-285-03-04</v>
          </cell>
          <cell r="C13467" t="str">
            <v>Wanne, marSafe,  l.grau, perf.,60x30x16cm</v>
          </cell>
          <cell r="D13467" t="str">
            <v>Bottom, marSafe,  l.grey,perf.,60x30x16cm</v>
          </cell>
        </row>
        <row r="13468">
          <cell r="B13468" t="str">
            <v>55-285-04-04</v>
          </cell>
          <cell r="C13468" t="str">
            <v>Wanne, marSafe,  l.grau, perf.,60x30x21cm</v>
          </cell>
          <cell r="D13468" t="str">
            <v>Bottom, marSafe,  l.grey,perf.,60x30x21cm</v>
          </cell>
        </row>
        <row r="13469">
          <cell r="B13469" t="str">
            <v>55-285-05-04</v>
          </cell>
          <cell r="C13469" t="str">
            <v>Wanne, marSafe,  l.grau, perf.,60x30x27cm</v>
          </cell>
          <cell r="D13469" t="str">
            <v>Bottom, marSafe,  l.grey,perf.,60x30x27cm</v>
          </cell>
        </row>
        <row r="13470">
          <cell r="B13470" t="str">
            <v>55-285-10-04</v>
          </cell>
          <cell r="C13470" t="str">
            <v>marSafe,  l.grau, perf., 60x30x11cm</v>
          </cell>
          <cell r="D13470" t="str">
            <v>marSafe,  l.grey, perf., 60x30x11cm</v>
          </cell>
        </row>
        <row r="13471">
          <cell r="B13471" t="str">
            <v>55-285-13-04</v>
          </cell>
          <cell r="C13471" t="str">
            <v>marSafe,  l.grau, perf., 60x30x14cm</v>
          </cell>
          <cell r="D13471" t="str">
            <v>marSafe,  l.grey, perf., 60x30x14cm</v>
          </cell>
        </row>
        <row r="13472">
          <cell r="B13472" t="str">
            <v>55-285-15-04</v>
          </cell>
          <cell r="C13472" t="str">
            <v>marSafe,  l.grau, perf., 60x30x16cm</v>
          </cell>
          <cell r="D13472" t="str">
            <v>marSafe,  l.grey, perf., 60x30x16cm</v>
          </cell>
        </row>
        <row r="13473">
          <cell r="B13473" t="str">
            <v>55-285-20-04</v>
          </cell>
          <cell r="C13473" t="str">
            <v>marSafe,  l.grau, perf., 60x30x21cm</v>
          </cell>
          <cell r="D13473" t="str">
            <v>marSafe,  l.grey, perf., 60x30x21cm</v>
          </cell>
        </row>
        <row r="13474">
          <cell r="B13474" t="str">
            <v>55-285-30-04</v>
          </cell>
          <cell r="C13474" t="str">
            <v>marSafe,  l.grau, perf., 60x30x27cm</v>
          </cell>
          <cell r="D13474" t="str">
            <v>marSafe,  l.grey, perf., 60x30x27cm</v>
          </cell>
        </row>
        <row r="13475">
          <cell r="B13475" t="str">
            <v>55-286-10-04</v>
          </cell>
          <cell r="C13475" t="str">
            <v>marSafe +, l.grau, 30x30x11cm</v>
          </cell>
          <cell r="D13475" t="str">
            <v>marSafe +, l.grey, 30x30x11cm</v>
          </cell>
        </row>
        <row r="13476">
          <cell r="B13476" t="str">
            <v>55-286-13-04</v>
          </cell>
          <cell r="C13476" t="str">
            <v>marSafe +, l.grau, 30x30x14cm</v>
          </cell>
          <cell r="D13476" t="str">
            <v>marSafe +, l.grey, 30x30x14cm</v>
          </cell>
        </row>
        <row r="13477">
          <cell r="B13477" t="str">
            <v>55-286-15-04</v>
          </cell>
          <cell r="C13477" t="str">
            <v>marSafe +, l.grau, 30x30x16cm</v>
          </cell>
          <cell r="D13477" t="str">
            <v>marSafe +, l.grey, 30x30x16cm</v>
          </cell>
        </row>
        <row r="13478">
          <cell r="B13478" t="str">
            <v>55-286-20-04</v>
          </cell>
          <cell r="C13478" t="str">
            <v>marSafe +, l.grau, 30x30x21cm</v>
          </cell>
          <cell r="D13478" t="str">
            <v>marSafe +, l.grey, 30x30x21cm</v>
          </cell>
        </row>
        <row r="13479">
          <cell r="B13479" t="str">
            <v>55-286-30-04</v>
          </cell>
          <cell r="C13479" t="str">
            <v>marSafe +, l.grau, 30x30x27cm</v>
          </cell>
          <cell r="D13479" t="str">
            <v>marSafe +, l.grey, 30x30x27cm</v>
          </cell>
        </row>
        <row r="13480">
          <cell r="B13480" t="str">
            <v>55-287-10-04</v>
          </cell>
          <cell r="C13480" t="str">
            <v>marSafe +, l.grau, 47x30x11cm</v>
          </cell>
          <cell r="D13480" t="str">
            <v>marSafe +, l.grey, 47x30x11cm</v>
          </cell>
        </row>
        <row r="13481">
          <cell r="B13481" t="str">
            <v>55-287-13-04</v>
          </cell>
          <cell r="C13481" t="str">
            <v>marSafe +, l.grau, 47x30x14cm</v>
          </cell>
          <cell r="D13481" t="str">
            <v>marSafe +, l.grey, 47x30x14cm</v>
          </cell>
        </row>
        <row r="13482">
          <cell r="B13482" t="str">
            <v>55-287-15-04</v>
          </cell>
          <cell r="C13482" t="str">
            <v>marSafe +, l.grau, 47x30x16cm</v>
          </cell>
          <cell r="D13482" t="str">
            <v>marSafe +, l.grey, 47x30x16cm</v>
          </cell>
        </row>
        <row r="13483">
          <cell r="B13483" t="str">
            <v>55-288-10-04</v>
          </cell>
          <cell r="C13483" t="str">
            <v>marSafe +, l.grau, 60x30x11cm</v>
          </cell>
          <cell r="D13483" t="str">
            <v>marSafe +, l.grey, 60x30x11cm</v>
          </cell>
        </row>
        <row r="13484">
          <cell r="B13484" t="str">
            <v>55-288-13-04</v>
          </cell>
          <cell r="C13484" t="str">
            <v>marSafe +, l.grau, 60x30x14cm</v>
          </cell>
          <cell r="D13484" t="str">
            <v>marSafe +, l.grey, 60x30x14cm</v>
          </cell>
        </row>
        <row r="13485">
          <cell r="B13485" t="str">
            <v>55-288-15-04</v>
          </cell>
          <cell r="C13485" t="str">
            <v>marSafe +, l.grau, 60x30x16cm</v>
          </cell>
          <cell r="D13485" t="str">
            <v>marSafe +, l.grey, 60x30x16cm</v>
          </cell>
        </row>
        <row r="13486">
          <cell r="B13486" t="str">
            <v>55-288-20-04</v>
          </cell>
          <cell r="C13486" t="str">
            <v>marSafe +, l.grau, 60x30x21cm</v>
          </cell>
          <cell r="D13486" t="str">
            <v>marSafe +, l.grey, 60x30x21cm</v>
          </cell>
        </row>
        <row r="13487">
          <cell r="B13487" t="str">
            <v>55-288-30-04</v>
          </cell>
          <cell r="C13487" t="str">
            <v>marSafe +, l.grau, 60x30x27cm</v>
          </cell>
          <cell r="D13487" t="str">
            <v>marSafe +, l.grey, 60x30x27cm</v>
          </cell>
        </row>
        <row r="13488">
          <cell r="B13488" t="str">
            <v>55-290-30-04</v>
          </cell>
          <cell r="C13488" t="str">
            <v>Deckel f. marSafe,  30x30 cm</v>
          </cell>
          <cell r="D13488" t="str">
            <v>Lid f. marSafe,  30x30 cm</v>
          </cell>
        </row>
        <row r="13489">
          <cell r="B13489" t="str">
            <v>55-290-47-04</v>
          </cell>
          <cell r="C13489" t="str">
            <v>Deckel f. marSafe,  47x30 cm</v>
          </cell>
          <cell r="D13489" t="str">
            <v>Lid f. marSafe,  47x30 cm</v>
          </cell>
        </row>
        <row r="13490">
          <cell r="B13490" t="str">
            <v>55-290-60-04</v>
          </cell>
          <cell r="C13490" t="str">
            <v>Deckel f. marSafe,  60x30 cm</v>
          </cell>
          <cell r="D13490" t="str">
            <v>Lid f. marSafe,  60x30 cm</v>
          </cell>
        </row>
        <row r="13491">
          <cell r="B13491" t="str">
            <v>55-290-99-04</v>
          </cell>
          <cell r="C13491" t="str">
            <v>Schutzdeckel f. marSafe</v>
          </cell>
          <cell r="D13491" t="str">
            <v>Safety lid, marSafe</v>
          </cell>
        </row>
        <row r="13492">
          <cell r="B13492" t="str">
            <v>55-291-01-04</v>
          </cell>
          <cell r="C13492" t="str">
            <v>Papierfilter, marSafe,  Ø190/6mm, 500 St.</v>
          </cell>
          <cell r="D13492" t="str">
            <v>Paper filter, marSafe,  Ø190/6mm, 500 pcs</v>
          </cell>
        </row>
        <row r="13493">
          <cell r="B13493" t="str">
            <v>55-291-13-04</v>
          </cell>
          <cell r="C13493" t="str">
            <v>Etikett,m.Ind.,dopp.kleb.,35x70mm,1000St</v>
          </cell>
          <cell r="D13493" t="str">
            <v>Label,w. ind.,doub.adh.,35x70mm,1000p.</v>
          </cell>
        </row>
        <row r="13494">
          <cell r="B13494" t="str">
            <v>55-292-00-04</v>
          </cell>
          <cell r="C13494" t="str">
            <v>MarSafe +, Barrieresystem</v>
          </cell>
          <cell r="D13494" t="str">
            <v>marSafe +, barrier system</v>
          </cell>
        </row>
        <row r="13495">
          <cell r="B13495" t="str">
            <v>55-292-30-04</v>
          </cell>
          <cell r="C13495" t="str">
            <v>Deckel f. marSafe +, 30x30 cm</v>
          </cell>
          <cell r="D13495" t="str">
            <v>Lid f. marSafe +, 30x30 cm</v>
          </cell>
        </row>
        <row r="13496">
          <cell r="B13496" t="str">
            <v>55-292-47-04</v>
          </cell>
          <cell r="C13496" t="str">
            <v>Deckel f. marSafe +, 47x30 cm</v>
          </cell>
          <cell r="D13496" t="str">
            <v>Lid f. marSafe +, 47x30 cm</v>
          </cell>
        </row>
        <row r="13497">
          <cell r="B13497" t="str">
            <v>55-292-60-04</v>
          </cell>
          <cell r="C13497" t="str">
            <v>Deckel f. marSafe +, 60x30 cm</v>
          </cell>
          <cell r="D13497" t="str">
            <v>Lid f. marSafe +, 60x30 cm</v>
          </cell>
        </row>
        <row r="13498">
          <cell r="B13498" t="str">
            <v>55-309-65-01</v>
          </cell>
          <cell r="C13498" t="str">
            <v>NADELDOSE, RUND, M. INNENDOSE, 67X18 MM</v>
          </cell>
          <cell r="D13498" t="str">
            <v>NEEDLE CASE, ROUND, CLOSED, 67X18 MM</v>
          </cell>
        </row>
        <row r="13499">
          <cell r="B13499" t="str">
            <v>55-310-65-01</v>
          </cell>
          <cell r="C13499" t="str">
            <v>INNENDOSE, RUND, GELOCHT,  Z. 55-309-65</v>
          </cell>
          <cell r="D13499" t="str">
            <v>NEEDLE CASE, ROUND, PERF., F. 55-309-65</v>
          </cell>
        </row>
        <row r="13500">
          <cell r="B13500" t="str">
            <v>55-335-02-01</v>
          </cell>
          <cell r="C13500" t="str">
            <v>NADELBOX, M. TLG., GEL., 150X95X13 MM</v>
          </cell>
          <cell r="D13500" t="str">
            <v>NEEDLE CASE, PERFORATED, 150X95X13 MM</v>
          </cell>
        </row>
        <row r="13501">
          <cell r="B13501" t="str">
            <v>55-337-02-01</v>
          </cell>
          <cell r="C13501" t="str">
            <v>NADELBOX, O. TLG., GEL., 150X95X13 MM</v>
          </cell>
          <cell r="D13501" t="str">
            <v>NEEDLE CASE, PERFORATED, 150X95X13 MM</v>
          </cell>
        </row>
        <row r="13502">
          <cell r="B13502" t="str">
            <v>55-440-01-04</v>
          </cell>
          <cell r="C13502" t="str">
            <v>Wanne, MS Cont., 30x30x11  cm, Griff,grau</v>
          </cell>
          <cell r="D13502" t="str">
            <v>Tub., Cont. MS., 30x30x11  cm,Handle,grey</v>
          </cell>
        </row>
        <row r="13503">
          <cell r="B13503" t="str">
            <v>55-440-02-04</v>
          </cell>
          <cell r="C13503" t="str">
            <v>Wanne, MS Cont., 30x30x14  cm, Griff,grau</v>
          </cell>
          <cell r="D13503" t="str">
            <v>Tub., Cont. MS., 30x30x14  cm,Handle,grey</v>
          </cell>
        </row>
        <row r="13504">
          <cell r="B13504" t="str">
            <v>55-440-03-04</v>
          </cell>
          <cell r="C13504" t="str">
            <v>Wanne, MS Cont., 30x30x16  cm, Griff,grau</v>
          </cell>
          <cell r="D13504" t="str">
            <v>Tub., Cont. MS., 30x30x16  cm,Handle,grey</v>
          </cell>
        </row>
        <row r="13505">
          <cell r="B13505" t="str">
            <v>55-440-04-04</v>
          </cell>
          <cell r="C13505" t="str">
            <v>Wanne, MS Cont., 30x30x21  cm, Griff,grau</v>
          </cell>
          <cell r="D13505" t="str">
            <v>Tub., Cont. MS., 30x30x21  cm,Handle,grey</v>
          </cell>
        </row>
        <row r="13506">
          <cell r="B13506" t="str">
            <v>55-440-05-04</v>
          </cell>
          <cell r="C13506" t="str">
            <v>Wanne, MS Cont., 30x30x27  cm, Griff,grau</v>
          </cell>
          <cell r="D13506" t="str">
            <v>Tub., Cont. MS., 30x30x27  cm,Handle,grey</v>
          </cell>
        </row>
        <row r="13507">
          <cell r="B13507" t="str">
            <v>55-440-10-04</v>
          </cell>
          <cell r="C13507" t="str">
            <v>MS-CONTAINER 30X30X11  CM, GRIFF GRAU</v>
          </cell>
          <cell r="D13507" t="str">
            <v>CONTAINER MS, 30X30X11  CM, HANDLE GREY</v>
          </cell>
        </row>
        <row r="13508">
          <cell r="B13508" t="str">
            <v>55-440-13-04</v>
          </cell>
          <cell r="C13508" t="str">
            <v>MS-CONTAINER 30X30X14  CM, GRIFF GRAU</v>
          </cell>
          <cell r="D13508" t="str">
            <v>CONTAINER MS, 30X30X14  CM, HANDLE GREY</v>
          </cell>
        </row>
        <row r="13509">
          <cell r="B13509" t="str">
            <v>55-440-15-04</v>
          </cell>
          <cell r="C13509" t="str">
            <v>MS-CONTAINER 30X30X16  CM, GRIFF GRAU</v>
          </cell>
          <cell r="D13509" t="str">
            <v>CONTAINER MS, 30X30X16  CM, HANDLE GREY</v>
          </cell>
        </row>
        <row r="13510">
          <cell r="B13510" t="str">
            <v>55-440-20-04</v>
          </cell>
          <cell r="C13510" t="str">
            <v>MS-CONTAINER 30X30X21  CM, GRIFF GRAU</v>
          </cell>
          <cell r="D13510" t="str">
            <v>CONTAINER MS, 30X30X21  CM, HANDLE GREY</v>
          </cell>
        </row>
        <row r="13511">
          <cell r="B13511" t="str">
            <v>55-440-30-04</v>
          </cell>
          <cell r="C13511" t="str">
            <v>MS-CONTAINER 30X30X27  CM, GRIFF GRAU</v>
          </cell>
          <cell r="D13511" t="str">
            <v>CONTAINER MS, 30X30X27  CM, HANDLE GREY</v>
          </cell>
        </row>
        <row r="13512">
          <cell r="B13512" t="str">
            <v>55-440-99-04</v>
          </cell>
          <cell r="C13512" t="str">
            <v>Deckel, MS II, 2018, 30x30 cm</v>
          </cell>
          <cell r="D13512" t="str">
            <v>Lid, MS II, 2018, 30x30 cm</v>
          </cell>
        </row>
        <row r="13513">
          <cell r="B13513" t="str">
            <v>55-441-01-04</v>
          </cell>
          <cell r="C13513" t="str">
            <v>Wanne, MS Cont., 47x30x11  cm, Griff,grau</v>
          </cell>
          <cell r="D13513" t="str">
            <v>Tub., Cont. MS., 47x30x11  cm,Handle,grey</v>
          </cell>
        </row>
        <row r="13514">
          <cell r="B13514" t="str">
            <v>55-441-02-04</v>
          </cell>
          <cell r="C13514" t="str">
            <v>Wanne, MS Cont., 47x30x14  cm, Griff,grau</v>
          </cell>
          <cell r="D13514" t="str">
            <v>Tub., Cont. MS., 47x30x14  cm,Handle,grey</v>
          </cell>
        </row>
        <row r="13515">
          <cell r="B13515" t="str">
            <v>55-441-03-04</v>
          </cell>
          <cell r="C13515" t="str">
            <v>Wanne, MS Cont., 47x30x16  cm, Griff,grau</v>
          </cell>
          <cell r="D13515" t="str">
            <v>Tub., Cont. MS., 47x30x16  cm,Handle,grey</v>
          </cell>
        </row>
        <row r="13516">
          <cell r="B13516" t="str">
            <v>55-441-10-04</v>
          </cell>
          <cell r="C13516" t="str">
            <v>MS-CONTAINER 47X30X11  CM, GRIFF GRAU</v>
          </cell>
          <cell r="D13516" t="str">
            <v>CONTAINER MS, 47X30X11  CM, HANDLE GREY</v>
          </cell>
        </row>
        <row r="13517">
          <cell r="B13517" t="str">
            <v>55-441-13-04</v>
          </cell>
          <cell r="C13517" t="str">
            <v>MS-CONTAINER 47X30X14  CM, GRIFF GRAU</v>
          </cell>
          <cell r="D13517" t="str">
            <v>CONTAINER MS, 47X30X14  CM, HANDLE GREY</v>
          </cell>
        </row>
        <row r="13518">
          <cell r="B13518" t="str">
            <v>55-441-15-04</v>
          </cell>
          <cell r="C13518" t="str">
            <v>MS-CONTAINER 47X30X16  CM, GRIFF GRAU</v>
          </cell>
          <cell r="D13518" t="str">
            <v>CONTAINER MS, 47X30X16  CM, HANDLE GREY</v>
          </cell>
        </row>
        <row r="13519">
          <cell r="B13519" t="str">
            <v>55-441-99-04</v>
          </cell>
          <cell r="C13519" t="str">
            <v>Deckel, MS II, 2018, 47x30 cm</v>
          </cell>
          <cell r="D13519" t="str">
            <v>Lid, MS II, 2018, 47x30 cm</v>
          </cell>
        </row>
        <row r="13520">
          <cell r="B13520" t="str">
            <v>55-442-01-04</v>
          </cell>
          <cell r="C13520" t="str">
            <v>Wanne, MS Cont., 60x30x11  cm, Griff,grau</v>
          </cell>
          <cell r="D13520" t="str">
            <v>Tub., Cont. MS., 60x30x11  cm,Handle,grey</v>
          </cell>
        </row>
        <row r="13521">
          <cell r="B13521" t="str">
            <v>55-442-02-04</v>
          </cell>
          <cell r="C13521" t="str">
            <v>Wanne, MS Cont., 60x30x14  cm, Griff,grau</v>
          </cell>
          <cell r="D13521" t="str">
            <v>Tub., Cont. MS., 60x30x14  cm,Handle,grey</v>
          </cell>
        </row>
        <row r="13522">
          <cell r="B13522" t="str">
            <v>55-442-03-04</v>
          </cell>
          <cell r="C13522" t="str">
            <v>Wanne, MS Cont., 60x30x16  cm, Griff,grau</v>
          </cell>
          <cell r="D13522" t="str">
            <v>Tub., Cont. MS., 60x30x16  cm,Handle,grey</v>
          </cell>
        </row>
        <row r="13523">
          <cell r="B13523" t="str">
            <v>55-442-04-04</v>
          </cell>
          <cell r="C13523" t="str">
            <v>Wanne, MS Cont., 60x30x21  cm, Griff,grau</v>
          </cell>
          <cell r="D13523" t="str">
            <v>Tub., Cont. MS., 60x30x21  cm,Handle,grey</v>
          </cell>
        </row>
        <row r="13524">
          <cell r="B13524" t="str">
            <v>55-442-05-04</v>
          </cell>
          <cell r="C13524" t="str">
            <v>Wanne, MS Cont., 60x30x27  cm, Griff,grau</v>
          </cell>
          <cell r="D13524" t="str">
            <v>Tub., Cont. MS., 60x30x27  cm,Handle,grey</v>
          </cell>
        </row>
        <row r="13525">
          <cell r="B13525" t="str">
            <v>55-442-10-04</v>
          </cell>
          <cell r="C13525" t="str">
            <v>MS-CONTAINER 60X30X11  CM, GRIFF GRAU</v>
          </cell>
          <cell r="D13525" t="str">
            <v>CONTAINER MS, 60X30X11  CM, HANDLE GREY</v>
          </cell>
        </row>
        <row r="13526">
          <cell r="B13526" t="str">
            <v>55-442-13-04</v>
          </cell>
          <cell r="C13526" t="str">
            <v>MS-CONTAINER 60X30X14  CM, GRIFF GRAU</v>
          </cell>
          <cell r="D13526" t="str">
            <v>CONTAINER MS, 60X30X14  CM, HANDLE GREY</v>
          </cell>
        </row>
        <row r="13527">
          <cell r="B13527" t="str">
            <v>55-442-15-04</v>
          </cell>
          <cell r="C13527" t="str">
            <v>MS-CONTAINER 60X30X16  CM, GRIFF GRAU</v>
          </cell>
          <cell r="D13527" t="str">
            <v>CONTAINER MS, 60X30X16  CM, HANDLE GREY</v>
          </cell>
        </row>
        <row r="13528">
          <cell r="B13528" t="str">
            <v>55-442-20-04</v>
          </cell>
          <cell r="C13528" t="str">
            <v>MS-CONTAINER 60X30X21  CM, GRIFF GRAU</v>
          </cell>
          <cell r="D13528" t="str">
            <v>CONTAINER MS, 60X30X21  CM, HANDLE GREY</v>
          </cell>
        </row>
        <row r="13529">
          <cell r="B13529" t="str">
            <v>55-442-30-04</v>
          </cell>
          <cell r="C13529" t="str">
            <v>MS-CONTAINER 60X30X27  CM, GRIFF GRAU</v>
          </cell>
          <cell r="D13529" t="str">
            <v>CONTAINER MS, 60X30X27  CM, HANDLE GREY</v>
          </cell>
        </row>
        <row r="13530">
          <cell r="B13530" t="str">
            <v>55-442-99-04</v>
          </cell>
          <cell r="C13530" t="str">
            <v>Deckel, MS II, 2018, 60x30 cm</v>
          </cell>
          <cell r="D13530" t="str">
            <v>Lid, MS II, 2018, 60x30 cm</v>
          </cell>
        </row>
        <row r="13531">
          <cell r="B13531" t="str">
            <v>55-600-01-04</v>
          </cell>
          <cell r="C13531" t="str">
            <v>Wanne, MS Cont., 30x30x11  cm, Griff, rot</v>
          </cell>
          <cell r="D13531" t="str">
            <v>Tub., Cont. MS., 30x30x11  cm,Handle, red</v>
          </cell>
        </row>
        <row r="13532">
          <cell r="B13532" t="str">
            <v>55-600-02-04</v>
          </cell>
          <cell r="C13532" t="str">
            <v>Wanne, MS Cont., 30x30x14  cm, Griff, rot</v>
          </cell>
          <cell r="D13532" t="str">
            <v>Tub., Cont. MS., 30x30x14  cm,Handle, red</v>
          </cell>
        </row>
        <row r="13533">
          <cell r="B13533" t="str">
            <v>55-600-03-04</v>
          </cell>
          <cell r="C13533" t="str">
            <v>Wanne, MS Cont., 30x30x16  cm, Griff, rot</v>
          </cell>
          <cell r="D13533" t="str">
            <v>Tub., Cont. MS., 30x30x16  cm,Handle, red</v>
          </cell>
        </row>
        <row r="13534">
          <cell r="B13534" t="str">
            <v>55-600-04-04</v>
          </cell>
          <cell r="C13534" t="str">
            <v>Wanne, MS Cont., 30x30x21  cm, Griff, rot</v>
          </cell>
          <cell r="D13534" t="str">
            <v>Tub., Cont. MS., 30x30x21  cm,Handle, red</v>
          </cell>
        </row>
        <row r="13535">
          <cell r="B13535" t="str">
            <v>55-600-05-04</v>
          </cell>
          <cell r="C13535" t="str">
            <v>Wanne, MS Cont., 30x30x27  cm, Griff, rot</v>
          </cell>
          <cell r="D13535" t="str">
            <v>Tub., Cont. MS., 30x30x27  cm,Handle, red</v>
          </cell>
        </row>
        <row r="13536">
          <cell r="B13536" t="str">
            <v>55-600-10-04</v>
          </cell>
          <cell r="C13536" t="str">
            <v>MS-CONTAINER 30X30X11  CM, GRIFF ROT</v>
          </cell>
          <cell r="D13536" t="str">
            <v>CONTAINER MS, 30X30X11  CM, HANDLE RED</v>
          </cell>
        </row>
        <row r="13537">
          <cell r="B13537" t="str">
            <v>55-600-13-04</v>
          </cell>
          <cell r="C13537" t="str">
            <v>MS-CONTAINER 30X30X14  CM, GRIFF ROT</v>
          </cell>
          <cell r="D13537" t="str">
            <v>CONTAINER MS, 30X30X14  CM, HANDLE RED</v>
          </cell>
        </row>
        <row r="13538">
          <cell r="B13538" t="str">
            <v>55-600-15-04</v>
          </cell>
          <cell r="C13538" t="str">
            <v>MS-CONTAINER 30X30X16  CM, GRIFF ROT</v>
          </cell>
          <cell r="D13538" t="str">
            <v>CONTAINER MS, 30X30X16  CM, HANDLE RED</v>
          </cell>
        </row>
        <row r="13539">
          <cell r="B13539" t="str">
            <v>55-600-20-04</v>
          </cell>
          <cell r="C13539" t="str">
            <v>MS-CONTAINER 30X30X21  CM, GRIFF ROT</v>
          </cell>
          <cell r="D13539" t="str">
            <v>CONTAINER MS, 30X30X21  CM, HANDLE RED</v>
          </cell>
        </row>
        <row r="13540">
          <cell r="B13540" t="str">
            <v>55-600-30-04</v>
          </cell>
          <cell r="C13540" t="str">
            <v>MS-CONTAINER 30X30X27  CM, GRIFF ROT</v>
          </cell>
          <cell r="D13540" t="str">
            <v>CONTAINER MS, 30X30X27  CM, HANDLE RED</v>
          </cell>
        </row>
        <row r="13541">
          <cell r="B13541" t="str">
            <v>55-601-01-04</v>
          </cell>
          <cell r="C13541" t="str">
            <v>Wanne, MS Cont., 47x30x11  cm, Griff, rot</v>
          </cell>
          <cell r="D13541" t="str">
            <v>Tub., Cont. MS., 47x30x11  cm,Handle, red</v>
          </cell>
        </row>
        <row r="13542">
          <cell r="B13542" t="str">
            <v>55-601-02-04</v>
          </cell>
          <cell r="C13542" t="str">
            <v>Wanne, MS Cont., 47x30x14  cm, Griff, rot</v>
          </cell>
          <cell r="D13542" t="str">
            <v>Tub., Cont. MS., 47x30x14  cm,Handle, red</v>
          </cell>
        </row>
        <row r="13543">
          <cell r="B13543" t="str">
            <v>55-601-03-04</v>
          </cell>
          <cell r="C13543" t="str">
            <v>Wanne, MS Cont., 47x30x16  cm, Griff, rot</v>
          </cell>
          <cell r="D13543" t="str">
            <v>Tub., Cont. MS., 47x30x16  cm,Handle, red</v>
          </cell>
        </row>
        <row r="13544">
          <cell r="B13544" t="str">
            <v>55-601-10-04</v>
          </cell>
          <cell r="C13544" t="str">
            <v>MS-CONTAINER 47X30X11  CM, GRIFF ROT</v>
          </cell>
          <cell r="D13544" t="str">
            <v>CONTAINER MS, 47X30X11  CM, HANDLE RED</v>
          </cell>
        </row>
        <row r="13545">
          <cell r="B13545" t="str">
            <v>55-601-13-04</v>
          </cell>
          <cell r="C13545" t="str">
            <v>MS-CONTAINER 47X30X14  CM, GRIFF ROT</v>
          </cell>
          <cell r="D13545" t="str">
            <v>CONTAINER MS, 47X30X14  CM, HANDLE RED</v>
          </cell>
        </row>
        <row r="13546">
          <cell r="B13546" t="str">
            <v>55-601-15-04</v>
          </cell>
          <cell r="C13546" t="str">
            <v>MS-CONTAINER 47X30X16  CM, GRIFF ROT</v>
          </cell>
          <cell r="D13546" t="str">
            <v>CONTAINER MS, 47X30X16  CM, HANDLE RED</v>
          </cell>
        </row>
        <row r="13547">
          <cell r="B13547" t="str">
            <v>55-602-01-04</v>
          </cell>
          <cell r="C13547" t="str">
            <v>Wanne, MS Cont., 60x30x11  cm, Griff, rot</v>
          </cell>
          <cell r="D13547" t="str">
            <v>Tub., Cont. MS., 60x30x11  cm,Handle, red</v>
          </cell>
        </row>
        <row r="13548">
          <cell r="B13548" t="str">
            <v>55-602-02-04</v>
          </cell>
          <cell r="C13548" t="str">
            <v>Wanne, MS Cont., 60x30x14  cm, Griff, rot</v>
          </cell>
          <cell r="D13548" t="str">
            <v>Tub., Cont. MS., 60x30x14  cm,Handle, red</v>
          </cell>
        </row>
        <row r="13549">
          <cell r="B13549" t="str">
            <v>55-602-03-04</v>
          </cell>
          <cell r="C13549" t="str">
            <v>Wanne, MS Cont., 60x30x16  cm, Griff, rot</v>
          </cell>
          <cell r="D13549" t="str">
            <v>Tub., Cont. MS., 60x30x16  cm,Handle, red</v>
          </cell>
        </row>
        <row r="13550">
          <cell r="B13550" t="str">
            <v>55-602-04-04</v>
          </cell>
          <cell r="C13550" t="str">
            <v>Wanne, MS Cont., 60x30x21  cm, Griff, rot</v>
          </cell>
          <cell r="D13550" t="str">
            <v>Tub., Cont. MS., 60x30x21  cm,Handle, red</v>
          </cell>
        </row>
        <row r="13551">
          <cell r="B13551" t="str">
            <v>55-602-05-04</v>
          </cell>
          <cell r="C13551" t="str">
            <v>Wanne, MS Cont., 60x30x27  cm, Griff, rot</v>
          </cell>
          <cell r="D13551" t="str">
            <v>Tub., Cont. MS., 60x30x27  cm,Handle, red</v>
          </cell>
        </row>
        <row r="13552">
          <cell r="B13552" t="str">
            <v>55-602-10-04</v>
          </cell>
          <cell r="C13552" t="str">
            <v>MS-CONTAINER 60X30X11  CM, GRIFF ROT</v>
          </cell>
          <cell r="D13552" t="str">
            <v>CONTAINER MS, 60X30X11  CM, HANDLE RED</v>
          </cell>
        </row>
        <row r="13553">
          <cell r="B13553" t="str">
            <v>55-602-13-04</v>
          </cell>
          <cell r="C13553" t="str">
            <v>MS-CONTAINER 60X30X14  CM, GRIFF ROT</v>
          </cell>
          <cell r="D13553" t="str">
            <v>CONTAINER MS, 60X30X14  CM, HANDLE RED</v>
          </cell>
        </row>
        <row r="13554">
          <cell r="B13554" t="str">
            <v>55-602-15-04</v>
          </cell>
          <cell r="C13554" t="str">
            <v>MS-CONTAINER 60X30X16  CM, GRIFF ROT</v>
          </cell>
          <cell r="D13554" t="str">
            <v>CONTAINER MS, 60X30X16  CM, HANDLE RED</v>
          </cell>
        </row>
        <row r="13555">
          <cell r="B13555" t="str">
            <v>55-602-20-04</v>
          </cell>
          <cell r="C13555" t="str">
            <v>MS-CONTAINER 60X30X21  CM, GRIFF ROT</v>
          </cell>
          <cell r="D13555" t="str">
            <v>CONTAINER MS, 60X30X21  CM, HANDLE RED</v>
          </cell>
        </row>
        <row r="13556">
          <cell r="B13556" t="str">
            <v>55-602-30-04</v>
          </cell>
          <cell r="C13556" t="str">
            <v>MS-CONTAINER 60X30X27  CM, GRIFF ROT</v>
          </cell>
          <cell r="D13556" t="str">
            <v>CONTAINER MS, 60X30X27  CM, HANDLE RED</v>
          </cell>
        </row>
        <row r="13557">
          <cell r="B13557" t="str">
            <v>55-610-01-04</v>
          </cell>
          <cell r="C13557" t="str">
            <v>Wanne, MS Cont., 30x30x11  cm, Griff,blau</v>
          </cell>
          <cell r="D13557" t="str">
            <v>Tub., Cont. MS., 30x30x11  cm,Handle,blue</v>
          </cell>
        </row>
        <row r="13558">
          <cell r="B13558" t="str">
            <v>55-610-02-04</v>
          </cell>
          <cell r="C13558" t="str">
            <v>Wanne, MS Cont., 30x30x14  cm, Griff,blau</v>
          </cell>
          <cell r="D13558" t="str">
            <v>Tub., Cont. MS., 30x30x14  cm,Handle,blue</v>
          </cell>
        </row>
        <row r="13559">
          <cell r="B13559" t="str">
            <v>55-610-03-04</v>
          </cell>
          <cell r="C13559" t="str">
            <v>Wanne, MS Cont., 30x30x16  cm, Griff,blau</v>
          </cell>
          <cell r="D13559" t="str">
            <v>Tub., Cont. MS., 30x30x16  cm,Handle,blue</v>
          </cell>
        </row>
        <row r="13560">
          <cell r="B13560" t="str">
            <v>55-610-04-04</v>
          </cell>
          <cell r="C13560" t="str">
            <v>Wanne, MS Cont., 30x30x21  cm, Griff,blau</v>
          </cell>
          <cell r="D13560" t="str">
            <v>Tub., Cont. MS., 30x30x21  cm,Handle,blue</v>
          </cell>
        </row>
        <row r="13561">
          <cell r="B13561" t="str">
            <v>55-610-05-04</v>
          </cell>
          <cell r="C13561" t="str">
            <v>Wanne, MS Cont., 30x30x27  cm, Griff,blau</v>
          </cell>
          <cell r="D13561" t="str">
            <v>Tub., Cont. MS., 30x30x27  cm,Handle,blue</v>
          </cell>
        </row>
        <row r="13562">
          <cell r="B13562" t="str">
            <v>55-610-10-04</v>
          </cell>
          <cell r="C13562" t="str">
            <v>MS-CONTAINER 30X30X11  CM, GRIFF BLAU</v>
          </cell>
          <cell r="D13562" t="str">
            <v>CONTAINER MS, 30X30X11  CM, HANDLE BLUE</v>
          </cell>
        </row>
        <row r="13563">
          <cell r="B13563" t="str">
            <v>55-610-13-04</v>
          </cell>
          <cell r="C13563" t="str">
            <v>MS-CONTAINER 30X30X14  CM, GRIFF BLAU</v>
          </cell>
          <cell r="D13563" t="str">
            <v>CONTAINER MS, 30X30X14  CM, HANDLE BLUE</v>
          </cell>
        </row>
        <row r="13564">
          <cell r="B13564" t="str">
            <v>55-610-15-04</v>
          </cell>
          <cell r="C13564" t="str">
            <v>MS-CONTAINER 30X30X16  CM, GRIFF BLAU</v>
          </cell>
          <cell r="D13564" t="str">
            <v>CONTAINER MS, 30X30X16  CM, HANDLE BLUE</v>
          </cell>
        </row>
        <row r="13565">
          <cell r="B13565" t="str">
            <v>55-610-20-04</v>
          </cell>
          <cell r="C13565" t="str">
            <v>MS-CONTAINER 30X30X21  CM, GRIFF BLAU</v>
          </cell>
          <cell r="D13565" t="str">
            <v>CONTAINER MS, 30X30X21  CM, HANDLE BLUE</v>
          </cell>
        </row>
        <row r="13566">
          <cell r="B13566" t="str">
            <v>55-610-30-04</v>
          </cell>
          <cell r="C13566" t="str">
            <v>MS-CONTAINER 30X30X27  CM, GRIFF BLAU</v>
          </cell>
          <cell r="D13566" t="str">
            <v>CONTAINER MS, 30X30X27  CM, HANDLE BLUE</v>
          </cell>
        </row>
        <row r="13567">
          <cell r="B13567" t="str">
            <v>55-611-01-04</v>
          </cell>
          <cell r="C13567" t="str">
            <v>Wanne, MS Cont., 47x30x11  cm, Griff,blau</v>
          </cell>
          <cell r="D13567" t="str">
            <v>Tub., Cont. MS., 47x30x11  cm,Handle,blue</v>
          </cell>
        </row>
        <row r="13568">
          <cell r="B13568" t="str">
            <v>55-611-02-04</v>
          </cell>
          <cell r="C13568" t="str">
            <v>Wanne, MS Cont., 47x30x14  cm, Griff,blau</v>
          </cell>
          <cell r="D13568" t="str">
            <v>Tub., Cont. MS., 47x30x14  cm,Handle,blue</v>
          </cell>
        </row>
        <row r="13569">
          <cell r="B13569" t="str">
            <v>55-611-03-04</v>
          </cell>
          <cell r="C13569" t="str">
            <v>Wanne, MS Cont., 47x30x16  cm, Griff,blau</v>
          </cell>
          <cell r="D13569" t="str">
            <v>Tub., Cont. MS., 47x30x16  cm,Handle,blue</v>
          </cell>
        </row>
        <row r="13570">
          <cell r="B13570" t="str">
            <v>55-611-10-04</v>
          </cell>
          <cell r="C13570" t="str">
            <v>MS-CONTAINER 47X30X11  CM, GRIFF BLAU</v>
          </cell>
          <cell r="D13570" t="str">
            <v>CONTAINER MS, 47X30X11  CM, HANDLE BLUE</v>
          </cell>
        </row>
        <row r="13571">
          <cell r="B13571" t="str">
            <v>55-611-13-04</v>
          </cell>
          <cell r="C13571" t="str">
            <v>MS-CONTAINER 47X30X14  CM, GRIFF BLAU</v>
          </cell>
          <cell r="D13571" t="str">
            <v>CONTAINER MS, 47X30X14  CM, HANDLE BLUE</v>
          </cell>
        </row>
        <row r="13572">
          <cell r="B13572" t="str">
            <v>55-611-15-04</v>
          </cell>
          <cell r="C13572" t="str">
            <v>MS-CONTAINER 47X30X16  CM, GRIFF BLAU</v>
          </cell>
          <cell r="D13572" t="str">
            <v>CONTAINER MS, 47X30X16  CM, HANDLE BLUE</v>
          </cell>
        </row>
        <row r="13573">
          <cell r="B13573" t="str">
            <v>55-612-01-04</v>
          </cell>
          <cell r="C13573" t="str">
            <v>Wanne, MS Cont., 60x30x11  cm, Griff,blau</v>
          </cell>
          <cell r="D13573" t="str">
            <v>Tub., Cont. MS., 60x30x11  cm,Handle,blue</v>
          </cell>
        </row>
        <row r="13574">
          <cell r="B13574" t="str">
            <v>55-612-02-04</v>
          </cell>
          <cell r="C13574" t="str">
            <v>Wanne, MS Cont., 60x30x14  cm, Griff,blau</v>
          </cell>
          <cell r="D13574" t="str">
            <v>Tub., Cont. MS., 60x30x14  cm,Handle,blue</v>
          </cell>
        </row>
        <row r="13575">
          <cell r="B13575" t="str">
            <v>55-612-03-04</v>
          </cell>
          <cell r="C13575" t="str">
            <v>Wanne, MS Cont., 60x30x16  cm, Griff,blau</v>
          </cell>
          <cell r="D13575" t="str">
            <v>Tub., Cont. MS., 60x30x16  cm,Handle,blue</v>
          </cell>
        </row>
        <row r="13576">
          <cell r="B13576" t="str">
            <v>55-612-04-04</v>
          </cell>
          <cell r="C13576" t="str">
            <v>Wanne, MS Cont., 60x30x21  cm, Griff,blau</v>
          </cell>
          <cell r="D13576" t="str">
            <v>Tub., Cont. MS., 60x30x21  cm,Handle,blue</v>
          </cell>
        </row>
        <row r="13577">
          <cell r="B13577" t="str">
            <v>55-612-05-04</v>
          </cell>
          <cell r="C13577" t="str">
            <v>Wanne, MS Cont., 60x30x27  cm, Griff,blau</v>
          </cell>
          <cell r="D13577" t="str">
            <v>Tub., Cont. MS., 60x30x27  cm,Handle,blue</v>
          </cell>
        </row>
        <row r="13578">
          <cell r="B13578" t="str">
            <v>55-612-10-04</v>
          </cell>
          <cell r="C13578" t="str">
            <v>MS-CONTAINER 60X30X11  CM, GRIFF BLAU</v>
          </cell>
          <cell r="D13578" t="str">
            <v>CONTAINER MS, 60X30X11  CM, HANDLE BLUE</v>
          </cell>
        </row>
        <row r="13579">
          <cell r="B13579" t="str">
            <v>55-612-13-04</v>
          </cell>
          <cell r="C13579" t="str">
            <v>MS-CONTAINER 60X30X14  CM, GRIFF BLAU</v>
          </cell>
          <cell r="D13579" t="str">
            <v>CONTAINER MS, 60X30X14  CM, HANDLE BLUE</v>
          </cell>
        </row>
        <row r="13580">
          <cell r="B13580" t="str">
            <v>55-612-15-04</v>
          </cell>
          <cell r="C13580" t="str">
            <v>MS-CONTAINER 60X30X16  CM, GRIFF BLAU</v>
          </cell>
          <cell r="D13580" t="str">
            <v>CONTAINER MS, 60X30X16  CM, HANDLE BLUE</v>
          </cell>
        </row>
        <row r="13581">
          <cell r="B13581" t="str">
            <v>55-612-20-04</v>
          </cell>
          <cell r="C13581" t="str">
            <v>MS-CONTAINER 60X30X21  CM, GRIFF BLAU</v>
          </cell>
          <cell r="D13581" t="str">
            <v>CONTAINER MS, 60X30X21  CM, HANDLE BLUE</v>
          </cell>
        </row>
        <row r="13582">
          <cell r="B13582" t="str">
            <v>55-612-30-04</v>
          </cell>
          <cell r="C13582" t="str">
            <v>MS-CONTAINER 60X30X27  CM, GRIFF BLAU</v>
          </cell>
          <cell r="D13582" t="str">
            <v>CONTAINER MS, 60X30X27  CM, HANDLE BLUE</v>
          </cell>
        </row>
        <row r="13583">
          <cell r="B13583" t="str">
            <v>55-620-01-04</v>
          </cell>
          <cell r="C13583" t="str">
            <v>Wanne, MS Cont.,30x30x11 cm,Griff,orange</v>
          </cell>
          <cell r="D13583" t="str">
            <v>Tub., Cont. MS.,30x30x11cm,Handle,orange</v>
          </cell>
        </row>
        <row r="13584">
          <cell r="B13584" t="str">
            <v>55-620-02-04</v>
          </cell>
          <cell r="C13584" t="str">
            <v>Wanne, MS Cont.,30x30x14 cm,Griff,orange</v>
          </cell>
          <cell r="D13584" t="str">
            <v>Tub., Cont. MS.,30x30x14cm,Handle,orange</v>
          </cell>
        </row>
        <row r="13585">
          <cell r="B13585" t="str">
            <v>55-620-03-04</v>
          </cell>
          <cell r="C13585" t="str">
            <v>Wanne, MS Cont.,30x30x16 cm,Griff,orange</v>
          </cell>
          <cell r="D13585" t="str">
            <v>Tub., Cont. MS.,30x30x16cm,Handle,orange</v>
          </cell>
        </row>
        <row r="13586">
          <cell r="B13586" t="str">
            <v>55-620-04-04</v>
          </cell>
          <cell r="C13586" t="str">
            <v>Wanne, MS Cont.,30x30x21 cm,Griff,orange</v>
          </cell>
          <cell r="D13586" t="str">
            <v>Tub., Cont. MS.,30x30x21cm,Handle,orange</v>
          </cell>
        </row>
        <row r="13587">
          <cell r="B13587" t="str">
            <v>55-620-05-04</v>
          </cell>
          <cell r="C13587" t="str">
            <v>Wanne, MS Cont.,30x30x27 cm,Griff,orange</v>
          </cell>
          <cell r="D13587" t="str">
            <v>Tub., Cont. MS.,30x30x27cm,Handle,orange</v>
          </cell>
        </row>
        <row r="13588">
          <cell r="B13588" t="str">
            <v>55-620-10-04</v>
          </cell>
          <cell r="C13588" t="str">
            <v>MS-CONTAINER 30X30X11  CM, GRIFF ORANGE</v>
          </cell>
          <cell r="D13588" t="str">
            <v>CONTAINER MS, 30X30X11  CM, HANDLE ORANGE</v>
          </cell>
        </row>
        <row r="13589">
          <cell r="B13589" t="str">
            <v>55-620-13-04</v>
          </cell>
          <cell r="C13589" t="str">
            <v>MS-CONTAINER 30X30X14  CM, GRIFF ORANGE</v>
          </cell>
          <cell r="D13589" t="str">
            <v>CONTAINER MS, 30X30X14  CM, HANDLE ORANGE</v>
          </cell>
        </row>
        <row r="13590">
          <cell r="B13590" t="str">
            <v>55-620-15-04</v>
          </cell>
          <cell r="C13590" t="str">
            <v>MS-CONTAINER 30X30X16  CM, GRIFF ORANGE</v>
          </cell>
          <cell r="D13590" t="str">
            <v>CONTAINER MS, 30X30X16  CM, HANDLE ORANGE</v>
          </cell>
        </row>
        <row r="13591">
          <cell r="B13591" t="str">
            <v>55-620-20-04</v>
          </cell>
          <cell r="C13591" t="str">
            <v>MS-CONTAINER 30X30X21  CM, GRIFF ORANGE</v>
          </cell>
          <cell r="D13591" t="str">
            <v>CONTAINER MS, 30X30X21  CM, HANDLE ORANGE</v>
          </cell>
        </row>
        <row r="13592">
          <cell r="B13592" t="str">
            <v>55-620-30-04</v>
          </cell>
          <cell r="C13592" t="str">
            <v>MS-CONTAINER 30X30X27  CM, GRIFF ORANGE</v>
          </cell>
          <cell r="D13592" t="str">
            <v>CONTAINER MS, 30X30X27  CM, HANDLE ORANGE</v>
          </cell>
        </row>
        <row r="13593">
          <cell r="B13593" t="str">
            <v>55-621-01-04</v>
          </cell>
          <cell r="C13593" t="str">
            <v>Wanne, MS Cont., 47x30x11cm,Griff,orange</v>
          </cell>
          <cell r="D13593" t="str">
            <v>Tub., Cont. MS.,47x30x11cm,Handle,orange</v>
          </cell>
        </row>
        <row r="13594">
          <cell r="B13594" t="str">
            <v>55-621-02-04</v>
          </cell>
          <cell r="C13594" t="str">
            <v>Wanne, MS Cont., 47x30x14cm,Griff,orange</v>
          </cell>
          <cell r="D13594" t="str">
            <v>Tub., Cont. MS.,47x30x14cm,Handle,orange</v>
          </cell>
        </row>
        <row r="13595">
          <cell r="B13595" t="str">
            <v>55-621-03-04</v>
          </cell>
          <cell r="C13595" t="str">
            <v>Wanne, MS Cont., 47x30x16cm,Griff,orange</v>
          </cell>
          <cell r="D13595" t="str">
            <v>Tub., Cont. MS.,47x30x16cm,Handle,orange</v>
          </cell>
        </row>
        <row r="13596">
          <cell r="B13596" t="str">
            <v>55-621-10-04</v>
          </cell>
          <cell r="C13596" t="str">
            <v>MS-CONTAINER 47X30X11  CM, GRIFF ORANGE</v>
          </cell>
          <cell r="D13596" t="str">
            <v>CONTAINER MS, 47X30X11  CM, HANDLE ORANGE</v>
          </cell>
        </row>
        <row r="13597">
          <cell r="B13597" t="str">
            <v>55-621-13-04</v>
          </cell>
          <cell r="C13597" t="str">
            <v>MS-CONTAINER 47X30X14  CM, GRIFF ORANGE</v>
          </cell>
          <cell r="D13597" t="str">
            <v>CONTAINER MS, 47X30X14  CM, HANDLE ORANGE</v>
          </cell>
        </row>
        <row r="13598">
          <cell r="B13598" t="str">
            <v>55-621-15-04</v>
          </cell>
          <cell r="C13598" t="str">
            <v>MS-CONTAINER 47X30X16  CM, GRIFF ORANGE</v>
          </cell>
          <cell r="D13598" t="str">
            <v>CONTAINER MS, 47X30X16  CM, HANDLE ORANGE</v>
          </cell>
        </row>
        <row r="13599">
          <cell r="B13599" t="str">
            <v>55-622-01-04</v>
          </cell>
          <cell r="C13599" t="str">
            <v>Wanne, MS Cont., 60x30x11cm,Griff,orange</v>
          </cell>
          <cell r="D13599" t="str">
            <v>Tub., Cont. MS.,60x30x11cm,Handle,orange</v>
          </cell>
        </row>
        <row r="13600">
          <cell r="B13600" t="str">
            <v>55-622-02-04</v>
          </cell>
          <cell r="C13600" t="str">
            <v>Wanne, MS Cont., 60x30x14cm,Griff,orange</v>
          </cell>
          <cell r="D13600" t="str">
            <v>Tub., Cont. MS.,60x30x14cm,Handle,orange</v>
          </cell>
        </row>
        <row r="13601">
          <cell r="B13601" t="str">
            <v>55-622-03-04</v>
          </cell>
          <cell r="C13601" t="str">
            <v>Wanne, MS Cont., 60x30x16cm,Griff,orange</v>
          </cell>
          <cell r="D13601" t="str">
            <v>Tub., Cont. MS.,60x30x16cm,Handle,orange</v>
          </cell>
        </row>
        <row r="13602">
          <cell r="B13602" t="str">
            <v>55-622-04-04</v>
          </cell>
          <cell r="C13602" t="str">
            <v>Wanne, MS Cont., 60x30x21cm,Griff,orange</v>
          </cell>
          <cell r="D13602" t="str">
            <v>Tub., Cont. MS.,60x30x21cm,Handle,orange</v>
          </cell>
        </row>
        <row r="13603">
          <cell r="B13603" t="str">
            <v>55-622-05-04</v>
          </cell>
          <cell r="C13603" t="str">
            <v>Wanne, MS Cont., 60x30x27cm,Griff,orange</v>
          </cell>
          <cell r="D13603" t="str">
            <v>Tub., Cont. MS.,60x30x27cm,Handle,orange</v>
          </cell>
        </row>
        <row r="13604">
          <cell r="B13604" t="str">
            <v>55-622-10-04</v>
          </cell>
          <cell r="C13604" t="str">
            <v>MS-CONTAINER 60X30X11  CM, GRIFF ORANGE</v>
          </cell>
          <cell r="D13604" t="str">
            <v>CONTAINER MS, 60X30X11  CM, HANDLE ORANGE</v>
          </cell>
        </row>
        <row r="13605">
          <cell r="B13605" t="str">
            <v>55-622-13-04</v>
          </cell>
          <cell r="C13605" t="str">
            <v>MS-CONTAINER 60X30X14  CM, GRIFF ORANGE</v>
          </cell>
          <cell r="D13605" t="str">
            <v>CONTAINER MS, 60X30X14  CM, HANDLE ORANGE</v>
          </cell>
        </row>
        <row r="13606">
          <cell r="B13606" t="str">
            <v>55-622-15-04</v>
          </cell>
          <cell r="C13606" t="str">
            <v>MS-CONTAINER 60X30X16  CM, GRIFF ORANGE</v>
          </cell>
          <cell r="D13606" t="str">
            <v>CONTAINER MS, 60X30X16  CM, HANDLE ORANGE</v>
          </cell>
        </row>
        <row r="13607">
          <cell r="B13607" t="str">
            <v>55-622-20-04</v>
          </cell>
          <cell r="C13607" t="str">
            <v>MS-CONTAINER 60X30X21  CM, GRIFF ORANGE</v>
          </cell>
          <cell r="D13607" t="str">
            <v>CONTAINER MS, 60X30X21  CM, HANDLE ORANGE</v>
          </cell>
        </row>
        <row r="13608">
          <cell r="B13608" t="str">
            <v>55-622-30-04</v>
          </cell>
          <cell r="C13608" t="str">
            <v>MS-CONTAINER 60X30X27  CM, GRIFF ORANGE</v>
          </cell>
          <cell r="D13608" t="str">
            <v>CONTAINER MS, 60X30X27  CM, HANDLE ORANGE</v>
          </cell>
        </row>
        <row r="13609">
          <cell r="B13609" t="str">
            <v>55-630-01-04</v>
          </cell>
          <cell r="C13609" t="str">
            <v>Wanne, MS Cont., 30x30x11  cm,Griff, grün</v>
          </cell>
          <cell r="D13609" t="str">
            <v>Tub., Cont. MS.,30x30x11cm,Handle, green</v>
          </cell>
        </row>
        <row r="13610">
          <cell r="B13610" t="str">
            <v>55-630-02-04</v>
          </cell>
          <cell r="C13610" t="str">
            <v>Wanne, MS Cont., 30x30x14  cm,Griff, grün</v>
          </cell>
          <cell r="D13610" t="str">
            <v>Tub., Cont. MS.,30x30x14cm,Handle, green</v>
          </cell>
        </row>
        <row r="13611">
          <cell r="B13611" t="str">
            <v>55-630-03-04</v>
          </cell>
          <cell r="C13611" t="str">
            <v>Wanne, MS Cont., 30x30x16  cm,Griff, grün</v>
          </cell>
          <cell r="D13611" t="str">
            <v>Tub., Cont. MS.,30x30x16cm,Handle, green</v>
          </cell>
        </row>
        <row r="13612">
          <cell r="B13612" t="str">
            <v>55-630-04-04</v>
          </cell>
          <cell r="C13612" t="str">
            <v>Wanne, MS Cont., 30x30x21  cm,Griff, grün</v>
          </cell>
          <cell r="D13612" t="str">
            <v>Tub., Cont. MS.,30x30x21cm,Handle, green</v>
          </cell>
        </row>
        <row r="13613">
          <cell r="B13613" t="str">
            <v>55-630-05-04</v>
          </cell>
          <cell r="C13613" t="str">
            <v>Wanne, MS Cont., 30x30x27  cm,Griff, grün</v>
          </cell>
          <cell r="D13613" t="str">
            <v>Tub., Cont. MS.,30x30x27cm,Handle, green</v>
          </cell>
        </row>
        <row r="13614">
          <cell r="B13614" t="str">
            <v>55-630-10-04</v>
          </cell>
          <cell r="C13614" t="str">
            <v>MS-CONTAINER 30X30X11  CM, GRIFF GRÜN</v>
          </cell>
          <cell r="D13614" t="str">
            <v>CONTAINER MS, 30X30X11  CM, HANDLE GREEN</v>
          </cell>
        </row>
        <row r="13615">
          <cell r="B13615" t="str">
            <v>55-630-13-04</v>
          </cell>
          <cell r="C13615" t="str">
            <v>MS-CONTAINER 30X30X14  CM, GRIFF GRÜN</v>
          </cell>
          <cell r="D13615" t="str">
            <v>CONTAINER MS, 30X30X14  CM, HANDLE GREEN</v>
          </cell>
        </row>
        <row r="13616">
          <cell r="B13616" t="str">
            <v>55-630-15-04</v>
          </cell>
          <cell r="C13616" t="str">
            <v>MS-CONTAINER 30X30X16  CM, GRIFF GRÜN</v>
          </cell>
          <cell r="D13616" t="str">
            <v>CONTAINER MS, 30X30X16  CM, HANDLE GREEN</v>
          </cell>
        </row>
        <row r="13617">
          <cell r="B13617" t="str">
            <v>55-630-20-04</v>
          </cell>
          <cell r="C13617" t="str">
            <v>MS-CONTAINER 30X30X21  CM, GRIFF GRÜN</v>
          </cell>
          <cell r="D13617" t="str">
            <v>CONTAINER MS, 30X30X21  CM, HANDLE GREEN</v>
          </cell>
        </row>
        <row r="13618">
          <cell r="B13618" t="str">
            <v>55-630-30-04</v>
          </cell>
          <cell r="C13618" t="str">
            <v>MS-CONTAINER 30X30X27  CM, GRIFF GRÜN</v>
          </cell>
          <cell r="D13618" t="str">
            <v>CONTAINER MS, 30X30X27  CM, HANDLE GREEN</v>
          </cell>
        </row>
        <row r="13619">
          <cell r="B13619" t="str">
            <v>55-631-01-04</v>
          </cell>
          <cell r="C13619" t="str">
            <v>Wanne, MS Cont., 47x30x11  cm,Griff, grün</v>
          </cell>
          <cell r="D13619" t="str">
            <v>Tub., Cont. MS.,47x30x11cm,Handle, green</v>
          </cell>
        </row>
        <row r="13620">
          <cell r="B13620" t="str">
            <v>55-631-02-04</v>
          </cell>
          <cell r="C13620" t="str">
            <v>Wanne, MS Cont., 47x30x14  cm,Griff, grün</v>
          </cell>
          <cell r="D13620" t="str">
            <v>Tub., Cont. MS.,47x30x14cm,Handle, green</v>
          </cell>
        </row>
        <row r="13621">
          <cell r="B13621" t="str">
            <v>55-631-03-04</v>
          </cell>
          <cell r="C13621" t="str">
            <v>Wanne, MS Cont., 47x30x16  cm,Griff, grün</v>
          </cell>
          <cell r="D13621" t="str">
            <v>Tub., Cont. MS.,47x30x16cm,Handle, green</v>
          </cell>
        </row>
        <row r="13622">
          <cell r="B13622" t="str">
            <v>55-631-10-04</v>
          </cell>
          <cell r="C13622" t="str">
            <v>MS-CONTAINER 47X30X11  CM, GRIFF GRÜN</v>
          </cell>
          <cell r="D13622" t="str">
            <v>CONTAINER MS, 47X30X11  CM, HANDLE GREEN</v>
          </cell>
        </row>
        <row r="13623">
          <cell r="B13623" t="str">
            <v>55-631-13-04</v>
          </cell>
          <cell r="C13623" t="str">
            <v>MS-CONTAINER 47X30X14  CM, GRIFF GRÜN</v>
          </cell>
          <cell r="D13623" t="str">
            <v>CONTAINER MS, 47X30X14  CM, HANDLE GREEN</v>
          </cell>
        </row>
        <row r="13624">
          <cell r="B13624" t="str">
            <v>55-631-15-04</v>
          </cell>
          <cell r="C13624" t="str">
            <v>MS-CONTAINER 47X30X16  CM, GRIFF GRÜN</v>
          </cell>
          <cell r="D13624" t="str">
            <v>CONTAINER MS, 47X30X16  CM, HANDLE GREEN</v>
          </cell>
        </row>
        <row r="13625">
          <cell r="B13625" t="str">
            <v>55-632-01-04</v>
          </cell>
          <cell r="C13625" t="str">
            <v>Wanne, MS Cont., 60x30x11  cm,Griff, grün</v>
          </cell>
          <cell r="D13625" t="str">
            <v>Tub., Cont. MS.,60x30x11cm,Handle, green</v>
          </cell>
        </row>
        <row r="13626">
          <cell r="B13626" t="str">
            <v>55-632-02-04</v>
          </cell>
          <cell r="C13626" t="str">
            <v>Wanne, MS Cont., 60x30x14  cm,Griff, grün</v>
          </cell>
          <cell r="D13626" t="str">
            <v>Tub., Cont. MS.,60x30x14cm,Handle, green</v>
          </cell>
        </row>
        <row r="13627">
          <cell r="B13627" t="str">
            <v>55-632-03-04</v>
          </cell>
          <cell r="C13627" t="str">
            <v>Wanne, MS Cont., 60x30x16  cm,Griff, grün</v>
          </cell>
          <cell r="D13627" t="str">
            <v>Tub., Cont. MS.,60x30x16cm,Handle, green</v>
          </cell>
        </row>
        <row r="13628">
          <cell r="B13628" t="str">
            <v>55-632-04-04</v>
          </cell>
          <cell r="C13628" t="str">
            <v>Wanne, MS Cont., 60x30x21  cm,Griff, grün</v>
          </cell>
          <cell r="D13628" t="str">
            <v>Tub., Cont. MS.,60x30x21cm,Handle, green</v>
          </cell>
        </row>
        <row r="13629">
          <cell r="B13629" t="str">
            <v>55-632-05-04</v>
          </cell>
          <cell r="C13629" t="str">
            <v>Wanne, MS Cont., 60x30x27  cm,Griff, grün</v>
          </cell>
          <cell r="D13629" t="str">
            <v>Tub., Cont. MS.,60x30x27cm,Handle, green</v>
          </cell>
        </row>
        <row r="13630">
          <cell r="B13630" t="str">
            <v>55-632-10-04</v>
          </cell>
          <cell r="C13630" t="str">
            <v>MS-CONTAINER 60X30X11  CM, GRIFF GRÜN</v>
          </cell>
          <cell r="D13630" t="str">
            <v>CONTAINER MS, 60X30X11  CM, HANDLE GREEN</v>
          </cell>
        </row>
        <row r="13631">
          <cell r="B13631" t="str">
            <v>55-632-13-04</v>
          </cell>
          <cell r="C13631" t="str">
            <v>MS-CONTAINER 60X30X14  CM, GRIFF GRÜN</v>
          </cell>
          <cell r="D13631" t="str">
            <v>CONTAINER MS, 60X30X14  CM, HANDLE GREEN</v>
          </cell>
        </row>
        <row r="13632">
          <cell r="B13632" t="str">
            <v>55-632-15-04</v>
          </cell>
          <cell r="C13632" t="str">
            <v>MS-CONTAINER 60X30X16  CM, GRIFF GRÜN</v>
          </cell>
          <cell r="D13632" t="str">
            <v>CONTAINER MS, 60X30X16  CM, HANDLE GREEN</v>
          </cell>
        </row>
        <row r="13633">
          <cell r="B13633" t="str">
            <v>55-632-20-04</v>
          </cell>
          <cell r="C13633" t="str">
            <v>MS-CONTAINER 60X30X21  CM, GRIFF GRÜN</v>
          </cell>
          <cell r="D13633" t="str">
            <v>CONTAINER MS, 60X30X21  CM, HANDLE GREEN</v>
          </cell>
        </row>
        <row r="13634">
          <cell r="B13634" t="str">
            <v>55-632-30-04</v>
          </cell>
          <cell r="C13634" t="str">
            <v>MS-CONTAINER 60X30X27  CM, GRIFF GRÜN</v>
          </cell>
          <cell r="D13634" t="str">
            <v>CONTAINER MS, 60X30X27  CM, HANDLE GREEN</v>
          </cell>
        </row>
        <row r="13635">
          <cell r="B13635" t="str">
            <v>55-730-00-01</v>
          </cell>
          <cell r="C13635" t="str">
            <v>BOHRDRAHTSPENDER,Ø1,0-1,6 MM, 12 CM</v>
          </cell>
          <cell r="D13635" t="str">
            <v>K-WIRE DISPENSER,Ø 1.0-1.6 MM, 12 CM</v>
          </cell>
        </row>
        <row r="13636">
          <cell r="B13636" t="str">
            <v>55-730-00-21</v>
          </cell>
          <cell r="C13636" t="str">
            <v>BOHRDRAHTSPENDER,12CM, 0,8/1,0/1,2/1,5MM</v>
          </cell>
          <cell r="D13636" t="str">
            <v>WIRE DISPENSER, 12CM, 0.8/1.0/1.2/1.5MM</v>
          </cell>
        </row>
        <row r="13637">
          <cell r="B13637" t="str">
            <v>55-730-16-01</v>
          </cell>
          <cell r="C13637" t="str">
            <v>BOHRDRAHTSPENDER, Ø 1,0-1,6 MM, 18,5 CM</v>
          </cell>
          <cell r="D13637" t="str">
            <v>K-WIRE DISPENSER, Ø 1.0-1.6 MM, 18.5 CM</v>
          </cell>
        </row>
        <row r="13638">
          <cell r="B13638" t="str">
            <v>55-730-31-01</v>
          </cell>
          <cell r="C13638" t="str">
            <v>BOHRDRAHTSPENDER, Ø 1,0-1,6 MM, 35 CM</v>
          </cell>
          <cell r="D13638" t="str">
            <v>K-WIRE DISPENSER, Ø 1.0-1.6 MM, 35 CM</v>
          </cell>
        </row>
        <row r="13639">
          <cell r="B13639" t="str">
            <v>55-731-16-01</v>
          </cell>
          <cell r="C13639" t="str">
            <v>BOHRDRAHTSPENDER, Ø 1,8-2,5 MM, 18,5 CM</v>
          </cell>
          <cell r="D13639" t="str">
            <v>K-WIRE DISPENSER, Ø 1.8-2.5 MM, 18.5 CM</v>
          </cell>
        </row>
        <row r="13640">
          <cell r="B13640" t="str">
            <v>55-731-31-01</v>
          </cell>
          <cell r="C13640" t="str">
            <v>BOHRDRAHTSPENDER, Ø 1,8-2,5 MM, 35 CM</v>
          </cell>
          <cell r="D13640" t="str">
            <v>K-WIRE DISPENSER, Ø 1.8-2.5 MM, 35 CM</v>
          </cell>
        </row>
        <row r="13641">
          <cell r="B13641" t="str">
            <v>55-732-12-01</v>
          </cell>
          <cell r="C13641" t="str">
            <v>BOHRDRAHTSPENDER, Ø 1,2 MM, 18,5 CM</v>
          </cell>
          <cell r="D13641" t="str">
            <v>K-WIRE DISPENSER, Ø 1.2 MM, 18.5 CM</v>
          </cell>
        </row>
        <row r="13642">
          <cell r="B13642" t="str">
            <v>55-732-14-01</v>
          </cell>
          <cell r="C13642" t="str">
            <v>BOHRDRAHTSPENDER, Ø 1,4 MM, 18,5 CM</v>
          </cell>
          <cell r="D13642" t="str">
            <v>K-WIRE DISPENSER, Ø 1.4 MM, 18.5 CM</v>
          </cell>
        </row>
        <row r="13643">
          <cell r="B13643" t="str">
            <v>55-732-15-01</v>
          </cell>
          <cell r="C13643" t="str">
            <v>BOHRDRAHTSPENDER, Ø 1,5 MM, 18,5 CM</v>
          </cell>
          <cell r="D13643" t="str">
            <v>K-WIRE DISPENSER, Ø 1.5 MM, 18.5 CM</v>
          </cell>
        </row>
        <row r="13644">
          <cell r="B13644" t="str">
            <v>55-732-16-01</v>
          </cell>
          <cell r="C13644" t="str">
            <v>BOHRDRAHTSPENDER, Ø 1,6 MM, 18,5 CM</v>
          </cell>
          <cell r="D13644" t="str">
            <v>K-WIRE DISPENSER, Ø 1.6 MM, 18.5 CM</v>
          </cell>
        </row>
        <row r="13645">
          <cell r="B13645" t="str">
            <v>55-732-18-01</v>
          </cell>
          <cell r="C13645" t="str">
            <v>BOHRDRAHTSPENDER, Ø 1,8 MM, 18,5 CM</v>
          </cell>
          <cell r="D13645" t="str">
            <v>K-WIRE DISPENSER, Ø 1.8 MM, 18.5 CM</v>
          </cell>
        </row>
        <row r="13646">
          <cell r="B13646" t="str">
            <v>55-732-20-01</v>
          </cell>
          <cell r="C13646" t="str">
            <v>BOHRDRAHTSPENDER, Ø 2,0 MM, 18,5 CM</v>
          </cell>
          <cell r="D13646" t="str">
            <v>K-WIRE DISPENSER, Ø 2.0 MM, 18.5 CM</v>
          </cell>
        </row>
        <row r="13647">
          <cell r="B13647" t="str">
            <v>55-732-22-01</v>
          </cell>
          <cell r="C13647" t="str">
            <v>BOHRDRAHTSPENDER, Ø 2,2 MM, 18,5 CM</v>
          </cell>
          <cell r="D13647" t="str">
            <v>K-WIRE DISPENSER, Ø 2.2 MM, 18.5 CM</v>
          </cell>
        </row>
        <row r="13648">
          <cell r="B13648" t="str">
            <v>55-732-25-01</v>
          </cell>
          <cell r="C13648" t="str">
            <v>BOHRDRAHTSPENDER, Ø 2,5 MM, 18,5 CM</v>
          </cell>
          <cell r="D13648" t="str">
            <v>K-WIRE DISPENSER, Ø 2.5 MM, 18.5 CM</v>
          </cell>
        </row>
        <row r="13649">
          <cell r="B13649" t="str">
            <v>55-734-08-01</v>
          </cell>
          <cell r="C13649" t="str">
            <v>BOHRDRAHTSPENDER, Ø 0,8 MM, 33,5 CM</v>
          </cell>
          <cell r="D13649" t="str">
            <v>K-WIRE DISPENSER, Ø 0.8 MM, 33.5 CM</v>
          </cell>
        </row>
        <row r="13650">
          <cell r="B13650" t="str">
            <v>55-734-10-01</v>
          </cell>
          <cell r="C13650" t="str">
            <v>BOHRDRAHTSPENDER, Ø 1,0 MM, 33,5 CM</v>
          </cell>
          <cell r="D13650" t="str">
            <v>K-WIRE DISPENSER, Ø 1.0 MM, 33.5 CM</v>
          </cell>
        </row>
        <row r="13651">
          <cell r="B13651" t="str">
            <v>55-734-12-01</v>
          </cell>
          <cell r="C13651" t="str">
            <v>BOHRDRAHTSPENDER, Ø 1,2 MM, 33,5 CM</v>
          </cell>
          <cell r="D13651" t="str">
            <v>K-WIRE DISPENSER, Ø 1.2 MM, 33.5 CM</v>
          </cell>
        </row>
        <row r="13652">
          <cell r="B13652" t="str">
            <v>55-734-14-01</v>
          </cell>
          <cell r="C13652" t="str">
            <v>BOHRDRAHTSPENDER, Ø 1,4 MM, 33,5 CM</v>
          </cell>
          <cell r="D13652" t="str">
            <v>K-WIRE DISPENSER, Ø 1.4 MM, 33.5 CM</v>
          </cell>
        </row>
        <row r="13653">
          <cell r="B13653" t="str">
            <v>55-734-15-01</v>
          </cell>
          <cell r="C13653" t="str">
            <v>BOHRDRAHTSPENDER, Ø 1,5 MM, 33,5 CM</v>
          </cell>
          <cell r="D13653" t="str">
            <v>K-WIRE DISPENSER, Ø 1.5 MM, 33.5 CM</v>
          </cell>
        </row>
        <row r="13654">
          <cell r="B13654" t="str">
            <v>55-734-16-01</v>
          </cell>
          <cell r="C13654" t="str">
            <v>BOHRDRAHTSPENDER, Ø 1,6 MM, 33,5 CM</v>
          </cell>
          <cell r="D13654" t="str">
            <v>K-WIRE DISPENSER, Ø 1.6 MM, 33.5 CM</v>
          </cell>
        </row>
        <row r="13655">
          <cell r="B13655" t="str">
            <v>55-734-18-01</v>
          </cell>
          <cell r="C13655" t="str">
            <v>BOHRDRAHTSPENDER, Ø 1,8 MM, 33,5 CM</v>
          </cell>
          <cell r="D13655" t="str">
            <v>K-WIRE DISPENSER, Ø 1.8 MM, 33.5 CM</v>
          </cell>
        </row>
        <row r="13656">
          <cell r="B13656" t="str">
            <v>55-734-20-01</v>
          </cell>
          <cell r="C13656" t="str">
            <v>BOHRDRAHTSPENDER, Ø 2,0 MM, 33,5 CM</v>
          </cell>
          <cell r="D13656" t="str">
            <v>K-WIRE DISPENSER, Ø 2.0 MM, 33.5 CM</v>
          </cell>
        </row>
        <row r="13657">
          <cell r="B13657" t="str">
            <v>55-734-22-01</v>
          </cell>
          <cell r="C13657" t="str">
            <v>BOHRDRAHTSPENDER, Ø 2,2 MM, 33,5 CM</v>
          </cell>
          <cell r="D13657" t="str">
            <v>K-WIRE DISPENSER, Ø 2.2 MM, 33.5 CM</v>
          </cell>
        </row>
        <row r="13658">
          <cell r="B13658" t="str">
            <v>55-734-25-01</v>
          </cell>
          <cell r="C13658" t="str">
            <v>BOHRDRAHTSPENDER, Ø 2,5 MM, 33,5 CM</v>
          </cell>
          <cell r="D13658" t="str">
            <v>K-WIRE DISPENSER, Ø 2.5 MM, 33.5 CM</v>
          </cell>
        </row>
        <row r="13659">
          <cell r="B13659" t="str">
            <v>55-801-00-04</v>
          </cell>
          <cell r="C13659" t="str">
            <v>Lagerung,  MT, Rahmen,  Standard</v>
          </cell>
          <cell r="D13659" t="str">
            <v>Storage rack, MT, frame, standard</v>
          </cell>
        </row>
        <row r="13660">
          <cell r="B13660" t="str">
            <v>55-801-10-04</v>
          </cell>
          <cell r="C13660" t="str">
            <v>Lagerung,  MT, Erweiterung Abdominal</v>
          </cell>
          <cell r="D13660" t="str">
            <v>Storage rack, MT, abdominal  extension</v>
          </cell>
        </row>
        <row r="13661">
          <cell r="B13661" t="str">
            <v>55-801-11-04</v>
          </cell>
          <cell r="C13661" t="str">
            <v>Lagerung,  MT, Erweiterung Gynäkologie</v>
          </cell>
          <cell r="D13661" t="str">
            <v>Storage rack, MT, gynecology extension</v>
          </cell>
        </row>
        <row r="13662">
          <cell r="B13662" t="str">
            <v>55-801-12-04</v>
          </cell>
          <cell r="C13662" t="str">
            <v>Lagerung,  MT, Erweiterung Urologie</v>
          </cell>
          <cell r="D13662" t="str">
            <v>Storage rack, MT, urology extension</v>
          </cell>
        </row>
        <row r="13663">
          <cell r="B13663" t="str">
            <v>55-801-13-04</v>
          </cell>
          <cell r="C13663" t="str">
            <v>Lagerung,  MT, Erweiterung Rektum</v>
          </cell>
          <cell r="D13663" t="str">
            <v>Storage rack, MT, rectum extension</v>
          </cell>
        </row>
        <row r="13664">
          <cell r="B13664" t="str">
            <v>55-801-14-04</v>
          </cell>
          <cell r="C13664" t="str">
            <v>Lagerung,  MT, Erweiterung Niere</v>
          </cell>
          <cell r="D13664" t="str">
            <v>Storage rack, MT, kidney extension</v>
          </cell>
        </row>
        <row r="13665">
          <cell r="B13665" t="str">
            <v>55-801-20-04</v>
          </cell>
          <cell r="C13665" t="str">
            <v>Lagerung,  MT, Leber Oberbauch</v>
          </cell>
          <cell r="D13665" t="str">
            <v>Storage rack, MT, liver epigastrium</v>
          </cell>
        </row>
        <row r="13666">
          <cell r="B13666" t="str">
            <v>55-801-21-04</v>
          </cell>
          <cell r="C13666" t="str">
            <v>Lagerung,  MT, Leber Abdominal</v>
          </cell>
          <cell r="D13666" t="str">
            <v>Storage rack, MT, liver abd. extension</v>
          </cell>
        </row>
        <row r="13667">
          <cell r="B13667" t="str">
            <v>55-801-30-04</v>
          </cell>
          <cell r="C13667" t="str">
            <v>Lagerung,  MT, Rahmen,  Adipositas</v>
          </cell>
          <cell r="D13667" t="str">
            <v>Storage rack, MT, frame, obesity</v>
          </cell>
        </row>
        <row r="13668">
          <cell r="B13668" t="str">
            <v>55-801-31-04</v>
          </cell>
          <cell r="C13668" t="str">
            <v>Lagerung,  MT, Erweiterung, Adipositas</v>
          </cell>
          <cell r="D13668" t="str">
            <v>Storage rack, MT, extension,  obesity</v>
          </cell>
        </row>
        <row r="13669">
          <cell r="B13669" t="str">
            <v>55-801-32-04</v>
          </cell>
          <cell r="C13669" t="str">
            <v>Lagerung,  MT,Erweiterung,Gyn.,Adipositas</v>
          </cell>
          <cell r="D13669" t="str">
            <v>Storage rack, MT, extension,  gyn., obes.</v>
          </cell>
        </row>
        <row r="13670">
          <cell r="B13670" t="str">
            <v>55-801-40-04</v>
          </cell>
          <cell r="C13670" t="str">
            <v>Lagerung,  MT, Rahmen,  Klein</v>
          </cell>
          <cell r="D13670" t="str">
            <v>Storage rack, MT, frame, compact</v>
          </cell>
        </row>
        <row r="13671">
          <cell r="B13671" t="str">
            <v>55-801-41-04</v>
          </cell>
          <cell r="C13671" t="str">
            <v>Lagerung,  MT, Erweiterung Proktologie</v>
          </cell>
          <cell r="D13671" t="str">
            <v>Storage rack, MT, proctology  extension</v>
          </cell>
        </row>
        <row r="13672">
          <cell r="B13672" t="str">
            <v>55-801-42-04</v>
          </cell>
          <cell r="C13672" t="str">
            <v>Lagerung,  MT, Erweiterung päd.</v>
          </cell>
          <cell r="D13672" t="str">
            <v>Storage rack, MT, pediatric  extension</v>
          </cell>
        </row>
        <row r="13673">
          <cell r="B13673" t="str">
            <v>55-801-43-04</v>
          </cell>
          <cell r="C13673" t="str">
            <v>Lagerung,  MT,Erweiterung per.Prostatekt.</v>
          </cell>
          <cell r="D13673" t="str">
            <v>Storage rack, MT, per. prostat. ext.</v>
          </cell>
        </row>
        <row r="13674">
          <cell r="B13674" t="str">
            <v>55-801-45-04</v>
          </cell>
          <cell r="C13674" t="str">
            <v>Lagerung,  MT, Erweiterung Axilla/Mamma</v>
          </cell>
          <cell r="D13674" t="str">
            <v>Storage rack, MT, axilla/breast ext.</v>
          </cell>
        </row>
        <row r="13675">
          <cell r="B13675" t="str">
            <v>55-802-10-04</v>
          </cell>
          <cell r="C13675" t="str">
            <v>Lagerungsset, DIN, Arnett #1, 47x25x4cm</v>
          </cell>
          <cell r="D13675" t="str">
            <v>Storage rack, DIN, Arnett #1, 47x25x4cm</v>
          </cell>
        </row>
        <row r="13676">
          <cell r="B13676" t="str">
            <v>55-802-11-04</v>
          </cell>
          <cell r="C13676" t="str">
            <v>Lagerungsset, DIN, Arnett #2, 47x25x6cm</v>
          </cell>
          <cell r="D13676" t="str">
            <v>Storage rack, DIN, Arnett #2, 47x25x6cm</v>
          </cell>
        </row>
        <row r="13677">
          <cell r="B13677" t="str">
            <v>55-802-12-04</v>
          </cell>
          <cell r="C13677" t="str">
            <v>Lagerungsset, 3/4, Arnett #3, 41x25x4cm</v>
          </cell>
          <cell r="D13677" t="str">
            <v>Storage rack, 3/4, Arnett #3, 41x25x4cm</v>
          </cell>
        </row>
        <row r="13678">
          <cell r="B13678" t="str">
            <v>55-803-10-04</v>
          </cell>
          <cell r="C13678" t="str">
            <v>Lagerungsset f. Stanzen</v>
          </cell>
          <cell r="D13678" t="str">
            <v>Storage rack f. punches</v>
          </cell>
        </row>
        <row r="13679">
          <cell r="B13679" t="str">
            <v>55-803-15-04</v>
          </cell>
          <cell r="C13679" t="str">
            <v>Lagerungsset f. 4 Stanzen</v>
          </cell>
          <cell r="D13679" t="str">
            <v>Storage rack f. 4 punches</v>
          </cell>
        </row>
        <row r="13680">
          <cell r="B13680" t="str">
            <v>55-803-20-04</v>
          </cell>
          <cell r="C13680" t="str">
            <v>Lagerungsset f. Rongeure  nach Caspar</v>
          </cell>
          <cell r="D13680" t="str">
            <v>Storage rack f. rongeurs,  Caspar</v>
          </cell>
        </row>
        <row r="13681">
          <cell r="B13681" t="str">
            <v>55-803-30-04</v>
          </cell>
          <cell r="C13681" t="str">
            <v>Reinigungstray f. marCore u. MIC-Instr.</v>
          </cell>
          <cell r="D13681" t="str">
            <v>Cleaning tray f. marCore a. MIS-instr.</v>
          </cell>
        </row>
        <row r="13682">
          <cell r="B13682" t="str">
            <v>55-803-50-04</v>
          </cell>
          <cell r="C13682" t="str">
            <v>Lagerungsset f. Rhotoninstrumente, #1-19</v>
          </cell>
          <cell r="D13682" t="str">
            <v>Storage rack, Rhoton instruments, #1-19</v>
          </cell>
        </row>
        <row r="13683">
          <cell r="B13683" t="str">
            <v>55-803-70-04</v>
          </cell>
          <cell r="C13683" t="str">
            <v>Lagerungsset, monopolare Elektroden</v>
          </cell>
          <cell r="D13683" t="str">
            <v>Storage rack, monopolar  electrodes</v>
          </cell>
        </row>
        <row r="13684">
          <cell r="B13684" t="str">
            <v>55-803-71-04</v>
          </cell>
          <cell r="C13684" t="str">
            <v>Lagerungsset, marSeal 5 Plus</v>
          </cell>
          <cell r="D13684" t="str">
            <v>Storage rack, marSeal 5 Plus</v>
          </cell>
        </row>
        <row r="13685">
          <cell r="B13685" t="str">
            <v>55-803-72-04</v>
          </cell>
          <cell r="C13685" t="str">
            <v>Lagerungsset, Limax Fok.HS, 24x25x4cm</v>
          </cell>
          <cell r="D13685" t="str">
            <v>Storage rack, Limax Foc.HP, 24x25x4cm</v>
          </cell>
        </row>
        <row r="13686">
          <cell r="B13686" t="str">
            <v>55-803-73-04</v>
          </cell>
          <cell r="C13686" t="str">
            <v>Lagerungsset, marSeal 5, 53x25x6cm</v>
          </cell>
          <cell r="D13686" t="str">
            <v>Storage rack, marSeal 5, 53x25x6cm</v>
          </cell>
        </row>
        <row r="13687">
          <cell r="B13687" t="str">
            <v>55-803-74-04</v>
          </cell>
          <cell r="C13687" t="str">
            <v>Lagerungsset, marSeal 10, 53x25x6cm</v>
          </cell>
          <cell r="D13687" t="str">
            <v>Storage rack, marSeal 10, 53x25x6cm</v>
          </cell>
        </row>
        <row r="13688">
          <cell r="B13688" t="str">
            <v>55-803-75-04</v>
          </cell>
          <cell r="C13688" t="str">
            <v>Lagerungsset, marClamp  Cut, 28x17x4cm</v>
          </cell>
          <cell r="D13688" t="str">
            <v>Storage rack, marClamp  Cut, 28x17x4cm</v>
          </cell>
        </row>
        <row r="13689">
          <cell r="B13689" t="str">
            <v>55-803-76-04</v>
          </cell>
          <cell r="C13689" t="str">
            <v>Lagerungsset, Faserpräp.set, 24x25x6cm</v>
          </cell>
          <cell r="D13689" t="str">
            <v>Storage rack, fiber prep. set, 24x25x6cm</v>
          </cell>
        </row>
        <row r="13690">
          <cell r="B13690" t="str">
            <v>55-804-10-01</v>
          </cell>
          <cell r="C13690" t="str">
            <v>DECKEL, MARTRAY,  MINI</v>
          </cell>
          <cell r="D13690" t="str">
            <v>Lid, marTray,  mini</v>
          </cell>
        </row>
        <row r="13691">
          <cell r="B13691" t="str">
            <v>55-804-11-01</v>
          </cell>
          <cell r="C13691" t="str">
            <v>marTray,  mini, 277x172x29 mm</v>
          </cell>
          <cell r="D13691" t="str">
            <v>marTray,  mini, 277x172x29 mm</v>
          </cell>
        </row>
        <row r="13692">
          <cell r="B13692" t="str">
            <v>55-804-12-01</v>
          </cell>
          <cell r="C13692" t="str">
            <v>BODENTEIL, MARTRAY,  MINI, 29MM</v>
          </cell>
          <cell r="D13692" t="str">
            <v>Bottom, marTray,  mini, 29 mm</v>
          </cell>
        </row>
        <row r="13693">
          <cell r="B13693" t="str">
            <v>55-804-13-01</v>
          </cell>
          <cell r="C13693" t="str">
            <v>marTray,  mini, 277x172x38 mm</v>
          </cell>
          <cell r="D13693" t="str">
            <v>marTray,  mini, 277x172x38 mm</v>
          </cell>
        </row>
        <row r="13694">
          <cell r="B13694" t="str">
            <v>55-804-14-01</v>
          </cell>
          <cell r="C13694" t="str">
            <v>BODENTEIL, MARTRAY,  MINI, 38MM</v>
          </cell>
          <cell r="D13694" t="str">
            <v>Bottom, marTray,  mini, 38 mm</v>
          </cell>
        </row>
        <row r="13695">
          <cell r="B13695" t="str">
            <v>55-804-15-01</v>
          </cell>
          <cell r="C13695" t="str">
            <v>marTray,  mini, 277x172x51 mm</v>
          </cell>
          <cell r="D13695" t="str">
            <v>marTray,  mini, 277x172x51 mm</v>
          </cell>
        </row>
        <row r="13696">
          <cell r="B13696" t="str">
            <v>55-804-16-01</v>
          </cell>
          <cell r="C13696" t="str">
            <v>BODENTEIL, MARTRAY,  MINI, 51MM</v>
          </cell>
          <cell r="D13696" t="str">
            <v>Bottom, marTray,  mini, 51 mm</v>
          </cell>
        </row>
        <row r="13697">
          <cell r="B13697" t="str">
            <v>55-804-17-01</v>
          </cell>
          <cell r="C13697" t="str">
            <v>marTray,  mini, 135x172x36mm</v>
          </cell>
          <cell r="D13697" t="str">
            <v>marTray,  mini, 135x172x36mm</v>
          </cell>
        </row>
        <row r="13698">
          <cell r="B13698" t="str">
            <v>55-804-19-01</v>
          </cell>
          <cell r="C13698" t="str">
            <v>marTray,  mini, f. Arthro., 277x84x36mm</v>
          </cell>
          <cell r="D13698" t="str">
            <v>marTray,  mini, f. Arthro., 277x84x36mm</v>
          </cell>
        </row>
        <row r="13699">
          <cell r="B13699" t="str">
            <v>55-804-24-01</v>
          </cell>
          <cell r="C13699" t="str">
            <v>marTray,  1/2, 240x251x25 mm</v>
          </cell>
          <cell r="D13699" t="str">
            <v>marTray,  1/2, 240x251x25 mm</v>
          </cell>
        </row>
        <row r="13700">
          <cell r="B13700" t="str">
            <v>55-804-25-01</v>
          </cell>
          <cell r="C13700" t="str">
            <v>marTray,  1/2, 240x251x44 mm</v>
          </cell>
          <cell r="D13700" t="str">
            <v>marTray,  1/2, 240x251x44 mm</v>
          </cell>
        </row>
        <row r="13701">
          <cell r="B13701" t="str">
            <v>55-804-26-01</v>
          </cell>
          <cell r="C13701" t="str">
            <v>marTray,  1/2, 240x251x64 mm</v>
          </cell>
          <cell r="D13701" t="str">
            <v>marTray,  1/2, 240x251x64 mm</v>
          </cell>
        </row>
        <row r="13702">
          <cell r="B13702" t="str">
            <v>55-804-27-01</v>
          </cell>
          <cell r="C13702" t="str">
            <v>marTray,  1/2, 240x251x94 mm</v>
          </cell>
          <cell r="D13702" t="str">
            <v>marTray,  1/2, 240x251x94 mm</v>
          </cell>
        </row>
        <row r="13703">
          <cell r="B13703" t="str">
            <v>55-804-41-01</v>
          </cell>
          <cell r="C13703" t="str">
            <v>marTray,  3/4, 410x251x25 mm</v>
          </cell>
          <cell r="D13703" t="str">
            <v>marTray,  3/4, 410x251x25 mm</v>
          </cell>
        </row>
        <row r="13704">
          <cell r="B13704" t="str">
            <v>55-804-42-01</v>
          </cell>
          <cell r="C13704" t="str">
            <v>marTray,  3/4, 410x251x44 mm</v>
          </cell>
          <cell r="D13704" t="str">
            <v>marTray,  3/4, 410x251x44 mm</v>
          </cell>
        </row>
        <row r="13705">
          <cell r="B13705" t="str">
            <v>55-804-43-01</v>
          </cell>
          <cell r="C13705" t="str">
            <v>marTray,  3/4, 410x251x64 mm</v>
          </cell>
          <cell r="D13705" t="str">
            <v>marTray,  3/4, 410x251x64 mm</v>
          </cell>
        </row>
        <row r="13706">
          <cell r="B13706" t="str">
            <v>55-804-44-01</v>
          </cell>
          <cell r="C13706" t="str">
            <v>marTray,  3/4, 410x251x94 mm</v>
          </cell>
          <cell r="D13706" t="str">
            <v>marTray,  3/4, 410x251x94 mm</v>
          </cell>
        </row>
        <row r="13707">
          <cell r="B13707" t="str">
            <v>55-804-48-01</v>
          </cell>
          <cell r="C13707" t="str">
            <v>marTray,  DIN, 477x251x25 mm</v>
          </cell>
          <cell r="D13707" t="str">
            <v>marTray,  DIN, 477x251x25 mm</v>
          </cell>
        </row>
        <row r="13708">
          <cell r="B13708" t="str">
            <v>55-804-49-01</v>
          </cell>
          <cell r="C13708" t="str">
            <v>marTray,  DIN, 477x251x44 mm</v>
          </cell>
          <cell r="D13708" t="str">
            <v>marTray,  DIN, 477x251x44 mm</v>
          </cell>
        </row>
        <row r="13709">
          <cell r="B13709" t="str">
            <v>55-804-50-01</v>
          </cell>
          <cell r="C13709" t="str">
            <v>marTray,  DIN, 477x251x64 mm</v>
          </cell>
          <cell r="D13709" t="str">
            <v>marTray,  DIN, 477x251x64 mm</v>
          </cell>
        </row>
        <row r="13710">
          <cell r="B13710" t="str">
            <v>55-804-51-01</v>
          </cell>
          <cell r="C13710" t="str">
            <v>marTray,  DIN, 477x251x94 mm</v>
          </cell>
          <cell r="D13710" t="str">
            <v>marTray,  DIN, 477x251x94 mm</v>
          </cell>
        </row>
        <row r="13711">
          <cell r="B13711" t="str">
            <v>55-804-54-01</v>
          </cell>
          <cell r="C13711" t="str">
            <v>marTray,  1/1, 532x251x25 mm</v>
          </cell>
          <cell r="D13711" t="str">
            <v>marTray,  1/1, 532x251x25 mm</v>
          </cell>
        </row>
        <row r="13712">
          <cell r="B13712" t="str">
            <v>55-804-55-01</v>
          </cell>
          <cell r="C13712" t="str">
            <v>marTray,  1/1, 532x251x44 mm</v>
          </cell>
          <cell r="D13712" t="str">
            <v>marTray,  1/1, 532x251x44 mm</v>
          </cell>
        </row>
        <row r="13713">
          <cell r="B13713" t="str">
            <v>55-804-56-01</v>
          </cell>
          <cell r="C13713" t="str">
            <v>marTray,  1/1, 532x251x64 mm</v>
          </cell>
          <cell r="D13713" t="str">
            <v>marTray,  1/1, 532x251x64 mm</v>
          </cell>
        </row>
        <row r="13714">
          <cell r="B13714" t="str">
            <v>55-804-57-01</v>
          </cell>
          <cell r="C13714" t="str">
            <v>marTray,  1/1, 532x251x94 mm</v>
          </cell>
          <cell r="D13714" t="str">
            <v>marTray,  1/1, 532x251x94 mm</v>
          </cell>
        </row>
        <row r="13715">
          <cell r="B13715" t="str">
            <v>55-804-60-01</v>
          </cell>
          <cell r="C13715" t="str">
            <v>Einhängetray, f. Tray h=94mm,  17x24x5cm</v>
          </cell>
          <cell r="D13715" t="str">
            <v>Hanging tray, f. tray h=94mm,  17x24x5cm</v>
          </cell>
        </row>
        <row r="13716">
          <cell r="B13716" t="str">
            <v>55-804-61-01</v>
          </cell>
          <cell r="C13716" t="str">
            <v>Einhängetray, f. Tray h=94mm,  26x24x5cm</v>
          </cell>
          <cell r="D13716" t="str">
            <v>Hanging tray, f. tray h=94mm,  26x24x5cm</v>
          </cell>
        </row>
        <row r="13717">
          <cell r="B13717" t="str">
            <v>55-804-62-01</v>
          </cell>
          <cell r="C13717" t="str">
            <v>Einhängetray, f. Tray h=94mm,  34x24x5cm</v>
          </cell>
          <cell r="D13717" t="str">
            <v>Hanging tray, f. tray h=94mm,  34x24x5cm</v>
          </cell>
        </row>
        <row r="13718">
          <cell r="B13718" t="str">
            <v>55-804-70-01</v>
          </cell>
          <cell r="C13718" t="str">
            <v>marTray,  Endosk. klein, 479x87x45  mm</v>
          </cell>
          <cell r="D13718" t="str">
            <v>marTray,  Endosc. small, 479x87x45  mm</v>
          </cell>
        </row>
        <row r="13719">
          <cell r="B13719" t="str">
            <v>55-804-71-01</v>
          </cell>
          <cell r="C13719" t="str">
            <v>marTray,  Endosk. groß, 479x137x45 mm</v>
          </cell>
          <cell r="D13719" t="str">
            <v>marTray,  Endosc. large, 479x137x45 mm</v>
          </cell>
        </row>
        <row r="13720">
          <cell r="B13720" t="str">
            <v>55-805-28-01</v>
          </cell>
          <cell r="C13720" t="str">
            <v>Deckel f. Siebkorb  1/2, 243x255 mm</v>
          </cell>
          <cell r="D13720" t="str">
            <v>Lid f. tray 1/2, 243X255  mm</v>
          </cell>
        </row>
        <row r="13721">
          <cell r="B13721" t="str">
            <v>55-805-45-01</v>
          </cell>
          <cell r="C13721" t="str">
            <v>Deckel f. Siebkorb  3/4, 410x255 mm</v>
          </cell>
          <cell r="D13721" t="str">
            <v>Lid f. tray 3/4, 410X255  mm</v>
          </cell>
        </row>
        <row r="13722">
          <cell r="B13722" t="str">
            <v>55-805-52-01</v>
          </cell>
          <cell r="C13722" t="str">
            <v>Deckel f. Siebkorb  DIN, 480x255 mm</v>
          </cell>
          <cell r="D13722" t="str">
            <v>Lid f. tray DIN, 480X255  mm</v>
          </cell>
        </row>
        <row r="13723">
          <cell r="B13723" t="str">
            <v>55-805-58-01</v>
          </cell>
          <cell r="C13723" t="str">
            <v>Deckel f. Siebkorb  1/1, 535x255 mm</v>
          </cell>
          <cell r="D13723" t="str">
            <v>Lid f. tray 1/1, 535x255 mm</v>
          </cell>
        </row>
        <row r="13724">
          <cell r="B13724" t="str">
            <v>55-808-20-01</v>
          </cell>
          <cell r="C13724" t="str">
            <v>SIEBSCHALE, DRAHT, 260X165X28 MM</v>
          </cell>
          <cell r="D13724" t="str">
            <v>TRAY, WIRE MESH, 260X165X28 MM</v>
          </cell>
        </row>
        <row r="13725">
          <cell r="B13725" t="str">
            <v>55-808-21-01</v>
          </cell>
          <cell r="C13725" t="str">
            <v>SIEBSCHALE, DRAHT, 260X165X47 MM</v>
          </cell>
          <cell r="D13725" t="str">
            <v>TRAY, WIRE MESH, 260X165X47 MM</v>
          </cell>
        </row>
        <row r="13726">
          <cell r="B13726" t="str">
            <v>55-808-24-01</v>
          </cell>
          <cell r="C13726" t="str">
            <v>SIEBSCHALE, DRAHT, 240X240X50 MM</v>
          </cell>
          <cell r="D13726" t="str">
            <v>TRAY, WIRE MESH, 240X240X50 MM</v>
          </cell>
        </row>
        <row r="13727">
          <cell r="B13727" t="str">
            <v>55-808-48-01</v>
          </cell>
          <cell r="C13727" t="str">
            <v>SIEBSCHALE, DRAHT, 480X240X50 MM</v>
          </cell>
          <cell r="D13727" t="str">
            <v>TRAY, WIRE MESH, 480X240X50 MM</v>
          </cell>
        </row>
        <row r="13728">
          <cell r="B13728" t="str">
            <v>55-808-50-01</v>
          </cell>
          <cell r="C13728" t="str">
            <v>SIEBSCHALE, DRAHT, 410X240X50 MM</v>
          </cell>
          <cell r="D13728" t="str">
            <v>TRAY, WIRE MESH, 410X240X50 MM</v>
          </cell>
        </row>
        <row r="13729">
          <cell r="B13729" t="str">
            <v>55-808-70-01</v>
          </cell>
          <cell r="C13729" t="str">
            <v>SIEBSCHALE, DRAHT, 410X240X70 MM</v>
          </cell>
          <cell r="D13729" t="str">
            <v>TRAY, WIRE MESH, 410X240X70 MM</v>
          </cell>
        </row>
        <row r="13730">
          <cell r="B13730" t="str">
            <v>55-808-75-01</v>
          </cell>
          <cell r="C13730" t="str">
            <v>SIEBSCHALE, DRAHT, 500X245X75 MM</v>
          </cell>
          <cell r="D13730" t="str">
            <v>TRAY, WIRE MESH, 500X245X75 MM</v>
          </cell>
        </row>
        <row r="13731">
          <cell r="B13731" t="str">
            <v>55-808-99-01</v>
          </cell>
          <cell r="C13731" t="str">
            <v>SIEBSCHALE, DRAHT, 500X245X100 MM</v>
          </cell>
          <cell r="D13731" t="str">
            <v>TRAY, WIRE MESH, 500X245X100 MM</v>
          </cell>
        </row>
        <row r="13732">
          <cell r="B13732" t="str">
            <v>55-811-24-01</v>
          </cell>
          <cell r="C13732" t="str">
            <v>SIEBSCHALE, LOCHB./DRAHT, 240X250X60 MM</v>
          </cell>
          <cell r="D13732" t="str">
            <v>TRAY, PERFOR./WIRE MESH, 240X250X60 MM</v>
          </cell>
        </row>
        <row r="13733">
          <cell r="B13733" t="str">
            <v>55-811-25-01</v>
          </cell>
          <cell r="C13733" t="str">
            <v>SIEBSCHALE, LOCHB./DRAHT, 240X250X75 MM</v>
          </cell>
          <cell r="D13733" t="str">
            <v>TRAY, PERFOR./WIRE MESH, 240X250X75 MM</v>
          </cell>
        </row>
        <row r="13734">
          <cell r="B13734" t="str">
            <v>55-811-26-01</v>
          </cell>
          <cell r="C13734" t="str">
            <v>SIEBSCHALE, LOCHB./DRAHT, 240X250X100 MM</v>
          </cell>
          <cell r="D13734" t="str">
            <v>TRAY, PERFOR./WIRE MESH, 240X250X100 MM</v>
          </cell>
        </row>
        <row r="13735">
          <cell r="B13735" t="str">
            <v>55-811-41-01</v>
          </cell>
          <cell r="C13735" t="str">
            <v>SIEBSCHALE, LOCHB./DRAHT, 410X250X60 MM</v>
          </cell>
          <cell r="D13735" t="str">
            <v>TRAY, PERFOR./WIRE MESH, 410X250X60 MM</v>
          </cell>
        </row>
        <row r="13736">
          <cell r="B13736" t="str">
            <v>55-811-42-01</v>
          </cell>
          <cell r="C13736" t="str">
            <v>SIEBSCHALE, LOCHB./DRAHT, 410X250X75 MM</v>
          </cell>
          <cell r="D13736" t="str">
            <v>TRAY, PERFOR./WIRE MESH, 410X250X75 MM</v>
          </cell>
        </row>
        <row r="13737">
          <cell r="B13737" t="str">
            <v>55-811-43-01</v>
          </cell>
          <cell r="C13737" t="str">
            <v>SIEBSCHALE, LOCHB./DRAHT, 410X250X100 MM</v>
          </cell>
          <cell r="D13737" t="str">
            <v>TRAY, PERFOR./WIRE MESH, 410X250X100 MM</v>
          </cell>
        </row>
        <row r="13738">
          <cell r="B13738" t="str">
            <v>55-811-48-01</v>
          </cell>
          <cell r="C13738" t="str">
            <v>SIEBSCHALE, LOCHB./DRAHT, 480X250X60 MM</v>
          </cell>
          <cell r="D13738" t="str">
            <v>TRAY, PERFOR./WIRE MESH, 480X250X60 MM</v>
          </cell>
        </row>
        <row r="13739">
          <cell r="B13739" t="str">
            <v>55-811-49-01</v>
          </cell>
          <cell r="C13739" t="str">
            <v>SIEBSCHALE, LOCHB./DRAHT, 480X250X75 MM</v>
          </cell>
          <cell r="D13739" t="str">
            <v>TRAY, PERFOR./WIRE MESH, 480X250X75 MM</v>
          </cell>
        </row>
        <row r="13740">
          <cell r="B13740" t="str">
            <v>55-811-50-01</v>
          </cell>
          <cell r="C13740" t="str">
            <v>SIEBSCHALE, LOCHB./DRAHT, 480X250X100 MM</v>
          </cell>
          <cell r="D13740" t="str">
            <v>TRAY, PERFOR./WIRE MESH, 480X250X100 MM</v>
          </cell>
        </row>
        <row r="13741">
          <cell r="B13741" t="str">
            <v>55-811-51-01</v>
          </cell>
          <cell r="C13741" t="str">
            <v>SIEBSCHALE, LOCHB./DRAHT, 510X250X60 MM</v>
          </cell>
          <cell r="D13741" t="str">
            <v>TRAY, PERFOR./WIRE MESH, 510X250X60 MM</v>
          </cell>
        </row>
        <row r="13742">
          <cell r="B13742" t="str">
            <v>55-811-52-01</v>
          </cell>
          <cell r="C13742" t="str">
            <v>SIEBSCHALE, LOCHB./DRAHT, 510X250X75 MM</v>
          </cell>
          <cell r="D13742" t="str">
            <v>TRAY, PERFOR./WIRE MESH, 510X250X75 MM</v>
          </cell>
        </row>
        <row r="13743">
          <cell r="B13743" t="str">
            <v>55-811-53-01</v>
          </cell>
          <cell r="C13743" t="str">
            <v>SIEBSCHALE, LOCHB./DRAHT, 510X250X100 MM</v>
          </cell>
          <cell r="D13743" t="str">
            <v>TRAY, PERFOR./WIRE MESH, 510X250X100 MM</v>
          </cell>
        </row>
        <row r="13744">
          <cell r="B13744" t="str">
            <v>55-812-50-01</v>
          </cell>
          <cell r="C13744" t="str">
            <v>Lagerung,  Spineworxx 1, 41x25x4 cm</v>
          </cell>
          <cell r="D13744" t="str">
            <v>Storage rack, Spineworxx 1, 41x25x4 cm</v>
          </cell>
        </row>
        <row r="13745">
          <cell r="B13745" t="str">
            <v>55-812-51-01</v>
          </cell>
          <cell r="C13745" t="str">
            <v>Lagerung,  Spineworxx 2, 41x25x9 cm</v>
          </cell>
          <cell r="D13745" t="str">
            <v>Storage rack, Spineworxx 2, 41x25x9 cm</v>
          </cell>
        </row>
        <row r="13746">
          <cell r="B13746" t="str">
            <v>55-861-03-04</v>
          </cell>
          <cell r="C13746" t="str">
            <v>Wanne, MS Miniset Cont., H=52 mm</v>
          </cell>
          <cell r="D13746" t="str">
            <v>Tub., MS Miniset Cont., H=52 mm</v>
          </cell>
        </row>
        <row r="13747">
          <cell r="B13747" t="str">
            <v>55-861-04-04</v>
          </cell>
          <cell r="C13747" t="str">
            <v>WANNE F. MS MINISET CONTAINER, H=72 MM</v>
          </cell>
          <cell r="D13747" t="str">
            <v>TUB F. MS MINISET CONTAINER, H=72 MM</v>
          </cell>
        </row>
        <row r="13748">
          <cell r="B13748" t="str">
            <v>55-861-05-04</v>
          </cell>
          <cell r="C13748" t="str">
            <v>Deckel, Miniset Cont., 55-861-50  / -70</v>
          </cell>
          <cell r="D13748" t="str">
            <v>Lid, Miniset Cont., 55-861-50  / -70</v>
          </cell>
        </row>
        <row r="13749">
          <cell r="B13749" t="str">
            <v>55-861-50-04</v>
          </cell>
          <cell r="C13749" t="str">
            <v>MICROSTOP MINISET CONTAINER 310X189X70MM</v>
          </cell>
          <cell r="D13749" t="str">
            <v>MICROSTOP MINISET CONTAINER 310X189X70MM</v>
          </cell>
        </row>
        <row r="13750">
          <cell r="B13750" t="str">
            <v>55-861-70-04</v>
          </cell>
          <cell r="C13750" t="str">
            <v>MICROSTOP MINISET CONTAINER 310X189X90MM</v>
          </cell>
          <cell r="D13750" t="str">
            <v>MICROSTOP MINISET CONTAINER 310X189X90MM</v>
          </cell>
        </row>
        <row r="13751">
          <cell r="B13751" t="str">
            <v>55-890-15-01</v>
          </cell>
          <cell r="C13751" t="str">
            <v>STERILISIERKORB, 60X30X13  CM</v>
          </cell>
          <cell r="D13751" t="str">
            <v>STERILIZING BASKET, 60X30X13  CM</v>
          </cell>
        </row>
        <row r="13752">
          <cell r="B13752" t="str">
            <v>55-890-30-01</v>
          </cell>
          <cell r="C13752" t="str">
            <v>STERILISIERKORB, 60X30X26  CM</v>
          </cell>
          <cell r="D13752" t="str">
            <v>STERILIZING BASKET, 60X30X26  CM</v>
          </cell>
        </row>
        <row r="13753">
          <cell r="B13753" t="str">
            <v>55-891-40-01</v>
          </cell>
          <cell r="C13753" t="str">
            <v>KLEINTEILEKORB, FEINMASCHIG, 80X80X40  MM</v>
          </cell>
          <cell r="D13753" t="str">
            <v>SMALL PARTS BASKET, MESH, 80X80X40  MM</v>
          </cell>
        </row>
        <row r="13754">
          <cell r="B13754" t="str">
            <v>55-891-41-01</v>
          </cell>
          <cell r="C13754" t="str">
            <v>Kleinteilekorb, feinmaschig,200x100x50mm</v>
          </cell>
          <cell r="D13754" t="str">
            <v>Small parts basket, mesh, 200x100x50 mm</v>
          </cell>
        </row>
        <row r="13755">
          <cell r="B13755" t="str">
            <v>55-910-03-04</v>
          </cell>
          <cell r="C13755" t="str">
            <v>CapFlex Lagerung  für Instrumente</v>
          </cell>
          <cell r="D13755" t="str">
            <v>CapFlex Storage for instruments</v>
          </cell>
        </row>
        <row r="13756">
          <cell r="B13756" t="str">
            <v>55-910-04-04</v>
          </cell>
          <cell r="C13756" t="str">
            <v>CapFlex Lagerung  Gehäuse</v>
          </cell>
          <cell r="D13756" t="str">
            <v>CapFlex Storage Cage</v>
          </cell>
        </row>
        <row r="13757">
          <cell r="B13757" t="str">
            <v>55-910-05-04</v>
          </cell>
          <cell r="C13757" t="str">
            <v>CapFlex Schublade  f. Allg. Instrumente</v>
          </cell>
          <cell r="D13757" t="str">
            <v>CapFlex Drawer for general instruments</v>
          </cell>
        </row>
        <row r="13758">
          <cell r="B13758" t="str">
            <v>55-910-06-04</v>
          </cell>
          <cell r="C13758" t="str">
            <v>CapFlex Schublade  f.Instrumente Grösse S</v>
          </cell>
          <cell r="D13758" t="str">
            <v>CapFlex Drawer for instruments size S</v>
          </cell>
        </row>
        <row r="13759">
          <cell r="B13759" t="str">
            <v>55-910-07-04</v>
          </cell>
          <cell r="C13759" t="str">
            <v>CapFlex Schublade  f.Instrumente Grösse M</v>
          </cell>
          <cell r="D13759" t="str">
            <v>CapFlex Drawer for instruments size M</v>
          </cell>
        </row>
        <row r="13760">
          <cell r="B13760" t="str">
            <v>55-910-08-04</v>
          </cell>
          <cell r="C13760" t="str">
            <v>CapFlex Schublade  f.Instrumente Grösse L</v>
          </cell>
          <cell r="D13760" t="str">
            <v>CapFlex Drawer for instruments size L</v>
          </cell>
        </row>
        <row r="13761">
          <cell r="B13761" t="str">
            <v>55-910-09-04</v>
          </cell>
          <cell r="C13761" t="str">
            <v>CapFlex Rondell für Probeimplantate</v>
          </cell>
          <cell r="D13761" t="str">
            <v>CapFlex Rack for trial implants</v>
          </cell>
        </row>
        <row r="13762">
          <cell r="B13762" t="str">
            <v>55-910-10-04</v>
          </cell>
          <cell r="C13762" t="str">
            <v>RECOS Lagerung  komplett,  smartD 1-seitig</v>
          </cell>
          <cell r="D13762" t="str">
            <v>RECOS STORAGE  COMPLET,  smartD 1-SIDED</v>
          </cell>
        </row>
        <row r="13763">
          <cell r="B13763" t="str">
            <v>55-910-11-04</v>
          </cell>
          <cell r="C13763" t="str">
            <v>RECOS Lagerung  komplett,  smartD2,5/3,0mm</v>
          </cell>
          <cell r="D13763" t="str">
            <v>RECOS STORAGE  COMPLETE, smartD 2,5/3,0mm</v>
          </cell>
        </row>
        <row r="13764">
          <cell r="B13764" t="str">
            <v>55-910-12-04</v>
          </cell>
          <cell r="C13764" t="str">
            <v>smartDrive  Rondell, Ø2,5/3,0  mm, 2seitig</v>
          </cell>
          <cell r="D13764" t="str">
            <v>smartDrive  SCREWRACK DISC STYLE 2.5/3mm</v>
          </cell>
        </row>
        <row r="13765">
          <cell r="B13765" t="str">
            <v>55-910-13-04</v>
          </cell>
          <cell r="C13765" t="str">
            <v>RECOS Instrumenteneinsatz für Lagerung</v>
          </cell>
          <cell r="D13765" t="str">
            <v>RECOS INSTRUMENT INSERT FOR STORAGE</v>
          </cell>
        </row>
        <row r="13766">
          <cell r="B13766" t="str">
            <v>55-910-14-04</v>
          </cell>
          <cell r="C13766" t="str">
            <v>RECOS Lagerungskorb</v>
          </cell>
          <cell r="D13766" t="str">
            <v>RECOS STORAGE  CAGE</v>
          </cell>
        </row>
        <row r="13767">
          <cell r="B13767" t="str">
            <v>55-910-15-04</v>
          </cell>
          <cell r="C13767" t="str">
            <v>Deckel f. RECOS Rondell 3,0er Schrauben</v>
          </cell>
          <cell r="D13767" t="str">
            <v>Lid f. RECOS Screw Rack Disk 3.0 screws</v>
          </cell>
        </row>
        <row r="13768">
          <cell r="B13768" t="str">
            <v>55-910-23-04</v>
          </cell>
          <cell r="C13768" t="str">
            <v>Deckel für Rondell 55-910-35-04, links</v>
          </cell>
          <cell r="D13768" t="str">
            <v>Lid for plate rack 55-910-35-04, left</v>
          </cell>
        </row>
        <row r="13769">
          <cell r="B13769" t="str">
            <v>55-910-24-04</v>
          </cell>
          <cell r="C13769" t="str">
            <v>Deckel für Rondell 55-910-35-04, rechts</v>
          </cell>
          <cell r="D13769" t="str">
            <v>Lid for plate rack 55-910-35-04, right</v>
          </cell>
        </row>
        <row r="13770">
          <cell r="B13770" t="str">
            <v>55-910-25-04</v>
          </cell>
          <cell r="C13770" t="str">
            <v>Deckel f. IXOS Rondell, 2,5er Schrauben</v>
          </cell>
          <cell r="D13770" t="str">
            <v>Lid f. IXOS Screw Rack Disk 2.5 screws</v>
          </cell>
        </row>
        <row r="13771">
          <cell r="B13771" t="str">
            <v>55-910-26-04</v>
          </cell>
          <cell r="C13771" t="str">
            <v>Deckel f. IXOS Rondell 2,0 Pins/2,5 Schr</v>
          </cell>
          <cell r="D13771" t="str">
            <v>Lid f. IXOS Screw Rack Disk 2.0 / 2.5</v>
          </cell>
        </row>
        <row r="13772">
          <cell r="B13772" t="str">
            <v>55-910-33-04</v>
          </cell>
          <cell r="C13772" t="str">
            <v>IXOS Lagerung  komplett,  smartD 1-seitig</v>
          </cell>
          <cell r="D13772" t="str">
            <v>IXOS STORAGE  COMPLET,  smartD 1-SIDED</v>
          </cell>
        </row>
        <row r="13773">
          <cell r="B13773" t="str">
            <v>55-910-34-04</v>
          </cell>
          <cell r="C13773" t="str">
            <v>IIXOS Lagerung  komplett,  smartD 2-seitig</v>
          </cell>
          <cell r="D13773" t="str">
            <v>IXOS STORAGE  COMPLET,  smartD 2-SIDED</v>
          </cell>
        </row>
        <row r="13774">
          <cell r="B13774" t="str">
            <v>55-910-35-04</v>
          </cell>
          <cell r="C13774" t="str">
            <v>IXOS Plattenrondell</v>
          </cell>
          <cell r="D13774" t="str">
            <v>IXOS PLATERACK DISC STYLE</v>
          </cell>
        </row>
        <row r="13775">
          <cell r="B13775" t="str">
            <v>55-910-36-04</v>
          </cell>
          <cell r="C13775" t="str">
            <v>IXOS Lagerungskorb</v>
          </cell>
          <cell r="D13775" t="str">
            <v>IXOS STORAGE  CAGE</v>
          </cell>
        </row>
        <row r="13776">
          <cell r="B13776" t="str">
            <v>55-910-37-04</v>
          </cell>
          <cell r="C13776" t="str">
            <v>smartDrive  Rondell, Ø2,5mm,  2seitig</v>
          </cell>
          <cell r="D13776" t="str">
            <v>smartDrive  SCREWRACK DISC STYLE 2Sided</v>
          </cell>
        </row>
        <row r="13777">
          <cell r="B13777" t="str">
            <v>55-910-38-04</v>
          </cell>
          <cell r="C13777" t="str">
            <v>IXOS Instrumenteneinsatz für Lagerung</v>
          </cell>
          <cell r="D13777" t="str">
            <v>IXOS INSTRUMENT INSERT FOR STORAGE</v>
          </cell>
        </row>
        <row r="13778">
          <cell r="B13778" t="str">
            <v>55-910-39-04</v>
          </cell>
          <cell r="C13778" t="str">
            <v>smartDrive  Rondell, Ø2,5mm,  1seitig</v>
          </cell>
          <cell r="D13778" t="str">
            <v>smartDrive  SCREWRACK DISC STYLE 1Sided</v>
          </cell>
        </row>
        <row r="13779">
          <cell r="B13779" t="str">
            <v>55-910-54-04</v>
          </cell>
          <cell r="C13779" t="str">
            <v>HBS 2 LAGERUNG</v>
          </cell>
          <cell r="D13779" t="str">
            <v>HBS 2 STORAGE</v>
          </cell>
        </row>
        <row r="13780">
          <cell r="B13780" t="str">
            <v>55-910-56-04</v>
          </cell>
          <cell r="C13780" t="str">
            <v>HBS 2 Lagerungskorb</v>
          </cell>
          <cell r="D13780" t="str">
            <v>HBS 2 STORAGE  CAGE</v>
          </cell>
        </row>
        <row r="13781">
          <cell r="B13781" t="str">
            <v>55-910-57-04</v>
          </cell>
          <cell r="C13781" t="str">
            <v>HBS 2 Schraubenrondell</v>
          </cell>
          <cell r="D13781" t="str">
            <v>HBS 2 SCREWRACK DISC STYLE</v>
          </cell>
        </row>
        <row r="13782">
          <cell r="B13782" t="str">
            <v>55-910-58-04</v>
          </cell>
          <cell r="C13782" t="str">
            <v>HBS 2 Instrumenteneinsatz für Lagerung</v>
          </cell>
          <cell r="D13782" t="str">
            <v>HBS 2 INSTRUMENT INSERT FOR STORAGE</v>
          </cell>
        </row>
        <row r="13783">
          <cell r="B13783" t="str">
            <v>55-910-59-04</v>
          </cell>
          <cell r="C13783" t="str">
            <v>Deckel für Lagerung  (HBS2, IXOS, RECOS)</v>
          </cell>
          <cell r="D13783" t="str">
            <v>Lid for Storage (HBS2, IXOS, RECOS)</v>
          </cell>
        </row>
        <row r="13784">
          <cell r="B13784" t="str">
            <v>55-910-61-04</v>
          </cell>
          <cell r="C13784" t="str">
            <v>LINOS Instrumentenlagerung, komplett</v>
          </cell>
          <cell r="D13784" t="str">
            <v>LINOS instrument  storage, complete</v>
          </cell>
        </row>
        <row r="13785">
          <cell r="B13785" t="str">
            <v>55-910-62-04</v>
          </cell>
          <cell r="C13785" t="str">
            <v>LINOS LAGERUNGSKORB FÜR INSTRUMENTE</v>
          </cell>
          <cell r="D13785" t="str">
            <v>LINOS STORAGE  CAGE FOR INSTRUMENTS</v>
          </cell>
        </row>
        <row r="13786">
          <cell r="B13786" t="str">
            <v>55-910-63-04</v>
          </cell>
          <cell r="C13786" t="str">
            <v>LINOS INSTRUMENTENEINSATZ FÜR LAGERUNG</v>
          </cell>
          <cell r="D13786" t="str">
            <v>LINOS INSTRUMENT INSERT FOR STORAGE</v>
          </cell>
        </row>
        <row r="13787">
          <cell r="B13787" t="str">
            <v>55-910-64-04</v>
          </cell>
          <cell r="C13787" t="str">
            <v>LINOS Instrumenteneinsatz 1.2 mm</v>
          </cell>
          <cell r="D13787" t="str">
            <v>LINOS instrument  insert 1.2 mm</v>
          </cell>
        </row>
        <row r="13788">
          <cell r="B13788" t="str">
            <v>55-910-65-04</v>
          </cell>
          <cell r="C13788" t="str">
            <v>LINOS Templatelagerung, komplett</v>
          </cell>
          <cell r="D13788" t="str">
            <v>LINOS template  storage, complete</v>
          </cell>
        </row>
        <row r="13789">
          <cell r="B13789" t="str">
            <v>55-910-77-04</v>
          </cell>
          <cell r="C13789" t="str">
            <v>LINOS 0.8 Template  Modul mit Deckel</v>
          </cell>
          <cell r="D13789" t="str">
            <v>LINOS 0.8 Template  Module with lid</v>
          </cell>
        </row>
        <row r="13790">
          <cell r="B13790" t="str">
            <v>55-910-78-04</v>
          </cell>
          <cell r="C13790" t="str">
            <v>Linos 1.2 Template  Modul mit Deckel</v>
          </cell>
          <cell r="D13790" t="str">
            <v>Linos 1.2 Template  Module with lid</v>
          </cell>
        </row>
        <row r="13791">
          <cell r="B13791" t="str">
            <v>55-910-81-04</v>
          </cell>
          <cell r="C13791" t="str">
            <v>Flower Plate Instrumentenlagerung</v>
          </cell>
          <cell r="D13791" t="str">
            <v>Flower Plate instrument  storage</v>
          </cell>
        </row>
        <row r="13792">
          <cell r="B13792" t="str">
            <v>55-910-82-04</v>
          </cell>
          <cell r="C13792" t="str">
            <v>Flower P. Schraubenmodul, Ø2.0 Stan/Lock</v>
          </cell>
          <cell r="D13792" t="str">
            <v>Flower P. screw module, Ø2.0, stand/lock</v>
          </cell>
        </row>
        <row r="13793">
          <cell r="B13793" t="str">
            <v>55-910-83-04</v>
          </cell>
          <cell r="C13793" t="str">
            <v>Flower P. Schraubenmodul, Ø2.3 Stan/Lock</v>
          </cell>
          <cell r="D13793" t="str">
            <v>Flower P. screw module, Ø2.3, stand/lock</v>
          </cell>
        </row>
        <row r="13794">
          <cell r="B13794" t="str">
            <v>55-910-89-04</v>
          </cell>
          <cell r="C13794" t="str">
            <v>Flower Plate Lagerungskorb f. Instr.</v>
          </cell>
          <cell r="D13794" t="str">
            <v>Flower Plate storage cage f. instruments</v>
          </cell>
        </row>
        <row r="13795">
          <cell r="B13795" t="str">
            <v>55-911-15-04</v>
          </cell>
          <cell r="C13795" t="str">
            <v>LINOS Implantatelagerung COMPLETE, komp.</v>
          </cell>
          <cell r="D13795" t="str">
            <v>LINOS implant storage COMPLETE, complete</v>
          </cell>
        </row>
        <row r="13796">
          <cell r="B13796" t="str">
            <v>55-911-20-04</v>
          </cell>
          <cell r="C13796" t="str">
            <v>LINOS Lagerungskorb Implantate, klein</v>
          </cell>
          <cell r="D13796" t="str">
            <v>LINOS storage cage f. implants,  small</v>
          </cell>
        </row>
        <row r="13797">
          <cell r="B13797" t="str">
            <v>55-911-21-04</v>
          </cell>
          <cell r="C13797" t="str">
            <v>LINOS Lagerungskorb Implantate, groß</v>
          </cell>
          <cell r="D13797" t="str">
            <v>LINOS storage cage f. implants,  big</v>
          </cell>
        </row>
        <row r="13798">
          <cell r="B13798" t="str">
            <v>55-911-22-04</v>
          </cell>
          <cell r="C13798" t="str">
            <v>LINOS Schraubenmodul, Ø 1.5 mm, Standard</v>
          </cell>
          <cell r="D13798" t="str">
            <v>LINOS screw module, Ø 1.5 mm, standard</v>
          </cell>
        </row>
        <row r="13799">
          <cell r="B13799" t="str">
            <v>55-911-23-04</v>
          </cell>
          <cell r="C13799" t="str">
            <v>LINOS Schraubenmodul, Ø 2.0 mm, Standard</v>
          </cell>
          <cell r="D13799" t="str">
            <v>LINOS screw module, Ø 2.0 mm, standard</v>
          </cell>
        </row>
        <row r="13800">
          <cell r="B13800" t="str">
            <v>55-911-24-04</v>
          </cell>
          <cell r="C13800" t="str">
            <v>LINOS Schraubenmodul, Ø 2.3 mm, Standard</v>
          </cell>
          <cell r="D13800" t="str">
            <v>LINOS screw module, Ø 2.3 mm, standard</v>
          </cell>
        </row>
        <row r="13801">
          <cell r="B13801" t="str">
            <v>55-911-25-04</v>
          </cell>
          <cell r="C13801" t="str">
            <v>LINOS Schraubenmodul, Ø 1.5 mm, Locking</v>
          </cell>
          <cell r="D13801" t="str">
            <v>LINOS screw module, Ø 1.5 mm, locking</v>
          </cell>
        </row>
        <row r="13802">
          <cell r="B13802" t="str">
            <v>55-911-26-04</v>
          </cell>
          <cell r="C13802" t="str">
            <v>LINOS Schraubenmodul, Ø 2.0 mm, Locking</v>
          </cell>
          <cell r="D13802" t="str">
            <v>LINOS screw module, Ø 2.0 mm, locking</v>
          </cell>
        </row>
        <row r="13803">
          <cell r="B13803" t="str">
            <v>55-911-27-04</v>
          </cell>
          <cell r="C13803" t="str">
            <v>LINOS Schraubenmodul, Ø 2.3 mm, Locking</v>
          </cell>
          <cell r="D13803" t="str">
            <v>LINOS screw module, Ø 2.3 mm, locking</v>
          </cell>
        </row>
        <row r="13804">
          <cell r="B13804" t="str">
            <v>55-911-28-04</v>
          </cell>
          <cell r="C13804" t="str">
            <v>LINOS Schraubenmodul, Ø1.5, Stand./Lock.</v>
          </cell>
          <cell r="D13804" t="str">
            <v>LINOS screw module, Ø 1.5, stan./locking</v>
          </cell>
        </row>
        <row r="13805">
          <cell r="B13805" t="str">
            <v>55-911-29-04</v>
          </cell>
          <cell r="C13805" t="str">
            <v>LINOS Schraubenmodul, Ø2.0, Stand./Lock.</v>
          </cell>
          <cell r="D13805" t="str">
            <v>LINOS screw module, Ø 2.0, stan./locking</v>
          </cell>
        </row>
        <row r="13806">
          <cell r="B13806" t="str">
            <v>55-911-30-04</v>
          </cell>
          <cell r="C13806" t="str">
            <v>LINOS Schraubenmodul, Ø2.3, Stand./Lock.</v>
          </cell>
          <cell r="D13806" t="str">
            <v>LINOS screw module, Ø 2.3, stan./locking</v>
          </cell>
        </row>
        <row r="13807">
          <cell r="B13807" t="str">
            <v>55-911-31-04</v>
          </cell>
          <cell r="C13807" t="str">
            <v>LINOS Plattenmodul 2/3, P 0.8, m. Deckel</v>
          </cell>
          <cell r="D13807" t="str">
            <v>LINOS plate module 2/3, P 0.8, with lid</v>
          </cell>
        </row>
        <row r="13808">
          <cell r="B13808" t="str">
            <v>55-911-32-04</v>
          </cell>
          <cell r="C13808" t="str">
            <v>LINOS Plattenmodul 2/3, P 1.2, m. Deckel</v>
          </cell>
          <cell r="D13808" t="str">
            <v>LINOS plate module 2/3, P 1.2, with lid</v>
          </cell>
        </row>
        <row r="13809">
          <cell r="B13809" t="str">
            <v>55-911-41-04</v>
          </cell>
          <cell r="C13809" t="str">
            <v>LINOS Plattenmodul 2/3, P 0.8, o. Deckel</v>
          </cell>
          <cell r="D13809" t="str">
            <v>LINOS plate module 2/3, P 0.8, w/o lid</v>
          </cell>
        </row>
        <row r="13810">
          <cell r="B13810" t="str">
            <v>55-911-42-04</v>
          </cell>
          <cell r="C13810" t="str">
            <v>LINOS Plattenmodul 2/3, P 1.2, o. Deckel</v>
          </cell>
          <cell r="D13810" t="str">
            <v>LINOS plate module 2/3, P 1.2, w/o lid</v>
          </cell>
        </row>
        <row r="13811">
          <cell r="B13811" t="str">
            <v>55-911-45-04</v>
          </cell>
          <cell r="C13811" t="str">
            <v>Deckel für Plattenmodul 2/3</v>
          </cell>
          <cell r="D13811" t="str">
            <v>Lid for plate module 2/3</v>
          </cell>
        </row>
        <row r="13812">
          <cell r="B13812" t="str">
            <v>55-911-47-04</v>
          </cell>
          <cell r="C13812" t="str">
            <v>Schraubenmodul, universell,  ohne Deckel</v>
          </cell>
          <cell r="D13812" t="str">
            <v>Screw module, universal,  w/o lid</v>
          </cell>
        </row>
        <row r="13813">
          <cell r="B13813" t="str">
            <v>55-911-48-04</v>
          </cell>
          <cell r="C13813" t="str">
            <v>Deckel für Schraubenmodul</v>
          </cell>
          <cell r="D13813" t="str">
            <v>Lid for screw module</v>
          </cell>
        </row>
        <row r="13814">
          <cell r="B13814" t="str">
            <v>55-925-10-04</v>
          </cell>
          <cell r="C13814" t="str">
            <v>CranioXpand Instrumentenlagerung, kpl.</v>
          </cell>
          <cell r="D13814" t="str">
            <v>CranioXpand instrument  storage, cpl.</v>
          </cell>
        </row>
        <row r="13815">
          <cell r="B13815" t="str">
            <v>55-969-69-04</v>
          </cell>
          <cell r="C13815" t="str">
            <v>Endo-Condyle Unit,Lagerungskorb</v>
          </cell>
          <cell r="D13815" t="str">
            <v>Endo-Condyle Unit,storage tray</v>
          </cell>
        </row>
        <row r="13816">
          <cell r="B13816" t="str">
            <v>55-981-10-04</v>
          </cell>
          <cell r="C13816" t="str">
            <v>Nexos P. Einsätze Set Zugangsinstrumente</v>
          </cell>
          <cell r="D13816" t="str">
            <v>Nexos P. Inserts Set Access Inst.</v>
          </cell>
        </row>
        <row r="13817">
          <cell r="B13817" t="str">
            <v>55-981-11-04</v>
          </cell>
          <cell r="C13817" t="str">
            <v>Nexos P. Lagerungskorb für Zugangsinst.</v>
          </cell>
          <cell r="D13817" t="str">
            <v>Nexos P. Basket Access Instruments</v>
          </cell>
        </row>
        <row r="13818">
          <cell r="B13818" t="str">
            <v>55-981-12-04</v>
          </cell>
          <cell r="C13818" t="str">
            <v>Nexos P. Einsatz 1 Zugangsinstrumente</v>
          </cell>
          <cell r="D13818" t="str">
            <v>Nexos P. Insert 1 Access Instruments</v>
          </cell>
        </row>
        <row r="13819">
          <cell r="B13819" t="str">
            <v>55-981-13-04</v>
          </cell>
          <cell r="C13819" t="str">
            <v>Nexos P. Einsatz 2 Zugangsinstrumente</v>
          </cell>
          <cell r="D13819" t="str">
            <v>Nexos P. Insert 2 Access Instruments</v>
          </cell>
        </row>
        <row r="13820">
          <cell r="B13820" t="str">
            <v>55-981-19-04</v>
          </cell>
          <cell r="C13820" t="str">
            <v>Nexos P. Korb Set Zugangsinst.</v>
          </cell>
          <cell r="D13820" t="str">
            <v>Nexos P. Basket Set Access Inst.</v>
          </cell>
        </row>
        <row r="13821">
          <cell r="B13821" t="str">
            <v>55-981-20-04</v>
          </cell>
          <cell r="C13821" t="str">
            <v>Nexos P. Einsätze Set Frakt. Repo.</v>
          </cell>
          <cell r="D13821" t="str">
            <v>Nexos P. Inserts Set Fract. Repo</v>
          </cell>
        </row>
        <row r="13822">
          <cell r="B13822" t="str">
            <v>55-981-21-04</v>
          </cell>
          <cell r="C13822" t="str">
            <v>Nexos P. Lagerungskorb für Frakt. Repo.</v>
          </cell>
          <cell r="D13822" t="str">
            <v>Nexos P. Basket Fract. Repo.</v>
          </cell>
        </row>
        <row r="13823">
          <cell r="B13823" t="str">
            <v>55-981-22-04</v>
          </cell>
          <cell r="C13823" t="str">
            <v>Nexos P. Einsatz 1 Frakt. Repo.</v>
          </cell>
          <cell r="D13823" t="str">
            <v>Nexos P. Insert 1 Fract. Repo.</v>
          </cell>
        </row>
        <row r="13824">
          <cell r="B13824" t="str">
            <v>55-981-23-04</v>
          </cell>
          <cell r="C13824" t="str">
            <v>Nexos P. Einsatz 2 Frakt. Repo.</v>
          </cell>
          <cell r="D13824" t="str">
            <v>Nexos P. Insert 2 Fract. Repo.</v>
          </cell>
        </row>
        <row r="13825">
          <cell r="B13825" t="str">
            <v>55-981-24-04</v>
          </cell>
          <cell r="C13825" t="str">
            <v>Nexos P. Einsatz 3 Frakt. Repo.</v>
          </cell>
          <cell r="D13825" t="str">
            <v>Nexos P. Insert 3 Fract. Repo.</v>
          </cell>
        </row>
        <row r="13826">
          <cell r="B13826" t="str">
            <v>55-981-29-04</v>
          </cell>
          <cell r="C13826" t="str">
            <v>Nexos P. Korb Set Frakt. Repo.</v>
          </cell>
          <cell r="D13826" t="str">
            <v>Nexos P. Basket Set Fract. Repo.</v>
          </cell>
        </row>
        <row r="13827">
          <cell r="B13827" t="str">
            <v>55-981-30-04</v>
          </cell>
          <cell r="C13827" t="str">
            <v>Nexos P. Einsätze Set 3.5 mm System</v>
          </cell>
          <cell r="D13827" t="str">
            <v>Nexos P. Insert Set 3.5 mm system</v>
          </cell>
        </row>
        <row r="13828">
          <cell r="B13828" t="str">
            <v>55-981-31-04</v>
          </cell>
          <cell r="C13828" t="str">
            <v>Nexos P. Lagerungskorb 3.5mm System</v>
          </cell>
          <cell r="D13828" t="str">
            <v>Nexos P. Basket 3.5mm system</v>
          </cell>
        </row>
        <row r="13829">
          <cell r="B13829" t="str">
            <v>55-981-32-04</v>
          </cell>
          <cell r="C13829" t="str">
            <v>Nexos P. Einsatz 1. 3.5mm System</v>
          </cell>
          <cell r="D13829" t="str">
            <v>Nexos P. Insert 1. 3.5mm system</v>
          </cell>
        </row>
        <row r="13830">
          <cell r="B13830" t="str">
            <v>55-981-33-04</v>
          </cell>
          <cell r="C13830" t="str">
            <v>Nexos P. Einsatz 2. 3.5mm System</v>
          </cell>
          <cell r="D13830" t="str">
            <v>Nexos P. Insert 2. 3.5mm system</v>
          </cell>
        </row>
        <row r="13831">
          <cell r="B13831" t="str">
            <v>55-981-34-04</v>
          </cell>
          <cell r="C13831" t="str">
            <v>Nexos P. Einsatz 3. 3.5mm System</v>
          </cell>
          <cell r="D13831" t="str">
            <v>Nexos P. Insert 3. 3.5mm system</v>
          </cell>
        </row>
        <row r="13832">
          <cell r="B13832" t="str">
            <v>55-981-39-04</v>
          </cell>
          <cell r="C13832" t="str">
            <v>Nexos P. Korb Set 3.5mm System</v>
          </cell>
          <cell r="D13832" t="str">
            <v>Nexos P. Basket Set 3.5mm system</v>
          </cell>
        </row>
        <row r="13833">
          <cell r="B13833" t="str">
            <v>55-981-40-04</v>
          </cell>
          <cell r="C13833" t="str">
            <v>Nexos P. Einsatz Set 4.5mm System</v>
          </cell>
          <cell r="D13833" t="str">
            <v>Nexos P. Insert Set 4.5mm system</v>
          </cell>
        </row>
        <row r="13834">
          <cell r="B13834" t="str">
            <v>55-981-41-04</v>
          </cell>
          <cell r="C13834" t="str">
            <v>Nexos P. Lagerungskorb 4.5mm System</v>
          </cell>
          <cell r="D13834" t="str">
            <v>Nexos P. Basket 4.5mm system</v>
          </cell>
        </row>
        <row r="13835">
          <cell r="B13835" t="str">
            <v>55-981-42-04</v>
          </cell>
          <cell r="C13835" t="str">
            <v>Nexos P. Einsatz 1. 4.5mm System</v>
          </cell>
          <cell r="D13835" t="str">
            <v>Nexos P. Insert 1. 4.5mm system</v>
          </cell>
        </row>
        <row r="13836">
          <cell r="B13836" t="str">
            <v>55-981-43-04</v>
          </cell>
          <cell r="C13836" t="str">
            <v>Nexos P. Einsatz 2. 4.5mm System</v>
          </cell>
          <cell r="D13836" t="str">
            <v>Nexos P. Insert 2. 4.5mm system</v>
          </cell>
        </row>
        <row r="13837">
          <cell r="B13837" t="str">
            <v>55-981-49-04</v>
          </cell>
          <cell r="C13837" t="str">
            <v>Nexos P. Korb Set 4.5mm System</v>
          </cell>
          <cell r="D13837" t="str">
            <v>Nexos P. Basket Set 4.5mm system</v>
          </cell>
        </row>
        <row r="13838">
          <cell r="B13838" t="str">
            <v>55-981-51-04</v>
          </cell>
          <cell r="C13838" t="str">
            <v>Nexos Einsatz Kollinear  Repo. Ins.</v>
          </cell>
          <cell r="D13838" t="str">
            <v>Nexos Insert Collinear  Repo. Inst.</v>
          </cell>
        </row>
        <row r="13839">
          <cell r="B13839" t="str">
            <v>55-981-59-04</v>
          </cell>
          <cell r="C13839" t="str">
            <v>Nexos komplett  Kollinear  Repo. Set</v>
          </cell>
          <cell r="D13839" t="str">
            <v>Nexos Complete  Collinear  repo. Set</v>
          </cell>
        </row>
        <row r="13840">
          <cell r="B13840" t="str">
            <v>55-981-60-04</v>
          </cell>
          <cell r="C13840" t="str">
            <v>Nexos komplett  Biegezangen XL Set</v>
          </cell>
          <cell r="D13840" t="str">
            <v>Nexos Complete  Bending Pliers XL Set</v>
          </cell>
        </row>
        <row r="13841">
          <cell r="B13841" t="str">
            <v>55-981-61-04</v>
          </cell>
          <cell r="C13841" t="str">
            <v>Nexos Einsatz Biegezangen XL</v>
          </cell>
          <cell r="D13841" t="str">
            <v>Nexos Insert Bending Pliers XL</v>
          </cell>
        </row>
        <row r="13842">
          <cell r="B13842" t="str">
            <v>55-981-70-04</v>
          </cell>
          <cell r="C13842" t="str">
            <v>Nexos Einsatz Deckel - Vollformat</v>
          </cell>
          <cell r="D13842" t="str">
            <v>Nexos Insert Lid - Full Size</v>
          </cell>
        </row>
        <row r="13843">
          <cell r="B13843" t="str">
            <v>55-981-79-04</v>
          </cell>
          <cell r="C13843" t="str">
            <v>Nexos Lagerungskorb Deckel - Vollformat</v>
          </cell>
          <cell r="D13843" t="str">
            <v>Nexos Basket Lid - Full Size</v>
          </cell>
        </row>
        <row r="13844">
          <cell r="B13844" t="str">
            <v>55-990-00-04</v>
          </cell>
          <cell r="C13844" t="str">
            <v>L1 Midface Instrumentenlagerung, kpl.</v>
          </cell>
          <cell r="D13844" t="str">
            <v>L1 Midface instrument  storage, complete</v>
          </cell>
        </row>
        <row r="13845">
          <cell r="B13845" t="str">
            <v>55-990-06-04</v>
          </cell>
          <cell r="C13845" t="str">
            <v>L1 Midface Implantatekorb o. Module, 2/3</v>
          </cell>
          <cell r="D13845" t="str">
            <v>L1 Midface implant cage w/o modules,  2/3</v>
          </cell>
        </row>
        <row r="13846">
          <cell r="B13846" t="str">
            <v>55-990-10-04</v>
          </cell>
          <cell r="C13846" t="str">
            <v>L1 Midface PM 2/3, 1.5 Micro, t=0.6</v>
          </cell>
          <cell r="D13846" t="str">
            <v>L1 Midface PM 2/3, 1.5 Micro, t=0.6</v>
          </cell>
        </row>
        <row r="13847">
          <cell r="B13847" t="str">
            <v>55-990-11-04</v>
          </cell>
          <cell r="C13847" t="str">
            <v>L1 Midface PM 2/3, 1.5 Midface,t=0.6/0.8</v>
          </cell>
          <cell r="D13847" t="str">
            <v>L1 Midface PM 2/3, 1.5 Midface,t=0.6/0.8</v>
          </cell>
        </row>
        <row r="13848">
          <cell r="B13848" t="str">
            <v>55-990-12-04</v>
          </cell>
          <cell r="C13848" t="str">
            <v>L1 Midface PM 2/3, 1.5 Midface,  t=1.0</v>
          </cell>
          <cell r="D13848" t="str">
            <v>L1 Midface PM 2/3, 1.5 Midface,  t=1.0</v>
          </cell>
        </row>
        <row r="13849">
          <cell r="B13849" t="str">
            <v>55-990-13-04</v>
          </cell>
          <cell r="C13849" t="str">
            <v>L1 Midface PM 1/3, 1.5 smart3D,  t=0.6</v>
          </cell>
          <cell r="D13849" t="str">
            <v>L1 Midface PM 1/3, 1.5 smart3D,  t=0.6</v>
          </cell>
        </row>
        <row r="13850">
          <cell r="B13850" t="str">
            <v>55-990-14-04</v>
          </cell>
          <cell r="C13850" t="str">
            <v>L1 Mandible  PM 1/3,2.0/2.3 smart3D,t=1.0</v>
          </cell>
          <cell r="D13850" t="str">
            <v>L1 Mandible  PM 1/3, 2.0/2.3 smart3D,t=1.</v>
          </cell>
        </row>
        <row r="13851">
          <cell r="B13851" t="str">
            <v>55-990-15-04</v>
          </cell>
          <cell r="C13851" t="str">
            <v>L1 Deckel für Plattenmodul 2/3</v>
          </cell>
          <cell r="D13851" t="str">
            <v>L1 lid for plate module 2/3</v>
          </cell>
        </row>
        <row r="13852">
          <cell r="B13852" t="str">
            <v>55-990-17-04</v>
          </cell>
          <cell r="C13852" t="str">
            <v>L1 Midface Sizer-Modul, 1.5 Micro</v>
          </cell>
          <cell r="D13852" t="str">
            <v>L1 Midface sizer module, 1.5 Micro</v>
          </cell>
        </row>
        <row r="13853">
          <cell r="B13853" t="str">
            <v>55-990-18-04</v>
          </cell>
          <cell r="C13853" t="str">
            <v>L1 Midface Sizer-Modul, 1.5 Midface</v>
          </cell>
          <cell r="D13853" t="str">
            <v>L1 Midface sizer module, 1.5 Midface</v>
          </cell>
        </row>
        <row r="13854">
          <cell r="B13854" t="str">
            <v>55-990-20-04</v>
          </cell>
          <cell r="C13854" t="str">
            <v>L1 Midface SM 2/3, Ø 1.5, Standard</v>
          </cell>
          <cell r="D13854" t="str">
            <v>L1 Midface SM 2/3, Ø 1.5, Standard</v>
          </cell>
        </row>
        <row r="13855">
          <cell r="B13855" t="str">
            <v>55-990-21-04</v>
          </cell>
          <cell r="C13855" t="str">
            <v>L1 Midface SM 2/3, Ø1.5, Std., o. Deckel</v>
          </cell>
          <cell r="D13855" t="str">
            <v>L1 Midface SM 2/3, Ø 1.5, Std., w/o lid</v>
          </cell>
        </row>
        <row r="13856">
          <cell r="B13856" t="str">
            <v>55-990-22-04</v>
          </cell>
          <cell r="C13856" t="str">
            <v>L1 Deckel für Schraubenmodul 2/3, Pin</v>
          </cell>
          <cell r="D13856" t="str">
            <v>L1 lid for screw module 2/3, pin</v>
          </cell>
        </row>
        <row r="13857">
          <cell r="B13857" t="str">
            <v>55-990-23-04</v>
          </cell>
          <cell r="C13857" t="str">
            <v>L1 Deckel für Schraubenmodul 2/3, Feder</v>
          </cell>
          <cell r="D13857" t="str">
            <v>L1 lid for screw module 2/3, waves</v>
          </cell>
        </row>
        <row r="13858">
          <cell r="B13858" t="str">
            <v>55-990-25-04</v>
          </cell>
          <cell r="C13858" t="str">
            <v>L1 Midface SM 1/3, Ø 1.5, Emergency/DF</v>
          </cell>
          <cell r="D13858" t="str">
            <v>L1 Midface SM 1/3, Ø 1.5, Emergency/DF</v>
          </cell>
        </row>
        <row r="13859">
          <cell r="B13859" t="str">
            <v>55-990-26-04</v>
          </cell>
          <cell r="C13859" t="str">
            <v>L1 Midface SM 1/3, Ø1.5, E/DF, o. Deckel</v>
          </cell>
          <cell r="D13859" t="str">
            <v>L1 Midface SM 1/3, Ø 1.5, E/DF, w/o lid</v>
          </cell>
        </row>
        <row r="13860">
          <cell r="B13860" t="str">
            <v>55-990-27-04</v>
          </cell>
          <cell r="C13860" t="str">
            <v>L1 Deckel für Schraubenmodul 1/3, Pin</v>
          </cell>
          <cell r="D13860" t="str">
            <v>L1 lid for screw module 1/3, pin</v>
          </cell>
        </row>
        <row r="13861">
          <cell r="B13861" t="str">
            <v>55-990-28-04</v>
          </cell>
          <cell r="C13861" t="str">
            <v>L1 Deckel für Schraubenmodul 1/3, Feder</v>
          </cell>
          <cell r="D13861" t="str">
            <v>L1 lid for screw module 1/3, waves</v>
          </cell>
        </row>
        <row r="13862">
          <cell r="B13862" t="str">
            <v>55-990-29-04</v>
          </cell>
          <cell r="C13862" t="str">
            <v>L1 Cranium Einsatz Comfort</v>
          </cell>
          <cell r="D13862" t="str">
            <v>L1 Cranium insert Comfort</v>
          </cell>
        </row>
        <row r="13863">
          <cell r="B13863" t="str">
            <v>55-990-30-04</v>
          </cell>
          <cell r="C13863" t="str">
            <v>L1 Instrumentenmodul Universal</v>
          </cell>
          <cell r="D13863" t="str">
            <v>L1 instrument  module Universal</v>
          </cell>
        </row>
        <row r="13864">
          <cell r="B13864" t="str">
            <v>55-990-31-04</v>
          </cell>
          <cell r="C13864" t="str">
            <v>L1 Cranium SM 1/3, Ø 1.5, DF/Emergency</v>
          </cell>
          <cell r="D13864" t="str">
            <v>L1 Cranium SM 1/3, Ø 1.5, DF/Emergency</v>
          </cell>
        </row>
        <row r="13865">
          <cell r="B13865" t="str">
            <v>55-990-32-04</v>
          </cell>
          <cell r="C13865" t="str">
            <v>L1 Cranium PM 2/3, 1.5 ultraOne,  t=0.35</v>
          </cell>
          <cell r="D13865" t="str">
            <v>L1 Cranium PM 2/3, 1.5 ultraOne,  t=0.35</v>
          </cell>
        </row>
        <row r="13866">
          <cell r="B13866" t="str">
            <v>55-990-33-04</v>
          </cell>
          <cell r="C13866" t="str">
            <v>L1 Cranium Tray</v>
          </cell>
          <cell r="D13866" t="str">
            <v>L1 Cranium tray</v>
          </cell>
        </row>
        <row r="13867">
          <cell r="B13867" t="str">
            <v>55-990-35-04</v>
          </cell>
          <cell r="C13867" t="str">
            <v>L1 Cranium Instrumentenmodul Standard</v>
          </cell>
          <cell r="D13867" t="str">
            <v>L1 Cranium instrument  module Standard</v>
          </cell>
        </row>
        <row r="13868">
          <cell r="B13868" t="str">
            <v>55-990-36-04</v>
          </cell>
          <cell r="C13868" t="str">
            <v>L1 Cranium Instrumentenmodul Comfort</v>
          </cell>
          <cell r="D13868" t="str">
            <v>L1 Cranium   instrument  module Comfort</v>
          </cell>
        </row>
        <row r="13869">
          <cell r="B13869" t="str">
            <v>55-990-37-04</v>
          </cell>
          <cell r="C13869" t="str">
            <v>L1 Instrumentenmodul 1/3 Deckel</v>
          </cell>
          <cell r="D13869" t="str">
            <v>L1 instrument  module 1/3 lid</v>
          </cell>
        </row>
        <row r="13870">
          <cell r="B13870" t="str">
            <v>55-990-38-04</v>
          </cell>
          <cell r="C13870" t="str">
            <v>L1 Instrumentenmodul 2/3 Deckel</v>
          </cell>
          <cell r="D13870" t="str">
            <v>L1 instrument  module 2/3 lid</v>
          </cell>
        </row>
        <row r="13871">
          <cell r="B13871" t="str">
            <v>55-990-49-04</v>
          </cell>
          <cell r="C13871" t="str">
            <v>L1 Aufnahme  für 8 Schrauben-Einzelclips</v>
          </cell>
          <cell r="D13871" t="str">
            <v>L1 storage for 8 screw single clips</v>
          </cell>
        </row>
        <row r="13872">
          <cell r="B13872" t="str">
            <v>55-990-50-04</v>
          </cell>
          <cell r="C13872" t="str">
            <v>L1 ReconGuide Instrumentenlagerung, kpl.</v>
          </cell>
          <cell r="D13872" t="str">
            <v>L1 ReconGuide instrument  storage, cpl.</v>
          </cell>
        </row>
        <row r="13873">
          <cell r="B13873" t="str">
            <v>55-990-51-04</v>
          </cell>
          <cell r="C13873" t="str">
            <v>L1 ReconGuide Instrumentenkorb</v>
          </cell>
          <cell r="D13873" t="str">
            <v>L1 ReconGuide instrument  cage</v>
          </cell>
        </row>
        <row r="13874">
          <cell r="B13874" t="str">
            <v>55-990-52-04</v>
          </cell>
          <cell r="C13874" t="str">
            <v>L1 ReconGuide Einsatz Unterkiefer</v>
          </cell>
          <cell r="D13874" t="str">
            <v>L1 ReconGuide insert mandible</v>
          </cell>
        </row>
        <row r="13875">
          <cell r="B13875" t="str">
            <v>55-990-53-04</v>
          </cell>
          <cell r="C13875" t="str">
            <v>L1 ReconGuide Einsatz Fibula</v>
          </cell>
          <cell r="D13875" t="str">
            <v>L1 ReconGuide insert fibula</v>
          </cell>
        </row>
        <row r="13876">
          <cell r="B13876" t="str">
            <v>55-990-55-04</v>
          </cell>
          <cell r="C13876" t="str">
            <v>L1 ReconGuide Implantatelagerung, kpl.</v>
          </cell>
          <cell r="D13876" t="str">
            <v>L1 ReconGuide implant storage, complete</v>
          </cell>
        </row>
        <row r="13877">
          <cell r="B13877" t="str">
            <v>55-990-56-04</v>
          </cell>
          <cell r="C13877" t="str">
            <v>L1 ReconGuide Implantatekorb o. Module</v>
          </cell>
          <cell r="D13877" t="str">
            <v>L1 ReconGuide implant cage w/h modules</v>
          </cell>
        </row>
        <row r="13878">
          <cell r="B13878" t="str">
            <v>55-990-57-04</v>
          </cell>
          <cell r="C13878" t="str">
            <v>L1 ReconGuide SM 1/3, Ø 2.0, Stand., UK</v>
          </cell>
          <cell r="D13878" t="str">
            <v>L1 ReconGuide SM 1/3, Ø 2.0, S, mandible</v>
          </cell>
        </row>
        <row r="13879">
          <cell r="B13879" t="str">
            <v>55-990-58-04</v>
          </cell>
          <cell r="C13879" t="str">
            <v>L1 ReconGuide SM 2/3, Ø 2.0, S/E, FIBULA</v>
          </cell>
          <cell r="D13879" t="str">
            <v>L1 ReconGuide SM 2/3, Ø 2.0, S/E, fibula</v>
          </cell>
        </row>
        <row r="13880">
          <cell r="B13880" t="str">
            <v>55-990-59-04</v>
          </cell>
          <cell r="C13880" t="str">
            <v>L1 ReconGuide PM 2/3, 2.0 Mini-Platten</v>
          </cell>
          <cell r="D13880" t="str">
            <v>L1 ReconGuide PM 2/3. for 2.0 miniplates</v>
          </cell>
        </row>
        <row r="13881">
          <cell r="B13881" t="str">
            <v>55-990-65-04</v>
          </cell>
          <cell r="C13881" t="str">
            <v>MI Lagerungskorb 1,komplett</v>
          </cell>
          <cell r="D13881" t="str">
            <v>MI storage tray 1,complete</v>
          </cell>
        </row>
        <row r="13882">
          <cell r="B13882" t="str">
            <v>55-990-66-04</v>
          </cell>
          <cell r="C13882" t="str">
            <v>MI Lagerungskorb 1,ohne Schubladen</v>
          </cell>
          <cell r="D13882" t="str">
            <v>MI storage tray 1,without  drawers</v>
          </cell>
        </row>
        <row r="13883">
          <cell r="B13883" t="str">
            <v>55-990-67-04</v>
          </cell>
          <cell r="C13883" t="str">
            <v>MI Lagerungsschublade OS, Ch</v>
          </cell>
          <cell r="D13883" t="str">
            <v>MI drawer insert OS, Ch</v>
          </cell>
        </row>
        <row r="13884">
          <cell r="B13884" t="str">
            <v>55-990-68-04</v>
          </cell>
          <cell r="C13884" t="str">
            <v>MI Lagerungsschublade HK, MI</v>
          </cell>
          <cell r="D13884" t="str">
            <v>MI drawer insert HK, MI</v>
          </cell>
        </row>
        <row r="13885">
          <cell r="B13885" t="str">
            <v>55-990-69-04</v>
          </cell>
          <cell r="C13885" t="str">
            <v>MI Lagerungsschublade RT, Md</v>
          </cell>
          <cell r="D13885" t="str">
            <v>MI drawer insert RT, Md</v>
          </cell>
        </row>
        <row r="13886">
          <cell r="B13886" t="str">
            <v>55-990-70-04</v>
          </cell>
          <cell r="C13886" t="str">
            <v>MI Lagerungsschublade SEQ</v>
          </cell>
          <cell r="D13886" t="str">
            <v>MI drawer insert SEQ</v>
          </cell>
        </row>
        <row r="13887">
          <cell r="B13887" t="str">
            <v>55-990-71-04</v>
          </cell>
          <cell r="C13887" t="str">
            <v>MI Halterung  Spacer Md4-Md9</v>
          </cell>
          <cell r="D13887" t="str">
            <v>MI Insert Spacer Md4-Md9</v>
          </cell>
        </row>
        <row r="13888">
          <cell r="B13888" t="str">
            <v>55-990-72-04</v>
          </cell>
          <cell r="C13888" t="str">
            <v>MI Lagerungskorb 2,komplett</v>
          </cell>
          <cell r="D13888" t="str">
            <v>MI storage tray 2,complete</v>
          </cell>
        </row>
        <row r="13889">
          <cell r="B13889" t="str">
            <v>55-990-73-04</v>
          </cell>
          <cell r="C13889" t="str">
            <v>MI Lagerungskorb 2,ohne Schubladen</v>
          </cell>
          <cell r="D13889" t="str">
            <v>MI storage tray 2,without  drawers</v>
          </cell>
        </row>
        <row r="13890">
          <cell r="B13890" t="str">
            <v>55-990-74-04</v>
          </cell>
          <cell r="C13890" t="str">
            <v>MI Lagerungsschublade BI</v>
          </cell>
          <cell r="D13890" t="str">
            <v>MI drawer insert SEQ</v>
          </cell>
        </row>
        <row r="13891">
          <cell r="B13891" t="str">
            <v>55-990-75-04</v>
          </cell>
          <cell r="C13891" t="str">
            <v>MI Lagerungsschublade Mx</v>
          </cell>
          <cell r="D13891" t="str">
            <v>MI drawer insert Mx</v>
          </cell>
        </row>
        <row r="13892">
          <cell r="B13892" t="str">
            <v>55-990-76-04</v>
          </cell>
          <cell r="C13892" t="str">
            <v>MI Lagerungsschublade Freilagerung</v>
          </cell>
          <cell r="D13892" t="str">
            <v>MI drawer free storage space</v>
          </cell>
        </row>
        <row r="13893">
          <cell r="B13893" t="str">
            <v>55-993-01-04</v>
          </cell>
          <cell r="C13893" t="str">
            <v>L1 Customized  Korb</v>
          </cell>
          <cell r="D13893" t="str">
            <v>L1 Customized  cage</v>
          </cell>
        </row>
        <row r="13894">
          <cell r="B13894" t="str">
            <v>55-993-02-04</v>
          </cell>
          <cell r="C13894" t="str">
            <v>L1 Customized Schraubenmodul 2/3</v>
          </cell>
          <cell r="D13894" t="str">
            <v>L1 Customized Screw Module 2/3</v>
          </cell>
        </row>
        <row r="13895">
          <cell r="B13895" t="str">
            <v>55-993-03-04</v>
          </cell>
          <cell r="C13895" t="str">
            <v>L1 Customized Schraubenmodul 1/3</v>
          </cell>
          <cell r="D13895" t="str">
            <v>L1 Customized Screw Module 1/3</v>
          </cell>
        </row>
        <row r="13896">
          <cell r="B13896" t="str">
            <v>55-993-04-04</v>
          </cell>
          <cell r="C13896" t="str">
            <v>L1 Customized Plattenmodul 2/3 M1</v>
          </cell>
          <cell r="D13896" t="str">
            <v>L1 Customized Plate Module 2/3 M1</v>
          </cell>
        </row>
        <row r="13897">
          <cell r="B13897" t="str">
            <v>55-993-05-04</v>
          </cell>
          <cell r="C13897" t="str">
            <v>L1 Customized Plattenmodul 2/3 M2</v>
          </cell>
          <cell r="D13897" t="str">
            <v>L1 Customized Plate Module 2/3 M2</v>
          </cell>
        </row>
        <row r="13898">
          <cell r="B13898" t="str">
            <v>55-993-06-04</v>
          </cell>
          <cell r="C13898" t="str">
            <v>L1 Customized Plattenmodul 2/3 M3</v>
          </cell>
          <cell r="D13898" t="str">
            <v>L1 Customized Plate Module 2/3 M3</v>
          </cell>
        </row>
        <row r="13899">
          <cell r="B13899" t="str">
            <v>55-993-07-04</v>
          </cell>
          <cell r="C13899" t="str">
            <v>L1 Customized Plattenmodul 2/3 M4</v>
          </cell>
          <cell r="D13899" t="str">
            <v>L1 Customized Plate Module 2/3 M4</v>
          </cell>
        </row>
        <row r="13900">
          <cell r="B13900" t="str">
            <v>55-993-08-04</v>
          </cell>
          <cell r="C13900" t="str">
            <v>L1 Customized Plattenmodul M5</v>
          </cell>
          <cell r="D13900" t="str">
            <v>L1 Customized Plate Module M5</v>
          </cell>
        </row>
        <row r="13901">
          <cell r="B13901" t="str">
            <v>55-993-09-04</v>
          </cell>
          <cell r="C13901" t="str">
            <v>L1 Customized Plattenmodul 1/3 M1</v>
          </cell>
          <cell r="D13901" t="str">
            <v>L1 Customized Plate Module 1/3 M1</v>
          </cell>
        </row>
        <row r="13902">
          <cell r="B13902" t="str">
            <v>55-993-10-04</v>
          </cell>
          <cell r="C13902" t="str">
            <v>L1 Customized Plattenmodul 1/3 M2</v>
          </cell>
          <cell r="D13902" t="str">
            <v>L1 Customized Plate Module 1/3 M2</v>
          </cell>
        </row>
        <row r="13903">
          <cell r="B13903" t="str">
            <v>55-996-76-04</v>
          </cell>
          <cell r="C13903" t="str">
            <v>Plombe, MiniSet, o. Indikator</v>
          </cell>
          <cell r="D13903" t="str">
            <v>Seal, MiniSet, w/o indicator</v>
          </cell>
        </row>
        <row r="13904">
          <cell r="B13904" t="str">
            <v>55-996-77-04</v>
          </cell>
          <cell r="C13904" t="str">
            <v>Plombe, MiniSet, m. Indikator</v>
          </cell>
          <cell r="D13904" t="str">
            <v>Seal, MiniSet, w. indicator</v>
          </cell>
        </row>
        <row r="13905">
          <cell r="B13905" t="str">
            <v>55-996-80-04</v>
          </cell>
          <cell r="C13905" t="str">
            <v>MS1 u. marSafe,  o. Indikator</v>
          </cell>
          <cell r="D13905" t="str">
            <v>Seal, MS1, marSafe,  w/o indicator</v>
          </cell>
        </row>
        <row r="13906">
          <cell r="B13906" t="str">
            <v>55-996-81-04</v>
          </cell>
          <cell r="C13906" t="str">
            <v>MS1 u. marSafe,  m. Indikator</v>
          </cell>
          <cell r="D13906" t="str">
            <v>Seal, MS1, marSafe,  w. indicator</v>
          </cell>
        </row>
        <row r="13907">
          <cell r="B13907" t="str">
            <v>55-996-82-04</v>
          </cell>
          <cell r="C13907" t="str">
            <v>Plombe, MS2, o. Indikator</v>
          </cell>
          <cell r="D13907" t="str">
            <v>Seal, MS2, w/o indicator</v>
          </cell>
        </row>
        <row r="13908">
          <cell r="B13908" t="str">
            <v>55-996-83-04</v>
          </cell>
          <cell r="C13908" t="str">
            <v>Plombe, MS2, m. Indikator</v>
          </cell>
          <cell r="D13908" t="str">
            <v>Seal, MS2, w. indicator</v>
          </cell>
        </row>
        <row r="13909">
          <cell r="B13909" t="str">
            <v>56-231-04-01</v>
          </cell>
          <cell r="C13909" t="str">
            <v>METALLSCHALE, H = 19, Ø 40 MM, 0,02 L</v>
          </cell>
          <cell r="D13909" t="str">
            <v>BOWL, METAL, H = 19, Ø 40 MM, 0.02 L</v>
          </cell>
        </row>
        <row r="13910">
          <cell r="B13910" t="str">
            <v>56-231-06-01</v>
          </cell>
          <cell r="C13910" t="str">
            <v>METALLSCHALE, H = 30, Ø 61 MM, 0,07 L</v>
          </cell>
          <cell r="D13910" t="str">
            <v>BOWL, METAL, H = 30, Ø 61 MM, 0.07 L</v>
          </cell>
        </row>
        <row r="13911">
          <cell r="B13911" t="str">
            <v>56-231-08-01</v>
          </cell>
          <cell r="C13911" t="str">
            <v>METALLSCHALE, H = 40, Ø 80 MM, 0,14 L</v>
          </cell>
          <cell r="D13911" t="str">
            <v>BOWL, METAL, H = 40, Ø 80 MM, 0.14 L</v>
          </cell>
        </row>
        <row r="13912">
          <cell r="B13912" t="str">
            <v>56-231-11-01</v>
          </cell>
          <cell r="C13912" t="str">
            <v>METALLSCHALE, H = 50, Ø 116 MM, 0,25 L</v>
          </cell>
          <cell r="D13912" t="str">
            <v>BOWL, METAL, H = 50, Ø 116 MM, 0.25 L</v>
          </cell>
        </row>
        <row r="13913">
          <cell r="B13913" t="str">
            <v>56-231-12-01</v>
          </cell>
          <cell r="C13913" t="str">
            <v>METALLSCHALE, H = 55, Ø 128 MM, 0,35 L</v>
          </cell>
          <cell r="D13913" t="str">
            <v>BOWL, METAL, H = 55, Ø 128 MM, 0.35 L</v>
          </cell>
        </row>
        <row r="13914">
          <cell r="B13914" t="str">
            <v>56-231-14-01</v>
          </cell>
          <cell r="C13914" t="str">
            <v>METALLSCHALE, H = 65, Ø 147 MM, 0,50 L</v>
          </cell>
          <cell r="D13914" t="str">
            <v>BOWL, METAL, H = 65, Ø 147 MM, 0.50L</v>
          </cell>
        </row>
        <row r="13915">
          <cell r="B13915" t="str">
            <v>56-231-16-01</v>
          </cell>
          <cell r="C13915" t="str">
            <v>METALLSCHALE, H = 75, Ø 167 MM, 0,9 L</v>
          </cell>
          <cell r="D13915" t="str">
            <v>BOWL, METAL, H = 75, Ø 167 MM, 0.9 L</v>
          </cell>
        </row>
        <row r="13916">
          <cell r="B13916" t="str">
            <v>56-231-18-01</v>
          </cell>
          <cell r="C13916" t="str">
            <v>METALLSCHALE, H = 85, Ø 187 MM, 1,3 L</v>
          </cell>
          <cell r="D13916" t="str">
            <v>BOWL, METAL, H = 85, Ø 187 MM, 1.3 L</v>
          </cell>
        </row>
        <row r="13917">
          <cell r="B13917" t="str">
            <v>56-235-11-01</v>
          </cell>
          <cell r="C13917" t="str">
            <v>FLACHSCHALE, H = 35, Ø 116 MM, 0,2 L</v>
          </cell>
          <cell r="D13917" t="str">
            <v>BOWL, FLAT, H = 35, Ø 116 MM, 0.2 L</v>
          </cell>
        </row>
        <row r="13918">
          <cell r="B13918" t="str">
            <v>56-235-12-01</v>
          </cell>
          <cell r="C13918" t="str">
            <v>FLACHSCHALE, H = 38, Ø 128 MM, 0,3 L</v>
          </cell>
          <cell r="D13918" t="str">
            <v>BOWL, FLAT, H = 38, Ø 128 MM, 0.3 L</v>
          </cell>
        </row>
        <row r="13919">
          <cell r="B13919" t="str">
            <v>56-235-14-01</v>
          </cell>
          <cell r="C13919" t="str">
            <v>FLACHSCHALE, H = 38, Ø 147 MM, 0,4 L</v>
          </cell>
          <cell r="D13919" t="str">
            <v>BOWL, FLAT, H = 38, Ø 147 MM, 0.4 L</v>
          </cell>
        </row>
        <row r="13920">
          <cell r="B13920" t="str">
            <v>56-235-16-01</v>
          </cell>
          <cell r="C13920" t="str">
            <v>FLACHSCHALE, H = 45, Ø 167 MM, 0,5 L</v>
          </cell>
          <cell r="D13920" t="str">
            <v>BOWL, FLAT, H = 45, Ø 167 MM, 0.5 L</v>
          </cell>
        </row>
        <row r="13921">
          <cell r="B13921" t="str">
            <v>56-235-18-01</v>
          </cell>
          <cell r="C13921" t="str">
            <v>FLACHSCHALE, H = 45, Ø 187 MM, 0,6 L</v>
          </cell>
          <cell r="D13921" t="str">
            <v>BOWL, FLAT, H = 45, Ø 187 MM, 0.6 L</v>
          </cell>
        </row>
        <row r="13922">
          <cell r="B13922" t="str">
            <v>56-256-02-01</v>
          </cell>
          <cell r="C13922" t="str">
            <v>MESSBECHER, INNEN GRADUIERT, 250 CCM</v>
          </cell>
          <cell r="D13922" t="str">
            <v>MEASURING CUP, GRADUATED, 250 CCM</v>
          </cell>
        </row>
        <row r="13923">
          <cell r="B13923" t="str">
            <v>56-256-05-01</v>
          </cell>
          <cell r="C13923" t="str">
            <v>MESSBECHER, INNEN GRADUIERT, 500 CCM</v>
          </cell>
          <cell r="D13923" t="str">
            <v>MEASURING CUP, GRADUATED, 500 CCM</v>
          </cell>
        </row>
        <row r="13924">
          <cell r="B13924" t="str">
            <v>56-256-10-01</v>
          </cell>
          <cell r="C13924" t="str">
            <v>MESSBECHER, INNEN GRADUIERT, 1000 CCM</v>
          </cell>
          <cell r="D13924" t="str">
            <v>MEASURING CUP, GRADUATED, 1000 CCM</v>
          </cell>
        </row>
        <row r="13925">
          <cell r="B13925" t="str">
            <v>56-256-20-01</v>
          </cell>
          <cell r="C13925" t="str">
            <v>MESSBECHER, INNEN GRADUIERT, 2000 CCM</v>
          </cell>
          <cell r="D13925" t="str">
            <v>MEASURING CUP, GRADUATED, 2000 CCM</v>
          </cell>
        </row>
        <row r="13926">
          <cell r="B13926" t="str">
            <v>56-321-23-01</v>
          </cell>
          <cell r="C13926" t="str">
            <v>ECKSCHALE, 230X155X30 MM</v>
          </cell>
          <cell r="D13926" t="str">
            <v>DISH, SQUARE,  230X155X30 MM</v>
          </cell>
        </row>
        <row r="13927">
          <cell r="B13927" t="str">
            <v>56-321-30-01</v>
          </cell>
          <cell r="C13927" t="str">
            <v>ECKSCHALE, 300X175X30 MM</v>
          </cell>
          <cell r="D13927" t="str">
            <v>DISH, SQUARE,  300X175X30 MM</v>
          </cell>
        </row>
        <row r="13928">
          <cell r="B13928" t="str">
            <v>56-321-31-01</v>
          </cell>
          <cell r="C13928" t="str">
            <v>ECKSCHALE, 300X175X40 MM</v>
          </cell>
          <cell r="D13928" t="str">
            <v>DISH, SQUARE,  300X175X40 MM</v>
          </cell>
        </row>
        <row r="13929">
          <cell r="B13929" t="str">
            <v>56-321-35-01</v>
          </cell>
          <cell r="C13929" t="str">
            <v>ECKSCHALE, 350X240X40 MM</v>
          </cell>
          <cell r="D13929" t="str">
            <v>DISH, SQUARE,  350X240X40 MM</v>
          </cell>
        </row>
        <row r="13930">
          <cell r="B13930" t="str">
            <v>56-321-40-01</v>
          </cell>
          <cell r="C13930" t="str">
            <v>ECKSCHALE, 470X320X50 MM</v>
          </cell>
          <cell r="D13930" t="str">
            <v>DISH, SQUARE,  470X320X50 MM</v>
          </cell>
        </row>
        <row r="13931">
          <cell r="B13931" t="str">
            <v>56-324-21-01</v>
          </cell>
          <cell r="C13931" t="str">
            <v>INSTRUMENTEN-TABLETT, 210X160X11 MM</v>
          </cell>
          <cell r="D13931" t="str">
            <v>INSTRUMENT TRAY, 210X160X11 MM</v>
          </cell>
        </row>
        <row r="13932">
          <cell r="B13932" t="str">
            <v>56-324-24-01</v>
          </cell>
          <cell r="C13932" t="str">
            <v>INSTRUMENTEN-TABLETT, 240X180X9 MM</v>
          </cell>
          <cell r="D13932" t="str">
            <v>INSTRUMENT TRAY, 240X180X9 MM</v>
          </cell>
        </row>
        <row r="13933">
          <cell r="B13933" t="str">
            <v>56-324-30-01</v>
          </cell>
          <cell r="C13933" t="str">
            <v>INSTRUMENTEN-TABLETT, 300X160X11 MM</v>
          </cell>
          <cell r="D13933" t="str">
            <v>INSTRUMENT TRAY, 300X160X11 MM</v>
          </cell>
        </row>
        <row r="13934">
          <cell r="B13934" t="str">
            <v>56-324-31-01</v>
          </cell>
          <cell r="C13934" t="str">
            <v>INSTRUMENTEN-TABLETT, 310X205X11 MM</v>
          </cell>
          <cell r="D13934" t="str">
            <v>INSTRUMENT TRAY, 310X205X11 MM</v>
          </cell>
        </row>
        <row r="13935">
          <cell r="B13935" t="str">
            <v>56-324-35-01</v>
          </cell>
          <cell r="C13935" t="str">
            <v>Instrumenten Tablett, 335x235x10 mm</v>
          </cell>
          <cell r="D13935" t="str">
            <v>Instrument tray, 335x235x10 mm</v>
          </cell>
        </row>
        <row r="13936">
          <cell r="B13936" t="str">
            <v>56-324-40-01</v>
          </cell>
          <cell r="C13936" t="str">
            <v>INSTRUMENTEN-TABLETT, 425X290X19 MM</v>
          </cell>
          <cell r="D13936" t="str">
            <v>INSTRUMENT TRAY, 425X290X19 MM</v>
          </cell>
        </row>
        <row r="13937">
          <cell r="B13937" t="str">
            <v>56-324-42-01</v>
          </cell>
          <cell r="C13937" t="str">
            <v>INSTRUMENTEN-TABLETT, 400X300X12 MM</v>
          </cell>
          <cell r="D13937" t="str">
            <v>INSTRUMENT TRAY, 400X300X12 MM</v>
          </cell>
        </row>
        <row r="13938">
          <cell r="B13938" t="str">
            <v>59-110-16-71</v>
          </cell>
          <cell r="C13938" t="str">
            <v>smartDrive2 Standard  ST-Schr. Ø3,5x16mm</v>
          </cell>
          <cell r="D13938" t="str">
            <v>smartDrive2 Standard  ST-Screw  Ø3,5x16mm</v>
          </cell>
        </row>
        <row r="13939">
          <cell r="B13939" t="str">
            <v>59-110-17-71</v>
          </cell>
          <cell r="C13939" t="str">
            <v>smartDrive2 Standard  ST-Schr. Ø3,5x17mm</v>
          </cell>
          <cell r="D13939" t="str">
            <v>smartDrive2 Standard  ST-Screw  Ø3,5x17mm</v>
          </cell>
        </row>
        <row r="13940">
          <cell r="B13940" t="str">
            <v>59-110-18-71</v>
          </cell>
          <cell r="C13940" t="str">
            <v>smartDrive2 Standard  ST-Schr. Ø3,5x18mm</v>
          </cell>
          <cell r="D13940" t="str">
            <v>smartDrive2 Standard  ST-Screw  Ø3,5x18mm</v>
          </cell>
        </row>
        <row r="13941">
          <cell r="B13941" t="str">
            <v>59-110-19-71</v>
          </cell>
          <cell r="C13941" t="str">
            <v>smartDrive2 Standard  ST-Schr. Ø3,5x19mm</v>
          </cell>
          <cell r="D13941" t="str">
            <v>smartDrive2 Standard  ST-Screw  Ø3,5x19mm</v>
          </cell>
        </row>
        <row r="13942">
          <cell r="B13942" t="str">
            <v>59-110-20-71</v>
          </cell>
          <cell r="C13942" t="str">
            <v>smartDrive2 Standard  ST-Schr. Ø3,5x20mm</v>
          </cell>
          <cell r="D13942" t="str">
            <v>smartDrive2 Standard  ST-Screw  Ø3,5x20mm</v>
          </cell>
        </row>
        <row r="13943">
          <cell r="B13943" t="str">
            <v>59-110-22-71</v>
          </cell>
          <cell r="C13943" t="str">
            <v>smartDrive2 Standard  ST-Schr. Ø3,5x22mm</v>
          </cell>
          <cell r="D13943" t="str">
            <v>smartDrive2 Standard  ST-Screw  Ø3,5x22mm</v>
          </cell>
        </row>
        <row r="13944">
          <cell r="B13944" t="str">
            <v>59-110-24-71</v>
          </cell>
          <cell r="C13944" t="str">
            <v>smartDrive2 Standard  ST-Schr. Ø3,5x24mm</v>
          </cell>
          <cell r="D13944" t="str">
            <v>smartDrive2 Standard  ST-Screw  Ø3,5x24mm</v>
          </cell>
        </row>
        <row r="13945">
          <cell r="B13945" t="str">
            <v>59-110-26-71</v>
          </cell>
          <cell r="C13945" t="str">
            <v>smartDrive2 Standard  ST-Schr. Ø3,5x26mm</v>
          </cell>
          <cell r="D13945" t="str">
            <v>smartDrive2 Standard  ST-Screw  Ø3,5x26mm</v>
          </cell>
        </row>
        <row r="13946">
          <cell r="B13946" t="str">
            <v>59-110-28-71</v>
          </cell>
          <cell r="C13946" t="str">
            <v>smartDrive2 Standard  ST-Schr. Ø3,5x28mm</v>
          </cell>
          <cell r="D13946" t="str">
            <v>smartDrive2 Standard  ST-Screw  Ø3,5x28mm</v>
          </cell>
        </row>
        <row r="13947">
          <cell r="B13947" t="str">
            <v>59-110-30-71</v>
          </cell>
          <cell r="C13947" t="str">
            <v>smartDrive2 Standard  ST-Schr. Ø3,5x30mm</v>
          </cell>
          <cell r="D13947" t="str">
            <v>smartDrive2 Standard  ST-Screw  Ø3,5x30mm</v>
          </cell>
        </row>
        <row r="13948">
          <cell r="B13948" t="str">
            <v>59-110-32-71</v>
          </cell>
          <cell r="C13948" t="str">
            <v>smartDrive2 Standard  ST-Schr. Ø3,5x32mm</v>
          </cell>
          <cell r="D13948" t="str">
            <v>smartDrive2 Standard  ST-Screw  Ø3,5x32mm</v>
          </cell>
        </row>
        <row r="13949">
          <cell r="B13949" t="str">
            <v>59-110-34-71</v>
          </cell>
          <cell r="C13949" t="str">
            <v>smartDrive2 Standard  ST-Schr. Ø3,5x34mm</v>
          </cell>
          <cell r="D13949" t="str">
            <v>smartDrive2 Standard  ST-Screw  Ø3,5x34mm</v>
          </cell>
        </row>
        <row r="13950">
          <cell r="B13950" t="str">
            <v>59-110-36-71</v>
          </cell>
          <cell r="C13950" t="str">
            <v>smartDrive2 Standard  ST-Schr. Ø3,5x36mm</v>
          </cell>
          <cell r="D13950" t="str">
            <v>smartDrive2 Standard  ST-Screw  Ø3,5x36mm</v>
          </cell>
        </row>
        <row r="13951">
          <cell r="B13951" t="str">
            <v>59-110-38-71</v>
          </cell>
          <cell r="C13951" t="str">
            <v>smartDrive2 Standard  ST-Schr. Ø3,5x38mm</v>
          </cell>
          <cell r="D13951" t="str">
            <v>smartDrive2 Standard  ST-Screw  Ø3,5x38mm</v>
          </cell>
        </row>
        <row r="13952">
          <cell r="B13952" t="str">
            <v>59-110-40-71</v>
          </cell>
          <cell r="C13952" t="str">
            <v>smartDrive2 Standard  ST-Schr. Ø3,5x40mm</v>
          </cell>
          <cell r="D13952" t="str">
            <v>smartDrive2 Standard  ST-Screw  Ø3,5x40mm</v>
          </cell>
        </row>
        <row r="13953">
          <cell r="B13953" t="str">
            <v>59-110-42-71</v>
          </cell>
          <cell r="C13953" t="str">
            <v>smartDrive2 Standard  ST-Schr. Ø3,5x42mm</v>
          </cell>
          <cell r="D13953" t="str">
            <v>smartDrive2 Standard  ST-Screw  Ø3,5x42mm</v>
          </cell>
        </row>
        <row r="13954">
          <cell r="B13954" t="str">
            <v>59-110-44-71</v>
          </cell>
          <cell r="C13954" t="str">
            <v>smartDrive2 Standard  ST-Schr. Ø3,5x44mm</v>
          </cell>
          <cell r="D13954" t="str">
            <v>smartDrive2 Standard  ST-Screw  Ø3,5x44mm</v>
          </cell>
        </row>
        <row r="13955">
          <cell r="B13955" t="str">
            <v>59-110-46-71</v>
          </cell>
          <cell r="C13955" t="str">
            <v>smartDrive2 Standard  ST-Schr. Ø3,5x46mm</v>
          </cell>
          <cell r="D13955" t="str">
            <v>smartDrive2 Standard  ST-Screw  Ø3,5x46mm</v>
          </cell>
        </row>
        <row r="13956">
          <cell r="B13956" t="str">
            <v>59-110-48-71</v>
          </cell>
          <cell r="C13956" t="str">
            <v>smartDrive2 Standard  ST-Schr. Ø3,5x48mm</v>
          </cell>
          <cell r="D13956" t="str">
            <v>smartDrive2 Standard  ST-Screw  Ø3,5x48mm</v>
          </cell>
        </row>
        <row r="13957">
          <cell r="B13957" t="str">
            <v>59-110-50-71</v>
          </cell>
          <cell r="C13957" t="str">
            <v>smartDrive2 Standard  ST-Schr. Ø3,5x50mm</v>
          </cell>
          <cell r="D13957" t="str">
            <v>smartDrive2 Standard  ST-Screw  Ø3,5x50mm</v>
          </cell>
        </row>
        <row r="13958">
          <cell r="B13958" t="str">
            <v>59-110-55-71</v>
          </cell>
          <cell r="C13958" t="str">
            <v>smartDrive2 Standard  ST-Schr. Ø3,5x55mm</v>
          </cell>
          <cell r="D13958" t="str">
            <v>smartDrive2 Standard  ST-Screw  Ø3,5x55mm</v>
          </cell>
        </row>
        <row r="13959">
          <cell r="B13959" t="str">
            <v>59-110-60-71</v>
          </cell>
          <cell r="C13959" t="str">
            <v>smartDrive2 Standard  ST-Schr. Ø3,5x60mm</v>
          </cell>
          <cell r="D13959" t="str">
            <v>smartDrive2 Standard  ST-Screw  Ø3,5x60mm</v>
          </cell>
        </row>
        <row r="13960">
          <cell r="B13960" t="str">
            <v>59-110-65-71</v>
          </cell>
          <cell r="C13960" t="str">
            <v>smartDrive2 Standard  ST-Schr. Ø3,5x65mm</v>
          </cell>
          <cell r="D13960" t="str">
            <v>smartDrive2 Standard  ST-Screw  Ø3,5x65mm</v>
          </cell>
        </row>
        <row r="13961">
          <cell r="B13961" t="str">
            <v>59-110-70-71</v>
          </cell>
          <cell r="C13961" t="str">
            <v>smartDrive2 Standard  ST-Schr. Ø3,5x70mm</v>
          </cell>
          <cell r="D13961" t="str">
            <v>smartDrive2 Standard  ST-Screw  Ø3,5x70mm</v>
          </cell>
        </row>
        <row r="13962">
          <cell r="B13962" t="str">
            <v>59-110-75-71</v>
          </cell>
          <cell r="C13962" t="str">
            <v>smartDrive2 Standard  ST-Schr. Ø3,5x75mm</v>
          </cell>
          <cell r="D13962" t="str">
            <v>smartDrive2 Standard  ST-Screw  Ø3,5x75mm</v>
          </cell>
        </row>
        <row r="13963">
          <cell r="B13963" t="str">
            <v>59-110-80-71</v>
          </cell>
          <cell r="C13963" t="str">
            <v>smartDrive2 Standard  ST-Schr. Ø3,5x80mm</v>
          </cell>
          <cell r="D13963" t="str">
            <v>smartDrive2 Standard  ST-Screw  Ø3,5x80mm</v>
          </cell>
        </row>
        <row r="13964">
          <cell r="B13964" t="str">
            <v>59-110-85-71</v>
          </cell>
          <cell r="C13964" t="str">
            <v>smartDrive2 Standard  ST-Schr. Ø3,5x85mm</v>
          </cell>
          <cell r="D13964" t="str">
            <v>smartDrive2 Standard  ST-Screw  Ø3,5x85mm</v>
          </cell>
        </row>
        <row r="13965">
          <cell r="B13965" t="str">
            <v>59-110-90-71</v>
          </cell>
          <cell r="C13965" t="str">
            <v>smartDrive2 Standard  ST-Schr. Ø3,5x90mm</v>
          </cell>
          <cell r="D13965" t="str">
            <v>smartDrive2 Standard  ST-Screw  Ø3,5x90mm</v>
          </cell>
        </row>
        <row r="13966">
          <cell r="B13966" t="str">
            <v>59-110-95-71</v>
          </cell>
          <cell r="C13966" t="str">
            <v>smartDrive2 Standard  ST-Schr. Ø3,5x95mm</v>
          </cell>
          <cell r="D13966" t="str">
            <v>smartDrive2 Standard  ST-Screw  Ø3,5x95mm</v>
          </cell>
        </row>
        <row r="13967">
          <cell r="B13967" t="str">
            <v>59-111-00-71</v>
          </cell>
          <cell r="C13967" t="str">
            <v>smartDrive2 Standard  ST-Schr. Ø3,5x100mm</v>
          </cell>
          <cell r="D13967" t="str">
            <v>smartDrive2 Standard  ST-Screw  Ø3,5x100mm</v>
          </cell>
        </row>
        <row r="13968">
          <cell r="B13968" t="str">
            <v>59-111-05-71</v>
          </cell>
          <cell r="C13968" t="str">
            <v>smartDrive2 Standard  ST-Schr. Ø3,5x105mm</v>
          </cell>
          <cell r="D13968" t="str">
            <v>smartDrive2 Standard  ST-Screw  Ø3,5x105mm</v>
          </cell>
        </row>
        <row r="13969">
          <cell r="B13969" t="str">
            <v>59-111-10-71</v>
          </cell>
          <cell r="C13969" t="str">
            <v>smartDrive2 Standard  ST-Schr. Ø3,5x110mm</v>
          </cell>
          <cell r="D13969" t="str">
            <v>smartDrive2 Standard  ST-Screw  Ø3,5x110mm</v>
          </cell>
        </row>
        <row r="13970">
          <cell r="B13970" t="str">
            <v>59-111-15-71</v>
          </cell>
          <cell r="C13970" t="str">
            <v>smartDrive2 Standard  ST-Schr. Ø3,5x115mm</v>
          </cell>
          <cell r="D13970" t="str">
            <v>smartDrive2 Standard  ST-Screw  Ø3,5x115mm</v>
          </cell>
        </row>
        <row r="13971">
          <cell r="B13971" t="str">
            <v>59-111-20-71</v>
          </cell>
          <cell r="C13971" t="str">
            <v>smartDrive2 Standard  ST-Schr. Ø3,5x120mm</v>
          </cell>
          <cell r="D13971" t="str">
            <v>smartDrive2 Standard  ST-Screw  Ø3,5x120mm</v>
          </cell>
        </row>
        <row r="13972">
          <cell r="B13972" t="str">
            <v>59-111-25-71</v>
          </cell>
          <cell r="C13972" t="str">
            <v>smartDrive2 Standard  ST-Schr. Ø3,5x125mm</v>
          </cell>
          <cell r="D13972" t="str">
            <v>smartDrive2 Standard  ST-Screw  Ø3,5x125mm</v>
          </cell>
        </row>
        <row r="13973">
          <cell r="B13973" t="str">
            <v>59-111-30-71</v>
          </cell>
          <cell r="C13973" t="str">
            <v>smartDrive2 Standard  ST-Schr. Ø3,5x130mm</v>
          </cell>
          <cell r="D13973" t="str">
            <v>smartDrive2 Standard  ST-Screw  Ø3,5x130mm</v>
          </cell>
        </row>
        <row r="13974">
          <cell r="B13974" t="str">
            <v>59-111-35-71</v>
          </cell>
          <cell r="C13974" t="str">
            <v>smartDrive2 Standard  ST-Schr. Ø3,5x135mm</v>
          </cell>
          <cell r="D13974" t="str">
            <v>smartDrive2 Standard  ST-Screw  Ø3,5x135mm</v>
          </cell>
        </row>
        <row r="13975">
          <cell r="B13975" t="str">
            <v>59-111-40-71</v>
          </cell>
          <cell r="C13975" t="str">
            <v>smartDrive2 Standard  ST-Schr. Ø3,5x140mm</v>
          </cell>
          <cell r="D13975" t="str">
            <v>smartDrive2 Standard  ST-Screw  Ø3,5x140mm</v>
          </cell>
        </row>
        <row r="13976">
          <cell r="B13976" t="str">
            <v>59-111-45-71</v>
          </cell>
          <cell r="C13976" t="str">
            <v>smartDrive2 Standard  ST-Schr. Ø3,5x145mm</v>
          </cell>
          <cell r="D13976" t="str">
            <v>smartDrive2 Standard  ST-Screw  Ø3,5x145mm</v>
          </cell>
        </row>
        <row r="13977">
          <cell r="B13977" t="str">
            <v>59-111-50-71</v>
          </cell>
          <cell r="C13977" t="str">
            <v>smartDrive2 Standard  ST-Schr. Ø3,5x150mm</v>
          </cell>
          <cell r="D13977" t="str">
            <v>smartDrive2 Standard  ST-Screw  Ø3,5x150mm</v>
          </cell>
        </row>
        <row r="13978">
          <cell r="B13978" t="str">
            <v>59-112-16-71</v>
          </cell>
          <cell r="C13978" t="str">
            <v>smartDrive2 Standard  ST-Schr. Ø4,5x16mm</v>
          </cell>
          <cell r="D13978" t="str">
            <v>smartDrive2 Standard  ST-Screw  Ø4,5x16mm</v>
          </cell>
        </row>
        <row r="13979">
          <cell r="B13979" t="str">
            <v>59-112-17-71</v>
          </cell>
          <cell r="C13979" t="str">
            <v>smartDrive2 Standard  ST-Schr. Ø4,5x17mm</v>
          </cell>
          <cell r="D13979" t="str">
            <v>smartDrive2 Standard  ST-Screw  Ø4,5x17mm</v>
          </cell>
        </row>
        <row r="13980">
          <cell r="B13980" t="str">
            <v>59-112-18-71</v>
          </cell>
          <cell r="C13980" t="str">
            <v>smartDrive2 Standard  ST-Schr. Ø4,5x18mm</v>
          </cell>
          <cell r="D13980" t="str">
            <v>smartDrive2 Standard  ST-Screw  Ø4,5x18mm</v>
          </cell>
        </row>
        <row r="13981">
          <cell r="B13981" t="str">
            <v>59-112-19-71</v>
          </cell>
          <cell r="C13981" t="str">
            <v>smartDrive2 Standard  ST-Schr. Ø4,5x19mm</v>
          </cell>
          <cell r="D13981" t="str">
            <v>smartDrive2 Standard  ST-Screw  Ø4,5x19mm</v>
          </cell>
        </row>
        <row r="13982">
          <cell r="B13982" t="str">
            <v>59-112-20-71</v>
          </cell>
          <cell r="C13982" t="str">
            <v>smartDrive2 Standard  ST-Schr. Ø4,5x20mm</v>
          </cell>
          <cell r="D13982" t="str">
            <v>smartDrive2 Standard  ST-Screw  Ø4,5x20mm</v>
          </cell>
        </row>
        <row r="13983">
          <cell r="B13983" t="str">
            <v>59-112-22-71</v>
          </cell>
          <cell r="C13983" t="str">
            <v>smartDrive2 Standard  ST-Schr. Ø4,5x22mm</v>
          </cell>
          <cell r="D13983" t="str">
            <v>smartDrive2 Standard  ST-Screw  Ø4,5x22mm</v>
          </cell>
        </row>
        <row r="13984">
          <cell r="B13984" t="str">
            <v>59-112-24-71</v>
          </cell>
          <cell r="C13984" t="str">
            <v>smartDrive2 Standard  ST-Schr. Ø4,5x24mm</v>
          </cell>
          <cell r="D13984" t="str">
            <v>smartDrive2 Standard  ST-Screw  Ø4,5x24mm</v>
          </cell>
        </row>
        <row r="13985">
          <cell r="B13985" t="str">
            <v>59-112-26-71</v>
          </cell>
          <cell r="C13985" t="str">
            <v>smartDrive2 Standard  ST-Schr. Ø4,5x26mm</v>
          </cell>
          <cell r="D13985" t="str">
            <v>smartDrive2 Standard  ST-Screw  Ø4,5x26mm</v>
          </cell>
        </row>
        <row r="13986">
          <cell r="B13986" t="str">
            <v>59-112-28-71</v>
          </cell>
          <cell r="C13986" t="str">
            <v>smartDrive2 Standard  ST-Schr. Ø4,5x28mm</v>
          </cell>
          <cell r="D13986" t="str">
            <v>smartDrive2 Standard  ST-Screw  Ø4,5x28mm</v>
          </cell>
        </row>
        <row r="13987">
          <cell r="B13987" t="str">
            <v>59-112-30-71</v>
          </cell>
          <cell r="C13987" t="str">
            <v>smartDrive2 Standard  ST-Schr. Ø4,5x30mm</v>
          </cell>
          <cell r="D13987" t="str">
            <v>smartDrive2 Standard  ST-Screw  Ø4,5x30mm</v>
          </cell>
        </row>
        <row r="13988">
          <cell r="B13988" t="str">
            <v>59-112-32-71</v>
          </cell>
          <cell r="C13988" t="str">
            <v>smartDrive2 Standard  ST-Schr. Ø4,5x32mm</v>
          </cell>
          <cell r="D13988" t="str">
            <v>smartDrive2 Standard  ST-Screw  Ø4,5x32mm</v>
          </cell>
        </row>
        <row r="13989">
          <cell r="B13989" t="str">
            <v>59-112-34-71</v>
          </cell>
          <cell r="C13989" t="str">
            <v>smartDrive2 Standard  ST-Schr. Ø4,5x34mm</v>
          </cell>
          <cell r="D13989" t="str">
            <v>smartDrive2 Standard  ST-Screw  Ø4,5x34mm</v>
          </cell>
        </row>
        <row r="13990">
          <cell r="B13990" t="str">
            <v>59-112-36-71</v>
          </cell>
          <cell r="C13990" t="str">
            <v>smartDrive2 Standard  ST-Schr. Ø4,5x36mm</v>
          </cell>
          <cell r="D13990" t="str">
            <v>smartDrive2 Standard  ST-Screw  Ø4,5x36mm</v>
          </cell>
        </row>
        <row r="13991">
          <cell r="B13991" t="str">
            <v>59-112-38-71</v>
          </cell>
          <cell r="C13991" t="str">
            <v>smartDrive2 Standard  ST-Schr. Ø4,5x38mm</v>
          </cell>
          <cell r="D13991" t="str">
            <v>smartDrive2 Standard  ST-Screw  Ø4,5x38mm</v>
          </cell>
        </row>
        <row r="13992">
          <cell r="B13992" t="str">
            <v>59-112-40-71</v>
          </cell>
          <cell r="C13992" t="str">
            <v>smartDrive2 Standard  ST-Schr. Ø4,5x40mm</v>
          </cell>
          <cell r="D13992" t="str">
            <v>smartDrive2 Standard  ST-Screw  Ø4,5x40mm</v>
          </cell>
        </row>
        <row r="13993">
          <cell r="B13993" t="str">
            <v>59-112-42-71</v>
          </cell>
          <cell r="C13993" t="str">
            <v>smartDrive2 Standard  ST-Schr. Ø4,5x42mm</v>
          </cell>
          <cell r="D13993" t="str">
            <v>smartDrive2 Standard  ST-Screw  Ø4,5x42mm</v>
          </cell>
        </row>
        <row r="13994">
          <cell r="B13994" t="str">
            <v>59-112-44-71</v>
          </cell>
          <cell r="C13994" t="str">
            <v>smartDrive2 Standard  ST-Schr. Ø4,5x44mm</v>
          </cell>
          <cell r="D13994" t="str">
            <v>smartDrive2 Standard  ST-Screw  Ø4,5x44mm</v>
          </cell>
        </row>
        <row r="13995">
          <cell r="B13995" t="str">
            <v>59-112-46-71</v>
          </cell>
          <cell r="C13995" t="str">
            <v>smartDrive2 Standard  ST-Schr. Ø4,5x46mm</v>
          </cell>
          <cell r="D13995" t="str">
            <v>smartDrive2 Standard  ST-Screw  Ø4,5x46mm</v>
          </cell>
        </row>
        <row r="13996">
          <cell r="B13996" t="str">
            <v>59-112-48-71</v>
          </cell>
          <cell r="C13996" t="str">
            <v>smartDrive2 Standard  ST-Schr. Ø4,5x48mm</v>
          </cell>
          <cell r="D13996" t="str">
            <v>smartDrive2 Standard  ST-Screw  Ø4,5x48mm</v>
          </cell>
        </row>
        <row r="13997">
          <cell r="B13997" t="str">
            <v>59-112-50-71</v>
          </cell>
          <cell r="C13997" t="str">
            <v>smartDrive2 Standard  ST-Schr. Ø4,5x50mm</v>
          </cell>
          <cell r="D13997" t="str">
            <v>smartDrive2 Standard  ST-Screw  Ø4,5x50mm</v>
          </cell>
        </row>
        <row r="13998">
          <cell r="B13998" t="str">
            <v>59-112-55-71</v>
          </cell>
          <cell r="C13998" t="str">
            <v>smartDrive2 Standard  ST-Schr. Ø4,5x55mm</v>
          </cell>
          <cell r="D13998" t="str">
            <v>smartDrive2 Standard  ST-Screw  Ø4,5x55mm</v>
          </cell>
        </row>
        <row r="13999">
          <cell r="B13999" t="str">
            <v>59-112-60-71</v>
          </cell>
          <cell r="C13999" t="str">
            <v>smartDrive2 Standard  ST-Schr. Ø4,5x60mm</v>
          </cell>
          <cell r="D13999" t="str">
            <v>smartDrive2 Standard  ST-Screw  Ø4,5x60mm</v>
          </cell>
        </row>
        <row r="14000">
          <cell r="B14000" t="str">
            <v>59-112-65-71</v>
          </cell>
          <cell r="C14000" t="str">
            <v>smartDrive2 Standard  ST-Schr. Ø4,5x65mm</v>
          </cell>
          <cell r="D14000" t="str">
            <v>smartDrive2 Standard  ST-Screw  Ø4,5x65mm</v>
          </cell>
        </row>
        <row r="14001">
          <cell r="B14001" t="str">
            <v>59-112-70-71</v>
          </cell>
          <cell r="C14001" t="str">
            <v>smartDrive2 Standard  ST-Schr. Ø4,5x70mm</v>
          </cell>
          <cell r="D14001" t="str">
            <v>smartDrive2 Standard  ST-Screw  Ø4,5x70mm</v>
          </cell>
        </row>
        <row r="14002">
          <cell r="B14002" t="str">
            <v>59-112-75-71</v>
          </cell>
          <cell r="C14002" t="str">
            <v>smartDrive2 Standard  ST-Schr. Ø4,5x75mm</v>
          </cell>
          <cell r="D14002" t="str">
            <v>smartDrive2 Standard  ST-Screw  Ø4,5x75mm</v>
          </cell>
        </row>
        <row r="14003">
          <cell r="B14003" t="str">
            <v>59-112-80-71</v>
          </cell>
          <cell r="C14003" t="str">
            <v>smartDrive2 Standard  ST-Schr. Ø4,5x80mm</v>
          </cell>
          <cell r="D14003" t="str">
            <v>smartDrive2 Standard  ST-Screw  Ø4,5x80mm</v>
          </cell>
        </row>
        <row r="14004">
          <cell r="B14004" t="str">
            <v>59-112-85-71</v>
          </cell>
          <cell r="C14004" t="str">
            <v>smartDrive2 Standard  ST-Schr. Ø4,5x85mm</v>
          </cell>
          <cell r="D14004" t="str">
            <v>smartDrive2 Standard  ST-Screw  Ø4,5x85mm</v>
          </cell>
        </row>
        <row r="14005">
          <cell r="B14005" t="str">
            <v>59-112-90-71</v>
          </cell>
          <cell r="C14005" t="str">
            <v>smartDrive2 Standard  ST-Schr. Ø4,5x90mm</v>
          </cell>
          <cell r="D14005" t="str">
            <v>smartDrive2 Standard  ST-Screw  Ø4,5x90mm</v>
          </cell>
        </row>
        <row r="14006">
          <cell r="B14006" t="str">
            <v>59-112-95-71</v>
          </cell>
          <cell r="C14006" t="str">
            <v>smartDrive2 Standard  ST-Schr. Ø4,5x95mm</v>
          </cell>
          <cell r="D14006" t="str">
            <v>smartDrive2 Standard  ST-Screw  Ø4,5x95mm</v>
          </cell>
        </row>
        <row r="14007">
          <cell r="B14007" t="str">
            <v>59-113-00-71</v>
          </cell>
          <cell r="C14007" t="str">
            <v>smartDrive2 Standard  ST-Schr. Ø4,5x100mm</v>
          </cell>
          <cell r="D14007" t="str">
            <v>smartDrive2 Standard  ST-Screw  Ø4,5x100mm</v>
          </cell>
        </row>
        <row r="14008">
          <cell r="B14008" t="str">
            <v>59-113-05-71</v>
          </cell>
          <cell r="C14008" t="str">
            <v>smartDrive2 Standard  ST-Schr. Ø4,5x105mm</v>
          </cell>
          <cell r="D14008" t="str">
            <v>smartDrive2 Standard  ST-Screw  Ø4,5x105mm</v>
          </cell>
        </row>
        <row r="14009">
          <cell r="B14009" t="str">
            <v>59-113-10-71</v>
          </cell>
          <cell r="C14009" t="str">
            <v>smartDrive2 Standard  ST-Schr. Ø4,5x110mm</v>
          </cell>
          <cell r="D14009" t="str">
            <v>smartDrive2 Standard  ST-Screw  Ø4,5x110mm</v>
          </cell>
        </row>
        <row r="14010">
          <cell r="B14010" t="str">
            <v>59-113-15-71</v>
          </cell>
          <cell r="C14010" t="str">
            <v>smartDrive2 Standard  ST-Schr. Ø4,5x115mm</v>
          </cell>
          <cell r="D14010" t="str">
            <v>smartDrive2 Standard  ST-Screw  Ø4,5x115mm</v>
          </cell>
        </row>
        <row r="14011">
          <cell r="B14011" t="str">
            <v>59-113-20-71</v>
          </cell>
          <cell r="C14011" t="str">
            <v>smartDrive2 Standard  ST-Schr. Ø4,5x120mm</v>
          </cell>
          <cell r="D14011" t="str">
            <v>smartDrive2 Standard  ST-Screw  Ø4,5x120mm</v>
          </cell>
        </row>
        <row r="14012">
          <cell r="B14012" t="str">
            <v>59-113-25-71</v>
          </cell>
          <cell r="C14012" t="str">
            <v>smartDrive2 Standard  ST-Schr. Ø4,5x125mm</v>
          </cell>
          <cell r="D14012" t="str">
            <v>smartDrive2 Standard  ST-Screw  Ø4,5x125mm</v>
          </cell>
        </row>
        <row r="14013">
          <cell r="B14013" t="str">
            <v>59-113-30-71</v>
          </cell>
          <cell r="C14013" t="str">
            <v>smartDrive2 Standard  ST-Schr. Ø4,5x130mm</v>
          </cell>
          <cell r="D14013" t="str">
            <v>smartDrive2 Standard  ST-Screw  Ø4,5x130mm</v>
          </cell>
        </row>
        <row r="14014">
          <cell r="B14014" t="str">
            <v>59-113-35-71</v>
          </cell>
          <cell r="C14014" t="str">
            <v>smartDrive2 Standard  ST-Schr. Ø4,5x135mm</v>
          </cell>
          <cell r="D14014" t="str">
            <v>smartDrive2 Standard  ST-Screw  Ø4,5x135mm</v>
          </cell>
        </row>
        <row r="14015">
          <cell r="B14015" t="str">
            <v>59-113-40-71</v>
          </cell>
          <cell r="C14015" t="str">
            <v>smartDrive2 Standard  ST-Schr. Ø4,5x140mm</v>
          </cell>
          <cell r="D14015" t="str">
            <v>smartDrive2 Standard  ST-Screw  Ø4,5x140mm</v>
          </cell>
        </row>
        <row r="14016">
          <cell r="B14016" t="str">
            <v>59-113-45-71</v>
          </cell>
          <cell r="C14016" t="str">
            <v>smartDrive2 Standard  ST-Schr. Ø4,5x145mm</v>
          </cell>
          <cell r="D14016" t="str">
            <v>smartDrive2 Standard  ST-Screw  Ø4,5x145mm</v>
          </cell>
        </row>
        <row r="14017">
          <cell r="B14017" t="str">
            <v>59-113-50-71</v>
          </cell>
          <cell r="C14017" t="str">
            <v>smartDrive2 Standard  ST-Schr. Ø4,5x150mm</v>
          </cell>
          <cell r="D14017" t="str">
            <v>smartDrive2 Standard  ST-Screw  Ø4,5x150mm</v>
          </cell>
        </row>
        <row r="14018">
          <cell r="B14018" t="str">
            <v>59-505-01-71</v>
          </cell>
          <cell r="C14018" t="str">
            <v>Nexos P. P-Platte, 9Lo, re, ST-Flex</v>
          </cell>
          <cell r="D14018" t="str">
            <v>Nexos P. P-Plate, 9Ho, ri, ST-Flex</v>
          </cell>
        </row>
        <row r="14019">
          <cell r="B14019" t="str">
            <v>59-505-02-71</v>
          </cell>
          <cell r="C14019" t="str">
            <v>Nexos P. P-Platte, 9Lo, li, ST-Flex</v>
          </cell>
          <cell r="D14019" t="str">
            <v>Nexos P. P-Plate, 9Ho, le, ST-Flex</v>
          </cell>
        </row>
        <row r="14020">
          <cell r="B14020" t="str">
            <v>59-505-03-71</v>
          </cell>
          <cell r="C14020" t="str">
            <v>Nexos P. P-Platte, 9+7Lo, re, ST-Flex</v>
          </cell>
          <cell r="D14020" t="str">
            <v>Nexos P. P-Plate, 9+7Ho, ri, ST-Flex</v>
          </cell>
        </row>
        <row r="14021">
          <cell r="B14021" t="str">
            <v>59-505-04-71</v>
          </cell>
          <cell r="C14021" t="str">
            <v>Nexos P. P-Platte, 9+7Lo, li, ST-Flex</v>
          </cell>
          <cell r="D14021" t="str">
            <v>Nexos P. P-Plate, 9+7Ho, le, ST-Flex</v>
          </cell>
        </row>
        <row r="14022">
          <cell r="B14022" t="str">
            <v>59-505-05-71</v>
          </cell>
          <cell r="C14022" t="str">
            <v>Nexos P. C-Platte, 6Lo, R108, ST-Flex</v>
          </cell>
          <cell r="D14022" t="str">
            <v>Nexos P. C-Plate, 6Ho, R108, ST-Flex</v>
          </cell>
        </row>
        <row r="14023">
          <cell r="B14023" t="str">
            <v>59-505-06-71</v>
          </cell>
          <cell r="C14023" t="str">
            <v>Nexos P. C-Platte, 8Lo, R108, ST-Flex</v>
          </cell>
          <cell r="D14023" t="str">
            <v>Nexos P. C-Plate, 8Ho, R108, ST-Flex</v>
          </cell>
        </row>
        <row r="14024">
          <cell r="B14024" t="str">
            <v>59-505-07-71</v>
          </cell>
          <cell r="C14024" t="str">
            <v>Nexos P. C-Platte, 10Lo, R108, ST-Flex</v>
          </cell>
          <cell r="D14024" t="str">
            <v>Nexos P. C-Plate, 10Ho, R108, ST-Flex</v>
          </cell>
        </row>
        <row r="14025">
          <cell r="B14025" t="str">
            <v>59-505-08-71</v>
          </cell>
          <cell r="C14025" t="str">
            <v>Nexos P. C-Platte, 14Lo, R108, ST-Flex</v>
          </cell>
          <cell r="D14025" t="str">
            <v>Nexos P. C-Plate, 14Ho, R108, ST-Flex</v>
          </cell>
        </row>
        <row r="14026">
          <cell r="B14026" t="str">
            <v>59-505-09-71</v>
          </cell>
          <cell r="C14026" t="str">
            <v>Nexos P. C-Platte, 20Lo, R108, ST-Flex</v>
          </cell>
          <cell r="D14026" t="str">
            <v>Nexos P. C-Plate, 20Ho, R108, ST-Flex</v>
          </cell>
        </row>
        <row r="14027">
          <cell r="B14027" t="str">
            <v>59-505-10-71</v>
          </cell>
          <cell r="C14027" t="str">
            <v>Nexos P. C-Platte, 6Lo, R88, ST-Flex</v>
          </cell>
          <cell r="D14027" t="str">
            <v>Nexos P. C-Plate, 6Ho, R88, ST-Flex</v>
          </cell>
        </row>
        <row r="14028">
          <cell r="B14028" t="str">
            <v>59-505-11-71</v>
          </cell>
          <cell r="C14028" t="str">
            <v>Nexos P. C-Platte, 8Lo, R88, ST-Flex</v>
          </cell>
          <cell r="D14028" t="str">
            <v>Nexos P. C-Plate, 8Ho, R88, ST-Flex</v>
          </cell>
        </row>
        <row r="14029">
          <cell r="B14029" t="str">
            <v>59-505-12-71</v>
          </cell>
          <cell r="C14029" t="str">
            <v>Nexos P. C-Platte, 10Lo, R88, ST-Flex</v>
          </cell>
          <cell r="D14029" t="str">
            <v>Nexos P. C-Plate, 10Ho, R88, ST-Flex</v>
          </cell>
        </row>
        <row r="14030">
          <cell r="B14030" t="str">
            <v>59-505-13-71</v>
          </cell>
          <cell r="C14030" t="str">
            <v>Nexos P. C-Platte, 14Lo, R88, ST-Flex</v>
          </cell>
          <cell r="D14030" t="str">
            <v>Nexos P. C-Plate, 14Ho, R88, ST-Flex</v>
          </cell>
        </row>
        <row r="14031">
          <cell r="B14031" t="str">
            <v>59-505-14-71</v>
          </cell>
          <cell r="C14031" t="str">
            <v>Nexos P. C-Platte, 20Lo, R88, ST-Flex</v>
          </cell>
          <cell r="D14031" t="str">
            <v>Nexos P. C-Plate, 20Ho, R88, ST-Flex</v>
          </cell>
        </row>
        <row r="14032">
          <cell r="B14032" t="str">
            <v>59-505-15-71</v>
          </cell>
          <cell r="C14032" t="str">
            <v>Nexos P. I-Platte, 3Lo, L43/B11,  ST-Flex</v>
          </cell>
          <cell r="D14032" t="str">
            <v>Nexos P. I-Plate, 3Ho, L43/W11,  ST-Flex</v>
          </cell>
        </row>
        <row r="14033">
          <cell r="B14033" t="str">
            <v>59-505-16-71</v>
          </cell>
          <cell r="C14033" t="str">
            <v>Nexos P. I-Platte, 4Lo, L58/B11,  ST-Flex</v>
          </cell>
          <cell r="D14033" t="str">
            <v>Nexos P. I-Plate, 4Ho, L58/W11,  ST-Flex</v>
          </cell>
        </row>
        <row r="14034">
          <cell r="B14034" t="str">
            <v>59-505-17-71</v>
          </cell>
          <cell r="C14034" t="str">
            <v>Nexos P. I-Platte, 6Lo, L88/B11,  ST-Flex</v>
          </cell>
          <cell r="D14034" t="str">
            <v>Nexos P. I-Plate, 6Ho, L88/W11,  ST-Flex</v>
          </cell>
        </row>
        <row r="14035">
          <cell r="B14035" t="str">
            <v>59-505-18-71</v>
          </cell>
          <cell r="C14035" t="str">
            <v>Nexos P. I-Platte, 8Lo, L118/B11,  ST-Fl.</v>
          </cell>
          <cell r="D14035" t="str">
            <v>Nexos P. I-Plate, 8Ho, L118/W11,  ST-Flex</v>
          </cell>
        </row>
        <row r="14036">
          <cell r="B14036" t="str">
            <v>59-505-19-71</v>
          </cell>
          <cell r="C14036" t="str">
            <v>Nexos P. I-Platte, 10Lo, L148/B11,ST-Fl.</v>
          </cell>
          <cell r="D14036" t="str">
            <v>Nexos P. I-Plate,10Ho, L148/W11,  ST-Flex</v>
          </cell>
        </row>
        <row r="14037">
          <cell r="B14037" t="str">
            <v>59-505-20-71</v>
          </cell>
          <cell r="C14037" t="str">
            <v>Nexos P. J-Platte, 10Lo, links, ST-Flex</v>
          </cell>
          <cell r="D14037" t="str">
            <v>Nexos P. J-Plate, 10Ho, left, ST-Flex</v>
          </cell>
        </row>
        <row r="14038">
          <cell r="B14038" t="str">
            <v>59-505-21-71</v>
          </cell>
          <cell r="C14038" t="str">
            <v>Nexos P. J-Platte, 12Lo, links, ST-Flex</v>
          </cell>
          <cell r="D14038" t="str">
            <v>Nexos P. J-Plate, 12Ho, left, ST-Flex</v>
          </cell>
        </row>
        <row r="14039">
          <cell r="B14039" t="str">
            <v>59-505-22-71</v>
          </cell>
          <cell r="C14039" t="str">
            <v>Nexos P. J-Platte, 10Lo, rechts, ST-Flex</v>
          </cell>
          <cell r="D14039" t="str">
            <v>Nexos P. J-Plate, 10Ho, right, ST-Flex</v>
          </cell>
        </row>
        <row r="14040">
          <cell r="B14040" t="str">
            <v>59-505-23-71</v>
          </cell>
          <cell r="C14040" t="str">
            <v>Nexos P. J-Platte, 12Lo, rechts, ST-Flex</v>
          </cell>
          <cell r="D14040" t="str">
            <v>Nexos P. J-Plate, 12Ho, right, ST-Flex</v>
          </cell>
        </row>
        <row r="14041">
          <cell r="B14041" t="str">
            <v>59-505-24-71</v>
          </cell>
          <cell r="C14041" t="str">
            <v>Nexos P. S-Platte, 6+2Lo, L87/B45,  ST</v>
          </cell>
          <cell r="D14041" t="str">
            <v>Nexos P. S-Plate, 6+2Ho, L87/W45,  ST</v>
          </cell>
        </row>
        <row r="14042">
          <cell r="B14042" t="str">
            <v>59-505-25-71</v>
          </cell>
          <cell r="C14042" t="str">
            <v>Nexos P. S-Platte, 6Lo, L87/B25,  ST</v>
          </cell>
          <cell r="D14042" t="str">
            <v>Nexos P. S-Plate, 6Ho, L87/W25,  ST</v>
          </cell>
        </row>
        <row r="14043">
          <cell r="B14043" t="str">
            <v>59-505-26-71</v>
          </cell>
          <cell r="C14043" t="str">
            <v>Nexos P. S-Platte, 4Lo, L57/B25,  ST</v>
          </cell>
          <cell r="D14043" t="str">
            <v>Nexos P. S-Plate, 4Ho, L57/W25,  ST</v>
          </cell>
        </row>
        <row r="14044">
          <cell r="B14044" t="str">
            <v>59-505-27-71</v>
          </cell>
          <cell r="C14044" t="str">
            <v>Nexos P. X-Platte, 4Lo, L32/B29,  ST</v>
          </cell>
          <cell r="D14044" t="str">
            <v>Nexos P. X-Plate, 4Ho, L32/W29,  ST</v>
          </cell>
        </row>
        <row r="14045">
          <cell r="B14045" t="str">
            <v>59-505-28-71</v>
          </cell>
          <cell r="C14045" t="str">
            <v>Nexos P. X-Platte, 6Lo, L56/B46,  re, ST</v>
          </cell>
          <cell r="D14045" t="str">
            <v>Nexos P. X-Plate, 6Ho, L56/W46,  ri, ST</v>
          </cell>
        </row>
        <row r="14046">
          <cell r="B14046" t="str">
            <v>59-505-29-71</v>
          </cell>
          <cell r="C14046" t="str">
            <v>Nexos P. X-Platte, 6Lo, L56/B46,  li, ST</v>
          </cell>
          <cell r="D14046" t="str">
            <v>Nexos P. X-Plate, 6Ho, L56/W46,  le, ST</v>
          </cell>
        </row>
        <row r="14047">
          <cell r="B14047" t="str">
            <v>59-505-30-71</v>
          </cell>
          <cell r="C14047" t="str">
            <v>Nexos P. Y-Platte, L118/B26,  li, ST-Flex</v>
          </cell>
          <cell r="D14047" t="str">
            <v>Nexos P. Y-Plate, L118/W26,  le, ST-Flex</v>
          </cell>
        </row>
        <row r="14048">
          <cell r="B14048" t="str">
            <v>59-505-31-71</v>
          </cell>
          <cell r="C14048" t="str">
            <v>Nexos P. Y-Platte, L118/B26,  re, ST-Flex</v>
          </cell>
          <cell r="D14048" t="str">
            <v>Nexos P. Y-Plate, L118/W26,  ri, ST-Flex</v>
          </cell>
        </row>
        <row r="14049">
          <cell r="B14049" t="str">
            <v>59-902-01-05</v>
          </cell>
          <cell r="C14049" t="str">
            <v>Nexos Fixierungspin Ø2,5x280mm</v>
          </cell>
          <cell r="D14049" t="str">
            <v>Nexos fixation pin Ø2.5x280mm</v>
          </cell>
        </row>
        <row r="14050">
          <cell r="B14050" t="str">
            <v>59-902-03-05</v>
          </cell>
          <cell r="C14050" t="str">
            <v>Nexos K-Draht Ø1,8x280mm</v>
          </cell>
          <cell r="D14050" t="str">
            <v>Nexos K-wire Ø 1,8x280mm</v>
          </cell>
        </row>
        <row r="14051">
          <cell r="B14051" t="str">
            <v>59-902-05-07</v>
          </cell>
          <cell r="C14051" t="str">
            <v>Nexos Bohrdrahtspender Ø1,8x300mm, Large</v>
          </cell>
          <cell r="D14051" t="str">
            <v>Nexos K-Wire dispenser  Ø1.8x300mm, Large</v>
          </cell>
        </row>
        <row r="14052">
          <cell r="B14052" t="str">
            <v>59-903-01-07</v>
          </cell>
          <cell r="C14052" t="str">
            <v>Nexos Einzinker,  spitz, 30cm</v>
          </cell>
          <cell r="D14052" t="str">
            <v>Nexos hook, pointed, 30cm</v>
          </cell>
        </row>
        <row r="14053">
          <cell r="B14053" t="str">
            <v>59-903-02-04</v>
          </cell>
          <cell r="C14053" t="str">
            <v>Nexos T-Handgriff / AO</v>
          </cell>
          <cell r="D14053" t="str">
            <v>Nexos T-handle  / AO</v>
          </cell>
        </row>
        <row r="14054">
          <cell r="B14054" t="str">
            <v>59-903-05-07</v>
          </cell>
          <cell r="C14054" t="str">
            <v>Nexos Repo.zange, sp. m. Kugel, ger.</v>
          </cell>
          <cell r="D14054" t="str">
            <v>Nexos repo.forceps, pt. w. ball, str.</v>
          </cell>
        </row>
        <row r="14055">
          <cell r="B14055" t="str">
            <v>59-903-06-07</v>
          </cell>
          <cell r="C14055" t="str">
            <v>Nexos Repo.zange, sp. m. Kugel, geb.</v>
          </cell>
          <cell r="D14055" t="str">
            <v>Nexos repo.forceps, pt. w. ball, cur.</v>
          </cell>
        </row>
        <row r="14056">
          <cell r="B14056" t="str">
            <v>59-903-07-07</v>
          </cell>
          <cell r="C14056" t="str">
            <v>Nexos Repo.zange, sp. m. Kugel, asym.</v>
          </cell>
          <cell r="D14056" t="str">
            <v>Nexos repo.forceps, pt. w. ball, asym.</v>
          </cell>
        </row>
        <row r="14057">
          <cell r="B14057" t="str">
            <v>59-903-08-07</v>
          </cell>
          <cell r="C14057" t="str">
            <v>Nexos Repo.zange, spitz, 13cm</v>
          </cell>
          <cell r="D14057" t="str">
            <v>Nexos repo.forceps, pointed, 13cm</v>
          </cell>
        </row>
        <row r="14058">
          <cell r="B14058" t="str">
            <v>59-903-09-07</v>
          </cell>
          <cell r="C14058" t="str">
            <v>Nexos Repo.zange, Farabeuf,  26cm</v>
          </cell>
          <cell r="D14058" t="str">
            <v>Nexos repo.forceps, Farabeuf,  26cm</v>
          </cell>
        </row>
        <row r="14059">
          <cell r="B14059" t="str">
            <v>59-915-09-05</v>
          </cell>
          <cell r="C14059" t="str">
            <v>Nexos P. Reponier-Pin 5x200mm  / AO</v>
          </cell>
          <cell r="D14059" t="str">
            <v>Nexos P. repositioning pin 5x200mm  / AO</v>
          </cell>
        </row>
        <row r="14060">
          <cell r="B14060" t="str">
            <v>59-915-10-05</v>
          </cell>
          <cell r="C14060" t="str">
            <v>Nexos P. Reponier-Pin 5x250mm  / AO</v>
          </cell>
          <cell r="D14060" t="str">
            <v>Nexos P. repositioning pin 5x250mm  / AO</v>
          </cell>
        </row>
        <row r="14061">
          <cell r="B14061" t="str">
            <v>59-915-20-07</v>
          </cell>
          <cell r="C14061" t="str">
            <v>Nexos P. Haken, Kocher-Langenb.,25x115mm</v>
          </cell>
          <cell r="D14061" t="str">
            <v>Nexos P. retr, Kocher-Langenb.,25x115mm</v>
          </cell>
        </row>
        <row r="14062">
          <cell r="B14062" t="str">
            <v>59-915-21-07</v>
          </cell>
          <cell r="C14062" t="str">
            <v>Nexos P. Haken, Kocher-Langenb.,25x145mm</v>
          </cell>
          <cell r="D14062" t="str">
            <v>Nexos P. retr, Kocher-Langenb.,25x145mm</v>
          </cell>
        </row>
        <row r="14063">
          <cell r="B14063" t="str">
            <v>59-915-22-07</v>
          </cell>
          <cell r="C14063" t="str">
            <v>Nexos P. Haken, Kocher-Langenb.,40x115mm</v>
          </cell>
          <cell r="D14063" t="str">
            <v>Nexos P. retr, Kocher-Langenb.,40x115mm</v>
          </cell>
        </row>
        <row r="14064">
          <cell r="B14064" t="str">
            <v>59-915-23-07</v>
          </cell>
          <cell r="C14064" t="str">
            <v>Nexos P. Haken, Kocher-Langenb.,40x145mm</v>
          </cell>
          <cell r="D14064" t="str">
            <v>Nexos P. retr, Kocher-Langenb.,40x145mm</v>
          </cell>
        </row>
        <row r="14065">
          <cell r="B14065" t="str">
            <v>59-915-24-07</v>
          </cell>
          <cell r="C14065" t="str">
            <v>Nexos P. Knochenh.  Hohmann,  spitz, 20mm</v>
          </cell>
          <cell r="D14065" t="str">
            <v>Nexos P.bone lever Hohmann,pointed,20mm</v>
          </cell>
        </row>
        <row r="14066">
          <cell r="B14066" t="str">
            <v>59-915-25-07</v>
          </cell>
          <cell r="C14066" t="str">
            <v>Nexos P. Knochenh.  Hohmann,  spitz, 45mm</v>
          </cell>
          <cell r="D14066" t="str">
            <v>Nexos P.bone lever Hohmann,pointed,45mm</v>
          </cell>
        </row>
        <row r="14067">
          <cell r="B14067" t="str">
            <v>59-915-26-07</v>
          </cell>
          <cell r="C14067" t="str">
            <v>Nexos P. Knochenh., Schlagfl. spitz 20mm</v>
          </cell>
          <cell r="D14067" t="str">
            <v>Nexos P. bone lever, face, pointed 20mm</v>
          </cell>
        </row>
        <row r="14068">
          <cell r="B14068" t="str">
            <v>59-915-27-07</v>
          </cell>
          <cell r="C14068" t="str">
            <v>Nexos P. Knochenh., Schlagfl. spitz 45mm</v>
          </cell>
          <cell r="D14068" t="str">
            <v>Nexos P. bone lever, face, pointed 45mm</v>
          </cell>
        </row>
        <row r="14069">
          <cell r="B14069" t="str">
            <v>59-915-28-07</v>
          </cell>
          <cell r="C14069" t="str">
            <v>Nexos P. Knochenh.  Hohmann,  stumpf, 20mm</v>
          </cell>
          <cell r="D14069" t="str">
            <v>Nexos P. bone lever Hohmann,  blunt, 20mm</v>
          </cell>
        </row>
        <row r="14070">
          <cell r="B14070" t="str">
            <v>59-915-29-07</v>
          </cell>
          <cell r="C14070" t="str">
            <v>Nexos P. Knochenh.  Hohmann,  stumpf, 45mm</v>
          </cell>
          <cell r="D14070" t="str">
            <v>Nexos P. bone lever Hohmann,  blunt, 45mm</v>
          </cell>
        </row>
        <row r="14071">
          <cell r="B14071" t="str">
            <v>59-915-40-04</v>
          </cell>
          <cell r="C14071" t="str">
            <v>Nexos P. Raspatorium., Cobb, 12mm, 34cm</v>
          </cell>
          <cell r="D14071" t="str">
            <v>Nexos P. raspatory,  Cobb, 12mm, 34cm</v>
          </cell>
        </row>
        <row r="14072">
          <cell r="B14072" t="str">
            <v>59-915-41-04</v>
          </cell>
          <cell r="C14072" t="str">
            <v>Nexos P. Raspatorium., Cobb, 19mm, 34cm</v>
          </cell>
          <cell r="D14072" t="str">
            <v>Nexos P. raspatory,  Cobb, 19mm, 34cm</v>
          </cell>
        </row>
        <row r="14073">
          <cell r="B14073" t="str">
            <v>59-915-44-01</v>
          </cell>
          <cell r="C14073" t="str">
            <v>Nexos P. Spatel, biegsam,  40mm, 33cm</v>
          </cell>
          <cell r="D14073" t="str">
            <v>Nexos P. spatula, flexible, 40mm, 33cm</v>
          </cell>
        </row>
        <row r="14074">
          <cell r="B14074" t="str">
            <v>59-920-01-07</v>
          </cell>
          <cell r="C14074" t="str">
            <v>Nexos Biegezange XL</v>
          </cell>
          <cell r="D14074" t="str">
            <v>Nexos bending pliers XL</v>
          </cell>
        </row>
        <row r="14075">
          <cell r="B14075" t="str">
            <v>59-920-02-07</v>
          </cell>
          <cell r="C14075" t="str">
            <v>Nexos Biegezange XL, Einsatz f. X-Platte</v>
          </cell>
          <cell r="D14075" t="str">
            <v>Nexos bending pliers XL, ins f. X-plate</v>
          </cell>
        </row>
        <row r="14076">
          <cell r="B14076" t="str">
            <v>59-920-03-07</v>
          </cell>
          <cell r="C14076" t="str">
            <v>Nexos Standfuss  f. Biegezange XL</v>
          </cell>
          <cell r="D14076" t="str">
            <v>Nexos stand f. bending pliers XL</v>
          </cell>
        </row>
        <row r="14077">
          <cell r="B14077" t="str">
            <v>59-925-01-07</v>
          </cell>
          <cell r="C14077" t="str">
            <v>Nexos P. Plattenhaltezange, ger., 23cm</v>
          </cell>
          <cell r="D14077" t="str">
            <v>Nexos P. plate holding forceps,str. 23cm</v>
          </cell>
        </row>
        <row r="14078">
          <cell r="B14078" t="str">
            <v>59-925-02-07</v>
          </cell>
          <cell r="C14078" t="str">
            <v>Nexos P. Plattenhaltezange, geb., 23cm</v>
          </cell>
          <cell r="D14078" t="str">
            <v>Nexos P. plate holding forceps,cur. 23cm</v>
          </cell>
        </row>
        <row r="14079">
          <cell r="B14079" t="str">
            <v>59-925-03-07</v>
          </cell>
          <cell r="C14079" t="str">
            <v>Nexos P. Biegestab,  24cm</v>
          </cell>
          <cell r="D14079" t="str">
            <v>Nexos P. bending rod, 24cm</v>
          </cell>
        </row>
        <row r="14080">
          <cell r="B14080" t="str">
            <v>59-925-04-07</v>
          </cell>
          <cell r="C14080" t="str">
            <v>Nexos P. Schränkeisen, 20cm</v>
          </cell>
          <cell r="D14080" t="str">
            <v>Nexos P. bending iron, 20cm</v>
          </cell>
        </row>
        <row r="14081">
          <cell r="B14081" t="str">
            <v>59-925-05-07</v>
          </cell>
          <cell r="C14081" t="str">
            <v>Nexos P. Biegezange, 21cm</v>
          </cell>
          <cell r="D14081" t="str">
            <v>Nexos P. bending pliers, 21cm</v>
          </cell>
        </row>
        <row r="14082">
          <cell r="B14082" t="str">
            <v>59-925-06-71</v>
          </cell>
          <cell r="C14082" t="str">
            <v>Nexos P. Biegeschablone C-Platten  R88</v>
          </cell>
          <cell r="D14082" t="str">
            <v>Nexos P. bending template  C-Plates R88</v>
          </cell>
        </row>
        <row r="14083">
          <cell r="B14083" t="str">
            <v>59-925-07-71</v>
          </cell>
          <cell r="C14083" t="str">
            <v>Nexos P. Biegeschablone C-Platten  R108</v>
          </cell>
          <cell r="D14083" t="str">
            <v>Nexos P. bending template  C-Plates R108</v>
          </cell>
        </row>
        <row r="14084">
          <cell r="B14084" t="str">
            <v>59-925-08-71</v>
          </cell>
          <cell r="C14084" t="str">
            <v>Nexos P. Biegeschablone für I-Platten</v>
          </cell>
          <cell r="D14084" t="str">
            <v>Nexos P. bending template  for I-Plates</v>
          </cell>
        </row>
        <row r="14085">
          <cell r="B14085" t="str">
            <v>59-925-09-71</v>
          </cell>
          <cell r="C14085" t="str">
            <v>Nexos P. Biegeschablone für J-Platten</v>
          </cell>
          <cell r="D14085" t="str">
            <v>Nexos P. bending template   for J-Plates</v>
          </cell>
        </row>
        <row r="14086">
          <cell r="B14086" t="str">
            <v>59-930-01-07</v>
          </cell>
          <cell r="C14086" t="str">
            <v>smartD2 Bohrführung , Abgew., Ø2,5</v>
          </cell>
          <cell r="D14086" t="str">
            <v>smartD2 drill guide , angled, Ø2,5mm</v>
          </cell>
        </row>
        <row r="14087">
          <cell r="B14087" t="str">
            <v>59-930-02-07</v>
          </cell>
          <cell r="C14087" t="str">
            <v>smartD2 Bohrführung , Abgew., Ø3,5</v>
          </cell>
          <cell r="D14087" t="str">
            <v>smartD2 drill guide , angled, Ø3,5mm</v>
          </cell>
        </row>
        <row r="14088">
          <cell r="B14088" t="str">
            <v>59-930-03-07</v>
          </cell>
          <cell r="C14088" t="str">
            <v>smartD2 Bohrführung , Abgew., Ø3,2</v>
          </cell>
          <cell r="D14088" t="str">
            <v>smartD2 drill guide , angled, Ø3,2mm</v>
          </cell>
        </row>
        <row r="14089">
          <cell r="B14089" t="str">
            <v>59-930-04-07</v>
          </cell>
          <cell r="C14089" t="str">
            <v>smartD2 Bohrführung , Abgew., Ø4,5</v>
          </cell>
          <cell r="D14089" t="str">
            <v>smartD2 drill guide , angled, Ø4,5mm</v>
          </cell>
        </row>
        <row r="14090">
          <cell r="B14090" t="str">
            <v>59-930-05-07</v>
          </cell>
          <cell r="C14090" t="str">
            <v>smartD2 Gewebeschutzhülse / Gerade</v>
          </cell>
          <cell r="D14090" t="str">
            <v>smartD2 tissue protect. sleeve, straight</v>
          </cell>
        </row>
        <row r="14091">
          <cell r="B14091" t="str">
            <v>59-930-06-07</v>
          </cell>
          <cell r="C14091" t="str">
            <v>smartD2 Bohrinsert  Gewebeschutz Ø2,5</v>
          </cell>
          <cell r="D14091" t="str">
            <v>smartD2 drill insert tissue prot. Ø2,5</v>
          </cell>
        </row>
        <row r="14092">
          <cell r="B14092" t="str">
            <v>59-930-07-07</v>
          </cell>
          <cell r="C14092" t="str">
            <v>smartD2 Gewebeschutzhülse / Gerade</v>
          </cell>
          <cell r="D14092" t="str">
            <v>smartD2 tissue protec. sleeve, straight</v>
          </cell>
        </row>
        <row r="14093">
          <cell r="B14093" t="str">
            <v>59-930-08-07</v>
          </cell>
          <cell r="C14093" t="str">
            <v>smartD2 Bohrinsert  Gewebeschutz Ø3,2</v>
          </cell>
          <cell r="D14093" t="str">
            <v>smartD2 drill insert tissue prot. Ø3,2</v>
          </cell>
        </row>
        <row r="14094">
          <cell r="B14094" t="str">
            <v>59-931-01-71</v>
          </cell>
          <cell r="C14094" t="str">
            <v>smartD2 Kernlochboh. Ø2,5mm/180/AO</v>
          </cell>
          <cell r="D14094" t="str">
            <v>smartD2 core hole drill Ø2,5mm/180/AO</v>
          </cell>
        </row>
        <row r="14095">
          <cell r="B14095" t="str">
            <v>59-931-02-71</v>
          </cell>
          <cell r="C14095" t="str">
            <v>smartD2 Kernlochboh. Ø2,5mm/230/AO</v>
          </cell>
          <cell r="D14095" t="str">
            <v>smartD2 core hole drill Ø2,5mm/230/AO</v>
          </cell>
        </row>
        <row r="14096">
          <cell r="B14096" t="str">
            <v>59-931-03-71</v>
          </cell>
          <cell r="C14096" t="str">
            <v>smartD2 Kernlochboh. Ø2,5mm/450/AO</v>
          </cell>
          <cell r="D14096" t="str">
            <v>smartD2 core hole drill Ø2,5mm/450/AO</v>
          </cell>
        </row>
        <row r="14097">
          <cell r="B14097" t="str">
            <v>59-931-04-71</v>
          </cell>
          <cell r="C14097" t="str">
            <v>smartD2 Gleitlochboh. Ø3,5mm/230/AO</v>
          </cell>
          <cell r="D14097" t="str">
            <v>smartD2 gliding hole drill Ø3,5/230/AO</v>
          </cell>
        </row>
        <row r="14098">
          <cell r="B14098" t="str">
            <v>59-931-05-71</v>
          </cell>
          <cell r="C14098" t="str">
            <v>smartD2 Kernlochboh. Ø3,2mm/180/AO</v>
          </cell>
          <cell r="D14098" t="str">
            <v>smartD2 core hole drill Ø3,2mm/180/AO</v>
          </cell>
        </row>
        <row r="14099">
          <cell r="B14099" t="str">
            <v>59-931-06-71</v>
          </cell>
          <cell r="C14099" t="str">
            <v>smartD2 Kernlochboh. Ø3,2mm/230/AO</v>
          </cell>
          <cell r="D14099" t="str">
            <v>smartD2 core hole drill Ø3,2mm/230/AO</v>
          </cell>
        </row>
        <row r="14100">
          <cell r="B14100" t="str">
            <v>59-931-07-71</v>
          </cell>
          <cell r="C14100" t="str">
            <v>smartD2 Kernlochboh. Ø3,2mm/450/AO</v>
          </cell>
          <cell r="D14100" t="str">
            <v>smartD2 core hole drill Ø3,2mm/450/AO</v>
          </cell>
        </row>
        <row r="14101">
          <cell r="B14101" t="str">
            <v>59-931-08-71</v>
          </cell>
          <cell r="C14101" t="str">
            <v>smartD2 Gleitlochboh. Ø4,5mm/230/AO</v>
          </cell>
          <cell r="D14101" t="str">
            <v>smartD2 gliding hole drill Ø4,5mm/230/AO</v>
          </cell>
        </row>
        <row r="14102">
          <cell r="B14102" t="str">
            <v>59-931-10-71</v>
          </cell>
          <cell r="C14102" t="str">
            <v>smartD2 Kernlochboh. Ø2,5mm/20/WSD</v>
          </cell>
          <cell r="D14102" t="str">
            <v>smartD2 core hole drill Ø2,5mm/20/WSD</v>
          </cell>
        </row>
        <row r="14103">
          <cell r="B14103" t="str">
            <v>59-931-11-71</v>
          </cell>
          <cell r="C14103" t="str">
            <v>smartD2 Kernlochboh. Ø2,5mm/30/WSD</v>
          </cell>
          <cell r="D14103" t="str">
            <v>smartD2 core hole drill Ø2,5mm/30/WSD</v>
          </cell>
        </row>
        <row r="14104">
          <cell r="B14104" t="str">
            <v>59-932-02-04</v>
          </cell>
          <cell r="C14104" t="str">
            <v>smartD2 Tiefenleh.  bis L=150mm   Ø4,5mm</v>
          </cell>
          <cell r="D14104" t="str">
            <v>smartD2 depth g. till L=150mm  Ø4,5</v>
          </cell>
        </row>
        <row r="14105">
          <cell r="B14105" t="str">
            <v>59-932-04-04</v>
          </cell>
          <cell r="C14105" t="str">
            <v>smartD2 Tiefenleh.  bis L=150mm  Ø3,5mm</v>
          </cell>
          <cell r="D14105" t="str">
            <v>smartD2 depth g. till L=150mm  Ø3,5</v>
          </cell>
        </row>
        <row r="14106">
          <cell r="B14106" t="str">
            <v>59-933-01-07</v>
          </cell>
          <cell r="C14106" t="str">
            <v>smartD2 Schr.dreher, T15/L</v>
          </cell>
          <cell r="D14106" t="str">
            <v>smartD2 screwdriver, T15/L</v>
          </cell>
        </row>
        <row r="14107">
          <cell r="B14107" t="str">
            <v>59-933-02-07</v>
          </cell>
          <cell r="C14107" t="str">
            <v>smartD2 Schr.dreher,  T15/XL</v>
          </cell>
          <cell r="D14107" t="str">
            <v>smartD2 screwdriver,  T15/XL</v>
          </cell>
        </row>
        <row r="14108">
          <cell r="B14108" t="str">
            <v>59-933-03-07</v>
          </cell>
          <cell r="C14108" t="str">
            <v>smartD2 Schr.dreherklinge T15/AO/M</v>
          </cell>
          <cell r="D14108" t="str">
            <v>smartD2 screwdriver blade T15/AO/M</v>
          </cell>
        </row>
        <row r="14109">
          <cell r="B14109" t="str">
            <v>59-933-04-07</v>
          </cell>
          <cell r="C14109" t="str">
            <v>smartD2 Schr.dreherklinge T15/AO/XL</v>
          </cell>
          <cell r="D14109" t="str">
            <v>smartD2 screwdriver blade T15/AO/XL</v>
          </cell>
        </row>
        <row r="14110">
          <cell r="B14110" t="str">
            <v>59-933-05-07</v>
          </cell>
          <cell r="C14110" t="str">
            <v>smartD2 Schr.dreher, Kardan T15/L</v>
          </cell>
          <cell r="D14110" t="str">
            <v>smartD2 screwdriver, cardan, T15/L</v>
          </cell>
        </row>
        <row r="14111">
          <cell r="B14111" t="str">
            <v>59-933-06-07</v>
          </cell>
          <cell r="C14111" t="str">
            <v>smartD2 Schr.dreher, T25/L</v>
          </cell>
          <cell r="D14111" t="str">
            <v>smartD2 screwdriver, T25/L</v>
          </cell>
        </row>
        <row r="14112">
          <cell r="B14112" t="str">
            <v>59-933-07-07</v>
          </cell>
          <cell r="C14112" t="str">
            <v>smartD2 Schr.dreher,  T25/XL</v>
          </cell>
          <cell r="D14112" t="str">
            <v>smartD2 screwdriver,  T25/XL</v>
          </cell>
        </row>
        <row r="14113">
          <cell r="B14113" t="str">
            <v>59-933-08-07</v>
          </cell>
          <cell r="C14113" t="str">
            <v>smartD2 Schr.dreherklinge T25/AO/M</v>
          </cell>
          <cell r="D14113" t="str">
            <v>smartD2 screwdriver blade T25/AO/M</v>
          </cell>
        </row>
        <row r="14114">
          <cell r="B14114" t="str">
            <v>59-933-09-07</v>
          </cell>
          <cell r="C14114" t="str">
            <v>smartD2 Schr.dreherklinge T25/AO/XL</v>
          </cell>
          <cell r="D14114" t="str">
            <v>smartD2 screwdriver blade T25/AO/XL</v>
          </cell>
        </row>
        <row r="14115">
          <cell r="B14115" t="str">
            <v>59-933-10-07</v>
          </cell>
          <cell r="C14115" t="str">
            <v>smartD2Schr.dreherhandgriff Größe: M/AO</v>
          </cell>
          <cell r="D14115" t="str">
            <v>smartD2 screwdriver handle size: M / AO</v>
          </cell>
        </row>
        <row r="14116">
          <cell r="B14116" t="str">
            <v>59-934-01-07</v>
          </cell>
          <cell r="C14116" t="str">
            <v>smartD2 Repo.zange, Ø3,5mm,  26,5cm</v>
          </cell>
          <cell r="D14116" t="str">
            <v>smartD2 repo.forceps, Ø3.5mm,  26.5cm</v>
          </cell>
        </row>
        <row r="14117">
          <cell r="B14117" t="str">
            <v>59-934-02-07</v>
          </cell>
          <cell r="C14117" t="str">
            <v>smartD2 Repo.zange, Ø4,5mm,  26,5cm</v>
          </cell>
          <cell r="D14117" t="str">
            <v>smartD2 repo.forceps, Ø4.5mm,  26.5cm</v>
          </cell>
        </row>
        <row r="14118">
          <cell r="B14118" t="str">
            <v>59-934-03-07</v>
          </cell>
          <cell r="C14118" t="str">
            <v>smartD2 Adapter Angulus / AO</v>
          </cell>
          <cell r="D14118" t="str">
            <v>smartD2 Adapter Angulus / AO</v>
          </cell>
        </row>
        <row r="14119">
          <cell r="B14119" t="str">
            <v>60-000-01-09</v>
          </cell>
          <cell r="C14119" t="str">
            <v>IPS Individual  Splint 00001</v>
          </cell>
          <cell r="D14119" t="str">
            <v>IPS Individual  Splint 00001</v>
          </cell>
        </row>
        <row r="14120">
          <cell r="B14120" t="str">
            <v>60-000-02-09</v>
          </cell>
          <cell r="C14120" t="str">
            <v>IPS Final Splint, Single 00002</v>
          </cell>
          <cell r="D14120" t="str">
            <v>IPS Final Splint, Single 00002</v>
          </cell>
        </row>
        <row r="14121">
          <cell r="B14121" t="str">
            <v>60-000-03-09</v>
          </cell>
          <cell r="C14121" t="str">
            <v>IPS Interm Splint, Single 00003</v>
          </cell>
          <cell r="D14121" t="str">
            <v>IPS Interm Splint, Single 00003</v>
          </cell>
        </row>
        <row r="14122">
          <cell r="B14122" t="str">
            <v>60-000-04-09</v>
          </cell>
          <cell r="C14122" t="str">
            <v>IPS Preop Splint, Single 00004</v>
          </cell>
          <cell r="D14122" t="str">
            <v>IPS Preop Splint, Single 00004</v>
          </cell>
        </row>
        <row r="14123">
          <cell r="B14123" t="str">
            <v>60-000-05-09</v>
          </cell>
          <cell r="C14123" t="str">
            <v>IPS Individual  Model, EP 00005</v>
          </cell>
          <cell r="D14123" t="str">
            <v>IPS Individual  Model, EP 00005</v>
          </cell>
        </row>
        <row r="14124">
          <cell r="B14124" t="str">
            <v>60-000-06-09</v>
          </cell>
          <cell r="C14124" t="str">
            <v>IPS Half Model, EP 00006</v>
          </cell>
          <cell r="D14124" t="str">
            <v>IPS Half Model, EP 00006</v>
          </cell>
        </row>
        <row r="14125">
          <cell r="B14125" t="str">
            <v>60-000-07-09</v>
          </cell>
          <cell r="C14125" t="str">
            <v>IPS Full Model, EP 00007</v>
          </cell>
          <cell r="D14125" t="str">
            <v>IPS Full Model, EP 00007</v>
          </cell>
        </row>
        <row r="14126">
          <cell r="B14126" t="str">
            <v>60-000-08-09</v>
          </cell>
          <cell r="C14126" t="str">
            <v>IPS Verification Model, PA 00008</v>
          </cell>
          <cell r="D14126" t="str">
            <v>IPS Verification Model, PA 00008</v>
          </cell>
        </row>
        <row r="14127">
          <cell r="B14127" t="str">
            <v>60-000-09-09</v>
          </cell>
          <cell r="C14127" t="str">
            <v>IPS Individual  Model, PA 00009</v>
          </cell>
          <cell r="D14127" t="str">
            <v>IPS Individual  Model, PA 00009</v>
          </cell>
        </row>
        <row r="14128">
          <cell r="B14128" t="str">
            <v>60-000-10-09</v>
          </cell>
          <cell r="C14128" t="str">
            <v>IPS Verification Model, EP 00010</v>
          </cell>
          <cell r="D14128" t="str">
            <v>IPS Verification Model, EP 00010</v>
          </cell>
        </row>
        <row r="14129">
          <cell r="B14129" t="str">
            <v>60-000-11-09</v>
          </cell>
          <cell r="C14129" t="str">
            <v>IPS Individual  Guide, PA 00011</v>
          </cell>
          <cell r="D14129" t="str">
            <v>IPS Individual  Guide, PA 00011</v>
          </cell>
        </row>
        <row r="14130">
          <cell r="B14130" t="str">
            <v>60-000-12-09</v>
          </cell>
          <cell r="C14130" t="str">
            <v>IPS Transplant  Guide, PA 00012</v>
          </cell>
          <cell r="D14130" t="str">
            <v>IPS Transplant  Guide, PA 00012</v>
          </cell>
        </row>
        <row r="14131">
          <cell r="B14131" t="str">
            <v>60-000-13-09</v>
          </cell>
          <cell r="C14131" t="str">
            <v>IPS Standard  Guide, PA 00013</v>
          </cell>
          <cell r="D14131" t="str">
            <v>IPS Standard  Guide, PA 00013</v>
          </cell>
        </row>
        <row r="14132">
          <cell r="B14132" t="str">
            <v>60-000-14-09</v>
          </cell>
          <cell r="C14132" t="str">
            <v>IPS Advanced  Guide, PA 00014</v>
          </cell>
          <cell r="D14132" t="str">
            <v>IPS Advanced  Guide, PA 00014</v>
          </cell>
        </row>
        <row r="14133">
          <cell r="B14133" t="str">
            <v>60-000-15-09</v>
          </cell>
          <cell r="C14133" t="str">
            <v>IPS Complex  Guide PA 00015</v>
          </cell>
          <cell r="D14133" t="str">
            <v>IPS Complex  Guide PA 00015</v>
          </cell>
        </row>
        <row r="14134">
          <cell r="B14134" t="str">
            <v>60-000-16-09</v>
          </cell>
          <cell r="C14134" t="str">
            <v>IPS Individual  Implant, PEEK 00016</v>
          </cell>
          <cell r="D14134" t="str">
            <v>IPS Individual  Implant, PEEK 00016</v>
          </cell>
        </row>
        <row r="14135">
          <cell r="B14135" t="str">
            <v>60-000-17-09</v>
          </cell>
          <cell r="C14135" t="str">
            <v>IPS Cranial Implant, PEEK 00017</v>
          </cell>
          <cell r="D14135" t="str">
            <v>IPS Cranial Implant, PEEK 00017</v>
          </cell>
        </row>
        <row r="14136">
          <cell r="B14136" t="str">
            <v>60-000-18-09</v>
          </cell>
          <cell r="C14136" t="str">
            <v>IPS Cranial Implant, PEEK 00018</v>
          </cell>
          <cell r="D14136" t="str">
            <v>IPS Cranial Implant, PEEK 00018</v>
          </cell>
        </row>
        <row r="14137">
          <cell r="B14137" t="str">
            <v>60-000-19-09</v>
          </cell>
          <cell r="C14137" t="str">
            <v>IPS Cranial Implant, PEEK 00019</v>
          </cell>
          <cell r="D14137" t="str">
            <v>IPS Cranial Implant, PEEK 00019</v>
          </cell>
        </row>
        <row r="14138">
          <cell r="B14138" t="str">
            <v>60-000-20-09</v>
          </cell>
          <cell r="C14138" t="str">
            <v>IPS Cranial Implant, PEEK 00020</v>
          </cell>
          <cell r="D14138" t="str">
            <v>IPS Cranial Implant, PEEK 00020</v>
          </cell>
        </row>
        <row r="14139">
          <cell r="B14139" t="str">
            <v>60-000-21-09</v>
          </cell>
          <cell r="C14139" t="str">
            <v>IPS Cranial Implant, PEEK 00021</v>
          </cell>
          <cell r="D14139" t="str">
            <v>IPS Cranial Implant, PEEK 00021</v>
          </cell>
        </row>
        <row r="14140">
          <cell r="B14140" t="str">
            <v>60-000-22-09</v>
          </cell>
          <cell r="C14140" t="str">
            <v>IPS Cranial Implant, PEEK 00022</v>
          </cell>
          <cell r="D14140" t="str">
            <v>IPS Cranial Implant, PEEK 00022</v>
          </cell>
        </row>
        <row r="14141">
          <cell r="B14141" t="str">
            <v>60-000-23-09</v>
          </cell>
          <cell r="C14141" t="str">
            <v>IPS Cranial Implant, PEEK 00023</v>
          </cell>
          <cell r="D14141" t="str">
            <v>IPS Cranial Implant, PEEK 00023</v>
          </cell>
        </row>
        <row r="14142">
          <cell r="B14142" t="str">
            <v>60-000-24-09</v>
          </cell>
          <cell r="C14142" t="str">
            <v>IPS Cranial Implant, PEEK 00024</v>
          </cell>
          <cell r="D14142" t="str">
            <v>IPS Cranial Implant, PEEK 00024</v>
          </cell>
        </row>
        <row r="14143">
          <cell r="B14143" t="str">
            <v>60-000-25-09</v>
          </cell>
          <cell r="C14143" t="str">
            <v>IPS Individual  Implant, PEEK 00025</v>
          </cell>
          <cell r="D14143" t="str">
            <v>IPS Individual  Implant, PEEK 00025</v>
          </cell>
        </row>
        <row r="14144">
          <cell r="B14144" t="str">
            <v>60-000-26-09</v>
          </cell>
          <cell r="C14144" t="str">
            <v>IPS Midface Implant, PEEK 00026</v>
          </cell>
          <cell r="D14144" t="str">
            <v>IPS Midface Implant, PEEK 00026</v>
          </cell>
        </row>
        <row r="14145">
          <cell r="B14145" t="str">
            <v>60-000-27-09</v>
          </cell>
          <cell r="C14145" t="str">
            <v>IPS Midface Implant, PEEK 00027</v>
          </cell>
          <cell r="D14145" t="str">
            <v>IPS Midface Implant, PEEK 00027</v>
          </cell>
        </row>
        <row r="14146">
          <cell r="B14146" t="str">
            <v>60-000-28-09</v>
          </cell>
          <cell r="C14146" t="str">
            <v>IPS Midface Implant, PEEK 00028</v>
          </cell>
          <cell r="D14146" t="str">
            <v>IPS Midface Implant, PEEK 00028</v>
          </cell>
        </row>
        <row r="14147">
          <cell r="B14147" t="str">
            <v>60-000-29-09</v>
          </cell>
          <cell r="C14147" t="str">
            <v>IPS Orbital Implant, PEEK 00029</v>
          </cell>
          <cell r="D14147" t="str">
            <v>IPS Orbital Implant, PEEK 00029</v>
          </cell>
        </row>
        <row r="14148">
          <cell r="B14148" t="str">
            <v>60-000-30-09</v>
          </cell>
          <cell r="C14148" t="str">
            <v>IPS Orbital Implant, PEEK 00030</v>
          </cell>
          <cell r="D14148" t="str">
            <v>IPS Orbital Implant, PEEK 00030</v>
          </cell>
        </row>
        <row r="14149">
          <cell r="B14149" t="str">
            <v>60-000-31-09</v>
          </cell>
          <cell r="C14149" t="str">
            <v>IPS Orbital Implant, PEEK 00031</v>
          </cell>
          <cell r="D14149" t="str">
            <v>IPS Orbital Implant, PEEK 00031</v>
          </cell>
        </row>
        <row r="14150">
          <cell r="B14150" t="str">
            <v>60-000-32-09</v>
          </cell>
          <cell r="C14150" t="str">
            <v>IPS Orbital Implant, PEEK 00032</v>
          </cell>
          <cell r="D14150" t="str">
            <v>IPS Orbital Implant, PEEK 00032</v>
          </cell>
        </row>
        <row r="14151">
          <cell r="B14151" t="str">
            <v>60-000-33-09</v>
          </cell>
          <cell r="C14151" t="str">
            <v>IPS Cranial Onlay, PEEK 00033</v>
          </cell>
          <cell r="D14151" t="str">
            <v>IPS Cranial Onlay, PEEK 00033</v>
          </cell>
        </row>
        <row r="14152">
          <cell r="B14152" t="str">
            <v>60-000-34-09</v>
          </cell>
          <cell r="C14152" t="str">
            <v>IPS Cranial Onlay, PEEK 00034</v>
          </cell>
          <cell r="D14152" t="str">
            <v>IPS Cranial Onlay, PEEK 00034</v>
          </cell>
        </row>
        <row r="14153">
          <cell r="B14153" t="str">
            <v>60-000-35-09</v>
          </cell>
          <cell r="C14153" t="str">
            <v>IPS Cranial Onlay, PEEK 00035</v>
          </cell>
          <cell r="D14153" t="str">
            <v>IPS Cranial Onlay, PEEK 00035</v>
          </cell>
        </row>
        <row r="14154">
          <cell r="B14154" t="str">
            <v>60-000-36-09</v>
          </cell>
          <cell r="C14154" t="str">
            <v>IPS Cranial Onlay, PEEK 00036</v>
          </cell>
          <cell r="D14154" t="str">
            <v>IPS Cranial Onlay, PEEK 00036</v>
          </cell>
        </row>
        <row r="14155">
          <cell r="B14155" t="str">
            <v>60-000-37-09</v>
          </cell>
          <cell r="C14155" t="str">
            <v>IPS Cranial Onlay, PEEK 00037</v>
          </cell>
          <cell r="D14155" t="str">
            <v>IPS Cranial Onlay, PEEK 00037</v>
          </cell>
        </row>
        <row r="14156">
          <cell r="B14156" t="str">
            <v>60-000-38-09</v>
          </cell>
          <cell r="C14156" t="str">
            <v>IPS Cranial Onlay, PEEK 00038</v>
          </cell>
          <cell r="D14156" t="str">
            <v>IPS Cranial Onlay, PEEK 00038</v>
          </cell>
        </row>
        <row r="14157">
          <cell r="B14157" t="str">
            <v>60-000-39-09</v>
          </cell>
          <cell r="C14157" t="str">
            <v>IPS Cranial Onlay, PEEK 00039</v>
          </cell>
          <cell r="D14157" t="str">
            <v>IPS Cranial Onlay, PEEK 00039</v>
          </cell>
        </row>
        <row r="14158">
          <cell r="B14158" t="str">
            <v>60-000-40-09</v>
          </cell>
          <cell r="C14158" t="str">
            <v>IPS Cranial Onlay, PEEK 00040</v>
          </cell>
          <cell r="D14158" t="str">
            <v>IPS Cranial Onlay, PEEK 00040</v>
          </cell>
        </row>
        <row r="14159">
          <cell r="B14159" t="str">
            <v>60-000-41-09</v>
          </cell>
          <cell r="C14159" t="str">
            <v>IPS Mandible  Onlay, PEEK 00041</v>
          </cell>
          <cell r="D14159" t="str">
            <v>IPS Mandible  Onlay, PEEK 00041</v>
          </cell>
        </row>
        <row r="14160">
          <cell r="B14160" t="str">
            <v>60-000-42-09</v>
          </cell>
          <cell r="C14160" t="str">
            <v>IPS Mandible  Onlay, PEEK 00042</v>
          </cell>
          <cell r="D14160" t="str">
            <v>IPS Mandible  Onlay, PEEK 00042</v>
          </cell>
        </row>
        <row r="14161">
          <cell r="B14161" t="str">
            <v>60-000-43-09</v>
          </cell>
          <cell r="C14161" t="str">
            <v>IPS Midface Onlay, PEEK 00043</v>
          </cell>
          <cell r="D14161" t="str">
            <v>IPS Midface Onlay, PEEK 00043</v>
          </cell>
        </row>
        <row r="14162">
          <cell r="B14162" t="str">
            <v>60-000-44-71</v>
          </cell>
          <cell r="C14162" t="str">
            <v>IPS Implant RESORB X 00044</v>
          </cell>
          <cell r="D14162" t="str">
            <v>IPS Implant RESORB X 00044</v>
          </cell>
        </row>
        <row r="14163">
          <cell r="B14163" t="str">
            <v>60-000-45-71</v>
          </cell>
          <cell r="C14163" t="str">
            <v>IPS Implant RESORB XG 00045</v>
          </cell>
          <cell r="D14163" t="str">
            <v>IPS Implant RESORB XG 00045</v>
          </cell>
        </row>
        <row r="14164">
          <cell r="B14164" t="str">
            <v>60-000-50-09</v>
          </cell>
          <cell r="C14164" t="str">
            <v>IPS Epithesis,  Titanium  00050</v>
          </cell>
          <cell r="D14164" t="str">
            <v>IPS Epithesis,  Titanium  00050</v>
          </cell>
        </row>
        <row r="14165">
          <cell r="B14165" t="str">
            <v>60-000-51-09</v>
          </cell>
          <cell r="C14165" t="str">
            <v>IPS Epithesis,  Titanium  00051</v>
          </cell>
          <cell r="D14165" t="str">
            <v>IPS Epithesis,  Titanium  00051</v>
          </cell>
        </row>
        <row r="14166">
          <cell r="B14166" t="str">
            <v>60-000-52-09</v>
          </cell>
          <cell r="C14166" t="str">
            <v>IPS Epithesis,  Titanium  00052</v>
          </cell>
          <cell r="D14166" t="str">
            <v>IPS Epithesis,  Titanium  00052</v>
          </cell>
        </row>
        <row r="14167">
          <cell r="B14167" t="str">
            <v>60-000-53-09</v>
          </cell>
          <cell r="C14167" t="str">
            <v>IPS Individual  Implant, Titanium  00053</v>
          </cell>
          <cell r="D14167" t="str">
            <v>IPS Individual  Implant, Titanium  00053</v>
          </cell>
        </row>
        <row r="14168">
          <cell r="B14168" t="str">
            <v>60-000-54-09</v>
          </cell>
          <cell r="C14168" t="str">
            <v>IPS Cranial Implant, Titanium  00054</v>
          </cell>
          <cell r="D14168" t="str">
            <v>IPS Cranial Implant, Titanium  00054</v>
          </cell>
        </row>
        <row r="14169">
          <cell r="B14169" t="str">
            <v>60-000-55-09</v>
          </cell>
          <cell r="C14169" t="str">
            <v>IPS Cranial Implant, Titanium  00055</v>
          </cell>
          <cell r="D14169" t="str">
            <v>IPS Cranial Implant, Titanium  00055</v>
          </cell>
        </row>
        <row r="14170">
          <cell r="B14170" t="str">
            <v>60-000-56-09</v>
          </cell>
          <cell r="C14170" t="str">
            <v>IPS Cranial Implant, Titanium  00056</v>
          </cell>
          <cell r="D14170" t="str">
            <v>IPS Cranial Implant, Titanium  00056</v>
          </cell>
        </row>
        <row r="14171">
          <cell r="B14171" t="str">
            <v>60-000-57-09</v>
          </cell>
          <cell r="C14171" t="str">
            <v>IPS Cranial Implant, Titanium  00057</v>
          </cell>
          <cell r="D14171" t="str">
            <v>IPS Cranial Implant, Titanium  00057</v>
          </cell>
        </row>
        <row r="14172">
          <cell r="B14172" t="str">
            <v>60-000-58-09</v>
          </cell>
          <cell r="C14172" t="str">
            <v>IPS Cranial Implant, Titanium  00058</v>
          </cell>
          <cell r="D14172" t="str">
            <v>IPS Cranial Implant, Titanium  00058</v>
          </cell>
        </row>
        <row r="14173">
          <cell r="B14173" t="str">
            <v>60-000-59-09</v>
          </cell>
          <cell r="C14173" t="str">
            <v>IPS Cranial Implant, Titanium  00059</v>
          </cell>
          <cell r="D14173" t="str">
            <v>IPS Cranial Implant, Titanium  00059</v>
          </cell>
        </row>
        <row r="14174">
          <cell r="B14174" t="str">
            <v>60-000-60-09</v>
          </cell>
          <cell r="C14174" t="str">
            <v>IPS Cranial Implant, Titanium  00060</v>
          </cell>
          <cell r="D14174" t="str">
            <v>IPS Cranial Implant, Titanium  00060</v>
          </cell>
        </row>
        <row r="14175">
          <cell r="B14175" t="str">
            <v>60-000-61-09</v>
          </cell>
          <cell r="C14175" t="str">
            <v>IPS Cranial Implant, Titanium  00061</v>
          </cell>
          <cell r="D14175" t="str">
            <v>IPS Cranial Implant, Titanium  00061</v>
          </cell>
        </row>
        <row r="14176">
          <cell r="B14176" t="str">
            <v>60-000-62-09</v>
          </cell>
          <cell r="C14176" t="str">
            <v>IPS Mandible  Implant, Titanium  00062</v>
          </cell>
          <cell r="D14176" t="str">
            <v>IPS Mandible  Implant, Titanium  00062</v>
          </cell>
        </row>
        <row r="14177">
          <cell r="B14177" t="str">
            <v>60-000-63-09</v>
          </cell>
          <cell r="C14177" t="str">
            <v>IPS Mandible  Implant, Titanium  00063</v>
          </cell>
          <cell r="D14177" t="str">
            <v>IPS Mandible  Implant, Titanium  00063</v>
          </cell>
        </row>
        <row r="14178">
          <cell r="B14178" t="str">
            <v>60-000-64-09</v>
          </cell>
          <cell r="C14178" t="str">
            <v>IPS Mandible  Implant, Titanium  00064</v>
          </cell>
          <cell r="D14178" t="str">
            <v>IPS Mandible  Implant, Titanium  00064</v>
          </cell>
        </row>
        <row r="14179">
          <cell r="B14179" t="str">
            <v>60-000-65-09</v>
          </cell>
          <cell r="C14179" t="str">
            <v>IPS Mandible  Implant, Titanium  00065</v>
          </cell>
          <cell r="D14179" t="str">
            <v>IPS Mandible  Implant, Titanium  00065</v>
          </cell>
        </row>
        <row r="14180">
          <cell r="B14180" t="str">
            <v>60-000-66-09</v>
          </cell>
          <cell r="C14180" t="str">
            <v>IPS Mandible  Implant, Titanium  00066</v>
          </cell>
          <cell r="D14180" t="str">
            <v>IPS Mandible  Implant, Titanium  00066</v>
          </cell>
        </row>
        <row r="14181">
          <cell r="B14181" t="str">
            <v>60-000-67-09</v>
          </cell>
          <cell r="C14181" t="str">
            <v>IPS Mandible  Implant, Titanium  00067</v>
          </cell>
          <cell r="D14181" t="str">
            <v>IPS Mandible  Implant, Titanium  00067</v>
          </cell>
        </row>
        <row r="14182">
          <cell r="B14182" t="str">
            <v>60-000-68-09</v>
          </cell>
          <cell r="C14182" t="str">
            <v>IPS Mandible  Implant, Titanium  00068</v>
          </cell>
          <cell r="D14182" t="str">
            <v>IPS Mandible  Implant, Titanium  00068</v>
          </cell>
        </row>
        <row r="14183">
          <cell r="B14183" t="str">
            <v>60-000-69-09</v>
          </cell>
          <cell r="C14183" t="str">
            <v>IPS Midface Implant, Titanium  00069</v>
          </cell>
          <cell r="D14183" t="str">
            <v>IPS Midface Implant, Titanium  00069</v>
          </cell>
        </row>
        <row r="14184">
          <cell r="B14184" t="str">
            <v>60-000-70-09</v>
          </cell>
          <cell r="C14184" t="str">
            <v>IPS Midface Implant, Titanium  00070</v>
          </cell>
          <cell r="D14184" t="str">
            <v>IPS Midface Implant, Titanium  00070</v>
          </cell>
        </row>
        <row r="14185">
          <cell r="B14185" t="str">
            <v>60-000-71-09</v>
          </cell>
          <cell r="C14185" t="str">
            <v>IPS Midface Implant, Titanium  00071</v>
          </cell>
          <cell r="D14185" t="str">
            <v>IPS Midface Implant, Titanium  00071</v>
          </cell>
        </row>
        <row r="14186">
          <cell r="B14186" t="str">
            <v>60-000-72-09</v>
          </cell>
          <cell r="C14186" t="str">
            <v>IPS Midface Implant, Titanium  00072</v>
          </cell>
          <cell r="D14186" t="str">
            <v>IPS Midface Implant, Titanium  00072</v>
          </cell>
        </row>
        <row r="14187">
          <cell r="B14187" t="str">
            <v>60-000-73-09</v>
          </cell>
          <cell r="C14187" t="str">
            <v>IPS Individual  Implant, Titanium  00073</v>
          </cell>
          <cell r="D14187" t="str">
            <v>IPS Individual  Implant, Titanium  00073</v>
          </cell>
        </row>
        <row r="14188">
          <cell r="B14188" t="str">
            <v>60-000-74-09</v>
          </cell>
          <cell r="C14188" t="str">
            <v>IPS Individual  Implant, Titanium  00074</v>
          </cell>
          <cell r="D14188" t="str">
            <v>IPS Individual  Implant, Titanium  00074</v>
          </cell>
        </row>
        <row r="14189">
          <cell r="B14189" t="str">
            <v>60-000-75-09</v>
          </cell>
          <cell r="C14189" t="str">
            <v>IPS Midface Implant, Titanium  00075</v>
          </cell>
          <cell r="D14189" t="str">
            <v>IPS Midface Implant, Titanium  00075</v>
          </cell>
        </row>
        <row r="14190">
          <cell r="B14190" t="str">
            <v>60-000-76-09</v>
          </cell>
          <cell r="C14190" t="str">
            <v>IPS Midface Implant, Titanium  00076</v>
          </cell>
          <cell r="D14190" t="str">
            <v>IPS Midface Implant, Titanium  00076</v>
          </cell>
        </row>
        <row r="14191">
          <cell r="B14191" t="str">
            <v>60-000-77-09</v>
          </cell>
          <cell r="C14191" t="str">
            <v>IPS Midface Implant, Titanium  00077</v>
          </cell>
          <cell r="D14191" t="str">
            <v>IPS Midface Implant, Titanium  00077</v>
          </cell>
        </row>
        <row r="14192">
          <cell r="B14192" t="str">
            <v>60-000-78-09</v>
          </cell>
          <cell r="C14192" t="str">
            <v>IPS Orbital Implant, Titanium  00078</v>
          </cell>
          <cell r="D14192" t="str">
            <v>IPS Orbital Implant, Titanium  00078</v>
          </cell>
        </row>
        <row r="14193">
          <cell r="B14193" t="str">
            <v>60-000-79-09</v>
          </cell>
          <cell r="C14193" t="str">
            <v>IPS Orbital Implant, Titanium  00079</v>
          </cell>
          <cell r="D14193" t="str">
            <v>IPS Orbital Implant, Titanium  00079</v>
          </cell>
        </row>
        <row r="14194">
          <cell r="B14194" t="str">
            <v>60-000-80-09</v>
          </cell>
          <cell r="C14194" t="str">
            <v>IPS Orbital Implant, Titanium  00080</v>
          </cell>
          <cell r="D14194" t="str">
            <v>IPS Orbital Implant, Titanium  00080</v>
          </cell>
        </row>
        <row r="14195">
          <cell r="B14195" t="str">
            <v>60-000-81-09</v>
          </cell>
          <cell r="C14195" t="str">
            <v>IPS Orbital Implant, Titanium  00081</v>
          </cell>
          <cell r="D14195" t="str">
            <v>IPS Orbital Implant, Titanium  00081</v>
          </cell>
        </row>
        <row r="14196">
          <cell r="B14196" t="str">
            <v>60-000-82-09</v>
          </cell>
          <cell r="C14196" t="str">
            <v>IPS Mandible  Onlay, Titanium  00082</v>
          </cell>
          <cell r="D14196" t="str">
            <v>IPS Mandible  Onlay, Titanium  00082</v>
          </cell>
        </row>
        <row r="14197">
          <cell r="B14197" t="str">
            <v>60-000-83-09</v>
          </cell>
          <cell r="C14197" t="str">
            <v>IPS Mandible  Onlay, Titanium  00083</v>
          </cell>
          <cell r="D14197" t="str">
            <v>IPS Mandible  Onlay, Titanium  00083</v>
          </cell>
        </row>
        <row r="14198">
          <cell r="B14198" t="str">
            <v>60-000-84-09</v>
          </cell>
          <cell r="C14198" t="str">
            <v>IPS Midface Onlay, Titanium  00084</v>
          </cell>
          <cell r="D14198" t="str">
            <v>IPS Midface Onlay, Titanium  00084</v>
          </cell>
        </row>
        <row r="14199">
          <cell r="B14199" t="str">
            <v>60-000-85-09</v>
          </cell>
          <cell r="C14199" t="str">
            <v>IPS Orbital Spacer, Titanium  00085</v>
          </cell>
          <cell r="D14199" t="str">
            <v>IPS Orbital Spacer, Titanium  00085</v>
          </cell>
        </row>
        <row r="14200">
          <cell r="B14200" t="str">
            <v>60-000-86-09</v>
          </cell>
          <cell r="C14200" t="str">
            <v>IPS Individual  Implant, Titanium  00086</v>
          </cell>
          <cell r="D14200" t="str">
            <v>IPS Individual  Implant, Titanium  00086</v>
          </cell>
        </row>
        <row r="14201">
          <cell r="B14201" t="str">
            <v>60-000-87-09</v>
          </cell>
          <cell r="C14201" t="str">
            <v>IPS Cranial Implant, Titanium  00087</v>
          </cell>
          <cell r="D14201" t="str">
            <v>IPS Cranial Implant, Titanium  00087</v>
          </cell>
        </row>
        <row r="14202">
          <cell r="B14202" t="str">
            <v>60-000-88-09</v>
          </cell>
          <cell r="C14202" t="str">
            <v>IPS Cranial Implant, Titanium  00088</v>
          </cell>
          <cell r="D14202" t="str">
            <v>IPS Cranial Implant, Titanium  00088</v>
          </cell>
        </row>
        <row r="14203">
          <cell r="B14203" t="str">
            <v>60-000-89-09</v>
          </cell>
          <cell r="C14203" t="str">
            <v>IPS Cranial Implant, Titanium  00089</v>
          </cell>
          <cell r="D14203" t="str">
            <v>IPS Cranial Implant, Titanium  00089</v>
          </cell>
        </row>
        <row r="14204">
          <cell r="B14204" t="str">
            <v>60-000-90-09</v>
          </cell>
          <cell r="C14204" t="str">
            <v>IPS Mandible  Implant, Titanium  00090</v>
          </cell>
          <cell r="D14204" t="str">
            <v>IPS Mandible  Implant, Titanium  00090</v>
          </cell>
        </row>
        <row r="14205">
          <cell r="B14205" t="str">
            <v>60-000-91-09</v>
          </cell>
          <cell r="C14205" t="str">
            <v>IPS Individual  Implant, Titanium  00091</v>
          </cell>
          <cell r="D14205" t="str">
            <v>IPS Individual  Implant, Titanium  00091</v>
          </cell>
        </row>
        <row r="14206">
          <cell r="B14206" t="str">
            <v>60-000-92-09</v>
          </cell>
          <cell r="C14206" t="str">
            <v>IPS Mandible  Implant, Titanium  00092</v>
          </cell>
          <cell r="D14206" t="str">
            <v>IPS Mandible  Implant, Titanium  00092</v>
          </cell>
        </row>
        <row r="14207">
          <cell r="B14207" t="str">
            <v>60-000-93-71</v>
          </cell>
          <cell r="C14207" t="str">
            <v>IPS Individual  Orthognathic Implant, RxB</v>
          </cell>
          <cell r="D14207" t="str">
            <v>IPS Individual  Orthognathic Implant, RxB</v>
          </cell>
        </row>
        <row r="14208">
          <cell r="B14208" t="str">
            <v>60-000-94-09</v>
          </cell>
          <cell r="C14208" t="str">
            <v>IPS Mandible  Implant, Titanium  00094</v>
          </cell>
          <cell r="D14208" t="str">
            <v>IPS Mandible  Implant, Titanium  00094</v>
          </cell>
        </row>
        <row r="14209">
          <cell r="B14209" t="str">
            <v>60-000-95-09</v>
          </cell>
          <cell r="C14209" t="str">
            <v>IPS Final Splint, Single, KLS plan 00095</v>
          </cell>
          <cell r="D14209" t="str">
            <v>IPS Final Splint, Single, KLS plan 00095</v>
          </cell>
        </row>
        <row r="14210">
          <cell r="B14210" t="str">
            <v>60-000-96-09</v>
          </cell>
          <cell r="C14210" t="str">
            <v>IPS Interm Splint, Single,KLS  plan 00096</v>
          </cell>
          <cell r="D14210" t="str">
            <v>IPS Interm Splint, Single,KLS  plan 00096</v>
          </cell>
        </row>
        <row r="14211">
          <cell r="B14211" t="str">
            <v>60-000-97-09</v>
          </cell>
          <cell r="C14211" t="str">
            <v>IPS Preop Splint, Single, KLS plan 00097</v>
          </cell>
          <cell r="D14211" t="str">
            <v>IPS Preop Splint, Single, KLS plan 00097</v>
          </cell>
        </row>
        <row r="14212">
          <cell r="B14212" t="str">
            <v>60-000-99-09</v>
          </cell>
          <cell r="C14212" t="str">
            <v>IPS Orbital Connecting Screw 00099</v>
          </cell>
          <cell r="D14212" t="str">
            <v>IPS Orbital Connecting Screw 00099</v>
          </cell>
        </row>
        <row r="14213">
          <cell r="B14213" t="str">
            <v>60-001-00-09</v>
          </cell>
          <cell r="C14213" t="str">
            <v>IPS Full Skull Model, EP 00100</v>
          </cell>
          <cell r="D14213" t="str">
            <v>IPS Full Skull Model, EP 00100</v>
          </cell>
        </row>
        <row r="14214">
          <cell r="B14214" t="str">
            <v>60-001-01-09</v>
          </cell>
          <cell r="C14214" t="str">
            <v>IPS Skull w/o Mandible  Model, EP 00101</v>
          </cell>
          <cell r="D14214" t="str">
            <v>IPS Skull w/o Mandible  Model, EP 00101</v>
          </cell>
        </row>
        <row r="14215">
          <cell r="B14215" t="str">
            <v>60-001-02-09</v>
          </cell>
          <cell r="C14215" t="str">
            <v>IPS Cranium Model, EP 00102</v>
          </cell>
          <cell r="D14215" t="str">
            <v>IPS Cranium Model, EP 00102</v>
          </cell>
        </row>
        <row r="14216">
          <cell r="B14216" t="str">
            <v>60-001-03-09</v>
          </cell>
          <cell r="C14216" t="str">
            <v>IPS Orbita Midface Model, EP 00103</v>
          </cell>
          <cell r="D14216" t="str">
            <v>IPS Orbita Midface Model, EP 00103</v>
          </cell>
        </row>
        <row r="14217">
          <cell r="B14217" t="str">
            <v>60-001-05-09</v>
          </cell>
          <cell r="C14217" t="str">
            <v>IPS Midface Model, EP</v>
          </cell>
          <cell r="D14217" t="str">
            <v>IPS Midface Model, EP</v>
          </cell>
        </row>
        <row r="14218">
          <cell r="B14218" t="str">
            <v>60-001-06-09</v>
          </cell>
          <cell r="C14218" t="str">
            <v>IPS Mandible  Midface Model, EP</v>
          </cell>
          <cell r="D14218" t="str">
            <v>IPS Mandible  Midface Model, EP</v>
          </cell>
        </row>
        <row r="14219">
          <cell r="B14219" t="str">
            <v>60-001-07-09</v>
          </cell>
          <cell r="C14219" t="str">
            <v>IPS Mandible  Midface Model sep, EP</v>
          </cell>
          <cell r="D14219" t="str">
            <v>IPS Mandible  Midface Model sep, EP</v>
          </cell>
        </row>
        <row r="14220">
          <cell r="B14220" t="str">
            <v>60-001-08-09</v>
          </cell>
          <cell r="C14220" t="str">
            <v>IPS Mandible  Model, EP</v>
          </cell>
          <cell r="D14220" t="str">
            <v>IPS Mandible  Model, EP</v>
          </cell>
        </row>
        <row r="14221">
          <cell r="B14221" t="str">
            <v>60-001-09-09</v>
          </cell>
          <cell r="C14221" t="str">
            <v>IPS Pediatric  Model, EP</v>
          </cell>
          <cell r="D14221" t="str">
            <v>IPS Pediatric  Model, EP</v>
          </cell>
        </row>
        <row r="14222">
          <cell r="B14222" t="str">
            <v>60-001-10-09</v>
          </cell>
          <cell r="C14222" t="str">
            <v>IPS Fibula Model, EP</v>
          </cell>
          <cell r="D14222" t="str">
            <v>IPS Fibula Model, EP</v>
          </cell>
        </row>
        <row r="14223">
          <cell r="B14223" t="str">
            <v>60-001-11-09</v>
          </cell>
          <cell r="C14223" t="str">
            <v>IPS Scapula Model, EP</v>
          </cell>
          <cell r="D14223" t="str">
            <v>IPS Scapula Model, EP</v>
          </cell>
        </row>
        <row r="14224">
          <cell r="B14224" t="str">
            <v>60-001-12-09</v>
          </cell>
          <cell r="C14224" t="str">
            <v>IPS Iliac Crest Model</v>
          </cell>
          <cell r="D14224" t="str">
            <v>IPS Iliac Crest Model</v>
          </cell>
        </row>
        <row r="14225">
          <cell r="B14225" t="str">
            <v>60-001-20-09</v>
          </cell>
          <cell r="C14225" t="str">
            <v>IPS Full Skull Model, PA 00120</v>
          </cell>
          <cell r="D14225" t="str">
            <v>IPS Full Skull Model, PA 00120</v>
          </cell>
        </row>
        <row r="14226">
          <cell r="B14226" t="str">
            <v>60-001-21-09</v>
          </cell>
          <cell r="C14226" t="str">
            <v>IPS Skull w/o Mandible  Model, PA 00121</v>
          </cell>
          <cell r="D14226" t="str">
            <v>IPS Skull w/o Mandible  Model, PA 00121</v>
          </cell>
        </row>
        <row r="14227">
          <cell r="B14227" t="str">
            <v>60-001-22-09</v>
          </cell>
          <cell r="C14227" t="str">
            <v>IPS Cranium Model, PA 00122</v>
          </cell>
          <cell r="D14227" t="str">
            <v>IPS Cranium Model, PA 00122</v>
          </cell>
        </row>
        <row r="14228">
          <cell r="B14228" t="str">
            <v>60-001-23-09</v>
          </cell>
          <cell r="C14228" t="str">
            <v>IPS Orbita Midface Model, PA 00123</v>
          </cell>
          <cell r="D14228" t="str">
            <v>IPS Orbita Midface Model, PA 00123</v>
          </cell>
        </row>
        <row r="14229">
          <cell r="B14229" t="str">
            <v>60-001-24-09</v>
          </cell>
          <cell r="C14229" t="str">
            <v>IPS Midface Model, PA 00124</v>
          </cell>
          <cell r="D14229" t="str">
            <v>IPS Midface Model, PA 00124</v>
          </cell>
        </row>
        <row r="14230">
          <cell r="B14230" t="str">
            <v>60-001-25-09</v>
          </cell>
          <cell r="C14230" t="str">
            <v>IPS Mandible  Midface Model, PA 00125</v>
          </cell>
          <cell r="D14230" t="str">
            <v>IPS Mandible  Midface Model, PA 00125</v>
          </cell>
        </row>
        <row r="14231">
          <cell r="B14231" t="str">
            <v>60-001-26-09</v>
          </cell>
          <cell r="C14231" t="str">
            <v>IPS Mandible  Midface Model sep, PA 00126</v>
          </cell>
          <cell r="D14231" t="str">
            <v>IPS Mandible  Midface Model sep, PA 00126</v>
          </cell>
        </row>
        <row r="14232">
          <cell r="B14232" t="str">
            <v>60-001-27-09</v>
          </cell>
          <cell r="C14232" t="str">
            <v>IPS Mandible  Model, PA 00127</v>
          </cell>
          <cell r="D14232" t="str">
            <v>IPS Mandible  Model, PA 00127</v>
          </cell>
        </row>
        <row r="14233">
          <cell r="B14233" t="str">
            <v>60-001-28-09</v>
          </cell>
          <cell r="C14233" t="str">
            <v>IPS Pediatric  Model, PA 00128</v>
          </cell>
          <cell r="D14233" t="str">
            <v>IPS Pediatric  Model, PA 00128</v>
          </cell>
        </row>
        <row r="14234">
          <cell r="B14234" t="str">
            <v>60-001-29-09</v>
          </cell>
          <cell r="C14234" t="str">
            <v>IPS Fibula Model, PA 00129</v>
          </cell>
          <cell r="D14234" t="str">
            <v>IPS Fibula Model, PA 00129</v>
          </cell>
        </row>
        <row r="14235">
          <cell r="B14235" t="str">
            <v>60-001-30-09</v>
          </cell>
          <cell r="C14235" t="str">
            <v>IPS Scapula Model, PA 00130</v>
          </cell>
          <cell r="D14235" t="str">
            <v>IPS Scapula Model, PA 00130</v>
          </cell>
        </row>
        <row r="14236">
          <cell r="B14236" t="str">
            <v>60-001-31-09</v>
          </cell>
          <cell r="C14236" t="str">
            <v>IPS Iliac Crest Model, PA 00131</v>
          </cell>
          <cell r="D14236" t="str">
            <v>IPS Iliac Crest Model, PA 00131</v>
          </cell>
        </row>
        <row r="14237">
          <cell r="B14237" t="str">
            <v>60-001-32-09</v>
          </cell>
          <cell r="C14237" t="str">
            <v>IPS Half Model, PA 00132</v>
          </cell>
          <cell r="D14237" t="str">
            <v>IPS Half Model, PA 00132</v>
          </cell>
        </row>
        <row r="14238">
          <cell r="B14238" t="str">
            <v>60-001-33-09</v>
          </cell>
          <cell r="C14238" t="str">
            <v>IPS Full Model, PA 00133</v>
          </cell>
          <cell r="D14238" t="str">
            <v>IPS Full Model, PA 00133</v>
          </cell>
        </row>
        <row r="14239">
          <cell r="B14239" t="str">
            <v>60-001-61-09</v>
          </cell>
          <cell r="C14239" t="str">
            <v>IPS Transplant  Guide, Titanium  00161</v>
          </cell>
          <cell r="D14239" t="str">
            <v>IPS Transplant  Guide, Titanium  00161</v>
          </cell>
        </row>
        <row r="14240">
          <cell r="B14240" t="str">
            <v>60-001-62-09</v>
          </cell>
          <cell r="C14240" t="str">
            <v>IPS Standard  Guide, Titanium  00162</v>
          </cell>
          <cell r="D14240" t="str">
            <v>IPS Standard  Guide, Titanium  00162</v>
          </cell>
        </row>
        <row r="14241">
          <cell r="B14241" t="str">
            <v>60-001-63-09</v>
          </cell>
          <cell r="C14241" t="str">
            <v>IPS Complex  Guide, Titanium  00163</v>
          </cell>
          <cell r="D14241" t="str">
            <v>IPS Complex  Guide, Titanium  00163</v>
          </cell>
        </row>
        <row r="14242">
          <cell r="B14242" t="str">
            <v>60-001-90-09</v>
          </cell>
          <cell r="C14242" t="str">
            <v>IPS Individual  Onlay, PEEK 00190</v>
          </cell>
          <cell r="D14242" t="str">
            <v>IPS Individual  Onlay, PEEK 00190</v>
          </cell>
        </row>
        <row r="14243">
          <cell r="B14243" t="str">
            <v>60-001-91-09</v>
          </cell>
          <cell r="C14243" t="str">
            <v>IPS Individual  Onlay, PEEK 00191</v>
          </cell>
          <cell r="D14243" t="str">
            <v>IPS Individual  Onlay, PEEK 00191</v>
          </cell>
        </row>
        <row r="14244">
          <cell r="B14244" t="str">
            <v>60-001-92-09</v>
          </cell>
          <cell r="C14244" t="str">
            <v>IPS Individual  Onlay, Titanium  00192</v>
          </cell>
          <cell r="D14244" t="str">
            <v>IPS Individual  Onlay, Titanium  00192</v>
          </cell>
        </row>
        <row r="14245">
          <cell r="B14245" t="str">
            <v>60-001-93-09</v>
          </cell>
          <cell r="C14245" t="str">
            <v>IPS Individual  Onlay, Titanium  00193</v>
          </cell>
          <cell r="D14245" t="str">
            <v>IPS Individual  Onlay, Titanium  00193</v>
          </cell>
        </row>
        <row r="14246">
          <cell r="B14246" t="str">
            <v>60-001-94-09</v>
          </cell>
          <cell r="C14246" t="str">
            <v>IPS Midface Implant, PEEK 00194</v>
          </cell>
          <cell r="D14246" t="str">
            <v>IPS Midface Implant, PEEK 00194</v>
          </cell>
        </row>
        <row r="14247">
          <cell r="B14247" t="str">
            <v>60-001-95-09</v>
          </cell>
          <cell r="C14247" t="str">
            <v>IPS Mandible  Crib Mesh, Titanium  00195</v>
          </cell>
          <cell r="D14247" t="str">
            <v>IPS Mandible  Crib Mesh, Titanium  00195</v>
          </cell>
        </row>
        <row r="14248">
          <cell r="B14248" t="str">
            <v>60-001-98-09</v>
          </cell>
          <cell r="C14248" t="str">
            <v>IPS Midface Implant, Titanium  00198</v>
          </cell>
          <cell r="D14248" t="str">
            <v>IPS Midface Implant, Titanium  00198</v>
          </cell>
        </row>
        <row r="14249">
          <cell r="B14249" t="str">
            <v>60-002-00-09</v>
          </cell>
          <cell r="C14249" t="str">
            <v>IPS Mandible  Onlay combined,  Peek</v>
          </cell>
          <cell r="D14249" t="str">
            <v>IPS Mandible  Onlay combined,  Peek</v>
          </cell>
        </row>
        <row r="14250">
          <cell r="B14250" t="str">
            <v>60-002-01-09</v>
          </cell>
          <cell r="C14250" t="str">
            <v>IPS Midface Onlay combined,  Peek</v>
          </cell>
          <cell r="D14250" t="str">
            <v>IPS Midface Onlay combined,  Peek</v>
          </cell>
        </row>
        <row r="14251">
          <cell r="B14251" t="str">
            <v>60-002-02-09</v>
          </cell>
          <cell r="C14251" t="str">
            <v>IPS Final Splint 00202</v>
          </cell>
          <cell r="D14251" t="str">
            <v>IPS Final Splint 00202</v>
          </cell>
        </row>
        <row r="14252">
          <cell r="B14252" t="str">
            <v>60-002-03-09</v>
          </cell>
          <cell r="C14252" t="str">
            <v>IPS Interm Splint 00203</v>
          </cell>
          <cell r="D14252" t="str">
            <v>IPS Interm Splint 00203</v>
          </cell>
        </row>
        <row r="14253">
          <cell r="B14253" t="str">
            <v>60-002-04-09</v>
          </cell>
          <cell r="C14253" t="str">
            <v>IPS Preop Splint 00204</v>
          </cell>
          <cell r="D14253" t="str">
            <v>IPS Preop Splint 00204</v>
          </cell>
        </row>
        <row r="14254">
          <cell r="B14254" t="str">
            <v>60-002-14-09</v>
          </cell>
          <cell r="C14254" t="str">
            <v>IPS Forearm Radius Model, PA 00214</v>
          </cell>
          <cell r="D14254" t="str">
            <v>IPS Forearm Radius Model, PA 00214</v>
          </cell>
        </row>
        <row r="14255">
          <cell r="B14255" t="str">
            <v>60-002-15-09</v>
          </cell>
          <cell r="C14255" t="str">
            <v>IPS Forearm Ulna Model, PA 00215</v>
          </cell>
          <cell r="D14255" t="str">
            <v>IPS Forearm Ulna Model, PA 00215</v>
          </cell>
        </row>
        <row r="14256">
          <cell r="B14256" t="str">
            <v>60-002-16-09</v>
          </cell>
          <cell r="C14256" t="str">
            <v>IPS Radius Shaft Guide, PA 00216</v>
          </cell>
          <cell r="D14256" t="str">
            <v>IPS Radius Shaft Guide, PA 00216</v>
          </cell>
        </row>
        <row r="14257">
          <cell r="B14257" t="str">
            <v>60-002-17-09</v>
          </cell>
          <cell r="C14257" t="str">
            <v>IPS Ulna Shaft Guide, PA 00217</v>
          </cell>
          <cell r="D14257" t="str">
            <v>IPS Ulna Shaft Guide, PA 00217</v>
          </cell>
        </row>
        <row r="14258">
          <cell r="B14258" t="str">
            <v>60-002-18-09</v>
          </cell>
          <cell r="C14258" t="str">
            <v>IPS Radius Shaft Implant, Titanium  00218</v>
          </cell>
          <cell r="D14258" t="str">
            <v>IPS Radius Shaft Implant, Titanium  00218</v>
          </cell>
        </row>
        <row r="14259">
          <cell r="B14259" t="str">
            <v>60-002-19-09</v>
          </cell>
          <cell r="C14259" t="str">
            <v>IPS Ulna Shaft Implant, Titanium  00219</v>
          </cell>
          <cell r="D14259" t="str">
            <v>IPS Ulna Shaft Implant, Titanium  00219</v>
          </cell>
        </row>
        <row r="14260">
          <cell r="B14260" t="str">
            <v>60-002-27-09</v>
          </cell>
          <cell r="C14260" t="str">
            <v>IPS Transplant  Guide w sleeves, PA 00227</v>
          </cell>
          <cell r="D14260" t="str">
            <v>IPS Transplant  Guide w sleeves, PA 00227</v>
          </cell>
        </row>
        <row r="14261">
          <cell r="B14261" t="str">
            <v>60-002-28-09</v>
          </cell>
          <cell r="C14261" t="str">
            <v>IPS Standard  Guide w sleeves, PA 00228</v>
          </cell>
          <cell r="D14261" t="str">
            <v>IPS Standard  Guide w sleeves, PA 00228</v>
          </cell>
        </row>
        <row r="14262">
          <cell r="B14262" t="str">
            <v>60-002-29-09</v>
          </cell>
          <cell r="C14262" t="str">
            <v>IPS Advanced  Guide w sleeves, PA 00229</v>
          </cell>
          <cell r="D14262" t="str">
            <v>IPS Advanced  Guide w sleeves, PA 00229</v>
          </cell>
        </row>
        <row r="14263">
          <cell r="B14263" t="str">
            <v>60-002-30-09</v>
          </cell>
          <cell r="C14263" t="str">
            <v>IPS Radius Model, PA 00230</v>
          </cell>
          <cell r="D14263" t="str">
            <v>IPS Radius Model, PA 00230</v>
          </cell>
        </row>
        <row r="14264">
          <cell r="B14264" t="str">
            <v>60-002-31-09</v>
          </cell>
          <cell r="C14264" t="str">
            <v>IPS Radius Guide, PA 00231</v>
          </cell>
          <cell r="D14264" t="str">
            <v>IPS Radius Guide, PA 00231</v>
          </cell>
        </row>
        <row r="14265">
          <cell r="B14265" t="str">
            <v>60-002-32-09</v>
          </cell>
          <cell r="C14265" t="str">
            <v>IPS Radius Implant, Titanium  00232</v>
          </cell>
          <cell r="D14265" t="str">
            <v>IPS Radius Implant, Titanium  00232</v>
          </cell>
        </row>
        <row r="14266">
          <cell r="B14266" t="str">
            <v>60-002-33-09</v>
          </cell>
          <cell r="C14266" t="str">
            <v>IPS Guide, external planning,  PA, 00233</v>
          </cell>
          <cell r="D14266" t="str">
            <v>IPS Guide, external planning,  PA, 00233</v>
          </cell>
        </row>
        <row r="14267">
          <cell r="B14267" t="str">
            <v>60-002-34-09</v>
          </cell>
          <cell r="C14267" t="str">
            <v>IPS Individual  Guide, Titanium  00234</v>
          </cell>
          <cell r="D14267" t="str">
            <v>IPS Individual  Guide, Titanium  00234</v>
          </cell>
        </row>
        <row r="14268">
          <cell r="B14268" t="str">
            <v>60-002-43-09</v>
          </cell>
          <cell r="C14268" t="str">
            <v>IPS Ortho-G Max MI  Plate, TI</v>
          </cell>
          <cell r="D14268" t="str">
            <v>IPS Ortho-G Max MI  Plate, TI</v>
          </cell>
        </row>
        <row r="14269">
          <cell r="B14269" t="str">
            <v>60-002-44-09</v>
          </cell>
          <cell r="C14269" t="str">
            <v>IPS Ortho Max MI Guide, PA</v>
          </cell>
          <cell r="D14269" t="str">
            <v>IPS Ortho Max MI Guide, PA</v>
          </cell>
        </row>
        <row r="14270">
          <cell r="B14270" t="str">
            <v>60-002-45-09</v>
          </cell>
          <cell r="C14270" t="str">
            <v>IPS Pre-pros   1 Quadrant  Plate, TI</v>
          </cell>
          <cell r="D14270" t="str">
            <v>IPS Pre-pros   1 Quadrant  Plate, TI</v>
          </cell>
        </row>
        <row r="14271">
          <cell r="B14271" t="str">
            <v>60-002-46-09</v>
          </cell>
          <cell r="C14271" t="str">
            <v>IPS Pre-pros 2 Quadrants  Plate, TI</v>
          </cell>
          <cell r="D14271" t="str">
            <v>IPS Pre-pros 2 Quadrants  Plate, TI</v>
          </cell>
        </row>
        <row r="14272">
          <cell r="B14272" t="str">
            <v>60-002-47-09</v>
          </cell>
          <cell r="C14272" t="str">
            <v>IPS Pre-pros 2 Quadrants  add. Plate, TI</v>
          </cell>
          <cell r="D14272" t="str">
            <v>IPS Pre-pros 2 Quadrants  add. Plate, TI</v>
          </cell>
        </row>
        <row r="14273">
          <cell r="B14273" t="str">
            <v>60-002-49-09</v>
          </cell>
          <cell r="C14273" t="str">
            <v>IPS Pre-pros Position Guide, PA</v>
          </cell>
          <cell r="D14273" t="str">
            <v>IPS Pre-pros Position Guide, PA</v>
          </cell>
        </row>
        <row r="14274">
          <cell r="B14274" t="str">
            <v>60-002-50-09</v>
          </cell>
          <cell r="C14274" t="str">
            <v>IPS Pre-pros Resection  Guide, PA</v>
          </cell>
          <cell r="D14274" t="str">
            <v>IPS Pre-pros Resection  Guide, PA</v>
          </cell>
        </row>
        <row r="14275">
          <cell r="B14275" t="str">
            <v>60-002-56-09</v>
          </cell>
          <cell r="C14275" t="str">
            <v>IPS Radius Guide with Standard  Plate, PA</v>
          </cell>
          <cell r="D14275" t="str">
            <v>IPS Radius Guide with Standard  Plate, PA</v>
          </cell>
        </row>
        <row r="14276">
          <cell r="B14276" t="str">
            <v>60-002-57-09</v>
          </cell>
          <cell r="C14276" t="str">
            <v>IPS Craniofacial Guide Planned,  PA</v>
          </cell>
          <cell r="D14276" t="str">
            <v>IPS Craniofacial Guide Planned,  PA</v>
          </cell>
        </row>
        <row r="14277">
          <cell r="B14277" t="str">
            <v>60-002-58-09</v>
          </cell>
          <cell r="C14277" t="str">
            <v>IPS Craniofacial Guide, PA</v>
          </cell>
          <cell r="D14277" t="str">
            <v>IPS Craniofacial Guide, PA</v>
          </cell>
        </row>
        <row r="14278">
          <cell r="B14278" t="str">
            <v>60-002-59-09</v>
          </cell>
          <cell r="C14278" t="str">
            <v>IPS Craniofacial Guide Individual,  PA</v>
          </cell>
          <cell r="D14278" t="str">
            <v>IPS Craniofacial Guide Individual,  PA</v>
          </cell>
        </row>
        <row r="14279">
          <cell r="B14279" t="str">
            <v>60-002-60-09</v>
          </cell>
          <cell r="C14279" t="str">
            <v>IPS Hand Guide Individual,  PA</v>
          </cell>
          <cell r="D14279" t="str">
            <v>IPS Hand Guide Individual,  PA</v>
          </cell>
        </row>
        <row r="14280">
          <cell r="B14280" t="str">
            <v>60-002-61-09</v>
          </cell>
          <cell r="C14280" t="str">
            <v>IPS Hand Implant Individual,  TI</v>
          </cell>
          <cell r="D14280" t="str">
            <v>IPS Hand Implant Individual,  TI</v>
          </cell>
        </row>
        <row r="14281">
          <cell r="B14281" t="str">
            <v>60-002-66-09</v>
          </cell>
          <cell r="C14281" t="str">
            <v>IPS Hand Model Individual,  PA</v>
          </cell>
          <cell r="D14281" t="str">
            <v>IPS Hand Model Individual,  PA</v>
          </cell>
        </row>
        <row r="14282">
          <cell r="B14282" t="str">
            <v>60-002-67-09</v>
          </cell>
          <cell r="C14282" t="str">
            <v>IPS Midface Implant lock small, TI</v>
          </cell>
          <cell r="D14282" t="str">
            <v>IPS Midface Implant lock small, TI</v>
          </cell>
        </row>
        <row r="14283">
          <cell r="B14283" t="str">
            <v>60-002-68-09</v>
          </cell>
          <cell r="C14283" t="str">
            <v>IPS Midface Implant lock medium,  TI</v>
          </cell>
          <cell r="D14283" t="str">
            <v>IPS Midface Implant lock medium,  TI</v>
          </cell>
        </row>
        <row r="14284">
          <cell r="B14284" t="str">
            <v>60-002-69-09</v>
          </cell>
          <cell r="C14284" t="str">
            <v>IPS Midface Implant lock large, TI</v>
          </cell>
          <cell r="D14284" t="str">
            <v>IPS Midface Implant lock large, TI</v>
          </cell>
        </row>
        <row r="14285">
          <cell r="B14285" t="str">
            <v>60-002-78-71</v>
          </cell>
          <cell r="C14285" t="str">
            <v>IPS Soft Tissue Implant Individual,  Rx</v>
          </cell>
          <cell r="D14285" t="str">
            <v>IPS Soft Tissue Implant Individual,  Rx</v>
          </cell>
        </row>
        <row r="14286">
          <cell r="B14286" t="str">
            <v>60-002-80-71</v>
          </cell>
          <cell r="C14286" t="str">
            <v>IPS Soft Tissue Implant Individual,  RxG</v>
          </cell>
          <cell r="D14286" t="str">
            <v>IPS Soft Tissue Implant Individual,  RxG</v>
          </cell>
        </row>
        <row r="14287">
          <cell r="B14287" t="str">
            <v>60-002-81-09</v>
          </cell>
          <cell r="C14287" t="str">
            <v>IPS Forearm Model Pre-OP, PA</v>
          </cell>
          <cell r="D14287" t="str">
            <v>IPS Forearm Model Pre-OP, PA</v>
          </cell>
        </row>
        <row r="14288">
          <cell r="B14288" t="str">
            <v>60-002-81-71</v>
          </cell>
          <cell r="C14288" t="str">
            <v>IPS Soft Tissue Implant Individual,  RxC</v>
          </cell>
          <cell r="D14288" t="str">
            <v>IPS Soft Tissue Implant Individual,  RxC</v>
          </cell>
        </row>
        <row r="14289">
          <cell r="B14289" t="str">
            <v>60-002-95-09</v>
          </cell>
          <cell r="C14289" t="str">
            <v>IPS Final Splint, KLS plan 00295</v>
          </cell>
          <cell r="D14289" t="str">
            <v>IPS Final Splint, KLS plan 00295</v>
          </cell>
        </row>
        <row r="14290">
          <cell r="B14290" t="str">
            <v>60-002-96-09</v>
          </cell>
          <cell r="C14290" t="str">
            <v>IPS Interm Splint, KLS plan 00296</v>
          </cell>
          <cell r="D14290" t="str">
            <v>IPS Interm Splint, KLS plan 00296</v>
          </cell>
        </row>
        <row r="14291">
          <cell r="B14291" t="str">
            <v>60-002-97-09</v>
          </cell>
          <cell r="C14291" t="str">
            <v>IPS Preop Splint, KLS plan 00297</v>
          </cell>
          <cell r="D14291" t="str">
            <v>IPS Preop Splint, KLS plan 00297</v>
          </cell>
        </row>
        <row r="14292">
          <cell r="B14292" t="str">
            <v>60-003-02-09</v>
          </cell>
          <cell r="C14292" t="str">
            <v>IPS Final Splint 00302</v>
          </cell>
          <cell r="D14292" t="str">
            <v>IPS Final Splint 00302</v>
          </cell>
        </row>
        <row r="14293">
          <cell r="B14293" t="str">
            <v>60-003-03-09</v>
          </cell>
          <cell r="C14293" t="str">
            <v>IPS Interm Splint 00303</v>
          </cell>
          <cell r="D14293" t="str">
            <v>IPS Interm Splint 00303</v>
          </cell>
        </row>
        <row r="14294">
          <cell r="B14294" t="str">
            <v>60-003-04-09</v>
          </cell>
          <cell r="C14294" t="str">
            <v>IPS Preop Splint 00304</v>
          </cell>
          <cell r="D14294" t="str">
            <v>IPS Preop Splint 00304</v>
          </cell>
        </row>
        <row r="14295">
          <cell r="B14295" t="str">
            <v>60-003-95-09</v>
          </cell>
          <cell r="C14295" t="str">
            <v>IPS Final Splint, KLS plan 00395</v>
          </cell>
          <cell r="D14295" t="str">
            <v>IPS Final Splint, KLS plan 00395</v>
          </cell>
        </row>
        <row r="14296">
          <cell r="B14296" t="str">
            <v>60-003-96-09</v>
          </cell>
          <cell r="C14296" t="str">
            <v>IPS Interm Splint, KLS plan 00396</v>
          </cell>
          <cell r="D14296" t="str">
            <v>IPS Interm Splint, KLS plan 00396</v>
          </cell>
        </row>
        <row r="14297">
          <cell r="B14297" t="str">
            <v>60-003-97-09</v>
          </cell>
          <cell r="C14297" t="str">
            <v>IPS Preop Splint, KLS plan 00397</v>
          </cell>
          <cell r="D14297" t="str">
            <v>IPS Preop Splint, KLS plan 00397</v>
          </cell>
        </row>
        <row r="14298">
          <cell r="B14298" t="str">
            <v>60-004-17-09</v>
          </cell>
          <cell r="C14298" t="str">
            <v>IPS Ortho-G Max MI Plate, TI KLS Plan</v>
          </cell>
          <cell r="D14298" t="str">
            <v>IPS Ortho-G Max MI Plate, TI KLS Plan</v>
          </cell>
        </row>
        <row r="14299">
          <cell r="B14299" t="str">
            <v>60-004-18-09</v>
          </cell>
          <cell r="C14299" t="str">
            <v>IPS Ortho-G Max U-Plate, TI KLS Plan</v>
          </cell>
          <cell r="D14299" t="str">
            <v>IPS Ortho-G Max U-Plate, TI KLS Plan</v>
          </cell>
        </row>
        <row r="14300">
          <cell r="B14300" t="str">
            <v>60-004-19-09</v>
          </cell>
          <cell r="C14300" t="str">
            <v>IPS Ortho-G Max Comp. Plate, TI KLS Plan</v>
          </cell>
          <cell r="D14300" t="str">
            <v>IPS Ortho-G Max Comp. Plate, TI KLS Plan</v>
          </cell>
        </row>
        <row r="14301">
          <cell r="B14301" t="str">
            <v>60-004-20-09</v>
          </cell>
          <cell r="C14301" t="str">
            <v>IPS Ortho-G Max L-Plate, TI</v>
          </cell>
          <cell r="D14301" t="str">
            <v>IPS Ortho-G Max L-Plate, TI</v>
          </cell>
        </row>
        <row r="14302">
          <cell r="B14302" t="str">
            <v>60-004-21-09</v>
          </cell>
          <cell r="C14302" t="str">
            <v>IPS Ortho-G Max L-Plate, TI KLS Plan</v>
          </cell>
          <cell r="D14302" t="str">
            <v>IPS Ortho-G Max L-Plate, TI KLS Plan</v>
          </cell>
        </row>
        <row r="14303">
          <cell r="B14303" t="str">
            <v>60-004-22-09</v>
          </cell>
          <cell r="C14303" t="str">
            <v>IPS Ortho-G Genio Plate, TI KLS Plan</v>
          </cell>
          <cell r="D14303" t="str">
            <v>IPS Ortho-G Genio Plate, TI KLS Plan</v>
          </cell>
        </row>
        <row r="14304">
          <cell r="B14304" t="str">
            <v>60-004-23-09</v>
          </cell>
          <cell r="C14304" t="str">
            <v>IPS Ortho-G Mand BSSO Plate, TI KLS Plan</v>
          </cell>
          <cell r="D14304" t="str">
            <v>IPS Ortho-G Mand BSSO Plate, TI KLS Plan</v>
          </cell>
        </row>
        <row r="14305">
          <cell r="B14305" t="str">
            <v>60-004-24-09</v>
          </cell>
          <cell r="C14305" t="str">
            <v>IPS Ortho Max Guide, TI KLS Plan</v>
          </cell>
          <cell r="D14305" t="str">
            <v>IPS Ortho Max Guide, TI KLS Plan</v>
          </cell>
        </row>
        <row r="14306">
          <cell r="B14306" t="str">
            <v>60-004-25-09</v>
          </cell>
          <cell r="C14306" t="str">
            <v>IPS Ortho Max Guide, PA KLS Plan</v>
          </cell>
          <cell r="D14306" t="str">
            <v>IPS Ortho Max Guide, PA KLS Plan</v>
          </cell>
        </row>
        <row r="14307">
          <cell r="B14307" t="str">
            <v>60-004-26-09</v>
          </cell>
          <cell r="C14307" t="str">
            <v>IPS Ortho Genio Guide, PA</v>
          </cell>
          <cell r="D14307" t="str">
            <v>IPS Ortho Genio Guide, PA</v>
          </cell>
        </row>
        <row r="14308">
          <cell r="B14308" t="str">
            <v>60-004-27-09</v>
          </cell>
          <cell r="C14308" t="str">
            <v>IPS Ortho Genio Guide, TI</v>
          </cell>
          <cell r="D14308" t="str">
            <v>IPS Ortho Genio Guide, TI</v>
          </cell>
        </row>
        <row r="14309">
          <cell r="B14309" t="str">
            <v>60-004-28-09</v>
          </cell>
          <cell r="C14309" t="str">
            <v>IPS Ortho Mand BSSO Guide, PA</v>
          </cell>
          <cell r="D14309" t="str">
            <v>IPS Ortho Mand BSSO Guide, PA</v>
          </cell>
        </row>
        <row r="14310">
          <cell r="B14310" t="str">
            <v>60-004-29-09</v>
          </cell>
          <cell r="C14310" t="str">
            <v>IPS Ortho Mand BSSO Guide, TI</v>
          </cell>
          <cell r="D14310" t="str">
            <v>IPS Ortho Mand BSSO Guide, TI</v>
          </cell>
        </row>
        <row r="14311">
          <cell r="B14311" t="str">
            <v>60-004-30-09</v>
          </cell>
          <cell r="C14311" t="str">
            <v>IPS Ortho Genio Guide, PA KLS Plan</v>
          </cell>
          <cell r="D14311" t="str">
            <v>IPS Ortho Genio Guide, PA KLS Plan</v>
          </cell>
        </row>
        <row r="14312">
          <cell r="B14312" t="str">
            <v>60-004-31-09</v>
          </cell>
          <cell r="C14312" t="str">
            <v>IPS Ortho Genio Guide, TI KLS Plan</v>
          </cell>
          <cell r="D14312" t="str">
            <v>IPS Ortho Genio Guide, TI KLS Plan</v>
          </cell>
        </row>
        <row r="14313">
          <cell r="B14313" t="str">
            <v>60-004-32-09</v>
          </cell>
          <cell r="C14313" t="str">
            <v>IPS Ortho Mand BSSO Guide, PA KLS Plan</v>
          </cell>
          <cell r="D14313" t="str">
            <v>IPS Ortho Mand BSSO Guide, PA KLS Plan</v>
          </cell>
        </row>
        <row r="14314">
          <cell r="B14314" t="str">
            <v>60-004-33-09</v>
          </cell>
          <cell r="C14314" t="str">
            <v>IPS Ortho Mand BSSO Guide, TI KLS Plan</v>
          </cell>
          <cell r="D14314" t="str">
            <v>IPS Ortho Mand BSSO Guide, TI KLS Plan</v>
          </cell>
        </row>
        <row r="14315">
          <cell r="B14315" t="str">
            <v>60-004-39-09</v>
          </cell>
          <cell r="C14315" t="str">
            <v>IPS Orbital Implant Lite, 1 Wall, Ti</v>
          </cell>
          <cell r="D14315" t="str">
            <v>IPS Orbital Implant Lite, 1 Wall, Ti</v>
          </cell>
        </row>
        <row r="14316">
          <cell r="B14316" t="str">
            <v>60-004-40-09</v>
          </cell>
          <cell r="C14316" t="str">
            <v>IPS Orbital Implant Lite, 2 Wall, Ti</v>
          </cell>
          <cell r="D14316" t="str">
            <v>IPS Orbital Implant Lite, 2 Wall, Ti</v>
          </cell>
        </row>
        <row r="14317">
          <cell r="B14317" t="str">
            <v>60-004-41-09</v>
          </cell>
          <cell r="C14317" t="str">
            <v>IPS Orbital Implant Lite, 3 Wall, Ti</v>
          </cell>
          <cell r="D14317" t="str">
            <v>IPS Orbital Implant Lite, 3 Wall, Ti</v>
          </cell>
        </row>
        <row r="14318">
          <cell r="B14318" t="str">
            <v>60-004-42-09</v>
          </cell>
          <cell r="C14318" t="str">
            <v>IPS Orbital Implant Lite, combi, Ti</v>
          </cell>
          <cell r="D14318" t="str">
            <v>IPS Orbital Implant Lite, combi, Ti</v>
          </cell>
        </row>
        <row r="14319">
          <cell r="B14319" t="str">
            <v>60-005-00-71</v>
          </cell>
          <cell r="C14319" t="str">
            <v>IPS Cranium Individual  Implant, PE</v>
          </cell>
          <cell r="D14319" t="str">
            <v>IPS Cranium Individual  Implant, PE</v>
          </cell>
        </row>
        <row r="14320">
          <cell r="B14320" t="str">
            <v>60-005-01-71</v>
          </cell>
          <cell r="C14320" t="str">
            <v>IPS Cranium Implant, S, PE</v>
          </cell>
          <cell r="D14320" t="str">
            <v>IPS Cranium Implant, S, PE</v>
          </cell>
        </row>
        <row r="14321">
          <cell r="B14321" t="str">
            <v>60-005-02-71</v>
          </cell>
          <cell r="C14321" t="str">
            <v>IPS Cranium Implant, M, PE</v>
          </cell>
          <cell r="D14321" t="str">
            <v>IPS Cranium Implant, M, PE</v>
          </cell>
        </row>
        <row r="14322">
          <cell r="B14322" t="str">
            <v>60-005-03-71</v>
          </cell>
          <cell r="C14322" t="str">
            <v>IPS Cranium Implant, L, PE</v>
          </cell>
          <cell r="D14322" t="str">
            <v>IPS Cranium Implant, L, PE</v>
          </cell>
        </row>
        <row r="14323">
          <cell r="B14323" t="str">
            <v>60-005-04-71</v>
          </cell>
          <cell r="C14323" t="str">
            <v>IPS Cranium Implant, XL, PE</v>
          </cell>
          <cell r="D14323" t="str">
            <v>IPS Cranium Implant, XL, PE</v>
          </cell>
        </row>
        <row r="14324">
          <cell r="B14324" t="str">
            <v>60-005-05-71</v>
          </cell>
          <cell r="C14324" t="str">
            <v>IPS Cranium Onlay, S, PE</v>
          </cell>
          <cell r="D14324" t="str">
            <v>IPS Cranium Onlay, S, PE</v>
          </cell>
        </row>
        <row r="14325">
          <cell r="B14325" t="str">
            <v>60-005-06-71</v>
          </cell>
          <cell r="C14325" t="str">
            <v>IPS Cranium Onlay, M, PE</v>
          </cell>
          <cell r="D14325" t="str">
            <v>IPS Cranium Onlay, M, PE</v>
          </cell>
        </row>
        <row r="14326">
          <cell r="B14326" t="str">
            <v>60-005-07-71</v>
          </cell>
          <cell r="C14326" t="str">
            <v>IPS Cranium Onlay, L, PE</v>
          </cell>
          <cell r="D14326" t="str">
            <v>IPS Cranium Onlay, L, PE</v>
          </cell>
        </row>
        <row r="14327">
          <cell r="B14327" t="str">
            <v>60-005-08-71</v>
          </cell>
          <cell r="C14327" t="str">
            <v>IPS Cranium Onlay, XL, PE</v>
          </cell>
          <cell r="D14327" t="str">
            <v>IPS Cranium Onlay, XL, PE</v>
          </cell>
        </row>
        <row r="14328">
          <cell r="B14328" t="str">
            <v>60-005-09-71</v>
          </cell>
          <cell r="C14328" t="str">
            <v>IPS Midface Individual  Implant, PE</v>
          </cell>
          <cell r="D14328" t="str">
            <v>IPS Midface Individual  Implant, PE</v>
          </cell>
        </row>
        <row r="14329">
          <cell r="B14329" t="str">
            <v>60-005-10-71</v>
          </cell>
          <cell r="C14329" t="str">
            <v>IPS Midface Implant, S, PE</v>
          </cell>
          <cell r="D14329" t="str">
            <v>IPS Midface Implant, S, PE</v>
          </cell>
        </row>
        <row r="14330">
          <cell r="B14330" t="str">
            <v>60-005-11-71</v>
          </cell>
          <cell r="C14330" t="str">
            <v>IPS Midface Implant, M, PE</v>
          </cell>
          <cell r="D14330" t="str">
            <v>IPS Midface Implant, M, PE</v>
          </cell>
        </row>
        <row r="14331">
          <cell r="B14331" t="str">
            <v>60-005-12-71</v>
          </cell>
          <cell r="C14331" t="str">
            <v>IPS Midface Implant, L, PE</v>
          </cell>
          <cell r="D14331" t="str">
            <v>IPS Midface Implant, L, PE</v>
          </cell>
        </row>
        <row r="14332">
          <cell r="B14332" t="str">
            <v>60-005-13-71</v>
          </cell>
          <cell r="C14332" t="str">
            <v>IPS Midface Onlay, PE</v>
          </cell>
          <cell r="D14332" t="str">
            <v>IPS Midface Onlay, PE</v>
          </cell>
        </row>
        <row r="14333">
          <cell r="B14333" t="str">
            <v>60-005-14-71</v>
          </cell>
          <cell r="C14333" t="str">
            <v>IPS Mandible  Individual  Implant, PE</v>
          </cell>
          <cell r="D14333" t="str">
            <v>IPS Mandible  Individual  Implant, PE</v>
          </cell>
        </row>
        <row r="14334">
          <cell r="B14334" t="str">
            <v>60-005-15-71</v>
          </cell>
          <cell r="C14334" t="str">
            <v>IPS Mandible  Onlay, S, PE</v>
          </cell>
          <cell r="D14334" t="str">
            <v>IPS Mandible  Onlay, S, PE</v>
          </cell>
        </row>
        <row r="14335">
          <cell r="B14335" t="str">
            <v>60-005-16-71</v>
          </cell>
          <cell r="C14335" t="str">
            <v>IPS Mandible  Onlay, L, PE</v>
          </cell>
          <cell r="D14335" t="str">
            <v>IPS Mandible  Onlay, L, PE</v>
          </cell>
        </row>
        <row r="14336">
          <cell r="B14336" t="str">
            <v>60-006-00-71</v>
          </cell>
          <cell r="C14336" t="str">
            <v>IPS Cranium Implant Individual,  HA</v>
          </cell>
          <cell r="D14336" t="str">
            <v>IPS Cranium Implant Individual,  HA</v>
          </cell>
        </row>
        <row r="14337">
          <cell r="B14337" t="str">
            <v>60-006-01-71</v>
          </cell>
          <cell r="C14337" t="str">
            <v>IPS Midface Implant Individual,  HA</v>
          </cell>
          <cell r="D14337" t="str">
            <v>IPS Midface Implant Individual,  HA</v>
          </cell>
        </row>
        <row r="14338">
          <cell r="B14338" t="str">
            <v>60-006-02-71</v>
          </cell>
          <cell r="C14338" t="str">
            <v>IPS Mandible  Implant Individual,  HA</v>
          </cell>
          <cell r="D14338" t="str">
            <v>IPS Mandible  Implant Individual,  HA</v>
          </cell>
        </row>
        <row r="14339">
          <cell r="B14339" t="str">
            <v>60-006-03-71</v>
          </cell>
          <cell r="C14339" t="str">
            <v>IPS Forearm Implant Individual,  HA</v>
          </cell>
          <cell r="D14339" t="str">
            <v>IPS Forearm Implant Individual,  HA</v>
          </cell>
        </row>
        <row r="14340">
          <cell r="B14340" t="str">
            <v>60-006-04-71</v>
          </cell>
          <cell r="C14340" t="str">
            <v>IPS Cranium Onlay Individual,  HA</v>
          </cell>
          <cell r="D14340" t="str">
            <v>IPS Cranium Onlay Individual,  HA</v>
          </cell>
        </row>
        <row r="14341">
          <cell r="B14341" t="str">
            <v>60-006-05-71</v>
          </cell>
          <cell r="C14341" t="str">
            <v>IPS Midface Onlay Individual,  HA</v>
          </cell>
          <cell r="D14341" t="str">
            <v>IPS Midface Onlay Individual,  HA</v>
          </cell>
        </row>
        <row r="14342">
          <cell r="B14342" t="str">
            <v>60-006-06-71</v>
          </cell>
          <cell r="C14342" t="str">
            <v>IPS Mandible  Onlay Individual,  HA</v>
          </cell>
          <cell r="D14342" t="str">
            <v>IPS Mandible  Onlay Individual,  HA</v>
          </cell>
        </row>
        <row r="14343">
          <cell r="B14343" t="str">
            <v>60-006-07-71</v>
          </cell>
          <cell r="C14343" t="str">
            <v>IPS Forearm Onlay Individual,  HA</v>
          </cell>
          <cell r="D14343" t="str">
            <v>IPS Forearm Onlay Individual,  HA</v>
          </cell>
        </row>
        <row r="14344">
          <cell r="B14344" t="str">
            <v>60-007-00-71</v>
          </cell>
          <cell r="C14344" t="str">
            <v>IPS Cranium Implant Individual,  b-TCP</v>
          </cell>
          <cell r="D14344" t="str">
            <v>IPS Cranium Implant Individual,  b-TCP</v>
          </cell>
        </row>
        <row r="14345">
          <cell r="B14345" t="str">
            <v>60-007-01-71</v>
          </cell>
          <cell r="C14345" t="str">
            <v>IPS Midface Implant Individual,  b-TCP</v>
          </cell>
          <cell r="D14345" t="str">
            <v>IPS Midface Implant Individual,  b-TCP</v>
          </cell>
        </row>
        <row r="14346">
          <cell r="B14346" t="str">
            <v>60-007-02-71</v>
          </cell>
          <cell r="C14346" t="str">
            <v>IPS Mandible  Implant Individual,  b-TCP</v>
          </cell>
          <cell r="D14346" t="str">
            <v>IPS Mandible  Implant Individual,  b-TCP</v>
          </cell>
        </row>
        <row r="14347">
          <cell r="B14347" t="str">
            <v>60-007-03-71</v>
          </cell>
          <cell r="C14347" t="str">
            <v>IPS Forearm Implant Individual,  b-TCP</v>
          </cell>
          <cell r="D14347" t="str">
            <v>IPS Forearm Implant Individual,  b-TCP</v>
          </cell>
        </row>
        <row r="14348">
          <cell r="B14348" t="str">
            <v>60-008-01-09</v>
          </cell>
          <cell r="C14348" t="str">
            <v>IPS RED II Distractor</v>
          </cell>
          <cell r="D14348" t="str">
            <v>IPS RED II Distractor</v>
          </cell>
        </row>
        <row r="14349">
          <cell r="B14349" t="str">
            <v>60-008-02-09</v>
          </cell>
          <cell r="C14349" t="str">
            <v>IPS TRACK Distractor</v>
          </cell>
          <cell r="D14349" t="str">
            <v>IPS TRACK Distractor</v>
          </cell>
        </row>
        <row r="14350">
          <cell r="B14350" t="str">
            <v>60-008-03-09</v>
          </cell>
          <cell r="C14350" t="str">
            <v>IPS Zurich II Distractor</v>
          </cell>
          <cell r="D14350" t="str">
            <v>IPS Zurich II Distractor</v>
          </cell>
        </row>
        <row r="14351">
          <cell r="B14351" t="str">
            <v>60-008-04-09</v>
          </cell>
          <cell r="C14351" t="str">
            <v>IPS Zurich Pediatric  Ramus Distractor</v>
          </cell>
          <cell r="D14351" t="str">
            <v>IPS Zurich Pediatric  Ramus Distractor</v>
          </cell>
        </row>
        <row r="14352">
          <cell r="B14352" t="str">
            <v>60-008-05-09</v>
          </cell>
          <cell r="C14352" t="str">
            <v>IPS Zurich Bidirectional Distractor</v>
          </cell>
          <cell r="D14352" t="str">
            <v>IPS Zurich Bidirectional Distractor</v>
          </cell>
        </row>
        <row r="14353">
          <cell r="B14353" t="str">
            <v>60-008-06-09</v>
          </cell>
          <cell r="C14353" t="str">
            <v>IPS Zurich Wood Distractor</v>
          </cell>
          <cell r="D14353" t="str">
            <v>IPS Zurich Wood Distractor</v>
          </cell>
        </row>
        <row r="14354">
          <cell r="B14354" t="str">
            <v>60-008-07-09</v>
          </cell>
          <cell r="C14354" t="str">
            <v>IPS Mandibular Telescoping Distractor</v>
          </cell>
          <cell r="D14354" t="str">
            <v>IPS Mandibular Telescoping Distractor</v>
          </cell>
        </row>
        <row r="14355">
          <cell r="B14355" t="str">
            <v>60-008-08-09</v>
          </cell>
          <cell r="C14355" t="str">
            <v>IPS ThreadLock Transport  Distractor</v>
          </cell>
          <cell r="D14355" t="str">
            <v>IPS ThreadLock Transport  Distractor</v>
          </cell>
        </row>
        <row r="14356">
          <cell r="B14356" t="str">
            <v>60-008-09-09</v>
          </cell>
          <cell r="C14356" t="str">
            <v>IPS Herford Transport  Distractor</v>
          </cell>
          <cell r="D14356" t="str">
            <v>IPS Herford Transport  Distractor</v>
          </cell>
        </row>
        <row r="14357">
          <cell r="B14357" t="str">
            <v>60-008-10-09</v>
          </cell>
          <cell r="C14357" t="str">
            <v>IPS Horizontal  / Ramus Distractor</v>
          </cell>
          <cell r="D14357" t="str">
            <v>IPS Horizontal  / Ramus Distractor</v>
          </cell>
        </row>
        <row r="14358">
          <cell r="B14358" t="str">
            <v>60-008-11-09</v>
          </cell>
          <cell r="C14358" t="str">
            <v>IPS Right Angle Driven Distractor</v>
          </cell>
          <cell r="D14358" t="str">
            <v>IPS Right Angle Driven Distractor</v>
          </cell>
        </row>
        <row r="14359">
          <cell r="B14359" t="str">
            <v>60-008-12-09</v>
          </cell>
          <cell r="C14359" t="str">
            <v>IPS Ramus Transport  Distractor</v>
          </cell>
          <cell r="D14359" t="str">
            <v>IPS Ramus Transport  Distractor</v>
          </cell>
        </row>
        <row r="14360">
          <cell r="B14360" t="str">
            <v>60-008-13-09</v>
          </cell>
          <cell r="C14360" t="str">
            <v>IPS Rotterdam/Bologna Midline Distractor</v>
          </cell>
          <cell r="D14360" t="str">
            <v>IPS Rotterdam/Bologna Midline Distractor</v>
          </cell>
        </row>
        <row r="14361">
          <cell r="B14361" t="str">
            <v>60-008-14-09</v>
          </cell>
          <cell r="C14361" t="str">
            <v>IPS Zurich Pediatric  Maxillary  Distract.</v>
          </cell>
          <cell r="D14361" t="str">
            <v>IPS Zurich Pediatric  Maxillary  Distract.</v>
          </cell>
        </row>
        <row r="14362">
          <cell r="B14362" t="str">
            <v>60-008-15-09</v>
          </cell>
          <cell r="C14362" t="str">
            <v>IPS Maxillary  Telescoping Distractor</v>
          </cell>
          <cell r="D14362" t="str">
            <v>IPS Maxillary  Telescoping Distractor</v>
          </cell>
        </row>
        <row r="14363">
          <cell r="B14363" t="str">
            <v>60-008-16-09</v>
          </cell>
          <cell r="C14363" t="str">
            <v>IPS TS-MD Distractor</v>
          </cell>
          <cell r="D14363" t="str">
            <v>IPS TS-MD Distractor</v>
          </cell>
        </row>
        <row r="14364">
          <cell r="B14364" t="str">
            <v>60-008-17-09</v>
          </cell>
          <cell r="C14364" t="str">
            <v>IPS Liou Cleft Distractor</v>
          </cell>
          <cell r="D14364" t="str">
            <v>IPS Liou Cleft Distractor</v>
          </cell>
        </row>
        <row r="14365">
          <cell r="B14365" t="str">
            <v>60-008-18-09</v>
          </cell>
          <cell r="C14365" t="str">
            <v>IPS Rotterdam  Palatal Distractor</v>
          </cell>
          <cell r="D14365" t="str">
            <v>IPS Rotterdam  Palatal Distractor</v>
          </cell>
        </row>
        <row r="14366">
          <cell r="B14366" t="str">
            <v>60-008-19-09</v>
          </cell>
          <cell r="C14366" t="str">
            <v>IPS Kawamoto  Distractor</v>
          </cell>
          <cell r="D14366" t="str">
            <v>IPS Kawamoto  Distractor</v>
          </cell>
        </row>
        <row r="14367">
          <cell r="B14367" t="str">
            <v>60-008-20-09</v>
          </cell>
          <cell r="C14367" t="str">
            <v>IPS Arnaud Distractor</v>
          </cell>
          <cell r="D14367" t="str">
            <v>IPS Arnaud Distractor</v>
          </cell>
        </row>
        <row r="14368">
          <cell r="B14368" t="str">
            <v>60-008-21-09</v>
          </cell>
          <cell r="C14368" t="str">
            <v>IPS Marchac Distractor</v>
          </cell>
          <cell r="D14368" t="str">
            <v>IPS Marchac Distractor</v>
          </cell>
        </row>
        <row r="14369">
          <cell r="B14369" t="str">
            <v>60-008-22-09</v>
          </cell>
          <cell r="C14369" t="str">
            <v>IPS Posterior  Cranial Vault Distractor</v>
          </cell>
          <cell r="D14369" t="str">
            <v>IPS Posterior  Cranial Vault Distractor</v>
          </cell>
        </row>
        <row r="14370">
          <cell r="B14370" t="str">
            <v>60-008-31-09</v>
          </cell>
          <cell r="C14370" t="str">
            <v>IPS RED II Distractor  Custom</v>
          </cell>
          <cell r="D14370" t="str">
            <v>IPS RED II Distractor  Custom</v>
          </cell>
        </row>
        <row r="14371">
          <cell r="B14371" t="str">
            <v>60-008-32-09</v>
          </cell>
          <cell r="C14371" t="str">
            <v>IPS TRACK Distractor  Custom</v>
          </cell>
          <cell r="D14371" t="str">
            <v>IPS TRACK Distractor  Custom</v>
          </cell>
        </row>
        <row r="14372">
          <cell r="B14372" t="str">
            <v>60-008-33-09</v>
          </cell>
          <cell r="C14372" t="str">
            <v>IPS Zurich II Distractor  Custom</v>
          </cell>
          <cell r="D14372" t="str">
            <v>IPS Zurich II Distractor  Custom</v>
          </cell>
        </row>
        <row r="14373">
          <cell r="B14373" t="str">
            <v>60-008-34-09</v>
          </cell>
          <cell r="C14373" t="str">
            <v>IPS Zurich Pediatric  Ramus Distr. Custom</v>
          </cell>
          <cell r="D14373" t="str">
            <v>IPS Zurich Pediatric  Ramus Distr. Custom</v>
          </cell>
        </row>
        <row r="14374">
          <cell r="B14374" t="str">
            <v>60-008-35-09</v>
          </cell>
          <cell r="C14374" t="str">
            <v>IPS Zurich Bidirectional Distr. Custom</v>
          </cell>
          <cell r="D14374" t="str">
            <v>IPS Zurich Bidirectional Distr. Custom</v>
          </cell>
        </row>
        <row r="14375">
          <cell r="B14375" t="str">
            <v>60-008-36-09</v>
          </cell>
          <cell r="C14375" t="str">
            <v>IPS Zurich Wood Distractor  Custom</v>
          </cell>
          <cell r="D14375" t="str">
            <v>IPS Zurich Wood Distractor  Custom</v>
          </cell>
        </row>
        <row r="14376">
          <cell r="B14376" t="str">
            <v>60-008-37-09</v>
          </cell>
          <cell r="C14376" t="str">
            <v>IPS Mandibular Telescoping Distr. Custom</v>
          </cell>
          <cell r="D14376" t="str">
            <v>IPS Mandibular Telescoping Distr. Custom</v>
          </cell>
        </row>
        <row r="14377">
          <cell r="B14377" t="str">
            <v>60-008-38-09</v>
          </cell>
          <cell r="C14377" t="str">
            <v>IPS ThreadLock Transport  Distr. Custom</v>
          </cell>
          <cell r="D14377" t="str">
            <v>IPS ThreadLock Transport  Distr. Custom</v>
          </cell>
        </row>
        <row r="14378">
          <cell r="B14378" t="str">
            <v>60-008-39-09</v>
          </cell>
          <cell r="C14378" t="str">
            <v>IPS Herford Transport  Distractor  Custom</v>
          </cell>
          <cell r="D14378" t="str">
            <v>IPS Herford Transport  Distractor  Custom</v>
          </cell>
        </row>
        <row r="14379">
          <cell r="B14379" t="str">
            <v>60-008-40-09</v>
          </cell>
          <cell r="C14379" t="str">
            <v>IPS Horizontal  / Ramus Distractor  Custom</v>
          </cell>
          <cell r="D14379" t="str">
            <v>IPS Horizontal  / Ramus Distractor  Custom</v>
          </cell>
        </row>
        <row r="14380">
          <cell r="B14380" t="str">
            <v>60-008-41-09</v>
          </cell>
          <cell r="C14380" t="str">
            <v>IPS Right Angle Driven Distractor  Custom</v>
          </cell>
          <cell r="D14380" t="str">
            <v>IPS Right Angle Driven Distractor  Custom</v>
          </cell>
        </row>
        <row r="14381">
          <cell r="B14381" t="str">
            <v>60-008-42-09</v>
          </cell>
          <cell r="C14381" t="str">
            <v>IPS Ramus Transport  Distractor  Custom</v>
          </cell>
          <cell r="D14381" t="str">
            <v>IPS Ramus Transport  Distractor  Custom</v>
          </cell>
        </row>
        <row r="14382">
          <cell r="B14382" t="str">
            <v>60-008-43-09</v>
          </cell>
          <cell r="C14382" t="str">
            <v>IPS Rott./Bologna Midline Distr. Custom</v>
          </cell>
          <cell r="D14382" t="str">
            <v>IPS Rott./Bologna Midline Distr. Custom</v>
          </cell>
        </row>
        <row r="14383">
          <cell r="B14383" t="str">
            <v>60-008-44-09</v>
          </cell>
          <cell r="C14383" t="str">
            <v>IPS Zurich Pedi. Maxillary  Distr. Custom</v>
          </cell>
          <cell r="D14383" t="str">
            <v>IPS Zurich Pedi. Maxillary  Distr. Custom</v>
          </cell>
        </row>
        <row r="14384">
          <cell r="B14384" t="str">
            <v>60-008-45-09</v>
          </cell>
          <cell r="C14384" t="str">
            <v>IPS Maxillary  Telescoping Distr. Custom</v>
          </cell>
          <cell r="D14384" t="str">
            <v>IPS Maxillary  Telescoping Distr. Custom</v>
          </cell>
        </row>
        <row r="14385">
          <cell r="B14385" t="str">
            <v>60-008-46-09</v>
          </cell>
          <cell r="C14385" t="str">
            <v>IPS TS-MD Distractor  Custom</v>
          </cell>
          <cell r="D14385" t="str">
            <v>IPS TS-MD Distractor  Custom</v>
          </cell>
        </row>
        <row r="14386">
          <cell r="B14386" t="str">
            <v>60-008-47-09</v>
          </cell>
          <cell r="C14386" t="str">
            <v>IPS Liou Cleft Distractor  Custom</v>
          </cell>
          <cell r="D14386" t="str">
            <v>IPS Liou Cleft Distractor  Custom</v>
          </cell>
        </row>
        <row r="14387">
          <cell r="B14387" t="str">
            <v>60-008-48-09</v>
          </cell>
          <cell r="C14387" t="str">
            <v>IPS Rotterdam  Palatal Distractor  Custom</v>
          </cell>
          <cell r="D14387" t="str">
            <v>IPS Rotterdam  Palatal Distractor  Custom</v>
          </cell>
        </row>
        <row r="14388">
          <cell r="B14388" t="str">
            <v>60-008-49-09</v>
          </cell>
          <cell r="C14388" t="str">
            <v>IPS Kawamoto  Distractor  Custom</v>
          </cell>
          <cell r="D14388" t="str">
            <v>IPS Kawamoto  Distractor  Custom</v>
          </cell>
        </row>
        <row r="14389">
          <cell r="B14389" t="str">
            <v>60-008-50-09</v>
          </cell>
          <cell r="C14389" t="str">
            <v>IPS Arnaud Distractor  Custom</v>
          </cell>
          <cell r="D14389" t="str">
            <v>IPS Arnaud Distractor  Custom</v>
          </cell>
        </row>
        <row r="14390">
          <cell r="B14390" t="str">
            <v>60-008-51-09</v>
          </cell>
          <cell r="C14390" t="str">
            <v>IPS Marchac Distractor  Custom</v>
          </cell>
          <cell r="D14390" t="str">
            <v>IPS Marchac Distractor  Custom</v>
          </cell>
        </row>
        <row r="14391">
          <cell r="B14391" t="str">
            <v>60-008-52-09</v>
          </cell>
          <cell r="C14391" t="str">
            <v>IPS PosteriorCranialVault Distr. Custom</v>
          </cell>
          <cell r="D14391" t="str">
            <v>IPS PosteriorCranialVault Distr. Custom</v>
          </cell>
        </row>
        <row r="14392">
          <cell r="B14392" t="str">
            <v>60-008-61-09</v>
          </cell>
          <cell r="C14392" t="str">
            <v>IPS Distraction  RED Fixation Plate, TI</v>
          </cell>
          <cell r="D14392" t="str">
            <v>IPS Distraction  RED Fixation Plate, TI</v>
          </cell>
        </row>
        <row r="14393">
          <cell r="B14393" t="str">
            <v>60-008-62-09</v>
          </cell>
          <cell r="C14393" t="str">
            <v>IPS Distraction  RED Retention  Plate, TI</v>
          </cell>
          <cell r="D14393" t="str">
            <v>IPS Distraction  RED Retention  Plate, TI</v>
          </cell>
        </row>
        <row r="14394">
          <cell r="B14394" t="str">
            <v>60-008-68-09</v>
          </cell>
          <cell r="C14394" t="str">
            <v>IPS Distr. RED Fix. Plate Detach.Pin, TI</v>
          </cell>
          <cell r="D14394" t="str">
            <v>IPS Distr. RED Fix. Plate Detach.Pin, TI</v>
          </cell>
        </row>
        <row r="14395">
          <cell r="B14395" t="str">
            <v>60-008-69-09</v>
          </cell>
          <cell r="C14395" t="str">
            <v>IPS Distraction  RED II Pin, TI</v>
          </cell>
          <cell r="D14395" t="str">
            <v>IPS Distraction  RED II Pin, TI</v>
          </cell>
        </row>
        <row r="14396">
          <cell r="B14396" t="str">
            <v>60-010-00-71</v>
          </cell>
          <cell r="C14396" t="str">
            <v>IPS Cranium Implant Individual,  Mg</v>
          </cell>
          <cell r="D14396" t="str">
            <v>IPS Cranium Implant Individual,  Mg</v>
          </cell>
        </row>
        <row r="14397">
          <cell r="B14397" t="str">
            <v>60-010-01-71</v>
          </cell>
          <cell r="C14397" t="str">
            <v>IPS Midface Implant Individual,  Mg</v>
          </cell>
          <cell r="D14397" t="str">
            <v>IPS Midface Implant Individual,  Mg</v>
          </cell>
        </row>
        <row r="14398">
          <cell r="B14398" t="str">
            <v>60-010-02-71</v>
          </cell>
          <cell r="C14398" t="str">
            <v>IPS Mandible  Implant Individual,  Mg</v>
          </cell>
          <cell r="D14398" t="str">
            <v>IPS Mandible  Implant Individual,  Mg</v>
          </cell>
        </row>
        <row r="14399">
          <cell r="B14399" t="str">
            <v>60-010-03-71</v>
          </cell>
          <cell r="C14399" t="str">
            <v>IPS Screw Individual,  Mg</v>
          </cell>
          <cell r="D14399" t="str">
            <v>IPS Screw Individual,  Mg</v>
          </cell>
        </row>
        <row r="14400">
          <cell r="B14400" t="str">
            <v>73-470-58-07</v>
          </cell>
          <cell r="C14400" t="str">
            <v>ABFALLZANGE, MARTIN,  63 CM</v>
          </cell>
          <cell r="D14400" t="str">
            <v>WASTE FORCEPS,  MARTIN,  63 CM</v>
          </cell>
        </row>
        <row r="14401">
          <cell r="B14401" t="str">
            <v>73-474-55-07</v>
          </cell>
          <cell r="C14401" t="str">
            <v>ABFALLZANGE, SAUERBRUCH, 55 CM</v>
          </cell>
          <cell r="D14401" t="str">
            <v>WASTE FORCEPS,  SAUERBRUCH, 55 CM</v>
          </cell>
        </row>
        <row r="14402">
          <cell r="B14402" t="str">
            <v>78-201-10-04</v>
          </cell>
          <cell r="C14402" t="str">
            <v>FOKUSSIERHANDSTUECK FUER LIMAX AUTOCLAV.</v>
          </cell>
          <cell r="D14402" t="str">
            <v>FOCUSING  HANDP. LIMAX, AUTOCLAVABLE</v>
          </cell>
        </row>
        <row r="14403">
          <cell r="B14403" t="str">
            <v>79-100-31-04</v>
          </cell>
          <cell r="C14403" t="str">
            <v>VERBINDUNGSSCHLAUCH 25CM, LIMAX AN FASER</v>
          </cell>
          <cell r="D14403" t="str">
            <v>CONNECTION HOSE 25CM, LIMAX TO FIBER</v>
          </cell>
        </row>
        <row r="14404">
          <cell r="B14404" t="str">
            <v>79-110-01-04</v>
          </cell>
          <cell r="C14404" t="str">
            <v>MESSER OXIDKERAMIK GELASERT  FASERPRAEP.</v>
          </cell>
          <cell r="D14404" t="str">
            <v>FIBER KNIFE</v>
          </cell>
        </row>
        <row r="14405">
          <cell r="B14405" t="str">
            <v>79-111-00-04</v>
          </cell>
          <cell r="C14405" t="str">
            <v>FASERPRAEPARIERSET,AUTOKLAVIERBAR</v>
          </cell>
          <cell r="D14405" t="str">
            <v>FIBRE PREPARATION SET, AUTOCLAVABLE</v>
          </cell>
        </row>
        <row r="14406">
          <cell r="B14406" t="str">
            <v>79-116-40-04</v>
          </cell>
          <cell r="C14406" t="str">
            <v>ABISOL.WERKZ. F.400 µm-FASERN AUTOKLAV.</v>
          </cell>
          <cell r="D14406" t="str">
            <v>FIBRE STRIPPER  F.400 µm-FIBERS  AUTOCLAV.</v>
          </cell>
        </row>
        <row r="14407">
          <cell r="B14407" t="str">
            <v>79-116-60-04</v>
          </cell>
          <cell r="C14407" t="str">
            <v>ABISOL.WERKZ. F.600 µm-FASERN AUTOKLAV.</v>
          </cell>
          <cell r="D14407" t="str">
            <v>FIBRE STRIPPER  F.600 µm-FIBERS  AUTOCLAV.</v>
          </cell>
        </row>
        <row r="14408">
          <cell r="B14408" t="str">
            <v>79-116-80-04</v>
          </cell>
          <cell r="C14408" t="str">
            <v>Abisol.Werkz. f.800 µm-Fasern  autoklav.</v>
          </cell>
          <cell r="D14408" t="str">
            <v>Fibre stripper f. 800µm-fibers autoclav.</v>
          </cell>
        </row>
        <row r="14409">
          <cell r="B14409" t="str">
            <v>79-220-00-04</v>
          </cell>
          <cell r="C14409" t="str">
            <v>SILIKONUNTERLAGE FUER FLYER GELASERT</v>
          </cell>
          <cell r="D14409" t="str">
            <v>SILICONBASE FOR FLYER</v>
          </cell>
        </row>
        <row r="14410">
          <cell r="B14410" t="str">
            <v>79-302-40-04</v>
          </cell>
          <cell r="C14410" t="str">
            <v>FASER, ZULEITUNG 400µm AUTOKLAVIERBAR</v>
          </cell>
          <cell r="D14410" t="str">
            <v>FIBRE FOR HANDPIECE 400µm AUTOCLAVABLE</v>
          </cell>
        </row>
        <row r="14411">
          <cell r="B14411" t="str">
            <v>79-311-00-04</v>
          </cell>
          <cell r="C14411" t="str">
            <v>Faserhalter Flexpen 2.0</v>
          </cell>
          <cell r="D14411" t="str">
            <v>Fiber holder Flexpen 2.0</v>
          </cell>
        </row>
        <row r="14412">
          <cell r="B14412" t="str">
            <v>79-311-02-04</v>
          </cell>
          <cell r="C14412" t="str">
            <v>Ansatz 7cm Flexpen 2.0 m. Absaug.</v>
          </cell>
          <cell r="D14412" t="str">
            <v>Tip 7cm Flexpen 2.0 w. smoke ev.</v>
          </cell>
        </row>
        <row r="14413">
          <cell r="B14413" t="str">
            <v>79-350-01-04</v>
          </cell>
          <cell r="C14413" t="str">
            <v>VENEX 360°</v>
          </cell>
          <cell r="D14413" t="str">
            <v>VENEX 360°</v>
          </cell>
        </row>
        <row r="14414">
          <cell r="B14414" t="str">
            <v>79-700-40-04</v>
          </cell>
          <cell r="C14414" t="str">
            <v>Bare fiber 400µm, 3m</v>
          </cell>
          <cell r="D14414" t="str">
            <v>Bare fiber 400µm, 3m</v>
          </cell>
        </row>
        <row r="14415">
          <cell r="B14415" t="str">
            <v>79-700-45-04</v>
          </cell>
          <cell r="C14415" t="str">
            <v>Gasgespülte Faser 400µm, universal</v>
          </cell>
          <cell r="D14415" t="str">
            <v>Gas-irrigated fibre, 400µm, universal</v>
          </cell>
        </row>
        <row r="14416">
          <cell r="B14416" t="str">
            <v>79-700-60-04</v>
          </cell>
          <cell r="C14416" t="str">
            <v>Bare fiber 600µm, 3m</v>
          </cell>
          <cell r="D14416" t="str">
            <v>Bare fiber 600µm, 3m</v>
          </cell>
        </row>
        <row r="14417">
          <cell r="B14417" t="str">
            <v>79-700-61-04</v>
          </cell>
          <cell r="C14417" t="str">
            <v>BARE FIBER 600µm, uni, wiederverwendbar</v>
          </cell>
          <cell r="D14417" t="str">
            <v>BARE FIBER 600µm, UNI, REUSABLE</v>
          </cell>
        </row>
        <row r="14418">
          <cell r="B14418" t="str">
            <v>79-700-62-04</v>
          </cell>
          <cell r="C14418" t="str">
            <v>TS Bare fiber 600µm,3m,single-use,steril</v>
          </cell>
          <cell r="D14418" t="str">
            <v>TS Barefiber  600µm,3m,single-use,sterile</v>
          </cell>
        </row>
        <row r="14419">
          <cell r="B14419" t="str">
            <v>79-700-80-04</v>
          </cell>
          <cell r="C14419" t="str">
            <v>TS Bare fiber 800µm,3m,Mehrweg,unsteril</v>
          </cell>
          <cell r="D14419" t="str">
            <v>TS Barefiber  800µm,3m,reusable,unsterile</v>
          </cell>
        </row>
        <row r="14420">
          <cell r="B14420" t="str">
            <v>80-008-03-04</v>
          </cell>
          <cell r="C14420" t="str">
            <v>MINICUTTER 100-240 VOLT</v>
          </cell>
          <cell r="D14420" t="str">
            <v>MINICUTTER 100-240 VOLT</v>
          </cell>
        </row>
        <row r="14421">
          <cell r="B14421" t="str">
            <v>80-010-02-04</v>
          </cell>
          <cell r="C14421" t="str">
            <v>MARTIN ME 102 230 V</v>
          </cell>
          <cell r="D14421" t="str">
            <v>MARTIN ME 102 230 V</v>
          </cell>
        </row>
        <row r="14422">
          <cell r="B14422" t="str">
            <v>80-042-00-04</v>
          </cell>
          <cell r="C14422" t="str">
            <v>MAXIUM  MIT BUCHSENMODUL MARTIN</v>
          </cell>
          <cell r="D14422" t="str">
            <v>MAXIUM  WITH SOCKET MODULE  MARTIN</v>
          </cell>
        </row>
        <row r="14423">
          <cell r="B14423" t="str">
            <v>80-042-02-04</v>
          </cell>
          <cell r="C14423" t="str">
            <v>MAXIUM  MIT BUCHSENMODUL INTERNATIONAL</v>
          </cell>
          <cell r="D14423" t="str">
            <v>MAXIUM  WITH SOCKET MODULE  INTERNATIONAL</v>
          </cell>
        </row>
        <row r="14424">
          <cell r="B14424" t="str">
            <v>80-042-04-04</v>
          </cell>
          <cell r="C14424" t="str">
            <v>MAXIUM  MIT MODUL F.5MM INSTR.E-VERSION</v>
          </cell>
          <cell r="D14424" t="str">
            <v>MAXIUM  WITH MODULE  F.5MM INSTR.E-VERSION</v>
          </cell>
        </row>
        <row r="14425">
          <cell r="B14425" t="str">
            <v>80-043-00-04</v>
          </cell>
          <cell r="C14425" t="str">
            <v>maxium smart C,MMB,M-Modul,100-240V</v>
          </cell>
          <cell r="D14425" t="str">
            <v>maxium smart C,MMB,M-modul,100-240V</v>
          </cell>
        </row>
        <row r="14426">
          <cell r="B14426" t="str">
            <v>80-043-01-04</v>
          </cell>
          <cell r="C14426" t="str">
            <v>maxium smart C,MMB,I-Modul,100-240V</v>
          </cell>
          <cell r="D14426" t="str">
            <v>maxium smart C,MMB,I-modul,100-240V</v>
          </cell>
        </row>
        <row r="14427">
          <cell r="B14427" t="str">
            <v>80-043-02-04</v>
          </cell>
          <cell r="C14427" t="str">
            <v>maxium smart C,MMB,E-Modul,100-240V</v>
          </cell>
          <cell r="D14427" t="str">
            <v>maxium smart C,MMB,E-modul,100-240V</v>
          </cell>
        </row>
        <row r="14428">
          <cell r="B14428" t="str">
            <v>80-043-10-04</v>
          </cell>
          <cell r="C14428" t="str">
            <v>maxium smart Beam, Argon-Gerät</v>
          </cell>
          <cell r="D14428" t="str">
            <v>maxium smart Beam, Argon-unit</v>
          </cell>
        </row>
        <row r="14429">
          <cell r="B14429" t="str">
            <v>80-044-00-04</v>
          </cell>
          <cell r="C14429" t="str">
            <v>MAXIUM  BEAMER</v>
          </cell>
          <cell r="D14429" t="str">
            <v>MAXIUM  BEAMER</v>
          </cell>
        </row>
        <row r="14430">
          <cell r="B14430" t="str">
            <v>80-048-00-04</v>
          </cell>
          <cell r="C14430" t="str">
            <v>maxium smart Cart</v>
          </cell>
          <cell r="D14430" t="str">
            <v>maxium smart Cart</v>
          </cell>
        </row>
        <row r="14431">
          <cell r="B14431" t="str">
            <v>80-060-00-04</v>
          </cell>
          <cell r="C14431" t="str">
            <v>MARVAC  RAUCHGASABSAUGUNG, 220-240V</v>
          </cell>
          <cell r="D14431" t="str">
            <v>MARVAC  SMOKE EVACUATION SYST. 220-240V</v>
          </cell>
        </row>
        <row r="14432">
          <cell r="B14432" t="str">
            <v>80-060-00-10</v>
          </cell>
          <cell r="C14432" t="str">
            <v>MARVAC  RAUCHGASABSAUGUNG, 100-127V</v>
          </cell>
          <cell r="D14432" t="str">
            <v>MARVAC  SMOKE EVACUATION SYST. 100-127V</v>
          </cell>
        </row>
        <row r="14433">
          <cell r="B14433" t="str">
            <v>80-060-01-04</v>
          </cell>
          <cell r="C14433" t="str">
            <v>HAUPTFILTEREINHEIT MARVAC</v>
          </cell>
          <cell r="D14433" t="str">
            <v>MAIN FILTER UNIT MARVAC</v>
          </cell>
        </row>
        <row r="14434">
          <cell r="B14434" t="str">
            <v>80-060-05-04</v>
          </cell>
          <cell r="C14434" t="str">
            <v>EXTERNE  STROMERKENNUNG MARVAC</v>
          </cell>
          <cell r="D14434" t="str">
            <v>EXTERNAL  CURRENT  DETECTION MARVAC</v>
          </cell>
        </row>
        <row r="14435">
          <cell r="B14435" t="str">
            <v>80-061-00-04</v>
          </cell>
          <cell r="C14435" t="str">
            <v>MARVAC  RAUCHGASABSAUG.LAP-MODE, 220-240V</v>
          </cell>
          <cell r="D14435" t="str">
            <v>0ARVAC SMOKE EVAC.SYST.LAP-MODE 220-240V</v>
          </cell>
        </row>
        <row r="14436">
          <cell r="B14436" t="str">
            <v>80-061-00-10</v>
          </cell>
          <cell r="C14436" t="str">
            <v>MARVAC  RAUCHGASABSAUG.LAP-MODE, 100-127V</v>
          </cell>
          <cell r="D14436" t="str">
            <v>MARVAC  SMOKE EVAC.SYST.LAP-MODE 100-127V</v>
          </cell>
        </row>
        <row r="14437">
          <cell r="B14437" t="str">
            <v>80-062-00-04</v>
          </cell>
          <cell r="C14437" t="str">
            <v>maxium smart Vac, Lap-Mode,  220-240 V</v>
          </cell>
          <cell r="D14437" t="str">
            <v>maxium smart Vac, Lap-Mode,  220-240 V</v>
          </cell>
        </row>
        <row r="14438">
          <cell r="B14438" t="str">
            <v>80-062-00-10</v>
          </cell>
          <cell r="C14438" t="str">
            <v>maxium smart Vac, Lap-Mode,  100-127 V</v>
          </cell>
          <cell r="D14438" t="str">
            <v>maxium smart Vac, Lap-Mode,  100-127 V</v>
          </cell>
        </row>
        <row r="14439">
          <cell r="B14439" t="str">
            <v>80-062-01-04</v>
          </cell>
          <cell r="C14439" t="str">
            <v>maxium smart Vac, 220-240 V</v>
          </cell>
          <cell r="D14439" t="str">
            <v>maxium smart Vac, 220-240 V</v>
          </cell>
        </row>
        <row r="14440">
          <cell r="B14440" t="str">
            <v>80-062-01-10</v>
          </cell>
          <cell r="C14440" t="str">
            <v>maxium smart Vac, 100-127 V</v>
          </cell>
          <cell r="D14440" t="str">
            <v>maxium smart Vac, 100-127 V</v>
          </cell>
        </row>
        <row r="14441">
          <cell r="B14441" t="str">
            <v>80-070-00-04</v>
          </cell>
          <cell r="C14441" t="str">
            <v>HF-FAHRWAGEN FUER HF-GERAETE</v>
          </cell>
          <cell r="D14441" t="str">
            <v>HF-CART FOR ME-UNITS</v>
          </cell>
        </row>
        <row r="14442">
          <cell r="B14442" t="str">
            <v>80-181-02-04</v>
          </cell>
          <cell r="C14442" t="str">
            <v>MABS-HANDGRIFF, ZWEI TASTEN</v>
          </cell>
          <cell r="D14442" t="str">
            <v>MABS-HANDLE, TWO PUSH BUTTONS</v>
          </cell>
        </row>
        <row r="14443">
          <cell r="B14443" t="str">
            <v>80-181-07-04</v>
          </cell>
          <cell r="C14443" t="str">
            <v>MABS-NADELELEKTRODE 40MM, VERSCHIEBBAR</v>
          </cell>
          <cell r="D14443" t="str">
            <v>MABS-NEEDLE-ELECTRODE 40MM, ADJUSTABLE</v>
          </cell>
        </row>
        <row r="14444">
          <cell r="B14444" t="str">
            <v>80-181-08-04</v>
          </cell>
          <cell r="C14444" t="str">
            <v>MABS-NADELELEKTRODE VERSCHIEBBAR</v>
          </cell>
          <cell r="D14444" t="str">
            <v>MABS-NEEDLE-ELECTRODE ADJUSTABLE</v>
          </cell>
        </row>
        <row r="14445">
          <cell r="B14445" t="str">
            <v>80-181-10-04</v>
          </cell>
          <cell r="C14445" t="str">
            <v>MABS-BEAM-ELEKTR., D=5MM,  AL=25MM</v>
          </cell>
          <cell r="D14445" t="str">
            <v>MABS-BEAM ELECTRODE, DIAM. 5MM,WORK 25MM</v>
          </cell>
        </row>
        <row r="14446">
          <cell r="B14446" t="str">
            <v>80-181-11-04</v>
          </cell>
          <cell r="C14446" t="str">
            <v>MABS-BEAM-ELEKTR., D=5MM,  AL=100MM</v>
          </cell>
          <cell r="D14446" t="str">
            <v>MABS-BEAM ELECTR. DIAM 5MM, WORK 100MM</v>
          </cell>
        </row>
        <row r="14447">
          <cell r="B14447" t="str">
            <v>80-181-12-04</v>
          </cell>
          <cell r="C14447" t="str">
            <v>MABS-ELEKTR. M. FIXIERKAPPE, D=5, AL=320</v>
          </cell>
          <cell r="D14447" t="str">
            <v>MABS-ELECTR. INCL.FIX.EQUIPM.D=5, WI=320</v>
          </cell>
        </row>
        <row r="14448">
          <cell r="B14448" t="str">
            <v>80-181-13-04</v>
          </cell>
          <cell r="C14448" t="str">
            <v>MABS-LANZETTEN-ELEKTR., D=5MM,  AL=25MM</v>
          </cell>
          <cell r="D14448" t="str">
            <v>MABS-LANCET-ELECTR. DIAM 5MM. WORK 25MM</v>
          </cell>
        </row>
        <row r="14449">
          <cell r="B14449" t="str">
            <v>80-181-14-04</v>
          </cell>
          <cell r="C14449" t="str">
            <v>MABS-LANZETTEN-ELEKTR., D=5MM,  AL=115MM</v>
          </cell>
          <cell r="D14449" t="str">
            <v>MABS-LANCET ELECTR. DIAM 5MM, WORK 115MM</v>
          </cell>
        </row>
        <row r="14450">
          <cell r="B14450" t="str">
            <v>80-181-15-04</v>
          </cell>
          <cell r="C14450" t="str">
            <v>MABS-NADEL-ELEKTR., D=5MM,  AL=25MM</v>
          </cell>
          <cell r="D14450" t="str">
            <v>MABS-NEEDLE-ELECTR. DIAM 5MM, WORK 25MM</v>
          </cell>
        </row>
        <row r="14451">
          <cell r="B14451" t="str">
            <v>80-181-16-04</v>
          </cell>
          <cell r="C14451" t="str">
            <v>MABS-NADEL-ELEKTR., D=5MM,  AL=115MM</v>
          </cell>
          <cell r="D14451" t="str">
            <v>MABS-NEEDLE ELECTR. DIAM 5MM, WORK 115MM</v>
          </cell>
        </row>
        <row r="14452">
          <cell r="B14452" t="str">
            <v>80-181-23-04</v>
          </cell>
          <cell r="C14452" t="str">
            <v>MABS-GIT-SONDE WIEDERVERWENDB.2.3MM/2.3M</v>
          </cell>
          <cell r="D14452" t="str">
            <v>MABS-GIT-PROBE REUSABLE  2.3MM/2.3M</v>
          </cell>
        </row>
        <row r="14453">
          <cell r="B14453" t="str">
            <v>80-181-24-04</v>
          </cell>
          <cell r="C14453" t="str">
            <v>MABS-GIT-SONDE WIEDERVERWENDB.3,2MM/2,3M</v>
          </cell>
          <cell r="D14453" t="str">
            <v>MABS-GIT-PROBE REUSABLE  3,2MM/2,3M</v>
          </cell>
        </row>
        <row r="14454">
          <cell r="B14454" t="str">
            <v>80-181-25-04</v>
          </cell>
          <cell r="C14454" t="str">
            <v>MABS-TBS-EINMALSONDE 1,8MM/1,6M</v>
          </cell>
          <cell r="D14454" t="str">
            <v>MABS-TBS-PROBE DISPOSABLE 1,8MM/1,6M</v>
          </cell>
        </row>
        <row r="14455">
          <cell r="B14455" t="str">
            <v>80-181-26-04</v>
          </cell>
          <cell r="C14455" t="str">
            <v>MABS-GIT-EINMALSONDE 1,8MM/3,2M</v>
          </cell>
          <cell r="D14455" t="str">
            <v>MABS-GIT-PROBE DISPOSABLE 1,8MM/3,2M</v>
          </cell>
        </row>
        <row r="14456">
          <cell r="B14456" t="str">
            <v>80-181-27-04</v>
          </cell>
          <cell r="C14456" t="str">
            <v>MABS-GIT-EINMALSONDE 2,3MM/2,3M</v>
          </cell>
          <cell r="D14456" t="str">
            <v>MABS-GIT-PROBE DISPOSABLE 2,3MM/2,3M</v>
          </cell>
        </row>
        <row r="14457">
          <cell r="B14457" t="str">
            <v>80-181-28-04</v>
          </cell>
          <cell r="C14457" t="str">
            <v>MABS-GIT-EINMALSONDE 3,2MM/2,3M</v>
          </cell>
          <cell r="D14457" t="str">
            <v>MABS-GIT-PROBE DISPOSABLE 3,2MM/2,3M</v>
          </cell>
        </row>
        <row r="14458">
          <cell r="B14458" t="str">
            <v>80-181-29-04</v>
          </cell>
          <cell r="C14458" t="str">
            <v>MABS-GIT-EINMALSONDE 2,3MM/3,4M</v>
          </cell>
          <cell r="D14458" t="str">
            <v>MABS-GIT-PROBE DISPOSABLE 2,3MM/3,4M</v>
          </cell>
        </row>
        <row r="14459">
          <cell r="B14459" t="str">
            <v>80-181-30-04</v>
          </cell>
          <cell r="C14459" t="str">
            <v>MABS ANSCHLUSSLEITUNG 2,5M-PIN  ANSCHLUSS</v>
          </cell>
          <cell r="D14459" t="str">
            <v>MABS CONNECTING CABLE 2,5M-PIN  CONNECT.</v>
          </cell>
        </row>
        <row r="14460">
          <cell r="B14460" t="str">
            <v>80-181-32-04</v>
          </cell>
          <cell r="C14460" t="str">
            <v>GIT-SONDE, SIDEFIRE,  EINW. 2,3MM, 2,3M</v>
          </cell>
          <cell r="D14460" t="str">
            <v>GIT-PROBE,SIDEFIRE,SINGLE USE 2,3MM,2,3M</v>
          </cell>
        </row>
        <row r="14461">
          <cell r="B14461" t="str">
            <v>80-181-60-04</v>
          </cell>
          <cell r="C14461" t="str">
            <v>MABS-BEAM-ELEKTRODE, 320MM, BIEGBAR</v>
          </cell>
          <cell r="D14461" t="str">
            <v>MABS-BEAM ELECTRODE, 320MM, BENDABLE</v>
          </cell>
        </row>
        <row r="14462">
          <cell r="B14462" t="str">
            <v>80-181-62-04</v>
          </cell>
          <cell r="C14462" t="str">
            <v>MABS-BEAM-ELEKTRODE, 115MM, BIEGBAR</v>
          </cell>
          <cell r="D14462" t="str">
            <v>MABS-BEAM ELECTRODE, 115MM, BENDABLE</v>
          </cell>
        </row>
        <row r="14463">
          <cell r="B14463" t="str">
            <v>80-210-13-04</v>
          </cell>
          <cell r="C14463" t="str">
            <v>smartPen,  2 Tasten, ø4mm, 4m, I</v>
          </cell>
          <cell r="D14463" t="str">
            <v>smartPen,  2 buttons, ø4mm, 4m, I</v>
          </cell>
        </row>
        <row r="14464">
          <cell r="B14464" t="str">
            <v>80-210-18-04</v>
          </cell>
          <cell r="C14464" t="str">
            <v>smartPen,  2 Tasten, ø4mm, 4m, E</v>
          </cell>
          <cell r="D14464" t="str">
            <v>smartPen,  2 buttons, ø4mm, 4m, E</v>
          </cell>
        </row>
        <row r="14465">
          <cell r="B14465" t="str">
            <v>80-210-21-04</v>
          </cell>
          <cell r="C14465" t="str">
            <v>smartPen,  2 Tasten, ø2,4mm,  4m, I</v>
          </cell>
          <cell r="D14465" t="str">
            <v>smartPen,  2 buttons, ø2,4mm,  4m, I</v>
          </cell>
        </row>
        <row r="14466">
          <cell r="B14466" t="str">
            <v>80-210-23-04</v>
          </cell>
          <cell r="C14466" t="str">
            <v>smartPen,  Wippschalter, ø2,4mm,  4m, I</v>
          </cell>
          <cell r="D14466" t="str">
            <v>smartPen,  rockerswitch, ø2,4mm,  4m, I</v>
          </cell>
        </row>
        <row r="14467">
          <cell r="B14467" t="str">
            <v>80-214-12-04</v>
          </cell>
          <cell r="C14467" t="str">
            <v>smartPen,  0 Tasten, ø1,6mm,  4m, M</v>
          </cell>
          <cell r="D14467" t="str">
            <v>smartPen,  0 buttons, ø1,6mm,  4m, M</v>
          </cell>
        </row>
        <row r="14468">
          <cell r="B14468" t="str">
            <v>80-214-13-04</v>
          </cell>
          <cell r="C14468" t="str">
            <v>smartPen,  1 Taste, ø1,6mm,  4m, M</v>
          </cell>
          <cell r="D14468" t="str">
            <v>smartPen,  1 button, ø1,6mm,  4m, M</v>
          </cell>
        </row>
        <row r="14469">
          <cell r="B14469" t="str">
            <v>80-217-05-04</v>
          </cell>
          <cell r="C14469" t="str">
            <v>smartPen,  1 Taste, ø4mm, 4m, M</v>
          </cell>
          <cell r="D14469" t="str">
            <v>smartPen,  1 button, ø4mm, 4m, M</v>
          </cell>
        </row>
        <row r="14470">
          <cell r="B14470" t="str">
            <v>80-217-13-04</v>
          </cell>
          <cell r="C14470" t="str">
            <v>smartPen,  2 Tasten, ø4mm, 4m, M</v>
          </cell>
          <cell r="D14470" t="str">
            <v>smartPen,  2 buttons, ø4mm, 4m, M</v>
          </cell>
        </row>
        <row r="14471">
          <cell r="B14471" t="str">
            <v>80-220-02-04</v>
          </cell>
          <cell r="C14471" t="str">
            <v>smartPen,  0 Tasten, ø4mm, 4m, M</v>
          </cell>
          <cell r="D14471" t="str">
            <v>smartPen,  0 buttons, ø4mm, 4m, M</v>
          </cell>
        </row>
        <row r="14472">
          <cell r="B14472" t="str">
            <v>80-220-31-04</v>
          </cell>
          <cell r="C14472" t="str">
            <v>smartPen,  0 Tasten, ø4mm, 4m, E</v>
          </cell>
          <cell r="D14472" t="str">
            <v>smartPen,  0 buttons, ø4mm, 4m, E</v>
          </cell>
        </row>
        <row r="14473">
          <cell r="B14473" t="str">
            <v>80-285-50-04</v>
          </cell>
          <cell r="C14473" t="str">
            <v>KABEL, MON. 5M, F. ISOLIT-PINZ., GR.KOAX</v>
          </cell>
          <cell r="D14473" t="str">
            <v>CABLE MON. 5M F. ISOLIT-FORC.,LARGE COAX</v>
          </cell>
        </row>
        <row r="14474">
          <cell r="B14474" t="str">
            <v>80-286-30-04</v>
          </cell>
          <cell r="C14474" t="str">
            <v>KABEL, BIP., GR. KOAX, 3M</v>
          </cell>
          <cell r="D14474" t="str">
            <v>BIPOLAR CABLE, LARGE COAX, 3M</v>
          </cell>
        </row>
        <row r="14475">
          <cell r="B14475" t="str">
            <v>80-286-40-04</v>
          </cell>
          <cell r="C14475" t="str">
            <v>KABEL, BIP., ABGEW, GR. KOAX, 4M</v>
          </cell>
          <cell r="D14475" t="str">
            <v>BIPOLAR CABLE, ANGL. PL., L. COAX, 4M</v>
          </cell>
        </row>
        <row r="14476">
          <cell r="B14476" t="str">
            <v>80-286-50-04</v>
          </cell>
          <cell r="C14476" t="str">
            <v>KABEL, BIP., GR. KOAX, 5M</v>
          </cell>
          <cell r="D14476" t="str">
            <v>BIPOLAR CABLE, LARGE COAX, 5M</v>
          </cell>
        </row>
        <row r="14477">
          <cell r="B14477" t="str">
            <v>80-286-60-04</v>
          </cell>
          <cell r="C14477" t="str">
            <v>Kabel, bip., Stecker eck,gr.Koax4m ERBE</v>
          </cell>
          <cell r="D14477" t="str">
            <v>Cable, bip., PL Rectang, 4 m ERBE</v>
          </cell>
        </row>
        <row r="14478">
          <cell r="B14478" t="str">
            <v>80-286-80-04</v>
          </cell>
          <cell r="C14478" t="str">
            <v>Kabel, bip., Stecker Aesc.gr.Koax4m ERBE</v>
          </cell>
          <cell r="D14478" t="str">
            <v>Cable, bip., PL Aesc., 4 m ERBE</v>
          </cell>
        </row>
        <row r="14479">
          <cell r="B14479" t="str">
            <v>80-286-94-04</v>
          </cell>
          <cell r="C14479" t="str">
            <v>KABEL, MON., RESEKTOSKOP OLYMPUS,  'I'/ '</v>
          </cell>
          <cell r="D14479" t="str">
            <v>CABLE F.MONOP.  RESECTOSCOPE OLYMPUS,  I/E</v>
          </cell>
        </row>
        <row r="14480">
          <cell r="B14480" t="str">
            <v>80-286-95-04</v>
          </cell>
          <cell r="C14480" t="str">
            <v>KABEL, MON., RESEKTOSKOP WOLF, 'I'/ 'E',</v>
          </cell>
          <cell r="D14480" t="str">
            <v>CABLE F.MONOP.RESECTOSCOPE WOLF, I/E</v>
          </cell>
        </row>
        <row r="14481">
          <cell r="B14481" t="str">
            <v>80-286-96-04</v>
          </cell>
          <cell r="C14481" t="str">
            <v>KABEL, MON., RESEKTOSKOP STORZ, 'I'/ 'E'</v>
          </cell>
          <cell r="D14481" t="str">
            <v>CABLE F.MONOP.  RESECTOSCOPE STORZ, I/E</v>
          </cell>
        </row>
        <row r="14482">
          <cell r="B14482" t="str">
            <v>80-287-33-04</v>
          </cell>
          <cell r="C14482" t="str">
            <v>KABEL, BIP., KL. KOAX, 3M</v>
          </cell>
          <cell r="D14482" t="str">
            <v>BIPOLAR CABLE, SMALL COAX, 3M</v>
          </cell>
        </row>
        <row r="14483">
          <cell r="B14483" t="str">
            <v>80-287-53-04</v>
          </cell>
          <cell r="C14483" t="str">
            <v>KABEL, BIP., KL. KOAX, 5M</v>
          </cell>
          <cell r="D14483" t="str">
            <v>BIPOLAR CABLE, SMALL COAX, 5M</v>
          </cell>
        </row>
        <row r="14484">
          <cell r="B14484" t="str">
            <v>80-287-60-04</v>
          </cell>
          <cell r="C14484" t="str">
            <v>Kabel, bip., Stecker eck,kl.Koax4m KLS</v>
          </cell>
          <cell r="D14484" t="str">
            <v>Cable, bip., PL Rectang, 4 m KLS Martin</v>
          </cell>
        </row>
        <row r="14485">
          <cell r="B14485" t="str">
            <v>80-287-72-04</v>
          </cell>
          <cell r="C14485" t="str">
            <v>KABEL, BIP., 2 PIN, 38 MM, 5 M</v>
          </cell>
          <cell r="D14485" t="str">
            <v>BIP.-CABLE, 2 PIN, 38 MM, 5 M</v>
          </cell>
        </row>
        <row r="14486">
          <cell r="B14486" t="str">
            <v>80-287-80-04</v>
          </cell>
          <cell r="C14486" t="str">
            <v>Kabel, bip., Stecker Aesc.kl.Koax4m KLS</v>
          </cell>
          <cell r="D14486" t="str">
            <v>Cable, bip., PL Aesc., 4 m KLS Martin</v>
          </cell>
        </row>
        <row r="14487">
          <cell r="B14487" t="str">
            <v>80-287-89-04</v>
          </cell>
          <cell r="C14487" t="str">
            <v>KABEL, BIP., 2 PIN, 3M</v>
          </cell>
          <cell r="D14487" t="str">
            <v>BIP.-CABLE, VALLEYL-UNIT, MARTIN-INS. 3M</v>
          </cell>
        </row>
        <row r="14488">
          <cell r="B14488" t="str">
            <v>80-287-90-04</v>
          </cell>
          <cell r="C14488" t="str">
            <v>KABEL, BIP., 2 PIN, 5M</v>
          </cell>
          <cell r="D14488" t="str">
            <v>BIP.-CABLE, VALLEYL-UNIT, MARTIN-INS. 5M</v>
          </cell>
        </row>
        <row r="14489">
          <cell r="B14489" t="str">
            <v>80-287-94-04</v>
          </cell>
          <cell r="C14489" t="str">
            <v>KABEL, BIP., RESEKTOSKOP OLYMPUS,  'I'/ '</v>
          </cell>
          <cell r="D14489" t="str">
            <v>CABLE F.BIP.RESECTOSCOPE OLYMPUS,  I/E</v>
          </cell>
        </row>
        <row r="14490">
          <cell r="B14490" t="str">
            <v>80-287-95-04</v>
          </cell>
          <cell r="C14490" t="str">
            <v>KABEL, BIP., RESEKTOSKOP WOLF, 'I'/ 'E',</v>
          </cell>
          <cell r="D14490" t="str">
            <v>CABLE F.BIP.RESECTOSCOPE WOLF, I/E</v>
          </cell>
        </row>
        <row r="14491">
          <cell r="B14491" t="str">
            <v>80-287-96-04</v>
          </cell>
          <cell r="C14491" t="str">
            <v>KABEL, BIP., RESEKTOSKOP STORZ, 'I'/ 'E'</v>
          </cell>
          <cell r="D14491" t="str">
            <v>CABLE F.BIP.RESECTOSCOPE STORZ, I/E</v>
          </cell>
        </row>
        <row r="14492">
          <cell r="B14492" t="str">
            <v>80-288-53-04</v>
          </cell>
          <cell r="C14492" t="str">
            <v>KABEL, BIP., VALLEYLAB  PINZ., KL. KOAX,</v>
          </cell>
          <cell r="D14492" t="str">
            <v>BIP.CABLE  5M VALLEYLAB  FORC.-&gt;MARTIN ME</v>
          </cell>
        </row>
        <row r="14493">
          <cell r="B14493" t="str">
            <v>80-288-60-04</v>
          </cell>
          <cell r="C14493" t="str">
            <v>Kabel, bip., Stecker eckig,2-Pin  4m int.</v>
          </cell>
          <cell r="D14493" t="str">
            <v>Cable, bip., PL Rectang, 4 m internat.</v>
          </cell>
        </row>
        <row r="14494">
          <cell r="B14494" t="str">
            <v>80-288-80-04</v>
          </cell>
          <cell r="C14494" t="str">
            <v>Kabel, bip., SteckerAesc.,2-Pin 4m int.</v>
          </cell>
          <cell r="D14494" t="str">
            <v>Cable, bip., PL Aesc., 4 m internat.</v>
          </cell>
        </row>
        <row r="14495">
          <cell r="B14495" t="str">
            <v>80-289-40-04</v>
          </cell>
          <cell r="C14495" t="str">
            <v>KABEL, MON., IN. 3MM ANSCHL.,  GR.KOA, 4M</v>
          </cell>
          <cell r="D14495" t="str">
            <v>CABLE F.INSTR.WITH 3MM PIN LARGE KOAX 4M</v>
          </cell>
        </row>
        <row r="14496">
          <cell r="B14496" t="str">
            <v>80-289-41-04</v>
          </cell>
          <cell r="C14496" t="str">
            <v>KABEL, MON., INSTR. 3MM ANSCHL.,  3-PIN,</v>
          </cell>
          <cell r="D14496" t="str">
            <v>MONOP.CABLE 3-PIN/HF-INSTR. D 3 MM</v>
          </cell>
        </row>
        <row r="14497">
          <cell r="B14497" t="str">
            <v>80-289-42-04</v>
          </cell>
          <cell r="C14497" t="str">
            <v>KABEL, MON., INSTR. 3MM ANSCHL.,  'E'-ACC</v>
          </cell>
          <cell r="D14497" t="str">
            <v>MONOP.CONN.CABLE ERBE/MIS-INSTR. D=3MM</v>
          </cell>
        </row>
        <row r="14498">
          <cell r="B14498" t="str">
            <v>80-291-40-04</v>
          </cell>
          <cell r="C14498" t="str">
            <v>KABEL, BIP., ABGEW.,  KL. KOAX, 4M,MARTIN</v>
          </cell>
          <cell r="D14498" t="str">
            <v>BIP.CONN.  CABLE, ANGL. PL.,4 M, MARTIN</v>
          </cell>
        </row>
        <row r="14499">
          <cell r="B14499" t="str">
            <v>80-293-40-04</v>
          </cell>
          <cell r="C14499" t="str">
            <v>KABEL, BIP., ABGEW.,  2 PIN, 4M, INT.</v>
          </cell>
          <cell r="D14499" t="str">
            <v>BIP.CONN.  CABLE, ANGL. PL.,4 M, INTERNAT</v>
          </cell>
        </row>
        <row r="14500">
          <cell r="B14500" t="str">
            <v>80-294-40-04</v>
          </cell>
          <cell r="C14500" t="str">
            <v>KABEL, F. EINMAL-NE, 4M, MARTIN</v>
          </cell>
          <cell r="D14500" t="str">
            <v>CABLE F. DISP.NEUTRAL-ELECTR.,4M, MARTIN</v>
          </cell>
        </row>
        <row r="14501">
          <cell r="B14501" t="str">
            <v>80-294-43-04</v>
          </cell>
          <cell r="C14501" t="str">
            <v>KABEL, F. EINMAL-NE, 4M, ERBE</v>
          </cell>
          <cell r="D14501" t="str">
            <v>CABLE F.DISP. NEUTRAL-ELECTR., 4M, ERBE</v>
          </cell>
        </row>
        <row r="14502">
          <cell r="B14502" t="str">
            <v>80-294-44-04</v>
          </cell>
          <cell r="C14502" t="str">
            <v>KABEL, F. EINMAL-NE, 4M, INTERNAT.</v>
          </cell>
          <cell r="D14502" t="str">
            <v>CABLE F.DISP. NEUTRAL-ELECTR.4M, INTERN.</v>
          </cell>
        </row>
        <row r="14503">
          <cell r="B14503" t="str">
            <v>80-342-07-04</v>
          </cell>
          <cell r="C14503" t="str">
            <v>NE, PCS, GUMMI, TWIN-PAD  II</v>
          </cell>
          <cell r="D14503" t="str">
            <v>Twin-Pad  II Neutral Electrode</v>
          </cell>
        </row>
        <row r="14504">
          <cell r="B14504" t="str">
            <v>80-344-09-04</v>
          </cell>
          <cell r="C14504" t="str">
            <v>PCS Einmal-Neutralelektrode</v>
          </cell>
          <cell r="D14504" t="str">
            <v>PCS disposable  neutral electrode</v>
          </cell>
        </row>
        <row r="14505">
          <cell r="B14505" t="str">
            <v>80-344-12-04</v>
          </cell>
          <cell r="C14505" t="str">
            <v>PCS Einmal-Neutralelektrode, Baby</v>
          </cell>
          <cell r="D14505" t="str">
            <v>PCS disposable  neutral electrode,  baby</v>
          </cell>
        </row>
        <row r="14506">
          <cell r="B14506" t="str">
            <v>80-461-01-04</v>
          </cell>
          <cell r="C14506" t="str">
            <v>NADELELEKTRODE GERADE,  FIG.1, 1,6MM</v>
          </cell>
          <cell r="D14506" t="str">
            <v>NEEDLE ELECTRODE STRAIGHT  F1, 1,6MM</v>
          </cell>
        </row>
        <row r="14507">
          <cell r="B14507" t="str">
            <v>80-461-02-04</v>
          </cell>
          <cell r="C14507" t="str">
            <v>NADELELEKTRODE, 45° FIG. 2, 1,6MM</v>
          </cell>
          <cell r="D14507" t="str">
            <v>NEEDLE ELECTRODE ANG 45DEG F2 1,6MM</v>
          </cell>
        </row>
        <row r="14508">
          <cell r="B14508" t="str">
            <v>80-461-06-04</v>
          </cell>
          <cell r="C14508" t="str">
            <v>SCHLINGENELEKTRODE, FIG. 6</v>
          </cell>
          <cell r="D14508" t="str">
            <v>LOOP ELECTRODE FIG. 6</v>
          </cell>
        </row>
        <row r="14509">
          <cell r="B14509" t="str">
            <v>80-461-11-04</v>
          </cell>
          <cell r="C14509" t="str">
            <v>SCHLINGENELEKTRODE, 3MM FIG.11, 1,6MM</v>
          </cell>
          <cell r="D14509" t="str">
            <v>WIRE LOOP ELECTRODE 3MM  F11</v>
          </cell>
        </row>
        <row r="14510">
          <cell r="B14510" t="str">
            <v>80-461-12-04</v>
          </cell>
          <cell r="C14510" t="str">
            <v>SCHLINGENELEKTRODE, 5MM FIG.12, 1,6MM</v>
          </cell>
          <cell r="D14510" t="str">
            <v>WIRE LOOP ELECTRODE 5MM  F12</v>
          </cell>
        </row>
        <row r="14511">
          <cell r="B14511" t="str">
            <v>80-461-13-04</v>
          </cell>
          <cell r="C14511" t="str">
            <v>SCHLINGENELEKTRODE, 8MM FIG.13, 1,6MM,</v>
          </cell>
          <cell r="D14511" t="str">
            <v>WIRE LOOP ELECTRODE 8MM  F13</v>
          </cell>
        </row>
        <row r="14512">
          <cell r="B14512" t="str">
            <v>80-461-14-04</v>
          </cell>
          <cell r="C14512" t="str">
            <v>SCHLINGENELEKTRODE, FIG.14, 1,6MM</v>
          </cell>
          <cell r="D14512" t="str">
            <v>WIRE LOOP ELECTRODE F14 1,6MM</v>
          </cell>
        </row>
        <row r="14513">
          <cell r="B14513" t="str">
            <v>80-461-15-04</v>
          </cell>
          <cell r="C14513" t="str">
            <v>SCHLINGENELEKTRODE, 7X1,5 FIG.15</v>
          </cell>
          <cell r="D14513" t="str">
            <v>WIRE LOOP ELECTRODE 7X1,5 F15</v>
          </cell>
        </row>
        <row r="14514">
          <cell r="B14514" t="str">
            <v>80-461-18-04</v>
          </cell>
          <cell r="C14514" t="str">
            <v>SCHLINGENELEKTRODE, 7X1,7MM  FIG.18</v>
          </cell>
          <cell r="D14514" t="str">
            <v>WIRE LOOP ELECTR 7X1,7MM  F18</v>
          </cell>
        </row>
        <row r="14515">
          <cell r="B14515" t="str">
            <v>80-461-21-04</v>
          </cell>
          <cell r="C14515" t="str">
            <v>SCHLINGENELEKTRODE, 7X1,7MM  FIG.21</v>
          </cell>
          <cell r="D14515" t="str">
            <v>WIRE LOOP ELECTRODE STR 7X1,7MM  F21</v>
          </cell>
        </row>
        <row r="14516">
          <cell r="B14516" t="str">
            <v>80-461-24-04</v>
          </cell>
          <cell r="C14516" t="str">
            <v>DRAHTSCHL EL ROMBUSF  45°, FIG 24, 8X5MM</v>
          </cell>
          <cell r="D14516" t="str">
            <v>WIRE LOOP ELECTRODE 45DEG, FIG 24, 8X5MM</v>
          </cell>
        </row>
        <row r="14517">
          <cell r="B14517" t="str">
            <v>80-461-31-04</v>
          </cell>
          <cell r="C14517" t="str">
            <v>KOAGULATIONSELEKTRODE, FIG.31</v>
          </cell>
          <cell r="D14517" t="str">
            <v>COAGUL NEEDLE ELECTRODE  F31</v>
          </cell>
        </row>
        <row r="14518">
          <cell r="B14518" t="str">
            <v>80-461-35-04</v>
          </cell>
          <cell r="C14518" t="str">
            <v>KOAGULATIONS-U.FULGURATIONSELEK., FIG.35</v>
          </cell>
          <cell r="D14518" t="str">
            <v>COAGULATION AND FULG. ELECTRODE, FIG.35</v>
          </cell>
        </row>
        <row r="14519">
          <cell r="B14519" t="str">
            <v>80-462-02-04</v>
          </cell>
          <cell r="C14519" t="str">
            <v>NADELELEKTRODE 45 GRAD GEW., FIG.2, KURZ</v>
          </cell>
          <cell r="D14519" t="str">
            <v>NEEDLE-ELECTRODE 45 GRAD FIG. 2 SHORT</v>
          </cell>
        </row>
        <row r="14520">
          <cell r="B14520" t="str">
            <v>80-464-02-04</v>
          </cell>
          <cell r="C14520" t="str">
            <v>NADELELEKTRODE, FIG.2, BEWEGLICHER DRAHT</v>
          </cell>
          <cell r="D14520" t="str">
            <v>NEEDLE ELECTRODE FIG. 2 FLEXIBLE  WIRE</v>
          </cell>
        </row>
        <row r="14521">
          <cell r="B14521" t="str">
            <v>80-510-06-04</v>
          </cell>
          <cell r="C14521" t="str">
            <v>LANZETTELEKTRODE SYN, GER., AL=25MM,  4MM</v>
          </cell>
          <cell r="D14521" t="str">
            <v>LANCET ELECTRODE SYN., STRAIGHT,25MM,4MM</v>
          </cell>
        </row>
        <row r="14522">
          <cell r="B14522" t="str">
            <v>80-510-08-04</v>
          </cell>
          <cell r="C14522" t="str">
            <v>LANZETTELEKTRODE SYN, GER.,AL=25MM,2,4MM</v>
          </cell>
          <cell r="D14522" t="str">
            <v>LANCET ELECTRODE SYN,STRAIGHT,25MM,2.4MM</v>
          </cell>
        </row>
        <row r="14523">
          <cell r="B14523" t="str">
            <v>80-510-12-04</v>
          </cell>
          <cell r="C14523" t="str">
            <v>LANZETTELEKTRODE, GER., L=100MM,AL=20MM</v>
          </cell>
          <cell r="D14523" t="str">
            <v>LANCET ELECTRODE, STR., L=100MM,  WL=20MM</v>
          </cell>
        </row>
        <row r="14524">
          <cell r="B14524" t="str">
            <v>80-511-06-04</v>
          </cell>
          <cell r="C14524" t="str">
            <v>LANZETTELEKTRODE SYN,GEW.,  AL=23MM,  4MM</v>
          </cell>
          <cell r="D14524" t="str">
            <v>LANCET ELECTRODE, SYN, ANGLED,  23 MM,4MM</v>
          </cell>
        </row>
        <row r="14525">
          <cell r="B14525" t="str">
            <v>80-515-04-04</v>
          </cell>
          <cell r="C14525" t="str">
            <v>MESSERELEKTRODE, GER., AL=26MM,  4MM</v>
          </cell>
          <cell r="D14525" t="str">
            <v>KNIFE ELECTRODE, STRAIGHT,  26MM, 4MM</v>
          </cell>
        </row>
        <row r="14526">
          <cell r="B14526" t="str">
            <v>80-515-06-04</v>
          </cell>
          <cell r="C14526" t="str">
            <v>MESSERELEKTRODE, GER., AL=30MM,  4MM</v>
          </cell>
          <cell r="D14526" t="str">
            <v>KNIFE ELECTRODE, SYN, STR.,  30 MM, 4MM</v>
          </cell>
        </row>
        <row r="14527">
          <cell r="B14527" t="str">
            <v>80-515-08-04</v>
          </cell>
          <cell r="C14527" t="str">
            <v>MESSERELEKTRODE, GER., AL=20MM,  2,4MM</v>
          </cell>
          <cell r="D14527" t="str">
            <v>KNIFE ELECTRODE, STRAIGHT,  20MM, 2.4MM</v>
          </cell>
        </row>
        <row r="14528">
          <cell r="B14528" t="str">
            <v>80-515-12-04</v>
          </cell>
          <cell r="C14528" t="str">
            <v>MESSERELEKTRODE, L=100MM,  AL=29MM,  4MM</v>
          </cell>
          <cell r="D14528" t="str">
            <v>KNIFE ELECTRODE L=100MM,  WL=29MM, 4MM</v>
          </cell>
        </row>
        <row r="14529">
          <cell r="B14529" t="str">
            <v>80-515-14-04</v>
          </cell>
          <cell r="C14529" t="str">
            <v>MESSERELEKTRODE, L=100MM,  AL=12MM,  4MM</v>
          </cell>
          <cell r="D14529" t="str">
            <v>KNIFE ELECTRODE, L=100MM,  WL=12MM, 4MM</v>
          </cell>
        </row>
        <row r="14530">
          <cell r="B14530" t="str">
            <v>80-515-16-04</v>
          </cell>
          <cell r="C14530" t="str">
            <v>MESSERELEKTRODE, L=100MM,  GEW., AL=12MM</v>
          </cell>
          <cell r="D14530" t="str">
            <v>KNIFE EL., ANGL., L=100MM,  WL=12MM, 4MM</v>
          </cell>
        </row>
        <row r="14531">
          <cell r="B14531" t="str">
            <v>80-516-06-04</v>
          </cell>
          <cell r="C14531" t="str">
            <v>MAMMARIA SPATEL, GER., AL=39MM,  4MM</v>
          </cell>
          <cell r="D14531" t="str">
            <v>MAMMARIA SPATULA  SYN, 39MM, 4MM</v>
          </cell>
        </row>
        <row r="14532">
          <cell r="B14532" t="str">
            <v>80-520-06-04</v>
          </cell>
          <cell r="C14532" t="str">
            <v>NADELELEKTRODE SYN, GER., AL=30MM,  4MM</v>
          </cell>
          <cell r="D14532" t="str">
            <v>NEEDLE ELECTRODE, SYN, STR., 30MM, 4MM</v>
          </cell>
        </row>
        <row r="14533">
          <cell r="B14533" t="str">
            <v>80-520-08-04</v>
          </cell>
          <cell r="C14533" t="str">
            <v>NADELELEKTRODE, GER., AL=17MM,  2,4MM</v>
          </cell>
          <cell r="D14533" t="str">
            <v>NEEDLE ELECTRODE, STR., 17MM, 2.4MM</v>
          </cell>
        </row>
        <row r="14534">
          <cell r="B14534" t="str">
            <v>80-520-09-04</v>
          </cell>
          <cell r="C14534" t="str">
            <v>NADELELEKTR., MICRO, 2,4MM</v>
          </cell>
          <cell r="D14534" t="str">
            <v>NEEDLE ELECTR., MICRO, 2,4MM</v>
          </cell>
        </row>
        <row r="14535">
          <cell r="B14535" t="str">
            <v>80-521-02-04</v>
          </cell>
          <cell r="C14535" t="str">
            <v>NADELELEKTRODE, AL=23MM,  4MM</v>
          </cell>
          <cell r="D14535" t="str">
            <v>NEEDLE ELECTRODE, WL=23MM, 4MM</v>
          </cell>
        </row>
        <row r="14536">
          <cell r="B14536" t="str">
            <v>80-521-04-04</v>
          </cell>
          <cell r="C14536" t="str">
            <v>NADELELEKTRODE SYN, AL=10MM,  4MM</v>
          </cell>
          <cell r="D14536" t="str">
            <v>NEEDLE ELECTRODE, SYN, 10MM, 4MM</v>
          </cell>
        </row>
        <row r="14537">
          <cell r="B14537" t="str">
            <v>80-522-04-04</v>
          </cell>
          <cell r="C14537" t="str">
            <v>NADELELEKTRODE, AL=6MM,  4MM</v>
          </cell>
          <cell r="D14537" t="str">
            <v>NEEDLE ELECTRODE, SYN, 6MM, 4MM</v>
          </cell>
        </row>
        <row r="14538">
          <cell r="B14538" t="str">
            <v>80-540-04-04</v>
          </cell>
          <cell r="C14538" t="str">
            <v>DRAHTSCHLINGENELEKTRODE, D=5MM,  4MM</v>
          </cell>
          <cell r="D14538" t="str">
            <v>WIRE LOOP ELECTRODE, D=5MM,  4MM</v>
          </cell>
        </row>
        <row r="14539">
          <cell r="B14539" t="str">
            <v>80-540-12-04</v>
          </cell>
          <cell r="C14539" t="str">
            <v>DRAHTSCHLINGENELEKTRODE, L=10CM,D=5MM</v>
          </cell>
          <cell r="D14539" t="str">
            <v>WIRE LOOP ELECTRODE, L=10CM,D=5MM</v>
          </cell>
        </row>
        <row r="14540">
          <cell r="B14540" t="str">
            <v>80-542-06-04</v>
          </cell>
          <cell r="C14540" t="str">
            <v>DRAHTSCHLINGENELEKTRODE SYN, D=10MM,  4MM</v>
          </cell>
          <cell r="D14540" t="str">
            <v>WIRE LOOP ELECTRODE SYN, D=10MM,  4MM</v>
          </cell>
        </row>
        <row r="14541">
          <cell r="B14541" t="str">
            <v>80-542-08-04</v>
          </cell>
          <cell r="C14541" t="str">
            <v>DRAHTSCHLINGENELEKTRODE, D=10MM,  2,4MM</v>
          </cell>
          <cell r="D14541" t="str">
            <v>WIRE LOOP ELECTR. Ø 10 MM, F. 2.4 MM HDL</v>
          </cell>
        </row>
        <row r="14542">
          <cell r="B14542" t="str">
            <v>80-542-12-04</v>
          </cell>
          <cell r="C14542" t="str">
            <v>DRAHTSCHLINGENELEKTRODE, L=10CM,  D=10MM</v>
          </cell>
          <cell r="D14542" t="str">
            <v>WIRE LOOP ELECTRODE, L=10CM,  D=10MM</v>
          </cell>
        </row>
        <row r="14543">
          <cell r="B14543" t="str">
            <v>80-550-06-04</v>
          </cell>
          <cell r="C14543" t="str">
            <v>BANDSCHLINGENELEKTRODE, D=10MM,  4MM</v>
          </cell>
          <cell r="D14543" t="str">
            <v>RIBBON LOOP ELECTRODE, SYN, D=10MM,  4MM</v>
          </cell>
        </row>
        <row r="14544">
          <cell r="B14544" t="str">
            <v>80-560-06-04</v>
          </cell>
          <cell r="C14544" t="str">
            <v>KUGELELEKTRODE, AL=8MM,  D=2MM,  4MM</v>
          </cell>
          <cell r="D14544" t="str">
            <v>BALL ELECTRODE, SYN, WL=8MM,  D=2MM,  4MM</v>
          </cell>
        </row>
        <row r="14545">
          <cell r="B14545" t="str">
            <v>80-562-06-04</v>
          </cell>
          <cell r="C14545" t="str">
            <v>KUGELELEKTRODE, AL=8MM,  D=4MM,  4MM</v>
          </cell>
          <cell r="D14545" t="str">
            <v>BALL ELECTRODE, SYN, WL=8MM,  D=4MM,  4MM</v>
          </cell>
        </row>
        <row r="14546">
          <cell r="B14546" t="str">
            <v>80-562-08-04</v>
          </cell>
          <cell r="C14546" t="str">
            <v>KUGELELEKTRODE D=4MM,  2,4MM</v>
          </cell>
          <cell r="D14546" t="str">
            <v>BALL ELECTRODE, D=4MM,  2,4MM</v>
          </cell>
        </row>
        <row r="14547">
          <cell r="B14547" t="str">
            <v>80-570-18-04</v>
          </cell>
          <cell r="C14547" t="str">
            <v>MARCUT  BIPOL-SCHERE, GEB., 18 CM</v>
          </cell>
          <cell r="D14547" t="str">
            <v>MARCUT  BIPOL-SCISSORS, CVD., 18 CM</v>
          </cell>
        </row>
        <row r="14548">
          <cell r="B14548" t="str">
            <v>80-570-21-04</v>
          </cell>
          <cell r="C14548" t="str">
            <v>MARCUT  BIPOL-SCHERE, GEB., 21 CM</v>
          </cell>
          <cell r="D14548" t="str">
            <v>MARCUT  BIPOL-SCISSORS, CVD., 21 CM</v>
          </cell>
        </row>
        <row r="14549">
          <cell r="B14549" t="str">
            <v>80-570-23-04</v>
          </cell>
          <cell r="C14549" t="str">
            <v>MARCUT  BIPOL-SCHERE, GEB., 23 CM</v>
          </cell>
          <cell r="D14549" t="str">
            <v>MARCUT  BIPOL-SCISSORS, CVD., 23 CM</v>
          </cell>
        </row>
        <row r="14550">
          <cell r="B14550" t="str">
            <v>80-570-28-04</v>
          </cell>
          <cell r="C14550" t="str">
            <v>MARCUT  BIPOL-SCHERE, GEB., 28 CM</v>
          </cell>
          <cell r="D14550" t="str">
            <v>MARCUT  BIPOL-SCISSORS, CVD., 28 CM</v>
          </cell>
        </row>
        <row r="14551">
          <cell r="B14551" t="str">
            <v>80-571-18-04</v>
          </cell>
          <cell r="C14551" t="str">
            <v>MARCUT  BIPOL-SCHERE, SCHLANK,  GEB. 18 CM</v>
          </cell>
          <cell r="D14551" t="str">
            <v>MARCUT  BIPOL-SCISSORS, SLIM, CVD. 18 CM</v>
          </cell>
        </row>
        <row r="14552">
          <cell r="B14552" t="str">
            <v>80-571-21-04</v>
          </cell>
          <cell r="C14552" t="str">
            <v>MARCUT  BIPOL-SCHERE, SCHLANK,  GEB. 21 CM</v>
          </cell>
          <cell r="D14552" t="str">
            <v>MARCUT  BIPOL-SCISSORS, SLIM, CVD. 21 CM</v>
          </cell>
        </row>
        <row r="14553">
          <cell r="B14553" t="str">
            <v>80-571-23-04</v>
          </cell>
          <cell r="C14553" t="str">
            <v>MARCUT  BIPOL-SCHERE, SCHLANK,  GEB. 23 CM</v>
          </cell>
          <cell r="D14553" t="str">
            <v>MARCUT  BIPOL-SCISSORS, SLIM, CVD. 23 CM</v>
          </cell>
        </row>
        <row r="14554">
          <cell r="B14554" t="str">
            <v>80-571-28-04</v>
          </cell>
          <cell r="C14554" t="str">
            <v>MARCUT  BIPOL-SCHERE, SCHLANK,  GEB. 28 CM</v>
          </cell>
          <cell r="D14554" t="str">
            <v>MARCUT  BIPOL-SCISSORS, SLIM, CVD. 28 CM</v>
          </cell>
        </row>
        <row r="14555">
          <cell r="B14555" t="str">
            <v>80-572-13-04</v>
          </cell>
          <cell r="C14555" t="str">
            <v>MARCUT  BIPOL.SCHERE,SUPER SLIM.GEB.13 CM</v>
          </cell>
          <cell r="D14555" t="str">
            <v>MARCUT  BIPOL.SCISS.SUPER SLIM,CVD.  13 CM</v>
          </cell>
        </row>
        <row r="14556">
          <cell r="B14556" t="str">
            <v>80-572-14-04</v>
          </cell>
          <cell r="C14556" t="str">
            <v>MARCUT  BIPOL.SCHERE,SUPER SLIM.GEB.14 CM</v>
          </cell>
          <cell r="D14556" t="str">
            <v>MARCUT  BIPOL.SCISS.SUPER SLIM,CVD.  14 CM</v>
          </cell>
        </row>
        <row r="14557">
          <cell r="B14557" t="str">
            <v>80-572-17-04</v>
          </cell>
          <cell r="C14557" t="str">
            <v>MARCUT  BIPOL.SCHERE,SUPER SLIM.GEB.17 CM</v>
          </cell>
          <cell r="D14557" t="str">
            <v>MARCUT  BIPOL.SCISS.SUPER SLIM,CVD.  17 CM</v>
          </cell>
        </row>
        <row r="14558">
          <cell r="B14558" t="str">
            <v>80-580-06-04</v>
          </cell>
          <cell r="C14558" t="str">
            <v>ELEKTRODENSATZ SYN, 4MM</v>
          </cell>
          <cell r="D14558" t="str">
            <v>ELECTRODE SET SYN, 4MM</v>
          </cell>
        </row>
        <row r="14559">
          <cell r="B14559" t="str">
            <v>80-610-10-04</v>
          </cell>
          <cell r="C14559" t="str">
            <v>NADELELEKTRODE, GEW., L=100MM,AL=2MM,4MM</v>
          </cell>
          <cell r="D14559" t="str">
            <v>NEEDLE EL., ANGUL., L=100MM,  AL=2MM,  4MM</v>
          </cell>
        </row>
        <row r="14560">
          <cell r="B14560" t="str">
            <v>80-612-10-04</v>
          </cell>
          <cell r="C14560" t="str">
            <v>KUGELELEKTRODE, GEW., L=100MM,  D=2MM,4MM</v>
          </cell>
          <cell r="D14560" t="str">
            <v>BALL ELECTRODE ANGUL, L=100MM,  D=2MM,4MM</v>
          </cell>
        </row>
        <row r="14561">
          <cell r="B14561" t="str">
            <v>80-630-12-04</v>
          </cell>
          <cell r="C14561" t="str">
            <v>ROHRSCHAFT MARSEAL+KLINGENTRÄGER, 200MM</v>
          </cell>
          <cell r="D14561" t="str">
            <v>Tubular shaft incl.bladeholder, 200MM</v>
          </cell>
        </row>
        <row r="14562">
          <cell r="B14562" t="str">
            <v>80-630-15-04</v>
          </cell>
          <cell r="C14562" t="str">
            <v>KLINGE FUER MARSEAL</v>
          </cell>
          <cell r="D14562" t="str">
            <v>Blade for marseal</v>
          </cell>
        </row>
        <row r="14563">
          <cell r="B14563" t="str">
            <v>80-630-16-04</v>
          </cell>
          <cell r="C14563" t="str">
            <v>Klinge für marSeal, steril</v>
          </cell>
          <cell r="D14563" t="str">
            <v>Blade for marSeal, sterile</v>
          </cell>
        </row>
        <row r="14564">
          <cell r="B14564" t="str">
            <v>80-630-17-04</v>
          </cell>
          <cell r="C14564" t="str">
            <v>REINIGUNGSWERKZEUG FUER MARSEAL</v>
          </cell>
          <cell r="D14564" t="str">
            <v>CLEANING  ADAPTER  FOR MARSEAL</v>
          </cell>
        </row>
        <row r="14565">
          <cell r="B14565" t="str">
            <v>80-630-18-04</v>
          </cell>
          <cell r="C14565" t="str">
            <v>SPUELADAPTER FUER MARSEAL</v>
          </cell>
          <cell r="D14565" t="str">
            <v>Flushing adapter for marseal</v>
          </cell>
        </row>
        <row r="14566">
          <cell r="B14566" t="str">
            <v>80-630-34-04</v>
          </cell>
          <cell r="C14566" t="str">
            <v>ROHRSCHAFT MS SLIM INKL.KLINGENTR.,370MM</v>
          </cell>
          <cell r="D14566" t="str">
            <v>Tubular shaft ms slim incl. blade rod, 3</v>
          </cell>
        </row>
        <row r="14567">
          <cell r="B14567" t="str">
            <v>80-630-35-04</v>
          </cell>
          <cell r="C14567" t="str">
            <v>ROHRSCHAFT MS SLIM INKL.KLINGENTR.,200MM</v>
          </cell>
          <cell r="D14567" t="str">
            <v>Tubuar shaft ms slim incl. blade rod, 20</v>
          </cell>
        </row>
        <row r="14568">
          <cell r="B14568" t="str">
            <v>80-630-41-04</v>
          </cell>
          <cell r="C14568" t="str">
            <v>MARSEAL  IQ KPL.M.INSTRUMENTENKOD.200MM</v>
          </cell>
          <cell r="D14568" t="str">
            <v>MARSEAL  IQ CPL.W.INSTRUMENT-CODING,200MM</v>
          </cell>
        </row>
        <row r="14569">
          <cell r="B14569" t="str">
            <v>80-630-42-04</v>
          </cell>
          <cell r="C14569" t="str">
            <v>MARSEAL  SLIM IQ KPL.M.INSTRUM.KOD.370 MM</v>
          </cell>
          <cell r="D14569" t="str">
            <v>MARSEAL  SLIM IQ CPL.INSTRUM.CODING 370MM</v>
          </cell>
        </row>
        <row r="14570">
          <cell r="B14570" t="str">
            <v>80-630-43-04</v>
          </cell>
          <cell r="C14570" t="str">
            <v>MARSEAL  SLIM IQ KPL.M.INSTRUM.KOD.200 MM</v>
          </cell>
          <cell r="D14570" t="str">
            <v>MARSEAL  SLIM IQ CPL.INSTRUM.CODING 200MM</v>
          </cell>
        </row>
        <row r="14571">
          <cell r="B14571" t="str">
            <v>80-630-45-04</v>
          </cell>
          <cell r="C14571" t="str">
            <v>GRIFF FUER MARSEAL  IQ, KABEL 4 M</v>
          </cell>
          <cell r="D14571" t="str">
            <v>Handle for marseal IQ, cable 4M</v>
          </cell>
        </row>
        <row r="14572">
          <cell r="B14572" t="str">
            <v>80-630-50-04</v>
          </cell>
          <cell r="C14572" t="str">
            <v>marSeal 5 IQ kpl.mit Instr.-Kod.  370MM</v>
          </cell>
          <cell r="D14572" t="str">
            <v>MarSeal 5 IQ cpl.w. Instr. Cod. 370MM</v>
          </cell>
        </row>
        <row r="14573">
          <cell r="B14573" t="str">
            <v>80-630-51-04</v>
          </cell>
          <cell r="C14573" t="str">
            <v>Rohrschaft  fuer marSeal 5, 370MM</v>
          </cell>
          <cell r="D14573" t="str">
            <v>Tubular shaft for marseal 5, 370MM</v>
          </cell>
        </row>
        <row r="14574">
          <cell r="B14574" t="str">
            <v>80-630-52-04</v>
          </cell>
          <cell r="C14574" t="str">
            <v>Griff für marSeal 5 mit Gerätestecker IQ</v>
          </cell>
          <cell r="D14574" t="str">
            <v>Handle for marseal 5 with connector  IQ</v>
          </cell>
        </row>
        <row r="14575">
          <cell r="B14575" t="str">
            <v>80-630-53-04</v>
          </cell>
          <cell r="C14575" t="str">
            <v>Klingenträger für marSeal 5</v>
          </cell>
          <cell r="D14575" t="str">
            <v>Blade rod for marseal 5</v>
          </cell>
        </row>
        <row r="14576">
          <cell r="B14576" t="str">
            <v>80-630-58-04</v>
          </cell>
          <cell r="C14576" t="str">
            <v>Reinigungswerkzeug marSeal5/marClamp Cut</v>
          </cell>
          <cell r="D14576" t="str">
            <v>Cleaning adapter marseal 5/marClamp Cut</v>
          </cell>
        </row>
        <row r="14577">
          <cell r="B14577" t="str">
            <v>80-630-59-04</v>
          </cell>
          <cell r="C14577" t="str">
            <v>Spüladapter für marSeal 5</v>
          </cell>
          <cell r="D14577" t="str">
            <v>Flushing adapter for marseal 5</v>
          </cell>
        </row>
        <row r="14578">
          <cell r="B14578" t="str">
            <v>80-630-83-04</v>
          </cell>
          <cell r="C14578" t="str">
            <v>Klingenträger marSeal 5,370mm,steril</v>
          </cell>
          <cell r="D14578" t="str">
            <v>Blade insert marSeal 5,370mm,sterile</v>
          </cell>
        </row>
        <row r="14579">
          <cell r="B14579" t="str">
            <v>80-630-90-04</v>
          </cell>
          <cell r="C14579" t="str">
            <v>marSeal 5 IQ short kompl. 200mm</v>
          </cell>
          <cell r="D14579" t="str">
            <v>marSeal 5 IQ short comp.instrum-cod200mm</v>
          </cell>
        </row>
        <row r="14580">
          <cell r="B14580" t="str">
            <v>80-630-91-04</v>
          </cell>
          <cell r="C14580" t="str">
            <v>Klingenträger f.marSeal  5 IQ short,200mm</v>
          </cell>
          <cell r="D14580" t="str">
            <v>Blade insert f.marSeal  5 IQ short, 200mm</v>
          </cell>
        </row>
        <row r="14581">
          <cell r="B14581" t="str">
            <v>80-630-92-04</v>
          </cell>
          <cell r="C14581" t="str">
            <v>Rohrschaft  für marSeal 5 IQ short, 200mm</v>
          </cell>
          <cell r="D14581" t="str">
            <v>Tubular shaft for marseal 5 IQ short, 20</v>
          </cell>
        </row>
        <row r="14582">
          <cell r="B14582" t="str">
            <v>80-632-00-04</v>
          </cell>
          <cell r="C14582" t="str">
            <v>Klinge für marClamp  CUT IQ, steril,18cm</v>
          </cell>
          <cell r="D14582" t="str">
            <v>Blade for marClamp  CUT IQ, sterile,18cm</v>
          </cell>
        </row>
        <row r="14583">
          <cell r="B14583" t="str">
            <v>80-632-18-04</v>
          </cell>
          <cell r="C14583" t="str">
            <v>marClamp  CUT IQ mit Instrumentenkod.18cm</v>
          </cell>
          <cell r="D14583" t="str">
            <v>marClamp  CUT IQ w.instrum.coding,18cm</v>
          </cell>
        </row>
        <row r="14584">
          <cell r="B14584" t="str">
            <v>80-633-00-04</v>
          </cell>
          <cell r="C14584" t="str">
            <v>marSeal5plus GV.,bi.,IQ.,Ø5mm,37CM</v>
          </cell>
          <cell r="D14584" t="str">
            <v>marSeal5plus VS.,bi.,IQ.,Ø5mm,37CM</v>
          </cell>
        </row>
        <row r="14585">
          <cell r="B14585" t="str">
            <v>80-633-01-04</v>
          </cell>
          <cell r="C14585" t="str">
            <v>marSeal5plus Maryland.,bi.,IQ.,Ø5mm,45cm</v>
          </cell>
          <cell r="D14585" t="str">
            <v>marSeal5plus Maryland.,bi.,IQ.,Ø5mm,45cm</v>
          </cell>
        </row>
        <row r="14586">
          <cell r="B14586" t="str">
            <v>80-633-02-04</v>
          </cell>
          <cell r="C14586" t="str">
            <v>marSeal5plus Maryland.,bi.,IQ.,Ø5mm,37cm</v>
          </cell>
          <cell r="D14586" t="str">
            <v>marSeal5plus Maryland.,bi.,IQ.,Ø5mm,37cm</v>
          </cell>
        </row>
        <row r="14587">
          <cell r="B14587" t="str">
            <v>80-633-03-04</v>
          </cell>
          <cell r="C14587" t="str">
            <v>marSeal5plus Maryland.,bi.,IQ.,Ø5mm,23cm</v>
          </cell>
          <cell r="D14587" t="str">
            <v>marSeal5plus Maryland.,bi.,IQ.,Ø5mm,23cm</v>
          </cell>
        </row>
        <row r="14588">
          <cell r="B14588" t="str">
            <v>80-633-04-04</v>
          </cell>
          <cell r="C14588" t="str">
            <v>marSeal5plus Handgriff,bi.,IQ.,Ø5mm</v>
          </cell>
          <cell r="D14588" t="str">
            <v>marSeal5plus handle,bi.,IQ.,Ø5mm</v>
          </cell>
        </row>
        <row r="14589">
          <cell r="B14589" t="str">
            <v>80-633-05-04</v>
          </cell>
          <cell r="C14589" t="str">
            <v>marSeal5plus Rohrschaft,bi.,Ø5mm,37cm</v>
          </cell>
          <cell r="D14589" t="str">
            <v>marSeal5plus tubular shaft,bi.,Ø5mm,37cm</v>
          </cell>
        </row>
        <row r="14590">
          <cell r="B14590" t="str">
            <v>80-633-06-04</v>
          </cell>
          <cell r="C14590" t="str">
            <v>marSeal5plus Rohrschaft  Maryl.,Ø5mm,45cm</v>
          </cell>
          <cell r="D14590" t="str">
            <v>marSeal5plus tub.shaft,  Maryl.,Ø5mm,45cm</v>
          </cell>
        </row>
        <row r="14591">
          <cell r="B14591" t="str">
            <v>80-633-07-04</v>
          </cell>
          <cell r="C14591" t="str">
            <v>marSeal5plus Rohrschaft  Maryl.,Ø5mm,37cm</v>
          </cell>
          <cell r="D14591" t="str">
            <v>marSeal5plus tub.shaft,  Maryl.,Ø5mm,37cm</v>
          </cell>
        </row>
        <row r="14592">
          <cell r="B14592" t="str">
            <v>80-633-08-04</v>
          </cell>
          <cell r="C14592" t="str">
            <v>marSeal5plus Rohrschaft  Maryl., Ø5mm,23c</v>
          </cell>
          <cell r="D14592" t="str">
            <v>marSeal5plus tub.shaft,  Maryl.,Ø5mm,23cm</v>
          </cell>
        </row>
        <row r="14593">
          <cell r="B14593" t="str">
            <v>80-633-09-04</v>
          </cell>
          <cell r="C14593" t="str">
            <v>marSeal5plus Klingenträger,37cm,steril</v>
          </cell>
          <cell r="D14593" t="str">
            <v>marSeal5plus blade insert,37cm,sterile</v>
          </cell>
        </row>
        <row r="14594">
          <cell r="B14594" t="str">
            <v>80-633-10-04</v>
          </cell>
          <cell r="C14594" t="str">
            <v>marSeal5plus Klingenträger,23cm,steril</v>
          </cell>
          <cell r="D14594" t="str">
            <v>marSeal5plus blade insert,23cm,sterile</v>
          </cell>
        </row>
        <row r="14595">
          <cell r="B14595" t="str">
            <v>80-633-11-04</v>
          </cell>
          <cell r="C14595" t="str">
            <v>marSeal5plus Klingenträger,37cm</v>
          </cell>
          <cell r="D14595" t="str">
            <v>marSeal5plus blade insert,37cm</v>
          </cell>
        </row>
        <row r="14596">
          <cell r="B14596" t="str">
            <v>80-633-12-04</v>
          </cell>
          <cell r="C14596" t="str">
            <v>marSeal5plus Reinigungswerkzeug</v>
          </cell>
          <cell r="D14596" t="str">
            <v>marSeal5plus cleaning tool</v>
          </cell>
        </row>
        <row r="14597">
          <cell r="B14597" t="str">
            <v>80-633-14-04</v>
          </cell>
          <cell r="C14597" t="str">
            <v>marSeal5plus Klingenträger,23cm</v>
          </cell>
          <cell r="D14597" t="str">
            <v>marSeal5plus blade insert,23cm</v>
          </cell>
        </row>
        <row r="14598">
          <cell r="B14598" t="str">
            <v>80-633-15-04</v>
          </cell>
          <cell r="C14598" t="str">
            <v>marSeal5plus Klingenträger,45cm,steril</v>
          </cell>
          <cell r="D14598" t="str">
            <v>marSeal5plus blade insert,45cm,sterile</v>
          </cell>
        </row>
        <row r="14599">
          <cell r="B14599" t="str">
            <v>80-633-16-04</v>
          </cell>
          <cell r="C14599" t="str">
            <v>marSeal5plus Klingenträger,45cm</v>
          </cell>
          <cell r="D14599" t="str">
            <v>marSeal5plus blade insert,45cm</v>
          </cell>
        </row>
        <row r="14600">
          <cell r="B14600" t="str">
            <v>80-674-12-04</v>
          </cell>
          <cell r="C14600" t="str">
            <v>ELEKTRODE, KUGEL, L=10CM,  D=5MM,  4MM</v>
          </cell>
          <cell r="D14600" t="str">
            <v>BALL ELECTRODE, D=5MM,  L=10CM,  4MM</v>
          </cell>
        </row>
        <row r="14601">
          <cell r="B14601" t="str">
            <v>80-674-13-04</v>
          </cell>
          <cell r="C14601" t="str">
            <v>ELEKTRODE, KUGEL, L=10CM,  D=3MM,  4MM</v>
          </cell>
          <cell r="D14601" t="str">
            <v>BALL ELECTRODE, D=3MM,  L=10CM,  4MM</v>
          </cell>
        </row>
        <row r="14602">
          <cell r="B14602" t="str">
            <v>80-675-13-04</v>
          </cell>
          <cell r="C14602" t="str">
            <v>ELEKTRODE, NADEL, L=10CM,  AL=4MM,  4MM</v>
          </cell>
          <cell r="D14602" t="str">
            <v>NEEDLE ELECTR., L=10CM,  AL=4MM,  4MM</v>
          </cell>
        </row>
        <row r="14603">
          <cell r="B14603" t="str">
            <v>80-676-13-04</v>
          </cell>
          <cell r="C14603" t="str">
            <v>ELEKTRODE, KUGEL, L=13CM,  D=3MM,  4MM</v>
          </cell>
          <cell r="D14603" t="str">
            <v>BALL ELECTRODE, L=13CM D=3MM,  4MM</v>
          </cell>
        </row>
        <row r="14604">
          <cell r="B14604" t="str">
            <v>80-677-12-04</v>
          </cell>
          <cell r="C14604" t="str">
            <v>ELEKTRODE, NADEL, L=10CM,  AL15,5MM, 4MM</v>
          </cell>
          <cell r="D14604" t="str">
            <v>NEEDLE ELECTRODE, L=10CM,  WL=15,5MM, 4MM</v>
          </cell>
        </row>
        <row r="14605">
          <cell r="B14605" t="str">
            <v>80-678-10-04</v>
          </cell>
          <cell r="C14605" t="str">
            <v>MESSER ELEK.F.2,4MM HANDGR.SCHAFTL. 9CM</v>
          </cell>
          <cell r="D14605" t="str">
            <v>KNIFE ELECTR.F.2,4MM HANDLES,SHAFT  9CM</v>
          </cell>
        </row>
        <row r="14606">
          <cell r="B14606" t="str">
            <v>80-678-11-04</v>
          </cell>
          <cell r="C14606" t="str">
            <v>ELEKTRODE, KUGEL, L=9CM, D=3MM,  2,4MM</v>
          </cell>
          <cell r="D14606" t="str">
            <v>BALL ELECTRODE, L=9CM, D=3MM,  2,4MM</v>
          </cell>
        </row>
        <row r="14607">
          <cell r="B14607" t="str">
            <v>80-680-12-04</v>
          </cell>
          <cell r="C14607" t="str">
            <v>ELEKTRODE, KONISATION, L=12CM,D=10MM,4MM</v>
          </cell>
          <cell r="D14607" t="str">
            <v>CONIZATION ELECTRODE, L=12CM,  D=10MM,4MM</v>
          </cell>
        </row>
        <row r="14608">
          <cell r="B14608" t="str">
            <v>80-681-12-04</v>
          </cell>
          <cell r="C14608" t="str">
            <v>ELEKTRODE, KONISATION, L=12CM,  D=15MM,  4</v>
          </cell>
          <cell r="D14608" t="str">
            <v>CONISATION ELECTRODE, LOOP DIAM. 15 MM</v>
          </cell>
        </row>
        <row r="14609">
          <cell r="B14609" t="str">
            <v>80-682-12-04</v>
          </cell>
          <cell r="C14609" t="str">
            <v>ELEKTRODE, KONISATION, L=12CM,D=20MM,4MM</v>
          </cell>
          <cell r="D14609" t="str">
            <v>CONIZATION ELECTRODE, L=12CM,  D=20MM,4MM</v>
          </cell>
        </row>
        <row r="14610">
          <cell r="B14610" t="str">
            <v>80-683-12-04</v>
          </cell>
          <cell r="C14610" t="str">
            <v>ELEKTRODE, KONISATION, L=12CM,  D=25MM,  4</v>
          </cell>
          <cell r="D14610" t="str">
            <v>CONISATION ELECTRODE, LOOP DIAM 25 MM</v>
          </cell>
        </row>
        <row r="14611">
          <cell r="B14611" t="str">
            <v>80-684-12-04</v>
          </cell>
          <cell r="C14611" t="str">
            <v>ELEKTRODE, KON.SCARFI,L=11,5CM,D=2CM,4MM</v>
          </cell>
          <cell r="D14611" t="str">
            <v>SCARFI CONIZAT.ELEC.,L=11,5CM, D=2CM,4MM</v>
          </cell>
        </row>
        <row r="14612">
          <cell r="B14612" t="str">
            <v>80-685-12-04</v>
          </cell>
          <cell r="C14612" t="str">
            <v>ELEKTRODE, KON.SCARFI,L=11,5CM,D=3CM,4MM</v>
          </cell>
          <cell r="D14612" t="str">
            <v>SCARFI CONIZAT.ELEC.,L=11,5CM, D=3CM,4MM</v>
          </cell>
        </row>
        <row r="14613">
          <cell r="B14613" t="str">
            <v>80-686-12-04</v>
          </cell>
          <cell r="C14613" t="str">
            <v>ELEKTRODE, KON.SCARFI,L=11,5CM,D=4CM,4MM</v>
          </cell>
          <cell r="D14613" t="str">
            <v>SCARFI CONIZAT.ELEC.,L=11,5CM, D=4CM,4MM</v>
          </cell>
        </row>
        <row r="14614">
          <cell r="B14614" t="str">
            <v>80-690-12-04</v>
          </cell>
          <cell r="C14614" t="str">
            <v>ELEKTRODE, NADEL,ARTHR.L=11,5CM,AL=1,5MM</v>
          </cell>
          <cell r="D14614" t="str">
            <v>NEEDLE ELECTRODE ARTHR., L=11,5CM,  1,5MM</v>
          </cell>
        </row>
        <row r="14615">
          <cell r="B14615" t="str">
            <v>80-691-12-04</v>
          </cell>
          <cell r="C14615" t="str">
            <v>ELEKTRODE, NADEL, ARTHR.,L=11,5CM,AL=4MM</v>
          </cell>
          <cell r="D14615" t="str">
            <v>NEEDLE ELECTRODE, ARHTR., L=11,5CM,  4MM</v>
          </cell>
        </row>
        <row r="14616">
          <cell r="B14616" t="str">
            <v>80-692-12-04</v>
          </cell>
          <cell r="C14616" t="str">
            <v>ELEKTRODE, NADEL, ARTHR.,L=11,5CM,AL=2MM</v>
          </cell>
          <cell r="D14616" t="str">
            <v>NEEDLE ELECTRODE, ARHTR., L=11,5CM,  2MM</v>
          </cell>
        </row>
        <row r="14617">
          <cell r="B14617" t="str">
            <v>80-693-12-04</v>
          </cell>
          <cell r="C14617" t="str">
            <v>ELEKTRODE, MESSER,ARTHR.,L=11,5CM,AL=4MM</v>
          </cell>
          <cell r="D14617" t="str">
            <v>KNIFE ELECTRODE ARTHR., L=11,5CM,  4MM</v>
          </cell>
        </row>
        <row r="14618">
          <cell r="B14618" t="str">
            <v>80-694-12-04</v>
          </cell>
          <cell r="C14618" t="str">
            <v>ELEKTRODE, TASTE,ARTHR.,L=11,5CM,AL=4MM</v>
          </cell>
          <cell r="D14618" t="str">
            <v>PALPATION ELECTR., ARTHR., L=11,5CM,  4MM</v>
          </cell>
        </row>
        <row r="14619">
          <cell r="B14619" t="str">
            <v>80-695-12-04</v>
          </cell>
          <cell r="C14619" t="str">
            <v>ELEKTRODE, KUGEL, ARTHR.,L=11,5CM, D=3MM</v>
          </cell>
          <cell r="D14619" t="str">
            <v>BALL ELECTR. ARTHROSCOPY,L=11,5CM, D=3MM</v>
          </cell>
        </row>
        <row r="14620">
          <cell r="B14620" t="str">
            <v>80-700-01-04</v>
          </cell>
          <cell r="C14620" t="str">
            <v>SO Messerelektrode, 70mm</v>
          </cell>
          <cell r="D14620" t="str">
            <v>SO blade electrode,  70mm</v>
          </cell>
        </row>
        <row r="14621">
          <cell r="B14621" t="str">
            <v>80-700-02-04</v>
          </cell>
          <cell r="C14621" t="str">
            <v>SO Messerelektrode NSTC,70mm</v>
          </cell>
          <cell r="D14621" t="str">
            <v>SO blade electrode  NSTC,70mm</v>
          </cell>
        </row>
        <row r="14622">
          <cell r="B14622" t="str">
            <v>80-700-03-04</v>
          </cell>
          <cell r="C14622" t="str">
            <v>SO Nadelelektrode,70mm</v>
          </cell>
          <cell r="D14622" t="str">
            <v>SO needle electrode,70mm</v>
          </cell>
        </row>
        <row r="14623">
          <cell r="B14623" t="str">
            <v>80-700-04-04</v>
          </cell>
          <cell r="C14623" t="str">
            <v>SO Nadelelektrode NSTC, 70mm</v>
          </cell>
          <cell r="D14623" t="str">
            <v>SO needle electrode  NSTC, 70mm</v>
          </cell>
        </row>
        <row r="14624">
          <cell r="B14624" t="str">
            <v>80-700-05-04</v>
          </cell>
          <cell r="C14624" t="str">
            <v>SO Nadelelektrode,ext. Isol.,70mm</v>
          </cell>
          <cell r="D14624" t="str">
            <v>SO needle electrode,ext.insul.,70mm</v>
          </cell>
        </row>
        <row r="14625">
          <cell r="B14625" t="str">
            <v>80-700-06-04</v>
          </cell>
          <cell r="C14625" t="str">
            <v>SO Nadelektr.NSTC,ext. Isol.,70mm</v>
          </cell>
          <cell r="D14625" t="str">
            <v>SO needle electr.NSTC,ext.insul.,70mm</v>
          </cell>
        </row>
        <row r="14626">
          <cell r="B14626" t="str">
            <v>80-700-07-04</v>
          </cell>
          <cell r="C14626" t="str">
            <v>SO Kugelelektrode ø3mm,70mm</v>
          </cell>
          <cell r="D14626" t="str">
            <v>SO ball electrode  ø3mm,70mm</v>
          </cell>
        </row>
        <row r="14627">
          <cell r="B14627" t="str">
            <v>80-700-08-04</v>
          </cell>
          <cell r="C14627" t="str">
            <v>SO Kugelelektrode ø4mm,70mm</v>
          </cell>
          <cell r="D14627" t="str">
            <v>SO ball electrode  ø4mm,70mm</v>
          </cell>
        </row>
        <row r="14628">
          <cell r="B14628" t="str">
            <v>80-700-09-04</v>
          </cell>
          <cell r="C14628" t="str">
            <v>SO Kugelelektrode ø5mm,70mm</v>
          </cell>
          <cell r="D14628" t="str">
            <v>SO ball electrode  ø5mm,70mm</v>
          </cell>
        </row>
        <row r="14629">
          <cell r="B14629" t="str">
            <v>80-700-10-04</v>
          </cell>
          <cell r="C14629" t="str">
            <v>SO Kugelelektrode NSTC ø3mm,70mm</v>
          </cell>
          <cell r="D14629" t="str">
            <v>SO ball electrode  NSTC ø3mm,70mm</v>
          </cell>
        </row>
        <row r="14630">
          <cell r="B14630" t="str">
            <v>80-700-11-04</v>
          </cell>
          <cell r="C14630" t="str">
            <v>SO Kugelelektrode NSTC ø4mm,70mm</v>
          </cell>
          <cell r="D14630" t="str">
            <v>SO ball electrode  NSTC ø4mm,70mm</v>
          </cell>
        </row>
        <row r="14631">
          <cell r="B14631" t="str">
            <v>80-700-12-04</v>
          </cell>
          <cell r="C14631" t="str">
            <v>SO Kugelelektrode NSTC ø5mm,70mm</v>
          </cell>
          <cell r="D14631" t="str">
            <v>SO ball electrode  NSTC ø5mm,70mm</v>
          </cell>
        </row>
        <row r="14632">
          <cell r="B14632" t="str">
            <v>80-700-13-04</v>
          </cell>
          <cell r="C14632" t="str">
            <v>SO Drahtschlingenelektrode 10x10mm,  35mm</v>
          </cell>
          <cell r="D14632" t="str">
            <v>SO loop electrode  10x10mm,  35mm</v>
          </cell>
        </row>
        <row r="14633">
          <cell r="B14633" t="str">
            <v>80-700-14-04</v>
          </cell>
          <cell r="C14633" t="str">
            <v>SO Drahtschlingenelektrode 15x12mm,  35mm</v>
          </cell>
          <cell r="D14633" t="str">
            <v>SO loop electrode  15x12mm,  35mm</v>
          </cell>
        </row>
        <row r="14634">
          <cell r="B14634" t="str">
            <v>80-700-15-04</v>
          </cell>
          <cell r="C14634" t="str">
            <v>SO Messerelektrode,152mm</v>
          </cell>
          <cell r="D14634" t="str">
            <v>SO blade electrode,152mm</v>
          </cell>
        </row>
        <row r="14635">
          <cell r="B14635" t="str">
            <v>80-700-16-04</v>
          </cell>
          <cell r="C14635" t="str">
            <v>SO Messerelektrode NSTC,152mm</v>
          </cell>
          <cell r="D14635" t="str">
            <v>SO blade electrode  NSTC,152mm</v>
          </cell>
        </row>
        <row r="14636">
          <cell r="B14636" t="str">
            <v>80-700-17-04</v>
          </cell>
          <cell r="C14636" t="str">
            <v>SO Nadelelektrode, ext.Isol.,152mm</v>
          </cell>
          <cell r="D14636" t="str">
            <v>SO needle electrode,  ext.insul.,152mm</v>
          </cell>
        </row>
        <row r="14637">
          <cell r="B14637" t="str">
            <v>80-700-18-04</v>
          </cell>
          <cell r="C14637" t="str">
            <v>SO Kugelelektrode ø3mm, 130mm</v>
          </cell>
          <cell r="D14637" t="str">
            <v>SO ball electrode  ø3mm, 130mm</v>
          </cell>
        </row>
        <row r="14638">
          <cell r="B14638" t="str">
            <v>80-700-19-04</v>
          </cell>
          <cell r="C14638" t="str">
            <v>SO Kugelelektrode ø4mm, 130mm</v>
          </cell>
          <cell r="D14638" t="str">
            <v>SO ball electrode  ø4mm, 130mm</v>
          </cell>
        </row>
        <row r="14639">
          <cell r="B14639" t="str">
            <v>80-700-20-04</v>
          </cell>
          <cell r="C14639" t="str">
            <v>SO Kugelelektrode ø5mm, 130mm</v>
          </cell>
          <cell r="D14639" t="str">
            <v>SO ball electrode  ø5mm, 130mm</v>
          </cell>
        </row>
        <row r="14640">
          <cell r="B14640" t="str">
            <v>80-700-21-04</v>
          </cell>
          <cell r="C14640" t="str">
            <v>SO Kugelelektrode NSTC ø3mm, 130mm</v>
          </cell>
          <cell r="D14640" t="str">
            <v>SO ball electrode  NSTC ø3mm, 130mm</v>
          </cell>
        </row>
        <row r="14641">
          <cell r="B14641" t="str">
            <v>80-700-22-04</v>
          </cell>
          <cell r="C14641" t="str">
            <v>SO Kugelelektrode NSTC ø4mm, 130mm</v>
          </cell>
          <cell r="D14641" t="str">
            <v>SO ball electrode  NSTC ø4mm, 130mm</v>
          </cell>
        </row>
        <row r="14642">
          <cell r="B14642" t="str">
            <v>80-700-23-04</v>
          </cell>
          <cell r="C14642" t="str">
            <v>SO Kugelelektrode NSTC ø5mm, 130mm</v>
          </cell>
          <cell r="D14642" t="str">
            <v>SO ball electrode  NSTC ø5mm, 130mm</v>
          </cell>
        </row>
        <row r="14643">
          <cell r="B14643" t="str">
            <v>80-700-24-04</v>
          </cell>
          <cell r="C14643" t="str">
            <v>SO Drahtschlingenelektr. 10x10mm,  130mm</v>
          </cell>
          <cell r="D14643" t="str">
            <v>SO loop electrode  10x10mm,  130mm</v>
          </cell>
        </row>
        <row r="14644">
          <cell r="B14644" t="str">
            <v>80-700-25-04</v>
          </cell>
          <cell r="C14644" t="str">
            <v>SO Drahtschlingenelektr. 15x12mm,  130mm</v>
          </cell>
          <cell r="D14644" t="str">
            <v>SO loop electrode  15x12mm,  130mm</v>
          </cell>
        </row>
        <row r="14645">
          <cell r="B14645" t="str">
            <v>80-700-26-04</v>
          </cell>
          <cell r="C14645" t="str">
            <v>SO Drahtschlingenelektr. 20x15mm,  130mm</v>
          </cell>
          <cell r="D14645" t="str">
            <v>SO loop electrode  20x15mm,  130mm</v>
          </cell>
        </row>
        <row r="14646">
          <cell r="B14646" t="str">
            <v>80-700-27-04</v>
          </cell>
          <cell r="C14646" t="str">
            <v>SO Konisationselektrode 20x10mm,  150mm</v>
          </cell>
          <cell r="D14646" t="str">
            <v>SO cone biopsy electr. 20x10mm,  150mm</v>
          </cell>
        </row>
        <row r="14647">
          <cell r="B14647" t="str">
            <v>80-700-28-04</v>
          </cell>
          <cell r="C14647" t="str">
            <v>SO Konisationselektrode 20x13mm,  150mm</v>
          </cell>
          <cell r="D14647" t="str">
            <v>SO cone biopsy electr. 20x13mm,  150mm</v>
          </cell>
        </row>
        <row r="14648">
          <cell r="B14648" t="str">
            <v>80-700-29-04</v>
          </cell>
          <cell r="C14648" t="str">
            <v>SO Konisationselektrode 20x20mm,  150mm</v>
          </cell>
          <cell r="D14648" t="str">
            <v>SO cone biopsy electr. 20x20mm,  150mm</v>
          </cell>
        </row>
        <row r="14649">
          <cell r="B14649" t="str">
            <v>80-700-30-04</v>
          </cell>
          <cell r="C14649" t="str">
            <v>SO Messerelektrode NSTC ext.Isol</v>
          </cell>
          <cell r="D14649" t="str">
            <v>SO blade electrode  NSTC ext.isol</v>
          </cell>
        </row>
        <row r="14650">
          <cell r="B14650" t="str">
            <v>80-700-31-04</v>
          </cell>
          <cell r="C14650" t="str">
            <v>SO Messerelektrode NSTC ext.Isol,152mm</v>
          </cell>
          <cell r="D14650" t="str">
            <v>SO blade electrode  NSTC ext.isol,152mm</v>
          </cell>
        </row>
        <row r="14651">
          <cell r="B14651" t="str">
            <v>80-700-40-04</v>
          </cell>
          <cell r="C14651" t="str">
            <v>SOTC Mikrodissektionsnadel,2mm,20mm</v>
          </cell>
          <cell r="D14651" t="str">
            <v>SOTC micro dissection  needle 2mm,20mm</v>
          </cell>
        </row>
        <row r="14652">
          <cell r="B14652" t="str">
            <v>80-700-41-04</v>
          </cell>
          <cell r="C14652" t="str">
            <v>SOTC Mikrodissektionsnadel, 2mm, 30mm</v>
          </cell>
          <cell r="D14652" t="str">
            <v>SOTC micro dissection  needle 2mm,30mm</v>
          </cell>
        </row>
        <row r="14653">
          <cell r="B14653" t="str">
            <v>80-700-42-04</v>
          </cell>
          <cell r="C14653" t="str">
            <v>SOTC Mikrodissektionsn.,2mm,40mm,45°@5mm</v>
          </cell>
          <cell r="D14653" t="str">
            <v>SOTC micro diss.needle,2mm,40mm,45°@5mm</v>
          </cell>
        </row>
        <row r="14654">
          <cell r="B14654" t="str">
            <v>80-700-43-04</v>
          </cell>
          <cell r="C14654" t="str">
            <v>SOTC Mikrodissektion.,2mm,40mm,45°@10mm</v>
          </cell>
          <cell r="D14654" t="str">
            <v>SOTC micro diss.needle,2mm,40mm,45°@10mm</v>
          </cell>
        </row>
        <row r="14655">
          <cell r="B14655" t="str">
            <v>80-701-00-04</v>
          </cell>
          <cell r="C14655" t="str">
            <v>SO Rauchgashandgriff, NSTC, 4,5m</v>
          </cell>
          <cell r="D14655" t="str">
            <v>SO smoke evacuation  handle, NSTC,4.5m</v>
          </cell>
        </row>
        <row r="14656">
          <cell r="B14656" t="str">
            <v>80-701-01-04</v>
          </cell>
          <cell r="C14656" t="str">
            <v>SO Messerel.  Rauchgasabs., NSTC, 152mm</v>
          </cell>
          <cell r="D14656" t="str">
            <v>SO smoke evac. blade. el. NSTC, 152mm</v>
          </cell>
        </row>
        <row r="14657">
          <cell r="B14657" t="str">
            <v>80-701-02-04</v>
          </cell>
          <cell r="C14657" t="str">
            <v>SO Kugelel. Rauchgas.,  NSTC ø4mm, 150mm</v>
          </cell>
          <cell r="D14657" t="str">
            <v>SO smoke evac. ball el. NSTC ø4mm, 150mm</v>
          </cell>
        </row>
        <row r="14658">
          <cell r="B14658" t="str">
            <v>80-701-03-04</v>
          </cell>
          <cell r="C14658" t="str">
            <v>SO Schlingeel.  Rauchgas.,  15x12mm,  150mm</v>
          </cell>
          <cell r="D14658" t="str">
            <v>SO smoke evac. loop el. 15x12mm,  150mm</v>
          </cell>
        </row>
        <row r="14659">
          <cell r="B14659" t="str">
            <v>80-701-20-04</v>
          </cell>
          <cell r="C14659" t="str">
            <v>SO Telesk. Rauchgashandgriff NSTC, 4,5m</v>
          </cell>
          <cell r="D14659" t="str">
            <v>SO telesc. smoke evac. handle, NSTC,4.5m</v>
          </cell>
        </row>
        <row r="14660">
          <cell r="B14660" t="str">
            <v>80-701-21-04</v>
          </cell>
          <cell r="C14660" t="str">
            <v>SO Kugelel. Rauchgas.  NSTC, Ø4mm, 50mm</v>
          </cell>
          <cell r="D14660" t="str">
            <v>SO ball electrode  NSTC, Ø4mm, 50mm</v>
          </cell>
        </row>
        <row r="14661">
          <cell r="B14661" t="str">
            <v>80-701-32-04</v>
          </cell>
          <cell r="C14661" t="str">
            <v>SO Rauchgashandgriff, NSTC, 3m</v>
          </cell>
          <cell r="D14661" t="str">
            <v>SO smoke evacuation  handle, NSTC, 3m</v>
          </cell>
        </row>
        <row r="14662">
          <cell r="B14662" t="str">
            <v>80-701-33-04</v>
          </cell>
          <cell r="C14662" t="str">
            <v>SO Telesk. Rauchgashandgriff NSTC, 3m</v>
          </cell>
          <cell r="D14662" t="str">
            <v>SO telesc. smoke evac. handle, NSTC, 3m</v>
          </cell>
        </row>
        <row r="14663">
          <cell r="B14663" t="str">
            <v>80-701-35-04</v>
          </cell>
          <cell r="C14663" t="str">
            <v>SO Elektrodengriff, 4,5m, 3-Pin</v>
          </cell>
          <cell r="D14663" t="str">
            <v>SO electr. handle, w. blade, 4.5m,3-Pin</v>
          </cell>
        </row>
        <row r="14664">
          <cell r="B14664" t="str">
            <v>80-701-36-04</v>
          </cell>
          <cell r="C14664" t="str">
            <v>SO Elektrodengriff NSTC, 4,5m, 3-Pin</v>
          </cell>
          <cell r="D14664" t="str">
            <v>SO electr. handle,NSTC blade,4.5m,3-Pin</v>
          </cell>
        </row>
        <row r="14665">
          <cell r="B14665" t="str">
            <v>80-701-37-04</v>
          </cell>
          <cell r="C14665" t="str">
            <v>SO Elektrodengriff RS, 4,5m, 3-Pin</v>
          </cell>
          <cell r="D14665" t="str">
            <v>SO electr. handle RS,w. blade,4.5m,3-Pin</v>
          </cell>
        </row>
        <row r="14666">
          <cell r="B14666" t="str">
            <v>80-701-38-04</v>
          </cell>
          <cell r="C14666" t="str">
            <v>SO Elektrodengriff RS, NSTC, 4,5m, 3-Pin</v>
          </cell>
          <cell r="D14666" t="str">
            <v>SO electr. handle RS, NSTC, 4.5m, 3-Pin</v>
          </cell>
        </row>
        <row r="14667">
          <cell r="B14667" t="str">
            <v>80-701-39-04</v>
          </cell>
          <cell r="C14667" t="str">
            <v>SO Elektrodengriff, 3m, 3-Pin</v>
          </cell>
          <cell r="D14667" t="str">
            <v>SO electr. handle, w. blade, 3m,3-Pin</v>
          </cell>
        </row>
        <row r="14668">
          <cell r="B14668" t="str">
            <v>80-701-40-04</v>
          </cell>
          <cell r="C14668" t="str">
            <v>SO Elektrodengriff NSTC, 3m, 3-Pin</v>
          </cell>
          <cell r="D14668" t="str">
            <v>SO electr. handle,NSTC blade,3m,3-Pin</v>
          </cell>
        </row>
        <row r="14669">
          <cell r="B14669" t="str">
            <v>80-701-41-04</v>
          </cell>
          <cell r="C14669" t="str">
            <v>SO Elektrodengriff RS, 3m, 3-Pin</v>
          </cell>
          <cell r="D14669" t="str">
            <v>SO electr. handle RS,w. blade,3m,3-Pin</v>
          </cell>
        </row>
        <row r="14670">
          <cell r="B14670" t="str">
            <v>80-701-42-04</v>
          </cell>
          <cell r="C14670" t="str">
            <v>SO Elektrodengriff RS, NSTC, 3m, 3-Pin</v>
          </cell>
          <cell r="D14670" t="str">
            <v>SO electr. handle RS, NSTC, 3m, 3-Pin</v>
          </cell>
        </row>
        <row r="14671">
          <cell r="B14671" t="str">
            <v>80-790-00-04</v>
          </cell>
          <cell r="C14671" t="str">
            <v>PORT EXPANDER, BIP., MAXIUM  HW06, ZUB. '</v>
          </cell>
          <cell r="D14671" t="str">
            <v>BIP.PORT  EXPANDER  MAXIUM  HW06,MARTIN ACC</v>
          </cell>
        </row>
        <row r="14672">
          <cell r="B14672" t="str">
            <v>80-790-01-04</v>
          </cell>
          <cell r="C14672" t="str">
            <v>PORT EXPANDER, BIP., MAXIUM  HW06, ZUB. '</v>
          </cell>
          <cell r="D14672" t="str">
            <v>BIP.PORT  EXPANDER  MAXIUM  HW06,INTERN.ACC</v>
          </cell>
        </row>
        <row r="14673">
          <cell r="B14673" t="str">
            <v>80-790-02-04</v>
          </cell>
          <cell r="C14673" t="str">
            <v>PORT EXPANDER, BIP., MAXIUM  HW06, ZUB. '</v>
          </cell>
          <cell r="D14673" t="str">
            <v>BIP.PORT  EXPANDER  MAXIUM  HW06,ERBE ACCES</v>
          </cell>
        </row>
        <row r="14674">
          <cell r="B14674" t="str">
            <v>80-793-02-04</v>
          </cell>
          <cell r="C14674" t="str">
            <v>ADAPTER,  BIP., ZUB. 'I', ST. KL. KOAX</v>
          </cell>
          <cell r="D14674" t="str">
            <v>BIPOL.ADAPT.CABLE,MARTIN UNIT/INTER.ACC.</v>
          </cell>
        </row>
        <row r="14675">
          <cell r="B14675" t="str">
            <v>80-794-02-04</v>
          </cell>
          <cell r="C14675" t="str">
            <v>ADAPTER,  BIP., ZUB. 'I', ST. 2 PIN</v>
          </cell>
          <cell r="D14675" t="str">
            <v>BIP.ADAPT.F.MARTIN UNITS I-VERS./VALLEYL</v>
          </cell>
        </row>
        <row r="14676">
          <cell r="B14676" t="str">
            <v>80-795-03-04</v>
          </cell>
          <cell r="C14676" t="str">
            <v>ADAPTER,  MON., ZUB., 'M', ST. 'E'-ACC-IC</v>
          </cell>
          <cell r="D14676" t="str">
            <v>MON.ADAPT.CABLE ERBE UNITS/MARTIN ACCESS</v>
          </cell>
        </row>
        <row r="14677">
          <cell r="B14677" t="str">
            <v>80-795-05-04</v>
          </cell>
          <cell r="C14677" t="str">
            <v>Adapter, mon., Zub. int., St.gr. Koax</v>
          </cell>
          <cell r="D14677" t="str">
            <v>Adapter monop., ACC. int. PL. KLS Martin</v>
          </cell>
        </row>
        <row r="14678">
          <cell r="B14678" t="str">
            <v>80-796-02-04</v>
          </cell>
          <cell r="C14678" t="str">
            <v>ADAPTER,  BIP., ZUB. 'E', ST. KL. KOAX</v>
          </cell>
          <cell r="D14678" t="str">
            <v>BIPOLAR ADAPT.CABLE MARTIN UNIT/ERBE  ACC</v>
          </cell>
        </row>
        <row r="14679">
          <cell r="B14679" t="str">
            <v>80-811-30-04</v>
          </cell>
          <cell r="C14679" t="str">
            <v>FUSSSCHALTER, DOPPELPEDAL, ST. 4 PIN, 5M</v>
          </cell>
          <cell r="D14679" t="str">
            <v>FOOT SWITCH, DOUBLE PEDAL, PL. 4 PIN, 5M</v>
          </cell>
        </row>
        <row r="14680">
          <cell r="B14680" t="str">
            <v>80-811-32-04</v>
          </cell>
          <cell r="C14680" t="str">
            <v>FUSSSCH.DOPPELPED.ECO,SW-MODE,ST.4PIN,5M</v>
          </cell>
          <cell r="D14680" t="str">
            <v>FOOT SWITCH DOUBLE PED.ECO,  SWAP-MODE</v>
          </cell>
        </row>
        <row r="14681">
          <cell r="B14681" t="str">
            <v>80-811-50-04</v>
          </cell>
          <cell r="C14681" t="str">
            <v>FUSSSCHALTER, EINPEDAL,  ST. 3 PIN, 5M</v>
          </cell>
          <cell r="D14681" t="str">
            <v>FOOT SWITCH, SINGLE PEDAL, PL. 3 PIN, 5M</v>
          </cell>
        </row>
        <row r="14682">
          <cell r="B14682" t="str">
            <v>80-824-01-04</v>
          </cell>
          <cell r="C14682" t="str">
            <v>FUSSSCH.,  DOPPELPEDAL, ST. 4 PIN, ME81/M</v>
          </cell>
          <cell r="D14682" t="str">
            <v>FOOT SWITCH, DOUBLE PEDAL/F.ME81</v>
          </cell>
        </row>
        <row r="14683">
          <cell r="B14683" t="str">
            <v>80-830-00-04</v>
          </cell>
          <cell r="C14683" t="str">
            <v>Fusssch.,Doppelped.,St.4 P,5m</v>
          </cell>
          <cell r="D14683" t="str">
            <v>Footswitch,Double,Pl.4 Pin,5m</v>
          </cell>
        </row>
        <row r="14684">
          <cell r="B14684" t="str">
            <v>80-830-01-04</v>
          </cell>
          <cell r="C14684" t="str">
            <v>Fusssch.,Doppelped.,SWAP,Bügel,St.4 P,5m</v>
          </cell>
          <cell r="D14684" t="str">
            <v>Footswitch,Double,SWAP,bow,Pl.4 Pin,5m</v>
          </cell>
        </row>
        <row r="14685">
          <cell r="B14685" t="str">
            <v>80-830-02-04</v>
          </cell>
          <cell r="C14685" t="str">
            <v>Fusssch.,Einpedal,ST.3 P,5m</v>
          </cell>
          <cell r="D14685" t="str">
            <v>Footswitch,Singel,Pl.3 Pin,5m</v>
          </cell>
        </row>
        <row r="14686">
          <cell r="B14686" t="str">
            <v>80-830-04-04</v>
          </cell>
          <cell r="C14686" t="str">
            <v>Fusssch.,Doppelped.,SWAP,St.4 P,kabellos</v>
          </cell>
          <cell r="D14686" t="str">
            <v>Footswitch,Double,SWAP,Pl.4 Pin,wireless</v>
          </cell>
        </row>
        <row r="14687">
          <cell r="B14687" t="str">
            <v>80-830-05-04</v>
          </cell>
          <cell r="C14687" t="str">
            <v>Netzteil für 80-830-04-04</v>
          </cell>
          <cell r="D14687" t="str">
            <v>Mains adapter for 80-830-04-04</v>
          </cell>
        </row>
        <row r="14688">
          <cell r="B14688" t="str">
            <v>80-900-18-03</v>
          </cell>
          <cell r="C14688" t="str">
            <v>PINZETTE,  ANAT., ISOL., O. BUCHSE, 18 CM</v>
          </cell>
          <cell r="D14688" t="str">
            <v>DRESS. FORCEPS,  ISOL., W/O CONN., 18 CM</v>
          </cell>
        </row>
        <row r="14689">
          <cell r="B14689" t="str">
            <v>80-900-21-03</v>
          </cell>
          <cell r="C14689" t="str">
            <v>PINZETTE,  ANAT., ISOL., O. BUCHSE, 21 CM</v>
          </cell>
          <cell r="D14689" t="str">
            <v>DRESS. FORCEPS,  ISOL., W/O CONN., 21 CM</v>
          </cell>
        </row>
        <row r="14690">
          <cell r="B14690" t="str">
            <v>80-900-25-03</v>
          </cell>
          <cell r="C14690" t="str">
            <v>PINZETTE,  ANAT., ISOL., O. BUCHSE, 25 CM</v>
          </cell>
          <cell r="D14690" t="str">
            <v>DRESS. FORCEPS,  ISOL., W/O CONN., 25 CM</v>
          </cell>
        </row>
        <row r="14691">
          <cell r="B14691" t="str">
            <v>80-901-18-03</v>
          </cell>
          <cell r="C14691" t="str">
            <v>PINZ.CHIR.  1X2 Z, ISOL., O. BUCHSE, 18CM</v>
          </cell>
          <cell r="D14691" t="str">
            <v>FORCEPS,  CHIR., 1X2 T., ISOL., 18CM</v>
          </cell>
        </row>
        <row r="14692">
          <cell r="B14692" t="str">
            <v>80-901-21-03</v>
          </cell>
          <cell r="C14692" t="str">
            <v>PINZ.CHIR.  1X2 Z, ISOL., O. BUCHSE, 21CM</v>
          </cell>
          <cell r="D14692" t="str">
            <v>FORCEPS,  CHIR., 1X2 T., ISOL., 21CM</v>
          </cell>
        </row>
        <row r="14693">
          <cell r="B14693" t="str">
            <v>80-901-25-03</v>
          </cell>
          <cell r="C14693" t="str">
            <v>PINZ.CHIR.  1X2 Z, ISOL., O. BUCHSE, 25CM</v>
          </cell>
          <cell r="D14693" t="str">
            <v>FORCEPS,  CHIR., 1X2 T., ISOL., 25CM</v>
          </cell>
        </row>
        <row r="14694">
          <cell r="B14694" t="str">
            <v>80-902-18-03</v>
          </cell>
          <cell r="C14694" t="str">
            <v>PINZETTE,  ANAT., ISOL., M. BUCHSE, 18 CM</v>
          </cell>
          <cell r="D14694" t="str">
            <v>DRESSING  FORCEPS,  ISOL., W. CONN., 18 CM</v>
          </cell>
        </row>
        <row r="14695">
          <cell r="B14695" t="str">
            <v>80-902-21-03</v>
          </cell>
          <cell r="C14695" t="str">
            <v>PINZETTE,  ANAT., ISOL., M. BUCHSE, 21 CM</v>
          </cell>
          <cell r="D14695" t="str">
            <v>DRESSING  FORCEPS,  ISOL., W. CONN., 21 CM</v>
          </cell>
        </row>
        <row r="14696">
          <cell r="B14696" t="str">
            <v>80-902-25-03</v>
          </cell>
          <cell r="C14696" t="str">
            <v>PINZETTE,  ANAT., ISOL., M. BUCHSE, 25 CM</v>
          </cell>
          <cell r="D14696" t="str">
            <v>DRESSING  FORCEPS,  ISOL., W. CONN., 25 CM</v>
          </cell>
        </row>
        <row r="14697">
          <cell r="B14697" t="str">
            <v>80-910-07-04</v>
          </cell>
          <cell r="C14697" t="str">
            <v>BIPOL-PINZ., GER., SPITZ, 0,3 MM, 8,5 CM</v>
          </cell>
          <cell r="D14697" t="str">
            <v>BIPOLAR FCPS., STR., SH., 0.3 MM, 8.5 CM</v>
          </cell>
        </row>
        <row r="14698">
          <cell r="B14698" t="str">
            <v>80-910-12-04</v>
          </cell>
          <cell r="C14698" t="str">
            <v>BIPOL-PINZ., GER., SPITZ, 0,3 MM, 12 CM</v>
          </cell>
          <cell r="D14698" t="str">
            <v>BIPOLAR FCPS., STR., SH., 0.3 MM, 12 CM</v>
          </cell>
        </row>
        <row r="14699">
          <cell r="B14699" t="str">
            <v>80-910-16-04</v>
          </cell>
          <cell r="C14699" t="str">
            <v>BIPOL-PINZ., GER., SPITZ, 0,3 MM, 16 CM</v>
          </cell>
          <cell r="D14699" t="str">
            <v>BIPOLAR FCPS., STR., SH., 0.3 MM, 16 CM</v>
          </cell>
        </row>
        <row r="14700">
          <cell r="B14700" t="str">
            <v>80-910-18-04</v>
          </cell>
          <cell r="C14700" t="str">
            <v>BIPOL-PINZ., GER., SPITZ, 0,3 MM, 18 CM</v>
          </cell>
          <cell r="D14700" t="str">
            <v>BIPOLAR FCPS., STR., SH., 0.3 MM, 18 CM</v>
          </cell>
        </row>
        <row r="14701">
          <cell r="B14701" t="str">
            <v>80-910-20-04</v>
          </cell>
          <cell r="C14701" t="str">
            <v>BIPOL-PINZ., GER., SPITZ, 0,3 MM, 20 CM</v>
          </cell>
          <cell r="D14701" t="str">
            <v>BIPOLAR FCPS., STR., SH., 0.3 MM, 20 CM</v>
          </cell>
        </row>
        <row r="14702">
          <cell r="B14702" t="str">
            <v>80-910-22-04</v>
          </cell>
          <cell r="C14702" t="str">
            <v>BIPOL-PINZ., GER., SPITZ, 0,3 MM, 22 CM</v>
          </cell>
          <cell r="D14702" t="str">
            <v>BIPOLAR FCPS., STR., SH., 0.3 MM, 22 CM</v>
          </cell>
        </row>
        <row r="14703">
          <cell r="B14703" t="str">
            <v>80-911-07-04</v>
          </cell>
          <cell r="C14703" t="str">
            <v>BIPOL-PINZ., GEW., SPITZ, 0,3 MM, 8,5 CM</v>
          </cell>
          <cell r="D14703" t="str">
            <v>BIPOLAR FCPS., ANG., SH., 0.3 MM, 8,5 CM</v>
          </cell>
        </row>
        <row r="14704">
          <cell r="B14704" t="str">
            <v>80-911-12-04</v>
          </cell>
          <cell r="C14704" t="str">
            <v>BIPOL-PINZ., GEW., SPITZ, 0,3 MM, 12 CM</v>
          </cell>
          <cell r="D14704" t="str">
            <v>BIPOLAR FCPS., ANG., SH., 0.3 MM, 12 CM</v>
          </cell>
        </row>
        <row r="14705">
          <cell r="B14705" t="str">
            <v>80-911-16-04</v>
          </cell>
          <cell r="C14705" t="str">
            <v>BIPOL-PINZ., GEW., SPITZ, 0,3 MM, 16 CM</v>
          </cell>
          <cell r="D14705" t="str">
            <v>BIPOLAR FCPS., ANG., SH., 0.3 MM, 16 CM</v>
          </cell>
        </row>
        <row r="14706">
          <cell r="B14706" t="str">
            <v>80-911-18-04</v>
          </cell>
          <cell r="C14706" t="str">
            <v>BIPOL-PINZ., GEW., SPITZ, 0,3 MM, 18 CM</v>
          </cell>
          <cell r="D14706" t="str">
            <v>BIPOLAR FCPS., ANG., SH., 0.3 MM, 18 CM</v>
          </cell>
        </row>
        <row r="14707">
          <cell r="B14707" t="str">
            <v>80-911-20-04</v>
          </cell>
          <cell r="C14707" t="str">
            <v>BIPOL-PINZ., GEW., SPITZ, 0,3 MM, 20 CM</v>
          </cell>
          <cell r="D14707" t="str">
            <v>BIPOLAR FCPS., ANG., SH., 0.3 MM, 20 CM</v>
          </cell>
        </row>
        <row r="14708">
          <cell r="B14708" t="str">
            <v>80-924-12-04</v>
          </cell>
          <cell r="C14708" t="str">
            <v>BIPOL-PINZ., GER., STUMPF,  1,0 MM, 12 CM</v>
          </cell>
          <cell r="D14708" t="str">
            <v>BIPOLAR FCPS., STR., BL., 1.0 MM, 12 CM</v>
          </cell>
        </row>
        <row r="14709">
          <cell r="B14709" t="str">
            <v>80-924-16-04</v>
          </cell>
          <cell r="C14709" t="str">
            <v>BIPOL-PINZ., GER., STUMPF,  1,2 MM, 16 CM</v>
          </cell>
          <cell r="D14709" t="str">
            <v>BIPOLAR FCPS., STR., BL., 1.2 MM, 16 CM</v>
          </cell>
        </row>
        <row r="14710">
          <cell r="B14710" t="str">
            <v>80-924-18-04</v>
          </cell>
          <cell r="C14710" t="str">
            <v>BIPOL-PINZ., GER., STUMPF,  1,2 MM, 18 CM</v>
          </cell>
          <cell r="D14710" t="str">
            <v>BIPOLAR FCPS., STR., BL., 1.2 MM, 18 CM</v>
          </cell>
        </row>
        <row r="14711">
          <cell r="B14711" t="str">
            <v>80-924-20-04</v>
          </cell>
          <cell r="C14711" t="str">
            <v>BIPOL-PINZ., GER., STUMPF,  1,2 MM, 20 CM</v>
          </cell>
          <cell r="D14711" t="str">
            <v>BIPOLAR FCPS., STR., BL., 1.2 MM, 20 CM</v>
          </cell>
        </row>
        <row r="14712">
          <cell r="B14712" t="str">
            <v>80-924-22-04</v>
          </cell>
          <cell r="C14712" t="str">
            <v>BIPOL-PINZ., GER., STUMPF,  1,2 MM, 22 CM</v>
          </cell>
          <cell r="D14712" t="str">
            <v>BIPOLAR FCPS., STR., BL., 1.2 MM, 22 CM</v>
          </cell>
        </row>
        <row r="14713">
          <cell r="B14713" t="str">
            <v>80-924-24-04</v>
          </cell>
          <cell r="C14713" t="str">
            <v>BIPOL-PINZ., GER., STUMPF,  1,2 MM, 24 CM</v>
          </cell>
          <cell r="D14713" t="str">
            <v>BIPOLAR FCPS., STR., BL., 1.2 MM, 24 CM</v>
          </cell>
        </row>
        <row r="14714">
          <cell r="B14714" t="str">
            <v>80-924-26-04</v>
          </cell>
          <cell r="C14714" t="str">
            <v>BIPOL-PINZ., GER., STUMPF,  1,2 MM, 26 CM</v>
          </cell>
          <cell r="D14714" t="str">
            <v>BIPOLAR FCPS., STR., BL., 1.2 MM, 26 CM</v>
          </cell>
        </row>
        <row r="14715">
          <cell r="B14715" t="str">
            <v>80-924-30-04</v>
          </cell>
          <cell r="C14715" t="str">
            <v>BIPOL-PINZ., GER., STUMPF,  1,2 MM, 30 CM</v>
          </cell>
          <cell r="D14715" t="str">
            <v>BIPOLAR FCPS., STR., BL., 1.2 MM, 30 CM</v>
          </cell>
        </row>
        <row r="14716">
          <cell r="B14716" t="str">
            <v>80-925-12-04</v>
          </cell>
          <cell r="C14716" t="str">
            <v>BIPOL-PINZ., GEW., STUMPF,  1,0 MM, 12 CM</v>
          </cell>
          <cell r="D14716" t="str">
            <v>BIPOLAR FCPS., ANG., BL., 1.0 MM, 12 CM</v>
          </cell>
        </row>
        <row r="14717">
          <cell r="B14717" t="str">
            <v>80-925-16-04</v>
          </cell>
          <cell r="C14717" t="str">
            <v>BIPOL-PINZ., GEW., STUMPF,  1,2 MM, 16 CM</v>
          </cell>
          <cell r="D14717" t="str">
            <v>BIPOLAR FCPS., ANG., BL., 1.2 MM, 16 CM</v>
          </cell>
        </row>
        <row r="14718">
          <cell r="B14718" t="str">
            <v>80-925-18-04</v>
          </cell>
          <cell r="C14718" t="str">
            <v>BIPOL-PINZ., GEW., STUMPF,  1,2 MM, 18 CM</v>
          </cell>
          <cell r="D14718" t="str">
            <v>BIPOLAR FCPS., ANG., BL., 1.2 MM, 18 CM</v>
          </cell>
        </row>
        <row r="14719">
          <cell r="B14719" t="str">
            <v>80-925-20-04</v>
          </cell>
          <cell r="C14719" t="str">
            <v>BIPOL-PINZ., GEW., STUMPF,  1,2 MM, 20 CM</v>
          </cell>
          <cell r="D14719" t="str">
            <v>BIPOLAR FCPS., ANG., BL., 1.2 MM, 20 CM</v>
          </cell>
        </row>
        <row r="14720">
          <cell r="B14720" t="str">
            <v>80-925-22-04</v>
          </cell>
          <cell r="C14720" t="str">
            <v>BIPOL-PINZ., GEW., STUMPF,  1,2 MM, 22 CM</v>
          </cell>
          <cell r="D14720" t="str">
            <v>BIPOLAR FCPS., ANG., BL., 1.2 MM, 22 CM</v>
          </cell>
        </row>
        <row r="14721">
          <cell r="B14721" t="str">
            <v>80-931-16-04</v>
          </cell>
          <cell r="C14721" t="str">
            <v>BIPOL-PINZ., BAJON. SPITZ, 0,3 MM, 16 CM</v>
          </cell>
          <cell r="D14721" t="str">
            <v>BIPOLAR FCPS., BAY., SH., 0.3 MM, 16 CM</v>
          </cell>
        </row>
        <row r="14722">
          <cell r="B14722" t="str">
            <v>80-931-18-04</v>
          </cell>
          <cell r="C14722" t="str">
            <v>BIPOL-PINZ., BAJON. SPITZ, 0,3 MM, 18 CM</v>
          </cell>
          <cell r="D14722" t="str">
            <v>BIPOLAR FCPS., BAY., SH., 0.3 MM, 18 CM</v>
          </cell>
        </row>
        <row r="14723">
          <cell r="B14723" t="str">
            <v>80-931-20-04</v>
          </cell>
          <cell r="C14723" t="str">
            <v>BIPOL-PINZ., BAJON. SPITZ, 0,3 MM, 20 CM</v>
          </cell>
          <cell r="D14723" t="str">
            <v>BIPOLAR FCPS., BAY., SH., 0.3 MM, 20 CM</v>
          </cell>
        </row>
        <row r="14724">
          <cell r="B14724" t="str">
            <v>80-931-24-04</v>
          </cell>
          <cell r="C14724" t="str">
            <v>BIPOL-PINZ., BAJON. SPITZ, 0,3 MM, 24 CM</v>
          </cell>
          <cell r="D14724" t="str">
            <v>BIPOLAR FCPS., BAY., SH., 0.3 MM, 24 CM</v>
          </cell>
        </row>
        <row r="14725">
          <cell r="B14725" t="str">
            <v>80-934-12-04</v>
          </cell>
          <cell r="C14725" t="str">
            <v>BIPOL-PINZ., GER., STUMPF,  2,0 MM, 12 CM</v>
          </cell>
          <cell r="D14725" t="str">
            <v>BIPOLAR FCPS., STR., BL., 2.0 MM, 12 CM</v>
          </cell>
        </row>
        <row r="14726">
          <cell r="B14726" t="str">
            <v>80-934-16-04</v>
          </cell>
          <cell r="C14726" t="str">
            <v>BIPOL-PINZ., GER., STUMPF,  2,0 MM, 16 CM</v>
          </cell>
          <cell r="D14726" t="str">
            <v>BIPOLAR FCPS., STR., BL., 2.0 MM, 16 CM</v>
          </cell>
        </row>
        <row r="14727">
          <cell r="B14727" t="str">
            <v>80-934-18-04</v>
          </cell>
          <cell r="C14727" t="str">
            <v>BIPOL-PINZ., GER., STUMPF,  2,0 MM, 18 CM</v>
          </cell>
          <cell r="D14727" t="str">
            <v>BIPOLAR FCPS., STR., BL., 2.0 MM, 18 CM</v>
          </cell>
        </row>
        <row r="14728">
          <cell r="B14728" t="str">
            <v>80-934-20-04</v>
          </cell>
          <cell r="C14728" t="str">
            <v>BIPOL-PINZ., GER., STUMPF,  2,0 MM, 20 CM</v>
          </cell>
          <cell r="D14728" t="str">
            <v>BIPOLAR FCPS., STR., BL., 2.0 MM, 20 CM</v>
          </cell>
        </row>
        <row r="14729">
          <cell r="B14729" t="str">
            <v>80-934-22-04</v>
          </cell>
          <cell r="C14729" t="str">
            <v>BIPOL-PINZ., GER., STUMPF,  2,0 MM, 22 CM</v>
          </cell>
          <cell r="D14729" t="str">
            <v>BIPOLAR FCPS., STR., BL., 2.0 MM, 22 CM</v>
          </cell>
        </row>
        <row r="14730">
          <cell r="B14730" t="str">
            <v>80-934-24-04</v>
          </cell>
          <cell r="C14730" t="str">
            <v>BIPOL-PINZ., GER., STUMPF,  2,0 MM, 24 CM</v>
          </cell>
          <cell r="D14730" t="str">
            <v>BIPOLAR FCPS., STR., BL., 2.0 MM, 24 CM</v>
          </cell>
        </row>
        <row r="14731">
          <cell r="B14731" t="str">
            <v>80-934-26-04</v>
          </cell>
          <cell r="C14731" t="str">
            <v>BIPOL-PINZ., GER., STUMPF,  2,0 MM, 26 CM</v>
          </cell>
          <cell r="D14731" t="str">
            <v>BIPOLAR FCPS., STR., BL., 2.0 MM, 26 CM</v>
          </cell>
        </row>
        <row r="14732">
          <cell r="B14732" t="str">
            <v>80-934-30-04</v>
          </cell>
          <cell r="C14732" t="str">
            <v>BIPOL-PINZ., GER., STUMPF,  2,0 MM, 30 CM</v>
          </cell>
          <cell r="D14732" t="str">
            <v>BIPOLAR FCPS., STR., BL., 2.0 MM, 30 CM</v>
          </cell>
        </row>
        <row r="14733">
          <cell r="B14733" t="str">
            <v>80-935-16-04</v>
          </cell>
          <cell r="C14733" t="str">
            <v>BIPOL-PINZ., GEW., STUMPF,  2,0 MM, 16 CM</v>
          </cell>
          <cell r="D14733" t="str">
            <v>BIPOLAR FCPS., ANG., BL., 2.0 MM, 16 CM</v>
          </cell>
        </row>
        <row r="14734">
          <cell r="B14734" t="str">
            <v>80-935-18-04</v>
          </cell>
          <cell r="C14734" t="str">
            <v>BIPOL-PINZ., GEW., STUMPF,  2,0 MM, 18 CM</v>
          </cell>
          <cell r="D14734" t="str">
            <v>BIPOLAR FCPS., ANG., BL., 2.0 MM, 18 CM</v>
          </cell>
        </row>
        <row r="14735">
          <cell r="B14735" t="str">
            <v>80-935-20-04</v>
          </cell>
          <cell r="C14735" t="str">
            <v>BIPOL-PINZ., GEW., STUMPF,  2,0 MM, 20 CM</v>
          </cell>
          <cell r="D14735" t="str">
            <v>BIPOLAR FCPS., ANG., BL., 2.0 MM, 20 CM</v>
          </cell>
        </row>
        <row r="14736">
          <cell r="B14736" t="str">
            <v>80-935-22-04</v>
          </cell>
          <cell r="C14736" t="str">
            <v>BIPOL-PINZ., GEW., STUMPF,  2,0 MM, 22 CM</v>
          </cell>
          <cell r="D14736" t="str">
            <v>BIPOLAR FCPS., ANG., BL., 2.0 MM, 22 CM</v>
          </cell>
        </row>
        <row r="14737">
          <cell r="B14737" t="str">
            <v>80-935-24-04</v>
          </cell>
          <cell r="C14737" t="str">
            <v>BIPOL-PINZ., GEW., STUMPF,  2,0 MM, 24 CM</v>
          </cell>
          <cell r="D14737" t="str">
            <v>BIPOLAR FCPS., ANG., BL., 2.0 MM, 24 CM</v>
          </cell>
        </row>
        <row r="14738">
          <cell r="B14738" t="str">
            <v>80-945-16-04</v>
          </cell>
          <cell r="C14738" t="str">
            <v>BIPOL-PINZ., BAJ., STUMPF,  1,2 MM, 16 CM</v>
          </cell>
          <cell r="D14738" t="str">
            <v>BIPOLAR FCPS., BAY., BL., 1.2 MM, 16 CM</v>
          </cell>
        </row>
        <row r="14739">
          <cell r="B14739" t="str">
            <v>80-945-18-04</v>
          </cell>
          <cell r="C14739" t="str">
            <v>BIPOL-PINZ., BAJ., STUMPF,  1,2 MM, 18 CM</v>
          </cell>
          <cell r="D14739" t="str">
            <v>BIPOLAR FCPS., BAY., BL., 1.2 MM, 18 CM</v>
          </cell>
        </row>
        <row r="14740">
          <cell r="B14740" t="str">
            <v>80-945-20-04</v>
          </cell>
          <cell r="C14740" t="str">
            <v>BIPOL-PINZ., BAJ., STUMPF,  1,2 MM, 20 CM</v>
          </cell>
          <cell r="D14740" t="str">
            <v>BIPOLAR FCPS., BAY., BL., 1.2 MM, 20 CM</v>
          </cell>
        </row>
        <row r="14741">
          <cell r="B14741" t="str">
            <v>80-945-24-04</v>
          </cell>
          <cell r="C14741" t="str">
            <v>BIPOL-PINZ., BAJ., STUMPF,  1,2 MM, 24 CM</v>
          </cell>
          <cell r="D14741" t="str">
            <v>BIPOLAR FCPS., BAY., BL., 1.2 MM, 24 CM</v>
          </cell>
        </row>
        <row r="14742">
          <cell r="B14742" t="str">
            <v>80-948-18-04</v>
          </cell>
          <cell r="C14742" t="str">
            <v>BIPOL-PINZETTE, BAJ., ST., 2,0 MM, 18 CM</v>
          </cell>
          <cell r="D14742" t="str">
            <v>BIPOLAR FCPS., BAY., BL., 2.0 MM, 18 CM</v>
          </cell>
        </row>
        <row r="14743">
          <cell r="B14743" t="str">
            <v>80-948-20-04</v>
          </cell>
          <cell r="C14743" t="str">
            <v>BIPOL-PINZETTE, BAJ., ST., 2,0 MM, 20 CM</v>
          </cell>
          <cell r="D14743" t="str">
            <v>BIPOLAR FCPS., BAY., BL., 2.0 MM, 20 CM</v>
          </cell>
        </row>
        <row r="14744">
          <cell r="B14744" t="str">
            <v>80-948-24-04</v>
          </cell>
          <cell r="C14744" t="str">
            <v>BIPOL-PINZETTE, BAJ., ST., 2,0 MM, 24 CM</v>
          </cell>
          <cell r="D14744" t="str">
            <v>BIPOLAR FCPS., BAY., BL., 2.0 MM, 24 CM</v>
          </cell>
        </row>
        <row r="14745">
          <cell r="B14745" t="str">
            <v>80-948-30-04</v>
          </cell>
          <cell r="C14745" t="str">
            <v>BIPOL-PINZETTE, BAJ., ST., 2,0 MM, 30 CM</v>
          </cell>
          <cell r="D14745" t="str">
            <v>BIPOLAR FCPS., BAY., BL., 2.0 MM, 30 CM</v>
          </cell>
        </row>
        <row r="14746">
          <cell r="B14746" t="str">
            <v>80-950-20-04</v>
          </cell>
          <cell r="C14746" t="str">
            <v>BIPOL-PINZ., NEURO, GER., 0,5 MM, 20 CM</v>
          </cell>
          <cell r="D14746" t="str">
            <v>BIP. FCPS., NEURO , STR., 0.5 MM, 20 CM</v>
          </cell>
        </row>
        <row r="14747">
          <cell r="B14747" t="str">
            <v>80-951-20-04</v>
          </cell>
          <cell r="C14747" t="str">
            <v>BIPOL-PINZ., NEURO, GEW., 0,5 MM, 20 CM</v>
          </cell>
          <cell r="D14747" t="str">
            <v>BIP. FCPS., NEURO , ANG., 0.5 MM, 20 CM</v>
          </cell>
        </row>
        <row r="14748">
          <cell r="B14748" t="str">
            <v>80-975-16-04</v>
          </cell>
          <cell r="C14748" t="str">
            <v>MARCLAMP, IQ, 16CM, KABEL 4M</v>
          </cell>
          <cell r="D14748" t="str">
            <v>MARCLAMP, IQ, 16CM, CABLE 4M</v>
          </cell>
        </row>
        <row r="14749">
          <cell r="B14749" t="str">
            <v>80-975-18-04</v>
          </cell>
          <cell r="C14749" t="str">
            <v>MARCLAMP, IQ, 18CM, KABEL 4M</v>
          </cell>
          <cell r="D14749" t="str">
            <v>MARCLAMP, IQ, 18CM, CABLE 4M</v>
          </cell>
        </row>
        <row r="14750">
          <cell r="B14750" t="str">
            <v>80-975-23-04</v>
          </cell>
          <cell r="C14750" t="str">
            <v>MARCLAMP, IQ, 23CM, KABEL 4M</v>
          </cell>
          <cell r="D14750" t="str">
            <v>MARCLAMP, IQ, 23CM, CABLE 4M</v>
          </cell>
        </row>
        <row r="14751">
          <cell r="B14751" t="str">
            <v>80-975-28-04</v>
          </cell>
          <cell r="C14751" t="str">
            <v>MARCLAMP, IQ, 28CM, KABEL 4M</v>
          </cell>
          <cell r="D14751" t="str">
            <v>MARCLAMP, IQ, 28CM, CABLE 4M</v>
          </cell>
        </row>
        <row r="14752">
          <cell r="B14752" t="str">
            <v>80-976-23-04</v>
          </cell>
          <cell r="C14752" t="str">
            <v>MARCLAMP SHARK, IQ, 23 CM, KABEL 4M</v>
          </cell>
          <cell r="D14752" t="str">
            <v>MARCLAMP SHARK, IQ, 23 CM, CABLE 4M</v>
          </cell>
        </row>
        <row r="14753">
          <cell r="B14753" t="str">
            <v>80-977-23-04</v>
          </cell>
          <cell r="C14753" t="str">
            <v>MARCLAMP URO, NACH KALEM, IQ, KABEL 4M</v>
          </cell>
          <cell r="D14753" t="str">
            <v>MARCLAMP URO, ACC. TO KALEM, IQ,CABLE  4M</v>
          </cell>
        </row>
        <row r="14754">
          <cell r="B14754" t="str">
            <v>80-978-23-04</v>
          </cell>
          <cell r="C14754" t="str">
            <v>MARCLAMP IQ, GEMINI, 23 CM</v>
          </cell>
          <cell r="D14754" t="str">
            <v>MARCLAMP IQ, GEMINI, 23 CM</v>
          </cell>
        </row>
        <row r="14755">
          <cell r="B14755" t="str">
            <v>80-982-12-04</v>
          </cell>
          <cell r="C14755" t="str">
            <v>NST-RED-PINZ. GER., SP. 0,3 MM, 12 CM</v>
          </cell>
          <cell r="D14755" t="str">
            <v>NST-RED-FCPS., STR., SH. 0,3 MM, 12 CM</v>
          </cell>
        </row>
        <row r="14756">
          <cell r="B14756" t="str">
            <v>80-982-17-04</v>
          </cell>
          <cell r="C14756" t="str">
            <v>NST-RED-PINZ. GER., SP. 0,3 MM, 17 CM</v>
          </cell>
          <cell r="D14756" t="str">
            <v>NST-RED-FCPS., STR., SH. 0,3 MM, 17 CM</v>
          </cell>
        </row>
        <row r="14757">
          <cell r="B14757" t="str">
            <v>80-982-20-04</v>
          </cell>
          <cell r="C14757" t="str">
            <v>NST-RED-PINZ. GER., SP. 0,3 MM, 20 CM</v>
          </cell>
          <cell r="D14757" t="str">
            <v>NST-RED-FCPS., STR., SH. 0,3 MM, 20 CM</v>
          </cell>
        </row>
        <row r="14758">
          <cell r="B14758" t="str">
            <v>80-983-12-04</v>
          </cell>
          <cell r="C14758" t="str">
            <v>NST-RED.-PINZ., GEW., SP.0,3 MM, 12 CM</v>
          </cell>
          <cell r="D14758" t="str">
            <v>NST-RED-FCPS., ANG., SH. 0,3 MM, 12 CM</v>
          </cell>
        </row>
        <row r="14759">
          <cell r="B14759" t="str">
            <v>80-983-17-04</v>
          </cell>
          <cell r="C14759" t="str">
            <v>NST-RED-PINZ. GEW., SP. 0,3 MM, 17 CM</v>
          </cell>
          <cell r="D14759" t="str">
            <v>NST-RED-FCPS., ANG., SH. 0,3 MM, 17 CM</v>
          </cell>
        </row>
        <row r="14760">
          <cell r="B14760" t="str">
            <v>80-984-12-04</v>
          </cell>
          <cell r="C14760" t="str">
            <v>NST-RED-PINZ. GER., ST. 0,6 MM, 12 CM</v>
          </cell>
          <cell r="D14760" t="str">
            <v>NST-RED-FCPS., STR., BL. 0,6 MM, 12 CM</v>
          </cell>
        </row>
        <row r="14761">
          <cell r="B14761" t="str">
            <v>80-984-17-04</v>
          </cell>
          <cell r="C14761" t="str">
            <v>NST-RED.-PINZ., GER., ST. 0,6 MM, 17 CM</v>
          </cell>
          <cell r="D14761" t="str">
            <v>NST-RED-FCPS., STR., BL. 0,6 MM, 17 CM</v>
          </cell>
        </row>
        <row r="14762">
          <cell r="B14762" t="str">
            <v>80-984-20-04</v>
          </cell>
          <cell r="C14762" t="str">
            <v>NST-RED-PINZ. GER., ST. 0,6 MM, 20 CM</v>
          </cell>
          <cell r="D14762" t="str">
            <v>NST-RED-FCPS., STR., BL. 0,6 MM, 20 CM</v>
          </cell>
        </row>
        <row r="14763">
          <cell r="B14763" t="str">
            <v>80-985-12-04</v>
          </cell>
          <cell r="C14763" t="str">
            <v>NST-RED-PINZ. GEW., ST. 0,6 MM, 12 CM</v>
          </cell>
          <cell r="D14763" t="str">
            <v>NST-RED-FCPS., ANG., BL. 0,6 MM, 12 CM</v>
          </cell>
        </row>
        <row r="14764">
          <cell r="B14764" t="str">
            <v>80-985-17-04</v>
          </cell>
          <cell r="C14764" t="str">
            <v>NST-RED-PINZ. GEW., ST. 0,6 MM, 17 CM</v>
          </cell>
          <cell r="D14764" t="str">
            <v>NST-RED-FCPS., ANG., BL. 0,6 MM, 17 CM</v>
          </cell>
        </row>
        <row r="14765">
          <cell r="B14765" t="str">
            <v>80-985-20-04</v>
          </cell>
          <cell r="C14765" t="str">
            <v>NST-RED.-PINZ., GEW., ST. 0,6 MM, 20 CM</v>
          </cell>
          <cell r="D14765" t="str">
            <v>NST-RED-FCPS., ANG., BL. 0,6 MM, 20 CM</v>
          </cell>
        </row>
        <row r="14766">
          <cell r="B14766" t="str">
            <v>80-986-12-04</v>
          </cell>
          <cell r="C14766" t="str">
            <v>NST-RED-PINZ. GER., ST. 1,0 MM, 12 CM</v>
          </cell>
          <cell r="D14766" t="str">
            <v>NST-RED-FCPS., STR., BL. 1,0 MM, 12 CM</v>
          </cell>
        </row>
        <row r="14767">
          <cell r="B14767" t="str">
            <v>80-986-17-04</v>
          </cell>
          <cell r="C14767" t="str">
            <v>NST-RED-PINZ. GER., ST. 1,0 MM, 17 CM</v>
          </cell>
          <cell r="D14767" t="str">
            <v>NST-RED-FCPS., STR., BL. 1,0 MM, 17 CM</v>
          </cell>
        </row>
        <row r="14768">
          <cell r="B14768" t="str">
            <v>80-986-20-04</v>
          </cell>
          <cell r="C14768" t="str">
            <v>NST-RED-PINZ. GER., ST. 1,0 MM, 20 CM</v>
          </cell>
          <cell r="D14768" t="str">
            <v>NST-RED-FCPS., STR., BL. 1,0 MM, 20 CM</v>
          </cell>
        </row>
        <row r="14769">
          <cell r="B14769" t="str">
            <v>80-986-23-04</v>
          </cell>
          <cell r="C14769" t="str">
            <v>NST-RED.-PINZ., GER., ST. 1,0 MM, 23 CM</v>
          </cell>
          <cell r="D14769" t="str">
            <v>NST-RED-FCPS., STR., BL. 1,0 MM, 23 CM</v>
          </cell>
        </row>
        <row r="14770">
          <cell r="B14770" t="str">
            <v>80-987-12-04</v>
          </cell>
          <cell r="C14770" t="str">
            <v>NST-RED-PINZ. GEW., ST. 1,0 MM, 12 CM</v>
          </cell>
          <cell r="D14770" t="str">
            <v>NST-RED-FCPS., ANG., BL. 1,0 MM, 12 CM</v>
          </cell>
        </row>
        <row r="14771">
          <cell r="B14771" t="str">
            <v>80-987-17-04</v>
          </cell>
          <cell r="C14771" t="str">
            <v>NST-RED.-PINZ., GEW., ST. 1,0 MM, 17 CM</v>
          </cell>
          <cell r="D14771" t="str">
            <v>NST-RED-FCPS., ANG., BL. 1,0 MM, 17 CM</v>
          </cell>
        </row>
        <row r="14772">
          <cell r="B14772" t="str">
            <v>80-987-20-04</v>
          </cell>
          <cell r="C14772" t="str">
            <v>NST-RED-PINZ. GEW., ST. 1,0 MM, 20 CM</v>
          </cell>
          <cell r="D14772" t="str">
            <v>NST-RED-FCPS., ANG., BL. 1,0 MM, 20 CM</v>
          </cell>
        </row>
        <row r="14773">
          <cell r="B14773" t="str">
            <v>80-987-23-04</v>
          </cell>
          <cell r="C14773" t="str">
            <v>NST-RED.-PINZ., GEW., ST. 1,0 MM, 23 CM</v>
          </cell>
          <cell r="D14773" t="str">
            <v>NST-RED-FCPS., ANG., BL. 1,0 MM, 23 CM</v>
          </cell>
        </row>
        <row r="14774">
          <cell r="B14774" t="str">
            <v>80-988-17-04</v>
          </cell>
          <cell r="C14774" t="str">
            <v>NST-RED-PINZ. GER., ST. 2,0 MM, 17 CM</v>
          </cell>
          <cell r="D14774" t="str">
            <v>NST-RED-FCPS., STR., BL. 2,0 MM, 17 CM</v>
          </cell>
        </row>
        <row r="14775">
          <cell r="B14775" t="str">
            <v>80-988-20-04</v>
          </cell>
          <cell r="C14775" t="str">
            <v>NST-RED-PINZ. GER., ST. 2,0 MM, 20 CM</v>
          </cell>
          <cell r="D14775" t="str">
            <v>NST-RED-FCPS., STR., BL. 2,0 MM, 20 CM</v>
          </cell>
        </row>
        <row r="14776">
          <cell r="B14776" t="str">
            <v>80-988-23-04</v>
          </cell>
          <cell r="C14776" t="str">
            <v>NST-RED.-PINZ., GER., ST. 2,0 MM, 23 CM</v>
          </cell>
          <cell r="D14776" t="str">
            <v>NST-RED-FCPS., STR., BL. 2,0 MM, 23 CM</v>
          </cell>
        </row>
        <row r="14777">
          <cell r="B14777" t="str">
            <v>80-988-30-04</v>
          </cell>
          <cell r="C14777" t="str">
            <v>NST-RED-PINZ. GER., ST. 2,0 MM, 30 CM</v>
          </cell>
          <cell r="D14777" t="str">
            <v>NST-RED-FCPS., STR., BL. 2,0 MM, 30 CM</v>
          </cell>
        </row>
        <row r="14778">
          <cell r="B14778" t="str">
            <v>80-989-17-04</v>
          </cell>
          <cell r="C14778" t="str">
            <v>NST-RED-PINZ. GEW., ST. 2,0 MM, 17 CM</v>
          </cell>
          <cell r="D14778" t="str">
            <v>NST-RED-FCPS., ANG., BL. 2,0 MM, 17 CM</v>
          </cell>
        </row>
        <row r="14779">
          <cell r="B14779" t="str">
            <v>80-989-20-04</v>
          </cell>
          <cell r="C14779" t="str">
            <v>NST-RED-PINZ. GEW., ST. 2,0 MM, 20 CM</v>
          </cell>
          <cell r="D14779" t="str">
            <v>NST-RED-FCPS., ANG., BL. 2,0 MM, 20 CM</v>
          </cell>
        </row>
        <row r="14780">
          <cell r="B14780" t="str">
            <v>80-989-23-04</v>
          </cell>
          <cell r="C14780" t="str">
            <v>NST-RED-PINZ. GEW., ST. 2,0 MM, 23 CM</v>
          </cell>
          <cell r="D14780" t="str">
            <v>NST-RED-FCPS., ANG., BL. 2,0 MM, 23 CM</v>
          </cell>
        </row>
        <row r="14781">
          <cell r="B14781" t="str">
            <v>80-989-25-04</v>
          </cell>
          <cell r="C14781" t="str">
            <v>NST-RED-PINZ. GEW., ST. 2,0 MM, 25 CM</v>
          </cell>
          <cell r="D14781" t="str">
            <v>NST-RED-FCPS., ANG., BL. 2,0 MM, 25 CM</v>
          </cell>
        </row>
        <row r="14782">
          <cell r="B14782" t="str">
            <v>80-989-28-04</v>
          </cell>
          <cell r="C14782" t="str">
            <v>NST-RED-PINZ. GEW., ST. 2,0 MM, 28 CM</v>
          </cell>
          <cell r="D14782" t="str">
            <v>NST-RED-FCPS., ANG., BL. 2,0 MM, 28 CM</v>
          </cell>
        </row>
        <row r="14783">
          <cell r="B14783" t="str">
            <v>80-989-30-04</v>
          </cell>
          <cell r="C14783" t="str">
            <v>NST-RED-PINZ. GEW., ST. 2,0 MM, 30 CM</v>
          </cell>
          <cell r="D14783" t="str">
            <v>NST-RED-FCPS., ANG., BL. 2,0 MM, 30 CM</v>
          </cell>
        </row>
        <row r="14784">
          <cell r="B14784" t="str">
            <v>80-990-17-04</v>
          </cell>
          <cell r="C14784" t="str">
            <v>NST-RED-PINZ. BAJ., GER., 0,3 MM, 17 CM</v>
          </cell>
          <cell r="D14784" t="str">
            <v>NST-RED-FCPS., BAY., STR., 0,3 MM, 17 CM</v>
          </cell>
        </row>
        <row r="14785">
          <cell r="B14785" t="str">
            <v>80-990-20-04</v>
          </cell>
          <cell r="C14785" t="str">
            <v>NST-RED-PINZ. BAJ., GER., 0,3 MM, 20 CM</v>
          </cell>
          <cell r="D14785" t="str">
            <v>NST-RED-FCPS., BAY., STR., 0,3 MM, 20 CM</v>
          </cell>
        </row>
        <row r="14786">
          <cell r="B14786" t="str">
            <v>80-990-23-04</v>
          </cell>
          <cell r="C14786" t="str">
            <v>NST-RED-PINZ. BAJ., GER., 0,3 MM, 23 CM</v>
          </cell>
          <cell r="D14786" t="str">
            <v>NST-RED-FCPS., BAY., STR., 0,3 MM, 23 CM</v>
          </cell>
        </row>
        <row r="14787">
          <cell r="B14787" t="str">
            <v>80-990-25-04</v>
          </cell>
          <cell r="C14787" t="str">
            <v>NST-RED-PINZ. BAJ., GER., 0,3 MM, 25 CM</v>
          </cell>
          <cell r="D14787" t="str">
            <v>NST-RED-FCPS., BAY., STR., 0,3 MM, 25 CM</v>
          </cell>
        </row>
        <row r="14788">
          <cell r="B14788" t="str">
            <v>80-991-17-04</v>
          </cell>
          <cell r="C14788" t="str">
            <v>NST-RED.-PINZ., BAJ., ST. 0,6 MM, 17 CM</v>
          </cell>
          <cell r="D14788" t="str">
            <v>NST-RED-FCPS., BAY., STR., 0,6 MM, 17 CM</v>
          </cell>
        </row>
        <row r="14789">
          <cell r="B14789" t="str">
            <v>80-991-20-04</v>
          </cell>
          <cell r="C14789" t="str">
            <v>NST-RED.-PINZ., BAJ., ST. 0,6 MM, 20 CM</v>
          </cell>
          <cell r="D14789" t="str">
            <v>NST-RED-FCPS., BAY., STR., 0,6 MM, 20 CM</v>
          </cell>
        </row>
        <row r="14790">
          <cell r="B14790" t="str">
            <v>80-991-23-04</v>
          </cell>
          <cell r="C14790" t="str">
            <v>NST-RED-PINZ. BAJ., GER., 0,6 MM, 23 CM</v>
          </cell>
          <cell r="D14790" t="str">
            <v>NST-RED-FCPS., BAY., STR., 0,6 MM, 23 CM</v>
          </cell>
        </row>
        <row r="14791">
          <cell r="B14791" t="str">
            <v>80-991-25-04</v>
          </cell>
          <cell r="C14791" t="str">
            <v>NST-RED-PINZ. BAJ., GER., 0,6 MM, 25 CM</v>
          </cell>
          <cell r="D14791" t="str">
            <v>NST-RED-FCPS., BAY., STR., 0,6 MM, 25 CM</v>
          </cell>
        </row>
        <row r="14792">
          <cell r="B14792" t="str">
            <v>80-992-17-04</v>
          </cell>
          <cell r="C14792" t="str">
            <v>NST-RED-PINZ. BAJ., GER., 1,0 MM, 17 CM</v>
          </cell>
          <cell r="D14792" t="str">
            <v>NST-RED-FCPS., BAY., STR., 1,0 MM, 17 CM</v>
          </cell>
        </row>
        <row r="14793">
          <cell r="B14793" t="str">
            <v>80-992-20-04</v>
          </cell>
          <cell r="C14793" t="str">
            <v>NST-RED.-PINZ., BAJ., ST. 1,0 MM, 20 CM</v>
          </cell>
          <cell r="D14793" t="str">
            <v>NST-RED-FCPS., BAY., STR., 1,0 MM, 20 CM</v>
          </cell>
        </row>
        <row r="14794">
          <cell r="B14794" t="str">
            <v>80-992-23-04</v>
          </cell>
          <cell r="C14794" t="str">
            <v>NST-RED-PINZ. BAJ., GER., 1,0 MM, 23 CM</v>
          </cell>
          <cell r="D14794" t="str">
            <v>NST-RED-FCPS., BAY., STR., 1,0 MM, 23 CM</v>
          </cell>
        </row>
        <row r="14795">
          <cell r="B14795" t="str">
            <v>80-992-25-04</v>
          </cell>
          <cell r="C14795" t="str">
            <v>NST-RED-PINZ. BAJ., GER., 1,0 MM, 25 CM</v>
          </cell>
          <cell r="D14795" t="str">
            <v>NST-RED-FCPS., BAY., STR., 1,0 MM, 25 CM</v>
          </cell>
        </row>
        <row r="14796">
          <cell r="B14796" t="str">
            <v>80-993-17-04</v>
          </cell>
          <cell r="C14796" t="str">
            <v>NST-RED-PINZ. BAJ., GER., 2,0 MM, 17 CM</v>
          </cell>
          <cell r="D14796" t="str">
            <v>NST-RED-FCPS., BAY., STR., 2,0 MM, 17 CM</v>
          </cell>
        </row>
        <row r="14797">
          <cell r="B14797" t="str">
            <v>80-993-20-04</v>
          </cell>
          <cell r="C14797" t="str">
            <v>NST-RED.-PINZ., BAJ., ST. 2,0 MM, 20 CM</v>
          </cell>
          <cell r="D14797" t="str">
            <v>NST-RED-FCPS., BAY., STR., 2,0 MM, 20 CM</v>
          </cell>
        </row>
        <row r="14798">
          <cell r="B14798" t="str">
            <v>80-993-23-04</v>
          </cell>
          <cell r="C14798" t="str">
            <v>NST-RED-PINZ. BAJ., GER., 2,0 MM, 23 CM</v>
          </cell>
          <cell r="D14798" t="str">
            <v>NST-RED-FCPS., BAY., STR., 2,0 MM, 23 CM</v>
          </cell>
        </row>
        <row r="14799">
          <cell r="B14799" t="str">
            <v>80-993-25-04</v>
          </cell>
          <cell r="C14799" t="str">
            <v>NST-RED.-PINZ., BAJ., ST. 2,0 MM, 25 CM</v>
          </cell>
          <cell r="D14799" t="str">
            <v>NST-RED-FCPS., BAY., STR., 2,0 MM, 25 CM</v>
          </cell>
        </row>
        <row r="14800">
          <cell r="B14800" t="str">
            <v>80-994-20-04</v>
          </cell>
          <cell r="C14800" t="str">
            <v>NST-RED-PINZ. BAJ.N.UNTEN-GEW,1,0MM20cm</v>
          </cell>
          <cell r="D14800" t="str">
            <v>NST-RED-FCPS. BAY. DOWNW.-B. 1,0 MM20cm</v>
          </cell>
        </row>
        <row r="14801">
          <cell r="B14801" t="str">
            <v>80-994-23-04</v>
          </cell>
          <cell r="C14801" t="str">
            <v>NST-RED-PINZ. BAJ.N.UNTEN-GEW,1,0MM 23cm</v>
          </cell>
          <cell r="D14801" t="str">
            <v>NST-RED-FCPS. BAY. DOWNW.-B. 1,0 MM 23cm</v>
          </cell>
        </row>
        <row r="14802">
          <cell r="B14802" t="str">
            <v>80-994-25-04</v>
          </cell>
          <cell r="C14802" t="str">
            <v>NST-RED-PINZ. BAJ.N.UNTEN-GEW.1,0MM25cm</v>
          </cell>
          <cell r="D14802" t="str">
            <v>NST-RED-FCPS.BAY.DOWNW.-B.1,0MM25cm</v>
          </cell>
        </row>
        <row r="14803">
          <cell r="B14803" t="str">
            <v>80-995-20-04</v>
          </cell>
          <cell r="C14803" t="str">
            <v>NST-RED-PINZ.BAJ.,N.OBEN-GEW.,1MM,20CM</v>
          </cell>
          <cell r="D14803" t="str">
            <v>NST-RED-FCPS., BAY., UPW.-B.,1,0MM, 20CM</v>
          </cell>
        </row>
        <row r="14804">
          <cell r="B14804" t="str">
            <v>80-995-23-04</v>
          </cell>
          <cell r="C14804" t="str">
            <v>NST-RED-PINZ. BAJ., N.OBEN-GEW.,1MM,23CM</v>
          </cell>
          <cell r="D14804" t="str">
            <v>NST-RED-FCPS., BAY., UPW.-B.,1,0MM, 23CM</v>
          </cell>
        </row>
        <row r="14805">
          <cell r="B14805" t="str">
            <v>80-996-23-04</v>
          </cell>
          <cell r="C14805" t="str">
            <v>NST-RED-PINZ. BAJ., N. OBEN-GEW., 0,6 MM</v>
          </cell>
          <cell r="D14805" t="str">
            <v>NST-RED-FCPS., BAY., UPW.-B.,  0,6 MM, 23</v>
          </cell>
        </row>
        <row r="14806">
          <cell r="B14806" t="str">
            <v>80-997-23-04</v>
          </cell>
          <cell r="C14806" t="str">
            <v>NST-RED-PINZ. BAJ., N. UNTEN-GEW., 0,6 M</v>
          </cell>
          <cell r="D14806" t="str">
            <v>NST-RED-FCPS., BAY., DOWNW.-B., 0,6 MM,</v>
          </cell>
        </row>
        <row r="14807">
          <cell r="B14807" t="str">
            <v>80-997-25-04</v>
          </cell>
          <cell r="C14807" t="str">
            <v>NST-RED-PINZ. BAJ., N. UNTEN-GEW., 0,6 M</v>
          </cell>
          <cell r="D14807" t="str">
            <v>NST-RED-FCPS., BAY., DOWNW.-B., 0,6 MM,</v>
          </cell>
        </row>
        <row r="14808">
          <cell r="B14808" t="str">
            <v>80-998-23-04</v>
          </cell>
          <cell r="C14808" t="str">
            <v>NST-RED-PINZ. GEB., GER., 0,5MM, 23CM</v>
          </cell>
          <cell r="D14808" t="str">
            <v>NST-RED-FCPS., CVD., STR., 0,5 MM, 23 CM</v>
          </cell>
        </row>
        <row r="14809">
          <cell r="B14809" t="str">
            <v>80-998-24-04</v>
          </cell>
          <cell r="C14809" t="str">
            <v>NST-RED-PINZ.N.MEUSER 2MM, 18CM</v>
          </cell>
          <cell r="D14809" t="str">
            <v>NST-RED-FCPS., ACC. MEUSER,  2MM, 18CM</v>
          </cell>
        </row>
        <row r="14810">
          <cell r="B14810" t="str">
            <v>80-999-23-04</v>
          </cell>
          <cell r="C14810" t="str">
            <v>NST-RED-PINZ.GEB.N.OBEN-GEW.0,5MM,23CM</v>
          </cell>
          <cell r="D14810" t="str">
            <v>NST-RED-FCPS., CVD., UPW.-B.,0,5 MM,23CM</v>
          </cell>
        </row>
        <row r="14811">
          <cell r="B14811" t="str">
            <v>80-999-24-04</v>
          </cell>
          <cell r="C14811" t="str">
            <v>NST-RED-PINZ.GEB.,N.UNTEN-GEW.0,5MM,23CM</v>
          </cell>
          <cell r="D14811" t="str">
            <v>NST-RED-FCPS., CVD.,DOWNW.-B.,0,5MM,23CM</v>
          </cell>
        </row>
        <row r="14812">
          <cell r="B14812" t="str">
            <v>83-120-50-04</v>
          </cell>
          <cell r="C14812" t="str">
            <v>HF-KABEL  FUER ME-MIC  5 M</v>
          </cell>
          <cell r="D14812" t="str">
            <v>HF-CABLE  FOR ME-MIC    5 M</v>
          </cell>
        </row>
        <row r="14813">
          <cell r="B14813" t="str">
            <v>83-120-51-04</v>
          </cell>
          <cell r="C14813" t="str">
            <v>KABEL, MON., INSTR. 4MM ANSCHL.,  3-PIN,</v>
          </cell>
          <cell r="D14813" t="str">
            <v>MON. CONN.CABLE 3-PIN/MIS-INSTR. D=4MM</v>
          </cell>
        </row>
        <row r="14814">
          <cell r="B14814" t="str">
            <v>83-122-50-04</v>
          </cell>
          <cell r="C14814" t="str">
            <v>KABEL, MON., INSTR. 4MM ANSCHL.,  ERBOTOM</v>
          </cell>
          <cell r="D14814" t="str">
            <v>HF-CABLE,  MON., INSTR. CONN. 4MM, ERBTOM</v>
          </cell>
        </row>
        <row r="14815">
          <cell r="B14815" t="str">
            <v>83-122-60-04</v>
          </cell>
          <cell r="C14815" t="str">
            <v>KABEL, MON., INSTR. 4MM ANSCHL.,  ERBE</v>
          </cell>
          <cell r="D14815" t="str">
            <v>HF-CABLE,  MON., INSTR. CONN. 4MM, ERBE</v>
          </cell>
        </row>
        <row r="14816">
          <cell r="B14816" t="str">
            <v>83-124-50-04</v>
          </cell>
          <cell r="C14816" t="str">
            <v>KABEL, MON., INSTR. 4MM ANSCHL.,  BOVIE,</v>
          </cell>
          <cell r="D14816" t="str">
            <v>HF-CABLE,  MON., INSTR. CONN. 4MM, BOVIE</v>
          </cell>
        </row>
        <row r="14817">
          <cell r="B14817" t="str">
            <v>83-124-52-04</v>
          </cell>
          <cell r="C14817" t="str">
            <v>KABEL,4 M MON.,F. ISOLIT-PINZETTEN,BOVIE</v>
          </cell>
          <cell r="D14817" t="str">
            <v>CONN.CABLE 4M,W.BOVIE CONN.F.ISOLIT FCPS</v>
          </cell>
        </row>
        <row r="14818">
          <cell r="B14818" t="str">
            <v>83-585-00-04</v>
          </cell>
          <cell r="C14818" t="str">
            <v>MARLAP HANDGRIFF MIT SCHAFT</v>
          </cell>
          <cell r="D14818" t="str">
            <v>MARLAP HANDLE WITH SHAFT</v>
          </cell>
        </row>
        <row r="14819">
          <cell r="B14819" t="str">
            <v>83-585-01-04</v>
          </cell>
          <cell r="C14819" t="str">
            <v>MARLAP HANDGRIFF</v>
          </cell>
          <cell r="D14819" t="str">
            <v>MARLAP HANDLE</v>
          </cell>
        </row>
        <row r="14820">
          <cell r="B14820" t="str">
            <v>83-585-02-04</v>
          </cell>
          <cell r="C14820" t="str">
            <v>MARLAP SCHAFT</v>
          </cell>
          <cell r="D14820" t="str">
            <v>MARLAP SHAFT</v>
          </cell>
        </row>
        <row r="14821">
          <cell r="B14821" t="str">
            <v>83-585-03-04</v>
          </cell>
          <cell r="C14821" t="str">
            <v>MARLAP CUT, SCHEREN-WECHSELELEKTRODE</v>
          </cell>
          <cell r="D14821" t="str">
            <v>MARLAP CUT, EXCHANGE. SCISSORS  ELETRODE</v>
          </cell>
        </row>
        <row r="14822">
          <cell r="B14822" t="str">
            <v>83-585-05-04</v>
          </cell>
          <cell r="C14822" t="str">
            <v>MARLAP CLAMP,FASSZ.-WECHSELELEK.GEFENST.</v>
          </cell>
          <cell r="D14822" t="str">
            <v>MARLAP CLAMP,EXCH. FORC. ELEKTR.FENESTR.</v>
          </cell>
        </row>
        <row r="14823">
          <cell r="B14823" t="str">
            <v>83-585-06-04</v>
          </cell>
          <cell r="C14823" t="str">
            <v>MARLAP MARYLAND,FASSZ.-WECHSELEL.GEBOGEN</v>
          </cell>
          <cell r="D14823" t="str">
            <v>MARLAP MARYLAND,EXCH.FORC.ELECTRODE,DVD</v>
          </cell>
        </row>
        <row r="14824">
          <cell r="B14824" t="str">
            <v>83-585-07-04</v>
          </cell>
          <cell r="C14824" t="str">
            <v>MARLAP CLAMP WECHSELELEK.UNGEF.GLATT</v>
          </cell>
          <cell r="D14824" t="str">
            <v>MARLAP CLAMP ELECTR.NON FENESTR.SMOOTH</v>
          </cell>
        </row>
        <row r="14825">
          <cell r="B14825" t="str">
            <v>84-415-64-04</v>
          </cell>
          <cell r="C14825" t="str">
            <v>marTouch  Pro marLED</v>
          </cell>
          <cell r="D14825" t="str">
            <v>marTouch  Pro marLED</v>
          </cell>
        </row>
        <row r="14826">
          <cell r="B14826" t="str">
            <v>84-415-65-04</v>
          </cell>
          <cell r="C14826" t="str">
            <v>marTouch  Pro Wandbedienung Aufputz CAN</v>
          </cell>
          <cell r="D14826" t="str">
            <v>marTouch  Pro wallpanel  surface mountCAN</v>
          </cell>
        </row>
        <row r="14827">
          <cell r="B14827" t="str">
            <v>84-415-66-04</v>
          </cell>
          <cell r="C14827" t="str">
            <v>marTouch  Pro Wandbedienung Unterputz  CAN</v>
          </cell>
          <cell r="D14827" t="str">
            <v>marTouch  Pro wallpanel  in-wall CAN</v>
          </cell>
        </row>
        <row r="14828">
          <cell r="B14828" t="str">
            <v>84-415-67-04</v>
          </cell>
          <cell r="C14828" t="str">
            <v>marTouch  Pro Wandbedienung Panel CAN</v>
          </cell>
          <cell r="D14828" t="str">
            <v>marTouch  Pro wallpanel  recessed  CAN</v>
          </cell>
        </row>
        <row r="14829">
          <cell r="B14829" t="str">
            <v>84-428-38-04</v>
          </cell>
          <cell r="C14829" t="str">
            <v>Empfangseinheit marLED HD wireless</v>
          </cell>
          <cell r="D14829" t="str">
            <v>Receiving  unit marLED HD wireless</v>
          </cell>
        </row>
        <row r="14830">
          <cell r="B14830" t="str">
            <v>84-428-39-04</v>
          </cell>
          <cell r="C14830" t="str">
            <v>Empfangseinheit marLED 4K wireless</v>
          </cell>
          <cell r="D14830" t="str">
            <v>Receiving  unit marLED 4K wireless</v>
          </cell>
        </row>
        <row r="14831">
          <cell r="B14831" t="str">
            <v>85-001-89-04</v>
          </cell>
          <cell r="C14831" t="str">
            <v>Adapt.Draeg.Pers.A500,Cato,Cicero,Primus</v>
          </cell>
          <cell r="D14831" t="str">
            <v>Adapt.Draeg.Pers.A500,Cato,Cicero,Primus</v>
          </cell>
        </row>
        <row r="14832">
          <cell r="B14832" t="str">
            <v>85-101-00-04</v>
          </cell>
          <cell r="C14832" t="str">
            <v>IDP101 S air+ 30-60kg 1000 DF100</v>
          </cell>
          <cell r="D14832" t="str">
            <v>IDP101 S air+ 30-60kg 1000 CT100</v>
          </cell>
        </row>
        <row r="14833">
          <cell r="B14833" t="str">
            <v>85-101-01-04</v>
          </cell>
          <cell r="C14833" t="str">
            <v>IDP101 S air+ 30-60kg 600/1000  DF100</v>
          </cell>
          <cell r="D14833" t="str">
            <v>IDP101 S air+ 30-60kg 600/1000  CT100</v>
          </cell>
        </row>
        <row r="14834">
          <cell r="B14834" t="str">
            <v>85-101-02-04</v>
          </cell>
          <cell r="C14834" t="str">
            <v>IDP101 S air+ 30-60kg 800/1000  DF100</v>
          </cell>
          <cell r="D14834" t="str">
            <v>IDP101 S air+ 30-60kg 800/1000  CT100</v>
          </cell>
        </row>
        <row r="14835">
          <cell r="B14835" t="str">
            <v>85-101-03-04</v>
          </cell>
          <cell r="C14835" t="str">
            <v>IDP101 S air+ 30-60kg 1000/1000  DF100</v>
          </cell>
          <cell r="D14835" t="str">
            <v>IDP101 S air+ 30-60kg 1000/1000  CT100</v>
          </cell>
        </row>
        <row r="14836">
          <cell r="B14836" t="str">
            <v>85-101-04-04</v>
          </cell>
          <cell r="C14836" t="str">
            <v>IDP101 S air+ 30-60kg 1000 DF300</v>
          </cell>
          <cell r="D14836" t="str">
            <v>IDP101 S air+ 30-60kg 1000 CT300</v>
          </cell>
        </row>
        <row r="14837">
          <cell r="B14837" t="str">
            <v>85-101-05-04</v>
          </cell>
          <cell r="C14837" t="str">
            <v>IDP101 S air+ 30-60kg 600/1000  DF300</v>
          </cell>
          <cell r="D14837" t="str">
            <v>IDP101 S air+ 30-60kg 600/1000  CT300</v>
          </cell>
        </row>
        <row r="14838">
          <cell r="B14838" t="str">
            <v>85-101-06-04</v>
          </cell>
          <cell r="C14838" t="str">
            <v>IDP101 S air+ 30-60kg 800/1000  DF300</v>
          </cell>
          <cell r="D14838" t="str">
            <v>IDP101 S air+ 30-60kg 800/1000  CT300</v>
          </cell>
        </row>
        <row r="14839">
          <cell r="B14839" t="str">
            <v>85-101-07-04</v>
          </cell>
          <cell r="C14839" t="str">
            <v>IDP101 S air+ 30-60kg 1000/1000  DF300</v>
          </cell>
          <cell r="D14839" t="str">
            <v>IDP101 S air+ 30-60kg 1000/1000  CT300</v>
          </cell>
        </row>
        <row r="14840">
          <cell r="B14840" t="str">
            <v>85-101-08-04</v>
          </cell>
          <cell r="C14840" t="str">
            <v>IDP101 S air+ 30-60kg 1000 DF500</v>
          </cell>
          <cell r="D14840" t="str">
            <v>IDP101 S air+ 30-60kg 1000 CT500</v>
          </cell>
        </row>
        <row r="14841">
          <cell r="B14841" t="str">
            <v>85-101-09-04</v>
          </cell>
          <cell r="C14841" t="str">
            <v>IDP101 S air+ 30-60kg 600/1000  DF500</v>
          </cell>
          <cell r="D14841" t="str">
            <v>IDP101 S air+ 30-60kg 600/1000  CT500</v>
          </cell>
        </row>
        <row r="14842">
          <cell r="B14842" t="str">
            <v>85-101-10-04</v>
          </cell>
          <cell r="C14842" t="str">
            <v>IDP101 S air+ 30-60kg 800/1000  DF500</v>
          </cell>
          <cell r="D14842" t="str">
            <v>IDP101 S air+ 30-60kg 800/1000  CT500</v>
          </cell>
        </row>
        <row r="14843">
          <cell r="B14843" t="str">
            <v>85-101-11-04</v>
          </cell>
          <cell r="C14843" t="str">
            <v>IDP101 S air+ 30-60kg 1000/1000  DF500</v>
          </cell>
          <cell r="D14843" t="str">
            <v>IDP101 S air+ 30-60kg 1000/1000  CT500</v>
          </cell>
        </row>
        <row r="14844">
          <cell r="B14844" t="str">
            <v>85-101-12-04</v>
          </cell>
          <cell r="C14844" t="str">
            <v>IDP101 S air+ 30-60kg 1000 DF700</v>
          </cell>
          <cell r="D14844" t="str">
            <v>IDP101 S air+ 30-60kg 1000 CT700</v>
          </cell>
        </row>
        <row r="14845">
          <cell r="B14845" t="str">
            <v>85-101-13-04</v>
          </cell>
          <cell r="C14845" t="str">
            <v>IDP101 S air+ 30-60kg 600/1000  DF700</v>
          </cell>
          <cell r="D14845" t="str">
            <v>IDP101 S air+ 30-60kg 600/1000  CT700</v>
          </cell>
        </row>
        <row r="14846">
          <cell r="B14846" t="str">
            <v>85-101-14-04</v>
          </cell>
          <cell r="C14846" t="str">
            <v>IDP101 S air+ 30-60kg 800/1000  DF700</v>
          </cell>
          <cell r="D14846" t="str">
            <v>IDP101 S air+ 30-60kg 800/1000  CT700</v>
          </cell>
        </row>
        <row r="14847">
          <cell r="B14847" t="str">
            <v>85-101-15-04</v>
          </cell>
          <cell r="C14847" t="str">
            <v>IDP101 S air+ 30-60kg 1000/1000  DF700</v>
          </cell>
          <cell r="D14847" t="str">
            <v>IDP101 S air+ 30-60kg 1000/1000  CT700</v>
          </cell>
        </row>
        <row r="14848">
          <cell r="B14848" t="str">
            <v>85-101-16-04</v>
          </cell>
          <cell r="C14848" t="str">
            <v>IDP101 S air+ 50-80kg 1000 DF100</v>
          </cell>
          <cell r="D14848" t="str">
            <v>IDP101 S air+ 50-80kg 1000 CT100</v>
          </cell>
        </row>
        <row r="14849">
          <cell r="B14849" t="str">
            <v>85-101-17-04</v>
          </cell>
          <cell r="C14849" t="str">
            <v>IDP101 S air+ 50-80kg 600/1000  DF100</v>
          </cell>
          <cell r="D14849" t="str">
            <v>IDP101 S air+ 50-80kg 600/1000  CT100</v>
          </cell>
        </row>
        <row r="14850">
          <cell r="B14850" t="str">
            <v>85-101-18-04</v>
          </cell>
          <cell r="C14850" t="str">
            <v>IDP101 S air+ 50-80kg 800/1000  DF100</v>
          </cell>
          <cell r="D14850" t="str">
            <v>IDP101 S air+ 50-80kg 800/1000  CT100</v>
          </cell>
        </row>
        <row r="14851">
          <cell r="B14851" t="str">
            <v>85-101-19-04</v>
          </cell>
          <cell r="C14851" t="str">
            <v>IDP101 S air+ 50-80kg 1000/1000  DF100</v>
          </cell>
          <cell r="D14851" t="str">
            <v>IDP101 S air+ 50-80kg 1000/1000  CT100</v>
          </cell>
        </row>
        <row r="14852">
          <cell r="B14852" t="str">
            <v>85-101-20-04</v>
          </cell>
          <cell r="C14852" t="str">
            <v>IDP101 S air+ 50-80kg 1000 DF300</v>
          </cell>
          <cell r="D14852" t="str">
            <v>IDP101 S air+ 50-80kg 1000 CT300</v>
          </cell>
        </row>
        <row r="14853">
          <cell r="B14853" t="str">
            <v>85-101-21-04</v>
          </cell>
          <cell r="C14853" t="str">
            <v>IDP101 S air+ 50-80kg 600/1000  DF300</v>
          </cell>
          <cell r="D14853" t="str">
            <v>IDP101 S air+ 50-80kg 600/1000  CT300</v>
          </cell>
        </row>
        <row r="14854">
          <cell r="B14854" t="str">
            <v>85-101-22-04</v>
          </cell>
          <cell r="C14854" t="str">
            <v>IDP101 S air+ 50-80kg 800/1000  DF300</v>
          </cell>
          <cell r="D14854" t="str">
            <v>IDP101 S air+ 50-80kg 800/1000  CT300</v>
          </cell>
        </row>
        <row r="14855">
          <cell r="B14855" t="str">
            <v>85-101-23-04</v>
          </cell>
          <cell r="C14855" t="str">
            <v>IDP101 S air+ 50-80kg 1000/1000  DF300</v>
          </cell>
          <cell r="D14855" t="str">
            <v>IDP101 S air+ 50-80kg 1000/1000  CT300</v>
          </cell>
        </row>
        <row r="14856">
          <cell r="B14856" t="str">
            <v>85-101-24-04</v>
          </cell>
          <cell r="C14856" t="str">
            <v>IDP101 S air+ 50-80kg 1000 DF500</v>
          </cell>
          <cell r="D14856" t="str">
            <v>IDP101 S air+ 50-80kg 1000 CT500</v>
          </cell>
        </row>
        <row r="14857">
          <cell r="B14857" t="str">
            <v>85-101-25-04</v>
          </cell>
          <cell r="C14857" t="str">
            <v>IDP101 S air+ 50-80kg 600/1000  DF500</v>
          </cell>
          <cell r="D14857" t="str">
            <v>IDP101 S air+ 50-80kg 600/1000  CT500</v>
          </cell>
        </row>
        <row r="14858">
          <cell r="B14858" t="str">
            <v>85-101-26-04</v>
          </cell>
          <cell r="C14858" t="str">
            <v>IDP101 S air+ 50-80kg 800/1000  DF500</v>
          </cell>
          <cell r="D14858" t="str">
            <v>IDP101 S air+ 50-80kg 800/1000  CT500</v>
          </cell>
        </row>
        <row r="14859">
          <cell r="B14859" t="str">
            <v>85-101-27-04</v>
          </cell>
          <cell r="C14859" t="str">
            <v>IDP101 S air+ 50-80kg 1000/1000  DF500</v>
          </cell>
          <cell r="D14859" t="str">
            <v>IDP101 S air+ 50-80kg 1000/1000  CT500</v>
          </cell>
        </row>
        <row r="14860">
          <cell r="B14860" t="str">
            <v>85-101-28-04</v>
          </cell>
          <cell r="C14860" t="str">
            <v>IDP101 S air+ 50-80kg 1000 DF700</v>
          </cell>
          <cell r="D14860" t="str">
            <v>IDP101 S air+ 50-80kg 1000 CT700</v>
          </cell>
        </row>
        <row r="14861">
          <cell r="B14861" t="str">
            <v>85-101-29-04</v>
          </cell>
          <cell r="C14861" t="str">
            <v>IDP101 S air+ 50-80kg 600/1000  DF700</v>
          </cell>
          <cell r="D14861" t="str">
            <v>IDP101 S air+ 50-80kg 600/1000  CT700</v>
          </cell>
        </row>
        <row r="14862">
          <cell r="B14862" t="str">
            <v>85-101-30-04</v>
          </cell>
          <cell r="C14862" t="str">
            <v>IDP101 S air+ 50-80kg 800/1000  DF700</v>
          </cell>
          <cell r="D14862" t="str">
            <v>IDP101 S air+ 50-80kg 800/1000  CT700</v>
          </cell>
        </row>
        <row r="14863">
          <cell r="B14863" t="str">
            <v>85-101-31-04</v>
          </cell>
          <cell r="C14863" t="str">
            <v>IDP101 S air+ 50-80kg 1000/1000  DF700</v>
          </cell>
          <cell r="D14863" t="str">
            <v>IDP101 S air+ 50-80kg 1000/1000  CT700</v>
          </cell>
        </row>
        <row r="14864">
          <cell r="B14864" t="str">
            <v>85-101-32-04</v>
          </cell>
          <cell r="C14864" t="str">
            <v>IDP101 S air+ 70-110kg  1000 DF100</v>
          </cell>
          <cell r="D14864" t="str">
            <v>IDP101 S air+ 70-110kg  1000 CT100</v>
          </cell>
        </row>
        <row r="14865">
          <cell r="B14865" t="str">
            <v>85-101-33-04</v>
          </cell>
          <cell r="C14865" t="str">
            <v>IDP101 S air+ 70-110kg  600/1000  DF100</v>
          </cell>
          <cell r="D14865" t="str">
            <v>IDP101 S air+ 70-110kg  600/1000  CT100</v>
          </cell>
        </row>
        <row r="14866">
          <cell r="B14866" t="str">
            <v>85-101-34-04</v>
          </cell>
          <cell r="C14866" t="str">
            <v>IDP101 S air+ 70-110kg  800/1000  DF100</v>
          </cell>
          <cell r="D14866" t="str">
            <v>IDP101 S air+ 70-110kg  800/1000  CT100</v>
          </cell>
        </row>
        <row r="14867">
          <cell r="B14867" t="str">
            <v>85-101-35-04</v>
          </cell>
          <cell r="C14867" t="str">
            <v>IDP101 S air+ 70-110kg  1000/1000  DF100</v>
          </cell>
          <cell r="D14867" t="str">
            <v>IDP101 S air+ 70-110kg  1000/1000  CT100</v>
          </cell>
        </row>
        <row r="14868">
          <cell r="B14868" t="str">
            <v>85-101-36-04</v>
          </cell>
          <cell r="C14868" t="str">
            <v>IDP101 S air+ 70-110kg  1000 DF300</v>
          </cell>
          <cell r="D14868" t="str">
            <v>IDP101 S air+ 70-110kg  1000 CT300</v>
          </cell>
        </row>
        <row r="14869">
          <cell r="B14869" t="str">
            <v>85-101-37-04</v>
          </cell>
          <cell r="C14869" t="str">
            <v>IDP101 S air+ 70-110kg  600/1000  DF300</v>
          </cell>
          <cell r="D14869" t="str">
            <v>IDP101 S air+ 70-110kg  600/1000  CT300</v>
          </cell>
        </row>
        <row r="14870">
          <cell r="B14870" t="str">
            <v>85-101-38-04</v>
          </cell>
          <cell r="C14870" t="str">
            <v>IDP101 S air+ 70-110kg  800/1000  DF300</v>
          </cell>
          <cell r="D14870" t="str">
            <v>IDP101 S air+ 70-110kg  800/1000  CT300</v>
          </cell>
        </row>
        <row r="14871">
          <cell r="B14871" t="str">
            <v>85-101-39-04</v>
          </cell>
          <cell r="C14871" t="str">
            <v>IDP101 S air+ 70-110kg  1000/1000  DF300</v>
          </cell>
          <cell r="D14871" t="str">
            <v>IDP101 S air+ 70-110kg  1000/1000  CT300</v>
          </cell>
        </row>
        <row r="14872">
          <cell r="B14872" t="str">
            <v>85-101-40-04</v>
          </cell>
          <cell r="C14872" t="str">
            <v>IDP101 S air+ 70-110kg  1000 DF500</v>
          </cell>
          <cell r="D14872" t="str">
            <v>IDP101 S air+ 70-110kg  1000 CT500</v>
          </cell>
        </row>
        <row r="14873">
          <cell r="B14873" t="str">
            <v>85-101-41-04</v>
          </cell>
          <cell r="C14873" t="str">
            <v>IDP101 S air+ 70-110kg  600/1000  DF500</v>
          </cell>
          <cell r="D14873" t="str">
            <v>IDP101 S air+ 70-110kg  600/1000  CT500</v>
          </cell>
        </row>
        <row r="14874">
          <cell r="B14874" t="str">
            <v>85-101-42-04</v>
          </cell>
          <cell r="C14874" t="str">
            <v>IDP101 S air+ 70-110kg  800/1000  DF500</v>
          </cell>
          <cell r="D14874" t="str">
            <v>IDP101 S air+ 70-110kg  800/1000  CT500</v>
          </cell>
        </row>
        <row r="14875">
          <cell r="B14875" t="str">
            <v>85-101-43-04</v>
          </cell>
          <cell r="C14875" t="str">
            <v>IDP101 S air+ 70-110kg  1000/1000  DF500</v>
          </cell>
          <cell r="D14875" t="str">
            <v>IDP101 S air+ 70-110kg  1000/1000  CT500</v>
          </cell>
        </row>
        <row r="14876">
          <cell r="B14876" t="str">
            <v>85-101-44-04</v>
          </cell>
          <cell r="C14876" t="str">
            <v>IDP101 S air+ 70-110kg  1000 DF700</v>
          </cell>
          <cell r="D14876" t="str">
            <v>IDP101 S air+ 70-110kg  1000 CT700</v>
          </cell>
        </row>
        <row r="14877">
          <cell r="B14877" t="str">
            <v>85-101-45-04</v>
          </cell>
          <cell r="C14877" t="str">
            <v>IDP101 S air+ 70-110kg  600/1000  DF700</v>
          </cell>
          <cell r="D14877" t="str">
            <v>IDP101 S air+ 70-110kg  600/1000  CT700</v>
          </cell>
        </row>
        <row r="14878">
          <cell r="B14878" t="str">
            <v>85-101-46-04</v>
          </cell>
          <cell r="C14878" t="str">
            <v>IDP101 S air+ 70-110kg  800/1000  DF700</v>
          </cell>
          <cell r="D14878" t="str">
            <v>IDP101 S air+ 70-110kg  800/1000  CT700</v>
          </cell>
        </row>
        <row r="14879">
          <cell r="B14879" t="str">
            <v>85-101-47-04</v>
          </cell>
          <cell r="C14879" t="str">
            <v>IDP101 S air+ 70-110kg  1000/1000  DF700</v>
          </cell>
          <cell r="D14879" t="str">
            <v>IDP101 S air+ 70-110kg  1000/1000  CT700</v>
          </cell>
        </row>
        <row r="14880">
          <cell r="B14880" t="str">
            <v>85-101-48-04</v>
          </cell>
          <cell r="C14880" t="str">
            <v>IDP101 S air+ 80-135kg  1000 DF100</v>
          </cell>
          <cell r="D14880" t="str">
            <v>IDP101 S air+ 80-135kg  1000 CT100</v>
          </cell>
        </row>
        <row r="14881">
          <cell r="B14881" t="str">
            <v>85-101-49-04</v>
          </cell>
          <cell r="C14881" t="str">
            <v>IDP101 S air+ 80-135kg  600/1000  DF100</v>
          </cell>
          <cell r="D14881" t="str">
            <v>IDP101 S air+ 80-135kg  600/1000  CT100</v>
          </cell>
        </row>
        <row r="14882">
          <cell r="B14882" t="str">
            <v>85-101-50-04</v>
          </cell>
          <cell r="C14882" t="str">
            <v>IDP101 S air+ 80-135kg  800/1000  DF100</v>
          </cell>
          <cell r="D14882" t="str">
            <v>IDP101 S air+ 80-135kg  800/1000  CT100</v>
          </cell>
        </row>
        <row r="14883">
          <cell r="B14883" t="str">
            <v>85-101-51-04</v>
          </cell>
          <cell r="C14883" t="str">
            <v>IDP101 S air+ 80-135kg  1000/1000  DF100</v>
          </cell>
          <cell r="D14883" t="str">
            <v>IDP101 S air+ 80-135kg  1000/1000  CT100</v>
          </cell>
        </row>
        <row r="14884">
          <cell r="B14884" t="str">
            <v>85-101-52-04</v>
          </cell>
          <cell r="C14884" t="str">
            <v>IDP101 S air+ 80-135kg  1000 DF300</v>
          </cell>
          <cell r="D14884" t="str">
            <v>IDP101 S air+ 80-135kg  1000 CT300</v>
          </cell>
        </row>
        <row r="14885">
          <cell r="B14885" t="str">
            <v>85-101-53-04</v>
          </cell>
          <cell r="C14885" t="str">
            <v>IDP101 S air+ 80-135kg  600/1000  DF300</v>
          </cell>
          <cell r="D14885" t="str">
            <v>IDP101 S air+ 80-135kg  600/1000  CT300</v>
          </cell>
        </row>
        <row r="14886">
          <cell r="B14886" t="str">
            <v>85-101-54-04</v>
          </cell>
          <cell r="C14886" t="str">
            <v>IDP101 S air+ 80-135kg  800/1000  DF300</v>
          </cell>
          <cell r="D14886" t="str">
            <v>IDP101 S air+ 80-135kg  800/1000  CT300</v>
          </cell>
        </row>
        <row r="14887">
          <cell r="B14887" t="str">
            <v>85-101-55-04</v>
          </cell>
          <cell r="C14887" t="str">
            <v>IDP101 S air+ 80-135kg  1000/1000  DF300</v>
          </cell>
          <cell r="D14887" t="str">
            <v>IDP101 S air+ 80-135kg  1000/1000  CT300</v>
          </cell>
        </row>
        <row r="14888">
          <cell r="B14888" t="str">
            <v>85-101-56-04</v>
          </cell>
          <cell r="C14888" t="str">
            <v>IDP101 S air+ 80-135kg  1000 DF500</v>
          </cell>
          <cell r="D14888" t="str">
            <v>IDP101 S air+ 80-135kg  1000 CT500</v>
          </cell>
        </row>
        <row r="14889">
          <cell r="B14889" t="str">
            <v>85-101-57-04</v>
          </cell>
          <cell r="C14889" t="str">
            <v>IDP101 S air+ 80-135kg  600/1000  DF500</v>
          </cell>
          <cell r="D14889" t="str">
            <v>IDP101 S air+ 80-135kg  600/1000  CT500</v>
          </cell>
        </row>
        <row r="14890">
          <cell r="B14890" t="str">
            <v>85-101-58-04</v>
          </cell>
          <cell r="C14890" t="str">
            <v>IDP101 S air+ 80-135kg  800/1000  DF500</v>
          </cell>
          <cell r="D14890" t="str">
            <v>IDP101 S air+ 80-135kg  800/1000  CT500</v>
          </cell>
        </row>
        <row r="14891">
          <cell r="B14891" t="str">
            <v>85-101-59-04</v>
          </cell>
          <cell r="C14891" t="str">
            <v>IDP101 S air+ 80-135kg  1000/1000  DF500</v>
          </cell>
          <cell r="D14891" t="str">
            <v>IDP101 S air+ 80-135kg  1000/1000  CT500</v>
          </cell>
        </row>
        <row r="14892">
          <cell r="B14892" t="str">
            <v>85-101-60-04</v>
          </cell>
          <cell r="C14892" t="str">
            <v>IDP101 S air+ 80-135kg  1000 DF700</v>
          </cell>
          <cell r="D14892" t="str">
            <v>IDP101 S air+ 80-135kg  1000 CT700</v>
          </cell>
        </row>
        <row r="14893">
          <cell r="B14893" t="str">
            <v>85-101-61-04</v>
          </cell>
          <cell r="C14893" t="str">
            <v>IDP101 S air+ 80-135kg  600/1000  DF700</v>
          </cell>
          <cell r="D14893" t="str">
            <v>IDP101 S air+ 80-135kg  600/1000  CT700</v>
          </cell>
        </row>
        <row r="14894">
          <cell r="B14894" t="str">
            <v>85-101-62-04</v>
          </cell>
          <cell r="C14894" t="str">
            <v>IDP101 S air+ 80-135kg  800/1000  DF700</v>
          </cell>
          <cell r="D14894" t="str">
            <v>IDP101 S air+ 80-135kg  800/1000  CT700</v>
          </cell>
        </row>
        <row r="14895">
          <cell r="B14895" t="str">
            <v>85-101-63-04</v>
          </cell>
          <cell r="C14895" t="str">
            <v>IDP101 S air+ 80-135kg  1000/1000  DF700</v>
          </cell>
          <cell r="D14895" t="str">
            <v>IDP101 S air+ 80-135kg  1000/1000  CT700</v>
          </cell>
        </row>
        <row r="14896">
          <cell r="B14896" t="str">
            <v>85-101-64-04</v>
          </cell>
          <cell r="C14896" t="str">
            <v>IDP101 S air+ 120-180kg  1000 DF100</v>
          </cell>
          <cell r="D14896" t="str">
            <v>IDP101 S air+ 120-180kg  1000 CT100</v>
          </cell>
        </row>
        <row r="14897">
          <cell r="B14897" t="str">
            <v>85-101-65-04</v>
          </cell>
          <cell r="C14897" t="str">
            <v>IDP101 S air+ 120-180kg  600/1000  DF100</v>
          </cell>
          <cell r="D14897" t="str">
            <v>IDP101 S air+ 120-180kg  600/1000  CT100</v>
          </cell>
        </row>
        <row r="14898">
          <cell r="B14898" t="str">
            <v>85-101-66-04</v>
          </cell>
          <cell r="C14898" t="str">
            <v>IDP101 S air+ 120-180kg  800/1000  DF100</v>
          </cell>
          <cell r="D14898" t="str">
            <v>IDP101 S air+ 120-180kg  800/1000  CT100</v>
          </cell>
        </row>
        <row r="14899">
          <cell r="B14899" t="str">
            <v>85-101-67-04</v>
          </cell>
          <cell r="C14899" t="str">
            <v>IDP101 S air+ 120-180kg  1000/1000  DF100</v>
          </cell>
          <cell r="D14899" t="str">
            <v>IDP101 S air+ 120-180kg  1000/1000  CT100</v>
          </cell>
        </row>
        <row r="14900">
          <cell r="B14900" t="str">
            <v>85-101-68-04</v>
          </cell>
          <cell r="C14900" t="str">
            <v>IDP101 S air+ 120-180kg  1000 DF300</v>
          </cell>
          <cell r="D14900" t="str">
            <v>IDP101 S air+ 120-180kg  1000 CT300</v>
          </cell>
        </row>
        <row r="14901">
          <cell r="B14901" t="str">
            <v>85-101-69-04</v>
          </cell>
          <cell r="C14901" t="str">
            <v>IDP101 S air+ 120-180kg  600/1000  DF300</v>
          </cell>
          <cell r="D14901" t="str">
            <v>IDP101 S air+ 120-180kg  600/1000  CT300</v>
          </cell>
        </row>
        <row r="14902">
          <cell r="B14902" t="str">
            <v>85-101-70-04</v>
          </cell>
          <cell r="C14902" t="str">
            <v>IDP101 S air+ 120-180kg  800/1000  DF300</v>
          </cell>
          <cell r="D14902" t="str">
            <v>IDP101 S air+ 120-180kg  800/1000  CT300</v>
          </cell>
        </row>
        <row r="14903">
          <cell r="B14903" t="str">
            <v>85-101-71-04</v>
          </cell>
          <cell r="C14903" t="str">
            <v>IDP101 S air+ 120-180kg  1000/1000  DF300</v>
          </cell>
          <cell r="D14903" t="str">
            <v>IDP101 S air+ 120-180kg  1000/1000  CT300</v>
          </cell>
        </row>
        <row r="14904">
          <cell r="B14904" t="str">
            <v>85-101-72-04</v>
          </cell>
          <cell r="C14904" t="str">
            <v>IDP101 S air+ 120-180kg  1000 DF500</v>
          </cell>
          <cell r="D14904" t="str">
            <v>IDP101 S air+ 120-180kg  1000 CT500</v>
          </cell>
        </row>
        <row r="14905">
          <cell r="B14905" t="str">
            <v>85-101-73-04</v>
          </cell>
          <cell r="C14905" t="str">
            <v>IDP101 S air+ 120-180kg  600/1000  DF500</v>
          </cell>
          <cell r="D14905" t="str">
            <v>IDP101 S air+ 120-180kg  600/1000  CT500</v>
          </cell>
        </row>
        <row r="14906">
          <cell r="B14906" t="str">
            <v>85-101-74-04</v>
          </cell>
          <cell r="C14906" t="str">
            <v>IDP101 S air+ 120-180kg  800/1000  DF500</v>
          </cell>
          <cell r="D14906" t="str">
            <v>IDP101 S air+ 120-180kg  800/1000  CT500</v>
          </cell>
        </row>
        <row r="14907">
          <cell r="B14907" t="str">
            <v>85-101-75-04</v>
          </cell>
          <cell r="C14907" t="str">
            <v>IDP101 S air+ 120-180kg  1000/1000  DF500</v>
          </cell>
          <cell r="D14907" t="str">
            <v>IDP101 S air+ 120-180kg  1000/1000  CT500</v>
          </cell>
        </row>
        <row r="14908">
          <cell r="B14908" t="str">
            <v>85-101-76-04</v>
          </cell>
          <cell r="C14908" t="str">
            <v>IDP101 S air+ 120-180kg  1000 DF700</v>
          </cell>
          <cell r="D14908" t="str">
            <v>IDP101 S air+ 120-180kg  1000 CT700</v>
          </cell>
        </row>
        <row r="14909">
          <cell r="B14909" t="str">
            <v>85-101-77-04</v>
          </cell>
          <cell r="C14909" t="str">
            <v>IDP101 S air+ 120-180kg  600/1000  DF700</v>
          </cell>
          <cell r="D14909" t="str">
            <v>IDP101 S air+ 120-180kg  600/1000  CT700</v>
          </cell>
        </row>
        <row r="14910">
          <cell r="B14910" t="str">
            <v>85-101-78-04</v>
          </cell>
          <cell r="C14910" t="str">
            <v>IDP101 S air+ 120-180kg  800/1000  DF700</v>
          </cell>
          <cell r="D14910" t="str">
            <v>IDP101 S air+ 120-180kg  800/1000  CT700</v>
          </cell>
        </row>
        <row r="14911">
          <cell r="B14911" t="str">
            <v>85-101-79-04</v>
          </cell>
          <cell r="C14911" t="str">
            <v>IDP101 S air+ 120-180kg  1000/1000  DF700</v>
          </cell>
          <cell r="D14911" t="str">
            <v>IDP101 S air+ 120-180kg  1000/1000  CT700</v>
          </cell>
        </row>
        <row r="14912">
          <cell r="B14912" t="str">
            <v>85-101-80-04</v>
          </cell>
          <cell r="C14912" t="str">
            <v>IDP101 S 30-60kg 1000 DF100</v>
          </cell>
          <cell r="D14912" t="str">
            <v>IDP101 S 30-60kg 1000 CT100</v>
          </cell>
        </row>
        <row r="14913">
          <cell r="B14913" t="str">
            <v>85-101-81-04</v>
          </cell>
          <cell r="C14913" t="str">
            <v>IDP101 S 30-60kg 600/1000  DF100</v>
          </cell>
          <cell r="D14913" t="str">
            <v>IDP101 S 30-60kg 600/1000  CT100</v>
          </cell>
        </row>
        <row r="14914">
          <cell r="B14914" t="str">
            <v>85-101-82-04</v>
          </cell>
          <cell r="C14914" t="str">
            <v>IDP101 S 30-60kg 800/1000  DF100</v>
          </cell>
          <cell r="D14914" t="str">
            <v>IDP101 S 30-60kg 800/1000  CT100</v>
          </cell>
        </row>
        <row r="14915">
          <cell r="B14915" t="str">
            <v>85-101-83-04</v>
          </cell>
          <cell r="C14915" t="str">
            <v>IDP101 S 30-60kg 1000/1000  DF100</v>
          </cell>
          <cell r="D14915" t="str">
            <v>IDP101 S 30-60kg 1000/1000  CT100</v>
          </cell>
        </row>
        <row r="14916">
          <cell r="B14916" t="str">
            <v>85-101-84-04</v>
          </cell>
          <cell r="C14916" t="str">
            <v>IDP101 S 30-60kg 1200/1000  DF100</v>
          </cell>
          <cell r="D14916" t="str">
            <v>IDP101 S 30-60kg 1200/1000  CT100</v>
          </cell>
        </row>
        <row r="14917">
          <cell r="B14917" t="str">
            <v>85-101-85-04</v>
          </cell>
          <cell r="C14917" t="str">
            <v>IDP101 S 30-60kg 1000 DF300</v>
          </cell>
          <cell r="D14917" t="str">
            <v>IDP101 S 30-60kg 1000 CT300</v>
          </cell>
        </row>
        <row r="14918">
          <cell r="B14918" t="str">
            <v>85-101-86-04</v>
          </cell>
          <cell r="C14918" t="str">
            <v>IDP101 S 30-60kg 600/1000  DF300</v>
          </cell>
          <cell r="D14918" t="str">
            <v>IDP101 S 30-60kg 600/1000  CT300</v>
          </cell>
        </row>
        <row r="14919">
          <cell r="B14919" t="str">
            <v>85-101-87-04</v>
          </cell>
          <cell r="C14919" t="str">
            <v>IDP101 S 30-60kg 800/1000  DF300</v>
          </cell>
          <cell r="D14919" t="str">
            <v>IDP101 S 30-60kg 800/1000  CT300</v>
          </cell>
        </row>
        <row r="14920">
          <cell r="B14920" t="str">
            <v>85-101-88-04</v>
          </cell>
          <cell r="C14920" t="str">
            <v>IDP101 S 30-60kg 1000/1000  DF300</v>
          </cell>
          <cell r="D14920" t="str">
            <v>IDP101 S 30-60kg 1000/1000  CT300</v>
          </cell>
        </row>
        <row r="14921">
          <cell r="B14921" t="str">
            <v>85-101-89-04</v>
          </cell>
          <cell r="C14921" t="str">
            <v>IDP101 S 30-60kg 1200/1000  DF300</v>
          </cell>
          <cell r="D14921" t="str">
            <v>IDP101 S 30-60kg 1200/1000  CT300</v>
          </cell>
        </row>
        <row r="14922">
          <cell r="B14922" t="str">
            <v>85-101-90-04</v>
          </cell>
          <cell r="C14922" t="str">
            <v>IDP101 S 30-60kg 1000 DF500</v>
          </cell>
          <cell r="D14922" t="str">
            <v>IDP101 S 30-60kg 1000 CT500</v>
          </cell>
        </row>
        <row r="14923">
          <cell r="B14923" t="str">
            <v>85-101-91-04</v>
          </cell>
          <cell r="C14923" t="str">
            <v>IDP101 S 30-60kg 600/1000  DF500</v>
          </cell>
          <cell r="D14923" t="str">
            <v>IDP101 S 30-60kg 600/1000  CT500</v>
          </cell>
        </row>
        <row r="14924">
          <cell r="B14924" t="str">
            <v>85-101-92-04</v>
          </cell>
          <cell r="C14924" t="str">
            <v>IDP101 S 30-60kg 800/1000  DF500</v>
          </cell>
          <cell r="D14924" t="str">
            <v>IDP101 S 30-60kg 800/1000  CT500</v>
          </cell>
        </row>
        <row r="14925">
          <cell r="B14925" t="str">
            <v>85-101-93-04</v>
          </cell>
          <cell r="C14925" t="str">
            <v>IDP101 S 30-60kg 1000/1000  DF500</v>
          </cell>
          <cell r="D14925" t="str">
            <v>IDP101 S 30-60kg 1000/1000  CT500</v>
          </cell>
        </row>
        <row r="14926">
          <cell r="B14926" t="str">
            <v>85-101-94-04</v>
          </cell>
          <cell r="C14926" t="str">
            <v>IDP101 S 30-60kg 1200/1000  DF500</v>
          </cell>
          <cell r="D14926" t="str">
            <v>IDP101 S 30-60kg 1200/1000  CT500</v>
          </cell>
        </row>
        <row r="14927">
          <cell r="B14927" t="str">
            <v>85-101-95-04</v>
          </cell>
          <cell r="C14927" t="str">
            <v>IDP101 S 30-60kg 1000 DF700</v>
          </cell>
          <cell r="D14927" t="str">
            <v>IDP101 S 30-60kg 1000 CT700</v>
          </cell>
        </row>
        <row r="14928">
          <cell r="B14928" t="str">
            <v>85-101-96-04</v>
          </cell>
          <cell r="C14928" t="str">
            <v>IDP101 S 30-60kg 600/1000  DF700</v>
          </cell>
          <cell r="D14928" t="str">
            <v>IDP101 S 30-60kg 600/1000  CT700</v>
          </cell>
        </row>
        <row r="14929">
          <cell r="B14929" t="str">
            <v>85-101-97-04</v>
          </cell>
          <cell r="C14929" t="str">
            <v>IDP101 S 30-60kg 800/1000  DF700</v>
          </cell>
          <cell r="D14929" t="str">
            <v>IDP101 S 30-60kg 800/1000  CT700</v>
          </cell>
        </row>
        <row r="14930">
          <cell r="B14930" t="str">
            <v>85-101-98-04</v>
          </cell>
          <cell r="C14930" t="str">
            <v>IDP101 S 30-60kg 1000/1000  DF700</v>
          </cell>
          <cell r="D14930" t="str">
            <v>IDP101 S 30-60kg 1000/1000  CT700</v>
          </cell>
        </row>
        <row r="14931">
          <cell r="B14931" t="str">
            <v>85-101-99-04</v>
          </cell>
          <cell r="C14931" t="str">
            <v>IDP101 S 30-60kg 1200/1000  DF700</v>
          </cell>
          <cell r="D14931" t="str">
            <v>IDP101 S 30-60kg 1200/1000  CT700</v>
          </cell>
        </row>
        <row r="14932">
          <cell r="B14932" t="str">
            <v>85-102-00-04</v>
          </cell>
          <cell r="C14932" t="str">
            <v>IDP101 S 50-80kg 1000 DF100</v>
          </cell>
          <cell r="D14932" t="str">
            <v>IDP101 S 50-80kg 1000 CT100</v>
          </cell>
        </row>
        <row r="14933">
          <cell r="B14933" t="str">
            <v>85-102-01-04</v>
          </cell>
          <cell r="C14933" t="str">
            <v>IDP101 S 50-80kg 600/1000  DF100</v>
          </cell>
          <cell r="D14933" t="str">
            <v>IDP101 S 50-80kg 600/1000  CT100</v>
          </cell>
        </row>
        <row r="14934">
          <cell r="B14934" t="str">
            <v>85-102-02-04</v>
          </cell>
          <cell r="C14934" t="str">
            <v>IDP101 S 50-80kg 800/1000  DF100</v>
          </cell>
          <cell r="D14934" t="str">
            <v>IDP101 S 50-80kg 800/1000  CT100</v>
          </cell>
        </row>
        <row r="14935">
          <cell r="B14935" t="str">
            <v>85-102-03-04</v>
          </cell>
          <cell r="C14935" t="str">
            <v>IDP101 S 50-80kg 1000/1000  DF100</v>
          </cell>
          <cell r="D14935" t="str">
            <v>IDP101 S 50-80kg 1000/1000  CT100</v>
          </cell>
        </row>
        <row r="14936">
          <cell r="B14936" t="str">
            <v>85-102-04-04</v>
          </cell>
          <cell r="C14936" t="str">
            <v>IDP101 S 50-80kg 1200/1000  DF100</v>
          </cell>
          <cell r="D14936" t="str">
            <v>IDP101 S 50-80kg 1200/1000  CT100</v>
          </cell>
        </row>
        <row r="14937">
          <cell r="B14937" t="str">
            <v>85-102-05-04</v>
          </cell>
          <cell r="C14937" t="str">
            <v>IDP101 S 50-80kg 1000 DF300</v>
          </cell>
          <cell r="D14937" t="str">
            <v>IDP101 S 50-80kg 1000 CT300</v>
          </cell>
        </row>
        <row r="14938">
          <cell r="B14938" t="str">
            <v>85-102-06-04</v>
          </cell>
          <cell r="C14938" t="str">
            <v>IDP101 S 50-80kg 600/1000  DF300</v>
          </cell>
          <cell r="D14938" t="str">
            <v>IDP101 S 50-80kg 600/1000  CT300</v>
          </cell>
        </row>
        <row r="14939">
          <cell r="B14939" t="str">
            <v>85-102-07-04</v>
          </cell>
          <cell r="C14939" t="str">
            <v>IDP101 S 50-80kg 800/1000  DF300</v>
          </cell>
          <cell r="D14939" t="str">
            <v>IDP101 S 50-80kg 800/1000  CT300</v>
          </cell>
        </row>
        <row r="14940">
          <cell r="B14940" t="str">
            <v>85-102-08-04</v>
          </cell>
          <cell r="C14940" t="str">
            <v>IDP101 S 50-80kg 1000/1000  DF300</v>
          </cell>
          <cell r="D14940" t="str">
            <v>IDP101 S 50-80kg 1000/1000  CT300</v>
          </cell>
        </row>
        <row r="14941">
          <cell r="B14941" t="str">
            <v>85-102-09-04</v>
          </cell>
          <cell r="C14941" t="str">
            <v>IDP101 S 50-80kg 1200/1000  DF300</v>
          </cell>
          <cell r="D14941" t="str">
            <v>IDP101 S 50-80kg 1200/1000  CT300</v>
          </cell>
        </row>
        <row r="14942">
          <cell r="B14942" t="str">
            <v>85-102-10-04</v>
          </cell>
          <cell r="C14942" t="str">
            <v>IDP101 S 50-80kg 1000 DF500</v>
          </cell>
          <cell r="D14942" t="str">
            <v>IDP101 S 50-80kg 1000 CT500</v>
          </cell>
        </row>
        <row r="14943">
          <cell r="B14943" t="str">
            <v>85-102-11-04</v>
          </cell>
          <cell r="C14943" t="str">
            <v>IDP101 S 50-80kg 600/1000  DF500</v>
          </cell>
          <cell r="D14943" t="str">
            <v>IDP101 S 50-80kg 600/1000  CT500</v>
          </cell>
        </row>
        <row r="14944">
          <cell r="B14944" t="str">
            <v>85-102-12-04</v>
          </cell>
          <cell r="C14944" t="str">
            <v>IDP101 S 50-80kg 800/1000  DF500</v>
          </cell>
          <cell r="D14944" t="str">
            <v>IDP101 S 50-80kg 800/1000  CT500</v>
          </cell>
        </row>
        <row r="14945">
          <cell r="B14945" t="str">
            <v>85-102-13-04</v>
          </cell>
          <cell r="C14945" t="str">
            <v>IDP101 S 50-80kg 1000/1000  DF500</v>
          </cell>
          <cell r="D14945" t="str">
            <v>IDP101 S 50-80kg 1000/1000  CT500</v>
          </cell>
        </row>
        <row r="14946">
          <cell r="B14946" t="str">
            <v>85-102-14-04</v>
          </cell>
          <cell r="C14946" t="str">
            <v>IDP101 S 50-80kg 1200/1000  DF500</v>
          </cell>
          <cell r="D14946" t="str">
            <v>IDP101 S 50-80kg 1200/1000  CT500</v>
          </cell>
        </row>
        <row r="14947">
          <cell r="B14947" t="str">
            <v>85-102-15-04</v>
          </cell>
          <cell r="C14947" t="str">
            <v>IDP101 S 50-80kg 1000 DF700</v>
          </cell>
          <cell r="D14947" t="str">
            <v>IDP101 S 50-80kg 1000 CT700</v>
          </cell>
        </row>
        <row r="14948">
          <cell r="B14948" t="str">
            <v>85-102-16-04</v>
          </cell>
          <cell r="C14948" t="str">
            <v>IDP101 S 50-80kg 600/1000  DF700</v>
          </cell>
          <cell r="D14948" t="str">
            <v>IDP101 S 50-80kg 600/1000  CT700</v>
          </cell>
        </row>
        <row r="14949">
          <cell r="B14949" t="str">
            <v>85-102-17-04</v>
          </cell>
          <cell r="C14949" t="str">
            <v>IDP101 S 50-80kg 800/1000  DF700</v>
          </cell>
          <cell r="D14949" t="str">
            <v>IDP101 S 50-80kg 800/1000  CT700</v>
          </cell>
        </row>
        <row r="14950">
          <cell r="B14950" t="str">
            <v>85-102-18-04</v>
          </cell>
          <cell r="C14950" t="str">
            <v>IDP101 S 50-80kg 1000/1000  DF700</v>
          </cell>
          <cell r="D14950" t="str">
            <v>IDP101 S 50-80kg 1000/1000  CT700</v>
          </cell>
        </row>
        <row r="14951">
          <cell r="B14951" t="str">
            <v>85-102-19-04</v>
          </cell>
          <cell r="C14951" t="str">
            <v>IDP101 S 50-80kg 1200/1000  DF700</v>
          </cell>
          <cell r="D14951" t="str">
            <v>IDP101 S 50-80kg 1200/1000  CT700</v>
          </cell>
        </row>
        <row r="14952">
          <cell r="B14952" t="str">
            <v>85-102-20-04</v>
          </cell>
          <cell r="C14952" t="str">
            <v>IDP101 S 70-110kg  1000 DF100</v>
          </cell>
          <cell r="D14952" t="str">
            <v>IDP101 S 70-110kg  1000 CT100</v>
          </cell>
        </row>
        <row r="14953">
          <cell r="B14953" t="str">
            <v>85-102-21-04</v>
          </cell>
          <cell r="C14953" t="str">
            <v>IDP101 S 70-110kg  600/1000  DF100</v>
          </cell>
          <cell r="D14953" t="str">
            <v>IDP101 S 70-110kg  600/1000  CT100</v>
          </cell>
        </row>
        <row r="14954">
          <cell r="B14954" t="str">
            <v>85-102-22-04</v>
          </cell>
          <cell r="C14954" t="str">
            <v>IDP101 S 70-110kg  800/1000  DF100</v>
          </cell>
          <cell r="D14954" t="str">
            <v>IDP101 S 70-110kg  800/1000  CT100</v>
          </cell>
        </row>
        <row r="14955">
          <cell r="B14955" t="str">
            <v>85-102-23-04</v>
          </cell>
          <cell r="C14955" t="str">
            <v>IDP101 S 70-110kg  1000/1000  DF100</v>
          </cell>
          <cell r="D14955" t="str">
            <v>IDP101 S 70-110kg  1000/1000  CT100</v>
          </cell>
        </row>
        <row r="14956">
          <cell r="B14956" t="str">
            <v>85-102-24-04</v>
          </cell>
          <cell r="C14956" t="str">
            <v>IDP101 S 70-110kg  1200/1000  DF100</v>
          </cell>
          <cell r="D14956" t="str">
            <v>IDP101 S 70-110kg  1200/1000  CT100</v>
          </cell>
        </row>
        <row r="14957">
          <cell r="B14957" t="str">
            <v>85-102-25-04</v>
          </cell>
          <cell r="C14957" t="str">
            <v>IDP101 S 70-110kg  1000 DF300</v>
          </cell>
          <cell r="D14957" t="str">
            <v>IDP101 S 70-110kg  1000 CT300</v>
          </cell>
        </row>
        <row r="14958">
          <cell r="B14958" t="str">
            <v>85-102-26-04</v>
          </cell>
          <cell r="C14958" t="str">
            <v>IDP101 S 70-110kg  600/1000  DF300</v>
          </cell>
          <cell r="D14958" t="str">
            <v>IDP101 S 70-110kg  600/1000  CT300</v>
          </cell>
        </row>
        <row r="14959">
          <cell r="B14959" t="str">
            <v>85-102-27-04</v>
          </cell>
          <cell r="C14959" t="str">
            <v>IDP101 S 70-110kg  800/1000  DF300</v>
          </cell>
          <cell r="D14959" t="str">
            <v>IDP101 S 70-110kg  800/1000  CT300</v>
          </cell>
        </row>
        <row r="14960">
          <cell r="B14960" t="str">
            <v>85-102-28-04</v>
          </cell>
          <cell r="C14960" t="str">
            <v>IDP101 S 70-110kg  1000/1000  DF300</v>
          </cell>
          <cell r="D14960" t="str">
            <v>IDP101 S 70-110kg  1000/1000  CT300</v>
          </cell>
        </row>
        <row r="14961">
          <cell r="B14961" t="str">
            <v>85-102-29-04</v>
          </cell>
          <cell r="C14961" t="str">
            <v>IDP101 S 70-110kg  1200/1000  DF300</v>
          </cell>
          <cell r="D14961" t="str">
            <v>IDP101 S 70-110kg  1200/1000  CT300</v>
          </cell>
        </row>
        <row r="14962">
          <cell r="B14962" t="str">
            <v>85-102-30-04</v>
          </cell>
          <cell r="C14962" t="str">
            <v>IDP101 S 70-110kg  1000 DF500</v>
          </cell>
          <cell r="D14962" t="str">
            <v>IDP101 S 70-110kg  1000 CT500</v>
          </cell>
        </row>
        <row r="14963">
          <cell r="B14963" t="str">
            <v>85-102-31-04</v>
          </cell>
          <cell r="C14963" t="str">
            <v>IDP101 S 70-110kg  600/1000  DF500</v>
          </cell>
          <cell r="D14963" t="str">
            <v>IDP101 S 70-110kg  600/1000  CT500</v>
          </cell>
        </row>
        <row r="14964">
          <cell r="B14964" t="str">
            <v>85-102-32-04</v>
          </cell>
          <cell r="C14964" t="str">
            <v>IDP101 S 70-110kg  800/1000  DF500</v>
          </cell>
          <cell r="D14964" t="str">
            <v>IDP101 S 70-110kg  800/1000  CT500</v>
          </cell>
        </row>
        <row r="14965">
          <cell r="B14965" t="str">
            <v>85-102-33-04</v>
          </cell>
          <cell r="C14965" t="str">
            <v>IDP101 S 70-110kg  1000/1000  DF500</v>
          </cell>
          <cell r="D14965" t="str">
            <v>IDP101 S 70-110kg  1000/1000  CT500</v>
          </cell>
        </row>
        <row r="14966">
          <cell r="B14966" t="str">
            <v>85-102-34-04</v>
          </cell>
          <cell r="C14966" t="str">
            <v>IDP101 S 70-110kg  1200/1000  DF500</v>
          </cell>
          <cell r="D14966" t="str">
            <v>IDP101 S 70-110kg  1200/1000  CT500</v>
          </cell>
        </row>
        <row r="14967">
          <cell r="B14967" t="str">
            <v>85-102-35-04</v>
          </cell>
          <cell r="C14967" t="str">
            <v>IDP101 S 70-110kg  1000 DF700</v>
          </cell>
          <cell r="D14967" t="str">
            <v>IDP101 S 70-110kg  1000 CT700</v>
          </cell>
        </row>
        <row r="14968">
          <cell r="B14968" t="str">
            <v>85-102-36-04</v>
          </cell>
          <cell r="C14968" t="str">
            <v>IDP101 S 70-110kg  600/1000  DF700</v>
          </cell>
          <cell r="D14968" t="str">
            <v>IDP101 S 70-110kg  600/1000  CT700</v>
          </cell>
        </row>
        <row r="14969">
          <cell r="B14969" t="str">
            <v>85-102-37-04</v>
          </cell>
          <cell r="C14969" t="str">
            <v>IDP101 S 70-110kg  800/1000  DF700</v>
          </cell>
          <cell r="D14969" t="str">
            <v>IDP101 S 70-110kg  800/1000  CT700</v>
          </cell>
        </row>
        <row r="14970">
          <cell r="B14970" t="str">
            <v>85-102-38-04</v>
          </cell>
          <cell r="C14970" t="str">
            <v>IDP101 S 70-110kg  1000/1000  DF700</v>
          </cell>
          <cell r="D14970" t="str">
            <v>IDP101 S 70-110kg  1000/1000  CT700</v>
          </cell>
        </row>
        <row r="14971">
          <cell r="B14971" t="str">
            <v>85-102-39-04</v>
          </cell>
          <cell r="C14971" t="str">
            <v>IDP101 S 70-110kg  1200/1000  DF700</v>
          </cell>
          <cell r="D14971" t="str">
            <v>IDP101 S 70-110kg  1200/1000  CT700</v>
          </cell>
        </row>
        <row r="14972">
          <cell r="B14972" t="str">
            <v>85-102-40-04</v>
          </cell>
          <cell r="C14972" t="str">
            <v>IDP101 S 80-135kg  1000 DF100</v>
          </cell>
          <cell r="D14972" t="str">
            <v>IDP101 S 80-135kg  1000 CT100</v>
          </cell>
        </row>
        <row r="14973">
          <cell r="B14973" t="str">
            <v>85-102-41-04</v>
          </cell>
          <cell r="C14973" t="str">
            <v>IDP101 S 80-135kg  600/1000  DF100</v>
          </cell>
          <cell r="D14973" t="str">
            <v>IDP101 S 80-135kg  600/1000  CT100</v>
          </cell>
        </row>
        <row r="14974">
          <cell r="B14974" t="str">
            <v>85-102-42-04</v>
          </cell>
          <cell r="C14974" t="str">
            <v>IDP101 S 80-135kg  800/1000  DF100</v>
          </cell>
          <cell r="D14974" t="str">
            <v>IDP101 S 80-135kg  800/1000  CT100</v>
          </cell>
        </row>
        <row r="14975">
          <cell r="B14975" t="str">
            <v>85-102-43-04</v>
          </cell>
          <cell r="C14975" t="str">
            <v>IDP101 S 80-135kg  1000/1000  DF100</v>
          </cell>
          <cell r="D14975" t="str">
            <v>IDP101 S 80-135kg  1000/1000  CT100</v>
          </cell>
        </row>
        <row r="14976">
          <cell r="B14976" t="str">
            <v>85-102-44-04</v>
          </cell>
          <cell r="C14976" t="str">
            <v>IDP101 S 80-135kg  1200/1000  DF100</v>
          </cell>
          <cell r="D14976" t="str">
            <v>IDP101 S 80-135kg  1200/1000  CT100</v>
          </cell>
        </row>
        <row r="14977">
          <cell r="B14977" t="str">
            <v>85-102-45-04</v>
          </cell>
          <cell r="C14977" t="str">
            <v>IDP101 S 80-135kg  1000 DF300</v>
          </cell>
          <cell r="D14977" t="str">
            <v>IDP101 S 80-135kg  1000 CT300</v>
          </cell>
        </row>
        <row r="14978">
          <cell r="B14978" t="str">
            <v>85-102-46-04</v>
          </cell>
          <cell r="C14978" t="str">
            <v>IDP101 S 80-135kg  600/1000  DF300</v>
          </cell>
          <cell r="D14978" t="str">
            <v>IDP101 S 80-135kg  600/1000  CT300</v>
          </cell>
        </row>
        <row r="14979">
          <cell r="B14979" t="str">
            <v>85-102-47-04</v>
          </cell>
          <cell r="C14979" t="str">
            <v>IDP101 S 80-135kg  800/1000  DF300</v>
          </cell>
          <cell r="D14979" t="str">
            <v>IDP101 S 80-135kg  800/1000  CT300</v>
          </cell>
        </row>
        <row r="14980">
          <cell r="B14980" t="str">
            <v>85-102-48-04</v>
          </cell>
          <cell r="C14980" t="str">
            <v>IDP101 S 80-135kg  1000/1000  DF300</v>
          </cell>
          <cell r="D14980" t="str">
            <v>IDP101 S 80-135kg  1000/1000  CT300</v>
          </cell>
        </row>
        <row r="14981">
          <cell r="B14981" t="str">
            <v>85-102-49-04</v>
          </cell>
          <cell r="C14981" t="str">
            <v>IDP101 S 80-135kg  1200/1000  DF300</v>
          </cell>
          <cell r="D14981" t="str">
            <v>IDP101 S 80-135kg  1200/1000  CT300</v>
          </cell>
        </row>
        <row r="14982">
          <cell r="B14982" t="str">
            <v>85-102-50-04</v>
          </cell>
          <cell r="C14982" t="str">
            <v>IDP101 S 80-135kg  1000 DF500</v>
          </cell>
          <cell r="D14982" t="str">
            <v>IDP101 S 80-135kg  1000 CT500</v>
          </cell>
        </row>
        <row r="14983">
          <cell r="B14983" t="str">
            <v>85-102-51-04</v>
          </cell>
          <cell r="C14983" t="str">
            <v>IDP101 S 80-135kg  600/1000  DF500</v>
          </cell>
          <cell r="D14983" t="str">
            <v>IDP101 S 80-135kg  600/1000  CT500</v>
          </cell>
        </row>
        <row r="14984">
          <cell r="B14984" t="str">
            <v>85-102-52-04</v>
          </cell>
          <cell r="C14984" t="str">
            <v>IDP101 S 80-135kg  800/1000  DF500</v>
          </cell>
          <cell r="D14984" t="str">
            <v>IDP101 S 80-135kg  800/1000  CT500</v>
          </cell>
        </row>
        <row r="14985">
          <cell r="B14985" t="str">
            <v>85-102-53-04</v>
          </cell>
          <cell r="C14985" t="str">
            <v>IDP101 S 80-135kg  1000/1000  DF500</v>
          </cell>
          <cell r="D14985" t="str">
            <v>IDP101 S 80-135kg  1000/1000  CT500</v>
          </cell>
        </row>
        <row r="14986">
          <cell r="B14986" t="str">
            <v>85-102-54-04</v>
          </cell>
          <cell r="C14986" t="str">
            <v>IDP101 S 80-135kg  1200/1000  DF500</v>
          </cell>
          <cell r="D14986" t="str">
            <v>IDP101 S 80-135kg  1200/1000  CT500</v>
          </cell>
        </row>
        <row r="14987">
          <cell r="B14987" t="str">
            <v>85-102-55-04</v>
          </cell>
          <cell r="C14987" t="str">
            <v>IDP101 S 80-135kg  1000 DF700</v>
          </cell>
          <cell r="D14987" t="str">
            <v>IDP101 S 80-135kg  1000 CT700</v>
          </cell>
        </row>
        <row r="14988">
          <cell r="B14988" t="str">
            <v>85-102-56-04</v>
          </cell>
          <cell r="C14988" t="str">
            <v>IDP101 S 80-135kg  600/1000  DF700</v>
          </cell>
          <cell r="D14988" t="str">
            <v>IDP101 S 80-135kg  600/1000  CT700</v>
          </cell>
        </row>
        <row r="14989">
          <cell r="B14989" t="str">
            <v>85-102-57-04</v>
          </cell>
          <cell r="C14989" t="str">
            <v>IDP101 S 80-135kg  800/1000  DF700</v>
          </cell>
          <cell r="D14989" t="str">
            <v>IDP101 S 80-135kg  800/1000  CT700</v>
          </cell>
        </row>
        <row r="14990">
          <cell r="B14990" t="str">
            <v>85-102-58-04</v>
          </cell>
          <cell r="C14990" t="str">
            <v>IDP101 S 80-135kg  1000/1000  DF700</v>
          </cell>
          <cell r="D14990" t="str">
            <v>IDP101 S 80-135kg  1000/1000  CT700</v>
          </cell>
        </row>
        <row r="14991">
          <cell r="B14991" t="str">
            <v>85-102-59-04</v>
          </cell>
          <cell r="C14991" t="str">
            <v>IDP101 S 80-135kg  1200/1000  DF700</v>
          </cell>
          <cell r="D14991" t="str">
            <v>IDP101 S 80-135kg  1200/1000  CT700</v>
          </cell>
        </row>
        <row r="14992">
          <cell r="B14992" t="str">
            <v>85-102-60-04</v>
          </cell>
          <cell r="C14992" t="str">
            <v>IDP101 S 120-180kg  1000 DF100</v>
          </cell>
          <cell r="D14992" t="str">
            <v>IDP101 S 120-180kg  1000 CT100</v>
          </cell>
        </row>
        <row r="14993">
          <cell r="B14993" t="str">
            <v>85-102-61-04</v>
          </cell>
          <cell r="C14993" t="str">
            <v>IDP101 S 120-180kg  600/1000  DF100</v>
          </cell>
          <cell r="D14993" t="str">
            <v>IDP101 S 120-180kg  600/1000  CT100</v>
          </cell>
        </row>
        <row r="14994">
          <cell r="B14994" t="str">
            <v>85-102-62-04</v>
          </cell>
          <cell r="C14994" t="str">
            <v>IDP101 S 120-180kg  800/1000  DF100</v>
          </cell>
          <cell r="D14994" t="str">
            <v>IDP101 S 120-180kg  800/1000  CT100</v>
          </cell>
        </row>
        <row r="14995">
          <cell r="B14995" t="str">
            <v>85-102-63-04</v>
          </cell>
          <cell r="C14995" t="str">
            <v>IDP101 S 120-180kg  1000/1000  DF100</v>
          </cell>
          <cell r="D14995" t="str">
            <v>IDP101 S 120-180kg  1000/1000  CT100</v>
          </cell>
        </row>
        <row r="14996">
          <cell r="B14996" t="str">
            <v>85-102-64-04</v>
          </cell>
          <cell r="C14996" t="str">
            <v>IDP101 S 120-180kg  1000 DF300</v>
          </cell>
          <cell r="D14996" t="str">
            <v>IDP101 S 120-180kg  1000 CT300</v>
          </cell>
        </row>
        <row r="14997">
          <cell r="B14997" t="str">
            <v>85-102-65-04</v>
          </cell>
          <cell r="C14997" t="str">
            <v>IDP101 S 120-180kg  600/1000  DF300</v>
          </cell>
          <cell r="D14997" t="str">
            <v>IDP101 S 120-180kg  600/1000  CT300</v>
          </cell>
        </row>
        <row r="14998">
          <cell r="B14998" t="str">
            <v>85-102-66-04</v>
          </cell>
          <cell r="C14998" t="str">
            <v>IDP101 S 120-180kg  800/1000  DF300</v>
          </cell>
          <cell r="D14998" t="str">
            <v>IDP101 S 120-180kg  800/1000  CT300</v>
          </cell>
        </row>
        <row r="14999">
          <cell r="B14999" t="str">
            <v>85-102-67-04</v>
          </cell>
          <cell r="C14999" t="str">
            <v>IDP101 S 120-180kg  1000/1000  DF300</v>
          </cell>
          <cell r="D14999" t="str">
            <v>IDP101 S 120-180kg  1000/1000  CT300</v>
          </cell>
        </row>
        <row r="15000">
          <cell r="B15000" t="str">
            <v>85-102-68-04</v>
          </cell>
          <cell r="C15000" t="str">
            <v>IDP101 S 120-180kg  1000 DF500</v>
          </cell>
          <cell r="D15000" t="str">
            <v>IDP101 S 120-180kg  1000 CT500</v>
          </cell>
        </row>
        <row r="15001">
          <cell r="B15001" t="str">
            <v>85-102-69-04</v>
          </cell>
          <cell r="C15001" t="str">
            <v>IDP101 S 120-180kg  600/1000  DF500</v>
          </cell>
          <cell r="D15001" t="str">
            <v>IDP101 S 120-180kg  600/1000  CT500</v>
          </cell>
        </row>
        <row r="15002">
          <cell r="B15002" t="str">
            <v>85-102-70-04</v>
          </cell>
          <cell r="C15002" t="str">
            <v>IDP101 S 120-180kg  800/1000  DF500</v>
          </cell>
          <cell r="D15002" t="str">
            <v>IDP101 S 120-180kg  800/1000  CT500</v>
          </cell>
        </row>
        <row r="15003">
          <cell r="B15003" t="str">
            <v>85-102-71-04</v>
          </cell>
          <cell r="C15003" t="str">
            <v>IDP101 S 120-180kg  1000/1000  DF500</v>
          </cell>
          <cell r="D15003" t="str">
            <v>IDP101 S 120-180kg  1000/1000  CT500</v>
          </cell>
        </row>
        <row r="15004">
          <cell r="B15004" t="str">
            <v>85-102-72-04</v>
          </cell>
          <cell r="C15004" t="str">
            <v>IDP101 S 120-180kg  1000 DF700</v>
          </cell>
          <cell r="D15004" t="str">
            <v>IDP101 S 120-180kg  1000 CT700</v>
          </cell>
        </row>
        <row r="15005">
          <cell r="B15005" t="str">
            <v>85-102-73-04</v>
          </cell>
          <cell r="C15005" t="str">
            <v>IDP101 S 120-180kg  600/1000  DF700</v>
          </cell>
          <cell r="D15005" t="str">
            <v>IDP101 S 120-180kg  600/1000  CT700</v>
          </cell>
        </row>
        <row r="15006">
          <cell r="B15006" t="str">
            <v>85-102-74-04</v>
          </cell>
          <cell r="C15006" t="str">
            <v>IDP101 S 120-180kg  800/1000  DF700</v>
          </cell>
          <cell r="D15006" t="str">
            <v>IDP101 S 120-180kg  800/1000  CT700</v>
          </cell>
        </row>
        <row r="15007">
          <cell r="B15007" t="str">
            <v>85-102-75-04</v>
          </cell>
          <cell r="C15007" t="str">
            <v>IDP101 S 120-180kg  1000/1000  DF700</v>
          </cell>
          <cell r="D15007" t="str">
            <v>IDP101 S 120-180kg  1000/1000  CT700</v>
          </cell>
        </row>
        <row r="15008">
          <cell r="B15008" t="str">
            <v>85-102-76-04</v>
          </cell>
          <cell r="C15008" t="str">
            <v>IDP101 S XL 30-60kg 600/1000  DF100</v>
          </cell>
          <cell r="D15008" t="str">
            <v>IDP101 S XL 30-60kg 600/1000  CT100</v>
          </cell>
        </row>
        <row r="15009">
          <cell r="B15009" t="str">
            <v>85-102-77-04</v>
          </cell>
          <cell r="C15009" t="str">
            <v>IDP101 S XL 30-60kg 800/1000  DF100</v>
          </cell>
          <cell r="D15009" t="str">
            <v>IDP101 S XL 30-60kg 800/1000  CT100</v>
          </cell>
        </row>
        <row r="15010">
          <cell r="B15010" t="str">
            <v>85-102-78-04</v>
          </cell>
          <cell r="C15010" t="str">
            <v>IDP101 S XL 30-60kg 1000/1000  DF100</v>
          </cell>
          <cell r="D15010" t="str">
            <v>IDP101 S XL 30-60kg 1000/1000  CT100</v>
          </cell>
        </row>
        <row r="15011">
          <cell r="B15011" t="str">
            <v>85-102-79-04</v>
          </cell>
          <cell r="C15011" t="str">
            <v>IDP101 S XL 30-60kg 1200/1000  DF100</v>
          </cell>
          <cell r="D15011" t="str">
            <v>IDP101 S XL 30-60kg 1200/1000  CT100</v>
          </cell>
        </row>
        <row r="15012">
          <cell r="B15012" t="str">
            <v>85-102-80-04</v>
          </cell>
          <cell r="C15012" t="str">
            <v>IDP101 S XL 30-60kg 1400/1000  DF100</v>
          </cell>
          <cell r="D15012" t="str">
            <v>IDP101 S XL 30-60kg 1400/1000  CT100</v>
          </cell>
        </row>
        <row r="15013">
          <cell r="B15013" t="str">
            <v>85-102-81-04</v>
          </cell>
          <cell r="C15013" t="str">
            <v>IDP101 S XL 30-60kg 1600/1000  DF100</v>
          </cell>
          <cell r="D15013" t="str">
            <v>IDP101 S XL 30-60kg 1600/1000  CT100</v>
          </cell>
        </row>
        <row r="15014">
          <cell r="B15014" t="str">
            <v>85-102-82-04</v>
          </cell>
          <cell r="C15014" t="str">
            <v>IDP101 S XL 30-60kg 600/1000  DF300</v>
          </cell>
          <cell r="D15014" t="str">
            <v>IDP101 S XL 30-60kg 600/1000  CT300</v>
          </cell>
        </row>
        <row r="15015">
          <cell r="B15015" t="str">
            <v>85-102-83-04</v>
          </cell>
          <cell r="C15015" t="str">
            <v>IDP101 S XL 30-60kg 800/1000  DF300</v>
          </cell>
          <cell r="D15015" t="str">
            <v>IDP101 S XL 30-60kg 800/1000  CT300</v>
          </cell>
        </row>
        <row r="15016">
          <cell r="B15016" t="str">
            <v>85-102-84-04</v>
          </cell>
          <cell r="C15016" t="str">
            <v>IDP101 S XL 30-60kg 1000/1000  DF300</v>
          </cell>
          <cell r="D15016" t="str">
            <v>IDP101 S XL 30-60kg 1000/1000  CT300</v>
          </cell>
        </row>
        <row r="15017">
          <cell r="B15017" t="str">
            <v>85-102-85-04</v>
          </cell>
          <cell r="C15017" t="str">
            <v>IDP101 S XL 30-60kg 1200/1000  DF300</v>
          </cell>
          <cell r="D15017" t="str">
            <v>IDP101 S XL 30-60kg 1200/1000  CT300</v>
          </cell>
        </row>
        <row r="15018">
          <cell r="B15018" t="str">
            <v>85-102-86-04</v>
          </cell>
          <cell r="C15018" t="str">
            <v>IDP101 S XL 30-60kg 1400/1000  DF300</v>
          </cell>
          <cell r="D15018" t="str">
            <v>IDP101 S XL 30-60kg 1400/1000  CT300</v>
          </cell>
        </row>
        <row r="15019">
          <cell r="B15019" t="str">
            <v>85-102-87-04</v>
          </cell>
          <cell r="C15019" t="str">
            <v>IDP101 S XL 30-60kg 1600/1000  DF300</v>
          </cell>
          <cell r="D15019" t="str">
            <v>IDP101 S XL 30-60kg 1600/1000  CT300</v>
          </cell>
        </row>
        <row r="15020">
          <cell r="B15020" t="str">
            <v>85-102-88-04</v>
          </cell>
          <cell r="C15020" t="str">
            <v>IDP101 S XL 30-60kg 600/1000  DF500</v>
          </cell>
          <cell r="D15020" t="str">
            <v>IDP101 S XL 30-60kg 600/1000  CT500</v>
          </cell>
        </row>
        <row r="15021">
          <cell r="B15021" t="str">
            <v>85-102-89-04</v>
          </cell>
          <cell r="C15021" t="str">
            <v>IDP101 S XL 30-60kg 800/1000  DF500</v>
          </cell>
          <cell r="D15021" t="str">
            <v>IDP101 S XL 30-60kg 800/1000  CT500</v>
          </cell>
        </row>
        <row r="15022">
          <cell r="B15022" t="str">
            <v>85-102-90-04</v>
          </cell>
          <cell r="C15022" t="str">
            <v>IDP101 S XL 30-60kg 1000/1000  DF500</v>
          </cell>
          <cell r="D15022" t="str">
            <v>IDP101 S XL 30-60kg 1000/1000  CT500</v>
          </cell>
        </row>
        <row r="15023">
          <cell r="B15023" t="str">
            <v>85-102-91-04</v>
          </cell>
          <cell r="C15023" t="str">
            <v>IDP101 S XL 30-60kg 1200/1000  DF500</v>
          </cell>
          <cell r="D15023" t="str">
            <v>IDP101 S XL 30-60kg 1200/1000  CT500</v>
          </cell>
        </row>
        <row r="15024">
          <cell r="B15024" t="str">
            <v>85-102-92-04</v>
          </cell>
          <cell r="C15024" t="str">
            <v>IDP101 S XL 30-60kg 1400/1000  DF500</v>
          </cell>
          <cell r="D15024" t="str">
            <v>IDP101 S XL 30-60kg 1400/1000  CT500</v>
          </cell>
        </row>
        <row r="15025">
          <cell r="B15025" t="str">
            <v>85-102-93-04</v>
          </cell>
          <cell r="C15025" t="str">
            <v>IDP101 S XL 30-60kg 1600/1000  DF500</v>
          </cell>
          <cell r="D15025" t="str">
            <v>IDP101 S XL 30-60kg 1600/1000  CT500</v>
          </cell>
        </row>
        <row r="15026">
          <cell r="B15026" t="str">
            <v>85-102-94-04</v>
          </cell>
          <cell r="C15026" t="str">
            <v>IDP101 S XL 30-60kg 600/1000  DF700</v>
          </cell>
          <cell r="D15026" t="str">
            <v>IDP101 S XL 30-60kg 600/1000  CT700</v>
          </cell>
        </row>
        <row r="15027">
          <cell r="B15027" t="str">
            <v>85-102-95-04</v>
          </cell>
          <cell r="C15027" t="str">
            <v>IDP101 S XL 30-60kg 800/1000  DF700</v>
          </cell>
          <cell r="D15027" t="str">
            <v>IDP101 S XL 30-60kg 800/1000  CT700</v>
          </cell>
        </row>
        <row r="15028">
          <cell r="B15028" t="str">
            <v>85-102-96-04</v>
          </cell>
          <cell r="C15028" t="str">
            <v>IDP101 S XL 30-60kg 1000/1000  DF700</v>
          </cell>
          <cell r="D15028" t="str">
            <v>IDP101 S XL 30-60kg 1000/1000  CT700</v>
          </cell>
        </row>
        <row r="15029">
          <cell r="B15029" t="str">
            <v>85-102-97-04</v>
          </cell>
          <cell r="C15029" t="str">
            <v>IDP101 S XL 30-60kg 1200/1000  DF700</v>
          </cell>
          <cell r="D15029" t="str">
            <v>IDP101 S XL 30-60kg 1200/1000  CT700</v>
          </cell>
        </row>
        <row r="15030">
          <cell r="B15030" t="str">
            <v>85-102-98-04</v>
          </cell>
          <cell r="C15030" t="str">
            <v>IDP101 S XL 30-60kg 1400/1000  DF700</v>
          </cell>
          <cell r="D15030" t="str">
            <v>IDP101 S XL 30-60kg 1400/1000  CT700</v>
          </cell>
        </row>
        <row r="15031">
          <cell r="B15031" t="str">
            <v>85-102-99-04</v>
          </cell>
          <cell r="C15031" t="str">
            <v>IDP101 S XL 30-60kg 1600/1000  DF700</v>
          </cell>
          <cell r="D15031" t="str">
            <v>IDP101 S XL 30-60kg 1600/1000  CT700</v>
          </cell>
        </row>
        <row r="15032">
          <cell r="B15032" t="str">
            <v>85-103-00-04</v>
          </cell>
          <cell r="C15032" t="str">
            <v>IDP101 S XL 50-80kg 600/1000  DF100</v>
          </cell>
          <cell r="D15032" t="str">
            <v>IDP101 S XL 50-80kg 600/1000  CT100</v>
          </cell>
        </row>
        <row r="15033">
          <cell r="B15033" t="str">
            <v>85-103-01-04</v>
          </cell>
          <cell r="C15033" t="str">
            <v>IDP101 S XL 50-80kg 800/1000  DF100</v>
          </cell>
          <cell r="D15033" t="str">
            <v>IDP101 S XL 50-80kg 800/1000  CT100</v>
          </cell>
        </row>
        <row r="15034">
          <cell r="B15034" t="str">
            <v>85-103-02-04</v>
          </cell>
          <cell r="C15034" t="str">
            <v>IDP101 S XL 50-80kg 1000/1000  DF100</v>
          </cell>
          <cell r="D15034" t="str">
            <v>IDP101 S XL 50-80kg 1000/1000  CT100</v>
          </cell>
        </row>
        <row r="15035">
          <cell r="B15035" t="str">
            <v>85-103-03-04</v>
          </cell>
          <cell r="C15035" t="str">
            <v>IDP101 S XL 50-80kg 1200/1000  DF100</v>
          </cell>
          <cell r="D15035" t="str">
            <v>IDP101 S XL 50-80kg 1200/1000  CT100</v>
          </cell>
        </row>
        <row r="15036">
          <cell r="B15036" t="str">
            <v>85-103-04-04</v>
          </cell>
          <cell r="C15036" t="str">
            <v>IDP101 S XL 50-80kg 1400/1000  DF100</v>
          </cell>
          <cell r="D15036" t="str">
            <v>IDP101 S XL 50-80kg 1400/1000  CT100</v>
          </cell>
        </row>
        <row r="15037">
          <cell r="B15037" t="str">
            <v>85-103-05-04</v>
          </cell>
          <cell r="C15037" t="str">
            <v>IDP101 S XL 50-80kg 1600/1000  DF100</v>
          </cell>
          <cell r="D15037" t="str">
            <v>IDP101 S XL 50-80kg 1600/1000  CT100</v>
          </cell>
        </row>
        <row r="15038">
          <cell r="B15038" t="str">
            <v>85-103-06-04</v>
          </cell>
          <cell r="C15038" t="str">
            <v>IDP101 S XL 50-80kg 600/1000  DF300</v>
          </cell>
          <cell r="D15038" t="str">
            <v>IDP101 S XL 50-80kg 600/1000  CT300</v>
          </cell>
        </row>
        <row r="15039">
          <cell r="B15039" t="str">
            <v>85-103-07-04</v>
          </cell>
          <cell r="C15039" t="str">
            <v>IDP101 S XL 50-80kg 800/1000  DF300</v>
          </cell>
          <cell r="D15039" t="str">
            <v>IDP101 S XL 50-80kg 800/1000  CT300</v>
          </cell>
        </row>
        <row r="15040">
          <cell r="B15040" t="str">
            <v>85-103-08-04</v>
          </cell>
          <cell r="C15040" t="str">
            <v>IDP101 S XL 50-80kg 1000/1000  DF300</v>
          </cell>
          <cell r="D15040" t="str">
            <v>IDP101 S XL 50-80kg 1000/1000  CT300</v>
          </cell>
        </row>
        <row r="15041">
          <cell r="B15041" t="str">
            <v>85-103-09-04</v>
          </cell>
          <cell r="C15041" t="str">
            <v>IDP101 S XL 50-80kg 1200/1000  DF300</v>
          </cell>
          <cell r="D15041" t="str">
            <v>IDP101 S XL 50-80kg 1200/1000  CT300</v>
          </cell>
        </row>
        <row r="15042">
          <cell r="B15042" t="str">
            <v>85-103-10-04</v>
          </cell>
          <cell r="C15042" t="str">
            <v>IDP101 S XL 50-80kg 1400/1000  DF300</v>
          </cell>
          <cell r="D15042" t="str">
            <v>IDP101 S XL 50-80kg 1400/1000  CT300</v>
          </cell>
        </row>
        <row r="15043">
          <cell r="B15043" t="str">
            <v>85-103-11-04</v>
          </cell>
          <cell r="C15043" t="str">
            <v>IDP101 S XL 50-80kg 1600/1000  DF300</v>
          </cell>
          <cell r="D15043" t="str">
            <v>IDP101 S XL 50-80kg 1600/1000  CT300</v>
          </cell>
        </row>
        <row r="15044">
          <cell r="B15044" t="str">
            <v>85-103-12-04</v>
          </cell>
          <cell r="C15044" t="str">
            <v>IDP101 S XL 50-80kg 600/1000  DF500</v>
          </cell>
          <cell r="D15044" t="str">
            <v>IDP101 S XL 50-80kg 600/1000  CT500</v>
          </cell>
        </row>
        <row r="15045">
          <cell r="B15045" t="str">
            <v>85-103-13-04</v>
          </cell>
          <cell r="C15045" t="str">
            <v>IDP101 S XL 50-80kg 800/1000  DF500</v>
          </cell>
          <cell r="D15045" t="str">
            <v>IDP101 S XL 50-80kg 800/1000  CT500</v>
          </cell>
        </row>
        <row r="15046">
          <cell r="B15046" t="str">
            <v>85-103-14-04</v>
          </cell>
          <cell r="C15046" t="str">
            <v>IDP101 S XL 50-80kg 1000/1000  DF500</v>
          </cell>
          <cell r="D15046" t="str">
            <v>IDP101 S XL 50-80kg 1000/1000  CT500</v>
          </cell>
        </row>
        <row r="15047">
          <cell r="B15047" t="str">
            <v>85-103-15-04</v>
          </cell>
          <cell r="C15047" t="str">
            <v>IDP101 S XL 50-80kg 1200/1000  DF500</v>
          </cell>
          <cell r="D15047" t="str">
            <v>IDP101 S XL 50-80kg 1200/1000  CT500</v>
          </cell>
        </row>
        <row r="15048">
          <cell r="B15048" t="str">
            <v>85-103-16-04</v>
          </cell>
          <cell r="C15048" t="str">
            <v>IDP101 S XL 50-80kg 1400/1000  DF500</v>
          </cell>
          <cell r="D15048" t="str">
            <v>IDP101 S XL 50-80kg 1400/1000  CT500</v>
          </cell>
        </row>
        <row r="15049">
          <cell r="B15049" t="str">
            <v>85-103-17-04</v>
          </cell>
          <cell r="C15049" t="str">
            <v>IDP101 S XL 50-80kg 1600/1000  DF500</v>
          </cell>
          <cell r="D15049" t="str">
            <v>IDP101 S XL 50-80kg 1600/1000  CT500</v>
          </cell>
        </row>
        <row r="15050">
          <cell r="B15050" t="str">
            <v>85-103-18-04</v>
          </cell>
          <cell r="C15050" t="str">
            <v>IDP101 S XL 50-80kg 600/1000  DF700</v>
          </cell>
          <cell r="D15050" t="str">
            <v>IDP101 S XL 50-80kg 600/1000  CT700</v>
          </cell>
        </row>
        <row r="15051">
          <cell r="B15051" t="str">
            <v>85-103-19-04</v>
          </cell>
          <cell r="C15051" t="str">
            <v>IDP101 S XL 50-80kg 800/1000  DF700</v>
          </cell>
          <cell r="D15051" t="str">
            <v>IDP101 S XL 50-80kg 800/1000  CT700</v>
          </cell>
        </row>
        <row r="15052">
          <cell r="B15052" t="str">
            <v>85-103-20-04</v>
          </cell>
          <cell r="C15052" t="str">
            <v>IDP101 S XL 50-80kg 1000/1000  DF700</v>
          </cell>
          <cell r="D15052" t="str">
            <v>IDP101 S XL 50-80kg 1000/1000  CT700</v>
          </cell>
        </row>
        <row r="15053">
          <cell r="B15053" t="str">
            <v>85-103-21-04</v>
          </cell>
          <cell r="C15053" t="str">
            <v>IDP101 S XL 50-80kg 1200/1000  DF700</v>
          </cell>
          <cell r="D15053" t="str">
            <v>IDP101 S XL 50-80kg 1200/1000  CT700</v>
          </cell>
        </row>
        <row r="15054">
          <cell r="B15054" t="str">
            <v>85-103-22-04</v>
          </cell>
          <cell r="C15054" t="str">
            <v>IDP101 S XL 50-80kg 1400/1000  DF700</v>
          </cell>
          <cell r="D15054" t="str">
            <v>IDP101 S XL 50-80kg 1400/1000  CT700</v>
          </cell>
        </row>
        <row r="15055">
          <cell r="B15055" t="str">
            <v>85-103-23-04</v>
          </cell>
          <cell r="C15055" t="str">
            <v>IDP101 S XL 50-80kg 1600/1000  DF700</v>
          </cell>
          <cell r="D15055" t="str">
            <v>IDP101 S XL 50-80kg 1600/1000  CT700</v>
          </cell>
        </row>
        <row r="15056">
          <cell r="B15056" t="str">
            <v>85-103-24-04</v>
          </cell>
          <cell r="C15056" t="str">
            <v>IDP101 S XL 70-110kg  600/1000  DF100</v>
          </cell>
          <cell r="D15056" t="str">
            <v>IDP101 S XL 70-110kg  600/1000  CT100</v>
          </cell>
        </row>
        <row r="15057">
          <cell r="B15057" t="str">
            <v>85-103-25-04</v>
          </cell>
          <cell r="C15057" t="str">
            <v>IDP101 S XL 70-110kg  800/1000  DF100</v>
          </cell>
          <cell r="D15057" t="str">
            <v>IDP101 S XL 70-110kg  800/1000  CT100</v>
          </cell>
        </row>
        <row r="15058">
          <cell r="B15058" t="str">
            <v>85-103-26-04</v>
          </cell>
          <cell r="C15058" t="str">
            <v>IDP101 S XL 70-110kg  1000/1000  DF100</v>
          </cell>
          <cell r="D15058" t="str">
            <v>IDP101 S XL 70-110kg  1000/1000  CT100</v>
          </cell>
        </row>
        <row r="15059">
          <cell r="B15059" t="str">
            <v>85-103-27-04</v>
          </cell>
          <cell r="C15059" t="str">
            <v>IDP101 S XL 70-110kg  1200/1000  DF100</v>
          </cell>
          <cell r="D15059" t="str">
            <v>IDP101 S XL 70-110kg  1200/1000  CT100</v>
          </cell>
        </row>
        <row r="15060">
          <cell r="B15060" t="str">
            <v>85-103-28-04</v>
          </cell>
          <cell r="C15060" t="str">
            <v>IDP101 S XL 70-110kg  1400/1000  DF100</v>
          </cell>
          <cell r="D15060" t="str">
            <v>IDP101 S XL 70-110kg  1400/1000  CT100</v>
          </cell>
        </row>
        <row r="15061">
          <cell r="B15061" t="str">
            <v>85-103-29-04</v>
          </cell>
          <cell r="C15061" t="str">
            <v>IDP101 S XL 70-110kg  1600/1000  DF100</v>
          </cell>
          <cell r="D15061" t="str">
            <v>IDP101 S XL 70-110kg  1600/1000  CT100</v>
          </cell>
        </row>
        <row r="15062">
          <cell r="B15062" t="str">
            <v>85-103-30-04</v>
          </cell>
          <cell r="C15062" t="str">
            <v>IDP101 S XL 70-110kg  600/1000  DF300</v>
          </cell>
          <cell r="D15062" t="str">
            <v>IDP101 S XL 70-110kg  600/1000  CT300</v>
          </cell>
        </row>
        <row r="15063">
          <cell r="B15063" t="str">
            <v>85-103-31-04</v>
          </cell>
          <cell r="C15063" t="str">
            <v>IDP101 S XL 70-110kg  800/1000  DF300</v>
          </cell>
          <cell r="D15063" t="str">
            <v>IDP101 S XL 70-110kg  800/1000  CT300</v>
          </cell>
        </row>
        <row r="15064">
          <cell r="B15064" t="str">
            <v>85-103-32-04</v>
          </cell>
          <cell r="C15064" t="str">
            <v>IDP101 S XL 70-110kg  1000/1000  DF300</v>
          </cell>
          <cell r="D15064" t="str">
            <v>IDP101 S XL 70-110kg  1000/1000  CT300</v>
          </cell>
        </row>
        <row r="15065">
          <cell r="B15065" t="str">
            <v>85-103-33-04</v>
          </cell>
          <cell r="C15065" t="str">
            <v>IDP101 S XL 70-110kg  1200/1000  DF300</v>
          </cell>
          <cell r="D15065" t="str">
            <v>IDP101 S XL 70-110kg  1200/1000  CT300</v>
          </cell>
        </row>
        <row r="15066">
          <cell r="B15066" t="str">
            <v>85-103-34-04</v>
          </cell>
          <cell r="C15066" t="str">
            <v>IDP101 S XL 70-110kg  1400/1000  DF300</v>
          </cell>
          <cell r="D15066" t="str">
            <v>IDP101 S XL 70-110kg  1400/1000  CT300</v>
          </cell>
        </row>
        <row r="15067">
          <cell r="B15067" t="str">
            <v>85-103-35-04</v>
          </cell>
          <cell r="C15067" t="str">
            <v>IDP101 S XL 70-110kg  1600/1000  DF300</v>
          </cell>
          <cell r="D15067" t="str">
            <v>IDP101 S XL 70-110kg  1600/1000  CT300</v>
          </cell>
        </row>
        <row r="15068">
          <cell r="B15068" t="str">
            <v>85-103-36-04</v>
          </cell>
          <cell r="C15068" t="str">
            <v>IDP101 S XL 70-110kg  600/1000  DF500</v>
          </cell>
          <cell r="D15068" t="str">
            <v>IDP101 S XL 70-110kg  600/1000  CT500</v>
          </cell>
        </row>
        <row r="15069">
          <cell r="B15069" t="str">
            <v>85-103-37-04</v>
          </cell>
          <cell r="C15069" t="str">
            <v>IDP101 S XL 70-110kg  800/1000  DF500</v>
          </cell>
          <cell r="D15069" t="str">
            <v>IDP101 S XL 70-110kg  800/1000  CT500</v>
          </cell>
        </row>
        <row r="15070">
          <cell r="B15070" t="str">
            <v>85-103-38-04</v>
          </cell>
          <cell r="C15070" t="str">
            <v>IDP101 S XL 70-110kg  1000/1000  DF500</v>
          </cell>
          <cell r="D15070" t="str">
            <v>IDP101 S XL 70-110kg  1000/1000  CT500</v>
          </cell>
        </row>
        <row r="15071">
          <cell r="B15071" t="str">
            <v>85-103-39-04</v>
          </cell>
          <cell r="C15071" t="str">
            <v>IDP101 S XL 70-110kg  1200/1000  DF500</v>
          </cell>
          <cell r="D15071" t="str">
            <v>IDP101 S XL 70-110kg  1200/1000  CT500</v>
          </cell>
        </row>
        <row r="15072">
          <cell r="B15072" t="str">
            <v>85-103-40-04</v>
          </cell>
          <cell r="C15072" t="str">
            <v>IDP101 S XL 70-110kg  1400/1000  DF500</v>
          </cell>
          <cell r="D15072" t="str">
            <v>IDP101 S XL 70-110kg  1400/1000  CT500</v>
          </cell>
        </row>
        <row r="15073">
          <cell r="B15073" t="str">
            <v>85-103-41-04</v>
          </cell>
          <cell r="C15073" t="str">
            <v>IDP101 S XL 70-110kg  1600/1000  DF500</v>
          </cell>
          <cell r="D15073" t="str">
            <v>IDP101 S XL 70-110kg  1600/1000  CT500</v>
          </cell>
        </row>
        <row r="15074">
          <cell r="B15074" t="str">
            <v>85-103-42-04</v>
          </cell>
          <cell r="C15074" t="str">
            <v>IDP101 S XL 70-110kg  600/1000  DF700</v>
          </cell>
          <cell r="D15074" t="str">
            <v>IDP101 S XL 70-110kg  600/1000  CT700</v>
          </cell>
        </row>
        <row r="15075">
          <cell r="B15075" t="str">
            <v>85-103-43-04</v>
          </cell>
          <cell r="C15075" t="str">
            <v>IDP101 S XL 70-110kg  800/1000  DF700</v>
          </cell>
          <cell r="D15075" t="str">
            <v>IDP101 S XL 70-110kg  800/1000  CT700</v>
          </cell>
        </row>
        <row r="15076">
          <cell r="B15076" t="str">
            <v>85-103-44-04</v>
          </cell>
          <cell r="C15076" t="str">
            <v>IDP101 S XL 70-110kg  1000/1000  DF700</v>
          </cell>
          <cell r="D15076" t="str">
            <v>IDP101 S XL 70-110kg  1000/1000  CT700</v>
          </cell>
        </row>
        <row r="15077">
          <cell r="B15077" t="str">
            <v>85-103-45-04</v>
          </cell>
          <cell r="C15077" t="str">
            <v>IDP101 S XL 70-110kg  1200/1000  DF700</v>
          </cell>
          <cell r="D15077" t="str">
            <v>IDP101 S XL 70-110kg  1200/1000  CT700</v>
          </cell>
        </row>
        <row r="15078">
          <cell r="B15078" t="str">
            <v>85-103-46-04</v>
          </cell>
          <cell r="C15078" t="str">
            <v>IDP101 S XL 70-110kg  1400/1000  DF700</v>
          </cell>
          <cell r="D15078" t="str">
            <v>IDP101 S XL 70-110kg  1400/1000  CT700</v>
          </cell>
        </row>
        <row r="15079">
          <cell r="B15079" t="str">
            <v>85-103-47-04</v>
          </cell>
          <cell r="C15079" t="str">
            <v>IDP101 S XL 70-110kg  1600/1000  DF700</v>
          </cell>
          <cell r="D15079" t="str">
            <v>IDP101 S XL 70-110kg  1600/1000  CT700</v>
          </cell>
        </row>
        <row r="15080">
          <cell r="B15080" t="str">
            <v>85-103-48-04</v>
          </cell>
          <cell r="C15080" t="str">
            <v>IDP101 S XL 80-135kg  600/1000  DF100</v>
          </cell>
          <cell r="D15080" t="str">
            <v>IDP101 S XL 80-135kg  600/1000  CT100</v>
          </cell>
        </row>
        <row r="15081">
          <cell r="B15081" t="str">
            <v>85-103-49-04</v>
          </cell>
          <cell r="C15081" t="str">
            <v>IDP101 S XL 80-135kg  800/1000  DF100</v>
          </cell>
          <cell r="D15081" t="str">
            <v>IDP101 S XL 80-135kg  800/1000  CT100</v>
          </cell>
        </row>
        <row r="15082">
          <cell r="B15082" t="str">
            <v>85-103-50-04</v>
          </cell>
          <cell r="C15082" t="str">
            <v>IDP101 S XL 80-135kg  1000/1000  DF100</v>
          </cell>
          <cell r="D15082" t="str">
            <v>IDP101 S XL 80-135kg  1000/1000  CT100</v>
          </cell>
        </row>
        <row r="15083">
          <cell r="B15083" t="str">
            <v>85-103-51-04</v>
          </cell>
          <cell r="C15083" t="str">
            <v>IDP101 S XL 80-135kg  1200/1000  DF100</v>
          </cell>
          <cell r="D15083" t="str">
            <v>IDP101 S XL 80-135kg  1200/1000  CT100</v>
          </cell>
        </row>
        <row r="15084">
          <cell r="B15084" t="str">
            <v>85-103-52-04</v>
          </cell>
          <cell r="C15084" t="str">
            <v>IDP101 S XL 80-135kg  1400/1000  DF100</v>
          </cell>
          <cell r="D15084" t="str">
            <v>IDP101 S XL 80-135kg  1400/1000  CT100</v>
          </cell>
        </row>
        <row r="15085">
          <cell r="B15085" t="str">
            <v>85-103-53-04</v>
          </cell>
          <cell r="C15085" t="str">
            <v>IDP101 S XL 80-135kg  1600/1000  DF100</v>
          </cell>
          <cell r="D15085" t="str">
            <v>IDP101 S XL 80-135kg  1600/1000  CT100</v>
          </cell>
        </row>
        <row r="15086">
          <cell r="B15086" t="str">
            <v>85-103-54-04</v>
          </cell>
          <cell r="C15086" t="str">
            <v>IDP101 S XL 80-135kg  600/1000  DF300</v>
          </cell>
          <cell r="D15086" t="str">
            <v>IDP101 S XL 80-135kg  600/1000  CT300</v>
          </cell>
        </row>
        <row r="15087">
          <cell r="B15087" t="str">
            <v>85-103-55-04</v>
          </cell>
          <cell r="C15087" t="str">
            <v>IDP101 S XL 80-135kg  800/1000  DF300</v>
          </cell>
          <cell r="D15087" t="str">
            <v>IDP101 S XL 80-135kg  800/1000  CT300</v>
          </cell>
        </row>
        <row r="15088">
          <cell r="B15088" t="str">
            <v>85-103-56-04</v>
          </cell>
          <cell r="C15088" t="str">
            <v>IDP101 S XL 80-135kg  1000/1000  DF300</v>
          </cell>
          <cell r="D15088" t="str">
            <v>IDP101 S XL 80-135kg  1000/1000  CT300</v>
          </cell>
        </row>
        <row r="15089">
          <cell r="B15089" t="str">
            <v>85-103-57-04</v>
          </cell>
          <cell r="C15089" t="str">
            <v>IDP101 S XL 80-135kg  1200/1000  DF300</v>
          </cell>
          <cell r="D15089" t="str">
            <v>IDP101 S XL 80-135kg  1200/1000  CT300</v>
          </cell>
        </row>
        <row r="15090">
          <cell r="B15090" t="str">
            <v>85-103-58-04</v>
          </cell>
          <cell r="C15090" t="str">
            <v>IDP101 S XL 80-135kg  1400/1000  DF300</v>
          </cell>
          <cell r="D15090" t="str">
            <v>IDP101 S XL 80-135kg  1400/1000  CT300</v>
          </cell>
        </row>
        <row r="15091">
          <cell r="B15091" t="str">
            <v>85-103-59-04</v>
          </cell>
          <cell r="C15091" t="str">
            <v>IDP101 S XL 80-135kg  1600/1000  DF300</v>
          </cell>
          <cell r="D15091" t="str">
            <v>IDP101 S XL 80-135kg  1600/1000  CT300</v>
          </cell>
        </row>
        <row r="15092">
          <cell r="B15092" t="str">
            <v>85-103-60-04</v>
          </cell>
          <cell r="C15092" t="str">
            <v>IDP101 S XL 80-135kg  600/1000  DF500</v>
          </cell>
          <cell r="D15092" t="str">
            <v>IDP101 S XL 80-135kg  600/1000  CT500</v>
          </cell>
        </row>
        <row r="15093">
          <cell r="B15093" t="str">
            <v>85-103-61-04</v>
          </cell>
          <cell r="C15093" t="str">
            <v>IDP101 S XL 80-135kg  800/1000  DF500</v>
          </cell>
          <cell r="D15093" t="str">
            <v>IDP101 S XL 80-135kg  800/1000  CT500</v>
          </cell>
        </row>
        <row r="15094">
          <cell r="B15094" t="str">
            <v>85-103-62-04</v>
          </cell>
          <cell r="C15094" t="str">
            <v>IDP101 S XL 80-135kg  1000/1000  DF500</v>
          </cell>
          <cell r="D15094" t="str">
            <v>IDP101 S XL 80-135kg  1000/1000  CT500</v>
          </cell>
        </row>
        <row r="15095">
          <cell r="B15095" t="str">
            <v>85-103-63-04</v>
          </cell>
          <cell r="C15095" t="str">
            <v>IDP101 S XL 80-135kg  1200/1000  DF500</v>
          </cell>
          <cell r="D15095" t="str">
            <v>IDP101 S XL 80-135kg  1200/1000  CT500</v>
          </cell>
        </row>
        <row r="15096">
          <cell r="B15096" t="str">
            <v>85-103-64-04</v>
          </cell>
          <cell r="C15096" t="str">
            <v>IDP101 S XL 80-135kg  1400/1000  DF500</v>
          </cell>
          <cell r="D15096" t="str">
            <v>IDP101 S XL 80-135kg  1400/1000  CT500</v>
          </cell>
        </row>
        <row r="15097">
          <cell r="B15097" t="str">
            <v>85-103-65-04</v>
          </cell>
          <cell r="C15097" t="str">
            <v>IDP101 S XL 80-135kg  1600/1000  DF500</v>
          </cell>
          <cell r="D15097" t="str">
            <v>IDP101 S XL 80-135kg  1600/1000  CT500</v>
          </cell>
        </row>
        <row r="15098">
          <cell r="B15098" t="str">
            <v>85-103-66-04</v>
          </cell>
          <cell r="C15098" t="str">
            <v>IDP101 S XL 80-135kg  600/1000  DF700</v>
          </cell>
          <cell r="D15098" t="str">
            <v>IDP101 S XL 80-135kg  600/1000  CT700</v>
          </cell>
        </row>
        <row r="15099">
          <cell r="B15099" t="str">
            <v>85-103-67-04</v>
          </cell>
          <cell r="C15099" t="str">
            <v>IDP101 S XL 80-135kg  800/1000  DF700</v>
          </cell>
          <cell r="D15099" t="str">
            <v>IDP101 S XL 80-135kg  800/1000  CT700</v>
          </cell>
        </row>
        <row r="15100">
          <cell r="B15100" t="str">
            <v>85-103-68-04</v>
          </cell>
          <cell r="C15100" t="str">
            <v>IDP101 S XL 80-135kg  1000/1000  DF700</v>
          </cell>
          <cell r="D15100" t="str">
            <v>IDP101 S XL 80-135kg  1000/1000  CT700</v>
          </cell>
        </row>
        <row r="15101">
          <cell r="B15101" t="str">
            <v>85-103-69-04</v>
          </cell>
          <cell r="C15101" t="str">
            <v>IDP101 S XL 80-135kg  1200/1000  DF700</v>
          </cell>
          <cell r="D15101" t="str">
            <v>IDP101 S XL 80-135kg  1200/1000  CT700</v>
          </cell>
        </row>
        <row r="15102">
          <cell r="B15102" t="str">
            <v>85-103-70-04</v>
          </cell>
          <cell r="C15102" t="str">
            <v>IDP101 S XL 80-135kg  1400/1000  DF700</v>
          </cell>
          <cell r="D15102" t="str">
            <v>IDP101 S XL 80-135kg  1400/1000  CT700</v>
          </cell>
        </row>
        <row r="15103">
          <cell r="B15103" t="str">
            <v>85-103-71-04</v>
          </cell>
          <cell r="C15103" t="str">
            <v>IDP101 S XL 80-135kg  1600/1000  DF700</v>
          </cell>
          <cell r="D15103" t="str">
            <v>IDP101 S XL 80-135kg  1600/1000  CT700</v>
          </cell>
        </row>
        <row r="15104">
          <cell r="B15104" t="str">
            <v>85-103-72-04</v>
          </cell>
          <cell r="C15104" t="str">
            <v>IDP101 S XL 120-180kg  600/1000  DF100</v>
          </cell>
          <cell r="D15104" t="str">
            <v>IDP101 S XL 120-180kg  600/1000  CT100</v>
          </cell>
        </row>
        <row r="15105">
          <cell r="B15105" t="str">
            <v>85-103-73-04</v>
          </cell>
          <cell r="C15105" t="str">
            <v>IDP101 S XL 120-180kg  800/1000  DF100</v>
          </cell>
          <cell r="D15105" t="str">
            <v>IDP101 S XL 120-180kg  800/1000  CT100</v>
          </cell>
        </row>
        <row r="15106">
          <cell r="B15106" t="str">
            <v>85-103-74-04</v>
          </cell>
          <cell r="C15106" t="str">
            <v>IDP101 S XL 120-180kg  1000/1000  DF100</v>
          </cell>
          <cell r="D15106" t="str">
            <v>IDP101 S XL 120-180kg  1000/1000  CT100</v>
          </cell>
        </row>
        <row r="15107">
          <cell r="B15107" t="str">
            <v>85-103-75-04</v>
          </cell>
          <cell r="C15107" t="str">
            <v>IDP101 S XL 120-180kg  1200/1000  DF100</v>
          </cell>
          <cell r="D15107" t="str">
            <v>IDP101 S XL 120-180kg  1200/1000  CT100</v>
          </cell>
        </row>
        <row r="15108">
          <cell r="B15108" t="str">
            <v>85-103-76-04</v>
          </cell>
          <cell r="C15108" t="str">
            <v>IDP101 S XL 120-180kg  1400/1000  DF100</v>
          </cell>
          <cell r="D15108" t="str">
            <v>IDP101 S XL 120-180kg  1400/1000  CT100</v>
          </cell>
        </row>
        <row r="15109">
          <cell r="B15109" t="str">
            <v>85-103-77-04</v>
          </cell>
          <cell r="C15109" t="str">
            <v>IDP101 S XL 120-180kg  1600/1000  DF100</v>
          </cell>
          <cell r="D15109" t="str">
            <v>IDP101 S XL 120-180kg  1600/1000  CT100</v>
          </cell>
        </row>
        <row r="15110">
          <cell r="B15110" t="str">
            <v>85-103-78-04</v>
          </cell>
          <cell r="C15110" t="str">
            <v>IDP101 S XL 120-180kg  600/1000  DF300</v>
          </cell>
          <cell r="D15110" t="str">
            <v>IDP101 S XL 120-180kg  600/1000  CT300</v>
          </cell>
        </row>
        <row r="15111">
          <cell r="B15111" t="str">
            <v>85-103-79-04</v>
          </cell>
          <cell r="C15111" t="str">
            <v>IDP101 S XL 120-180kg  800/1000  DF300</v>
          </cell>
          <cell r="D15111" t="str">
            <v>IDP101 S XL 120-180kg  800/1000  CT300</v>
          </cell>
        </row>
        <row r="15112">
          <cell r="B15112" t="str">
            <v>85-103-80-04</v>
          </cell>
          <cell r="C15112" t="str">
            <v>IDP101 S XL 120-180kg  1000/1000  DF300</v>
          </cell>
          <cell r="D15112" t="str">
            <v>IDP101 S XL 120-180kg  1000/1000  CT300</v>
          </cell>
        </row>
        <row r="15113">
          <cell r="B15113" t="str">
            <v>85-103-81-04</v>
          </cell>
          <cell r="C15113" t="str">
            <v>IDP101 S XL 120-180kg  1200/1000  DF300</v>
          </cell>
          <cell r="D15113" t="str">
            <v>IDP101 S XL 120-180kg  1200/1000  CT300</v>
          </cell>
        </row>
        <row r="15114">
          <cell r="B15114" t="str">
            <v>85-103-82-04</v>
          </cell>
          <cell r="C15114" t="str">
            <v>IDP101 S XL 120-180kg  1400/1000  DF300</v>
          </cell>
          <cell r="D15114" t="str">
            <v>IDP101 S XL 120-180kg  1400/1000  CT300</v>
          </cell>
        </row>
        <row r="15115">
          <cell r="B15115" t="str">
            <v>85-103-83-04</v>
          </cell>
          <cell r="C15115" t="str">
            <v>IDP101 S XL 120-180kg  1600/1000  DF300</v>
          </cell>
          <cell r="D15115" t="str">
            <v>IDP101 S XL 120-180kg  1600/1000  CT300</v>
          </cell>
        </row>
        <row r="15116">
          <cell r="B15116" t="str">
            <v>85-103-84-04</v>
          </cell>
          <cell r="C15116" t="str">
            <v>IDP101 S XL 120-180kg  600/1000  DF500</v>
          </cell>
          <cell r="D15116" t="str">
            <v>IDP101 S XL 120-180kg  600/1000  CT500</v>
          </cell>
        </row>
        <row r="15117">
          <cell r="B15117" t="str">
            <v>85-103-85-04</v>
          </cell>
          <cell r="C15117" t="str">
            <v>IDP101 S XL 120-180kg  800/1000  DF500</v>
          </cell>
          <cell r="D15117" t="str">
            <v>IDP101 S XL 120-180kg  800/1000  CT500</v>
          </cell>
        </row>
        <row r="15118">
          <cell r="B15118" t="str">
            <v>85-103-86-04</v>
          </cell>
          <cell r="C15118" t="str">
            <v>IDP101 S XL 120-180kg  1000/1000  DF500</v>
          </cell>
          <cell r="D15118" t="str">
            <v>IDP101 S XL 120-180kg  1000/1000  CT500</v>
          </cell>
        </row>
        <row r="15119">
          <cell r="B15119" t="str">
            <v>85-103-87-04</v>
          </cell>
          <cell r="C15119" t="str">
            <v>IDP101 S XL 120-180kg  1200/1000  DF500</v>
          </cell>
          <cell r="D15119" t="str">
            <v>IDP101 S XL 120-180kg  1200/1000  CT500</v>
          </cell>
        </row>
        <row r="15120">
          <cell r="B15120" t="str">
            <v>85-103-88-04</v>
          </cell>
          <cell r="C15120" t="str">
            <v>IDP101 S XL 120-180kg  1400/1000  DF500</v>
          </cell>
          <cell r="D15120" t="str">
            <v>IDP101 S XL 120-180kg  1400/1000  CT500</v>
          </cell>
        </row>
        <row r="15121">
          <cell r="B15121" t="str">
            <v>85-103-89-04</v>
          </cell>
          <cell r="C15121" t="str">
            <v>IDP101 S XL 120-180kg  1600/1000  DF500</v>
          </cell>
          <cell r="D15121" t="str">
            <v>IDP101 S XL 120-180kg  1600/1000  CT500</v>
          </cell>
        </row>
        <row r="15122">
          <cell r="B15122" t="str">
            <v>85-103-90-04</v>
          </cell>
          <cell r="C15122" t="str">
            <v>IDP101 S XL 120-180kg  600/1000  DF700</v>
          </cell>
          <cell r="D15122" t="str">
            <v>IDP101 S XL 120-180kg  600/1000  CT700</v>
          </cell>
        </row>
        <row r="15123">
          <cell r="B15123" t="str">
            <v>85-103-91-04</v>
          </cell>
          <cell r="C15123" t="str">
            <v>IDP101 S XL 120-180kg  800/1000  DF700</v>
          </cell>
          <cell r="D15123" t="str">
            <v>IDP101 S XL 120-180kg  800/1000  CT700</v>
          </cell>
        </row>
        <row r="15124">
          <cell r="B15124" t="str">
            <v>85-103-92-04</v>
          </cell>
          <cell r="C15124" t="str">
            <v>IDP101 S XL 120-180kg  1000/1000  DF700</v>
          </cell>
          <cell r="D15124" t="str">
            <v>IDP101 S XL 120-180kg  1000/1000  CT700</v>
          </cell>
        </row>
        <row r="15125">
          <cell r="B15125" t="str">
            <v>85-103-93-04</v>
          </cell>
          <cell r="C15125" t="str">
            <v>IDP101 S XL 120-180kg  1200/1000  DF700</v>
          </cell>
          <cell r="D15125" t="str">
            <v>IDP101 S XL 120-180kg  1200/1000  CT700</v>
          </cell>
        </row>
        <row r="15126">
          <cell r="B15126" t="str">
            <v>85-103-94-04</v>
          </cell>
          <cell r="C15126" t="str">
            <v>IDP101 S XL 120-180kg  1400/1000  DF700</v>
          </cell>
          <cell r="D15126" t="str">
            <v>IDP101 S XL 120-180kg  1400/1000  CT700</v>
          </cell>
        </row>
        <row r="15127">
          <cell r="B15127" t="str">
            <v>85-103-95-04</v>
          </cell>
          <cell r="C15127" t="str">
            <v>IDP101 S XL 120-180kg  1600/1000  DF700</v>
          </cell>
          <cell r="D15127" t="str">
            <v>IDP101 S XL 120-180kg  1600/1000  CT700</v>
          </cell>
        </row>
        <row r="15128">
          <cell r="B15128" t="str">
            <v>85-103-96-04</v>
          </cell>
          <cell r="C15128" t="str">
            <v>IDP101 M air+ 150kg 1000 DF100 230V</v>
          </cell>
          <cell r="D15128" t="str">
            <v>IDP101 M air+ 150kg 1000 CT100 230V</v>
          </cell>
        </row>
        <row r="15129">
          <cell r="B15129" t="str">
            <v>85-103-97-04</v>
          </cell>
          <cell r="C15129" t="str">
            <v>IDP101 M air+ 150kg 600/1000  DF100 230V</v>
          </cell>
          <cell r="D15129" t="str">
            <v>IDP101 M air+ 150kg 600/1000  CT100 230V</v>
          </cell>
        </row>
        <row r="15130">
          <cell r="B15130" t="str">
            <v>85-103-98-04</v>
          </cell>
          <cell r="C15130" t="str">
            <v>IDP101 M air+ 150kg 800/1000  DF100 230V</v>
          </cell>
          <cell r="D15130" t="str">
            <v>IDP101 M air+ 150kg 800/1000  CT100 230V</v>
          </cell>
        </row>
        <row r="15131">
          <cell r="B15131" t="str">
            <v>85-103-99-04</v>
          </cell>
          <cell r="C15131" t="str">
            <v>IDP101 M air+ 150kg 1000/1000  DF100 230V</v>
          </cell>
          <cell r="D15131" t="str">
            <v>IDP101 M air+ 150kg 1000/1000  CT100 230V</v>
          </cell>
        </row>
        <row r="15132">
          <cell r="B15132" t="str">
            <v>85-104-00-04</v>
          </cell>
          <cell r="C15132" t="str">
            <v>IDP101 M air+ 150kg 1000 DF300 230V</v>
          </cell>
          <cell r="D15132" t="str">
            <v>IDP101 M air+ 150kg 1000 CT300 230V</v>
          </cell>
        </row>
        <row r="15133">
          <cell r="B15133" t="str">
            <v>85-104-01-04</v>
          </cell>
          <cell r="C15133" t="str">
            <v>IDP101 M air+ 150kg 600/1000  DF300 230V</v>
          </cell>
          <cell r="D15133" t="str">
            <v>IDP101 M air+ 150kg 600/1000  CT300 230V</v>
          </cell>
        </row>
        <row r="15134">
          <cell r="B15134" t="str">
            <v>85-104-02-04</v>
          </cell>
          <cell r="C15134" t="str">
            <v>IDP101 M air+ 150kg 800/1000  DF300 230V</v>
          </cell>
          <cell r="D15134" t="str">
            <v>IDP101 M air+ 150kg 800/1000  CT300 230V</v>
          </cell>
        </row>
        <row r="15135">
          <cell r="B15135" t="str">
            <v>85-104-03-04</v>
          </cell>
          <cell r="C15135" t="str">
            <v>IDP101 M air+ 150kg 1000/1000  DF300 230V</v>
          </cell>
          <cell r="D15135" t="str">
            <v>IDP101 M air+ 150kg 1000/1000  CT300 230V</v>
          </cell>
        </row>
        <row r="15136">
          <cell r="B15136" t="str">
            <v>85-104-04-04</v>
          </cell>
          <cell r="C15136" t="str">
            <v>IDP101 M air+ 150kg 1000 DF500 230V</v>
          </cell>
          <cell r="D15136" t="str">
            <v>IDP101 M air+ 150kg 1000 CT500 230V</v>
          </cell>
        </row>
        <row r="15137">
          <cell r="B15137" t="str">
            <v>85-104-05-04</v>
          </cell>
          <cell r="C15137" t="str">
            <v>IDP101 M air+ 150kg 600/1000  DF500 230V</v>
          </cell>
          <cell r="D15137" t="str">
            <v>IDP101 M air+ 150kg 600/1000  CT500 230V</v>
          </cell>
        </row>
        <row r="15138">
          <cell r="B15138" t="str">
            <v>85-104-06-04</v>
          </cell>
          <cell r="C15138" t="str">
            <v>IDP101 M air+ 150kg 800/1000  DF500 230V</v>
          </cell>
          <cell r="D15138" t="str">
            <v>IDP101 M air+ 150kg 800/1000  CT500 230V</v>
          </cell>
        </row>
        <row r="15139">
          <cell r="B15139" t="str">
            <v>85-104-07-04</v>
          </cell>
          <cell r="C15139" t="str">
            <v>IDP101 M air+ 150kg 1000/1000  DF500 230V</v>
          </cell>
          <cell r="D15139" t="str">
            <v>IDP101 M air+ 150kg 1000/1000  CT500 230V</v>
          </cell>
        </row>
        <row r="15140">
          <cell r="B15140" t="str">
            <v>85-104-08-04</v>
          </cell>
          <cell r="C15140" t="str">
            <v>IDP101 M air+ 150kg 1000 DF700 230V</v>
          </cell>
          <cell r="D15140" t="str">
            <v>IDP101 M air+ 150kg 1000 CT700 230V</v>
          </cell>
        </row>
        <row r="15141">
          <cell r="B15141" t="str">
            <v>85-104-09-04</v>
          </cell>
          <cell r="C15141" t="str">
            <v>IDP101 M air+ 150kg 600/1000  DF700 230V</v>
          </cell>
          <cell r="D15141" t="str">
            <v>IDP101 M air+ 150kg 600/1000  CT700 230V</v>
          </cell>
        </row>
        <row r="15142">
          <cell r="B15142" t="str">
            <v>85-104-10-04</v>
          </cell>
          <cell r="C15142" t="str">
            <v>IDP101 M air+ 150kg 800/1000  DF700 230V</v>
          </cell>
          <cell r="D15142" t="str">
            <v>IDP101 M air+ 150kg 800/1000  CT700 230V</v>
          </cell>
        </row>
        <row r="15143">
          <cell r="B15143" t="str">
            <v>85-104-11-04</v>
          </cell>
          <cell r="C15143" t="str">
            <v>IDP101 M air+ 150kg 1000/1000  DF700 230V</v>
          </cell>
          <cell r="D15143" t="str">
            <v>IDP101 M air+ 150kg 1000/1000  CT700 230V</v>
          </cell>
        </row>
        <row r="15144">
          <cell r="B15144" t="str">
            <v>85-104-12-04</v>
          </cell>
          <cell r="C15144" t="str">
            <v>IDP101 M air+ 150kg 1000 DF100 120V</v>
          </cell>
          <cell r="D15144" t="str">
            <v>IDP101 M air+ 150kg 1000 CT100 120V</v>
          </cell>
        </row>
        <row r="15145">
          <cell r="B15145" t="str">
            <v>85-104-13-04</v>
          </cell>
          <cell r="C15145" t="str">
            <v>IDP101 M air+ 150kg 600/1000  DF100 120V</v>
          </cell>
          <cell r="D15145" t="str">
            <v>IDP101 M air+ 150kg 600/1000  CT100 120V</v>
          </cell>
        </row>
        <row r="15146">
          <cell r="B15146" t="str">
            <v>85-104-14-04</v>
          </cell>
          <cell r="C15146" t="str">
            <v>IDP101 M air+ 150kg 800/1000  DF100 120V</v>
          </cell>
          <cell r="D15146" t="str">
            <v>IDP101 M air+ 150kg 800/1000  CT100 120V</v>
          </cell>
        </row>
        <row r="15147">
          <cell r="B15147" t="str">
            <v>85-104-15-04</v>
          </cell>
          <cell r="C15147" t="str">
            <v>IDP101 M air+ 150kg 1000/1000  DF100 120V</v>
          </cell>
          <cell r="D15147" t="str">
            <v>IDP101 M air+ 150kg 1000/1000  CT100 120V</v>
          </cell>
        </row>
        <row r="15148">
          <cell r="B15148" t="str">
            <v>85-104-16-04</v>
          </cell>
          <cell r="C15148" t="str">
            <v>IDP101 M air+ 150kg 1000 DF300 120V</v>
          </cell>
          <cell r="D15148" t="str">
            <v>IDP101 M air+ 150kg 1000 CT300 120V</v>
          </cell>
        </row>
        <row r="15149">
          <cell r="B15149" t="str">
            <v>85-104-17-04</v>
          </cell>
          <cell r="C15149" t="str">
            <v>IDP101 M air+ 150kg 600/1000  DF300 120V</v>
          </cell>
          <cell r="D15149" t="str">
            <v>IDP101 M air+ 150kg 600/1000  CT300 120V</v>
          </cell>
        </row>
        <row r="15150">
          <cell r="B15150" t="str">
            <v>85-104-18-04</v>
          </cell>
          <cell r="C15150" t="str">
            <v>IDP101 M air+ 150kg 800/1000  DF300 120V</v>
          </cell>
          <cell r="D15150" t="str">
            <v>IDP101 M air+ 150kg 800/1000  CT300 120V</v>
          </cell>
        </row>
        <row r="15151">
          <cell r="B15151" t="str">
            <v>85-104-19-04</v>
          </cell>
          <cell r="C15151" t="str">
            <v>IDP101 M air+ 150kg 1000/1000  DF300 120V</v>
          </cell>
          <cell r="D15151" t="str">
            <v>IDP101 M air+ 150kg 1000/1000  CT300 120V</v>
          </cell>
        </row>
        <row r="15152">
          <cell r="B15152" t="str">
            <v>85-104-20-04</v>
          </cell>
          <cell r="C15152" t="str">
            <v>IDP101 M air+ 150kg 1000 DF500 120V</v>
          </cell>
          <cell r="D15152" t="str">
            <v>IDP101 M air+ 150kg 1000 CT500 120V</v>
          </cell>
        </row>
        <row r="15153">
          <cell r="B15153" t="str">
            <v>85-104-21-04</v>
          </cell>
          <cell r="C15153" t="str">
            <v>IDP101 M air+ 150kg 600/1000  DF500 120V</v>
          </cell>
          <cell r="D15153" t="str">
            <v>IDP101 M air+ 150kg 600/1000  CT500 120V</v>
          </cell>
        </row>
        <row r="15154">
          <cell r="B15154" t="str">
            <v>85-104-22-04</v>
          </cell>
          <cell r="C15154" t="str">
            <v>IDP101 M air+ 150kg 800/1000  DF500 120V</v>
          </cell>
          <cell r="D15154" t="str">
            <v>IDP101 M air+ 150kg 800/1000  CT500 120V</v>
          </cell>
        </row>
        <row r="15155">
          <cell r="B15155" t="str">
            <v>85-104-23-04</v>
          </cell>
          <cell r="C15155" t="str">
            <v>IDP101 M air+ 150kg 1000/1000  DF500 120V</v>
          </cell>
          <cell r="D15155" t="str">
            <v>IDP101 M air+ 150kg 1000/1000  CT500 120V</v>
          </cell>
        </row>
        <row r="15156">
          <cell r="B15156" t="str">
            <v>85-104-24-04</v>
          </cell>
          <cell r="C15156" t="str">
            <v>IDP101 M air+ 150kg 1000 DF700 120V</v>
          </cell>
          <cell r="D15156" t="str">
            <v>IDP101 M air+ 150kg 1000 CT700 120V</v>
          </cell>
        </row>
        <row r="15157">
          <cell r="B15157" t="str">
            <v>85-104-25-04</v>
          </cell>
          <cell r="C15157" t="str">
            <v>IDP101 M air+ 150kg 600/1000  DF700 120V</v>
          </cell>
          <cell r="D15157" t="str">
            <v>IDP101 M air+ 150kg 600/1000  CT700 120V</v>
          </cell>
        </row>
        <row r="15158">
          <cell r="B15158" t="str">
            <v>85-104-26-04</v>
          </cell>
          <cell r="C15158" t="str">
            <v>IDP101 M air+ 150kg 800/1000  DF700 120V</v>
          </cell>
          <cell r="D15158" t="str">
            <v>IDP101 M air+ 150kg 800/1000  CT700 120V</v>
          </cell>
        </row>
        <row r="15159">
          <cell r="B15159" t="str">
            <v>85-104-27-04</v>
          </cell>
          <cell r="C15159" t="str">
            <v>IDP101 M air+ 150kg 1000/1000  DF700 120V</v>
          </cell>
          <cell r="D15159" t="str">
            <v>IDP101 M air+ 150kg 1000/1000  CT700 120V</v>
          </cell>
        </row>
        <row r="15160">
          <cell r="B15160" t="str">
            <v>85-104-28-04</v>
          </cell>
          <cell r="C15160" t="str">
            <v>IDP101 M 150kg 1000 DF100 230V</v>
          </cell>
          <cell r="D15160" t="str">
            <v>IDP101 M 150kg 1000 CT100 230V</v>
          </cell>
        </row>
        <row r="15161">
          <cell r="B15161" t="str">
            <v>85-104-29-04</v>
          </cell>
          <cell r="C15161" t="str">
            <v>IDP101 M 150kg 600/1000  DF100 230V</v>
          </cell>
          <cell r="D15161" t="str">
            <v>IDP101 M 150kg 600/1000  CT100 230V</v>
          </cell>
        </row>
        <row r="15162">
          <cell r="B15162" t="str">
            <v>85-104-30-04</v>
          </cell>
          <cell r="C15162" t="str">
            <v>IDP101 M 150kg 800/1000  DF100 230V</v>
          </cell>
          <cell r="D15162" t="str">
            <v>IDP101 M 150kg 800/1000  CT100 230V</v>
          </cell>
        </row>
        <row r="15163">
          <cell r="B15163" t="str">
            <v>85-104-31-04</v>
          </cell>
          <cell r="C15163" t="str">
            <v>IDP101 M 150kg 1000/1000  DF100 230V</v>
          </cell>
          <cell r="D15163" t="str">
            <v>IDP101 M 150kg 1000/1000  CT100 230V</v>
          </cell>
        </row>
        <row r="15164">
          <cell r="B15164" t="str">
            <v>85-104-32-04</v>
          </cell>
          <cell r="C15164" t="str">
            <v>IDP101 M 140kg 1200/1000  DF100 230V</v>
          </cell>
          <cell r="D15164" t="str">
            <v>IDP101 M 140kg 1200/1000  CT100 230V</v>
          </cell>
        </row>
        <row r="15165">
          <cell r="B15165" t="str">
            <v>85-104-33-04</v>
          </cell>
          <cell r="C15165" t="str">
            <v>IDP101 M 150kg 1000 DF300 230V</v>
          </cell>
          <cell r="D15165" t="str">
            <v>IDP101 M 150kg 1000 CT300 230V</v>
          </cell>
        </row>
        <row r="15166">
          <cell r="B15166" t="str">
            <v>85-104-34-04</v>
          </cell>
          <cell r="C15166" t="str">
            <v>IDP101 M 150kg 600/1000  DF300 230V</v>
          </cell>
          <cell r="D15166" t="str">
            <v>IDP101 M 150kg 600/1000  CT300 230V</v>
          </cell>
        </row>
        <row r="15167">
          <cell r="B15167" t="str">
            <v>85-104-35-04</v>
          </cell>
          <cell r="C15167" t="str">
            <v>IDP101 M 150kg 800/1000  DF300 230V</v>
          </cell>
          <cell r="D15167" t="str">
            <v>IDP101 M 150kg 800/1000  CT300 230V</v>
          </cell>
        </row>
        <row r="15168">
          <cell r="B15168" t="str">
            <v>85-104-36-04</v>
          </cell>
          <cell r="C15168" t="str">
            <v>IDP101 M 150kg 1000/1000  DF300 230V</v>
          </cell>
          <cell r="D15168" t="str">
            <v>IDP101 M 150kg 1000/1000  CT300 230V</v>
          </cell>
        </row>
        <row r="15169">
          <cell r="B15169" t="str">
            <v>85-104-37-04</v>
          </cell>
          <cell r="C15169" t="str">
            <v>IDP101 M 140kg 1200/1000  DF300 230V</v>
          </cell>
          <cell r="D15169" t="str">
            <v>IDP101 M 140kg 1200/1000  CT300 230V</v>
          </cell>
        </row>
        <row r="15170">
          <cell r="B15170" t="str">
            <v>85-104-38-04</v>
          </cell>
          <cell r="C15170" t="str">
            <v>IDP101 M 150kg 1000 DF500 230V</v>
          </cell>
          <cell r="D15170" t="str">
            <v>IDP101 M 150kg 1000 CT500 230V</v>
          </cell>
        </row>
        <row r="15171">
          <cell r="B15171" t="str">
            <v>85-104-39-04</v>
          </cell>
          <cell r="C15171" t="str">
            <v>IDP101 M 150kg 600/1000  DF500 230V</v>
          </cell>
          <cell r="D15171" t="str">
            <v>IDP101 M 150kg 600/1000  CT500 230V</v>
          </cell>
        </row>
        <row r="15172">
          <cell r="B15172" t="str">
            <v>85-104-40-04</v>
          </cell>
          <cell r="C15172" t="str">
            <v>IDP101 M 150kg 800/1000  DF500 230V</v>
          </cell>
          <cell r="D15172" t="str">
            <v>IDP101 M 150kg 800/1000  CT500 230V</v>
          </cell>
        </row>
        <row r="15173">
          <cell r="B15173" t="str">
            <v>85-104-41-04</v>
          </cell>
          <cell r="C15173" t="str">
            <v>IDP101 M 150kg 1000/1000  DF500 230V</v>
          </cell>
          <cell r="D15173" t="str">
            <v>IDP101 M 150kg 1000/1000  CT500 230V</v>
          </cell>
        </row>
        <row r="15174">
          <cell r="B15174" t="str">
            <v>85-104-42-04</v>
          </cell>
          <cell r="C15174" t="str">
            <v>IDP101 M 140kg 1200/1000  DF500 230V</v>
          </cell>
          <cell r="D15174" t="str">
            <v>IDP101 M 140kg 1200/1000  CT500 230V</v>
          </cell>
        </row>
        <row r="15175">
          <cell r="B15175" t="str">
            <v>85-104-43-04</v>
          </cell>
          <cell r="C15175" t="str">
            <v>IDP101 M 150kg 1000 DF700 230V</v>
          </cell>
          <cell r="D15175" t="str">
            <v>IDP101 M 150kg 1000 CT700 230V</v>
          </cell>
        </row>
        <row r="15176">
          <cell r="B15176" t="str">
            <v>85-104-44-04</v>
          </cell>
          <cell r="C15176" t="str">
            <v>IDP101 M 150kg 600/1000  DF700 230V</v>
          </cell>
          <cell r="D15176" t="str">
            <v>IDP101 M 150kg 600/1000  CT700 230V</v>
          </cell>
        </row>
        <row r="15177">
          <cell r="B15177" t="str">
            <v>85-104-45-04</v>
          </cell>
          <cell r="C15177" t="str">
            <v>IDP101 M 150kg 800/1000  DF700 230V</v>
          </cell>
          <cell r="D15177" t="str">
            <v>IDP101 M 150kg 800/1000  CT700 230V</v>
          </cell>
        </row>
        <row r="15178">
          <cell r="B15178" t="str">
            <v>85-104-46-04</v>
          </cell>
          <cell r="C15178" t="str">
            <v>IDP101 M 150kg 1000/1000  DF700 230V</v>
          </cell>
          <cell r="D15178" t="str">
            <v>IDP101 M 150kg 1000/1000  CT700 230V</v>
          </cell>
        </row>
        <row r="15179">
          <cell r="B15179" t="str">
            <v>85-104-47-04</v>
          </cell>
          <cell r="C15179" t="str">
            <v>IDP101 M 140kg 1200/1000  DF700 230V</v>
          </cell>
          <cell r="D15179" t="str">
            <v>IDP101 M 140kg 1200/1000  CT700 230V</v>
          </cell>
        </row>
        <row r="15180">
          <cell r="B15180" t="str">
            <v>85-104-48-04</v>
          </cell>
          <cell r="C15180" t="str">
            <v>IDP101 M 150kg 1000 DF100 120V</v>
          </cell>
          <cell r="D15180" t="str">
            <v>IDP101 M 150kg 1000 CT100 120V</v>
          </cell>
        </row>
        <row r="15181">
          <cell r="B15181" t="str">
            <v>85-104-49-04</v>
          </cell>
          <cell r="C15181" t="str">
            <v>IDP101 M 150kg 600/1000  DF100 120V</v>
          </cell>
          <cell r="D15181" t="str">
            <v>IDP101 M 150kg 600/1000  CT100 120V</v>
          </cell>
        </row>
        <row r="15182">
          <cell r="B15182" t="str">
            <v>85-104-50-04</v>
          </cell>
          <cell r="C15182" t="str">
            <v>IDP101 M 150kg 800/1000  DF100 120V</v>
          </cell>
          <cell r="D15182" t="str">
            <v>IDP101 M 150kg 800/1000  CT100 120V</v>
          </cell>
        </row>
        <row r="15183">
          <cell r="B15183" t="str">
            <v>85-104-51-04</v>
          </cell>
          <cell r="C15183" t="str">
            <v>IDP101 M 150kg 1000/1000  DF100 120V</v>
          </cell>
          <cell r="D15183" t="str">
            <v>IDP101 M 150kg 1000/1000  CT100 120V</v>
          </cell>
        </row>
        <row r="15184">
          <cell r="B15184" t="str">
            <v>85-104-52-04</v>
          </cell>
          <cell r="C15184" t="str">
            <v>IDP101 M 140kg 1200/1000  DF100 120V</v>
          </cell>
          <cell r="D15184" t="str">
            <v>IDP101 M 140kg 1200/1000  CT100 120V</v>
          </cell>
        </row>
        <row r="15185">
          <cell r="B15185" t="str">
            <v>85-104-53-04</v>
          </cell>
          <cell r="C15185" t="str">
            <v>IDP101 M 150kg 1000 DF300 120V</v>
          </cell>
          <cell r="D15185" t="str">
            <v>IDP101 M 150kg 1000 CT300 120V</v>
          </cell>
        </row>
        <row r="15186">
          <cell r="B15186" t="str">
            <v>85-104-54-04</v>
          </cell>
          <cell r="C15186" t="str">
            <v>IDP101 M 150kg 600/1000  DF300 120V</v>
          </cell>
          <cell r="D15186" t="str">
            <v>IDP101 M 150kg 600/1000  CT300 120V</v>
          </cell>
        </row>
        <row r="15187">
          <cell r="B15187" t="str">
            <v>85-104-55-04</v>
          </cell>
          <cell r="C15187" t="str">
            <v>IDP101 M 150kg 800/1000  DF300 120V</v>
          </cell>
          <cell r="D15187" t="str">
            <v>IDP101 M 150kg 800/1000  CT300 120V</v>
          </cell>
        </row>
        <row r="15188">
          <cell r="B15188" t="str">
            <v>85-104-56-04</v>
          </cell>
          <cell r="C15188" t="str">
            <v>IDP101 M 150kg 1000/1000  DF300 120V</v>
          </cell>
          <cell r="D15188" t="str">
            <v>IDP101 M 150kg 1000/1000  CT300 120V</v>
          </cell>
        </row>
        <row r="15189">
          <cell r="B15189" t="str">
            <v>85-104-57-04</v>
          </cell>
          <cell r="C15189" t="str">
            <v>IDP101 M 140kg 1200/1000  DF300 120V</v>
          </cell>
          <cell r="D15189" t="str">
            <v>IDP101 M 140kg 1200/1000  CT300 120V</v>
          </cell>
        </row>
        <row r="15190">
          <cell r="B15190" t="str">
            <v>85-104-58-04</v>
          </cell>
          <cell r="C15190" t="str">
            <v>IDP101 M 150kg 1000 DF500 120V</v>
          </cell>
          <cell r="D15190" t="str">
            <v>IDP101 M 150kg 1000 CT500 120V</v>
          </cell>
        </row>
        <row r="15191">
          <cell r="B15191" t="str">
            <v>85-104-59-04</v>
          </cell>
          <cell r="C15191" t="str">
            <v>IDP101 M 150kg 600/1000  DF500 120V</v>
          </cell>
          <cell r="D15191" t="str">
            <v>IDP101 M 150kg 600/1000  CT500 120V</v>
          </cell>
        </row>
        <row r="15192">
          <cell r="B15192" t="str">
            <v>85-104-60-04</v>
          </cell>
          <cell r="C15192" t="str">
            <v>IDP101 M 150kg 800/1000  DF500 120V</v>
          </cell>
          <cell r="D15192" t="str">
            <v>IDP101 M 150kg 800/1000  CT500 120V</v>
          </cell>
        </row>
        <row r="15193">
          <cell r="B15193" t="str">
            <v>85-104-61-04</v>
          </cell>
          <cell r="C15193" t="str">
            <v>IDP101 M 150kg 1000/1000  DF500 120V</v>
          </cell>
          <cell r="D15193" t="str">
            <v>IDP101 M 150kg 1000/1000  CT500 120V</v>
          </cell>
        </row>
        <row r="15194">
          <cell r="B15194" t="str">
            <v>85-104-62-04</v>
          </cell>
          <cell r="C15194" t="str">
            <v>IDP101 M 140kg 1200/1000  DF500 120V</v>
          </cell>
          <cell r="D15194" t="str">
            <v>IDP101 M 140kg 1200/1000  CT500 120V</v>
          </cell>
        </row>
        <row r="15195">
          <cell r="B15195" t="str">
            <v>85-104-63-04</v>
          </cell>
          <cell r="C15195" t="str">
            <v>IDP101 M 150kg 1000 DF700 120V</v>
          </cell>
          <cell r="D15195" t="str">
            <v>IDP101 M 150kg 1000 CT700 120V</v>
          </cell>
        </row>
        <row r="15196">
          <cell r="B15196" t="str">
            <v>85-104-64-04</v>
          </cell>
          <cell r="C15196" t="str">
            <v>IDP101 M 150kg 600/1000  DF700 120V</v>
          </cell>
          <cell r="D15196" t="str">
            <v>IDP101 M 150kg 600/1000  CT700 120V</v>
          </cell>
        </row>
        <row r="15197">
          <cell r="B15197" t="str">
            <v>85-104-65-04</v>
          </cell>
          <cell r="C15197" t="str">
            <v>IDP101 M 150kg 800/1000  DF700 120V</v>
          </cell>
          <cell r="D15197" t="str">
            <v>IDP101 M 150kg 800/1000  CT700 120V</v>
          </cell>
        </row>
        <row r="15198">
          <cell r="B15198" t="str">
            <v>85-104-66-04</v>
          </cell>
          <cell r="C15198" t="str">
            <v>IDP101 M 150kg 1000/1000  DF700 120V</v>
          </cell>
          <cell r="D15198" t="str">
            <v>IDP101 M 150kg 1000/1000  CT700 120V</v>
          </cell>
        </row>
        <row r="15199">
          <cell r="B15199" t="str">
            <v>85-104-67-04</v>
          </cell>
          <cell r="C15199" t="str">
            <v>IDP101 M 140kg 1200/1000  DF700 120V</v>
          </cell>
          <cell r="D15199" t="str">
            <v>IDP101 M 140kg 1200/1000  CT700 120V</v>
          </cell>
        </row>
        <row r="15200">
          <cell r="B15200" t="str">
            <v>85-104-70-04</v>
          </cell>
          <cell r="C15200" t="str">
            <v>IDP101 S 22-40kg 600/1000  DF300</v>
          </cell>
          <cell r="D15200" t="str">
            <v>IDP101 S 22-40kg 600/1000  CT300</v>
          </cell>
        </row>
        <row r="15201">
          <cell r="B15201" t="str">
            <v>85-201-00-04</v>
          </cell>
          <cell r="C15201" t="str">
            <v>IDP201 M 250kg 1000 DF100 230V</v>
          </cell>
          <cell r="D15201" t="str">
            <v>IDP201 M 250kg 1000 CT100 230V</v>
          </cell>
        </row>
        <row r="15202">
          <cell r="B15202" t="str">
            <v>85-201-01-04</v>
          </cell>
          <cell r="C15202" t="str">
            <v>IDP201 M 250kg 600/1000  DF100 230V</v>
          </cell>
          <cell r="D15202" t="str">
            <v>IDP201 M 250kg 600/1000  CT100 230V</v>
          </cell>
        </row>
        <row r="15203">
          <cell r="B15203" t="str">
            <v>85-201-02-04</v>
          </cell>
          <cell r="C15203" t="str">
            <v>IDP201 M 250kg 800/1000  DF100 230V</v>
          </cell>
          <cell r="D15203" t="str">
            <v>IDP201 M 250kg 800/1000  CT100 230V</v>
          </cell>
        </row>
        <row r="15204">
          <cell r="B15204" t="str">
            <v>85-201-03-04</v>
          </cell>
          <cell r="C15204" t="str">
            <v>IDP201 M 250kg 1000/1000  DF100 230V</v>
          </cell>
          <cell r="D15204" t="str">
            <v>IDP201 M 250kg 1000/1000  CT100 230V</v>
          </cell>
        </row>
        <row r="15205">
          <cell r="B15205" t="str">
            <v>85-201-04-04</v>
          </cell>
          <cell r="C15205" t="str">
            <v>IDP201 M 250kg 1200/1000  DF100 230V</v>
          </cell>
          <cell r="D15205" t="str">
            <v>IDP201 M 250kg 1200/1000  CT100 230V</v>
          </cell>
        </row>
        <row r="15206">
          <cell r="B15206" t="str">
            <v>85-201-05-04</v>
          </cell>
          <cell r="C15206" t="str">
            <v>IDP201 M 240kg 1400/1000  DF100 230V</v>
          </cell>
          <cell r="D15206" t="str">
            <v>IDP201 M 240kg 1400/1000  CT100 230V</v>
          </cell>
        </row>
        <row r="15207">
          <cell r="B15207" t="str">
            <v>85-201-06-04</v>
          </cell>
          <cell r="C15207" t="str">
            <v>IDP201 M 200kg 1600/1000  DF100 230V</v>
          </cell>
          <cell r="D15207" t="str">
            <v>IDP201 M 200kg 1600/1000  CT100 230V</v>
          </cell>
        </row>
        <row r="15208">
          <cell r="B15208" t="str">
            <v>85-201-07-04</v>
          </cell>
          <cell r="C15208" t="str">
            <v>IDP201 M 250kg 1000 DF300 230V</v>
          </cell>
          <cell r="D15208" t="str">
            <v>IDP201 M 250kg 1000 CT300 230V</v>
          </cell>
        </row>
        <row r="15209">
          <cell r="B15209" t="str">
            <v>85-201-08-04</v>
          </cell>
          <cell r="C15209" t="str">
            <v>IDP201 M 250kg 600/1000  DF300 230V</v>
          </cell>
          <cell r="D15209" t="str">
            <v>IDP201 M 250kg 600/1000  CT300 230V</v>
          </cell>
        </row>
        <row r="15210">
          <cell r="B15210" t="str">
            <v>85-201-09-04</v>
          </cell>
          <cell r="C15210" t="str">
            <v>IDP201 M 250kg 800/1000  DF300 230V</v>
          </cell>
          <cell r="D15210" t="str">
            <v>IDP201 M 250kg 800/1000  CT300 230V</v>
          </cell>
        </row>
        <row r="15211">
          <cell r="B15211" t="str">
            <v>85-201-10-04</v>
          </cell>
          <cell r="C15211" t="str">
            <v>IDP201 M 250kg 1000/1000  DF300 230V</v>
          </cell>
          <cell r="D15211" t="str">
            <v>IDP201 M 250kg 1000/1000  CT300 230V</v>
          </cell>
        </row>
        <row r="15212">
          <cell r="B15212" t="str">
            <v>85-201-11-04</v>
          </cell>
          <cell r="C15212" t="str">
            <v>IDP201 M 250kg 1200/1000  DF300 230V</v>
          </cell>
          <cell r="D15212" t="str">
            <v>IDP201 M 250kg 1200/1000  CT300 230V</v>
          </cell>
        </row>
        <row r="15213">
          <cell r="B15213" t="str">
            <v>85-201-12-04</v>
          </cell>
          <cell r="C15213" t="str">
            <v>IDP201 M 240kg 1400/1000  DF300 230V</v>
          </cell>
          <cell r="D15213" t="str">
            <v>IDP201 M 240kg 1400/1000  CT300 230V</v>
          </cell>
        </row>
        <row r="15214">
          <cell r="B15214" t="str">
            <v>85-201-13-04</v>
          </cell>
          <cell r="C15214" t="str">
            <v>IDP201 M 200kg 1600/1000  DF300 230V</v>
          </cell>
          <cell r="D15214" t="str">
            <v>IDP201 M 200kg 1600/1000  CT300 230V</v>
          </cell>
        </row>
        <row r="15215">
          <cell r="B15215" t="str">
            <v>85-201-14-04</v>
          </cell>
          <cell r="C15215" t="str">
            <v>IDP201 M 250kg 1000 DF500 230V</v>
          </cell>
          <cell r="D15215" t="str">
            <v>IDP201 M 250kg 1000 CT500 230V</v>
          </cell>
        </row>
        <row r="15216">
          <cell r="B15216" t="str">
            <v>85-201-15-04</v>
          </cell>
          <cell r="C15216" t="str">
            <v>IDP201 M 250kg 600/1000  DF500 230V</v>
          </cell>
          <cell r="D15216" t="str">
            <v>IDP201 M 250kg 600/1000  CT500 230V</v>
          </cell>
        </row>
        <row r="15217">
          <cell r="B15217" t="str">
            <v>85-201-16-04</v>
          </cell>
          <cell r="C15217" t="str">
            <v>IDP201 M 250kg 800/1000  DF500 230V</v>
          </cell>
          <cell r="D15217" t="str">
            <v>IDP201 M 250kg 800/1000  CT500 230V</v>
          </cell>
        </row>
        <row r="15218">
          <cell r="B15218" t="str">
            <v>85-201-17-04</v>
          </cell>
          <cell r="C15218" t="str">
            <v>IDP201 M 250kg 1000/1000  DF500 230V</v>
          </cell>
          <cell r="D15218" t="str">
            <v>IDP201 M 250kg 1000/1000  CT500 230V</v>
          </cell>
        </row>
        <row r="15219">
          <cell r="B15219" t="str">
            <v>85-201-18-04</v>
          </cell>
          <cell r="C15219" t="str">
            <v>IDP201 M 250kg 1200/1000  DF500 230V</v>
          </cell>
          <cell r="D15219" t="str">
            <v>IDP201 M 250kg 1200/1000  CT500 230V</v>
          </cell>
        </row>
        <row r="15220">
          <cell r="B15220" t="str">
            <v>85-201-19-04</v>
          </cell>
          <cell r="C15220" t="str">
            <v>IDP201 M 240kg 1400/1000  DF500 230V</v>
          </cell>
          <cell r="D15220" t="str">
            <v>IDP201 M 240kg 1400/1000  CT500 230V</v>
          </cell>
        </row>
        <row r="15221">
          <cell r="B15221" t="str">
            <v>85-201-20-04</v>
          </cell>
          <cell r="C15221" t="str">
            <v>IDP201 M 200kg 1600/1000  DF500 230V</v>
          </cell>
          <cell r="D15221" t="str">
            <v>IDP201 M 200kg 1600/1000  CT500 230V</v>
          </cell>
        </row>
        <row r="15222">
          <cell r="B15222" t="str">
            <v>85-201-21-04</v>
          </cell>
          <cell r="C15222" t="str">
            <v>IDP201 M 250kg 1000 DF700 230V</v>
          </cell>
          <cell r="D15222" t="str">
            <v>IDP201 M 250kg 1000 CT700 230V</v>
          </cell>
        </row>
        <row r="15223">
          <cell r="B15223" t="str">
            <v>85-201-22-04</v>
          </cell>
          <cell r="C15223" t="str">
            <v>IDP201 M 250kg 600/1000  DF700 230V</v>
          </cell>
          <cell r="D15223" t="str">
            <v>IDP201 M 250kg 600/1000  CT700 230V</v>
          </cell>
        </row>
        <row r="15224">
          <cell r="B15224" t="str">
            <v>85-201-23-04</v>
          </cell>
          <cell r="C15224" t="str">
            <v>IDP201 M 250kg 800/1000  DF700 230V</v>
          </cell>
          <cell r="D15224" t="str">
            <v>IDP201 M 250kg 800/1000  CT700 230V</v>
          </cell>
        </row>
        <row r="15225">
          <cell r="B15225" t="str">
            <v>85-201-24-04</v>
          </cell>
          <cell r="C15225" t="str">
            <v>IDP201 M 250kg 1000/1000  DF700 230V</v>
          </cell>
          <cell r="D15225" t="str">
            <v>IDP201 M 250kg 1000/1000  CT700 230V</v>
          </cell>
        </row>
        <row r="15226">
          <cell r="B15226" t="str">
            <v>85-201-25-04</v>
          </cell>
          <cell r="C15226" t="str">
            <v>IDP201 M 250kg 1200/1000  DF700 230V</v>
          </cell>
          <cell r="D15226" t="str">
            <v>IDP201 M 250kg 1200/1000  CT700 230V</v>
          </cell>
        </row>
        <row r="15227">
          <cell r="B15227" t="str">
            <v>85-201-26-04</v>
          </cell>
          <cell r="C15227" t="str">
            <v>IDP201 M 240kg 1400/1000  DF700 230V</v>
          </cell>
          <cell r="D15227" t="str">
            <v>IDP201 M 240kg 1400/1000  CT700 230V</v>
          </cell>
        </row>
        <row r="15228">
          <cell r="B15228" t="str">
            <v>85-201-27-04</v>
          </cell>
          <cell r="C15228" t="str">
            <v>IDP201 M 200kg 1600/1000  DF700 230V</v>
          </cell>
          <cell r="D15228" t="str">
            <v>IDP201 M 200kg 1600/1000  CT700 230V</v>
          </cell>
        </row>
        <row r="15229">
          <cell r="B15229" t="str">
            <v>85-201-28-04</v>
          </cell>
          <cell r="C15229" t="str">
            <v>IDP201 M 250kg 1000 DF100 120V</v>
          </cell>
          <cell r="D15229" t="str">
            <v>IDP201 M 250kg 1000 CT100 120V</v>
          </cell>
        </row>
        <row r="15230">
          <cell r="B15230" t="str">
            <v>85-201-29-04</v>
          </cell>
          <cell r="C15230" t="str">
            <v>IDP201 M 250kg 600/1000  DF100 120V</v>
          </cell>
          <cell r="D15230" t="str">
            <v>IDP201 M 250kg 600/1000  CT100 120V</v>
          </cell>
        </row>
        <row r="15231">
          <cell r="B15231" t="str">
            <v>85-201-30-04</v>
          </cell>
          <cell r="C15231" t="str">
            <v>IDP201 M 250kg 800/1000  DF100 120V</v>
          </cell>
          <cell r="D15231" t="str">
            <v>IDP201 M 250kg 800/1000  CT100 120V</v>
          </cell>
        </row>
        <row r="15232">
          <cell r="B15232" t="str">
            <v>85-201-31-04</v>
          </cell>
          <cell r="C15232" t="str">
            <v>IDP201 M 250kg 1000/1000  DF100 120V</v>
          </cell>
          <cell r="D15232" t="str">
            <v>IDP201 M 250kg 1000/1000  CT100 120V</v>
          </cell>
        </row>
        <row r="15233">
          <cell r="B15233" t="str">
            <v>85-201-32-04</v>
          </cell>
          <cell r="C15233" t="str">
            <v>IDP201 M 250kg 1200/1000  DF100 120V</v>
          </cell>
          <cell r="D15233" t="str">
            <v>IDP201 M 250kg 1200/1000  CT100 120V</v>
          </cell>
        </row>
        <row r="15234">
          <cell r="B15234" t="str">
            <v>85-201-33-04</v>
          </cell>
          <cell r="C15234" t="str">
            <v>IDP201 M 240kg 1400/1000  DF100 120V</v>
          </cell>
          <cell r="D15234" t="str">
            <v>IDP201 M 240kg 1400/1000  CT100 120V</v>
          </cell>
        </row>
        <row r="15235">
          <cell r="B15235" t="str">
            <v>85-201-34-04</v>
          </cell>
          <cell r="C15235" t="str">
            <v>IDP201 M 200kg 1600/1000  DF100 120V</v>
          </cell>
          <cell r="D15235" t="str">
            <v>IDP201 M 200kg 1600/1000  CT100 120V</v>
          </cell>
        </row>
        <row r="15236">
          <cell r="B15236" t="str">
            <v>85-201-35-04</v>
          </cell>
          <cell r="C15236" t="str">
            <v>IDP201 M 250kg 1000 DF300 120V</v>
          </cell>
          <cell r="D15236" t="str">
            <v>IDP201 M 250kg 1000 CT300 120V</v>
          </cell>
        </row>
        <row r="15237">
          <cell r="B15237" t="str">
            <v>85-201-36-04</v>
          </cell>
          <cell r="C15237" t="str">
            <v>IDP201 M 250kg 600/1000  DF300 120V</v>
          </cell>
          <cell r="D15237" t="str">
            <v>IDP201 M 250kg 600/1000  CT300 120V</v>
          </cell>
        </row>
        <row r="15238">
          <cell r="B15238" t="str">
            <v>85-201-37-04</v>
          </cell>
          <cell r="C15238" t="str">
            <v>IDP201 M 250kg 800/1000  DF300 120V</v>
          </cell>
          <cell r="D15238" t="str">
            <v>IDP201 M 250kg 800/1000  CT300 120V</v>
          </cell>
        </row>
        <row r="15239">
          <cell r="B15239" t="str">
            <v>85-201-38-04</v>
          </cell>
          <cell r="C15239" t="str">
            <v>IDP201 M 250kg 1000/1000  DF300 120V</v>
          </cell>
          <cell r="D15239" t="str">
            <v>IDP201 M 250kg 1000/1000  CT300 120V</v>
          </cell>
        </row>
        <row r="15240">
          <cell r="B15240" t="str">
            <v>85-201-39-04</v>
          </cell>
          <cell r="C15240" t="str">
            <v>IDP201 M 250kg 1200/1000  DF300 120V</v>
          </cell>
          <cell r="D15240" t="str">
            <v>IDP201 M 250kg 1200/1000  CT300 120V</v>
          </cell>
        </row>
        <row r="15241">
          <cell r="B15241" t="str">
            <v>85-201-40-04</v>
          </cell>
          <cell r="C15241" t="str">
            <v>IDP201 M 240kg 1400/1000  DF300 120V</v>
          </cell>
          <cell r="D15241" t="str">
            <v>IDP201 M 240kg 1400/1000  CT300 120V</v>
          </cell>
        </row>
        <row r="15242">
          <cell r="B15242" t="str">
            <v>85-201-41-04</v>
          </cell>
          <cell r="C15242" t="str">
            <v>IDP201 M 200kg 1600/1000  DF300 120V</v>
          </cell>
          <cell r="D15242" t="str">
            <v>IDP201 M 200kg 1600/1000  CT300 120V</v>
          </cell>
        </row>
        <row r="15243">
          <cell r="B15243" t="str">
            <v>85-201-42-04</v>
          </cell>
          <cell r="C15243" t="str">
            <v>IDP201 M 250kg 1000 DF500 120V</v>
          </cell>
          <cell r="D15243" t="str">
            <v>IDP201 M 250kg 1000 CT500 120V</v>
          </cell>
        </row>
        <row r="15244">
          <cell r="B15244" t="str">
            <v>85-201-43-04</v>
          </cell>
          <cell r="C15244" t="str">
            <v>IDP201 M 250kg 600/1000  DF500 120V</v>
          </cell>
          <cell r="D15244" t="str">
            <v>IDP201 M 250kg 600/1000  CT500 120V</v>
          </cell>
        </row>
        <row r="15245">
          <cell r="B15245" t="str">
            <v>85-201-44-04</v>
          </cell>
          <cell r="C15245" t="str">
            <v>IDP201 M 250kg 800/1000  DF500 120V</v>
          </cell>
          <cell r="D15245" t="str">
            <v>IDP201 M 250kg 800/1000  CT500 120V</v>
          </cell>
        </row>
        <row r="15246">
          <cell r="B15246" t="str">
            <v>85-201-45-04</v>
          </cell>
          <cell r="C15246" t="str">
            <v>IDP201 M 250kg 1000/1000  DF500 120V</v>
          </cell>
          <cell r="D15246" t="str">
            <v>IDP201 M 250kg 1000/1000  CT500 120V</v>
          </cell>
        </row>
        <row r="15247">
          <cell r="B15247" t="str">
            <v>85-201-46-04</v>
          </cell>
          <cell r="C15247" t="str">
            <v>IDP201 M 250kg 1200/1000  DF500 120V</v>
          </cell>
          <cell r="D15247" t="str">
            <v>IDP201 M 250kg 1200/1000  CT500 120V</v>
          </cell>
        </row>
        <row r="15248">
          <cell r="B15248" t="str">
            <v>85-201-47-04</v>
          </cell>
          <cell r="C15248" t="str">
            <v>IDP201 M 240kg 1400/1000  DF500 120V</v>
          </cell>
          <cell r="D15248" t="str">
            <v>IDP201 M 240kg 1400/1000  CT500 120V</v>
          </cell>
        </row>
        <row r="15249">
          <cell r="B15249" t="str">
            <v>85-201-48-04</v>
          </cell>
          <cell r="C15249" t="str">
            <v>IDP201 M 200kg 1600/1000  DF500 120V</v>
          </cell>
          <cell r="D15249" t="str">
            <v>IDP201 M 200kg 1600/1000  CT500 120V</v>
          </cell>
        </row>
        <row r="15250">
          <cell r="B15250" t="str">
            <v>85-201-49-04</v>
          </cell>
          <cell r="C15250" t="str">
            <v>IDP201 M 250kg 1000 DF700 120V</v>
          </cell>
          <cell r="D15250" t="str">
            <v>IDP201 M 250kg 1000 CT700 120V</v>
          </cell>
        </row>
        <row r="15251">
          <cell r="B15251" t="str">
            <v>85-201-50-04</v>
          </cell>
          <cell r="C15251" t="str">
            <v>IDP201 M 250kg 600/1000  DF700 120V</v>
          </cell>
          <cell r="D15251" t="str">
            <v>IDP201 M 250kg 600/1000  CT700 120V</v>
          </cell>
        </row>
        <row r="15252">
          <cell r="B15252" t="str">
            <v>85-201-51-04</v>
          </cell>
          <cell r="C15252" t="str">
            <v>IDP201 M 250kg 800/1000  DF700 120V</v>
          </cell>
          <cell r="D15252" t="str">
            <v>IDP201 M 250kg 800/1000  CT700 120V</v>
          </cell>
        </row>
        <row r="15253">
          <cell r="B15253" t="str">
            <v>85-201-52-04</v>
          </cell>
          <cell r="C15253" t="str">
            <v>IDP201 M 250kg 1000/1000  DF700 120V</v>
          </cell>
          <cell r="D15253" t="str">
            <v>IDP201 M 250kg 1000/1000  CT700 120V</v>
          </cell>
        </row>
        <row r="15254">
          <cell r="B15254" t="str">
            <v>85-201-53-04</v>
          </cell>
          <cell r="C15254" t="str">
            <v>IDP201 M 250kg 1200/1000  DF700 120V</v>
          </cell>
          <cell r="D15254" t="str">
            <v>IDP201 M 250kg 1200/1000  CT700 120V</v>
          </cell>
        </row>
        <row r="15255">
          <cell r="B15255" t="str">
            <v>85-201-54-04</v>
          </cell>
          <cell r="C15255" t="str">
            <v>IDP201 M 240kg 1400/1000  DF700 120V</v>
          </cell>
          <cell r="D15255" t="str">
            <v>IDP201 M 240kg 1400/1000  CT700 120V</v>
          </cell>
        </row>
        <row r="15256">
          <cell r="B15256" t="str">
            <v>85-201-55-04</v>
          </cell>
          <cell r="C15256" t="str">
            <v>IDP201 M 200kg 1600/1000  DF700 120V</v>
          </cell>
          <cell r="D15256" t="str">
            <v>IDP201 M 200kg 1600/1000  CT700 120V</v>
          </cell>
        </row>
        <row r="15257">
          <cell r="B15257" t="str">
            <v>85-301-00-04</v>
          </cell>
          <cell r="C15257" t="str">
            <v>IDP301 air 600 DF100</v>
          </cell>
          <cell r="D15257" t="str">
            <v>IDP301 air 600 CT100</v>
          </cell>
        </row>
        <row r="15258">
          <cell r="B15258" t="str">
            <v>85-301-01-04</v>
          </cell>
          <cell r="C15258" t="str">
            <v>IDP301 air 800 DF100</v>
          </cell>
          <cell r="D15258" t="str">
            <v>IDP301 air 800 CT100</v>
          </cell>
        </row>
        <row r="15259">
          <cell r="B15259" t="str">
            <v>85-301-02-04</v>
          </cell>
          <cell r="C15259" t="str">
            <v>IDP301 air 1000 DF100</v>
          </cell>
          <cell r="D15259" t="str">
            <v>IDP301 air 1000 CT100</v>
          </cell>
        </row>
        <row r="15260">
          <cell r="B15260" t="str">
            <v>85-301-03-04</v>
          </cell>
          <cell r="C15260" t="str">
            <v>IDP301 air 600/600 DF100</v>
          </cell>
          <cell r="D15260" t="str">
            <v>IDP301 air 600/600 CT100</v>
          </cell>
        </row>
        <row r="15261">
          <cell r="B15261" t="str">
            <v>85-301-04-04</v>
          </cell>
          <cell r="C15261" t="str">
            <v>IDP301 air 600/800 DF100</v>
          </cell>
          <cell r="D15261" t="str">
            <v>IDP301 air 600/800 CT100</v>
          </cell>
        </row>
        <row r="15262">
          <cell r="B15262" t="str">
            <v>85-301-05-04</v>
          </cell>
          <cell r="C15262" t="str">
            <v>IDP301 air 800/600 DF100</v>
          </cell>
          <cell r="D15262" t="str">
            <v>IDP301 air 800/600 CT100</v>
          </cell>
        </row>
        <row r="15263">
          <cell r="B15263" t="str">
            <v>85-301-06-04</v>
          </cell>
          <cell r="C15263" t="str">
            <v>IDP301 air 800/800 DF100</v>
          </cell>
          <cell r="D15263" t="str">
            <v>IDP301 air 800/800 CT100</v>
          </cell>
        </row>
        <row r="15264">
          <cell r="B15264" t="str">
            <v>85-301-07-04</v>
          </cell>
          <cell r="C15264" t="str">
            <v>IDP301 air 600/1000  DF100</v>
          </cell>
          <cell r="D15264" t="str">
            <v>IDP301 air 600/1000  CT100</v>
          </cell>
        </row>
        <row r="15265">
          <cell r="B15265" t="str">
            <v>85-301-08-04</v>
          </cell>
          <cell r="C15265" t="str">
            <v>IDP301 air 800/1000  DF100</v>
          </cell>
          <cell r="D15265" t="str">
            <v>IDP301 air 800/1000  CT100</v>
          </cell>
        </row>
        <row r="15266">
          <cell r="B15266" t="str">
            <v>85-301-09-04</v>
          </cell>
          <cell r="C15266" t="str">
            <v>IDP301 air 1000/600  DF100</v>
          </cell>
          <cell r="D15266" t="str">
            <v>IDP301 air 1000/600  CT100</v>
          </cell>
        </row>
        <row r="15267">
          <cell r="B15267" t="str">
            <v>85-301-10-04</v>
          </cell>
          <cell r="C15267" t="str">
            <v>IDP301 air 1000/800  DF100</v>
          </cell>
          <cell r="D15267" t="str">
            <v>IDP301 air 1000/800  CT100</v>
          </cell>
        </row>
        <row r="15268">
          <cell r="B15268" t="str">
            <v>85-301-11-04</v>
          </cell>
          <cell r="C15268" t="str">
            <v>IDP301 air 600 DF300</v>
          </cell>
          <cell r="D15268" t="str">
            <v>IDP301 air 600 CT300</v>
          </cell>
        </row>
        <row r="15269">
          <cell r="B15269" t="str">
            <v>85-301-12-04</v>
          </cell>
          <cell r="C15269" t="str">
            <v>IDP301 air 800 DF300</v>
          </cell>
          <cell r="D15269" t="str">
            <v>IDP301 air 800 CT300</v>
          </cell>
        </row>
        <row r="15270">
          <cell r="B15270" t="str">
            <v>85-301-13-04</v>
          </cell>
          <cell r="C15270" t="str">
            <v>IDP301 air 1000 DF300</v>
          </cell>
          <cell r="D15270" t="str">
            <v>IDP301 air 1000 CT300</v>
          </cell>
        </row>
        <row r="15271">
          <cell r="B15271" t="str">
            <v>85-301-14-04</v>
          </cell>
          <cell r="C15271" t="str">
            <v>IDP301 air 600/600 DF300</v>
          </cell>
          <cell r="D15271" t="str">
            <v>IDP301 air 600/600 CT300</v>
          </cell>
        </row>
        <row r="15272">
          <cell r="B15272" t="str">
            <v>85-301-15-04</v>
          </cell>
          <cell r="C15272" t="str">
            <v>IDP301 air 600/800 DF300</v>
          </cell>
          <cell r="D15272" t="str">
            <v>IDP301 air 600/800 CT300</v>
          </cell>
        </row>
        <row r="15273">
          <cell r="B15273" t="str">
            <v>85-301-16-04</v>
          </cell>
          <cell r="C15273" t="str">
            <v>IDP301 air 800/600 DF300</v>
          </cell>
          <cell r="D15273" t="str">
            <v>IDP301 air 800/600 CT300</v>
          </cell>
        </row>
        <row r="15274">
          <cell r="B15274" t="str">
            <v>85-301-17-04</v>
          </cell>
          <cell r="C15274" t="str">
            <v>IDP301 air 800/800 DF300</v>
          </cell>
          <cell r="D15274" t="str">
            <v>IDP301 air 800/800 CT300</v>
          </cell>
        </row>
        <row r="15275">
          <cell r="B15275" t="str">
            <v>85-301-18-04</v>
          </cell>
          <cell r="C15275" t="str">
            <v>IDP301 air 600/1000  DF300</v>
          </cell>
          <cell r="D15275" t="str">
            <v>IDP301 air 600/1000  CT300</v>
          </cell>
        </row>
        <row r="15276">
          <cell r="B15276" t="str">
            <v>85-301-19-04</v>
          </cell>
          <cell r="C15276" t="str">
            <v>IDP301 air 800/1000  DF300</v>
          </cell>
          <cell r="D15276" t="str">
            <v>IDP301 air 800/1000  CT300</v>
          </cell>
        </row>
        <row r="15277">
          <cell r="B15277" t="str">
            <v>85-301-20-04</v>
          </cell>
          <cell r="C15277" t="str">
            <v>IDP301 air 1000/600  DF300</v>
          </cell>
          <cell r="D15277" t="str">
            <v>IDP301 air 1000/600  CT300</v>
          </cell>
        </row>
        <row r="15278">
          <cell r="B15278" t="str">
            <v>85-301-21-04</v>
          </cell>
          <cell r="C15278" t="str">
            <v>IDP301 air 1000/800  DF300</v>
          </cell>
          <cell r="D15278" t="str">
            <v>IDP301 air 1000/800  CT300</v>
          </cell>
        </row>
        <row r="15279">
          <cell r="B15279" t="str">
            <v>85-301-22-04</v>
          </cell>
          <cell r="C15279" t="str">
            <v>IDP301 air 600 DF500</v>
          </cell>
          <cell r="D15279" t="str">
            <v>IDP301 air 600 CT500</v>
          </cell>
        </row>
        <row r="15280">
          <cell r="B15280" t="str">
            <v>85-301-23-04</v>
          </cell>
          <cell r="C15280" t="str">
            <v>IDP301 air 800 DF500</v>
          </cell>
          <cell r="D15280" t="str">
            <v>IDP301 air 800 CT500</v>
          </cell>
        </row>
        <row r="15281">
          <cell r="B15281" t="str">
            <v>85-301-24-04</v>
          </cell>
          <cell r="C15281" t="str">
            <v>IDP301 air 1000 DF500</v>
          </cell>
          <cell r="D15281" t="str">
            <v>IDP301 air 1000 CT500</v>
          </cell>
        </row>
        <row r="15282">
          <cell r="B15282" t="str">
            <v>85-301-25-04</v>
          </cell>
          <cell r="C15282" t="str">
            <v>IDP301 air 600/600 DF500</v>
          </cell>
          <cell r="D15282" t="str">
            <v>IDP301 air 600/600 CT500</v>
          </cell>
        </row>
        <row r="15283">
          <cell r="B15283" t="str">
            <v>85-301-26-04</v>
          </cell>
          <cell r="C15283" t="str">
            <v>IDP301 air 600/800 DF500</v>
          </cell>
          <cell r="D15283" t="str">
            <v>IDP301 air 600/800 CT500</v>
          </cell>
        </row>
        <row r="15284">
          <cell r="B15284" t="str">
            <v>85-301-27-04</v>
          </cell>
          <cell r="C15284" t="str">
            <v>IDP301 air 800/600 DF500</v>
          </cell>
          <cell r="D15284" t="str">
            <v>IDP301 air 800/600 CT500</v>
          </cell>
        </row>
        <row r="15285">
          <cell r="B15285" t="str">
            <v>85-301-28-04</v>
          </cell>
          <cell r="C15285" t="str">
            <v>IDP301 air 800/800 DF500</v>
          </cell>
          <cell r="D15285" t="str">
            <v>IDP301 air 800/800 CT500</v>
          </cell>
        </row>
        <row r="15286">
          <cell r="B15286" t="str">
            <v>85-301-29-04</v>
          </cell>
          <cell r="C15286" t="str">
            <v>IDP301 air 600/1000  DF500</v>
          </cell>
          <cell r="D15286" t="str">
            <v>IDP301 air 600/1000  CT500</v>
          </cell>
        </row>
        <row r="15287">
          <cell r="B15287" t="str">
            <v>85-301-30-04</v>
          </cell>
          <cell r="C15287" t="str">
            <v>IDP301 air 800/1000  DF500</v>
          </cell>
          <cell r="D15287" t="str">
            <v>IDP301 air 800/1000  CT500</v>
          </cell>
        </row>
        <row r="15288">
          <cell r="B15288" t="str">
            <v>85-301-31-04</v>
          </cell>
          <cell r="C15288" t="str">
            <v>IDP301 air 1000/600  DF500</v>
          </cell>
          <cell r="D15288" t="str">
            <v>IDP301 air 1000/600  CT500</v>
          </cell>
        </row>
        <row r="15289">
          <cell r="B15289" t="str">
            <v>85-301-32-04</v>
          </cell>
          <cell r="C15289" t="str">
            <v>IDP301 air 1000/800  DF500</v>
          </cell>
          <cell r="D15289" t="str">
            <v>IDP301 air 1000/800  CT500</v>
          </cell>
        </row>
        <row r="15290">
          <cell r="B15290" t="str">
            <v>85-301-33-04</v>
          </cell>
          <cell r="C15290" t="str">
            <v>IDP301 air 600 DF700</v>
          </cell>
          <cell r="D15290" t="str">
            <v>IDP301 air 600 CT700</v>
          </cell>
        </row>
        <row r="15291">
          <cell r="B15291" t="str">
            <v>85-301-34-04</v>
          </cell>
          <cell r="C15291" t="str">
            <v>IDP301 air 800 DF700</v>
          </cell>
          <cell r="D15291" t="str">
            <v>IDP301 air 800 CT700</v>
          </cell>
        </row>
        <row r="15292">
          <cell r="B15292" t="str">
            <v>85-301-35-04</v>
          </cell>
          <cell r="C15292" t="str">
            <v>IDP301 air 1000 DF700</v>
          </cell>
          <cell r="D15292" t="str">
            <v>IDP301 air 1000 CT700</v>
          </cell>
        </row>
        <row r="15293">
          <cell r="B15293" t="str">
            <v>85-301-36-04</v>
          </cell>
          <cell r="C15293" t="str">
            <v>IDP301 air 600/600 DF700</v>
          </cell>
          <cell r="D15293" t="str">
            <v>IDP301 air 600/600 CT700</v>
          </cell>
        </row>
        <row r="15294">
          <cell r="B15294" t="str">
            <v>85-301-37-04</v>
          </cell>
          <cell r="C15294" t="str">
            <v>IDP301 air 600/800 DF700</v>
          </cell>
          <cell r="D15294" t="str">
            <v>IDP301 air 600/800 CT700</v>
          </cell>
        </row>
        <row r="15295">
          <cell r="B15295" t="str">
            <v>85-301-38-04</v>
          </cell>
          <cell r="C15295" t="str">
            <v>IDP301 air 800/600 DF700</v>
          </cell>
          <cell r="D15295" t="str">
            <v>IDP301 air 800/600 CT700</v>
          </cell>
        </row>
        <row r="15296">
          <cell r="B15296" t="str">
            <v>85-301-39-04</v>
          </cell>
          <cell r="C15296" t="str">
            <v>IDP301 air 800/800 DF700</v>
          </cell>
          <cell r="D15296" t="str">
            <v>IDP301 air 800/800 CT700</v>
          </cell>
        </row>
        <row r="15297">
          <cell r="B15297" t="str">
            <v>85-301-40-04</v>
          </cell>
          <cell r="C15297" t="str">
            <v>IDP301 air 600/1000  DF700</v>
          </cell>
          <cell r="D15297" t="str">
            <v>IDP301 air 600/1000  CT700</v>
          </cell>
        </row>
        <row r="15298">
          <cell r="B15298" t="str">
            <v>85-301-41-04</v>
          </cell>
          <cell r="C15298" t="str">
            <v>IDP301 air 800/1000  DF700</v>
          </cell>
          <cell r="D15298" t="str">
            <v>IDP301 air 800/1000  CT700</v>
          </cell>
        </row>
        <row r="15299">
          <cell r="B15299" t="str">
            <v>85-301-42-04</v>
          </cell>
          <cell r="C15299" t="str">
            <v>IDP301 air 1000/600  DF700</v>
          </cell>
          <cell r="D15299" t="str">
            <v>IDP301 air 1000/600  CT700</v>
          </cell>
        </row>
        <row r="15300">
          <cell r="B15300" t="str">
            <v>85-301-43-04</v>
          </cell>
          <cell r="C15300" t="str">
            <v>IDP301 air 1000/800  DF700</v>
          </cell>
          <cell r="D15300" t="str">
            <v>IDP301 air 1000/800  CT700</v>
          </cell>
        </row>
        <row r="15301">
          <cell r="B15301" t="str">
            <v>85-301-44-04</v>
          </cell>
          <cell r="C15301" t="str">
            <v>IDP301 air+ 600 DF100</v>
          </cell>
          <cell r="D15301" t="str">
            <v>IDP301 air+ 600 CT100</v>
          </cell>
        </row>
        <row r="15302">
          <cell r="B15302" t="str">
            <v>85-301-45-04</v>
          </cell>
          <cell r="C15302" t="str">
            <v>IDP301 air+ 800 DF100</v>
          </cell>
          <cell r="D15302" t="str">
            <v>IDP301 air+ 800 CT100</v>
          </cell>
        </row>
        <row r="15303">
          <cell r="B15303" t="str">
            <v>85-301-46-04</v>
          </cell>
          <cell r="C15303" t="str">
            <v>IDP301 air+ 1000 DF100</v>
          </cell>
          <cell r="D15303" t="str">
            <v>IDP301 air+ 1000 CT100</v>
          </cell>
        </row>
        <row r="15304">
          <cell r="B15304" t="str">
            <v>85-301-47-04</v>
          </cell>
          <cell r="C15304" t="str">
            <v>IDP301 air+ 600/600 DF100</v>
          </cell>
          <cell r="D15304" t="str">
            <v>IDP301 air+ 600/600 CT100</v>
          </cell>
        </row>
        <row r="15305">
          <cell r="B15305" t="str">
            <v>85-301-48-04</v>
          </cell>
          <cell r="C15305" t="str">
            <v>IDP301 air+ 600/800 DF100</v>
          </cell>
          <cell r="D15305" t="str">
            <v>IDP301 air+ 600/800 CT100</v>
          </cell>
        </row>
        <row r="15306">
          <cell r="B15306" t="str">
            <v>85-301-49-04</v>
          </cell>
          <cell r="C15306" t="str">
            <v>IDP301 air+ 800/600 DF100</v>
          </cell>
          <cell r="D15306" t="str">
            <v>IDP301 air+ 800/600 CT100</v>
          </cell>
        </row>
        <row r="15307">
          <cell r="B15307" t="str">
            <v>85-301-50-04</v>
          </cell>
          <cell r="C15307" t="str">
            <v>IDP301 air+ 800/800 DF100</v>
          </cell>
          <cell r="D15307" t="str">
            <v>IDP301 air+ 800/800 CT100</v>
          </cell>
        </row>
        <row r="15308">
          <cell r="B15308" t="str">
            <v>85-301-51-04</v>
          </cell>
          <cell r="C15308" t="str">
            <v>IDP301 air+ 600/1000  DF100</v>
          </cell>
          <cell r="D15308" t="str">
            <v>IDP301 air+ 600/1000  CT100</v>
          </cell>
        </row>
        <row r="15309">
          <cell r="B15309" t="str">
            <v>85-301-52-04</v>
          </cell>
          <cell r="C15309" t="str">
            <v>IDP301 air+ 800/1000  DF100</v>
          </cell>
          <cell r="D15309" t="str">
            <v>IDP301 air+ 800/1000  CT100</v>
          </cell>
        </row>
        <row r="15310">
          <cell r="B15310" t="str">
            <v>85-301-53-04</v>
          </cell>
          <cell r="C15310" t="str">
            <v>IDP301 air+ 1000/600  DF100</v>
          </cell>
          <cell r="D15310" t="str">
            <v>IDP301 air+ 1000/600  CT100</v>
          </cell>
        </row>
        <row r="15311">
          <cell r="B15311" t="str">
            <v>85-301-54-04</v>
          </cell>
          <cell r="C15311" t="str">
            <v>IDP301 air+ 1000/800  DF100</v>
          </cell>
          <cell r="D15311" t="str">
            <v>IDP301 air+ 1000/800  CT100</v>
          </cell>
        </row>
        <row r="15312">
          <cell r="B15312" t="str">
            <v>85-301-55-04</v>
          </cell>
          <cell r="C15312" t="str">
            <v>IDP301 air+ 1000/1000  DF100</v>
          </cell>
          <cell r="D15312" t="str">
            <v>IDP301 air+ 1000/1000  CT100</v>
          </cell>
        </row>
        <row r="15313">
          <cell r="B15313" t="str">
            <v>85-301-56-04</v>
          </cell>
          <cell r="C15313" t="str">
            <v>IDP301 air+ 600 DF300</v>
          </cell>
          <cell r="D15313" t="str">
            <v>IDP301 air+ 600 CT300</v>
          </cell>
        </row>
        <row r="15314">
          <cell r="B15314" t="str">
            <v>85-301-57-04</v>
          </cell>
          <cell r="C15314" t="str">
            <v>IDP301 air+ 800 DF300</v>
          </cell>
          <cell r="D15314" t="str">
            <v>IDP301 air+ 800 CT300</v>
          </cell>
        </row>
        <row r="15315">
          <cell r="B15315" t="str">
            <v>85-301-58-04</v>
          </cell>
          <cell r="C15315" t="str">
            <v>IDP301 air+ 1000 DF300</v>
          </cell>
          <cell r="D15315" t="str">
            <v>IDP301 air+ 1000 CT300</v>
          </cell>
        </row>
        <row r="15316">
          <cell r="B15316" t="str">
            <v>85-301-59-04</v>
          </cell>
          <cell r="C15316" t="str">
            <v>IDP301 air+ 600/600 DF300</v>
          </cell>
          <cell r="D15316" t="str">
            <v>IDP301 air+ 600/600 CT300</v>
          </cell>
        </row>
        <row r="15317">
          <cell r="B15317" t="str">
            <v>85-301-60-04</v>
          </cell>
          <cell r="C15317" t="str">
            <v>IDP301 air+ 600/800 DF300</v>
          </cell>
          <cell r="D15317" t="str">
            <v>IDP301 air+ 600/800 CT300</v>
          </cell>
        </row>
        <row r="15318">
          <cell r="B15318" t="str">
            <v>85-301-61-04</v>
          </cell>
          <cell r="C15318" t="str">
            <v>IDP301 air+ 800/600 DF300</v>
          </cell>
          <cell r="D15318" t="str">
            <v>IDP301 air+ 800/600 CT300</v>
          </cell>
        </row>
        <row r="15319">
          <cell r="B15319" t="str">
            <v>85-301-62-04</v>
          </cell>
          <cell r="C15319" t="str">
            <v>IDP301 air+ 800/800 DF300</v>
          </cell>
          <cell r="D15319" t="str">
            <v>IDP301 air+ 800/800 CT300</v>
          </cell>
        </row>
        <row r="15320">
          <cell r="B15320" t="str">
            <v>85-301-63-04</v>
          </cell>
          <cell r="C15320" t="str">
            <v>IDP301 air+ 600/1000  DF300</v>
          </cell>
          <cell r="D15320" t="str">
            <v>IDP301 air+ 600/1000  CT300</v>
          </cell>
        </row>
        <row r="15321">
          <cell r="B15321" t="str">
            <v>85-301-64-04</v>
          </cell>
          <cell r="C15321" t="str">
            <v>IDP301 air+ 800/1000  DF300</v>
          </cell>
          <cell r="D15321" t="str">
            <v>IDP301 air+ 800/1000  CT300</v>
          </cell>
        </row>
        <row r="15322">
          <cell r="B15322" t="str">
            <v>85-301-65-04</v>
          </cell>
          <cell r="C15322" t="str">
            <v>IDP301 air+ 1000/600  DF300</v>
          </cell>
          <cell r="D15322" t="str">
            <v>IDP301 air+ 1000/600  CT300</v>
          </cell>
        </row>
        <row r="15323">
          <cell r="B15323" t="str">
            <v>85-301-66-04</v>
          </cell>
          <cell r="C15323" t="str">
            <v>IDP301 air+ 1000/800  DF300</v>
          </cell>
          <cell r="D15323" t="str">
            <v>IDP301 air+ 1000/800  CT300</v>
          </cell>
        </row>
        <row r="15324">
          <cell r="B15324" t="str">
            <v>85-301-67-04</v>
          </cell>
          <cell r="C15324" t="str">
            <v>IDP301 air+ 1000/1000  DF300</v>
          </cell>
          <cell r="D15324" t="str">
            <v>IDP301 air+ 1000/1000  CT300</v>
          </cell>
        </row>
        <row r="15325">
          <cell r="B15325" t="str">
            <v>85-301-68-04</v>
          </cell>
          <cell r="C15325" t="str">
            <v>IDP301 air+ 600 DF500</v>
          </cell>
          <cell r="D15325" t="str">
            <v>IDP301 air+ 600 CT500</v>
          </cell>
        </row>
        <row r="15326">
          <cell r="B15326" t="str">
            <v>85-301-69-04</v>
          </cell>
          <cell r="C15326" t="str">
            <v>IDP301 air+ 800 DF500</v>
          </cell>
          <cell r="D15326" t="str">
            <v>IDP301 air+ 800 CT500</v>
          </cell>
        </row>
        <row r="15327">
          <cell r="B15327" t="str">
            <v>85-301-70-04</v>
          </cell>
          <cell r="C15327" t="str">
            <v>IDP301 air+ 1000 DF500</v>
          </cell>
          <cell r="D15327" t="str">
            <v>IDP301 air+ 1000 CT500</v>
          </cell>
        </row>
        <row r="15328">
          <cell r="B15328" t="str">
            <v>85-301-71-04</v>
          </cell>
          <cell r="C15328" t="str">
            <v>IDP301 air+ 600/600 DF500</v>
          </cell>
          <cell r="D15328" t="str">
            <v>IDP301 air+ 600/600 CT500</v>
          </cell>
        </row>
        <row r="15329">
          <cell r="B15329" t="str">
            <v>85-301-72-04</v>
          </cell>
          <cell r="C15329" t="str">
            <v>IDP301 air+ 600/800 DF500</v>
          </cell>
          <cell r="D15329" t="str">
            <v>IDP301 air+ 600/800 CT500</v>
          </cell>
        </row>
        <row r="15330">
          <cell r="B15330" t="str">
            <v>85-301-73-04</v>
          </cell>
          <cell r="C15330" t="str">
            <v>IDP301 air+ 800/600 DF500</v>
          </cell>
          <cell r="D15330" t="str">
            <v>IDP301 air+ 800/600 CT500</v>
          </cell>
        </row>
        <row r="15331">
          <cell r="B15331" t="str">
            <v>85-301-74-04</v>
          </cell>
          <cell r="C15331" t="str">
            <v>IDP301 air+ 800/800 DF500</v>
          </cell>
          <cell r="D15331" t="str">
            <v>IDP301 air+ 800/800 CT500</v>
          </cell>
        </row>
        <row r="15332">
          <cell r="B15332" t="str">
            <v>85-301-75-04</v>
          </cell>
          <cell r="C15332" t="str">
            <v>IDP301 air+ 600/1000  DF500</v>
          </cell>
          <cell r="D15332" t="str">
            <v>IDP301 air+ 600/1000  CT500</v>
          </cell>
        </row>
        <row r="15333">
          <cell r="B15333" t="str">
            <v>85-301-76-04</v>
          </cell>
          <cell r="C15333" t="str">
            <v>IDP301 air+ 800/1000  DF500</v>
          </cell>
          <cell r="D15333" t="str">
            <v>IDP301 air+ 800/1000  CT500</v>
          </cell>
        </row>
        <row r="15334">
          <cell r="B15334" t="str">
            <v>85-301-77-04</v>
          </cell>
          <cell r="C15334" t="str">
            <v>IDP301 air+ 1000/600  DF500</v>
          </cell>
          <cell r="D15334" t="str">
            <v>IDP301 air+ 1000/600  CT500</v>
          </cell>
        </row>
        <row r="15335">
          <cell r="B15335" t="str">
            <v>85-301-78-04</v>
          </cell>
          <cell r="C15335" t="str">
            <v>IDP301 air+ 1000/800  DF500</v>
          </cell>
          <cell r="D15335" t="str">
            <v>IDP301 air+ 1000/800  CT500</v>
          </cell>
        </row>
        <row r="15336">
          <cell r="B15336" t="str">
            <v>85-301-79-04</v>
          </cell>
          <cell r="C15336" t="str">
            <v>IDP301 air+ 1000/1000  DF500</v>
          </cell>
          <cell r="D15336" t="str">
            <v>IDP301 air+ 1000/1000  CT500</v>
          </cell>
        </row>
        <row r="15337">
          <cell r="B15337" t="str">
            <v>85-301-80-04</v>
          </cell>
          <cell r="C15337" t="str">
            <v>IDP301 air+ 600 DF700</v>
          </cell>
          <cell r="D15337" t="str">
            <v>IDP301 air+ 600 CT700</v>
          </cell>
        </row>
        <row r="15338">
          <cell r="B15338" t="str">
            <v>85-301-81-04</v>
          </cell>
          <cell r="C15338" t="str">
            <v>IDP301 air+ 800 DF700</v>
          </cell>
          <cell r="D15338" t="str">
            <v>IDP301 air+ 800 CT700</v>
          </cell>
        </row>
        <row r="15339">
          <cell r="B15339" t="str">
            <v>85-301-82-04</v>
          </cell>
          <cell r="C15339" t="str">
            <v>IDP301 air+ 1000 DF700</v>
          </cell>
          <cell r="D15339" t="str">
            <v>IDP301 air+ 1000 CT700</v>
          </cell>
        </row>
        <row r="15340">
          <cell r="B15340" t="str">
            <v>85-301-83-04</v>
          </cell>
          <cell r="C15340" t="str">
            <v>IDP301 air+ 600/600 DF700</v>
          </cell>
          <cell r="D15340" t="str">
            <v>IDP301 air+ 600/600 CT700</v>
          </cell>
        </row>
        <row r="15341">
          <cell r="B15341" t="str">
            <v>85-301-84-04</v>
          </cell>
          <cell r="C15341" t="str">
            <v>IDP301 air+ 600/800 DF700</v>
          </cell>
          <cell r="D15341" t="str">
            <v>IDP301 air+ 600/800 CT700</v>
          </cell>
        </row>
        <row r="15342">
          <cell r="B15342" t="str">
            <v>85-301-85-04</v>
          </cell>
          <cell r="C15342" t="str">
            <v>IDP301 air+ 800/600 DF700</v>
          </cell>
          <cell r="D15342" t="str">
            <v>IDP301 air+ 800/600 CT700</v>
          </cell>
        </row>
        <row r="15343">
          <cell r="B15343" t="str">
            <v>85-301-86-04</v>
          </cell>
          <cell r="C15343" t="str">
            <v>IDP301 air+ 800/800 DF700</v>
          </cell>
          <cell r="D15343" t="str">
            <v>IDP301 air+ 800/800 CT700</v>
          </cell>
        </row>
        <row r="15344">
          <cell r="B15344" t="str">
            <v>85-301-87-04</v>
          </cell>
          <cell r="C15344" t="str">
            <v>IDP301 air+ 600/1000  DF700</v>
          </cell>
          <cell r="D15344" t="str">
            <v>IDP301 air+ 600/1000  CT700</v>
          </cell>
        </row>
        <row r="15345">
          <cell r="B15345" t="str">
            <v>85-301-88-04</v>
          </cell>
          <cell r="C15345" t="str">
            <v>IDP301 air+ 800/1000  DF700</v>
          </cell>
          <cell r="D15345" t="str">
            <v>IDP301 air+ 800/1000  CT700</v>
          </cell>
        </row>
        <row r="15346">
          <cell r="B15346" t="str">
            <v>85-301-89-04</v>
          </cell>
          <cell r="C15346" t="str">
            <v>IDP301 air+ 1000/600  DF700</v>
          </cell>
          <cell r="D15346" t="str">
            <v>IDP301 air+ 1000/600  CT700</v>
          </cell>
        </row>
        <row r="15347">
          <cell r="B15347" t="str">
            <v>85-301-90-04</v>
          </cell>
          <cell r="C15347" t="str">
            <v>IDP301 air+ 1000/800  DF700</v>
          </cell>
          <cell r="D15347" t="str">
            <v>IDP301 air+ 1000/800  CT700</v>
          </cell>
        </row>
        <row r="15348">
          <cell r="B15348" t="str">
            <v>85-301-91-04</v>
          </cell>
          <cell r="C15348" t="str">
            <v>IDP301 air+ 1000/1000  DF700</v>
          </cell>
          <cell r="D15348" t="str">
            <v>IDP301 air+ 1000/1000  CT700</v>
          </cell>
        </row>
        <row r="15349">
          <cell r="B15349" t="str">
            <v>85-401-01-04</v>
          </cell>
          <cell r="C15349" t="str">
            <v>IDP401 600 DF100</v>
          </cell>
          <cell r="D15349" t="str">
            <v>IDP401 600 CT100</v>
          </cell>
        </row>
        <row r="15350">
          <cell r="B15350" t="str">
            <v>85-401-02-04</v>
          </cell>
          <cell r="C15350" t="str">
            <v>IDP401 800 DF100</v>
          </cell>
          <cell r="D15350" t="str">
            <v>IDP401 800 CT100</v>
          </cell>
        </row>
        <row r="15351">
          <cell r="B15351" t="str">
            <v>85-401-03-04</v>
          </cell>
          <cell r="C15351" t="str">
            <v>IDP401 1000 DF100</v>
          </cell>
          <cell r="D15351" t="str">
            <v>IDP401 1000 CT100</v>
          </cell>
        </row>
        <row r="15352">
          <cell r="B15352" t="str">
            <v>85-401-04-04</v>
          </cell>
          <cell r="C15352" t="str">
            <v>IDP401 1200 DF100</v>
          </cell>
          <cell r="D15352" t="str">
            <v>IDP401 1200 CT100</v>
          </cell>
        </row>
        <row r="15353">
          <cell r="B15353" t="str">
            <v>85-401-05-04</v>
          </cell>
          <cell r="C15353" t="str">
            <v>IDP401 600 DF300</v>
          </cell>
          <cell r="D15353" t="str">
            <v>IDP401 600 CT300</v>
          </cell>
        </row>
        <row r="15354">
          <cell r="B15354" t="str">
            <v>85-401-06-04</v>
          </cell>
          <cell r="C15354" t="str">
            <v>IDP401 800 DF300</v>
          </cell>
          <cell r="D15354" t="str">
            <v>IDP401 800 CT300</v>
          </cell>
        </row>
        <row r="15355">
          <cell r="B15355" t="str">
            <v>85-401-07-04</v>
          </cell>
          <cell r="C15355" t="str">
            <v>IDP401 1000 DF300</v>
          </cell>
          <cell r="D15355" t="str">
            <v>IDP401 1000 CT300</v>
          </cell>
        </row>
        <row r="15356">
          <cell r="B15356" t="str">
            <v>85-401-08-04</v>
          </cell>
          <cell r="C15356" t="str">
            <v>IDP401 1200 DF300</v>
          </cell>
          <cell r="D15356" t="str">
            <v>IDP401 1200 CT300</v>
          </cell>
        </row>
        <row r="15357">
          <cell r="B15357" t="str">
            <v>85-401-09-04</v>
          </cell>
          <cell r="C15357" t="str">
            <v>IDP401 600 DF500</v>
          </cell>
          <cell r="D15357" t="str">
            <v>IDP401 600 CT500</v>
          </cell>
        </row>
        <row r="15358">
          <cell r="B15358" t="str">
            <v>85-401-10-04</v>
          </cell>
          <cell r="C15358" t="str">
            <v>IDP401 800 DF500</v>
          </cell>
          <cell r="D15358" t="str">
            <v>IDP401 800 CT500</v>
          </cell>
        </row>
        <row r="15359">
          <cell r="B15359" t="str">
            <v>85-401-11-04</v>
          </cell>
          <cell r="C15359" t="str">
            <v>IDP401 1000 DF500</v>
          </cell>
          <cell r="D15359" t="str">
            <v>IDP401 1000 CT500</v>
          </cell>
        </row>
        <row r="15360">
          <cell r="B15360" t="str">
            <v>85-401-12-04</v>
          </cell>
          <cell r="C15360" t="str">
            <v>IDP401 1200 DF500</v>
          </cell>
          <cell r="D15360" t="str">
            <v>IDP401 1200 CT500</v>
          </cell>
        </row>
        <row r="15361">
          <cell r="B15361" t="str">
            <v>85-401-13-04</v>
          </cell>
          <cell r="C15361" t="str">
            <v>IDP401 600 DF700</v>
          </cell>
          <cell r="D15361" t="str">
            <v>IDP401 600 CT700</v>
          </cell>
        </row>
        <row r="15362">
          <cell r="B15362" t="str">
            <v>85-401-14-04</v>
          </cell>
          <cell r="C15362" t="str">
            <v>IDP401 800 DF700</v>
          </cell>
          <cell r="D15362" t="str">
            <v>IDP401 800 CT700</v>
          </cell>
        </row>
        <row r="15363">
          <cell r="B15363" t="str">
            <v>85-401-15-04</v>
          </cell>
          <cell r="C15363" t="str">
            <v>IDP401 1000 DF700</v>
          </cell>
          <cell r="D15363" t="str">
            <v>IDP401 1000 CT700</v>
          </cell>
        </row>
        <row r="15364">
          <cell r="B15364" t="str">
            <v>85-401-16-04</v>
          </cell>
          <cell r="C15364" t="str">
            <v>IDP401 1200 DF700</v>
          </cell>
          <cell r="D15364" t="str">
            <v>IDP401 1200 CT700</v>
          </cell>
        </row>
        <row r="15365">
          <cell r="B15365" t="str">
            <v>85-401-17-04</v>
          </cell>
          <cell r="C15365" t="str">
            <v>IDP401 600/600 DF100</v>
          </cell>
          <cell r="D15365" t="str">
            <v>IDP401 600/600 CT100</v>
          </cell>
        </row>
        <row r="15366">
          <cell r="B15366" t="str">
            <v>85-401-18-04</v>
          </cell>
          <cell r="C15366" t="str">
            <v>IDP401 600/800 DF100</v>
          </cell>
          <cell r="D15366" t="str">
            <v>IDP401 600/800 CT100</v>
          </cell>
        </row>
        <row r="15367">
          <cell r="B15367" t="str">
            <v>85-401-19-04</v>
          </cell>
          <cell r="C15367" t="str">
            <v>IDP401 800/800 DF100</v>
          </cell>
          <cell r="D15367" t="str">
            <v>IDP401 800/800 CT100</v>
          </cell>
        </row>
        <row r="15368">
          <cell r="B15368" t="str">
            <v>85-401-20-04</v>
          </cell>
          <cell r="C15368" t="str">
            <v>IDP401 800/1000  DF100</v>
          </cell>
          <cell r="D15368" t="str">
            <v>IDP401 800/1000  CT100</v>
          </cell>
        </row>
        <row r="15369">
          <cell r="B15369" t="str">
            <v>85-401-21-04</v>
          </cell>
          <cell r="C15369" t="str">
            <v>IDP401 1000/1000  DF100</v>
          </cell>
          <cell r="D15369" t="str">
            <v>IDP401 1000/1000  CT100</v>
          </cell>
        </row>
        <row r="15370">
          <cell r="B15370" t="str">
            <v>85-401-22-04</v>
          </cell>
          <cell r="C15370" t="str">
            <v>IDP401 1000/1200  DF100</v>
          </cell>
          <cell r="D15370" t="str">
            <v>IDP401 1000/1200  CT100</v>
          </cell>
        </row>
        <row r="15371">
          <cell r="B15371" t="str">
            <v>85-401-23-04</v>
          </cell>
          <cell r="C15371" t="str">
            <v>IDP401 1200/1200  DF100</v>
          </cell>
          <cell r="D15371" t="str">
            <v>IDP401 1200/1200  CT100</v>
          </cell>
        </row>
        <row r="15372">
          <cell r="B15372" t="str">
            <v>85-401-24-04</v>
          </cell>
          <cell r="C15372" t="str">
            <v>IDP401 600/600 DF300</v>
          </cell>
          <cell r="D15372" t="str">
            <v>IDP401 600/600 CT300</v>
          </cell>
        </row>
        <row r="15373">
          <cell r="B15373" t="str">
            <v>85-401-25-04</v>
          </cell>
          <cell r="C15373" t="str">
            <v>IDP401 600/800 DF300</v>
          </cell>
          <cell r="D15373" t="str">
            <v>IDP401 600/800 CT300</v>
          </cell>
        </row>
        <row r="15374">
          <cell r="B15374" t="str">
            <v>85-401-26-04</v>
          </cell>
          <cell r="C15374" t="str">
            <v>IDP401 800/800 DF300</v>
          </cell>
          <cell r="D15374" t="str">
            <v>IDP401 800/800 CT300</v>
          </cell>
        </row>
        <row r="15375">
          <cell r="B15375" t="str">
            <v>85-401-27-04</v>
          </cell>
          <cell r="C15375" t="str">
            <v>IDP401 800/1000  DF300</v>
          </cell>
          <cell r="D15375" t="str">
            <v>IDP401 800/1000  CT300</v>
          </cell>
        </row>
        <row r="15376">
          <cell r="B15376" t="str">
            <v>85-401-28-04</v>
          </cell>
          <cell r="C15376" t="str">
            <v>IDP401 1000/1000  DF300</v>
          </cell>
          <cell r="D15376" t="str">
            <v>IDP401 1000/1000  CT300</v>
          </cell>
        </row>
        <row r="15377">
          <cell r="B15377" t="str">
            <v>85-401-29-04</v>
          </cell>
          <cell r="C15377" t="str">
            <v>IDP401 1000/1200  DF300</v>
          </cell>
          <cell r="D15377" t="str">
            <v>IDP401 1000/1200  CT300</v>
          </cell>
        </row>
        <row r="15378">
          <cell r="B15378" t="str">
            <v>85-401-30-04</v>
          </cell>
          <cell r="C15378" t="str">
            <v>IDP401 1200/1200  DF300</v>
          </cell>
          <cell r="D15378" t="str">
            <v>IDP401 1200/1200  CT300</v>
          </cell>
        </row>
        <row r="15379">
          <cell r="B15379" t="str">
            <v>85-401-31-04</v>
          </cell>
          <cell r="C15379" t="str">
            <v>IDP401 600/600 DF500</v>
          </cell>
          <cell r="D15379" t="str">
            <v>IDP401 600/600 CT500</v>
          </cell>
        </row>
        <row r="15380">
          <cell r="B15380" t="str">
            <v>85-401-32-04</v>
          </cell>
          <cell r="C15380" t="str">
            <v>IDP401 600/800 DF500</v>
          </cell>
          <cell r="D15380" t="str">
            <v>IDP401 600/800 CT500</v>
          </cell>
        </row>
        <row r="15381">
          <cell r="B15381" t="str">
            <v>85-401-33-04</v>
          </cell>
          <cell r="C15381" t="str">
            <v>IDP401 800/800 DF500</v>
          </cell>
          <cell r="D15381" t="str">
            <v>IDP401 800/800 CT500</v>
          </cell>
        </row>
        <row r="15382">
          <cell r="B15382" t="str">
            <v>85-401-34-04</v>
          </cell>
          <cell r="C15382" t="str">
            <v>IDP401 800/1000  DF500</v>
          </cell>
          <cell r="D15382" t="str">
            <v>IDP401 800/1000  CT500</v>
          </cell>
        </row>
        <row r="15383">
          <cell r="B15383" t="str">
            <v>85-401-35-04</v>
          </cell>
          <cell r="C15383" t="str">
            <v>IDP401 1000/1000  DF500</v>
          </cell>
          <cell r="D15383" t="str">
            <v>IDP401 1000/1000  CT500</v>
          </cell>
        </row>
        <row r="15384">
          <cell r="B15384" t="str">
            <v>85-401-36-04</v>
          </cell>
          <cell r="C15384" t="str">
            <v>IDP401 1000/1200  DF500</v>
          </cell>
          <cell r="D15384" t="str">
            <v>IDP401 1000/1200  CT500</v>
          </cell>
        </row>
        <row r="15385">
          <cell r="B15385" t="str">
            <v>85-401-37-04</v>
          </cell>
          <cell r="C15385" t="str">
            <v>IDP401 1200/1200  DF500</v>
          </cell>
          <cell r="D15385" t="str">
            <v>IDP401 1200/1200  CT500</v>
          </cell>
        </row>
        <row r="15386">
          <cell r="B15386" t="str">
            <v>85-401-38-04</v>
          </cell>
          <cell r="C15386" t="str">
            <v>IDP401 600/600 DF700</v>
          </cell>
          <cell r="D15386" t="str">
            <v>IDP401 600/600 CT700</v>
          </cell>
        </row>
        <row r="15387">
          <cell r="B15387" t="str">
            <v>85-401-39-04</v>
          </cell>
          <cell r="C15387" t="str">
            <v>IDP401 600/800 DF700</v>
          </cell>
          <cell r="D15387" t="str">
            <v>IDP401 600/800 CT700</v>
          </cell>
        </row>
        <row r="15388">
          <cell r="B15388" t="str">
            <v>85-401-40-04</v>
          </cell>
          <cell r="C15388" t="str">
            <v>IDP401 800/800 DF700</v>
          </cell>
          <cell r="D15388" t="str">
            <v>IDP401 800/800 CT700</v>
          </cell>
        </row>
        <row r="15389">
          <cell r="B15389" t="str">
            <v>85-401-41-04</v>
          </cell>
          <cell r="C15389" t="str">
            <v>IDP401 800/1000  DF700</v>
          </cell>
          <cell r="D15389" t="str">
            <v>IDP401 800/1000  CT700</v>
          </cell>
        </row>
        <row r="15390">
          <cell r="B15390" t="str">
            <v>85-401-42-04</v>
          </cell>
          <cell r="C15390" t="str">
            <v>IDP401 1000/1000  DF700</v>
          </cell>
          <cell r="D15390" t="str">
            <v>IDP401 1000/1000  CT700</v>
          </cell>
        </row>
        <row r="15391">
          <cell r="B15391" t="str">
            <v>85-401-43-04</v>
          </cell>
          <cell r="C15391" t="str">
            <v>IDP401 1000/1200  DF700</v>
          </cell>
          <cell r="D15391" t="str">
            <v>IDP401 1000/1200  CT700</v>
          </cell>
        </row>
        <row r="15392">
          <cell r="B15392" t="str">
            <v>85-401-44-04</v>
          </cell>
          <cell r="C15392" t="str">
            <v>IDP401 1200/1200  DF700</v>
          </cell>
          <cell r="D15392" t="str">
            <v>IDP401 1200/1200  CT700</v>
          </cell>
        </row>
        <row r="15393">
          <cell r="B15393" t="str">
            <v>85-401-69-04</v>
          </cell>
          <cell r="C15393" t="str">
            <v>IDP 401 800/600 DF100</v>
          </cell>
          <cell r="D15393" t="str">
            <v>IDP 401 800/600 CT100</v>
          </cell>
        </row>
        <row r="15394">
          <cell r="B15394" t="str">
            <v>85-401-70-04</v>
          </cell>
          <cell r="C15394" t="str">
            <v>IDP401 1000/800  DF100</v>
          </cell>
          <cell r="D15394" t="str">
            <v>IDP401 1000/800  CT100</v>
          </cell>
        </row>
        <row r="15395">
          <cell r="B15395" t="str">
            <v>85-401-71-04</v>
          </cell>
          <cell r="C15395" t="str">
            <v>IDP401 1200/1000  DF100</v>
          </cell>
          <cell r="D15395" t="str">
            <v>IDP401 1200/1000  CT100</v>
          </cell>
        </row>
        <row r="15396">
          <cell r="B15396" t="str">
            <v>85-401-72-04</v>
          </cell>
          <cell r="C15396" t="str">
            <v>IDP401 800/600 DF300</v>
          </cell>
          <cell r="D15396" t="str">
            <v>IDP401 800/600 CT300</v>
          </cell>
        </row>
        <row r="15397">
          <cell r="B15397" t="str">
            <v>85-401-73-04</v>
          </cell>
          <cell r="C15397" t="str">
            <v>IDP401 1000/800  DF300</v>
          </cell>
          <cell r="D15397" t="str">
            <v>IDP401 1000/800  CT300</v>
          </cell>
        </row>
        <row r="15398">
          <cell r="B15398" t="str">
            <v>85-401-74-04</v>
          </cell>
          <cell r="C15398" t="str">
            <v>IDP401 1200/1000  DF300</v>
          </cell>
          <cell r="D15398" t="str">
            <v>IDP401 1200/1000  CT300</v>
          </cell>
        </row>
        <row r="15399">
          <cell r="B15399" t="str">
            <v>85-401-75-04</v>
          </cell>
          <cell r="C15399" t="str">
            <v>IDP401 800/600 DF500</v>
          </cell>
          <cell r="D15399" t="str">
            <v>IDP401 800/600 CT500</v>
          </cell>
        </row>
        <row r="15400">
          <cell r="B15400" t="str">
            <v>85-401-76-04</v>
          </cell>
          <cell r="C15400" t="str">
            <v>IDP401 1000/800  DF500</v>
          </cell>
          <cell r="D15400" t="str">
            <v>IDP401 1000/800  CT500</v>
          </cell>
        </row>
        <row r="15401">
          <cell r="B15401" t="str">
            <v>85-401-77-04</v>
          </cell>
          <cell r="C15401" t="str">
            <v>IDP401 1200/1000  DF500</v>
          </cell>
          <cell r="D15401" t="str">
            <v>IDP401 1200/1000  CT500</v>
          </cell>
        </row>
        <row r="15402">
          <cell r="B15402" t="str">
            <v>85-401-78-04</v>
          </cell>
          <cell r="C15402" t="str">
            <v>IDP401 800/600 DF700</v>
          </cell>
          <cell r="D15402" t="str">
            <v>IDP401 800/600 CT700</v>
          </cell>
        </row>
        <row r="15403">
          <cell r="B15403" t="str">
            <v>85-401-79-04</v>
          </cell>
          <cell r="C15403" t="str">
            <v>IDP401 1000/800  DF700</v>
          </cell>
          <cell r="D15403" t="str">
            <v>IDP401 1000/800  CT700</v>
          </cell>
        </row>
        <row r="15404">
          <cell r="B15404" t="str">
            <v>85-401-80-04</v>
          </cell>
          <cell r="C15404" t="str">
            <v>IDP401 1200/1000  DF700</v>
          </cell>
          <cell r="D15404" t="str">
            <v>IDP401 1200/1000  CT700</v>
          </cell>
        </row>
        <row r="15405">
          <cell r="B15405" t="str">
            <v>85-401-86-04</v>
          </cell>
          <cell r="C15405" t="str">
            <v>IDP401 1000/600  DF100</v>
          </cell>
          <cell r="D15405" t="str">
            <v>IDP401 1000/600  CT100</v>
          </cell>
        </row>
        <row r="15406">
          <cell r="B15406" t="str">
            <v>85-401-87-04</v>
          </cell>
          <cell r="C15406" t="str">
            <v>IDP401 1000/600  DF300</v>
          </cell>
          <cell r="D15406" t="str">
            <v>IDP401 1000/600  CT300</v>
          </cell>
        </row>
        <row r="15407">
          <cell r="B15407" t="str">
            <v>85-401-88-04</v>
          </cell>
          <cell r="C15407" t="str">
            <v>IDP401 1000/600  DF500</v>
          </cell>
          <cell r="D15407" t="str">
            <v>IDP401 1000/600  CT500</v>
          </cell>
        </row>
        <row r="15408">
          <cell r="B15408" t="str">
            <v>85-401-89-04</v>
          </cell>
          <cell r="C15408" t="str">
            <v>IDP401 1000/600  DF700</v>
          </cell>
          <cell r="D15408" t="str">
            <v>IDP401 1000/600  CT700</v>
          </cell>
        </row>
        <row r="15409">
          <cell r="B15409" t="str">
            <v>85-401-90-04</v>
          </cell>
          <cell r="C15409" t="str">
            <v>IDP401 INV 600/600 DF100</v>
          </cell>
          <cell r="D15409" t="str">
            <v>IDP401 INV 600/600 CT100</v>
          </cell>
        </row>
        <row r="15410">
          <cell r="B15410" t="str">
            <v>85-401-91-04</v>
          </cell>
          <cell r="C15410" t="str">
            <v>IDP401 INV 800/600 DF100</v>
          </cell>
          <cell r="D15410" t="str">
            <v>IDP401 INV 800/600 CT100</v>
          </cell>
        </row>
        <row r="15411">
          <cell r="B15411" t="str">
            <v>85-401-92-04</v>
          </cell>
          <cell r="C15411" t="str">
            <v>IDP401 INV 800/800 DF100</v>
          </cell>
          <cell r="D15411" t="str">
            <v>IDP401 INV 800/800 CT100</v>
          </cell>
        </row>
        <row r="15412">
          <cell r="B15412" t="str">
            <v>85-401-93-04</v>
          </cell>
          <cell r="C15412" t="str">
            <v>IDP401 INV 1000/600  DF100</v>
          </cell>
          <cell r="D15412" t="str">
            <v>IDP401 INV 1000/600  CT100</v>
          </cell>
        </row>
        <row r="15413">
          <cell r="B15413" t="str">
            <v>85-401-94-04</v>
          </cell>
          <cell r="C15413" t="str">
            <v>IDP401 INV 1000/800  DF100</v>
          </cell>
          <cell r="D15413" t="str">
            <v>IDP401 INV 1000/800  CT100</v>
          </cell>
        </row>
        <row r="15414">
          <cell r="B15414" t="str">
            <v>85-401-95-04</v>
          </cell>
          <cell r="C15414" t="str">
            <v>IDP401 INV 1000/1000  DF100</v>
          </cell>
          <cell r="D15414" t="str">
            <v>IDP401 INV 1000/1000  CT100</v>
          </cell>
        </row>
        <row r="15415">
          <cell r="B15415" t="str">
            <v>85-401-96-04</v>
          </cell>
          <cell r="C15415" t="str">
            <v>IDP401 INV 1200/800  DF100</v>
          </cell>
          <cell r="D15415" t="str">
            <v>IDP401 INV 1200/800  CT100</v>
          </cell>
        </row>
        <row r="15416">
          <cell r="B15416" t="str">
            <v>85-401-97-04</v>
          </cell>
          <cell r="C15416" t="str">
            <v>IDP401 INV 1200/1000  DF100</v>
          </cell>
          <cell r="D15416" t="str">
            <v>IDP401 INV 1200/1000  CT100</v>
          </cell>
        </row>
        <row r="15417">
          <cell r="B15417" t="str">
            <v>85-401-98-04</v>
          </cell>
          <cell r="C15417" t="str">
            <v>IDP401 INV 1200/1200  DF100</v>
          </cell>
          <cell r="D15417" t="str">
            <v>IDP401 INV 1200/1200  CT100</v>
          </cell>
        </row>
        <row r="15418">
          <cell r="B15418" t="str">
            <v>85-401-99-04</v>
          </cell>
          <cell r="C15418" t="str">
            <v>IDP401 INV 600/600 DF300</v>
          </cell>
          <cell r="D15418" t="str">
            <v>IDP401 INV 600/600 CT300</v>
          </cell>
        </row>
        <row r="15419">
          <cell r="B15419" t="str">
            <v>85-402-00-04</v>
          </cell>
          <cell r="C15419" t="str">
            <v>IDP401 INV 800/600 DF300</v>
          </cell>
          <cell r="D15419" t="str">
            <v>IDP401 INV 800/600 CT300</v>
          </cell>
        </row>
        <row r="15420">
          <cell r="B15420" t="str">
            <v>85-402-01-04</v>
          </cell>
          <cell r="C15420" t="str">
            <v>IDP401 INV 800/800 DF300</v>
          </cell>
          <cell r="D15420" t="str">
            <v>IDP401 INV 800/800 CT300</v>
          </cell>
        </row>
        <row r="15421">
          <cell r="B15421" t="str">
            <v>85-402-02-04</v>
          </cell>
          <cell r="C15421" t="str">
            <v>IDP401 INV 1000/600  DF300</v>
          </cell>
          <cell r="D15421" t="str">
            <v>IDP401 INV 1000/600  CT300</v>
          </cell>
        </row>
        <row r="15422">
          <cell r="B15422" t="str">
            <v>85-402-03-04</v>
          </cell>
          <cell r="C15422" t="str">
            <v>IDP401 INV 1000/800  DF300</v>
          </cell>
          <cell r="D15422" t="str">
            <v>IDP401 INV 1000/800  CT300</v>
          </cell>
        </row>
        <row r="15423">
          <cell r="B15423" t="str">
            <v>85-402-04-04</v>
          </cell>
          <cell r="C15423" t="str">
            <v>IDP401 INV 1000/1000  DF300</v>
          </cell>
          <cell r="D15423" t="str">
            <v>IDP401 INV 1000/1000  CT300</v>
          </cell>
        </row>
        <row r="15424">
          <cell r="B15424" t="str">
            <v>85-402-05-04</v>
          </cell>
          <cell r="C15424" t="str">
            <v>IDP401 INV 1200/800  DF300</v>
          </cell>
          <cell r="D15424" t="str">
            <v>IDP401 INV 1200/800  CT300</v>
          </cell>
        </row>
        <row r="15425">
          <cell r="B15425" t="str">
            <v>85-402-06-04</v>
          </cell>
          <cell r="C15425" t="str">
            <v>IDP401 INV 1200/1000  DF300</v>
          </cell>
          <cell r="D15425" t="str">
            <v>IDP401 INV 1200/1000  CT300</v>
          </cell>
        </row>
        <row r="15426">
          <cell r="B15426" t="str">
            <v>85-402-07-04</v>
          </cell>
          <cell r="C15426" t="str">
            <v>IDP401 INV 1200/1200  DF300</v>
          </cell>
          <cell r="D15426" t="str">
            <v>IDP401 INV 1200/1200  CT300</v>
          </cell>
        </row>
        <row r="15427">
          <cell r="B15427" t="str">
            <v>85-402-08-04</v>
          </cell>
          <cell r="C15427" t="str">
            <v>IDP401 INV 600/600 DF500</v>
          </cell>
          <cell r="D15427" t="str">
            <v>IDP401 INV 600/600 CT500</v>
          </cell>
        </row>
        <row r="15428">
          <cell r="B15428" t="str">
            <v>85-402-09-04</v>
          </cell>
          <cell r="C15428" t="str">
            <v>IDP401 INV 800/600 DF500</v>
          </cell>
          <cell r="D15428" t="str">
            <v>IDP401 INV 800/600 CT500</v>
          </cell>
        </row>
        <row r="15429">
          <cell r="B15429" t="str">
            <v>85-402-10-04</v>
          </cell>
          <cell r="C15429" t="str">
            <v>IDP401 INV 800/800 DF500</v>
          </cell>
          <cell r="D15429" t="str">
            <v>IDP401 INV 800/800 CT500</v>
          </cell>
        </row>
        <row r="15430">
          <cell r="B15430" t="str">
            <v>85-402-11-04</v>
          </cell>
          <cell r="C15430" t="str">
            <v>IDP401 INV 1000/600  DF500</v>
          </cell>
          <cell r="D15430" t="str">
            <v>IDP401 INV 1000/600  CT500</v>
          </cell>
        </row>
        <row r="15431">
          <cell r="B15431" t="str">
            <v>85-402-12-04</v>
          </cell>
          <cell r="C15431" t="str">
            <v>IDP401 INV 1000/800  DF500</v>
          </cell>
          <cell r="D15431" t="str">
            <v>IDP401 INV 1000/800  CT500</v>
          </cell>
        </row>
        <row r="15432">
          <cell r="B15432" t="str">
            <v>85-402-13-04</v>
          </cell>
          <cell r="C15432" t="str">
            <v>IDP401 INV 1000/1000  DF500</v>
          </cell>
          <cell r="D15432" t="str">
            <v>IDP401 INV 1000/1000  CT500</v>
          </cell>
        </row>
        <row r="15433">
          <cell r="B15433" t="str">
            <v>85-402-14-04</v>
          </cell>
          <cell r="C15433" t="str">
            <v>IDP401 INV 1200/800  DF500</v>
          </cell>
          <cell r="D15433" t="str">
            <v>IDP401 INV 1200/800  CT500</v>
          </cell>
        </row>
        <row r="15434">
          <cell r="B15434" t="str">
            <v>85-402-15-04</v>
          </cell>
          <cell r="C15434" t="str">
            <v>IDP401 INV 1200/1000  DF500</v>
          </cell>
          <cell r="D15434" t="str">
            <v>IDP401 INV 1200/1000  CT500</v>
          </cell>
        </row>
        <row r="15435">
          <cell r="B15435" t="str">
            <v>85-402-16-04</v>
          </cell>
          <cell r="C15435" t="str">
            <v>IDP401 INV 1200/1200  DF500</v>
          </cell>
          <cell r="D15435" t="str">
            <v>IDP401 INV 1200/1200  CT500</v>
          </cell>
        </row>
        <row r="15436">
          <cell r="B15436" t="str">
            <v>85-402-17-04</v>
          </cell>
          <cell r="C15436" t="str">
            <v>IDP401 INV 600/600 DF700</v>
          </cell>
          <cell r="D15436" t="str">
            <v>IDP401 INV 600/600 CT700</v>
          </cell>
        </row>
        <row r="15437">
          <cell r="B15437" t="str">
            <v>85-402-18-04</v>
          </cell>
          <cell r="C15437" t="str">
            <v>IDP401 INV 800/600 DF700</v>
          </cell>
          <cell r="D15437" t="str">
            <v>IDP401 INV 800/600 CT700</v>
          </cell>
        </row>
        <row r="15438">
          <cell r="B15438" t="str">
            <v>85-402-19-04</v>
          </cell>
          <cell r="C15438" t="str">
            <v>IDP401 INV 800/800 DF700</v>
          </cell>
          <cell r="D15438" t="str">
            <v>IDP401 INV 800/800 CT700</v>
          </cell>
        </row>
        <row r="15439">
          <cell r="B15439" t="str">
            <v>85-402-20-04</v>
          </cell>
          <cell r="C15439" t="str">
            <v>IDP401 INV 1000/600  DF700</v>
          </cell>
          <cell r="D15439" t="str">
            <v>IDP401 INV 1000/600  CT700</v>
          </cell>
        </row>
        <row r="15440">
          <cell r="B15440" t="str">
            <v>85-402-21-04</v>
          </cell>
          <cell r="C15440" t="str">
            <v>IDP401 INV 1000/800  DF700</v>
          </cell>
          <cell r="D15440" t="str">
            <v>IDP401 INV 1000/800  CT700</v>
          </cell>
        </row>
        <row r="15441">
          <cell r="B15441" t="str">
            <v>85-402-22-04</v>
          </cell>
          <cell r="C15441" t="str">
            <v>IDP401 INV 1000/1000  DF700</v>
          </cell>
          <cell r="D15441" t="str">
            <v>IDP401 INV 1000/1000  CT700</v>
          </cell>
        </row>
        <row r="15442">
          <cell r="B15442" t="str">
            <v>85-402-23-04</v>
          </cell>
          <cell r="C15442" t="str">
            <v>IDP401 INV 1200/800  DF700</v>
          </cell>
          <cell r="D15442" t="str">
            <v>IDP401 INV 1200/800  CT700</v>
          </cell>
        </row>
        <row r="15443">
          <cell r="B15443" t="str">
            <v>85-402-24-04</v>
          </cell>
          <cell r="C15443" t="str">
            <v>IDP401 INV 1200/1000  DF700</v>
          </cell>
          <cell r="D15443" t="str">
            <v>IDP401 INV 1200/1000  CT700</v>
          </cell>
        </row>
        <row r="15444">
          <cell r="B15444" t="str">
            <v>85-402-25-04</v>
          </cell>
          <cell r="C15444" t="str">
            <v>IDP401 INV 1200/1200  DF700</v>
          </cell>
          <cell r="D15444" t="str">
            <v>IDP401 INV 1200/1200  CT700</v>
          </cell>
        </row>
        <row r="15445">
          <cell r="B15445" t="str">
            <v>85-402-30-04</v>
          </cell>
          <cell r="C15445" t="str">
            <v>IDP401,600/1000 DF300</v>
          </cell>
          <cell r="D15445" t="str">
            <v>IDP401,600/1000 CT300</v>
          </cell>
        </row>
        <row r="15446">
          <cell r="B15446" t="str">
            <v>85-402-73-04</v>
          </cell>
          <cell r="C15446" t="str">
            <v>IDP401,800/1200 DF100</v>
          </cell>
          <cell r="D15446" t="str">
            <v>IDP401,800/1200 DF100</v>
          </cell>
        </row>
        <row r="15447">
          <cell r="B15447" t="str">
            <v>85-501-00-04</v>
          </cell>
          <cell r="C15447" t="str">
            <v>IDP501 XL 600 DF100</v>
          </cell>
          <cell r="D15447" t="str">
            <v>IDP501 XL 600 CT100</v>
          </cell>
        </row>
        <row r="15448">
          <cell r="B15448" t="str">
            <v>85-501-01-04</v>
          </cell>
          <cell r="C15448" t="str">
            <v>IDP501 XL 800 DF100</v>
          </cell>
          <cell r="D15448" t="str">
            <v>IDP501 XL 800 CT100</v>
          </cell>
        </row>
        <row r="15449">
          <cell r="B15449" t="str">
            <v>85-501-02-04</v>
          </cell>
          <cell r="C15449" t="str">
            <v>IDP501 XL 1000 DF100</v>
          </cell>
          <cell r="D15449" t="str">
            <v>IDP501 XL 1000 CT100</v>
          </cell>
        </row>
        <row r="15450">
          <cell r="B15450" t="str">
            <v>85-501-03-04</v>
          </cell>
          <cell r="C15450" t="str">
            <v>IDP501 XL 1200 DF100</v>
          </cell>
          <cell r="D15450" t="str">
            <v>IDP501 XL 1200 CT100</v>
          </cell>
        </row>
        <row r="15451">
          <cell r="B15451" t="str">
            <v>85-501-04-04</v>
          </cell>
          <cell r="C15451" t="str">
            <v>IDP501 XL 1400 DF100</v>
          </cell>
          <cell r="D15451" t="str">
            <v>IDP501 XL 1400 CT100</v>
          </cell>
        </row>
        <row r="15452">
          <cell r="B15452" t="str">
            <v>85-501-05-04</v>
          </cell>
          <cell r="C15452" t="str">
            <v>IDP501 XL 1600 DF100</v>
          </cell>
          <cell r="D15452" t="str">
            <v>IDP501 XL 1600 CT100</v>
          </cell>
        </row>
        <row r="15453">
          <cell r="B15453" t="str">
            <v>85-501-06-04</v>
          </cell>
          <cell r="C15453" t="str">
            <v>IDP501 XL 600/600 DF100</v>
          </cell>
          <cell r="D15453" t="str">
            <v>IDP501 XL 600/600 CT100</v>
          </cell>
        </row>
        <row r="15454">
          <cell r="B15454" t="str">
            <v>85-501-07-04</v>
          </cell>
          <cell r="C15454" t="str">
            <v>IDP501 XL 600/800 DF100</v>
          </cell>
          <cell r="D15454" t="str">
            <v>IDP501 XL 600/800 CT100</v>
          </cell>
        </row>
        <row r="15455">
          <cell r="B15455" t="str">
            <v>85-501-08-04</v>
          </cell>
          <cell r="C15455" t="str">
            <v>IDP501 XL 800/600 DF100</v>
          </cell>
          <cell r="D15455" t="str">
            <v>IDP501 XL 800/600 CT100</v>
          </cell>
        </row>
        <row r="15456">
          <cell r="B15456" t="str">
            <v>85-501-09-04</v>
          </cell>
          <cell r="C15456" t="str">
            <v>IDP501 XL 800/800 DF100</v>
          </cell>
          <cell r="D15456" t="str">
            <v>IDP501 XL 800/800 CT100</v>
          </cell>
        </row>
        <row r="15457">
          <cell r="B15457" t="str">
            <v>85-501-10-04</v>
          </cell>
          <cell r="C15457" t="str">
            <v>IDP501 XL 600/1000  DF100</v>
          </cell>
          <cell r="D15457" t="str">
            <v>IDP501 XL 600/1000  CT100</v>
          </cell>
        </row>
        <row r="15458">
          <cell r="B15458" t="str">
            <v>85-501-11-04</v>
          </cell>
          <cell r="C15458" t="str">
            <v>IDP501 XL 800/1000  DF100</v>
          </cell>
          <cell r="D15458" t="str">
            <v>IDP501 XL 800/1000  CT100</v>
          </cell>
        </row>
        <row r="15459">
          <cell r="B15459" t="str">
            <v>85-501-12-04</v>
          </cell>
          <cell r="C15459" t="str">
            <v>IDP501 XL 1000/600  DF100</v>
          </cell>
          <cell r="D15459" t="str">
            <v>IDP501 XL 1000/600  CT100</v>
          </cell>
        </row>
        <row r="15460">
          <cell r="B15460" t="str">
            <v>85-501-13-04</v>
          </cell>
          <cell r="C15460" t="str">
            <v>IDP501 XL 600/1200  DF100</v>
          </cell>
          <cell r="D15460" t="str">
            <v>IDP501 XL 600/1200  CT100</v>
          </cell>
        </row>
        <row r="15461">
          <cell r="B15461" t="str">
            <v>85-501-14-04</v>
          </cell>
          <cell r="C15461" t="str">
            <v>IDP501 XL 1000/800  DF100</v>
          </cell>
          <cell r="D15461" t="str">
            <v>IDP501 XL 1000/800  CT100</v>
          </cell>
        </row>
        <row r="15462">
          <cell r="B15462" t="str">
            <v>85-501-15-04</v>
          </cell>
          <cell r="C15462" t="str">
            <v>IDP501 XL 1200/600  DF100</v>
          </cell>
          <cell r="D15462" t="str">
            <v>IDP501 XL 1200/600  CT100</v>
          </cell>
        </row>
        <row r="15463">
          <cell r="B15463" t="str">
            <v>85-501-16-04</v>
          </cell>
          <cell r="C15463" t="str">
            <v>IDP501 XL 800/1200  DF100</v>
          </cell>
          <cell r="D15463" t="str">
            <v>IDP501 XL 800/1200  CT100</v>
          </cell>
        </row>
        <row r="15464">
          <cell r="B15464" t="str">
            <v>85-501-17-04</v>
          </cell>
          <cell r="C15464" t="str">
            <v>IDP501 XL 1000/1000  DF100</v>
          </cell>
          <cell r="D15464" t="str">
            <v>IDP501 XL 1000/1000  CT100</v>
          </cell>
        </row>
        <row r="15465">
          <cell r="B15465" t="str">
            <v>85-501-18-04</v>
          </cell>
          <cell r="C15465" t="str">
            <v>IDP501 XL 1000/1200  DF100</v>
          </cell>
          <cell r="D15465" t="str">
            <v>IDP501 XL 1000/1200  CT100</v>
          </cell>
        </row>
        <row r="15466">
          <cell r="B15466" t="str">
            <v>85-501-19-04</v>
          </cell>
          <cell r="C15466" t="str">
            <v>IDP501 XL 1200/800  DF100</v>
          </cell>
          <cell r="D15466" t="str">
            <v>IDP501 XL 1200/800  CT100</v>
          </cell>
        </row>
        <row r="15467">
          <cell r="B15467" t="str">
            <v>85-501-20-04</v>
          </cell>
          <cell r="C15467" t="str">
            <v>IDP501 XL 1200/1000  DF100</v>
          </cell>
          <cell r="D15467" t="str">
            <v>IDP501 XL 1200/1000  CT100</v>
          </cell>
        </row>
        <row r="15468">
          <cell r="B15468" t="str">
            <v>85-501-21-04</v>
          </cell>
          <cell r="C15468" t="str">
            <v>IDP501 XL 1200/1200  DF100</v>
          </cell>
          <cell r="D15468" t="str">
            <v>IDP501 XL 1200/1200  CT100</v>
          </cell>
        </row>
        <row r="15469">
          <cell r="B15469" t="str">
            <v>85-501-22-04</v>
          </cell>
          <cell r="C15469" t="str">
            <v>IDP501 XL 1400/600  DF100</v>
          </cell>
          <cell r="D15469" t="str">
            <v>IDP501 XL 1400/600  CT100</v>
          </cell>
        </row>
        <row r="15470">
          <cell r="B15470" t="str">
            <v>85-501-23-04</v>
          </cell>
          <cell r="C15470" t="str">
            <v>IDP501 XL 1400/800  DF100</v>
          </cell>
          <cell r="D15470" t="str">
            <v>IDP501 XL 1400/800  CT100</v>
          </cell>
        </row>
        <row r="15471">
          <cell r="B15471" t="str">
            <v>85-501-24-04</v>
          </cell>
          <cell r="C15471" t="str">
            <v>IDP501 XL 1400/1000  DF100</v>
          </cell>
          <cell r="D15471" t="str">
            <v>IDP501 XL 1400/1000  CT100</v>
          </cell>
        </row>
        <row r="15472">
          <cell r="B15472" t="str">
            <v>85-501-25-04</v>
          </cell>
          <cell r="C15472" t="str">
            <v>IDP501 XL 1400/1200  DF100</v>
          </cell>
          <cell r="D15472" t="str">
            <v>IDP501 XL 1400/1200  CT100</v>
          </cell>
        </row>
        <row r="15473">
          <cell r="B15473" t="str">
            <v>85-501-26-04</v>
          </cell>
          <cell r="C15473" t="str">
            <v>IDP501 XL 1600/600  DF100</v>
          </cell>
          <cell r="D15473" t="str">
            <v>IDP501 XL 1600/600  CT100</v>
          </cell>
        </row>
        <row r="15474">
          <cell r="B15474" t="str">
            <v>85-501-27-04</v>
          </cell>
          <cell r="C15474" t="str">
            <v>IDP501 XL 1600/800  DF100</v>
          </cell>
          <cell r="D15474" t="str">
            <v>IDP501 XL 1600/800  CT100</v>
          </cell>
        </row>
        <row r="15475">
          <cell r="B15475" t="str">
            <v>85-501-28-04</v>
          </cell>
          <cell r="C15475" t="str">
            <v>IDP501 XL 1600/1000  DF100</v>
          </cell>
          <cell r="D15475" t="str">
            <v>IDP501 XL 1600/1000  CT100</v>
          </cell>
        </row>
        <row r="15476">
          <cell r="B15476" t="str">
            <v>85-501-29-04</v>
          </cell>
          <cell r="C15476" t="str">
            <v>IDP501 XL 600 DF300</v>
          </cell>
          <cell r="D15476" t="str">
            <v>IDP501 XL 600 CT300</v>
          </cell>
        </row>
        <row r="15477">
          <cell r="B15477" t="str">
            <v>85-501-30-04</v>
          </cell>
          <cell r="C15477" t="str">
            <v>IDP501 XL 800 DF300</v>
          </cell>
          <cell r="D15477" t="str">
            <v>IDP501 XL 800 CT300</v>
          </cell>
        </row>
        <row r="15478">
          <cell r="B15478" t="str">
            <v>85-501-31-04</v>
          </cell>
          <cell r="C15478" t="str">
            <v>IDP501 XL 1000 DF300</v>
          </cell>
          <cell r="D15478" t="str">
            <v>IDP501 XL 1000 CT300</v>
          </cell>
        </row>
        <row r="15479">
          <cell r="B15479" t="str">
            <v>85-501-32-04</v>
          </cell>
          <cell r="C15479" t="str">
            <v>IDP501 XL 1200 DF300</v>
          </cell>
          <cell r="D15479" t="str">
            <v>IDP501 XL 1200 CT300</v>
          </cell>
        </row>
        <row r="15480">
          <cell r="B15480" t="str">
            <v>85-501-33-04</v>
          </cell>
          <cell r="C15480" t="str">
            <v>IDP501 XL 1400 DF300</v>
          </cell>
          <cell r="D15480" t="str">
            <v>IDP501 XL 1400 CT300</v>
          </cell>
        </row>
        <row r="15481">
          <cell r="B15481" t="str">
            <v>85-501-34-04</v>
          </cell>
          <cell r="C15481" t="str">
            <v>IDP501 XL 1600 DF300</v>
          </cell>
          <cell r="D15481" t="str">
            <v>IDP501 XL 1600 CT300</v>
          </cell>
        </row>
        <row r="15482">
          <cell r="B15482" t="str">
            <v>85-501-35-04</v>
          </cell>
          <cell r="C15482" t="str">
            <v>IDP501 XL 600/600 DF300</v>
          </cell>
          <cell r="D15482" t="str">
            <v>IDP501 XL 600/600 CT300</v>
          </cell>
        </row>
        <row r="15483">
          <cell r="B15483" t="str">
            <v>85-501-36-04</v>
          </cell>
          <cell r="C15483" t="str">
            <v>IDP501 XL 600/800 DF300</v>
          </cell>
          <cell r="D15483" t="str">
            <v>IDP501 XL 600/800 CT300</v>
          </cell>
        </row>
        <row r="15484">
          <cell r="B15484" t="str">
            <v>85-501-37-04</v>
          </cell>
          <cell r="C15484" t="str">
            <v>IDP501 XL 800/600 DF300</v>
          </cell>
          <cell r="D15484" t="str">
            <v>IDP501 XL 800/600 CT300</v>
          </cell>
        </row>
        <row r="15485">
          <cell r="B15485" t="str">
            <v>85-501-38-04</v>
          </cell>
          <cell r="C15485" t="str">
            <v>IDP501 XL 800/800 DF300</v>
          </cell>
          <cell r="D15485" t="str">
            <v>IDP501 XL 800/800 CT300</v>
          </cell>
        </row>
        <row r="15486">
          <cell r="B15486" t="str">
            <v>85-501-39-04</v>
          </cell>
          <cell r="C15486" t="str">
            <v>IDP501 XL 600/1000  DF300</v>
          </cell>
          <cell r="D15486" t="str">
            <v>IDP501 XL 600/1000  CT300</v>
          </cell>
        </row>
        <row r="15487">
          <cell r="B15487" t="str">
            <v>85-501-40-04</v>
          </cell>
          <cell r="C15487" t="str">
            <v>IDP501 XL 800/1000  DF300</v>
          </cell>
          <cell r="D15487" t="str">
            <v>IDP501 XL 800/1000  CT300</v>
          </cell>
        </row>
        <row r="15488">
          <cell r="B15488" t="str">
            <v>85-501-41-04</v>
          </cell>
          <cell r="C15488" t="str">
            <v>IDP501 XL 1000/600  DF300</v>
          </cell>
          <cell r="D15488" t="str">
            <v>IDP501 XL 1000/600  CT300</v>
          </cell>
        </row>
        <row r="15489">
          <cell r="B15489" t="str">
            <v>85-501-42-04</v>
          </cell>
          <cell r="C15489" t="str">
            <v>IDP501 XL 600/1200  DF300</v>
          </cell>
          <cell r="D15489" t="str">
            <v>IDP501 XL 600/1200  CT300</v>
          </cell>
        </row>
        <row r="15490">
          <cell r="B15490" t="str">
            <v>85-501-43-04</v>
          </cell>
          <cell r="C15490" t="str">
            <v>IDP501 XL 1000/800  DF300</v>
          </cell>
          <cell r="D15490" t="str">
            <v>IDP501 XL 1000/800  CT300</v>
          </cell>
        </row>
        <row r="15491">
          <cell r="B15491" t="str">
            <v>85-501-44-04</v>
          </cell>
          <cell r="C15491" t="str">
            <v>IDP501 XL 1200/600  DF300</v>
          </cell>
          <cell r="D15491" t="str">
            <v>IDP501 XL 1200/600  CT300</v>
          </cell>
        </row>
        <row r="15492">
          <cell r="B15492" t="str">
            <v>85-501-45-04</v>
          </cell>
          <cell r="C15492" t="str">
            <v>IDP501 XL 800/1200  DF300</v>
          </cell>
          <cell r="D15492" t="str">
            <v>IDP501 XL 800/1200  CT300</v>
          </cell>
        </row>
        <row r="15493">
          <cell r="B15493" t="str">
            <v>85-501-46-04</v>
          </cell>
          <cell r="C15493" t="str">
            <v>IDP501 XL 1000/1000  DF300</v>
          </cell>
          <cell r="D15493" t="str">
            <v>IDP501 XL 1000/1000  CT300</v>
          </cell>
        </row>
        <row r="15494">
          <cell r="B15494" t="str">
            <v>85-501-47-04</v>
          </cell>
          <cell r="C15494" t="str">
            <v>IDP501 XL 1000/1200  DF300</v>
          </cell>
          <cell r="D15494" t="str">
            <v>IDP501 XL 1000/1200  CT300</v>
          </cell>
        </row>
        <row r="15495">
          <cell r="B15495" t="str">
            <v>85-501-48-04</v>
          </cell>
          <cell r="C15495" t="str">
            <v>IDP501 XL 1200/800  DF300</v>
          </cell>
          <cell r="D15495" t="str">
            <v>IDP501 XL 1200/800  CT300</v>
          </cell>
        </row>
        <row r="15496">
          <cell r="B15496" t="str">
            <v>85-501-49-04</v>
          </cell>
          <cell r="C15496" t="str">
            <v>IDP501 XL 1200/1000  DF300</v>
          </cell>
          <cell r="D15496" t="str">
            <v>IDP501 XL 1200/1000  CT300</v>
          </cell>
        </row>
        <row r="15497">
          <cell r="B15497" t="str">
            <v>85-501-50-04</v>
          </cell>
          <cell r="C15497" t="str">
            <v>IDP501 XL 1200/1200  DF300</v>
          </cell>
          <cell r="D15497" t="str">
            <v>IDP501 XL 1200/1200  CT300</v>
          </cell>
        </row>
        <row r="15498">
          <cell r="B15498" t="str">
            <v>85-501-51-04</v>
          </cell>
          <cell r="C15498" t="str">
            <v>IDP501 XL 1400/600  DF300</v>
          </cell>
          <cell r="D15498" t="str">
            <v>IDP501 XL 1400/600  CT300</v>
          </cell>
        </row>
        <row r="15499">
          <cell r="B15499" t="str">
            <v>85-501-52-04</v>
          </cell>
          <cell r="C15499" t="str">
            <v>IDP501 XL 1400/800  DF300</v>
          </cell>
          <cell r="D15499" t="str">
            <v>IDP501 XL 1400/800  CT300</v>
          </cell>
        </row>
        <row r="15500">
          <cell r="B15500" t="str">
            <v>85-501-53-04</v>
          </cell>
          <cell r="C15500" t="str">
            <v>IDP501 XL 1400/1000  DF300</v>
          </cell>
          <cell r="D15500" t="str">
            <v>IDP501 XL 1400/1000  CT300</v>
          </cell>
        </row>
        <row r="15501">
          <cell r="B15501" t="str">
            <v>85-501-54-04</v>
          </cell>
          <cell r="C15501" t="str">
            <v>IDP501 XL 1400/1200  DF300</v>
          </cell>
          <cell r="D15501" t="str">
            <v>IDP501 XL 1400/1200  CT300</v>
          </cell>
        </row>
        <row r="15502">
          <cell r="B15502" t="str">
            <v>85-501-55-04</v>
          </cell>
          <cell r="C15502" t="str">
            <v>IDP501 XL 1600/600  DF300</v>
          </cell>
          <cell r="D15502" t="str">
            <v>IDP501 XL 1600/600  CT300</v>
          </cell>
        </row>
        <row r="15503">
          <cell r="B15503" t="str">
            <v>85-501-56-04</v>
          </cell>
          <cell r="C15503" t="str">
            <v>IDP501 XL 1600/800  DF300</v>
          </cell>
          <cell r="D15503" t="str">
            <v>IDP501 XL 1600/800  CT300</v>
          </cell>
        </row>
        <row r="15504">
          <cell r="B15504" t="str">
            <v>85-501-57-04</v>
          </cell>
          <cell r="C15504" t="str">
            <v>IDP501 XL 1600/1000  DF300</v>
          </cell>
          <cell r="D15504" t="str">
            <v>IDP501 XL 1600/1000  CT300</v>
          </cell>
        </row>
        <row r="15505">
          <cell r="B15505" t="str">
            <v>85-501-58-04</v>
          </cell>
          <cell r="C15505" t="str">
            <v>IDP501 XL 600 DF500</v>
          </cell>
          <cell r="D15505" t="str">
            <v>IDP501 XL 600 CT500</v>
          </cell>
        </row>
        <row r="15506">
          <cell r="B15506" t="str">
            <v>85-501-59-04</v>
          </cell>
          <cell r="C15506" t="str">
            <v>IDP501 XL 800 DF500</v>
          </cell>
          <cell r="D15506" t="str">
            <v>IDP501 XL 800 CT500</v>
          </cell>
        </row>
        <row r="15507">
          <cell r="B15507" t="str">
            <v>85-501-60-04</v>
          </cell>
          <cell r="C15507" t="str">
            <v>IDP501 XL 1000 DF500</v>
          </cell>
          <cell r="D15507" t="str">
            <v>IDP501 XL 1000 CT500</v>
          </cell>
        </row>
        <row r="15508">
          <cell r="B15508" t="str">
            <v>85-501-61-04</v>
          </cell>
          <cell r="C15508" t="str">
            <v>IDP501 XL 1200 DF500</v>
          </cell>
          <cell r="D15508" t="str">
            <v>IDP501 XL 1200 CT500</v>
          </cell>
        </row>
        <row r="15509">
          <cell r="B15509" t="str">
            <v>85-501-62-04</v>
          </cell>
          <cell r="C15509" t="str">
            <v>IDP501 XL 1400 DF500</v>
          </cell>
          <cell r="D15509" t="str">
            <v>IDP501 XL 1400 CT500</v>
          </cell>
        </row>
        <row r="15510">
          <cell r="B15510" t="str">
            <v>85-501-63-04</v>
          </cell>
          <cell r="C15510" t="str">
            <v>IDP501 XL 1600 DF500</v>
          </cell>
          <cell r="D15510" t="str">
            <v>IDP501 XL 1600 CT500</v>
          </cell>
        </row>
        <row r="15511">
          <cell r="B15511" t="str">
            <v>85-501-64-04</v>
          </cell>
          <cell r="C15511" t="str">
            <v>IDP501 XL 600/600 DF500</v>
          </cell>
          <cell r="D15511" t="str">
            <v>IDP501 XL 600/600 CT500</v>
          </cell>
        </row>
        <row r="15512">
          <cell r="B15512" t="str">
            <v>85-501-65-04</v>
          </cell>
          <cell r="C15512" t="str">
            <v>IDP501 XL 600/800 DF500</v>
          </cell>
          <cell r="D15512" t="str">
            <v>IDP501 XL 600/800 CT500</v>
          </cell>
        </row>
        <row r="15513">
          <cell r="B15513" t="str">
            <v>85-501-66-04</v>
          </cell>
          <cell r="C15513" t="str">
            <v>IDP501 XL 800/600 DF500</v>
          </cell>
          <cell r="D15513" t="str">
            <v>IDP501 XL 800/600 CT500</v>
          </cell>
        </row>
        <row r="15514">
          <cell r="B15514" t="str">
            <v>85-501-67-04</v>
          </cell>
          <cell r="C15514" t="str">
            <v>IDP501 XL 800/800 DF500</v>
          </cell>
          <cell r="D15514" t="str">
            <v>IDP501 XL 800/800 CT500</v>
          </cell>
        </row>
        <row r="15515">
          <cell r="B15515" t="str">
            <v>85-501-68-04</v>
          </cell>
          <cell r="C15515" t="str">
            <v>IDP501 XL 600/1000  DF500</v>
          </cell>
          <cell r="D15515" t="str">
            <v>IDP501 XL 600/1000  CT500</v>
          </cell>
        </row>
        <row r="15516">
          <cell r="B15516" t="str">
            <v>85-501-69-04</v>
          </cell>
          <cell r="C15516" t="str">
            <v>IDP501 XL 800/1000  DF500</v>
          </cell>
          <cell r="D15516" t="str">
            <v>IDP501 XL 800/1000  CT500</v>
          </cell>
        </row>
        <row r="15517">
          <cell r="B15517" t="str">
            <v>85-501-70-04</v>
          </cell>
          <cell r="C15517" t="str">
            <v>IDP501 XL 1000/600  DF500</v>
          </cell>
          <cell r="D15517" t="str">
            <v>IDP501 XL 1000/600  CT500</v>
          </cell>
        </row>
        <row r="15518">
          <cell r="B15518" t="str">
            <v>85-501-71-04</v>
          </cell>
          <cell r="C15518" t="str">
            <v>IDP501 XL 600/1200  DF500</v>
          </cell>
          <cell r="D15518" t="str">
            <v>IDP501 XL 600/1200  CT500</v>
          </cell>
        </row>
        <row r="15519">
          <cell r="B15519" t="str">
            <v>85-501-72-04</v>
          </cell>
          <cell r="C15519" t="str">
            <v>IDP501 XL 1000/800  DF500</v>
          </cell>
          <cell r="D15519" t="str">
            <v>IDP501 XL 1000/800  CT500</v>
          </cell>
        </row>
        <row r="15520">
          <cell r="B15520" t="str">
            <v>85-501-73-04</v>
          </cell>
          <cell r="C15520" t="str">
            <v>IDP501 XL 1200/600  DF500</v>
          </cell>
          <cell r="D15520" t="str">
            <v>IDP501 XL 1200/600  CT500</v>
          </cell>
        </row>
        <row r="15521">
          <cell r="B15521" t="str">
            <v>85-501-74-04</v>
          </cell>
          <cell r="C15521" t="str">
            <v>IDP501 XL 800/1200  DF500</v>
          </cell>
          <cell r="D15521" t="str">
            <v>IDP501 XL 800/1200  CT500</v>
          </cell>
        </row>
        <row r="15522">
          <cell r="B15522" t="str">
            <v>85-501-75-04</v>
          </cell>
          <cell r="C15522" t="str">
            <v>IDP501 XL 1000/1000  DF500</v>
          </cell>
          <cell r="D15522" t="str">
            <v>IDP501 XL 1000/1000  CT500</v>
          </cell>
        </row>
        <row r="15523">
          <cell r="B15523" t="str">
            <v>85-501-76-04</v>
          </cell>
          <cell r="C15523" t="str">
            <v>IDP501 XL 1000/1200  DF500</v>
          </cell>
          <cell r="D15523" t="str">
            <v>IDP501 XL 1000/1200  CT500</v>
          </cell>
        </row>
        <row r="15524">
          <cell r="B15524" t="str">
            <v>85-501-77-04</v>
          </cell>
          <cell r="C15524" t="str">
            <v>IDP501 XL 1200/800  DF500</v>
          </cell>
          <cell r="D15524" t="str">
            <v>IDP501 XL 1200/800  CT500</v>
          </cell>
        </row>
        <row r="15525">
          <cell r="B15525" t="str">
            <v>85-501-78-04</v>
          </cell>
          <cell r="C15525" t="str">
            <v>IDP501 XL 1200/1000  DF500</v>
          </cell>
          <cell r="D15525" t="str">
            <v>IDP501 XL 1200/1000  CT500</v>
          </cell>
        </row>
        <row r="15526">
          <cell r="B15526" t="str">
            <v>85-501-79-04</v>
          </cell>
          <cell r="C15526" t="str">
            <v>IDP501 XL 1200/1200  DF500</v>
          </cell>
          <cell r="D15526" t="str">
            <v>IDP501 XL 1200/1200  CT500</v>
          </cell>
        </row>
        <row r="15527">
          <cell r="B15527" t="str">
            <v>85-501-80-04</v>
          </cell>
          <cell r="C15527" t="str">
            <v>IDP501 XL 1400/600  DF500</v>
          </cell>
          <cell r="D15527" t="str">
            <v>IDP501 XL 1400/600  CT500</v>
          </cell>
        </row>
        <row r="15528">
          <cell r="B15528" t="str">
            <v>85-501-81-04</v>
          </cell>
          <cell r="C15528" t="str">
            <v>IDP501 XL 1400/800  DF500</v>
          </cell>
          <cell r="D15528" t="str">
            <v>IDP501 XL 1400/800  CT500</v>
          </cell>
        </row>
        <row r="15529">
          <cell r="B15529" t="str">
            <v>85-501-82-04</v>
          </cell>
          <cell r="C15529" t="str">
            <v>IDP501 XL 1400/1000  DF500</v>
          </cell>
          <cell r="D15529" t="str">
            <v>IDP501 XL 1400/1000  CT500</v>
          </cell>
        </row>
        <row r="15530">
          <cell r="B15530" t="str">
            <v>85-501-83-04</v>
          </cell>
          <cell r="C15530" t="str">
            <v>IDP501 XL 1400/1200  DF500</v>
          </cell>
          <cell r="D15530" t="str">
            <v>IDP501 XL 1400/1200  CT500</v>
          </cell>
        </row>
        <row r="15531">
          <cell r="B15531" t="str">
            <v>85-501-84-04</v>
          </cell>
          <cell r="C15531" t="str">
            <v>IDP501 XL 1600/600  DF500</v>
          </cell>
          <cell r="D15531" t="str">
            <v>IDP501 XL 1600/600  CT500</v>
          </cell>
        </row>
        <row r="15532">
          <cell r="B15532" t="str">
            <v>85-501-85-04</v>
          </cell>
          <cell r="C15532" t="str">
            <v>IDP501 XL 1600/800  DF500</v>
          </cell>
          <cell r="D15532" t="str">
            <v>IDP501 XL 1600/800  CT500</v>
          </cell>
        </row>
        <row r="15533">
          <cell r="B15533" t="str">
            <v>85-501-86-04</v>
          </cell>
          <cell r="C15533" t="str">
            <v>IDP501 XL 1600/1000  DF500</v>
          </cell>
          <cell r="D15533" t="str">
            <v>IDP501 XL 1600/1000  CT500</v>
          </cell>
        </row>
        <row r="15534">
          <cell r="B15534" t="str">
            <v>85-501-87-04</v>
          </cell>
          <cell r="C15534" t="str">
            <v>IDP501 XL 600 DF700</v>
          </cell>
          <cell r="D15534" t="str">
            <v>IDP501 XL 600 CT700</v>
          </cell>
        </row>
        <row r="15535">
          <cell r="B15535" t="str">
            <v>85-501-88-04</v>
          </cell>
          <cell r="C15535" t="str">
            <v>IDP501 XL 800 DF700</v>
          </cell>
          <cell r="D15535" t="str">
            <v>IDP501 XL 800 CT700</v>
          </cell>
        </row>
        <row r="15536">
          <cell r="B15536" t="str">
            <v>85-501-89-04</v>
          </cell>
          <cell r="C15536" t="str">
            <v>IDP501 XL 1000 DF700</v>
          </cell>
          <cell r="D15536" t="str">
            <v>IDP501 XL 1000 CT700</v>
          </cell>
        </row>
        <row r="15537">
          <cell r="B15537" t="str">
            <v>85-501-90-04</v>
          </cell>
          <cell r="C15537" t="str">
            <v>IDP501 XL 1200 DF700</v>
          </cell>
          <cell r="D15537" t="str">
            <v>IDP501 XL 1200 CT700</v>
          </cell>
        </row>
        <row r="15538">
          <cell r="B15538" t="str">
            <v>85-501-91-04</v>
          </cell>
          <cell r="C15538" t="str">
            <v>IDP501 XL 1400 DF700</v>
          </cell>
          <cell r="D15538" t="str">
            <v>IDP501 XL 1400 CT700</v>
          </cell>
        </row>
        <row r="15539">
          <cell r="B15539" t="str">
            <v>85-501-92-04</v>
          </cell>
          <cell r="C15539" t="str">
            <v>IDP501 XL 1600 DF700</v>
          </cell>
          <cell r="D15539" t="str">
            <v>IDP501 XL 1600 CT700</v>
          </cell>
        </row>
        <row r="15540">
          <cell r="B15540" t="str">
            <v>85-501-93-04</v>
          </cell>
          <cell r="C15540" t="str">
            <v>IDP501 XL 600/600 DF700</v>
          </cell>
          <cell r="D15540" t="str">
            <v>IDP501 XL 600/600 CT700</v>
          </cell>
        </row>
        <row r="15541">
          <cell r="B15541" t="str">
            <v>85-501-94-04</v>
          </cell>
          <cell r="C15541" t="str">
            <v>IDP501 XL 600/800 DF700</v>
          </cell>
          <cell r="D15541" t="str">
            <v>IDP501 XL 600/800 CT700</v>
          </cell>
        </row>
        <row r="15542">
          <cell r="B15542" t="str">
            <v>85-501-95-04</v>
          </cell>
          <cell r="C15542" t="str">
            <v>IDP501 XL 800/600 DF700</v>
          </cell>
          <cell r="D15542" t="str">
            <v>IDP501 XL 800/600 CT700</v>
          </cell>
        </row>
        <row r="15543">
          <cell r="B15543" t="str">
            <v>85-501-96-04</v>
          </cell>
          <cell r="C15543" t="str">
            <v>IDP501 XL 800/800 DF700</v>
          </cell>
          <cell r="D15543" t="str">
            <v>IDP501 XL 800/800 CT700</v>
          </cell>
        </row>
        <row r="15544">
          <cell r="B15544" t="str">
            <v>85-501-97-04</v>
          </cell>
          <cell r="C15544" t="str">
            <v>IDP501 XL 600/1000  DF700</v>
          </cell>
          <cell r="D15544" t="str">
            <v>IDP501 XL 600/1000  CT700</v>
          </cell>
        </row>
        <row r="15545">
          <cell r="B15545" t="str">
            <v>85-501-98-04</v>
          </cell>
          <cell r="C15545" t="str">
            <v>IDP501 XL 800/1000  DF700</v>
          </cell>
          <cell r="D15545" t="str">
            <v>IDP501 XL 800/1000  CT700</v>
          </cell>
        </row>
        <row r="15546">
          <cell r="B15546" t="str">
            <v>85-501-99-04</v>
          </cell>
          <cell r="C15546" t="str">
            <v>IDP501 XL 1000/600  DF700</v>
          </cell>
          <cell r="D15546" t="str">
            <v>IDP501 XL 1000/600  CT700</v>
          </cell>
        </row>
        <row r="15547">
          <cell r="B15547" t="str">
            <v>85-502-00-04</v>
          </cell>
          <cell r="C15547" t="str">
            <v>IDP501 XL 600/1200  DF700</v>
          </cell>
          <cell r="D15547" t="str">
            <v>IDP501 XL 600/1200  CT700</v>
          </cell>
        </row>
        <row r="15548">
          <cell r="B15548" t="str">
            <v>85-502-01-04</v>
          </cell>
          <cell r="C15548" t="str">
            <v>IDP501 XL 1000/800  DF700</v>
          </cell>
          <cell r="D15548" t="str">
            <v>IDP501 XL 1000/800  CT700</v>
          </cell>
        </row>
        <row r="15549">
          <cell r="B15549" t="str">
            <v>85-502-02-04</v>
          </cell>
          <cell r="C15549" t="str">
            <v>IDP501 XL 1200/600  DF700</v>
          </cell>
          <cell r="D15549" t="str">
            <v>IDP501 XL 1200/600  CT700</v>
          </cell>
        </row>
        <row r="15550">
          <cell r="B15550" t="str">
            <v>85-502-03-04</v>
          </cell>
          <cell r="C15550" t="str">
            <v>IDP501 XL 800/1200  DF700</v>
          </cell>
          <cell r="D15550" t="str">
            <v>IDP501 XL 800/1200  CT700</v>
          </cell>
        </row>
        <row r="15551">
          <cell r="B15551" t="str">
            <v>85-502-04-04</v>
          </cell>
          <cell r="C15551" t="str">
            <v>IDP501 XL 1000/1000  DF700</v>
          </cell>
          <cell r="D15551" t="str">
            <v>IDP501 XL 1000/1000  CT700</v>
          </cell>
        </row>
        <row r="15552">
          <cell r="B15552" t="str">
            <v>85-502-05-04</v>
          </cell>
          <cell r="C15552" t="str">
            <v>IDP501 XL 1000/1200  DF700</v>
          </cell>
          <cell r="D15552" t="str">
            <v>IDP501 XL 1000/1200  CT700</v>
          </cell>
        </row>
        <row r="15553">
          <cell r="B15553" t="str">
            <v>85-502-06-04</v>
          </cell>
          <cell r="C15553" t="str">
            <v>IDP501 XL 1200/800  DF700</v>
          </cell>
          <cell r="D15553" t="str">
            <v>IDP501 XL 1200/800  CT700</v>
          </cell>
        </row>
        <row r="15554">
          <cell r="B15554" t="str">
            <v>85-502-07-04</v>
          </cell>
          <cell r="C15554" t="str">
            <v>IDP501 XL 1200/1000  DF700</v>
          </cell>
          <cell r="D15554" t="str">
            <v>IDP501 XL 1200/1000  CT700</v>
          </cell>
        </row>
        <row r="15555">
          <cell r="B15555" t="str">
            <v>85-502-08-04</v>
          </cell>
          <cell r="C15555" t="str">
            <v>IDP501 XL 1200/1200  DF700</v>
          </cell>
          <cell r="D15555" t="str">
            <v>IDP501 XL 1200/1200  CT700</v>
          </cell>
        </row>
        <row r="15556">
          <cell r="B15556" t="str">
            <v>85-502-09-04</v>
          </cell>
          <cell r="C15556" t="str">
            <v>IDP501 XL 1400/600  DF700</v>
          </cell>
          <cell r="D15556" t="str">
            <v>IDP501 XL 1400/600  CT700</v>
          </cell>
        </row>
        <row r="15557">
          <cell r="B15557" t="str">
            <v>85-502-10-04</v>
          </cell>
          <cell r="C15557" t="str">
            <v>IDP501 XL 1400/800  DF700</v>
          </cell>
          <cell r="D15557" t="str">
            <v>IDP501 XL 1400/800  CT700</v>
          </cell>
        </row>
        <row r="15558">
          <cell r="B15558" t="str">
            <v>85-502-11-04</v>
          </cell>
          <cell r="C15558" t="str">
            <v>IDP501 XL 1400/1000  DF700</v>
          </cell>
          <cell r="D15558" t="str">
            <v>IDP501 XL 1400/1000  CT700</v>
          </cell>
        </row>
        <row r="15559">
          <cell r="B15559" t="str">
            <v>85-502-12-04</v>
          </cell>
          <cell r="C15559" t="str">
            <v>IDP501 XL 1400/1200  DF700</v>
          </cell>
          <cell r="D15559" t="str">
            <v>IDP501 XL 1400/1200  CT700</v>
          </cell>
        </row>
        <row r="15560">
          <cell r="B15560" t="str">
            <v>85-502-13-04</v>
          </cell>
          <cell r="C15560" t="str">
            <v>IDP501 XL 1600/600  DF700</v>
          </cell>
          <cell r="D15560" t="str">
            <v>IDP501 XL 1600/600  CT700</v>
          </cell>
        </row>
        <row r="15561">
          <cell r="B15561" t="str">
            <v>85-502-14-04</v>
          </cell>
          <cell r="C15561" t="str">
            <v>IDP501 XL 1600/800  DF700</v>
          </cell>
          <cell r="D15561" t="str">
            <v>IDP501 XL 1600/800  CT700</v>
          </cell>
        </row>
        <row r="15562">
          <cell r="B15562" t="str">
            <v>85-502-15-04</v>
          </cell>
          <cell r="C15562" t="str">
            <v>IDP501 XL 1600/1000  DF700</v>
          </cell>
          <cell r="D15562" t="str">
            <v>IDP501 XL 1600/1000  CT700</v>
          </cell>
        </row>
        <row r="15563">
          <cell r="B15563" t="str">
            <v>85-502-16-04</v>
          </cell>
          <cell r="C15563" t="str">
            <v>IDP501 XXL 600/600 DF100</v>
          </cell>
          <cell r="D15563" t="str">
            <v>IDP501 XXL 600/600 CT100</v>
          </cell>
        </row>
        <row r="15564">
          <cell r="B15564" t="str">
            <v>85-502-17-04</v>
          </cell>
          <cell r="C15564" t="str">
            <v>IDP501 XXL 600/800 DF100</v>
          </cell>
          <cell r="D15564" t="str">
            <v>IDP501 XXL 600/800 CT100</v>
          </cell>
        </row>
        <row r="15565">
          <cell r="B15565" t="str">
            <v>85-502-18-04</v>
          </cell>
          <cell r="C15565" t="str">
            <v>IDP501 XXL 800/600 DF100</v>
          </cell>
          <cell r="D15565" t="str">
            <v>IDP501 XXL 800/600 CT100</v>
          </cell>
        </row>
        <row r="15566">
          <cell r="B15566" t="str">
            <v>85-502-19-04</v>
          </cell>
          <cell r="C15566" t="str">
            <v>IDP501 XXL 800/800 DF100</v>
          </cell>
          <cell r="D15566" t="str">
            <v>IDP501 XXL 800/800 CT100</v>
          </cell>
        </row>
        <row r="15567">
          <cell r="B15567" t="str">
            <v>85-502-20-04</v>
          </cell>
          <cell r="C15567" t="str">
            <v>IDP501 XXL 600/1000  DF100</v>
          </cell>
          <cell r="D15567" t="str">
            <v>IDP501 XXL 600/1000  CT100</v>
          </cell>
        </row>
        <row r="15568">
          <cell r="B15568" t="str">
            <v>85-502-21-04</v>
          </cell>
          <cell r="C15568" t="str">
            <v>IDP501 XXL 800/1000  DF100</v>
          </cell>
          <cell r="D15568" t="str">
            <v>IDP501 XXL 800/1000  CT100</v>
          </cell>
        </row>
        <row r="15569">
          <cell r="B15569" t="str">
            <v>85-502-22-04</v>
          </cell>
          <cell r="C15569" t="str">
            <v>IDP501 XXL 1000/600  DF100</v>
          </cell>
          <cell r="D15569" t="str">
            <v>IDP501 XXL 1000/600  CT100</v>
          </cell>
        </row>
        <row r="15570">
          <cell r="B15570" t="str">
            <v>85-502-23-04</v>
          </cell>
          <cell r="C15570" t="str">
            <v>IDP501 XXL 600/1200  DF100</v>
          </cell>
          <cell r="D15570" t="str">
            <v>IDP501 XXL 600/1200  CT100</v>
          </cell>
        </row>
        <row r="15571">
          <cell r="B15571" t="str">
            <v>85-502-24-04</v>
          </cell>
          <cell r="C15571" t="str">
            <v>IDP501 XXL 1000/800  DF100</v>
          </cell>
          <cell r="D15571" t="str">
            <v>IDP501 XXL 1000/800  CT100</v>
          </cell>
        </row>
        <row r="15572">
          <cell r="B15572" t="str">
            <v>85-502-25-04</v>
          </cell>
          <cell r="C15572" t="str">
            <v>IDP501 XXL 1200/600  DF100</v>
          </cell>
          <cell r="D15572" t="str">
            <v>IDP501 XXL 1200/600  CT100</v>
          </cell>
        </row>
        <row r="15573">
          <cell r="B15573" t="str">
            <v>85-502-26-04</v>
          </cell>
          <cell r="C15573" t="str">
            <v>IDP501 XXL 800/1200  DF100</v>
          </cell>
          <cell r="D15573" t="str">
            <v>IDP501 XXL 800/1200  CT100</v>
          </cell>
        </row>
        <row r="15574">
          <cell r="B15574" t="str">
            <v>85-502-27-04</v>
          </cell>
          <cell r="C15574" t="str">
            <v>IDP501 XXL 1000/1000  DF100</v>
          </cell>
          <cell r="D15574" t="str">
            <v>IDP501 XXL 1000/1000  CT100</v>
          </cell>
        </row>
        <row r="15575">
          <cell r="B15575" t="str">
            <v>85-502-28-04</v>
          </cell>
          <cell r="C15575" t="str">
            <v>IDP501 XXL 1000/1200  DF100</v>
          </cell>
          <cell r="D15575" t="str">
            <v>IDP501 XXL 1000/1200  CT100</v>
          </cell>
        </row>
        <row r="15576">
          <cell r="B15576" t="str">
            <v>85-502-29-04</v>
          </cell>
          <cell r="C15576" t="str">
            <v>IDP501 XXL 1200/800  DF100</v>
          </cell>
          <cell r="D15576" t="str">
            <v>IDP501 XXL 1200/800  CT100</v>
          </cell>
        </row>
        <row r="15577">
          <cell r="B15577" t="str">
            <v>85-502-30-04</v>
          </cell>
          <cell r="C15577" t="str">
            <v>IDP501 XXL 1200/1000  DF100</v>
          </cell>
          <cell r="D15577" t="str">
            <v>IDP501 XXL 1200/1000  CT100</v>
          </cell>
        </row>
        <row r="15578">
          <cell r="B15578" t="str">
            <v>85-502-31-04</v>
          </cell>
          <cell r="C15578" t="str">
            <v>IDP501 XXL 1200/1200  DF100</v>
          </cell>
          <cell r="D15578" t="str">
            <v>IDP501 XXL 1200/1200  CT100</v>
          </cell>
        </row>
        <row r="15579">
          <cell r="B15579" t="str">
            <v>85-502-32-04</v>
          </cell>
          <cell r="C15579" t="str">
            <v>IDP501 XXL 1400/600  DF100</v>
          </cell>
          <cell r="D15579" t="str">
            <v>IDP501 XXL 1400/600  CT100</v>
          </cell>
        </row>
        <row r="15580">
          <cell r="B15580" t="str">
            <v>85-502-33-04</v>
          </cell>
          <cell r="C15580" t="str">
            <v>IDP501 XXL 1400/800  DF100</v>
          </cell>
          <cell r="D15580" t="str">
            <v>IDP501 XXL 1400/800  CT100</v>
          </cell>
        </row>
        <row r="15581">
          <cell r="B15581" t="str">
            <v>85-502-34-04</v>
          </cell>
          <cell r="C15581" t="str">
            <v>IDP501 XXL 1400/1000  DF100</v>
          </cell>
          <cell r="D15581" t="str">
            <v>IDP501 XXL 1400/1000  CT100</v>
          </cell>
        </row>
        <row r="15582">
          <cell r="B15582" t="str">
            <v>85-502-35-04</v>
          </cell>
          <cell r="C15582" t="str">
            <v>IDP501 XXL 1400/1200  DF100</v>
          </cell>
          <cell r="D15582" t="str">
            <v>IDP501 XXL 1400/1200  CT100</v>
          </cell>
        </row>
        <row r="15583">
          <cell r="B15583" t="str">
            <v>85-502-36-04</v>
          </cell>
          <cell r="C15583" t="str">
            <v>IDP501 XXL 1600/600  DF100</v>
          </cell>
          <cell r="D15583" t="str">
            <v>IDP501 XXL 1600/600  CT100</v>
          </cell>
        </row>
        <row r="15584">
          <cell r="B15584" t="str">
            <v>85-502-37-04</v>
          </cell>
          <cell r="C15584" t="str">
            <v>IDP501 XXL 1600/800  DF100</v>
          </cell>
          <cell r="D15584" t="str">
            <v>IDP501 XXL 1600/800  CT100</v>
          </cell>
        </row>
        <row r="15585">
          <cell r="B15585" t="str">
            <v>85-502-38-04</v>
          </cell>
          <cell r="C15585" t="str">
            <v>IDP501 XXL 1600/1000  DF100</v>
          </cell>
          <cell r="D15585" t="str">
            <v>IDP501 XXL 1600/1000  CT100</v>
          </cell>
        </row>
        <row r="15586">
          <cell r="B15586" t="str">
            <v>85-502-39-04</v>
          </cell>
          <cell r="C15586" t="str">
            <v>IDP501 XXL 600/600 DF300</v>
          </cell>
          <cell r="D15586" t="str">
            <v>IDP501 XXL 600/600 CT300</v>
          </cell>
        </row>
        <row r="15587">
          <cell r="B15587" t="str">
            <v>85-502-40-04</v>
          </cell>
          <cell r="C15587" t="str">
            <v>IDP501 XXL 600/800 DF300</v>
          </cell>
          <cell r="D15587" t="str">
            <v>IDP501 XXL 600/800 CT300</v>
          </cell>
        </row>
        <row r="15588">
          <cell r="B15588" t="str">
            <v>85-502-41-04</v>
          </cell>
          <cell r="C15588" t="str">
            <v>IDP501 XXL 800/600 DF300</v>
          </cell>
          <cell r="D15588" t="str">
            <v>IDP501 XXL 800/600 CT300</v>
          </cell>
        </row>
        <row r="15589">
          <cell r="B15589" t="str">
            <v>85-502-42-04</v>
          </cell>
          <cell r="C15589" t="str">
            <v>IDP501 XXL 800/800 DF300</v>
          </cell>
          <cell r="D15589" t="str">
            <v>IDP501 XXL 800/800 CT300</v>
          </cell>
        </row>
        <row r="15590">
          <cell r="B15590" t="str">
            <v>85-502-43-04</v>
          </cell>
          <cell r="C15590" t="str">
            <v>IDP501 XXL 600/1000  DF300</v>
          </cell>
          <cell r="D15590" t="str">
            <v>IDP501 XXL 600/1000  CT300</v>
          </cell>
        </row>
        <row r="15591">
          <cell r="B15591" t="str">
            <v>85-502-44-04</v>
          </cell>
          <cell r="C15591" t="str">
            <v>IDP501 XXL 800/1000  DF300</v>
          </cell>
          <cell r="D15591" t="str">
            <v>IDP501 XXL 800/1000  CT300</v>
          </cell>
        </row>
        <row r="15592">
          <cell r="B15592" t="str">
            <v>85-502-45-04</v>
          </cell>
          <cell r="C15592" t="str">
            <v>IDP501 XXL 1000/600  DF300</v>
          </cell>
          <cell r="D15592" t="str">
            <v>IDP501 XXL 1000/600  CT300</v>
          </cell>
        </row>
        <row r="15593">
          <cell r="B15593" t="str">
            <v>85-502-46-04</v>
          </cell>
          <cell r="C15593" t="str">
            <v>IDP501 XXL 600/1200  DF300</v>
          </cell>
          <cell r="D15593" t="str">
            <v>IDP501 XXL 600/1200  CT300</v>
          </cell>
        </row>
        <row r="15594">
          <cell r="B15594" t="str">
            <v>85-502-47-04</v>
          </cell>
          <cell r="C15594" t="str">
            <v>IDP501 XXL 1000/800  DF300</v>
          </cell>
          <cell r="D15594" t="str">
            <v>IDP501 XXL 1000/800  CT300</v>
          </cell>
        </row>
        <row r="15595">
          <cell r="B15595" t="str">
            <v>85-502-48-04</v>
          </cell>
          <cell r="C15595" t="str">
            <v>IDP501 XXL 1200/600  DF300</v>
          </cell>
          <cell r="D15595" t="str">
            <v>IDP501 XXL 1200/600  CT300</v>
          </cell>
        </row>
        <row r="15596">
          <cell r="B15596" t="str">
            <v>85-502-49-04</v>
          </cell>
          <cell r="C15596" t="str">
            <v>IDP501 XXL 800/1200  DF300</v>
          </cell>
          <cell r="D15596" t="str">
            <v>IDP501 XXL 800/1200  CT300</v>
          </cell>
        </row>
        <row r="15597">
          <cell r="B15597" t="str">
            <v>85-502-50-04</v>
          </cell>
          <cell r="C15597" t="str">
            <v>IDP501 XXL 1000/1000  DF300</v>
          </cell>
          <cell r="D15597" t="str">
            <v>IDP501 XXL 1000/1000  CT300</v>
          </cell>
        </row>
        <row r="15598">
          <cell r="B15598" t="str">
            <v>85-502-51-04</v>
          </cell>
          <cell r="C15598" t="str">
            <v>IDP501 XXL 1000/1200  DF300</v>
          </cell>
          <cell r="D15598" t="str">
            <v>IDP501 XXL 1000/1200  CT300</v>
          </cell>
        </row>
        <row r="15599">
          <cell r="B15599" t="str">
            <v>85-502-52-04</v>
          </cell>
          <cell r="C15599" t="str">
            <v>IDP501 XXL 1200/800  DF300</v>
          </cell>
          <cell r="D15599" t="str">
            <v>IDP501 XXL 1200/800  CT300</v>
          </cell>
        </row>
        <row r="15600">
          <cell r="B15600" t="str">
            <v>85-502-53-04</v>
          </cell>
          <cell r="C15600" t="str">
            <v>IDP501 XXL 1200/1000  DF300</v>
          </cell>
          <cell r="D15600" t="str">
            <v>IDP501 XXL 1200/1000  CT300</v>
          </cell>
        </row>
        <row r="15601">
          <cell r="B15601" t="str">
            <v>85-502-54-04</v>
          </cell>
          <cell r="C15601" t="str">
            <v>IDP501 XXL 1200/1200  DF300</v>
          </cell>
          <cell r="D15601" t="str">
            <v>IDP501 XXL 1200/1200  CT300</v>
          </cell>
        </row>
        <row r="15602">
          <cell r="B15602" t="str">
            <v>85-502-55-04</v>
          </cell>
          <cell r="C15602" t="str">
            <v>IDP501 XXL 1400/600  DF300</v>
          </cell>
          <cell r="D15602" t="str">
            <v>IDP501 XXL 1400/600  CT300</v>
          </cell>
        </row>
        <row r="15603">
          <cell r="B15603" t="str">
            <v>85-502-56-04</v>
          </cell>
          <cell r="C15603" t="str">
            <v>IDP501 XXL 1400/800  DF300</v>
          </cell>
          <cell r="D15603" t="str">
            <v>IDP501 XXL 1400/800  CT300</v>
          </cell>
        </row>
        <row r="15604">
          <cell r="B15604" t="str">
            <v>85-502-57-04</v>
          </cell>
          <cell r="C15604" t="str">
            <v>IDP501 XXL 1400/1000  DF300</v>
          </cell>
          <cell r="D15604" t="str">
            <v>IDP501 XXL 1400/1000  CT300</v>
          </cell>
        </row>
        <row r="15605">
          <cell r="B15605" t="str">
            <v>85-502-58-04</v>
          </cell>
          <cell r="C15605" t="str">
            <v>IDP501 XXL 1400/1200  DF300</v>
          </cell>
          <cell r="D15605" t="str">
            <v>IDP501 XXL 1400/1200  CT300</v>
          </cell>
        </row>
        <row r="15606">
          <cell r="B15606" t="str">
            <v>85-502-59-04</v>
          </cell>
          <cell r="C15606" t="str">
            <v>IDP501 XXL 1600/600  DF300</v>
          </cell>
          <cell r="D15606" t="str">
            <v>IDP501 XXL 1600/600  CT300</v>
          </cell>
        </row>
        <row r="15607">
          <cell r="B15607" t="str">
            <v>85-502-60-04</v>
          </cell>
          <cell r="C15607" t="str">
            <v>IDP501 XXL 1600/800  DF300</v>
          </cell>
          <cell r="D15607" t="str">
            <v>IDP501 XXL 1600/800  CT300</v>
          </cell>
        </row>
        <row r="15608">
          <cell r="B15608" t="str">
            <v>85-502-61-04</v>
          </cell>
          <cell r="C15608" t="str">
            <v>IDP501 XXL 1600/1000  DF300</v>
          </cell>
          <cell r="D15608" t="str">
            <v>IDP501 XXL 1600/1000  CT300</v>
          </cell>
        </row>
        <row r="15609">
          <cell r="B15609" t="str">
            <v>85-502-62-04</v>
          </cell>
          <cell r="C15609" t="str">
            <v>IDP501 XXL 600/600 DF500</v>
          </cell>
          <cell r="D15609" t="str">
            <v>IDP501 XXL 600/600 CT500</v>
          </cell>
        </row>
        <row r="15610">
          <cell r="B15610" t="str">
            <v>85-502-63-04</v>
          </cell>
          <cell r="C15610" t="str">
            <v>IDP501 XXL 600/800 DF500</v>
          </cell>
          <cell r="D15610" t="str">
            <v>IDP501 XXL 600/800 CT500</v>
          </cell>
        </row>
        <row r="15611">
          <cell r="B15611" t="str">
            <v>85-502-64-04</v>
          </cell>
          <cell r="C15611" t="str">
            <v>IDP501 XXL 800/600 DF500</v>
          </cell>
          <cell r="D15611" t="str">
            <v>IDP501 XXL 800/600 CT500</v>
          </cell>
        </row>
        <row r="15612">
          <cell r="B15612" t="str">
            <v>85-502-65-04</v>
          </cell>
          <cell r="C15612" t="str">
            <v>IDP501 XXL 800/800 DF500</v>
          </cell>
          <cell r="D15612" t="str">
            <v>IDP501 XXL 800/800 CT500</v>
          </cell>
        </row>
        <row r="15613">
          <cell r="B15613" t="str">
            <v>85-502-66-04</v>
          </cell>
          <cell r="C15613" t="str">
            <v>IDP501 XXL 600/1000  DF500</v>
          </cell>
          <cell r="D15613" t="str">
            <v>IDP501 XXL 600/1000  CT500</v>
          </cell>
        </row>
        <row r="15614">
          <cell r="B15614" t="str">
            <v>85-502-67-04</v>
          </cell>
          <cell r="C15614" t="str">
            <v>IDP501 XXL 800/1000  DF500</v>
          </cell>
          <cell r="D15614" t="str">
            <v>IDP501 XXL 800/1000  CT500</v>
          </cell>
        </row>
        <row r="15615">
          <cell r="B15615" t="str">
            <v>85-502-68-04</v>
          </cell>
          <cell r="C15615" t="str">
            <v>IDP501 XXL 1000/600  DF500</v>
          </cell>
          <cell r="D15615" t="str">
            <v>IDP501 XXL 1000/600  CT500</v>
          </cell>
        </row>
        <row r="15616">
          <cell r="B15616" t="str">
            <v>85-502-69-04</v>
          </cell>
          <cell r="C15616" t="str">
            <v>IDP501 XXL 600/1200  DF500</v>
          </cell>
          <cell r="D15616" t="str">
            <v>IDP501 XXL 600/1200  CT500</v>
          </cell>
        </row>
        <row r="15617">
          <cell r="B15617" t="str">
            <v>85-502-70-04</v>
          </cell>
          <cell r="C15617" t="str">
            <v>IDP501 XXL 1000/800  DF500</v>
          </cell>
          <cell r="D15617" t="str">
            <v>IDP501 XXL 1000/800  CT500</v>
          </cell>
        </row>
        <row r="15618">
          <cell r="B15618" t="str">
            <v>85-502-71-04</v>
          </cell>
          <cell r="C15618" t="str">
            <v>IDP501 XXL 1200/600  DF500</v>
          </cell>
          <cell r="D15618" t="str">
            <v>IDP501 XXL 1200/600  CT500</v>
          </cell>
        </row>
        <row r="15619">
          <cell r="B15619" t="str">
            <v>85-502-72-04</v>
          </cell>
          <cell r="C15619" t="str">
            <v>IDP501 XXL 800/1200  DF500</v>
          </cell>
          <cell r="D15619" t="str">
            <v>IDP501 XXL 800/1200  CT500</v>
          </cell>
        </row>
        <row r="15620">
          <cell r="B15620" t="str">
            <v>85-502-73-04</v>
          </cell>
          <cell r="C15620" t="str">
            <v>IDP501 XXL 1000/1000  DF500</v>
          </cell>
          <cell r="D15620" t="str">
            <v>IDP501 XXL 1000/1000  CT500</v>
          </cell>
        </row>
        <row r="15621">
          <cell r="B15621" t="str">
            <v>85-502-74-04</v>
          </cell>
          <cell r="C15621" t="str">
            <v>IDP501 XXL 1000/1200  DF500</v>
          </cell>
          <cell r="D15621" t="str">
            <v>IDP501 XXL 1000/1200  CT500</v>
          </cell>
        </row>
        <row r="15622">
          <cell r="B15622" t="str">
            <v>85-502-75-04</v>
          </cell>
          <cell r="C15622" t="str">
            <v>IDP501 XXL 1200/800  DF500</v>
          </cell>
          <cell r="D15622" t="str">
            <v>IDP501 XXL 1200/800  CT500</v>
          </cell>
        </row>
        <row r="15623">
          <cell r="B15623" t="str">
            <v>85-502-76-04</v>
          </cell>
          <cell r="C15623" t="str">
            <v>IDP501 XXL 1200/1000  DF500</v>
          </cell>
          <cell r="D15623" t="str">
            <v>IDP501 XXL 1200/1000  CT500</v>
          </cell>
        </row>
        <row r="15624">
          <cell r="B15624" t="str">
            <v>85-502-77-04</v>
          </cell>
          <cell r="C15624" t="str">
            <v>IDP501 XXL 1200/1200  DF500</v>
          </cell>
          <cell r="D15624" t="str">
            <v>IDP501 XXL 1200/1200  CT500</v>
          </cell>
        </row>
        <row r="15625">
          <cell r="B15625" t="str">
            <v>85-502-78-04</v>
          </cell>
          <cell r="C15625" t="str">
            <v>IDP501 XXL 1400/600  DF500</v>
          </cell>
          <cell r="D15625" t="str">
            <v>IDP501 XXL 1400/600  CT500</v>
          </cell>
        </row>
        <row r="15626">
          <cell r="B15626" t="str">
            <v>85-502-79-04</v>
          </cell>
          <cell r="C15626" t="str">
            <v>IDP501 XXL 1400/800  DF500</v>
          </cell>
          <cell r="D15626" t="str">
            <v>IDP501 XXL 1400/800  CT500</v>
          </cell>
        </row>
        <row r="15627">
          <cell r="B15627" t="str">
            <v>85-502-80-04</v>
          </cell>
          <cell r="C15627" t="str">
            <v>IDP501 XXL 1400/1000  DF500</v>
          </cell>
          <cell r="D15627" t="str">
            <v>IDP501 XXL 1400/1000  CT500</v>
          </cell>
        </row>
        <row r="15628">
          <cell r="B15628" t="str">
            <v>85-502-81-04</v>
          </cell>
          <cell r="C15628" t="str">
            <v>IDP501 XXL 1400/1200  DF500</v>
          </cell>
          <cell r="D15628" t="str">
            <v>IDP501 XXL 1400/1200  CT500</v>
          </cell>
        </row>
        <row r="15629">
          <cell r="B15629" t="str">
            <v>85-502-82-04</v>
          </cell>
          <cell r="C15629" t="str">
            <v>IDP501 XXL 1600/600  DF500</v>
          </cell>
          <cell r="D15629" t="str">
            <v>IDP501 XXL 1600/600  CT500</v>
          </cell>
        </row>
        <row r="15630">
          <cell r="B15630" t="str">
            <v>85-502-83-04</v>
          </cell>
          <cell r="C15630" t="str">
            <v>IDP501 XXL 1600/800  DF500</v>
          </cell>
          <cell r="D15630" t="str">
            <v>IDP501 XXL 1600/800  CT500</v>
          </cell>
        </row>
        <row r="15631">
          <cell r="B15631" t="str">
            <v>85-502-84-04</v>
          </cell>
          <cell r="C15631" t="str">
            <v>IDP501 XXL 1600/1000  DF500</v>
          </cell>
          <cell r="D15631" t="str">
            <v>IDP501 XXL 1600/1000  CT500</v>
          </cell>
        </row>
        <row r="15632">
          <cell r="B15632" t="str">
            <v>85-502-85-04</v>
          </cell>
          <cell r="C15632" t="str">
            <v>IDP501 XXL 600/600 DF700</v>
          </cell>
          <cell r="D15632" t="str">
            <v>IDP501 XXL 600/600 CT700</v>
          </cell>
        </row>
        <row r="15633">
          <cell r="B15633" t="str">
            <v>85-502-86-04</v>
          </cell>
          <cell r="C15633" t="str">
            <v>IDP501 XXL 600/800 DF700</v>
          </cell>
          <cell r="D15633" t="str">
            <v>IDP501 XXL 600/800 CT700</v>
          </cell>
        </row>
        <row r="15634">
          <cell r="B15634" t="str">
            <v>85-502-87-04</v>
          </cell>
          <cell r="C15634" t="str">
            <v>IDP501 XXL 800/600 DF700</v>
          </cell>
          <cell r="D15634" t="str">
            <v>IDP501 XXL 800/600 CT700</v>
          </cell>
        </row>
        <row r="15635">
          <cell r="B15635" t="str">
            <v>85-502-88-04</v>
          </cell>
          <cell r="C15635" t="str">
            <v>IDP501 XXL 800/800 DF700</v>
          </cell>
          <cell r="D15635" t="str">
            <v>IDP501 XXL 800/800 CT700</v>
          </cell>
        </row>
        <row r="15636">
          <cell r="B15636" t="str">
            <v>85-502-89-04</v>
          </cell>
          <cell r="C15636" t="str">
            <v>IDP501 XXL 600/1000  DF700</v>
          </cell>
          <cell r="D15636" t="str">
            <v>IDP501 XXL 600/1000  CT700</v>
          </cell>
        </row>
        <row r="15637">
          <cell r="B15637" t="str">
            <v>85-502-90-04</v>
          </cell>
          <cell r="C15637" t="str">
            <v>IDP501 XXL 800/1000  DF700</v>
          </cell>
          <cell r="D15637" t="str">
            <v>IDP501 XXL 800/1000  CT700</v>
          </cell>
        </row>
        <row r="15638">
          <cell r="B15638" t="str">
            <v>85-502-91-04</v>
          </cell>
          <cell r="C15638" t="str">
            <v>IDP501 XXL 1000/600  DF700</v>
          </cell>
          <cell r="D15638" t="str">
            <v>IDP501 XXL 1000/600  CT700</v>
          </cell>
        </row>
        <row r="15639">
          <cell r="B15639" t="str">
            <v>85-502-92-04</v>
          </cell>
          <cell r="C15639" t="str">
            <v>IDP501 XXL 600/1200  DF700</v>
          </cell>
          <cell r="D15639" t="str">
            <v>IDP501 XXL 600/1200  CT700</v>
          </cell>
        </row>
        <row r="15640">
          <cell r="B15640" t="str">
            <v>85-502-93-04</v>
          </cell>
          <cell r="C15640" t="str">
            <v>IDP501 XXL 1000/800  DF700</v>
          </cell>
          <cell r="D15640" t="str">
            <v>IDP501 XXL 1000/800  CT700</v>
          </cell>
        </row>
        <row r="15641">
          <cell r="B15641" t="str">
            <v>85-502-94-04</v>
          </cell>
          <cell r="C15641" t="str">
            <v>IDP501 XXL 1200/600  DF700</v>
          </cell>
          <cell r="D15641" t="str">
            <v>IDP501 XXL 1200/600  CT700</v>
          </cell>
        </row>
        <row r="15642">
          <cell r="B15642" t="str">
            <v>85-502-95-04</v>
          </cell>
          <cell r="C15642" t="str">
            <v>IDP501 XXL 800/1200  DF700</v>
          </cell>
          <cell r="D15642" t="str">
            <v>IDP501 XXL 800/1200  CT700</v>
          </cell>
        </row>
        <row r="15643">
          <cell r="B15643" t="str">
            <v>85-502-96-04</v>
          </cell>
          <cell r="C15643" t="str">
            <v>IDP501 XXL 1000/1000  DF700</v>
          </cell>
          <cell r="D15643" t="str">
            <v>IDP501 XXL 1000/1000  CT700</v>
          </cell>
        </row>
        <row r="15644">
          <cell r="B15644" t="str">
            <v>85-502-97-04</v>
          </cell>
          <cell r="C15644" t="str">
            <v>IDP501 XXL 1000/1200  DF700</v>
          </cell>
          <cell r="D15644" t="str">
            <v>IDP501 XXL 1000/1200  CT700</v>
          </cell>
        </row>
        <row r="15645">
          <cell r="B15645" t="str">
            <v>85-502-98-04</v>
          </cell>
          <cell r="C15645" t="str">
            <v>IDP501 XXL 1200/800  DF700</v>
          </cell>
          <cell r="D15645" t="str">
            <v>IDP501 XXL 1200/800  CT700</v>
          </cell>
        </row>
        <row r="15646">
          <cell r="B15646" t="str">
            <v>85-502-99-04</v>
          </cell>
          <cell r="C15646" t="str">
            <v>IDP501 XXL 1200/1000  DF700</v>
          </cell>
          <cell r="D15646" t="str">
            <v>IDP501 XXL 1200/1000  CT700</v>
          </cell>
        </row>
        <row r="15647">
          <cell r="B15647" t="str">
            <v>85-503-00-04</v>
          </cell>
          <cell r="C15647" t="str">
            <v>IDP501 XXL 1200/1200  DF700</v>
          </cell>
          <cell r="D15647" t="str">
            <v>IDP501 XXL 1200/1200  CT700</v>
          </cell>
        </row>
        <row r="15648">
          <cell r="B15648" t="str">
            <v>85-503-01-04</v>
          </cell>
          <cell r="C15648" t="str">
            <v>IDP501 XXL 1400/600  DF700</v>
          </cell>
          <cell r="D15648" t="str">
            <v>IDP501 XXL 1400/600  CT700</v>
          </cell>
        </row>
        <row r="15649">
          <cell r="B15649" t="str">
            <v>85-503-02-04</v>
          </cell>
          <cell r="C15649" t="str">
            <v>IDP501 XXL 1400/800  DF700</v>
          </cell>
          <cell r="D15649" t="str">
            <v>IDP501 XXL 1400/800  CT700</v>
          </cell>
        </row>
        <row r="15650">
          <cell r="B15650" t="str">
            <v>85-503-03-04</v>
          </cell>
          <cell r="C15650" t="str">
            <v>IDP501 XXL 1400/1000  DF700</v>
          </cell>
          <cell r="D15650" t="str">
            <v>IDP501 XXL 1400/1000  CT700</v>
          </cell>
        </row>
        <row r="15651">
          <cell r="B15651" t="str">
            <v>85-503-04-04</v>
          </cell>
          <cell r="C15651" t="str">
            <v>IDP501 XXL 1400/1200  DF700</v>
          </cell>
          <cell r="D15651" t="str">
            <v>IDP501 XXL 1400/1200  CT700</v>
          </cell>
        </row>
        <row r="15652">
          <cell r="B15652" t="str">
            <v>85-503-05-04</v>
          </cell>
          <cell r="C15652" t="str">
            <v>IDP501 XXL 1600/600  DF700</v>
          </cell>
          <cell r="D15652" t="str">
            <v>IDP501 XXL 1600/600  CT700</v>
          </cell>
        </row>
        <row r="15653">
          <cell r="B15653" t="str">
            <v>85-503-06-04</v>
          </cell>
          <cell r="C15653" t="str">
            <v>IDP501 XXL 1600/800  DF700</v>
          </cell>
          <cell r="D15653" t="str">
            <v>IDP501 XXL 1600/800  CT700</v>
          </cell>
        </row>
        <row r="15654">
          <cell r="B15654" t="str">
            <v>85-503-07-04</v>
          </cell>
          <cell r="C15654" t="str">
            <v>IDP501 XXL 1600/1000  DF700</v>
          </cell>
          <cell r="D15654" t="str">
            <v>IDP501 XXL 1600/1000  CT700</v>
          </cell>
        </row>
        <row r="15655">
          <cell r="B15655" t="str">
            <v>85-600-02-04</v>
          </cell>
          <cell r="C15655" t="str">
            <v>Base Länge 200mm</v>
          </cell>
          <cell r="D15655" t="str">
            <v>Base length 200mm</v>
          </cell>
        </row>
        <row r="15656">
          <cell r="B15656" t="str">
            <v>85-600-04-04</v>
          </cell>
          <cell r="C15656" t="str">
            <v>Base Länge 400mm</v>
          </cell>
          <cell r="D15656" t="str">
            <v>Base length 400mm</v>
          </cell>
        </row>
        <row r="15657">
          <cell r="B15657" t="str">
            <v>85-600-06-04</v>
          </cell>
          <cell r="C15657" t="str">
            <v>Base Länge 600mm</v>
          </cell>
          <cell r="D15657" t="str">
            <v>Base length 600mm</v>
          </cell>
        </row>
        <row r="15658">
          <cell r="B15658" t="str">
            <v>85-600-08-04</v>
          </cell>
          <cell r="C15658" t="str">
            <v>Base Länge 800mm</v>
          </cell>
          <cell r="D15658" t="str">
            <v>Base length 800mm</v>
          </cell>
        </row>
        <row r="15659">
          <cell r="B15659" t="str">
            <v>85-600-09-04</v>
          </cell>
          <cell r="C15659" t="str">
            <v>Base XL Länge 800mm</v>
          </cell>
          <cell r="D15659" t="str">
            <v>Base XL length 800mm</v>
          </cell>
        </row>
        <row r="15660">
          <cell r="B15660" t="str">
            <v>85-600-10-04</v>
          </cell>
          <cell r="C15660" t="str">
            <v>Base XL Länge 1000mm</v>
          </cell>
          <cell r="D15660" t="str">
            <v>Base XL length 1000mm</v>
          </cell>
        </row>
        <row r="15661">
          <cell r="B15661" t="str">
            <v>85-600-12-04</v>
          </cell>
          <cell r="C15661" t="str">
            <v>Base Länge 1000mm</v>
          </cell>
          <cell r="D15661" t="str">
            <v>Base length 1000mm</v>
          </cell>
        </row>
        <row r="15662">
          <cell r="B15662" t="str">
            <v>85-604-24-04</v>
          </cell>
          <cell r="C15662" t="str">
            <v>Schublade  einfach</v>
          </cell>
          <cell r="D15662" t="str">
            <v>Drawer single</v>
          </cell>
        </row>
        <row r="15663">
          <cell r="B15663" t="str">
            <v>85-604-25-04</v>
          </cell>
          <cell r="C15663" t="str">
            <v>Schublade  doppelt</v>
          </cell>
          <cell r="D15663" t="str">
            <v>Drawer double</v>
          </cell>
        </row>
        <row r="15664">
          <cell r="B15664" t="str">
            <v>85-604-70-04</v>
          </cell>
          <cell r="C15664" t="str">
            <v>Tablett 520 mm</v>
          </cell>
          <cell r="D15664" t="str">
            <v>Shelf 520 mm</v>
          </cell>
        </row>
        <row r="15665">
          <cell r="B15665" t="str">
            <v>85-604-71-04</v>
          </cell>
          <cell r="C15665" t="str">
            <v>Tablett 520 mm Rail 25VA</v>
          </cell>
          <cell r="D15665" t="str">
            <v>Shelf 520 mm Rail 25VA</v>
          </cell>
        </row>
        <row r="15666">
          <cell r="B15666" t="str">
            <v>85-604-72-04</v>
          </cell>
          <cell r="C15666" t="str">
            <v>Tablett 520 mm eb Rail 25VA</v>
          </cell>
          <cell r="D15666" t="str">
            <v>Shelf 520 mm eb Rail 25VA</v>
          </cell>
        </row>
        <row r="15667">
          <cell r="B15667" t="str">
            <v>85-604-73-04</v>
          </cell>
          <cell r="C15667" t="str">
            <v>Tablett 520 mm eb auf/ab Rail 25VA</v>
          </cell>
          <cell r="D15667" t="str">
            <v>Shelf 520 mm eb up/down  Rail 25VA</v>
          </cell>
        </row>
        <row r="15668">
          <cell r="B15668" t="str">
            <v>85-604-74-04</v>
          </cell>
          <cell r="C15668" t="str">
            <v>Tablett 520 mm PB Rail 25VA</v>
          </cell>
          <cell r="D15668" t="str">
            <v>Shelf 520 mm PB Rail 25VA</v>
          </cell>
        </row>
        <row r="15669">
          <cell r="B15669" t="str">
            <v>85-604-75-04</v>
          </cell>
          <cell r="C15669" t="str">
            <v>Tablett 750 mm</v>
          </cell>
          <cell r="D15669" t="str">
            <v>Shelf 750 mm</v>
          </cell>
        </row>
        <row r="15670">
          <cell r="B15670" t="str">
            <v>85-604-76-04</v>
          </cell>
          <cell r="C15670" t="str">
            <v>Tablett 750 mm Rail 25VA</v>
          </cell>
          <cell r="D15670" t="str">
            <v>Shelf 750 mm Rail 25VA</v>
          </cell>
        </row>
        <row r="15671">
          <cell r="B15671" t="str">
            <v>85-604-77-04</v>
          </cell>
          <cell r="C15671" t="str">
            <v>Tablett 750 mm eb Rail 25VA</v>
          </cell>
          <cell r="D15671" t="str">
            <v>Shelf 750 mm eb Rail 25VA</v>
          </cell>
        </row>
        <row r="15672">
          <cell r="B15672" t="str">
            <v>85-604-78-04</v>
          </cell>
          <cell r="C15672" t="str">
            <v>Tablett 750 mm eb auf/ab Rail 25VA</v>
          </cell>
          <cell r="D15672" t="str">
            <v>Shelf 750 mm eb up/down  Rail 25VA</v>
          </cell>
        </row>
        <row r="15673">
          <cell r="B15673" t="str">
            <v>85-604-79-04</v>
          </cell>
          <cell r="C15673" t="str">
            <v>Tablett 750 mm PB Rail 25VA</v>
          </cell>
          <cell r="D15673" t="str">
            <v>Shelf 750 mm PB Rail 25VA</v>
          </cell>
        </row>
        <row r="15674">
          <cell r="B15674" t="str">
            <v>85-604-80-04</v>
          </cell>
          <cell r="C15674" t="str">
            <v>Tablett 520 mm Rail 30AL</v>
          </cell>
          <cell r="D15674" t="str">
            <v>Shelf 520 mm Rail 30AL</v>
          </cell>
        </row>
        <row r="15675">
          <cell r="B15675" t="str">
            <v>85-604-81-04</v>
          </cell>
          <cell r="C15675" t="str">
            <v>Tablett 520 mm eb Rail 30AL</v>
          </cell>
          <cell r="D15675" t="str">
            <v>Shelf 520 mm eb Rail 30AL</v>
          </cell>
        </row>
        <row r="15676">
          <cell r="B15676" t="str">
            <v>85-604-82-04</v>
          </cell>
          <cell r="C15676" t="str">
            <v>Tablett 520 mm eb auf/ab Rail 30AL</v>
          </cell>
          <cell r="D15676" t="str">
            <v>Shelf 520 mm eb up/down  Rail 30AL</v>
          </cell>
        </row>
        <row r="15677">
          <cell r="B15677" t="str">
            <v>85-604-83-04</v>
          </cell>
          <cell r="C15677" t="str">
            <v>Tablett 750 mm Rail 30AL</v>
          </cell>
          <cell r="D15677" t="str">
            <v>Shelf 750 mm Rail 30AL</v>
          </cell>
        </row>
        <row r="15678">
          <cell r="B15678" t="str">
            <v>85-604-84-04</v>
          </cell>
          <cell r="C15678" t="str">
            <v>Tablett 750 mm eb Rail 30AL</v>
          </cell>
          <cell r="D15678" t="str">
            <v>Shelf 750 mm eb Rail 30AL</v>
          </cell>
        </row>
        <row r="15679">
          <cell r="B15679" t="str">
            <v>85-604-85-04</v>
          </cell>
          <cell r="C15679" t="str">
            <v>Tablett 750 mm eb auf/ab Rail 30AL</v>
          </cell>
          <cell r="D15679" t="str">
            <v>Shelf 750 mm eb up/down  Rail 30AL</v>
          </cell>
        </row>
        <row r="15680">
          <cell r="B15680" t="str">
            <v>85-604-86-04</v>
          </cell>
          <cell r="C15680" t="str">
            <v>Tablett 520 mm PB Rail 30AL</v>
          </cell>
          <cell r="D15680" t="str">
            <v>Shelf 520 mm PB Rail 30AL</v>
          </cell>
        </row>
        <row r="15681">
          <cell r="B15681" t="str">
            <v>85-604-87-04</v>
          </cell>
          <cell r="C15681" t="str">
            <v>Tablett 750 mm PB Rail 30AL</v>
          </cell>
          <cell r="D15681" t="str">
            <v>Shelf 750 mm PB Rail 30AL</v>
          </cell>
        </row>
        <row r="15682">
          <cell r="B15682" t="str">
            <v>85-608-01-04</v>
          </cell>
          <cell r="C15682" t="str">
            <v>Lifter Hubi 700 + Base 800 XL</v>
          </cell>
          <cell r="D15682" t="str">
            <v>Lifter Hubi 700 + Base 800 XL</v>
          </cell>
        </row>
        <row r="15683">
          <cell r="B15683" t="str">
            <v>85-608-08-04</v>
          </cell>
          <cell r="C15683" t="str">
            <v>Lifter Hubi Perseus + Base 800 XL</v>
          </cell>
          <cell r="D15683" t="str">
            <v>Lifter Hubi Perseus + Base 800 XL</v>
          </cell>
        </row>
        <row r="15684">
          <cell r="B15684" t="str">
            <v>85-609-47-04</v>
          </cell>
          <cell r="C15684" t="str">
            <v>Base 800 mm mit Lifter</v>
          </cell>
          <cell r="D15684" t="str">
            <v>Base 800 mm with Lifter</v>
          </cell>
        </row>
        <row r="15685">
          <cell r="B15685" t="str">
            <v>85-705-12-04</v>
          </cell>
          <cell r="C15685" t="str">
            <v>CEMOR 4-fach Version 01</v>
          </cell>
          <cell r="D15685" t="str">
            <v>CEMOR 4-fold Version 01</v>
          </cell>
        </row>
        <row r="15686">
          <cell r="B15686" t="str">
            <v>85-705-13-04</v>
          </cell>
          <cell r="C15686" t="str">
            <v>CEMOR 4-fach Version 02</v>
          </cell>
          <cell r="D15686" t="str">
            <v>CEMOR 4-fold Version 02</v>
          </cell>
        </row>
        <row r="15687">
          <cell r="B15687" t="str">
            <v>85-705-14-04</v>
          </cell>
          <cell r="C15687" t="str">
            <v>CEMOR 4-fach Version 03</v>
          </cell>
          <cell r="D15687" t="str">
            <v>CEMOR 4-fold Version 03</v>
          </cell>
        </row>
        <row r="15688">
          <cell r="B15688" t="str">
            <v>85-705-15-04</v>
          </cell>
          <cell r="C15688" t="str">
            <v>CEMOR 4-fach Version 04</v>
          </cell>
          <cell r="D15688" t="str">
            <v>CEMOR 4-fold Version 04</v>
          </cell>
        </row>
        <row r="15689">
          <cell r="B15689" t="str">
            <v>85-705-16-04</v>
          </cell>
          <cell r="C15689" t="str">
            <v>CEMOR 4-fach Version 05</v>
          </cell>
          <cell r="D15689" t="str">
            <v>CEMOR 4-fold Version 05</v>
          </cell>
        </row>
        <row r="15690">
          <cell r="B15690" t="str">
            <v>85-705-17-04</v>
          </cell>
          <cell r="C15690" t="str">
            <v>CEMOR 4-fach Version 06</v>
          </cell>
          <cell r="D15690" t="str">
            <v>CEMOR 4-fold Version 06</v>
          </cell>
        </row>
        <row r="15691">
          <cell r="B15691" t="str">
            <v>85-705-18-04</v>
          </cell>
          <cell r="C15691" t="str">
            <v>CEMOR 4-fach Version 07</v>
          </cell>
          <cell r="D15691" t="str">
            <v>CEMOR 4-fold Version 07</v>
          </cell>
        </row>
        <row r="15692">
          <cell r="B15692" t="str">
            <v>85-705-19-04</v>
          </cell>
          <cell r="C15692" t="str">
            <v>CEMOR 4-fach Version 08</v>
          </cell>
          <cell r="D15692" t="str">
            <v>CEMOR 4-fold Version 08</v>
          </cell>
        </row>
        <row r="15693">
          <cell r="B15693" t="str">
            <v>85-705-20-04</v>
          </cell>
          <cell r="C15693" t="str">
            <v>CEMOR 4-fach Version 09</v>
          </cell>
          <cell r="D15693" t="str">
            <v>CEMOR 4-fold Version 09</v>
          </cell>
        </row>
        <row r="15694">
          <cell r="B15694" t="str">
            <v>85-705-21-04</v>
          </cell>
          <cell r="C15694" t="str">
            <v>CEMOR 4-fach Version 10</v>
          </cell>
          <cell r="D15694" t="str">
            <v>CEMOR 4-fold Version 10</v>
          </cell>
        </row>
        <row r="15695">
          <cell r="B15695" t="str">
            <v>85-705-22-04</v>
          </cell>
          <cell r="C15695" t="str">
            <v>CEMOR 6-fach Version 01</v>
          </cell>
          <cell r="D15695" t="str">
            <v>CEMOR 6-fold Version 01</v>
          </cell>
        </row>
        <row r="15696">
          <cell r="B15696" t="str">
            <v>85-705-23-04</v>
          </cell>
          <cell r="C15696" t="str">
            <v>CEMOR 6-fach Version 02</v>
          </cell>
          <cell r="D15696" t="str">
            <v>CEMOR 6-fold Version 02</v>
          </cell>
        </row>
        <row r="15697">
          <cell r="B15697" t="str">
            <v>85-705-24-04</v>
          </cell>
          <cell r="C15697" t="str">
            <v>CEMOR 6-fach Version 03</v>
          </cell>
          <cell r="D15697" t="str">
            <v>CEMOR 6-fold Version 03</v>
          </cell>
        </row>
        <row r="15698">
          <cell r="B15698" t="str">
            <v>85-705-25-04</v>
          </cell>
          <cell r="C15698" t="str">
            <v>CEMOR 6-fach Version 04</v>
          </cell>
          <cell r="D15698" t="str">
            <v>CEMOR 6-fold Version 04</v>
          </cell>
        </row>
        <row r="15699">
          <cell r="B15699" t="str">
            <v>85-705-26-04</v>
          </cell>
          <cell r="C15699" t="str">
            <v>CEMOR 6-fach Version 05</v>
          </cell>
          <cell r="D15699" t="str">
            <v>CEMOR 6-fold Version 05</v>
          </cell>
        </row>
        <row r="15700">
          <cell r="B15700" t="str">
            <v>85-705-27-04</v>
          </cell>
          <cell r="C15700" t="str">
            <v>CEMOR 6-fach Version 06</v>
          </cell>
          <cell r="D15700" t="str">
            <v>CEMOR 6-fold Version 06</v>
          </cell>
        </row>
        <row r="15701">
          <cell r="B15701" t="str">
            <v>85-705-28-04</v>
          </cell>
          <cell r="C15701" t="str">
            <v>CEMOR 6-fach Version 07</v>
          </cell>
          <cell r="D15701" t="str">
            <v>CEMOR 6-fold Version 07</v>
          </cell>
        </row>
        <row r="15702">
          <cell r="B15702" t="str">
            <v>85-705-29-04</v>
          </cell>
          <cell r="C15702" t="str">
            <v>CEMOR 6-fach Version 08</v>
          </cell>
          <cell r="D15702" t="str">
            <v>CEMOR 6-fold Version 08</v>
          </cell>
        </row>
        <row r="15703">
          <cell r="B15703" t="str">
            <v>85-705-30-04</v>
          </cell>
          <cell r="C15703" t="str">
            <v>CEMOR 6-fach Version 09</v>
          </cell>
          <cell r="D15703" t="str">
            <v>CEMOR 6-fold Version 09</v>
          </cell>
        </row>
        <row r="15704">
          <cell r="B15704" t="str">
            <v>85-705-31-04</v>
          </cell>
          <cell r="C15704" t="str">
            <v>CEMOR 6-fach Version 10</v>
          </cell>
          <cell r="D15704" t="str">
            <v>CEMOR 6-fold Version 10</v>
          </cell>
        </row>
        <row r="15705">
          <cell r="B15705" t="str">
            <v>85-705-32-04</v>
          </cell>
          <cell r="C15705" t="str">
            <v>CEMOR 6-fach Version 11</v>
          </cell>
          <cell r="D15705" t="str">
            <v>CEMOR 6-fold Version 11</v>
          </cell>
        </row>
        <row r="15706">
          <cell r="B15706" t="str">
            <v>85-705-33-04</v>
          </cell>
          <cell r="C15706" t="str">
            <v>CEMOR 8-fach Version 01</v>
          </cell>
          <cell r="D15706" t="str">
            <v>CEMOR 8-fold Version 01</v>
          </cell>
        </row>
        <row r="15707">
          <cell r="B15707" t="str">
            <v>85-705-34-04</v>
          </cell>
          <cell r="C15707" t="str">
            <v>CEMOR 8-fach Version 02</v>
          </cell>
          <cell r="D15707" t="str">
            <v>CEMOR 8-fold Version 02</v>
          </cell>
        </row>
        <row r="15708">
          <cell r="B15708" t="str">
            <v>85-705-35-04</v>
          </cell>
          <cell r="C15708" t="str">
            <v>CEMOR 8-fach Version 03</v>
          </cell>
          <cell r="D15708" t="str">
            <v>CEMOR 8-fold Version 03</v>
          </cell>
        </row>
        <row r="15709">
          <cell r="B15709" t="str">
            <v>85-705-36-04</v>
          </cell>
          <cell r="C15709" t="str">
            <v>CEMOR 8-fach Version 04</v>
          </cell>
          <cell r="D15709" t="str">
            <v>CEMOR 8-fold Version 04</v>
          </cell>
        </row>
        <row r="15710">
          <cell r="B15710" t="str">
            <v>85-705-37-04</v>
          </cell>
          <cell r="C15710" t="str">
            <v>CEMOR 8-fach Version 05</v>
          </cell>
          <cell r="D15710" t="str">
            <v>CEMOR 8-fold Version 05</v>
          </cell>
        </row>
        <row r="15711">
          <cell r="B15711" t="str">
            <v>85-705-38-04</v>
          </cell>
          <cell r="C15711" t="str">
            <v>CEMOR 8-fach Version 06</v>
          </cell>
          <cell r="D15711" t="str">
            <v>CEMOR 8-fold Version 06</v>
          </cell>
        </row>
        <row r="15712">
          <cell r="B15712" t="str">
            <v>85-705-39-04</v>
          </cell>
          <cell r="C15712" t="str">
            <v>CEMOR 8-fach Version 07</v>
          </cell>
          <cell r="D15712" t="str">
            <v>CEMOR 8-fold Version 07</v>
          </cell>
        </row>
        <row r="15713">
          <cell r="B15713" t="str">
            <v>85-705-40-04</v>
          </cell>
          <cell r="C15713" t="str">
            <v>CEMOR 8-fach Version 08</v>
          </cell>
          <cell r="D15713" t="str">
            <v>CEMOR 8-fold Version 08</v>
          </cell>
        </row>
        <row r="15714">
          <cell r="B15714" t="str">
            <v>85-705-41-04</v>
          </cell>
          <cell r="C15714" t="str">
            <v>CEMOR 8-fach Version 09</v>
          </cell>
          <cell r="D15714" t="str">
            <v>CEMOR 8-fold Version 09</v>
          </cell>
        </row>
        <row r="15715">
          <cell r="B15715" t="str">
            <v>85-705-42-04</v>
          </cell>
          <cell r="C15715" t="str">
            <v>CEMOR 8-fach Version 10</v>
          </cell>
          <cell r="D15715" t="str">
            <v>CEMOR 8-fold Version 10</v>
          </cell>
        </row>
        <row r="15716">
          <cell r="B15716" t="str">
            <v>85-705-43-04</v>
          </cell>
          <cell r="C15716" t="str">
            <v>CEMOR 8-fach Version 11</v>
          </cell>
          <cell r="D15716" t="str">
            <v>CEMOR 8-fold Version 11</v>
          </cell>
        </row>
        <row r="15717">
          <cell r="B15717" t="str">
            <v>85-705-44-04</v>
          </cell>
          <cell r="C15717" t="str">
            <v>CEMOR LS Version 01</v>
          </cell>
          <cell r="D15717" t="str">
            <v>CEMOR LS Version 01</v>
          </cell>
        </row>
        <row r="15718">
          <cell r="B15718" t="str">
            <v>85-705-45-04</v>
          </cell>
          <cell r="C15718" t="str">
            <v>CEMOR LS Version 02</v>
          </cell>
          <cell r="D15718" t="str">
            <v>CEMOR LS Version 02</v>
          </cell>
        </row>
        <row r="15719">
          <cell r="B15719" t="str">
            <v>85-705-46-04</v>
          </cell>
          <cell r="C15719" t="str">
            <v>CEMOR LS Version 03</v>
          </cell>
          <cell r="D15719" t="str">
            <v>CEMOR LS Version 03</v>
          </cell>
        </row>
        <row r="15720">
          <cell r="B15720" t="str">
            <v>85-705-47-04</v>
          </cell>
          <cell r="C15720" t="str">
            <v>CEMOR LS Version 04</v>
          </cell>
          <cell r="D15720" t="str">
            <v>CEMOR LS Version 04</v>
          </cell>
        </row>
        <row r="15721">
          <cell r="B15721" t="str">
            <v>85-705-48-04</v>
          </cell>
          <cell r="C15721" t="str">
            <v>CEMOR LS Version 05</v>
          </cell>
          <cell r="D15721" t="str">
            <v>CEMOR LS Version 05</v>
          </cell>
        </row>
        <row r="15722">
          <cell r="B15722" t="str">
            <v>89-418-89-04</v>
          </cell>
          <cell r="C15722" t="str">
            <v>Handgriffeinheit 4K wireless disposable</v>
          </cell>
          <cell r="D15722" t="str">
            <v>Handle assembly  4K wireless disposable</v>
          </cell>
        </row>
        <row r="15723">
          <cell r="B15723" t="str">
            <v>89-418-90-04</v>
          </cell>
          <cell r="C15723" t="str">
            <v>Handgriffeinheit marLED 4K wireless</v>
          </cell>
          <cell r="D15723" t="str">
            <v>Handle assembly  marLED 4K wireless</v>
          </cell>
        </row>
        <row r="15724">
          <cell r="B15724" t="str">
            <v>89-418-93-04</v>
          </cell>
          <cell r="C15724" t="str">
            <v>Handgriffeinheit marLED HD wireless</v>
          </cell>
          <cell r="D15724" t="str">
            <v>Handle assembly  marLED HD wireless</v>
          </cell>
        </row>
        <row r="15725">
          <cell r="B15725" t="str">
            <v>89-418-96-04</v>
          </cell>
          <cell r="C15725" t="str">
            <v>Handgriffeinheit  HDwireless disposable</v>
          </cell>
          <cell r="D15725" t="str">
            <v>Handle assembly   HDwireless disposable</v>
          </cell>
        </row>
        <row r="15726">
          <cell r="B15726" t="str">
            <v>89-418-98-04</v>
          </cell>
          <cell r="C15726" t="str">
            <v>Handgriffeinheit marLED HD &gt; 360°</v>
          </cell>
          <cell r="D15726" t="str">
            <v>Handle assembly  marLED HD &gt; 360°</v>
          </cell>
        </row>
        <row r="15727">
          <cell r="B15727" t="str">
            <v>89-418-99-04</v>
          </cell>
          <cell r="C15727" t="str">
            <v>Handgriffeinheit HD &gt;360° disposable</v>
          </cell>
          <cell r="D15727" t="str">
            <v>Handle assembly  HD &gt;360° disposable</v>
          </cell>
        </row>
        <row r="15728">
          <cell r="B15728" t="str">
            <v>89-513-00-04</v>
          </cell>
          <cell r="C15728" t="str">
            <v>marLED E3 Adapterplatte fuer DAP/ZDK</v>
          </cell>
          <cell r="D15728" t="str">
            <v>marLED E3 adapter plate for DAP/ZDK</v>
          </cell>
        </row>
        <row r="15729">
          <cell r="B15729" t="str">
            <v>89-700-00-04</v>
          </cell>
          <cell r="C15729" t="str">
            <v>marLED E3 Stativ (Mobil)</v>
          </cell>
          <cell r="D15729" t="str">
            <v>marLED E3 stand (mobile)</v>
          </cell>
        </row>
        <row r="15730">
          <cell r="B15730" t="str">
            <v>89-700-01-04</v>
          </cell>
          <cell r="C15730" t="str">
            <v>marLED E3 Wand</v>
          </cell>
          <cell r="D15730" t="str">
            <v>marLED E3 wall</v>
          </cell>
        </row>
        <row r="15731">
          <cell r="B15731" t="str">
            <v>89-700-02-04</v>
          </cell>
          <cell r="C15731" t="str">
            <v>marLED E3 Decke</v>
          </cell>
          <cell r="D15731" t="str">
            <v>marLED E3 ceiling</v>
          </cell>
        </row>
        <row r="15732">
          <cell r="B15732" t="str">
            <v>89-700-04-04</v>
          </cell>
          <cell r="C15732" t="str">
            <v>marLED E3 Baldachin  360x105x42 mm</v>
          </cell>
          <cell r="D15732" t="str">
            <v>marLED E3 soffet 360x105x42 mm</v>
          </cell>
        </row>
        <row r="15733">
          <cell r="B15733" t="str">
            <v>89-700-05-04</v>
          </cell>
          <cell r="C15733" t="str">
            <v>Handgriff  Set (Aufnahme und 2x Hülse)</v>
          </cell>
          <cell r="D15733" t="str">
            <v>Handle assembly  (mount and 2x sleeve)</v>
          </cell>
        </row>
        <row r="15734">
          <cell r="B15734" t="str">
            <v>89-700-06-04</v>
          </cell>
          <cell r="C15734" t="str">
            <v>marLED E3 Baldachinscheibe 400x2x42  mm</v>
          </cell>
          <cell r="D15734" t="str">
            <v>marLED E3 soffet disc 400x2x42  mm</v>
          </cell>
        </row>
        <row r="15735">
          <cell r="B15735" t="str">
            <v>89-700-60-04</v>
          </cell>
          <cell r="C15735" t="str">
            <v>marLED E9i Wand</v>
          </cell>
          <cell r="D15735" t="str">
            <v>marLED E9i wall</v>
          </cell>
        </row>
        <row r="15736">
          <cell r="B15736" t="str">
            <v>89-700-61-04</v>
          </cell>
          <cell r="C15736" t="str">
            <v>marLED E9i Wand (IT)</v>
          </cell>
          <cell r="D15736" t="str">
            <v>marLED E9i wall (IT)</v>
          </cell>
        </row>
        <row r="15737">
          <cell r="B15737" t="str">
            <v>89-700-62-04</v>
          </cell>
          <cell r="C15737" t="str">
            <v>marLED E9i Stativ (Mobil)</v>
          </cell>
          <cell r="D15737" t="str">
            <v>marLED E9i stand (mobile)</v>
          </cell>
        </row>
        <row r="15738">
          <cell r="B15738" t="str">
            <v>89-700-97-04</v>
          </cell>
          <cell r="C15738" t="str">
            <v>marLED E9i Battery Wand</v>
          </cell>
          <cell r="D15738" t="str">
            <v>marLED E9i Battery wall</v>
          </cell>
        </row>
        <row r="15739">
          <cell r="B15739" t="str">
            <v>89-700-98-04</v>
          </cell>
          <cell r="C15739" t="str">
            <v>marLED E9i Battery Wand (IT)</v>
          </cell>
          <cell r="D15739" t="str">
            <v>marLED E9i Battery wall (IT)</v>
          </cell>
        </row>
        <row r="15740">
          <cell r="B15740" t="str">
            <v>89-700-99-04</v>
          </cell>
          <cell r="C15740" t="str">
            <v>marLED E9i Battery Stativ (Mobil)</v>
          </cell>
          <cell r="D15740" t="str">
            <v>marLED E9i Battery stand (mobile)</v>
          </cell>
        </row>
        <row r="15741">
          <cell r="B15741" t="str">
            <v>89-701-00-04</v>
          </cell>
          <cell r="C15741" t="str">
            <v>marLED E1 Untersuchungsleuchte Mobil</v>
          </cell>
          <cell r="D15741" t="str">
            <v>marLED E1 examination light mobile</v>
          </cell>
        </row>
        <row r="15742">
          <cell r="B15742" t="str">
            <v>89-701-01-04</v>
          </cell>
          <cell r="C15742" t="str">
            <v>marLED E1 Untersuchungsleuchte Wand</v>
          </cell>
          <cell r="D15742" t="str">
            <v>marLED E1 examination light wall</v>
          </cell>
        </row>
        <row r="15743">
          <cell r="B15743" t="str">
            <v>89-701-02-04</v>
          </cell>
          <cell r="C15743" t="str">
            <v>marLED E1 Untersuchungsleuchte Decke</v>
          </cell>
          <cell r="D15743" t="str">
            <v>marLED E1 examination light ceiling</v>
          </cell>
        </row>
        <row r="15744">
          <cell r="B15744" t="str">
            <v>89-701-03-04</v>
          </cell>
          <cell r="C15744" t="str">
            <v>marLED E1 Untersuchungsleuchte Schiene</v>
          </cell>
          <cell r="D15744" t="str">
            <v>marLED E1 examination light rail</v>
          </cell>
        </row>
        <row r="15745">
          <cell r="B15745" t="str">
            <v>89-800-00-00</v>
          </cell>
          <cell r="C15745" t="str">
            <v>OP-Leuchtensystem marLED E</v>
          </cell>
          <cell r="D15745" t="str">
            <v>OR light system marLED E</v>
          </cell>
        </row>
        <row r="15746">
          <cell r="B15746" t="str">
            <v>89-800-80-00</v>
          </cell>
          <cell r="C15746" t="str">
            <v>marTouch  marLED E</v>
          </cell>
          <cell r="D15746" t="str">
            <v>marTouch  marLED E</v>
          </cell>
        </row>
        <row r="15747">
          <cell r="B15747" t="str">
            <v>89-818-83-04</v>
          </cell>
          <cell r="C15747" t="str">
            <v>Handgriffeinheit mit Kamera HD</v>
          </cell>
          <cell r="D15747" t="str">
            <v>Handle assembly  with camera HD</v>
          </cell>
        </row>
        <row r="15748">
          <cell r="B15748" t="str">
            <v>89-819-91-04</v>
          </cell>
          <cell r="C15748" t="str">
            <v>Wandbedienung marLED Aufputz mit RS232</v>
          </cell>
          <cell r="D15748" t="str">
            <v>Wallpanel  marLED surface mount.+RS232</v>
          </cell>
        </row>
        <row r="15749">
          <cell r="B15749" t="str">
            <v>89-819-92-04</v>
          </cell>
          <cell r="C15749" t="str">
            <v>Wandbedienung marLED Paneleinbau+RS232</v>
          </cell>
          <cell r="D15749" t="str">
            <v>Wallpanel  marLED recessed  mount.+RS232</v>
          </cell>
        </row>
        <row r="15750">
          <cell r="B15750" t="str">
            <v>89-819-94-04</v>
          </cell>
          <cell r="C15750" t="str">
            <v>Wandbedienung marLED Uputz m.RS232</v>
          </cell>
          <cell r="D15750" t="str">
            <v>Wallpanel  marLED in-wall mount.+RS232</v>
          </cell>
        </row>
        <row r="15751">
          <cell r="B15751" t="str">
            <v>89-903-00-00</v>
          </cell>
          <cell r="C15751" t="str">
            <v>OP-Leuchtensystem marLED X</v>
          </cell>
          <cell r="D15751" t="str">
            <v>OR light system marLED X</v>
          </cell>
        </row>
        <row r="15752">
          <cell r="B15752" t="str">
            <v>89-903-07-04</v>
          </cell>
          <cell r="C15752" t="str">
            <v>marLED X Stativ (Mobil)</v>
          </cell>
          <cell r="D15752" t="str">
            <v>marLED X stand (mobile)</v>
          </cell>
        </row>
        <row r="15753">
          <cell r="B15753" t="str">
            <v>89-903-08-04</v>
          </cell>
          <cell r="C15753" t="str">
            <v>marLED X Wand</v>
          </cell>
          <cell r="D15753" t="str">
            <v>marLED X wall</v>
          </cell>
        </row>
        <row r="15754">
          <cell r="B15754" t="str">
            <v>89-903-33-00</v>
          </cell>
          <cell r="C15754" t="str">
            <v>marTouch  Pro marLED</v>
          </cell>
          <cell r="D15754" t="str">
            <v>marTouch  Pro marLED</v>
          </cell>
        </row>
        <row r="15755">
          <cell r="B15755" t="str">
            <v>89-930-00-04</v>
          </cell>
          <cell r="C15755" t="str">
            <v>Sterigriff Standard  marLED und marLux</v>
          </cell>
          <cell r="D15755" t="str">
            <v>Sterilehandle Standard  marLED and marLux</v>
          </cell>
        </row>
        <row r="15756">
          <cell r="B15756" t="str">
            <v>89-930-04-04</v>
          </cell>
          <cell r="C15756" t="str">
            <v>Sterigriff für surgiCam</v>
          </cell>
          <cell r="D15756" t="str">
            <v>Sterilehandle / surgiCam</v>
          </cell>
        </row>
        <row r="15757">
          <cell r="B15757" t="str">
            <v>89-965-02-04</v>
          </cell>
          <cell r="C15757" t="str">
            <v>marLED E3 ZDK 200 mm</v>
          </cell>
          <cell r="D15757" t="str">
            <v>marLED E3 intermed.ceil. constr. 200mm</v>
          </cell>
        </row>
        <row r="15758">
          <cell r="B15758" t="str">
            <v>89-965-03-04</v>
          </cell>
          <cell r="C15758" t="str">
            <v>marLED E3 ZDK 300 mm</v>
          </cell>
          <cell r="D15758" t="str">
            <v>marLED E3 intermed.ceil. constr. 300mm</v>
          </cell>
        </row>
        <row r="15759">
          <cell r="B15759" t="str">
            <v>89-965-04-04</v>
          </cell>
          <cell r="C15759" t="str">
            <v>marLED E3 ZDK 400 mm</v>
          </cell>
          <cell r="D15759" t="str">
            <v>marLED E3 intermed.ceil. constr. 400mm</v>
          </cell>
        </row>
        <row r="15760">
          <cell r="B15760" t="str">
            <v>89-965-05-04</v>
          </cell>
          <cell r="C15760" t="str">
            <v>marLED E3 ZDK 500 mm</v>
          </cell>
          <cell r="D15760" t="str">
            <v>marLED E3 intermed.ceil. constr. 500mm</v>
          </cell>
        </row>
        <row r="15761">
          <cell r="B15761" t="str">
            <v>89-965-06-04</v>
          </cell>
          <cell r="C15761" t="str">
            <v>marLED E3 ZDK 600 mm</v>
          </cell>
          <cell r="D15761" t="str">
            <v>marLED E3 intermed.ceil. constr. 600mm</v>
          </cell>
        </row>
        <row r="15762">
          <cell r="B15762" t="str">
            <v>89-965-07-04</v>
          </cell>
          <cell r="C15762" t="str">
            <v>marLED E3 ZDK 700 mm</v>
          </cell>
          <cell r="D15762" t="str">
            <v>marLED E3 intermed.ceil. constr. 700mm</v>
          </cell>
        </row>
        <row r="15763">
          <cell r="B15763" t="str">
            <v>89-965-08-04</v>
          </cell>
          <cell r="C15763" t="str">
            <v>marLED E3 ZDK 800 mm</v>
          </cell>
          <cell r="D15763" t="str">
            <v>marLED E3 intermed.ceil. constr. 800mm</v>
          </cell>
        </row>
        <row r="15764">
          <cell r="B15764" t="str">
            <v>89-965-09-04</v>
          </cell>
          <cell r="C15764" t="str">
            <v>marLED E3 ZDK 900 mm</v>
          </cell>
          <cell r="D15764" t="str">
            <v>marLED E3 intermed.ceil. constr. 900mm</v>
          </cell>
        </row>
        <row r="15765">
          <cell r="B15765" t="str">
            <v>89-965-10-04</v>
          </cell>
          <cell r="C15765" t="str">
            <v>marLED E3 ZDK 1000 mm</v>
          </cell>
          <cell r="D15765" t="str">
            <v>marLED E3 intermed.ceil. constr. 1000mm</v>
          </cell>
        </row>
        <row r="15766">
          <cell r="B15766" t="str">
            <v>89-965-11-04</v>
          </cell>
          <cell r="C15766" t="str">
            <v>marLED E3 ZDK 1100 mm</v>
          </cell>
          <cell r="D15766" t="str">
            <v>marLED E3 intermed.ceil. constr. 1100mm</v>
          </cell>
        </row>
        <row r="15767">
          <cell r="B15767" t="str">
            <v>89-965-12-04</v>
          </cell>
          <cell r="C15767" t="str">
            <v>marLED E3 ZDK 1200 mm</v>
          </cell>
          <cell r="D15767" t="str">
            <v>marLED E3 intermed.ceil. constr. 1200mm</v>
          </cell>
        </row>
        <row r="15768">
          <cell r="B15768" t="str">
            <v>89-965-13-04</v>
          </cell>
          <cell r="C15768" t="str">
            <v>marLED E3 ZDK 1300 mm</v>
          </cell>
          <cell r="D15768" t="str">
            <v>marLED E3 intermed.ceil. constr. 1300mm</v>
          </cell>
        </row>
        <row r="15769">
          <cell r="B15769" t="str">
            <v>89-965-14-04</v>
          </cell>
          <cell r="C15769" t="str">
            <v>marLED E3 ZDK 1400 mm</v>
          </cell>
          <cell r="D15769" t="str">
            <v>marLED E3 intermed.ceil. constr. 1400mm</v>
          </cell>
        </row>
        <row r="15770">
          <cell r="B15770" t="str">
            <v>89-965-15-04</v>
          </cell>
          <cell r="C15770" t="str">
            <v>marLED E3 ZDK 1500 mm</v>
          </cell>
          <cell r="D15770" t="str">
            <v>marLED E3 intermed.ceil. constr. 1500mm</v>
          </cell>
        </row>
        <row r="15771">
          <cell r="B15771" t="str">
            <v>89-965-16-04</v>
          </cell>
          <cell r="C15771" t="str">
            <v>marLED E3 ZDK 1600 mm</v>
          </cell>
          <cell r="D15771" t="str">
            <v>marLED E3 intermed.ceil. constr. 1600mm</v>
          </cell>
        </row>
        <row r="15772">
          <cell r="B15772" t="str">
            <v>89-965-17-04</v>
          </cell>
          <cell r="C15772" t="str">
            <v>marLED E3 ZDK 1700 mm</v>
          </cell>
          <cell r="D15772" t="str">
            <v>marLED E3 intermed.ceil. constr. 1700mm</v>
          </cell>
        </row>
        <row r="15773">
          <cell r="B15773" t="str">
            <v>89-972-70-04</v>
          </cell>
          <cell r="C15773" t="str">
            <v>marLED E3 Deckenrohr Vorverk. 42x210</v>
          </cell>
          <cell r="D15773" t="str">
            <v>marLED E3 ceiling tube wired. 42x210</v>
          </cell>
        </row>
        <row r="15774">
          <cell r="B15774" t="str">
            <v>89-972-71-04</v>
          </cell>
          <cell r="C15774" t="str">
            <v>marLED E3 Deckenrohr Vorverk. 42x260</v>
          </cell>
          <cell r="D15774" t="str">
            <v>marLED E3 ceiling tube wired. 42x260</v>
          </cell>
        </row>
        <row r="15775">
          <cell r="B15775" t="str">
            <v>89-972-72-04</v>
          </cell>
          <cell r="C15775" t="str">
            <v>marLED E3 Deckenrohr Vorverk. 42x360</v>
          </cell>
          <cell r="D15775" t="str">
            <v>marLED E3 ceiling tube wired. 42x360</v>
          </cell>
        </row>
        <row r="15776">
          <cell r="B15776" t="str">
            <v>89-972-73-04</v>
          </cell>
          <cell r="C15776" t="str">
            <v>marLED E3 Deckenrohr Vorverk. 42x460</v>
          </cell>
          <cell r="D15776" t="str">
            <v>marLED E3 ceiling tube wired. 42x460</v>
          </cell>
        </row>
        <row r="15777">
          <cell r="B15777" t="str">
            <v>89-972-74-04</v>
          </cell>
          <cell r="C15777" t="str">
            <v>marLED E3 Deckenrohr Vorverk. 42x560</v>
          </cell>
          <cell r="D15777" t="str">
            <v>marLED E3 ceiling tube wired. 42x560</v>
          </cell>
        </row>
        <row r="15778">
          <cell r="B15778" t="str">
            <v>89-972-75-04</v>
          </cell>
          <cell r="C15778" t="str">
            <v>marLED E3 Deckenrohr Vorverk. 42x660</v>
          </cell>
          <cell r="D15778" t="str">
            <v>marLED E3 ceiling tube wired. 42x660</v>
          </cell>
        </row>
        <row r="15779">
          <cell r="B15779" t="str">
            <v>89-972-76-04</v>
          </cell>
          <cell r="C15779" t="str">
            <v>marLED E3 Deckenrohr Vorverk. 42x760</v>
          </cell>
          <cell r="D15779" t="str">
            <v>marLED E3 ceiling tube wired. 42x760</v>
          </cell>
        </row>
        <row r="15780">
          <cell r="B15780" t="str">
            <v>89-972-77-04</v>
          </cell>
          <cell r="C15780" t="str">
            <v>marLED E3 Deckenrohr Vorverk. 42x860</v>
          </cell>
          <cell r="D15780" t="str">
            <v>marLED E3 ceiling tube wired. 42x860</v>
          </cell>
        </row>
        <row r="15781">
          <cell r="B15781" t="str">
            <v>89-972-78-04</v>
          </cell>
          <cell r="C15781" t="str">
            <v>marLED E3 Deckenrohr Vorverk. 42x960</v>
          </cell>
          <cell r="D15781" t="str">
            <v>marLED E3 ceiling tube wired. 42x960</v>
          </cell>
        </row>
        <row r="15782">
          <cell r="B15782" t="str">
            <v>89-972-79-04</v>
          </cell>
          <cell r="C15782" t="str">
            <v>marLED E3 Deckenrohr Vorverk. 42x1060</v>
          </cell>
          <cell r="D15782" t="str">
            <v>marLED E3 ceiling tube wired. 42x1060</v>
          </cell>
        </row>
        <row r="15783">
          <cell r="B15783" t="str">
            <v>89-972-80-04</v>
          </cell>
          <cell r="C15783" t="str">
            <v>marLED E3 Deckenrohr Vorverk. 42x1160</v>
          </cell>
          <cell r="D15783" t="str">
            <v>marLED E3 ceiling tube wired. 42x1160</v>
          </cell>
        </row>
        <row r="15784">
          <cell r="B15784" t="str">
            <v>89-972-81-04</v>
          </cell>
          <cell r="C15784" t="str">
            <v>marLED E3 Deckenrohr Vorverk. 42x1260</v>
          </cell>
          <cell r="D15784" t="str">
            <v>marLED E3 ceiling tube wired. 42x1260</v>
          </cell>
        </row>
        <row r="15785">
          <cell r="B15785" t="str">
            <v>89-972-82-04</v>
          </cell>
          <cell r="C15785" t="str">
            <v>marLED E3 Deckenrohr Vorverk. 42x1360</v>
          </cell>
          <cell r="D15785" t="str">
            <v>marLED E3 ceiling tube wired. 42x1360</v>
          </cell>
        </row>
        <row r="15786">
          <cell r="B15786" t="str">
            <v>89-972-83-04</v>
          </cell>
          <cell r="C15786" t="str">
            <v>marLED E3 Deckenrohr Vorverk. 42x1460</v>
          </cell>
          <cell r="D15786" t="str">
            <v>marLED E3 ceiling tube wired. 42x1460</v>
          </cell>
        </row>
        <row r="15787">
          <cell r="B15787" t="str">
            <v>89-972-84-04</v>
          </cell>
          <cell r="C15787" t="str">
            <v>marLED E3 Deckenrohr Vorverk. 42x1560</v>
          </cell>
          <cell r="D15787" t="str">
            <v>marLED E3 ceiling tube wired. 42x1560</v>
          </cell>
        </row>
        <row r="15788">
          <cell r="B15788" t="str">
            <v>89-972-85-04</v>
          </cell>
          <cell r="C15788" t="str">
            <v>marLED E3 Wand mit AC2000</v>
          </cell>
          <cell r="D15788" t="str">
            <v>marLED E3 Wall with AC2000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704"/>
  <sheetViews>
    <sheetView tabSelected="1" view="pageBreakPreview" topLeftCell="A187" zoomScale="85" zoomScaleNormal="85" zoomScaleSheetLayoutView="85" workbookViewId="0">
      <selection activeCell="A9" sqref="A9"/>
    </sheetView>
  </sheetViews>
  <sheetFormatPr defaultColWidth="8.7109375" defaultRowHeight="15" x14ac:dyDescent="0.25"/>
  <cols>
    <col min="1" max="1" width="13.7109375" style="53" customWidth="1"/>
    <col min="2" max="2" width="55.42578125" style="43" customWidth="1"/>
    <col min="3" max="3" width="20.85546875" style="43" bestFit="1" customWidth="1"/>
    <col min="4" max="4" width="13.42578125" style="43" customWidth="1"/>
    <col min="5" max="5" width="11.7109375" style="43" customWidth="1"/>
    <col min="6" max="6" width="17.28515625" style="43" bestFit="1" customWidth="1"/>
    <col min="7" max="7" width="17" style="22" customWidth="1"/>
    <col min="8" max="8" width="17.140625" style="22" bestFit="1" customWidth="1"/>
    <col min="9" max="9" width="8.7109375" style="43"/>
    <col min="10" max="10" width="64.140625" style="43" customWidth="1"/>
    <col min="11" max="11" width="50.5703125" style="43" customWidth="1"/>
    <col min="12" max="16384" width="8.7109375" style="43"/>
  </cols>
  <sheetData>
    <row r="1" spans="1:10" s="1" customFormat="1" ht="78.599999999999994" customHeight="1" x14ac:dyDescent="0.25">
      <c r="A1" s="53"/>
      <c r="B1" s="43"/>
      <c r="C1" s="43"/>
      <c r="D1" s="43"/>
      <c r="E1" s="43"/>
      <c r="F1" s="43"/>
      <c r="G1" s="22"/>
      <c r="H1" s="22"/>
    </row>
    <row r="2" spans="1:10" s="1" customFormat="1" x14ac:dyDescent="0.25">
      <c r="A2" s="53"/>
      <c r="B2" s="33" t="s">
        <v>1828</v>
      </c>
      <c r="C2" s="33" t="s">
        <v>1829</v>
      </c>
      <c r="D2" s="43"/>
      <c r="E2" s="43"/>
      <c r="F2" s="43"/>
      <c r="G2" s="22"/>
      <c r="H2" s="22"/>
    </row>
    <row r="3" spans="1:10" s="1" customFormat="1" x14ac:dyDescent="0.25">
      <c r="A3" s="53"/>
      <c r="B3" s="42" t="s">
        <v>1830</v>
      </c>
      <c r="C3" s="33" t="s">
        <v>1838</v>
      </c>
      <c r="D3" s="43"/>
      <c r="E3" s="43"/>
      <c r="F3" s="43"/>
      <c r="G3" s="22"/>
      <c r="H3" s="22"/>
    </row>
    <row r="4" spans="1:10" s="1" customFormat="1" x14ac:dyDescent="0.25">
      <c r="A4" s="53"/>
      <c r="B4" s="42" t="s">
        <v>1831</v>
      </c>
      <c r="C4" s="32">
        <v>46155</v>
      </c>
      <c r="D4" s="43"/>
      <c r="E4" s="43"/>
      <c r="F4" s="43"/>
      <c r="G4" s="22"/>
      <c r="H4" s="22"/>
    </row>
    <row r="5" spans="1:10" s="1" customFormat="1" x14ac:dyDescent="0.25">
      <c r="A5" s="53"/>
      <c r="B5" s="42" t="s">
        <v>1832</v>
      </c>
      <c r="C5" s="42" t="s">
        <v>1833</v>
      </c>
      <c r="D5" s="43"/>
      <c r="E5" s="43"/>
      <c r="F5" s="43"/>
      <c r="G5" s="22"/>
      <c r="H5" s="22"/>
    </row>
    <row r="6" spans="1:10" s="1" customFormat="1" x14ac:dyDescent="0.25">
      <c r="A6" s="53"/>
      <c r="B6" s="42" t="s">
        <v>1834</v>
      </c>
      <c r="C6" s="42">
        <v>1</v>
      </c>
      <c r="D6" s="43"/>
      <c r="E6" s="43"/>
      <c r="F6" s="43"/>
      <c r="G6" s="22"/>
      <c r="H6" s="22"/>
    </row>
    <row r="7" spans="1:10" s="1" customFormat="1" x14ac:dyDescent="0.25">
      <c r="A7" s="53"/>
      <c r="B7" s="42" t="s">
        <v>1835</v>
      </c>
      <c r="C7" s="42" t="s">
        <v>1833</v>
      </c>
      <c r="D7" s="43"/>
      <c r="E7" s="43"/>
      <c r="F7" s="43"/>
      <c r="G7" s="22"/>
      <c r="H7" s="22"/>
    </row>
    <row r="8" spans="1:10" s="1" customFormat="1" x14ac:dyDescent="0.25">
      <c r="A8" s="53"/>
      <c r="B8" s="42" t="s">
        <v>1836</v>
      </c>
      <c r="C8" s="42" t="s">
        <v>1837</v>
      </c>
      <c r="D8" s="43"/>
      <c r="E8" s="45"/>
      <c r="F8" s="43"/>
      <c r="G8" s="22"/>
      <c r="H8" s="22"/>
    </row>
    <row r="9" spans="1:10" s="1" customFormat="1" ht="30" x14ac:dyDescent="0.25">
      <c r="A9" s="2" t="s">
        <v>1</v>
      </c>
      <c r="B9" s="2" t="s">
        <v>0</v>
      </c>
      <c r="C9" s="31" t="s">
        <v>1823</v>
      </c>
      <c r="D9" s="2" t="s">
        <v>1790</v>
      </c>
      <c r="E9" s="31" t="s">
        <v>1824</v>
      </c>
      <c r="F9" s="30" t="s">
        <v>1825</v>
      </c>
      <c r="G9" s="30" t="s">
        <v>1826</v>
      </c>
      <c r="H9" s="17" t="s">
        <v>1827</v>
      </c>
    </row>
    <row r="10" spans="1:10" s="8" customFormat="1" x14ac:dyDescent="0.25">
      <c r="A10" s="54"/>
      <c r="B10" s="7" t="s">
        <v>2</v>
      </c>
      <c r="C10" s="7"/>
      <c r="D10" s="7"/>
      <c r="E10" s="7"/>
      <c r="F10" s="7"/>
      <c r="G10" s="18"/>
      <c r="H10" s="18"/>
    </row>
    <row r="11" spans="1:10" s="5" customFormat="1" ht="24.95" customHeight="1" x14ac:dyDescent="0.25">
      <c r="A11" s="51"/>
      <c r="B11" s="6" t="s">
        <v>2</v>
      </c>
      <c r="C11" s="4"/>
      <c r="D11" s="29"/>
      <c r="E11" s="4"/>
      <c r="F11" s="4"/>
      <c r="G11" s="19"/>
      <c r="H11" s="19"/>
    </row>
    <row r="12" spans="1:10" x14ac:dyDescent="0.25">
      <c r="A12" s="46" t="s">
        <v>4</v>
      </c>
      <c r="B12" s="3" t="s">
        <v>5</v>
      </c>
      <c r="C12" s="3" t="s">
        <v>46</v>
      </c>
      <c r="D12" s="3">
        <v>12</v>
      </c>
      <c r="E12" s="3" t="s">
        <v>1855</v>
      </c>
      <c r="F12" s="3">
        <v>27.1</v>
      </c>
      <c r="G12" s="20">
        <f>F12-(F12*38%)</f>
        <v>16.802</v>
      </c>
      <c r="H12" s="20">
        <f t="shared" ref="H12:H34" si="0">G12*D12</f>
        <v>201.624</v>
      </c>
      <c r="J12" s="43" t="s">
        <v>1863</v>
      </c>
    </row>
    <row r="13" spans="1:10" x14ac:dyDescent="0.25">
      <c r="A13" s="46" t="s">
        <v>6</v>
      </c>
      <c r="B13" s="3" t="s">
        <v>7</v>
      </c>
      <c r="C13" s="3" t="s">
        <v>46</v>
      </c>
      <c r="D13" s="3">
        <v>12</v>
      </c>
      <c r="E13" s="3" t="s">
        <v>1855</v>
      </c>
      <c r="F13" s="3">
        <v>30.4</v>
      </c>
      <c r="G13" s="20">
        <f t="shared" ref="G13:G76" si="1">F13-(F13*38%)</f>
        <v>18.847999999999999</v>
      </c>
      <c r="H13" s="20">
        <f t="shared" si="0"/>
        <v>226.17599999999999</v>
      </c>
      <c r="J13" s="43" t="s">
        <v>1864</v>
      </c>
    </row>
    <row r="14" spans="1:10" x14ac:dyDescent="0.25">
      <c r="A14" s="46" t="s">
        <v>8</v>
      </c>
      <c r="B14" s="3" t="s">
        <v>9</v>
      </c>
      <c r="C14" s="3" t="s">
        <v>46</v>
      </c>
      <c r="D14" s="3">
        <v>6</v>
      </c>
      <c r="E14" s="3" t="s">
        <v>1855</v>
      </c>
      <c r="F14" s="3">
        <v>26.3</v>
      </c>
      <c r="G14" s="20">
        <f t="shared" si="1"/>
        <v>16.306000000000001</v>
      </c>
      <c r="H14" s="20">
        <f t="shared" si="0"/>
        <v>97.836000000000013</v>
      </c>
      <c r="J14" s="43" t="s">
        <v>1865</v>
      </c>
    </row>
    <row r="15" spans="1:10" x14ac:dyDescent="0.25">
      <c r="A15" s="46" t="s">
        <v>10</v>
      </c>
      <c r="B15" s="3" t="s">
        <v>11</v>
      </c>
      <c r="C15" s="3" t="s">
        <v>46</v>
      </c>
      <c r="D15" s="3">
        <v>6</v>
      </c>
      <c r="E15" s="3" t="s">
        <v>1855</v>
      </c>
      <c r="F15" s="3">
        <v>30</v>
      </c>
      <c r="G15" s="20">
        <f t="shared" si="1"/>
        <v>18.600000000000001</v>
      </c>
      <c r="H15" s="20">
        <f t="shared" si="0"/>
        <v>111.60000000000001</v>
      </c>
      <c r="J15" s="43" t="s">
        <v>1866</v>
      </c>
    </row>
    <row r="16" spans="1:10" x14ac:dyDescent="0.25">
      <c r="A16" s="46" t="s">
        <v>12</v>
      </c>
      <c r="B16" s="3" t="s">
        <v>13</v>
      </c>
      <c r="C16" s="3" t="s">
        <v>47</v>
      </c>
      <c r="D16" s="3">
        <v>6</v>
      </c>
      <c r="E16" s="3" t="s">
        <v>1855</v>
      </c>
      <c r="F16" s="3">
        <v>45.7</v>
      </c>
      <c r="G16" s="20">
        <f t="shared" si="1"/>
        <v>28.334000000000003</v>
      </c>
      <c r="H16" s="20">
        <f t="shared" si="0"/>
        <v>170.00400000000002</v>
      </c>
      <c r="J16" s="43" t="s">
        <v>1867</v>
      </c>
    </row>
    <row r="17" spans="1:10" x14ac:dyDescent="0.25">
      <c r="A17" s="46" t="s">
        <v>14</v>
      </c>
      <c r="B17" s="3" t="s">
        <v>15</v>
      </c>
      <c r="C17" s="3" t="s">
        <v>46</v>
      </c>
      <c r="D17" s="3">
        <v>3</v>
      </c>
      <c r="E17" s="3" t="s">
        <v>1855</v>
      </c>
      <c r="F17" s="3">
        <v>27.2</v>
      </c>
      <c r="G17" s="20">
        <f t="shared" si="1"/>
        <v>16.863999999999997</v>
      </c>
      <c r="H17" s="20">
        <f t="shared" si="0"/>
        <v>50.591999999999992</v>
      </c>
      <c r="J17" s="43" t="s">
        <v>1868</v>
      </c>
    </row>
    <row r="18" spans="1:10" x14ac:dyDescent="0.25">
      <c r="A18" s="46" t="s">
        <v>16</v>
      </c>
      <c r="B18" s="3" t="s">
        <v>17</v>
      </c>
      <c r="C18" s="3" t="s">
        <v>46</v>
      </c>
      <c r="D18" s="3">
        <v>3</v>
      </c>
      <c r="E18" s="3" t="s">
        <v>1855</v>
      </c>
      <c r="F18" s="3">
        <v>24.1</v>
      </c>
      <c r="G18" s="20">
        <f t="shared" si="1"/>
        <v>14.942</v>
      </c>
      <c r="H18" s="20">
        <f t="shared" si="0"/>
        <v>44.826000000000001</v>
      </c>
      <c r="J18" s="43" t="s">
        <v>1869</v>
      </c>
    </row>
    <row r="19" spans="1:10" x14ac:dyDescent="0.25">
      <c r="A19" s="46" t="s">
        <v>18</v>
      </c>
      <c r="B19" s="3" t="s">
        <v>19</v>
      </c>
      <c r="C19" s="3" t="s">
        <v>47</v>
      </c>
      <c r="D19" s="3">
        <v>6</v>
      </c>
      <c r="E19" s="3" t="s">
        <v>1855</v>
      </c>
      <c r="F19" s="3">
        <v>28</v>
      </c>
      <c r="G19" s="20">
        <f t="shared" si="1"/>
        <v>17.36</v>
      </c>
      <c r="H19" s="20">
        <f t="shared" si="0"/>
        <v>104.16</v>
      </c>
      <c r="J19" s="43" t="s">
        <v>19</v>
      </c>
    </row>
    <row r="20" spans="1:10" x14ac:dyDescent="0.25">
      <c r="A20" s="46" t="s">
        <v>20</v>
      </c>
      <c r="B20" s="3" t="s">
        <v>21</v>
      </c>
      <c r="C20" s="3" t="s">
        <v>46</v>
      </c>
      <c r="D20" s="3">
        <v>6</v>
      </c>
      <c r="E20" s="3" t="s">
        <v>1855</v>
      </c>
      <c r="F20" s="3">
        <v>59</v>
      </c>
      <c r="G20" s="20">
        <f t="shared" si="1"/>
        <v>36.58</v>
      </c>
      <c r="H20" s="20">
        <f t="shared" si="0"/>
        <v>219.48</v>
      </c>
      <c r="J20" s="43" t="s">
        <v>1870</v>
      </c>
    </row>
    <row r="21" spans="1:10" x14ac:dyDescent="0.25">
      <c r="A21" s="46" t="s">
        <v>22</v>
      </c>
      <c r="B21" s="3" t="s">
        <v>23</v>
      </c>
      <c r="C21" s="3" t="s">
        <v>46</v>
      </c>
      <c r="D21" s="3">
        <v>3</v>
      </c>
      <c r="E21" s="3" t="s">
        <v>1856</v>
      </c>
      <c r="F21" s="3">
        <v>141.5</v>
      </c>
      <c r="G21" s="20">
        <f t="shared" si="1"/>
        <v>87.72999999999999</v>
      </c>
      <c r="H21" s="20">
        <f t="shared" si="0"/>
        <v>263.18999999999994</v>
      </c>
      <c r="J21" s="43" t="s">
        <v>1871</v>
      </c>
    </row>
    <row r="22" spans="1:10" x14ac:dyDescent="0.25">
      <c r="A22" s="46" t="s">
        <v>24</v>
      </c>
      <c r="B22" s="3" t="s">
        <v>25</v>
      </c>
      <c r="C22" s="3" t="s">
        <v>46</v>
      </c>
      <c r="D22" s="3">
        <v>3</v>
      </c>
      <c r="E22" s="3" t="s">
        <v>1856</v>
      </c>
      <c r="F22" s="3">
        <v>84</v>
      </c>
      <c r="G22" s="20">
        <f t="shared" si="1"/>
        <v>52.08</v>
      </c>
      <c r="H22" s="20">
        <f t="shared" si="0"/>
        <v>156.24</v>
      </c>
      <c r="J22" s="43" t="s">
        <v>1872</v>
      </c>
    </row>
    <row r="23" spans="1:10" x14ac:dyDescent="0.25">
      <c r="A23" s="46" t="s">
        <v>26</v>
      </c>
      <c r="B23" s="3" t="s">
        <v>27</v>
      </c>
      <c r="C23" s="3" t="s">
        <v>46</v>
      </c>
      <c r="D23" s="3">
        <v>3</v>
      </c>
      <c r="E23" s="3" t="s">
        <v>1855</v>
      </c>
      <c r="F23" s="3">
        <v>6.81</v>
      </c>
      <c r="G23" s="20">
        <f t="shared" si="1"/>
        <v>4.2221999999999991</v>
      </c>
      <c r="H23" s="20">
        <f t="shared" si="0"/>
        <v>12.666599999999997</v>
      </c>
      <c r="J23" s="43" t="s">
        <v>1873</v>
      </c>
    </row>
    <row r="24" spans="1:10" x14ac:dyDescent="0.25">
      <c r="A24" s="46" t="s">
        <v>28</v>
      </c>
      <c r="B24" s="3" t="s">
        <v>29</v>
      </c>
      <c r="C24" s="3" t="s">
        <v>46</v>
      </c>
      <c r="D24" s="3">
        <v>3</v>
      </c>
      <c r="E24" s="3" t="s">
        <v>1855</v>
      </c>
      <c r="F24" s="3">
        <v>25.7</v>
      </c>
      <c r="G24" s="20">
        <f t="shared" si="1"/>
        <v>15.933999999999999</v>
      </c>
      <c r="H24" s="20">
        <f t="shared" si="0"/>
        <v>47.802</v>
      </c>
      <c r="J24" s="43" t="s">
        <v>29</v>
      </c>
    </row>
    <row r="25" spans="1:10" x14ac:dyDescent="0.25">
      <c r="A25" s="46" t="s">
        <v>30</v>
      </c>
      <c r="B25" s="3" t="s">
        <v>31</v>
      </c>
      <c r="C25" s="3" t="s">
        <v>46</v>
      </c>
      <c r="D25" s="3">
        <v>3</v>
      </c>
      <c r="E25" s="3" t="s">
        <v>1855</v>
      </c>
      <c r="F25" s="3">
        <v>24.3</v>
      </c>
      <c r="G25" s="20">
        <f t="shared" si="1"/>
        <v>15.066000000000001</v>
      </c>
      <c r="H25" s="20">
        <f t="shared" si="0"/>
        <v>45.198</v>
      </c>
      <c r="J25" s="43" t="s">
        <v>1874</v>
      </c>
    </row>
    <row r="26" spans="1:10" x14ac:dyDescent="0.25">
      <c r="A26" s="46" t="s">
        <v>32</v>
      </c>
      <c r="B26" s="3" t="s">
        <v>33</v>
      </c>
      <c r="C26" s="3" t="s">
        <v>46</v>
      </c>
      <c r="D26" s="3">
        <v>3</v>
      </c>
      <c r="E26" s="3" t="s">
        <v>1855</v>
      </c>
      <c r="F26" s="3">
        <v>10.6</v>
      </c>
      <c r="G26" s="20">
        <f t="shared" si="1"/>
        <v>6.5720000000000001</v>
      </c>
      <c r="H26" s="20">
        <f t="shared" si="0"/>
        <v>19.716000000000001</v>
      </c>
      <c r="J26" s="43" t="s">
        <v>33</v>
      </c>
    </row>
    <row r="27" spans="1:10" x14ac:dyDescent="0.25">
      <c r="A27" s="46" t="s">
        <v>34</v>
      </c>
      <c r="B27" s="3" t="s">
        <v>35</v>
      </c>
      <c r="C27" s="3" t="s">
        <v>46</v>
      </c>
      <c r="D27" s="3">
        <v>6</v>
      </c>
      <c r="E27" s="3" t="s">
        <v>1855</v>
      </c>
      <c r="F27" s="3">
        <v>57.2</v>
      </c>
      <c r="G27" s="20">
        <f t="shared" si="1"/>
        <v>35.463999999999999</v>
      </c>
      <c r="H27" s="20">
        <f t="shared" si="0"/>
        <v>212.78399999999999</v>
      </c>
      <c r="J27" s="43" t="s">
        <v>1875</v>
      </c>
    </row>
    <row r="28" spans="1:10" x14ac:dyDescent="0.25">
      <c r="A28" s="46" t="s">
        <v>36</v>
      </c>
      <c r="B28" s="3" t="s">
        <v>37</v>
      </c>
      <c r="C28" s="3" t="s">
        <v>46</v>
      </c>
      <c r="D28" s="3">
        <v>3</v>
      </c>
      <c r="E28" s="3" t="s">
        <v>1855</v>
      </c>
      <c r="F28" s="3">
        <v>37.6</v>
      </c>
      <c r="G28" s="20">
        <f t="shared" si="1"/>
        <v>23.312000000000001</v>
      </c>
      <c r="H28" s="20">
        <f t="shared" si="0"/>
        <v>69.936000000000007</v>
      </c>
      <c r="J28" s="43" t="s">
        <v>37</v>
      </c>
    </row>
    <row r="29" spans="1:10" x14ac:dyDescent="0.25">
      <c r="A29" s="46" t="s">
        <v>38</v>
      </c>
      <c r="B29" s="3" t="s">
        <v>39</v>
      </c>
      <c r="C29" s="3" t="s">
        <v>46</v>
      </c>
      <c r="D29" s="3">
        <v>3</v>
      </c>
      <c r="E29" s="3" t="s">
        <v>1855</v>
      </c>
      <c r="F29" s="3">
        <v>392</v>
      </c>
      <c r="G29" s="20">
        <f t="shared" si="1"/>
        <v>243.04</v>
      </c>
      <c r="H29" s="20">
        <f t="shared" si="0"/>
        <v>729.12</v>
      </c>
      <c r="J29" s="43" t="s">
        <v>1876</v>
      </c>
    </row>
    <row r="30" spans="1:10" x14ac:dyDescent="0.25">
      <c r="A30" s="46" t="s">
        <v>40</v>
      </c>
      <c r="B30" s="3" t="s">
        <v>41</v>
      </c>
      <c r="C30" s="3" t="s">
        <v>46</v>
      </c>
      <c r="D30" s="3">
        <v>3</v>
      </c>
      <c r="E30" s="3" t="s">
        <v>1855</v>
      </c>
      <c r="F30" s="3">
        <v>367.5</v>
      </c>
      <c r="G30" s="20">
        <f t="shared" si="1"/>
        <v>227.85</v>
      </c>
      <c r="H30" s="20">
        <f t="shared" si="0"/>
        <v>683.55</v>
      </c>
      <c r="J30" s="43" t="s">
        <v>1877</v>
      </c>
    </row>
    <row r="31" spans="1:10" x14ac:dyDescent="0.25">
      <c r="A31" s="46" t="s">
        <v>42</v>
      </c>
      <c r="B31" s="3" t="s">
        <v>43</v>
      </c>
      <c r="C31" s="3" t="s">
        <v>46</v>
      </c>
      <c r="D31" s="3">
        <v>3</v>
      </c>
      <c r="E31" s="3" t="s">
        <v>1855</v>
      </c>
      <c r="F31" s="3">
        <v>173</v>
      </c>
      <c r="G31" s="20">
        <f t="shared" si="1"/>
        <v>107.26</v>
      </c>
      <c r="H31" s="20">
        <f t="shared" si="0"/>
        <v>321.78000000000003</v>
      </c>
      <c r="J31" s="43" t="s">
        <v>1878</v>
      </c>
    </row>
    <row r="32" spans="1:10" x14ac:dyDescent="0.25">
      <c r="A32" s="46" t="s">
        <v>44</v>
      </c>
      <c r="B32" s="3" t="s">
        <v>45</v>
      </c>
      <c r="C32" s="3" t="s">
        <v>46</v>
      </c>
      <c r="D32" s="3">
        <v>3</v>
      </c>
      <c r="E32" s="3" t="s">
        <v>1855</v>
      </c>
      <c r="F32" s="3">
        <v>117.5</v>
      </c>
      <c r="G32" s="20">
        <f t="shared" si="1"/>
        <v>72.849999999999994</v>
      </c>
      <c r="H32" s="20">
        <f t="shared" si="0"/>
        <v>218.54999999999998</v>
      </c>
      <c r="J32" s="43" t="s">
        <v>1879</v>
      </c>
    </row>
    <row r="33" spans="1:11" ht="15.75" x14ac:dyDescent="0.25">
      <c r="A33" s="47" t="s">
        <v>1791</v>
      </c>
      <c r="B33" s="28" t="s">
        <v>1792</v>
      </c>
      <c r="C33" s="28" t="s">
        <v>46</v>
      </c>
      <c r="D33" s="3">
        <v>3</v>
      </c>
      <c r="E33" s="3" t="s">
        <v>1856</v>
      </c>
      <c r="F33" s="3">
        <v>296.5</v>
      </c>
      <c r="G33" s="20">
        <f t="shared" si="1"/>
        <v>183.82999999999998</v>
      </c>
      <c r="H33" s="20">
        <f t="shared" si="0"/>
        <v>551.49</v>
      </c>
      <c r="J33" s="43" t="s">
        <v>1880</v>
      </c>
    </row>
    <row r="34" spans="1:11" ht="15.75" x14ac:dyDescent="0.25">
      <c r="A34" s="47" t="s">
        <v>1793</v>
      </c>
      <c r="B34" s="28" t="s">
        <v>1794</v>
      </c>
      <c r="C34" s="28" t="s">
        <v>46</v>
      </c>
      <c r="D34" s="3">
        <v>3</v>
      </c>
      <c r="E34" s="3" t="s">
        <v>1855</v>
      </c>
      <c r="F34" s="3">
        <v>96.6</v>
      </c>
      <c r="G34" s="20">
        <f t="shared" si="1"/>
        <v>59.891999999999996</v>
      </c>
      <c r="H34" s="20">
        <f t="shared" si="0"/>
        <v>179.67599999999999</v>
      </c>
      <c r="J34" s="43" t="s">
        <v>1881</v>
      </c>
    </row>
    <row r="35" spans="1:11" s="5" customFormat="1" ht="24" customHeight="1" x14ac:dyDescent="0.25">
      <c r="A35" s="51"/>
      <c r="B35" s="6" t="s">
        <v>48</v>
      </c>
      <c r="C35" s="4"/>
      <c r="D35" s="29"/>
      <c r="E35" s="4"/>
      <c r="F35" s="4"/>
      <c r="G35" s="4"/>
      <c r="H35" s="19"/>
      <c r="J35" s="43"/>
      <c r="K35" s="5" t="e">
        <f>VLOOKUP(A10:A1691,'[2]FSC EGYPT Martin'!$B:$D+'[2]FSC EGYPT Martin'!$B:$C,2,0)</f>
        <v>#VALUE!</v>
      </c>
    </row>
    <row r="36" spans="1:11" x14ac:dyDescent="0.25">
      <c r="A36" s="46" t="s">
        <v>4</v>
      </c>
      <c r="B36" s="3" t="s">
        <v>5</v>
      </c>
      <c r="C36" s="3" t="s">
        <v>46</v>
      </c>
      <c r="D36" s="3">
        <v>12</v>
      </c>
      <c r="E36" s="3" t="s">
        <v>1855</v>
      </c>
      <c r="F36" s="3">
        <v>27.1</v>
      </c>
      <c r="G36" s="20">
        <f t="shared" si="1"/>
        <v>16.802</v>
      </c>
      <c r="H36" s="20">
        <f t="shared" ref="H36:H43" si="2">G36*D36</f>
        <v>201.624</v>
      </c>
      <c r="J36" s="43" t="s">
        <v>1863</v>
      </c>
    </row>
    <row r="37" spans="1:11" x14ac:dyDescent="0.25">
      <c r="A37" s="46" t="s">
        <v>26</v>
      </c>
      <c r="B37" s="3" t="s">
        <v>27</v>
      </c>
      <c r="C37" s="3" t="s">
        <v>46</v>
      </c>
      <c r="D37" s="3">
        <v>3</v>
      </c>
      <c r="E37" s="3" t="s">
        <v>1855</v>
      </c>
      <c r="F37" s="3">
        <v>6.81</v>
      </c>
      <c r="G37" s="20">
        <f t="shared" si="1"/>
        <v>4.2221999999999991</v>
      </c>
      <c r="H37" s="20">
        <f t="shared" si="2"/>
        <v>12.666599999999997</v>
      </c>
      <c r="J37" s="43" t="s">
        <v>1873</v>
      </c>
    </row>
    <row r="38" spans="1:11" x14ac:dyDescent="0.25">
      <c r="A38" s="46" t="s">
        <v>30</v>
      </c>
      <c r="B38" s="3" t="s">
        <v>31</v>
      </c>
      <c r="C38" s="3" t="s">
        <v>46</v>
      </c>
      <c r="D38" s="3">
        <v>3</v>
      </c>
      <c r="E38" s="3" t="s">
        <v>1855</v>
      </c>
      <c r="F38" s="3">
        <v>24.3</v>
      </c>
      <c r="G38" s="20">
        <f t="shared" si="1"/>
        <v>15.066000000000001</v>
      </c>
      <c r="H38" s="20">
        <f t="shared" si="2"/>
        <v>45.198</v>
      </c>
      <c r="J38" s="43" t="s">
        <v>1874</v>
      </c>
    </row>
    <row r="39" spans="1:11" x14ac:dyDescent="0.25">
      <c r="A39" s="46" t="s">
        <v>28</v>
      </c>
      <c r="B39" s="3" t="s">
        <v>29</v>
      </c>
      <c r="C39" s="3" t="s">
        <v>46</v>
      </c>
      <c r="D39" s="3">
        <v>3</v>
      </c>
      <c r="E39" s="3" t="s">
        <v>1855</v>
      </c>
      <c r="F39" s="3">
        <v>25.7</v>
      </c>
      <c r="G39" s="20">
        <f t="shared" si="1"/>
        <v>15.933999999999999</v>
      </c>
      <c r="H39" s="20">
        <f t="shared" si="2"/>
        <v>47.802</v>
      </c>
      <c r="J39" s="43" t="s">
        <v>29</v>
      </c>
    </row>
    <row r="40" spans="1:11" x14ac:dyDescent="0.25">
      <c r="A40" s="46" t="s">
        <v>16</v>
      </c>
      <c r="B40" s="3" t="s">
        <v>17</v>
      </c>
      <c r="C40" s="3" t="s">
        <v>46</v>
      </c>
      <c r="D40" s="3">
        <v>3</v>
      </c>
      <c r="E40" s="3" t="s">
        <v>1855</v>
      </c>
      <c r="F40" s="3">
        <v>24.1</v>
      </c>
      <c r="G40" s="20">
        <f t="shared" si="1"/>
        <v>14.942</v>
      </c>
      <c r="H40" s="20">
        <f t="shared" si="2"/>
        <v>44.826000000000001</v>
      </c>
      <c r="J40" s="43" t="s">
        <v>1869</v>
      </c>
    </row>
    <row r="41" spans="1:11" x14ac:dyDescent="0.25">
      <c r="A41" s="46" t="s">
        <v>8</v>
      </c>
      <c r="B41" s="3" t="s">
        <v>9</v>
      </c>
      <c r="C41" s="3" t="s">
        <v>46</v>
      </c>
      <c r="D41" s="3">
        <v>6</v>
      </c>
      <c r="E41" s="3" t="s">
        <v>1855</v>
      </c>
      <c r="F41" s="3">
        <v>26.3</v>
      </c>
      <c r="G41" s="20">
        <f t="shared" si="1"/>
        <v>16.306000000000001</v>
      </c>
      <c r="H41" s="20">
        <f t="shared" si="2"/>
        <v>97.836000000000013</v>
      </c>
      <c r="J41" s="43" t="s">
        <v>1865</v>
      </c>
    </row>
    <row r="42" spans="1:11" x14ac:dyDescent="0.25">
      <c r="A42" s="46" t="s">
        <v>1791</v>
      </c>
      <c r="B42" s="3" t="s">
        <v>1792</v>
      </c>
      <c r="C42" s="3" t="s">
        <v>46</v>
      </c>
      <c r="D42" s="3">
        <v>3</v>
      </c>
      <c r="E42" s="3" t="s">
        <v>1856</v>
      </c>
      <c r="F42" s="3">
        <v>296.5</v>
      </c>
      <c r="G42" s="20">
        <f t="shared" si="1"/>
        <v>183.82999999999998</v>
      </c>
      <c r="H42" s="20">
        <f t="shared" si="2"/>
        <v>551.49</v>
      </c>
      <c r="J42" s="43" t="s">
        <v>1880</v>
      </c>
    </row>
    <row r="43" spans="1:11" x14ac:dyDescent="0.25">
      <c r="A43" s="46" t="s">
        <v>1793</v>
      </c>
      <c r="B43" s="3" t="s">
        <v>1794</v>
      </c>
      <c r="C43" s="3" t="s">
        <v>46</v>
      </c>
      <c r="D43" s="3">
        <v>3</v>
      </c>
      <c r="E43" s="3" t="s">
        <v>1855</v>
      </c>
      <c r="F43" s="3">
        <v>96.6</v>
      </c>
      <c r="G43" s="20">
        <f t="shared" si="1"/>
        <v>59.891999999999996</v>
      </c>
      <c r="H43" s="20">
        <f t="shared" si="2"/>
        <v>179.67599999999999</v>
      </c>
      <c r="J43" s="43" t="s">
        <v>1881</v>
      </c>
    </row>
    <row r="44" spans="1:11" s="5" customFormat="1" ht="29.1" customHeight="1" x14ac:dyDescent="0.25">
      <c r="A44" s="51"/>
      <c r="B44" s="6" t="s">
        <v>125</v>
      </c>
      <c r="C44" s="4"/>
      <c r="D44" s="29"/>
      <c r="E44" s="4"/>
      <c r="F44" s="4"/>
      <c r="G44" s="4"/>
      <c r="H44" s="19"/>
      <c r="J44" s="43"/>
    </row>
    <row r="45" spans="1:11" x14ac:dyDescent="0.25">
      <c r="A45" s="46" t="s">
        <v>30</v>
      </c>
      <c r="B45" s="3" t="s">
        <v>31</v>
      </c>
      <c r="C45" s="3" t="s">
        <v>46</v>
      </c>
      <c r="D45" s="3">
        <v>20</v>
      </c>
      <c r="E45" s="3" t="s">
        <v>1855</v>
      </c>
      <c r="F45" s="3">
        <v>24.3</v>
      </c>
      <c r="G45" s="20">
        <f t="shared" si="1"/>
        <v>15.066000000000001</v>
      </c>
      <c r="H45" s="20">
        <f t="shared" ref="H45:H95" si="3">G45*D45</f>
        <v>301.32</v>
      </c>
      <c r="J45" s="43" t="s">
        <v>1874</v>
      </c>
    </row>
    <row r="46" spans="1:11" x14ac:dyDescent="0.25">
      <c r="A46" s="46" t="s">
        <v>49</v>
      </c>
      <c r="B46" s="3" t="s">
        <v>50</v>
      </c>
      <c r="C46" s="3" t="s">
        <v>47</v>
      </c>
      <c r="D46" s="3">
        <v>5</v>
      </c>
      <c r="E46" s="3" t="s">
        <v>1855</v>
      </c>
      <c r="F46" s="3">
        <v>126.5</v>
      </c>
      <c r="G46" s="20">
        <f t="shared" si="1"/>
        <v>78.430000000000007</v>
      </c>
      <c r="H46" s="20">
        <f t="shared" si="3"/>
        <v>392.15000000000003</v>
      </c>
      <c r="J46" s="43" t="s">
        <v>1882</v>
      </c>
    </row>
    <row r="47" spans="1:11" x14ac:dyDescent="0.25">
      <c r="A47" s="46" t="s">
        <v>51</v>
      </c>
      <c r="B47" s="3" t="s">
        <v>52</v>
      </c>
      <c r="C47" s="3" t="s">
        <v>46</v>
      </c>
      <c r="D47" s="3">
        <v>5</v>
      </c>
      <c r="E47" s="3" t="s">
        <v>1855</v>
      </c>
      <c r="F47" s="3">
        <v>20.100000000000001</v>
      </c>
      <c r="G47" s="20">
        <f t="shared" si="1"/>
        <v>12.462</v>
      </c>
      <c r="H47" s="20">
        <f t="shared" si="3"/>
        <v>62.31</v>
      </c>
      <c r="J47" s="43" t="s">
        <v>1883</v>
      </c>
    </row>
    <row r="48" spans="1:11" x14ac:dyDescent="0.25">
      <c r="A48" s="46" t="s">
        <v>26</v>
      </c>
      <c r="B48" s="3" t="s">
        <v>27</v>
      </c>
      <c r="C48" s="3" t="s">
        <v>46</v>
      </c>
      <c r="D48" s="3">
        <v>5</v>
      </c>
      <c r="E48" s="3" t="s">
        <v>1855</v>
      </c>
      <c r="F48" s="3">
        <v>6.81</v>
      </c>
      <c r="G48" s="20">
        <f t="shared" si="1"/>
        <v>4.2221999999999991</v>
      </c>
      <c r="H48" s="20">
        <f t="shared" si="3"/>
        <v>21.110999999999997</v>
      </c>
      <c r="J48" s="43" t="s">
        <v>1873</v>
      </c>
    </row>
    <row r="49" spans="1:10" x14ac:dyDescent="0.25">
      <c r="A49" s="46" t="s">
        <v>53</v>
      </c>
      <c r="B49" s="3" t="s">
        <v>54</v>
      </c>
      <c r="C49" s="3" t="s">
        <v>46</v>
      </c>
      <c r="D49" s="3">
        <v>30</v>
      </c>
      <c r="E49" s="3" t="s">
        <v>1855</v>
      </c>
      <c r="F49" s="3">
        <v>55.6</v>
      </c>
      <c r="G49" s="20">
        <f t="shared" si="1"/>
        <v>34.472000000000001</v>
      </c>
      <c r="H49" s="20">
        <f t="shared" si="3"/>
        <v>1034.1600000000001</v>
      </c>
      <c r="J49" s="43" t="s">
        <v>1884</v>
      </c>
    </row>
    <row r="50" spans="1:10" x14ac:dyDescent="0.25">
      <c r="A50" s="46" t="s">
        <v>55</v>
      </c>
      <c r="B50" s="3" t="s">
        <v>56</v>
      </c>
      <c r="C50" s="3" t="s">
        <v>47</v>
      </c>
      <c r="D50" s="3">
        <v>30</v>
      </c>
      <c r="E50" s="3" t="s">
        <v>1855</v>
      </c>
      <c r="F50" s="3">
        <v>23.9</v>
      </c>
      <c r="G50" s="20">
        <f t="shared" si="1"/>
        <v>14.818</v>
      </c>
      <c r="H50" s="20">
        <f t="shared" si="3"/>
        <v>444.53999999999996</v>
      </c>
      <c r="J50" s="43" t="s">
        <v>1885</v>
      </c>
    </row>
    <row r="51" spans="1:10" x14ac:dyDescent="0.25">
      <c r="A51" s="46" t="s">
        <v>57</v>
      </c>
      <c r="B51" s="3" t="s">
        <v>58</v>
      </c>
      <c r="C51" s="3" t="s">
        <v>47</v>
      </c>
      <c r="D51" s="3">
        <v>20</v>
      </c>
      <c r="E51" s="3" t="s">
        <v>1855</v>
      </c>
      <c r="F51" s="3">
        <v>22.4</v>
      </c>
      <c r="G51" s="20">
        <f t="shared" si="1"/>
        <v>13.888</v>
      </c>
      <c r="H51" s="20">
        <f t="shared" si="3"/>
        <v>277.76</v>
      </c>
      <c r="J51" s="43" t="s">
        <v>1886</v>
      </c>
    </row>
    <row r="52" spans="1:10" x14ac:dyDescent="0.25">
      <c r="A52" s="46" t="s">
        <v>59</v>
      </c>
      <c r="B52" s="3" t="s">
        <v>60</v>
      </c>
      <c r="C52" s="3" t="s">
        <v>47</v>
      </c>
      <c r="D52" s="3">
        <v>20</v>
      </c>
      <c r="E52" s="3" t="s">
        <v>1855</v>
      </c>
      <c r="F52" s="3">
        <v>75.3</v>
      </c>
      <c r="G52" s="20">
        <f t="shared" si="1"/>
        <v>46.685999999999993</v>
      </c>
      <c r="H52" s="20">
        <f t="shared" si="3"/>
        <v>933.7199999999998</v>
      </c>
      <c r="J52" s="43" t="s">
        <v>1887</v>
      </c>
    </row>
    <row r="53" spans="1:10" x14ac:dyDescent="0.25">
      <c r="A53" s="46" t="s">
        <v>4</v>
      </c>
      <c r="B53" s="3" t="s">
        <v>5</v>
      </c>
      <c r="C53" s="3" t="s">
        <v>46</v>
      </c>
      <c r="D53" s="3">
        <v>10</v>
      </c>
      <c r="E53" s="3" t="s">
        <v>1855</v>
      </c>
      <c r="F53" s="3">
        <v>27.1</v>
      </c>
      <c r="G53" s="20">
        <f t="shared" si="1"/>
        <v>16.802</v>
      </c>
      <c r="H53" s="20">
        <f t="shared" si="3"/>
        <v>168.01999999999998</v>
      </c>
      <c r="J53" s="43" t="s">
        <v>1863</v>
      </c>
    </row>
    <row r="54" spans="1:10" x14ac:dyDescent="0.25">
      <c r="A54" s="46" t="s">
        <v>6</v>
      </c>
      <c r="B54" s="3" t="s">
        <v>7</v>
      </c>
      <c r="C54" s="3" t="s">
        <v>46</v>
      </c>
      <c r="D54" s="3">
        <v>10</v>
      </c>
      <c r="E54" s="3" t="s">
        <v>1855</v>
      </c>
      <c r="F54" s="3">
        <v>30.4</v>
      </c>
      <c r="G54" s="20">
        <f t="shared" si="1"/>
        <v>18.847999999999999</v>
      </c>
      <c r="H54" s="20">
        <f t="shared" si="3"/>
        <v>188.48</v>
      </c>
      <c r="J54" s="43" t="s">
        <v>1864</v>
      </c>
    </row>
    <row r="55" spans="1:10" x14ac:dyDescent="0.25">
      <c r="A55" s="46" t="s">
        <v>61</v>
      </c>
      <c r="B55" s="3" t="s">
        <v>62</v>
      </c>
      <c r="C55" s="3" t="s">
        <v>46</v>
      </c>
      <c r="D55" s="3">
        <v>10</v>
      </c>
      <c r="E55" s="3" t="s">
        <v>1855</v>
      </c>
      <c r="F55" s="3">
        <v>62.8</v>
      </c>
      <c r="G55" s="20">
        <f t="shared" si="1"/>
        <v>38.935999999999993</v>
      </c>
      <c r="H55" s="20">
        <f t="shared" si="3"/>
        <v>389.3599999999999</v>
      </c>
      <c r="J55" s="43" t="s">
        <v>1888</v>
      </c>
    </row>
    <row r="56" spans="1:10" x14ac:dyDescent="0.25">
      <c r="A56" s="46" t="s">
        <v>63</v>
      </c>
      <c r="B56" s="3" t="s">
        <v>64</v>
      </c>
      <c r="C56" s="3" t="s">
        <v>47</v>
      </c>
      <c r="D56" s="3">
        <v>5</v>
      </c>
      <c r="E56" s="3" t="s">
        <v>1855</v>
      </c>
      <c r="F56" s="3">
        <v>86.3</v>
      </c>
      <c r="G56" s="20">
        <f t="shared" si="1"/>
        <v>53.506</v>
      </c>
      <c r="H56" s="20">
        <f t="shared" si="3"/>
        <v>267.52999999999997</v>
      </c>
      <c r="J56" s="43" t="s">
        <v>1889</v>
      </c>
    </row>
    <row r="57" spans="1:10" x14ac:dyDescent="0.25">
      <c r="A57" s="46" t="s">
        <v>65</v>
      </c>
      <c r="B57" s="3" t="s">
        <v>66</v>
      </c>
      <c r="C57" s="3" t="s">
        <v>46</v>
      </c>
      <c r="D57" s="3">
        <v>10</v>
      </c>
      <c r="E57" s="3" t="s">
        <v>1855</v>
      </c>
      <c r="F57" s="3">
        <v>70.8</v>
      </c>
      <c r="G57" s="20">
        <f t="shared" si="1"/>
        <v>43.896000000000001</v>
      </c>
      <c r="H57" s="20">
        <f t="shared" si="3"/>
        <v>438.96000000000004</v>
      </c>
      <c r="J57" s="43" t="s">
        <v>1890</v>
      </c>
    </row>
    <row r="58" spans="1:10" x14ac:dyDescent="0.25">
      <c r="A58" s="46" t="s">
        <v>67</v>
      </c>
      <c r="B58" s="3" t="s">
        <v>68</v>
      </c>
      <c r="C58" s="3" t="s">
        <v>47</v>
      </c>
      <c r="D58" s="3">
        <v>5</v>
      </c>
      <c r="E58" s="3" t="s">
        <v>1855</v>
      </c>
      <c r="F58" s="3">
        <v>140</v>
      </c>
      <c r="G58" s="20">
        <f t="shared" si="1"/>
        <v>86.8</v>
      </c>
      <c r="H58" s="20">
        <f t="shared" si="3"/>
        <v>434</v>
      </c>
      <c r="J58" s="43" t="s">
        <v>1891</v>
      </c>
    </row>
    <row r="59" spans="1:10" x14ac:dyDescent="0.25">
      <c r="A59" s="46" t="s">
        <v>69</v>
      </c>
      <c r="B59" s="3" t="s">
        <v>70</v>
      </c>
      <c r="C59" s="3" t="s">
        <v>47</v>
      </c>
      <c r="D59" s="3">
        <v>5</v>
      </c>
      <c r="E59" s="3" t="s">
        <v>1855</v>
      </c>
      <c r="F59" s="3">
        <v>72.099999999999994</v>
      </c>
      <c r="G59" s="20">
        <f t="shared" si="1"/>
        <v>44.701999999999998</v>
      </c>
      <c r="H59" s="20">
        <f t="shared" si="3"/>
        <v>223.51</v>
      </c>
      <c r="J59" s="43" t="s">
        <v>1892</v>
      </c>
    </row>
    <row r="60" spans="1:10" x14ac:dyDescent="0.25">
      <c r="A60" s="46" t="s">
        <v>71</v>
      </c>
      <c r="B60" s="3" t="s">
        <v>72</v>
      </c>
      <c r="C60" s="3" t="s">
        <v>46</v>
      </c>
      <c r="D60" s="3">
        <v>5</v>
      </c>
      <c r="E60" s="3" t="s">
        <v>1855</v>
      </c>
      <c r="F60" s="3">
        <v>77.099999999999994</v>
      </c>
      <c r="G60" s="20">
        <f t="shared" si="1"/>
        <v>47.801999999999992</v>
      </c>
      <c r="H60" s="20">
        <f t="shared" si="3"/>
        <v>239.00999999999996</v>
      </c>
      <c r="J60" s="43" t="s">
        <v>1893</v>
      </c>
    </row>
    <row r="61" spans="1:10" x14ac:dyDescent="0.25">
      <c r="A61" s="46" t="s">
        <v>18</v>
      </c>
      <c r="B61" s="3" t="s">
        <v>19</v>
      </c>
      <c r="C61" s="3" t="s">
        <v>47</v>
      </c>
      <c r="D61" s="3">
        <v>10</v>
      </c>
      <c r="E61" s="3" t="s">
        <v>1855</v>
      </c>
      <c r="F61" s="3">
        <v>28</v>
      </c>
      <c r="G61" s="20">
        <f t="shared" si="1"/>
        <v>17.36</v>
      </c>
      <c r="H61" s="20">
        <f t="shared" si="3"/>
        <v>173.6</v>
      </c>
      <c r="J61" s="43" t="s">
        <v>19</v>
      </c>
    </row>
    <row r="62" spans="1:10" x14ac:dyDescent="0.25">
      <c r="A62" s="46" t="s">
        <v>73</v>
      </c>
      <c r="B62" s="3" t="s">
        <v>74</v>
      </c>
      <c r="C62" s="3" t="s">
        <v>46</v>
      </c>
      <c r="D62" s="3">
        <v>10</v>
      </c>
      <c r="E62" s="3" t="s">
        <v>1855</v>
      </c>
      <c r="F62" s="3">
        <v>30</v>
      </c>
      <c r="G62" s="20">
        <f t="shared" si="1"/>
        <v>18.600000000000001</v>
      </c>
      <c r="H62" s="20">
        <f t="shared" si="3"/>
        <v>186</v>
      </c>
      <c r="J62" s="43" t="s">
        <v>74</v>
      </c>
    </row>
    <row r="63" spans="1:10" x14ac:dyDescent="0.25">
      <c r="A63" s="46" t="s">
        <v>75</v>
      </c>
      <c r="B63" s="3" t="s">
        <v>76</v>
      </c>
      <c r="C63" s="3" t="s">
        <v>46</v>
      </c>
      <c r="D63" s="3">
        <v>10</v>
      </c>
      <c r="E63" s="3" t="s">
        <v>1855</v>
      </c>
      <c r="F63" s="3">
        <v>161</v>
      </c>
      <c r="G63" s="20">
        <f t="shared" si="1"/>
        <v>99.82</v>
      </c>
      <c r="H63" s="20">
        <f t="shared" si="3"/>
        <v>998.19999999999993</v>
      </c>
      <c r="J63" s="43" t="s">
        <v>1894</v>
      </c>
    </row>
    <row r="64" spans="1:10" x14ac:dyDescent="0.25">
      <c r="A64" s="46" t="s">
        <v>77</v>
      </c>
      <c r="B64" s="3" t="s">
        <v>78</v>
      </c>
      <c r="C64" s="3" t="s">
        <v>46</v>
      </c>
      <c r="D64" s="3">
        <v>10</v>
      </c>
      <c r="E64" s="3" t="s">
        <v>1855</v>
      </c>
      <c r="F64" s="3">
        <v>179.5</v>
      </c>
      <c r="G64" s="20">
        <f t="shared" si="1"/>
        <v>111.29</v>
      </c>
      <c r="H64" s="20">
        <f t="shared" si="3"/>
        <v>1112.9000000000001</v>
      </c>
      <c r="J64" s="43" t="s">
        <v>78</v>
      </c>
    </row>
    <row r="65" spans="1:10" x14ac:dyDescent="0.25">
      <c r="A65" s="46" t="s">
        <v>79</v>
      </c>
      <c r="B65" s="3" t="s">
        <v>80</v>
      </c>
      <c r="C65" s="3" t="s">
        <v>46</v>
      </c>
      <c r="D65" s="3">
        <v>5</v>
      </c>
      <c r="E65" s="3" t="s">
        <v>1855</v>
      </c>
      <c r="F65" s="3">
        <v>313</v>
      </c>
      <c r="G65" s="20">
        <f t="shared" si="1"/>
        <v>194.06</v>
      </c>
      <c r="H65" s="20">
        <f t="shared" si="3"/>
        <v>970.3</v>
      </c>
      <c r="J65" s="43" t="s">
        <v>1895</v>
      </c>
    </row>
    <row r="66" spans="1:10" x14ac:dyDescent="0.25">
      <c r="A66" s="46" t="s">
        <v>81</v>
      </c>
      <c r="B66" s="3" t="s">
        <v>82</v>
      </c>
      <c r="C66" s="3" t="s">
        <v>47</v>
      </c>
      <c r="D66" s="3">
        <v>5</v>
      </c>
      <c r="E66" s="3" t="s">
        <v>1855</v>
      </c>
      <c r="F66" s="3">
        <v>224.5</v>
      </c>
      <c r="G66" s="20">
        <f t="shared" si="1"/>
        <v>139.19</v>
      </c>
      <c r="H66" s="20">
        <f t="shared" si="3"/>
        <v>695.95</v>
      </c>
      <c r="J66" s="43" t="s">
        <v>1896</v>
      </c>
    </row>
    <row r="67" spans="1:10" x14ac:dyDescent="0.25">
      <c r="A67" s="46" t="s">
        <v>83</v>
      </c>
      <c r="B67" s="3" t="s">
        <v>84</v>
      </c>
      <c r="C67" s="3" t="s">
        <v>46</v>
      </c>
      <c r="D67" s="3">
        <v>10</v>
      </c>
      <c r="E67" s="3" t="s">
        <v>1855</v>
      </c>
      <c r="F67" s="3">
        <v>192.5</v>
      </c>
      <c r="G67" s="20">
        <f t="shared" si="1"/>
        <v>119.35</v>
      </c>
      <c r="H67" s="20">
        <f t="shared" si="3"/>
        <v>1193.5</v>
      </c>
      <c r="J67" s="43" t="s">
        <v>1897</v>
      </c>
    </row>
    <row r="68" spans="1:10" x14ac:dyDescent="0.25">
      <c r="A68" s="46" t="s">
        <v>85</v>
      </c>
      <c r="B68" s="3" t="s">
        <v>86</v>
      </c>
      <c r="C68" s="3" t="s">
        <v>46</v>
      </c>
      <c r="D68" s="3">
        <v>5</v>
      </c>
      <c r="E68" s="3" t="s">
        <v>1855</v>
      </c>
      <c r="F68" s="3">
        <v>79</v>
      </c>
      <c r="G68" s="20">
        <f t="shared" si="1"/>
        <v>48.980000000000004</v>
      </c>
      <c r="H68" s="20">
        <f t="shared" si="3"/>
        <v>244.90000000000003</v>
      </c>
      <c r="J68" s="43" t="s">
        <v>1898</v>
      </c>
    </row>
    <row r="69" spans="1:10" x14ac:dyDescent="0.25">
      <c r="A69" s="46" t="s">
        <v>20</v>
      </c>
      <c r="B69" s="3" t="s">
        <v>21</v>
      </c>
      <c r="C69" s="3" t="s">
        <v>46</v>
      </c>
      <c r="D69" s="3">
        <v>10</v>
      </c>
      <c r="E69" s="3" t="s">
        <v>1855</v>
      </c>
      <c r="F69" s="3">
        <v>59</v>
      </c>
      <c r="G69" s="20">
        <f t="shared" si="1"/>
        <v>36.58</v>
      </c>
      <c r="H69" s="20">
        <f t="shared" si="3"/>
        <v>365.79999999999995</v>
      </c>
      <c r="J69" s="43" t="s">
        <v>1870</v>
      </c>
    </row>
    <row r="70" spans="1:10" x14ac:dyDescent="0.25">
      <c r="A70" s="46" t="s">
        <v>22</v>
      </c>
      <c r="B70" s="3" t="s">
        <v>23</v>
      </c>
      <c r="C70" s="3" t="s">
        <v>46</v>
      </c>
      <c r="D70" s="3">
        <v>10</v>
      </c>
      <c r="E70" s="3" t="s">
        <v>1856</v>
      </c>
      <c r="F70" s="3">
        <v>141.5</v>
      </c>
      <c r="G70" s="20">
        <f t="shared" si="1"/>
        <v>87.72999999999999</v>
      </c>
      <c r="H70" s="20">
        <f t="shared" si="3"/>
        <v>877.3</v>
      </c>
      <c r="J70" s="43" t="s">
        <v>1871</v>
      </c>
    </row>
    <row r="71" spans="1:10" x14ac:dyDescent="0.25">
      <c r="A71" s="46" t="s">
        <v>24</v>
      </c>
      <c r="B71" s="3" t="s">
        <v>25</v>
      </c>
      <c r="C71" s="3" t="s">
        <v>46</v>
      </c>
      <c r="D71" s="3">
        <v>10</v>
      </c>
      <c r="E71" s="3" t="s">
        <v>1856</v>
      </c>
      <c r="F71" s="3">
        <v>84</v>
      </c>
      <c r="G71" s="20">
        <f t="shared" si="1"/>
        <v>52.08</v>
      </c>
      <c r="H71" s="20">
        <f t="shared" si="3"/>
        <v>520.79999999999995</v>
      </c>
      <c r="J71" s="43" t="s">
        <v>1872</v>
      </c>
    </row>
    <row r="72" spans="1:10" x14ac:dyDescent="0.25">
      <c r="A72" s="46" t="s">
        <v>87</v>
      </c>
      <c r="B72" s="3" t="s">
        <v>88</v>
      </c>
      <c r="C72" s="3" t="s">
        <v>46</v>
      </c>
      <c r="D72" s="3">
        <v>5</v>
      </c>
      <c r="E72" s="3" t="s">
        <v>1855</v>
      </c>
      <c r="F72" s="3">
        <v>60</v>
      </c>
      <c r="G72" s="20">
        <f t="shared" si="1"/>
        <v>37.200000000000003</v>
      </c>
      <c r="H72" s="20">
        <f t="shared" si="3"/>
        <v>186</v>
      </c>
      <c r="J72" s="43" t="s">
        <v>88</v>
      </c>
    </row>
    <row r="73" spans="1:10" x14ac:dyDescent="0.25">
      <c r="A73" s="46" t="s">
        <v>89</v>
      </c>
      <c r="B73" s="3" t="s">
        <v>90</v>
      </c>
      <c r="C73" s="3" t="s">
        <v>46</v>
      </c>
      <c r="D73" s="3">
        <v>5</v>
      </c>
      <c r="E73" s="3" t="s">
        <v>1855</v>
      </c>
      <c r="F73" s="3">
        <v>39.4</v>
      </c>
      <c r="G73" s="20">
        <f t="shared" si="1"/>
        <v>24.427999999999997</v>
      </c>
      <c r="H73" s="20">
        <f t="shared" si="3"/>
        <v>122.13999999999999</v>
      </c>
      <c r="J73" s="43" t="s">
        <v>90</v>
      </c>
    </row>
    <row r="74" spans="1:10" x14ac:dyDescent="0.25">
      <c r="A74" s="46" t="s">
        <v>91</v>
      </c>
      <c r="B74" s="3" t="s">
        <v>92</v>
      </c>
      <c r="C74" s="3" t="s">
        <v>46</v>
      </c>
      <c r="D74" s="3">
        <v>5</v>
      </c>
      <c r="E74" s="3" t="s">
        <v>1855</v>
      </c>
      <c r="F74" s="3">
        <v>57.1</v>
      </c>
      <c r="G74" s="20">
        <f t="shared" si="1"/>
        <v>35.402000000000001</v>
      </c>
      <c r="H74" s="20">
        <f t="shared" si="3"/>
        <v>177.01</v>
      </c>
      <c r="J74" s="43" t="s">
        <v>92</v>
      </c>
    </row>
    <row r="75" spans="1:10" x14ac:dyDescent="0.25">
      <c r="A75" s="46" t="s">
        <v>93</v>
      </c>
      <c r="B75" s="3" t="s">
        <v>94</v>
      </c>
      <c r="C75" s="3" t="s">
        <v>46</v>
      </c>
      <c r="D75" s="3">
        <v>5</v>
      </c>
      <c r="E75" s="3" t="s">
        <v>1855</v>
      </c>
      <c r="F75" s="3">
        <v>128</v>
      </c>
      <c r="G75" s="20">
        <f t="shared" si="1"/>
        <v>79.36</v>
      </c>
      <c r="H75" s="20">
        <f t="shared" si="3"/>
        <v>396.8</v>
      </c>
      <c r="J75" s="43" t="s">
        <v>94</v>
      </c>
    </row>
    <row r="76" spans="1:10" x14ac:dyDescent="0.25">
      <c r="A76" s="46" t="s">
        <v>95</v>
      </c>
      <c r="B76" s="3" t="s">
        <v>96</v>
      </c>
      <c r="C76" s="3" t="s">
        <v>46</v>
      </c>
      <c r="D76" s="3">
        <v>5</v>
      </c>
      <c r="E76" s="3" t="s">
        <v>1855</v>
      </c>
      <c r="F76" s="3">
        <v>132.5</v>
      </c>
      <c r="G76" s="20">
        <f t="shared" si="1"/>
        <v>82.15</v>
      </c>
      <c r="H76" s="20">
        <f t="shared" si="3"/>
        <v>410.75</v>
      </c>
      <c r="J76" s="43" t="s">
        <v>96</v>
      </c>
    </row>
    <row r="77" spans="1:10" x14ac:dyDescent="0.25">
      <c r="A77" s="46" t="s">
        <v>97</v>
      </c>
      <c r="B77" s="3" t="s">
        <v>98</v>
      </c>
      <c r="C77" s="3" t="s">
        <v>46</v>
      </c>
      <c r="D77" s="3">
        <v>5</v>
      </c>
      <c r="E77" s="3" t="s">
        <v>1855</v>
      </c>
      <c r="F77" s="3">
        <v>37.1</v>
      </c>
      <c r="G77" s="20">
        <f t="shared" ref="G77:G140" si="4">F77-(F77*38%)</f>
        <v>23.002000000000002</v>
      </c>
      <c r="H77" s="20">
        <f t="shared" si="3"/>
        <v>115.01000000000002</v>
      </c>
      <c r="J77" s="43" t="s">
        <v>98</v>
      </c>
    </row>
    <row r="78" spans="1:10" x14ac:dyDescent="0.25">
      <c r="A78" s="48" t="s">
        <v>99</v>
      </c>
      <c r="B78" s="3" t="s">
        <v>100</v>
      </c>
      <c r="C78" s="3" t="s">
        <v>46</v>
      </c>
      <c r="D78" s="3">
        <v>5</v>
      </c>
      <c r="E78" s="3" t="s">
        <v>1855</v>
      </c>
      <c r="F78" s="3">
        <v>11.9</v>
      </c>
      <c r="G78" s="20">
        <f t="shared" si="4"/>
        <v>7.3780000000000001</v>
      </c>
      <c r="H78" s="20">
        <f t="shared" si="3"/>
        <v>36.89</v>
      </c>
      <c r="J78" s="43" t="e">
        <v>#N/A</v>
      </c>
    </row>
    <row r="79" spans="1:10" x14ac:dyDescent="0.25">
      <c r="A79" s="46" t="s">
        <v>101</v>
      </c>
      <c r="B79" s="3" t="s">
        <v>102</v>
      </c>
      <c r="C79" s="3" t="s">
        <v>46</v>
      </c>
      <c r="D79" s="3">
        <v>5</v>
      </c>
      <c r="E79" s="3" t="s">
        <v>1855</v>
      </c>
      <c r="F79" s="3">
        <v>54.1</v>
      </c>
      <c r="G79" s="20">
        <f t="shared" si="4"/>
        <v>33.542000000000002</v>
      </c>
      <c r="H79" s="20">
        <f t="shared" si="3"/>
        <v>167.71</v>
      </c>
      <c r="J79" s="43" t="s">
        <v>1899</v>
      </c>
    </row>
    <row r="80" spans="1:10" x14ac:dyDescent="0.25">
      <c r="A80" s="46" t="s">
        <v>16</v>
      </c>
      <c r="B80" s="3" t="s">
        <v>17</v>
      </c>
      <c r="C80" s="3" t="s">
        <v>46</v>
      </c>
      <c r="D80" s="3">
        <v>5</v>
      </c>
      <c r="E80" s="3" t="s">
        <v>1855</v>
      </c>
      <c r="F80" s="3">
        <v>24.1</v>
      </c>
      <c r="G80" s="20">
        <f t="shared" si="4"/>
        <v>14.942</v>
      </c>
      <c r="H80" s="20">
        <f t="shared" si="3"/>
        <v>74.710000000000008</v>
      </c>
      <c r="J80" s="43" t="s">
        <v>1869</v>
      </c>
    </row>
    <row r="81" spans="1:10" x14ac:dyDescent="0.25">
      <c r="A81" s="46" t="s">
        <v>103</v>
      </c>
      <c r="B81" s="3" t="s">
        <v>104</v>
      </c>
      <c r="C81" s="3" t="s">
        <v>47</v>
      </c>
      <c r="D81" s="3">
        <v>5</v>
      </c>
      <c r="E81" s="3" t="s">
        <v>1855</v>
      </c>
      <c r="F81" s="3">
        <v>65.599999999999994</v>
      </c>
      <c r="G81" s="20">
        <f t="shared" si="4"/>
        <v>40.671999999999997</v>
      </c>
      <c r="H81" s="20">
        <f t="shared" si="3"/>
        <v>203.35999999999999</v>
      </c>
      <c r="J81" s="43" t="s">
        <v>1900</v>
      </c>
    </row>
    <row r="82" spans="1:10" x14ac:dyDescent="0.25">
      <c r="A82" s="46" t="s">
        <v>105</v>
      </c>
      <c r="B82" s="3" t="s">
        <v>106</v>
      </c>
      <c r="C82" s="3" t="s">
        <v>46</v>
      </c>
      <c r="D82" s="3">
        <v>5</v>
      </c>
      <c r="E82" s="3" t="s">
        <v>1855</v>
      </c>
      <c r="F82" s="3">
        <v>43.1</v>
      </c>
      <c r="G82" s="20">
        <f t="shared" si="4"/>
        <v>26.722000000000001</v>
      </c>
      <c r="H82" s="20">
        <f t="shared" si="3"/>
        <v>133.61000000000001</v>
      </c>
      <c r="J82" s="43" t="s">
        <v>1901</v>
      </c>
    </row>
    <row r="83" spans="1:10" x14ac:dyDescent="0.25">
      <c r="A83" s="46" t="s">
        <v>107</v>
      </c>
      <c r="B83" s="3" t="s">
        <v>108</v>
      </c>
      <c r="C83" s="3" t="s">
        <v>46</v>
      </c>
      <c r="D83" s="3">
        <v>10</v>
      </c>
      <c r="E83" s="3" t="s">
        <v>1855</v>
      </c>
      <c r="F83" s="3">
        <v>11.9</v>
      </c>
      <c r="G83" s="20">
        <f t="shared" si="4"/>
        <v>7.3780000000000001</v>
      </c>
      <c r="H83" s="20">
        <f t="shared" si="3"/>
        <v>73.78</v>
      </c>
      <c r="J83" s="43" t="s">
        <v>1902</v>
      </c>
    </row>
    <row r="84" spans="1:10" x14ac:dyDescent="0.25">
      <c r="A84" s="46" t="s">
        <v>109</v>
      </c>
      <c r="B84" s="3" t="s">
        <v>110</v>
      </c>
      <c r="C84" s="3" t="s">
        <v>47</v>
      </c>
      <c r="D84" s="3">
        <v>10</v>
      </c>
      <c r="E84" s="3" t="s">
        <v>1855</v>
      </c>
      <c r="F84" s="3">
        <v>21.2</v>
      </c>
      <c r="G84" s="20">
        <f t="shared" si="4"/>
        <v>13.144</v>
      </c>
      <c r="H84" s="20">
        <f t="shared" si="3"/>
        <v>131.44</v>
      </c>
      <c r="J84" s="43" t="s">
        <v>1903</v>
      </c>
    </row>
    <row r="85" spans="1:10" x14ac:dyDescent="0.25">
      <c r="A85" s="46" t="s">
        <v>111</v>
      </c>
      <c r="B85" s="3" t="s">
        <v>112</v>
      </c>
      <c r="C85" s="3" t="s">
        <v>47</v>
      </c>
      <c r="D85" s="3">
        <v>10</v>
      </c>
      <c r="E85" s="3" t="s">
        <v>1855</v>
      </c>
      <c r="F85" s="3">
        <v>13.7</v>
      </c>
      <c r="G85" s="20">
        <f t="shared" si="4"/>
        <v>8.4939999999999998</v>
      </c>
      <c r="H85" s="20">
        <f t="shared" si="3"/>
        <v>84.94</v>
      </c>
      <c r="J85" s="43" t="s">
        <v>1904</v>
      </c>
    </row>
    <row r="86" spans="1:10" x14ac:dyDescent="0.25">
      <c r="A86" s="46" t="s">
        <v>113</v>
      </c>
      <c r="B86" s="3" t="s">
        <v>114</v>
      </c>
      <c r="C86" s="3" t="s">
        <v>46</v>
      </c>
      <c r="D86" s="3">
        <v>10</v>
      </c>
      <c r="E86" s="3" t="s">
        <v>1855</v>
      </c>
      <c r="F86" s="3">
        <v>15.9</v>
      </c>
      <c r="G86" s="20">
        <f t="shared" si="4"/>
        <v>9.8580000000000005</v>
      </c>
      <c r="H86" s="20">
        <f t="shared" si="3"/>
        <v>98.580000000000013</v>
      </c>
      <c r="J86" s="43" t="s">
        <v>1905</v>
      </c>
    </row>
    <row r="87" spans="1:10" x14ac:dyDescent="0.25">
      <c r="A87" s="46" t="s">
        <v>10</v>
      </c>
      <c r="B87" s="3" t="s">
        <v>11</v>
      </c>
      <c r="C87" s="3" t="s">
        <v>46</v>
      </c>
      <c r="D87" s="3">
        <v>10</v>
      </c>
      <c r="E87" s="3" t="s">
        <v>1855</v>
      </c>
      <c r="F87" s="3">
        <v>30</v>
      </c>
      <c r="G87" s="20">
        <f t="shared" si="4"/>
        <v>18.600000000000001</v>
      </c>
      <c r="H87" s="20">
        <f t="shared" si="3"/>
        <v>186</v>
      </c>
      <c r="J87" s="43" t="s">
        <v>1866</v>
      </c>
    </row>
    <row r="88" spans="1:10" x14ac:dyDescent="0.25">
      <c r="A88" s="46" t="s">
        <v>115</v>
      </c>
      <c r="B88" s="3" t="s">
        <v>116</v>
      </c>
      <c r="C88" s="3" t="s">
        <v>46</v>
      </c>
      <c r="D88" s="3">
        <v>10</v>
      </c>
      <c r="E88" s="3" t="s">
        <v>1855</v>
      </c>
      <c r="F88" s="3">
        <v>38.6</v>
      </c>
      <c r="G88" s="20">
        <f t="shared" si="4"/>
        <v>23.932000000000002</v>
      </c>
      <c r="H88" s="20">
        <f t="shared" si="3"/>
        <v>239.32000000000002</v>
      </c>
      <c r="J88" s="43" t="s">
        <v>1906</v>
      </c>
    </row>
    <row r="89" spans="1:10" x14ac:dyDescent="0.25">
      <c r="A89" s="46" t="s">
        <v>117</v>
      </c>
      <c r="B89" s="3" t="s">
        <v>118</v>
      </c>
      <c r="C89" s="3" t="s">
        <v>46</v>
      </c>
      <c r="D89" s="3">
        <v>20</v>
      </c>
      <c r="E89" s="3" t="s">
        <v>1855</v>
      </c>
      <c r="F89" s="3">
        <v>57.4</v>
      </c>
      <c r="G89" s="20">
        <f t="shared" si="4"/>
        <v>35.587999999999994</v>
      </c>
      <c r="H89" s="20">
        <f t="shared" si="3"/>
        <v>711.75999999999988</v>
      </c>
      <c r="J89" s="43" t="s">
        <v>1907</v>
      </c>
    </row>
    <row r="90" spans="1:10" x14ac:dyDescent="0.25">
      <c r="A90" s="46" t="s">
        <v>14</v>
      </c>
      <c r="B90" s="3" t="s">
        <v>15</v>
      </c>
      <c r="C90" s="3" t="s">
        <v>46</v>
      </c>
      <c r="D90" s="3">
        <v>5</v>
      </c>
      <c r="E90" s="3" t="s">
        <v>1855</v>
      </c>
      <c r="F90" s="3">
        <v>27.2</v>
      </c>
      <c r="G90" s="20">
        <f t="shared" si="4"/>
        <v>16.863999999999997</v>
      </c>
      <c r="H90" s="20">
        <f t="shared" si="3"/>
        <v>84.32</v>
      </c>
      <c r="J90" s="43" t="s">
        <v>1868</v>
      </c>
    </row>
    <row r="91" spans="1:10" x14ac:dyDescent="0.25">
      <c r="A91" s="46" t="s">
        <v>119</v>
      </c>
      <c r="B91" s="3" t="s">
        <v>120</v>
      </c>
      <c r="C91" s="3" t="s">
        <v>46</v>
      </c>
      <c r="D91" s="3">
        <v>10</v>
      </c>
      <c r="E91" s="3" t="s">
        <v>1855</v>
      </c>
      <c r="F91" s="3">
        <v>68.099999999999994</v>
      </c>
      <c r="G91" s="20">
        <f t="shared" si="4"/>
        <v>42.221999999999994</v>
      </c>
      <c r="H91" s="20">
        <f t="shared" si="3"/>
        <v>422.21999999999991</v>
      </c>
      <c r="J91" s="43" t="s">
        <v>1908</v>
      </c>
    </row>
    <row r="92" spans="1:10" x14ac:dyDescent="0.25">
      <c r="A92" s="46" t="s">
        <v>121</v>
      </c>
      <c r="B92" s="3" t="s">
        <v>122</v>
      </c>
      <c r="C92" s="3" t="s">
        <v>46</v>
      </c>
      <c r="D92" s="3">
        <v>10</v>
      </c>
      <c r="E92" s="3" t="s">
        <v>1855</v>
      </c>
      <c r="F92" s="3">
        <v>88</v>
      </c>
      <c r="G92" s="20">
        <f t="shared" si="4"/>
        <v>54.56</v>
      </c>
      <c r="H92" s="20">
        <f t="shared" si="3"/>
        <v>545.6</v>
      </c>
      <c r="J92" s="43" t="s">
        <v>1909</v>
      </c>
    </row>
    <row r="93" spans="1:10" x14ac:dyDescent="0.25">
      <c r="A93" s="46" t="s">
        <v>123</v>
      </c>
      <c r="B93" s="3" t="s">
        <v>124</v>
      </c>
      <c r="C93" s="3" t="s">
        <v>46</v>
      </c>
      <c r="D93" s="3">
        <v>10</v>
      </c>
      <c r="E93" s="3" t="s">
        <v>1855</v>
      </c>
      <c r="F93" s="3">
        <v>90.2</v>
      </c>
      <c r="G93" s="20">
        <f t="shared" si="4"/>
        <v>55.923999999999999</v>
      </c>
      <c r="H93" s="20">
        <f t="shared" si="3"/>
        <v>559.24</v>
      </c>
      <c r="J93" s="43" t="s">
        <v>1910</v>
      </c>
    </row>
    <row r="94" spans="1:10" x14ac:dyDescent="0.25">
      <c r="A94" s="46" t="s">
        <v>1795</v>
      </c>
      <c r="B94" s="3" t="s">
        <v>1797</v>
      </c>
      <c r="C94" s="3" t="s">
        <v>46</v>
      </c>
      <c r="D94" s="3">
        <v>5</v>
      </c>
      <c r="E94" s="3" t="s">
        <v>1856</v>
      </c>
      <c r="F94" s="3">
        <v>664</v>
      </c>
      <c r="G94" s="20">
        <f t="shared" si="4"/>
        <v>411.68</v>
      </c>
      <c r="H94" s="20">
        <f t="shared" si="3"/>
        <v>2058.4</v>
      </c>
      <c r="J94" s="43" t="s">
        <v>1911</v>
      </c>
    </row>
    <row r="95" spans="1:10" x14ac:dyDescent="0.25">
      <c r="A95" s="46" t="s">
        <v>1796</v>
      </c>
      <c r="B95" s="3" t="s">
        <v>1798</v>
      </c>
      <c r="C95" s="3" t="s">
        <v>46</v>
      </c>
      <c r="D95" s="3">
        <v>5</v>
      </c>
      <c r="E95" s="3" t="s">
        <v>1855</v>
      </c>
      <c r="F95" s="3">
        <v>147</v>
      </c>
      <c r="G95" s="20">
        <f t="shared" si="4"/>
        <v>91.14</v>
      </c>
      <c r="H95" s="20">
        <f t="shared" si="3"/>
        <v>455.7</v>
      </c>
      <c r="J95" s="43" t="s">
        <v>1912</v>
      </c>
    </row>
    <row r="96" spans="1:10" s="5" customFormat="1" ht="32.1" customHeight="1" x14ac:dyDescent="0.25">
      <c r="A96" s="51"/>
      <c r="B96" s="6" t="s">
        <v>126</v>
      </c>
      <c r="C96" s="4"/>
      <c r="D96" s="29"/>
      <c r="E96" s="4"/>
      <c r="F96" s="4"/>
      <c r="G96" s="4"/>
      <c r="H96" s="19"/>
      <c r="J96" s="43"/>
    </row>
    <row r="97" spans="1:10" x14ac:dyDescent="0.25">
      <c r="A97" s="46" t="s">
        <v>59</v>
      </c>
      <c r="B97" s="3" t="s">
        <v>60</v>
      </c>
      <c r="C97" s="3" t="s">
        <v>47</v>
      </c>
      <c r="D97" s="3">
        <v>40</v>
      </c>
      <c r="E97" s="3" t="s">
        <v>1855</v>
      </c>
      <c r="F97" s="3">
        <v>75.3</v>
      </c>
      <c r="G97" s="20">
        <f t="shared" si="4"/>
        <v>46.685999999999993</v>
      </c>
      <c r="H97" s="20">
        <f t="shared" ref="H97:H118" si="5">G97*D97</f>
        <v>1867.4399999999996</v>
      </c>
      <c r="J97" s="43" t="s">
        <v>1887</v>
      </c>
    </row>
    <row r="98" spans="1:10" x14ac:dyDescent="0.25">
      <c r="A98" s="46" t="s">
        <v>55</v>
      </c>
      <c r="B98" s="3" t="s">
        <v>56</v>
      </c>
      <c r="C98" s="3" t="s">
        <v>47</v>
      </c>
      <c r="D98" s="3">
        <v>32</v>
      </c>
      <c r="E98" s="3" t="s">
        <v>1855</v>
      </c>
      <c r="F98" s="3">
        <v>23.9</v>
      </c>
      <c r="G98" s="20">
        <f t="shared" si="4"/>
        <v>14.818</v>
      </c>
      <c r="H98" s="20">
        <f t="shared" si="5"/>
        <v>474.17599999999999</v>
      </c>
      <c r="J98" s="43" t="s">
        <v>1885</v>
      </c>
    </row>
    <row r="99" spans="1:10" x14ac:dyDescent="0.25">
      <c r="A99" s="46" t="s">
        <v>57</v>
      </c>
      <c r="B99" s="3" t="s">
        <v>58</v>
      </c>
      <c r="C99" s="3" t="s">
        <v>47</v>
      </c>
      <c r="D99" s="3">
        <v>16</v>
      </c>
      <c r="E99" s="3" t="s">
        <v>1855</v>
      </c>
      <c r="F99" s="3">
        <v>22.4</v>
      </c>
      <c r="G99" s="20">
        <f t="shared" si="4"/>
        <v>13.888</v>
      </c>
      <c r="H99" s="20">
        <f t="shared" si="5"/>
        <v>222.208</v>
      </c>
      <c r="J99" s="43" t="s">
        <v>1886</v>
      </c>
    </row>
    <row r="100" spans="1:10" x14ac:dyDescent="0.25">
      <c r="A100" s="46" t="s">
        <v>8</v>
      </c>
      <c r="B100" s="3" t="s">
        <v>9</v>
      </c>
      <c r="C100" s="3" t="s">
        <v>46</v>
      </c>
      <c r="D100" s="3">
        <v>8</v>
      </c>
      <c r="E100" s="3" t="s">
        <v>1855</v>
      </c>
      <c r="F100" s="3">
        <v>26.3</v>
      </c>
      <c r="G100" s="20">
        <f t="shared" si="4"/>
        <v>16.306000000000001</v>
      </c>
      <c r="H100" s="20">
        <f t="shared" si="5"/>
        <v>130.44800000000001</v>
      </c>
      <c r="J100" s="43" t="s">
        <v>1865</v>
      </c>
    </row>
    <row r="101" spans="1:10" x14ac:dyDescent="0.25">
      <c r="A101" s="46" t="s">
        <v>10</v>
      </c>
      <c r="B101" s="3" t="s">
        <v>11</v>
      </c>
      <c r="C101" s="3" t="s">
        <v>46</v>
      </c>
      <c r="D101" s="3">
        <v>8</v>
      </c>
      <c r="E101" s="3" t="s">
        <v>1855</v>
      </c>
      <c r="F101" s="3">
        <v>30</v>
      </c>
      <c r="G101" s="20">
        <f t="shared" si="4"/>
        <v>18.600000000000001</v>
      </c>
      <c r="H101" s="20">
        <f t="shared" si="5"/>
        <v>148.80000000000001</v>
      </c>
      <c r="J101" s="43" t="s">
        <v>1866</v>
      </c>
    </row>
    <row r="102" spans="1:10" x14ac:dyDescent="0.25">
      <c r="A102" s="46" t="s">
        <v>12</v>
      </c>
      <c r="B102" s="3" t="s">
        <v>13</v>
      </c>
      <c r="C102" s="3" t="s">
        <v>47</v>
      </c>
      <c r="D102" s="3">
        <v>16</v>
      </c>
      <c r="E102" s="3" t="s">
        <v>1855</v>
      </c>
      <c r="F102" s="3">
        <v>45.7</v>
      </c>
      <c r="G102" s="20">
        <f t="shared" si="4"/>
        <v>28.334000000000003</v>
      </c>
      <c r="H102" s="20">
        <f t="shared" si="5"/>
        <v>453.34400000000005</v>
      </c>
      <c r="J102" s="43" t="s">
        <v>1867</v>
      </c>
    </row>
    <row r="103" spans="1:10" x14ac:dyDescent="0.25">
      <c r="A103" s="46" t="s">
        <v>121</v>
      </c>
      <c r="B103" s="3" t="s">
        <v>122</v>
      </c>
      <c r="C103" s="3" t="s">
        <v>46</v>
      </c>
      <c r="D103" s="3">
        <v>16</v>
      </c>
      <c r="E103" s="3" t="s">
        <v>1855</v>
      </c>
      <c r="F103" s="3">
        <v>88</v>
      </c>
      <c r="G103" s="20">
        <f t="shared" si="4"/>
        <v>54.56</v>
      </c>
      <c r="H103" s="20">
        <f t="shared" si="5"/>
        <v>872.96</v>
      </c>
      <c r="J103" s="43" t="s">
        <v>1909</v>
      </c>
    </row>
    <row r="104" spans="1:10" x14ac:dyDescent="0.25">
      <c r="A104" s="46" t="s">
        <v>123</v>
      </c>
      <c r="B104" s="3" t="s">
        <v>124</v>
      </c>
      <c r="C104" s="3" t="s">
        <v>46</v>
      </c>
      <c r="D104" s="3">
        <v>16</v>
      </c>
      <c r="E104" s="3" t="s">
        <v>1855</v>
      </c>
      <c r="F104" s="3">
        <v>90.2</v>
      </c>
      <c r="G104" s="20">
        <f t="shared" si="4"/>
        <v>55.923999999999999</v>
      </c>
      <c r="H104" s="20">
        <f t="shared" si="5"/>
        <v>894.78399999999999</v>
      </c>
      <c r="J104" s="43" t="s">
        <v>1910</v>
      </c>
    </row>
    <row r="105" spans="1:10" x14ac:dyDescent="0.25">
      <c r="A105" s="46" t="s">
        <v>14</v>
      </c>
      <c r="B105" s="3" t="s">
        <v>15</v>
      </c>
      <c r="C105" s="3" t="s">
        <v>46</v>
      </c>
      <c r="D105" s="3">
        <v>8</v>
      </c>
      <c r="E105" s="3" t="s">
        <v>1855</v>
      </c>
      <c r="F105" s="3">
        <v>27.2</v>
      </c>
      <c r="G105" s="20">
        <f t="shared" si="4"/>
        <v>16.863999999999997</v>
      </c>
      <c r="H105" s="20">
        <f t="shared" si="5"/>
        <v>134.91199999999998</v>
      </c>
      <c r="J105" s="43" t="s">
        <v>1868</v>
      </c>
    </row>
    <row r="106" spans="1:10" x14ac:dyDescent="0.25">
      <c r="A106" s="46" t="s">
        <v>16</v>
      </c>
      <c r="B106" s="3" t="s">
        <v>17</v>
      </c>
      <c r="C106" s="3" t="s">
        <v>46</v>
      </c>
      <c r="D106" s="3">
        <v>8</v>
      </c>
      <c r="E106" s="3" t="s">
        <v>1855</v>
      </c>
      <c r="F106" s="3">
        <v>24.1</v>
      </c>
      <c r="G106" s="20">
        <f t="shared" si="4"/>
        <v>14.942</v>
      </c>
      <c r="H106" s="20">
        <f t="shared" si="5"/>
        <v>119.536</v>
      </c>
      <c r="J106" s="43" t="s">
        <v>1869</v>
      </c>
    </row>
    <row r="107" spans="1:10" x14ac:dyDescent="0.25">
      <c r="A107" s="46" t="s">
        <v>26</v>
      </c>
      <c r="B107" s="3" t="s">
        <v>27</v>
      </c>
      <c r="C107" s="3" t="s">
        <v>46</v>
      </c>
      <c r="D107" s="3">
        <v>8</v>
      </c>
      <c r="E107" s="3" t="s">
        <v>1855</v>
      </c>
      <c r="F107" s="3">
        <v>6.81</v>
      </c>
      <c r="G107" s="20">
        <f t="shared" si="4"/>
        <v>4.2221999999999991</v>
      </c>
      <c r="H107" s="20">
        <f t="shared" si="5"/>
        <v>33.777599999999993</v>
      </c>
      <c r="J107" s="43" t="s">
        <v>1873</v>
      </c>
    </row>
    <row r="108" spans="1:10" x14ac:dyDescent="0.25">
      <c r="A108" s="46" t="s">
        <v>127</v>
      </c>
      <c r="B108" s="3" t="s">
        <v>128</v>
      </c>
      <c r="C108" s="3" t="s">
        <v>46</v>
      </c>
      <c r="D108" s="3">
        <v>8</v>
      </c>
      <c r="E108" s="3" t="s">
        <v>1855</v>
      </c>
      <c r="F108" s="3">
        <v>41.9</v>
      </c>
      <c r="G108" s="20">
        <f t="shared" si="4"/>
        <v>25.978000000000002</v>
      </c>
      <c r="H108" s="20">
        <f t="shared" si="5"/>
        <v>207.82400000000001</v>
      </c>
      <c r="J108" s="43" t="s">
        <v>1913</v>
      </c>
    </row>
    <row r="109" spans="1:10" x14ac:dyDescent="0.25">
      <c r="A109" s="46" t="s">
        <v>20</v>
      </c>
      <c r="B109" s="3" t="s">
        <v>21</v>
      </c>
      <c r="C109" s="3" t="s">
        <v>46</v>
      </c>
      <c r="D109" s="3">
        <v>16</v>
      </c>
      <c r="E109" s="3" t="s">
        <v>1855</v>
      </c>
      <c r="F109" s="3">
        <v>59</v>
      </c>
      <c r="G109" s="20">
        <f t="shared" si="4"/>
        <v>36.58</v>
      </c>
      <c r="H109" s="20">
        <f t="shared" si="5"/>
        <v>585.28</v>
      </c>
      <c r="J109" s="43" t="s">
        <v>1870</v>
      </c>
    </row>
    <row r="110" spans="1:10" x14ac:dyDescent="0.25">
      <c r="A110" s="46" t="s">
        <v>22</v>
      </c>
      <c r="B110" s="3" t="s">
        <v>23</v>
      </c>
      <c r="C110" s="3" t="s">
        <v>46</v>
      </c>
      <c r="D110" s="3">
        <v>8</v>
      </c>
      <c r="E110" s="3" t="s">
        <v>1856</v>
      </c>
      <c r="F110" s="3">
        <v>141.5</v>
      </c>
      <c r="G110" s="20">
        <f t="shared" si="4"/>
        <v>87.72999999999999</v>
      </c>
      <c r="H110" s="20">
        <f t="shared" si="5"/>
        <v>701.83999999999992</v>
      </c>
      <c r="J110" s="43" t="s">
        <v>1871</v>
      </c>
    </row>
    <row r="111" spans="1:10" x14ac:dyDescent="0.25">
      <c r="A111" s="46" t="s">
        <v>24</v>
      </c>
      <c r="B111" s="3" t="s">
        <v>25</v>
      </c>
      <c r="C111" s="3" t="s">
        <v>46</v>
      </c>
      <c r="D111" s="3">
        <v>8</v>
      </c>
      <c r="E111" s="3" t="s">
        <v>1856</v>
      </c>
      <c r="F111" s="3">
        <v>84</v>
      </c>
      <c r="G111" s="20">
        <f t="shared" si="4"/>
        <v>52.08</v>
      </c>
      <c r="H111" s="20">
        <f t="shared" si="5"/>
        <v>416.64</v>
      </c>
      <c r="J111" s="43" t="s">
        <v>1872</v>
      </c>
    </row>
    <row r="112" spans="1:10" x14ac:dyDescent="0.25">
      <c r="A112" s="46" t="s">
        <v>111</v>
      </c>
      <c r="B112" s="3" t="s">
        <v>112</v>
      </c>
      <c r="C112" s="3" t="s">
        <v>47</v>
      </c>
      <c r="D112" s="3">
        <v>16</v>
      </c>
      <c r="E112" s="3" t="s">
        <v>1855</v>
      </c>
      <c r="F112" s="3">
        <v>13.7</v>
      </c>
      <c r="G112" s="20">
        <f t="shared" si="4"/>
        <v>8.4939999999999998</v>
      </c>
      <c r="H112" s="20">
        <f t="shared" si="5"/>
        <v>135.904</v>
      </c>
      <c r="J112" s="43" t="s">
        <v>1904</v>
      </c>
    </row>
    <row r="113" spans="1:10" x14ac:dyDescent="0.25">
      <c r="A113" s="46" t="s">
        <v>113</v>
      </c>
      <c r="B113" s="3" t="s">
        <v>114</v>
      </c>
      <c r="C113" s="3" t="s">
        <v>46</v>
      </c>
      <c r="D113" s="3">
        <v>16</v>
      </c>
      <c r="E113" s="3" t="s">
        <v>1855</v>
      </c>
      <c r="F113" s="3">
        <v>15.9</v>
      </c>
      <c r="G113" s="20">
        <f t="shared" si="4"/>
        <v>9.8580000000000005</v>
      </c>
      <c r="H113" s="20">
        <f t="shared" si="5"/>
        <v>157.72800000000001</v>
      </c>
      <c r="J113" s="43" t="s">
        <v>1905</v>
      </c>
    </row>
    <row r="114" spans="1:10" x14ac:dyDescent="0.25">
      <c r="A114" s="46" t="s">
        <v>107</v>
      </c>
      <c r="B114" s="3" t="s">
        <v>108</v>
      </c>
      <c r="C114" s="3" t="s">
        <v>46</v>
      </c>
      <c r="D114" s="3">
        <v>16</v>
      </c>
      <c r="E114" s="3" t="s">
        <v>1855</v>
      </c>
      <c r="F114" s="3">
        <v>11.9</v>
      </c>
      <c r="G114" s="20">
        <f t="shared" si="4"/>
        <v>7.3780000000000001</v>
      </c>
      <c r="H114" s="20">
        <f t="shared" si="5"/>
        <v>118.048</v>
      </c>
      <c r="J114" s="43" t="s">
        <v>1902</v>
      </c>
    </row>
    <row r="115" spans="1:10" x14ac:dyDescent="0.25">
      <c r="A115" s="46" t="s">
        <v>109</v>
      </c>
      <c r="B115" s="3" t="s">
        <v>110</v>
      </c>
      <c r="C115" s="3" t="s">
        <v>47</v>
      </c>
      <c r="D115" s="3">
        <v>16</v>
      </c>
      <c r="E115" s="3" t="s">
        <v>1855</v>
      </c>
      <c r="F115" s="3">
        <v>21.2</v>
      </c>
      <c r="G115" s="20">
        <f t="shared" si="4"/>
        <v>13.144</v>
      </c>
      <c r="H115" s="20">
        <f t="shared" si="5"/>
        <v>210.304</v>
      </c>
      <c r="J115" s="43" t="s">
        <v>1903</v>
      </c>
    </row>
    <row r="116" spans="1:10" x14ac:dyDescent="0.25">
      <c r="A116" s="46" t="s">
        <v>18</v>
      </c>
      <c r="B116" s="3" t="s">
        <v>19</v>
      </c>
      <c r="C116" s="3" t="s">
        <v>47</v>
      </c>
      <c r="D116" s="3">
        <v>16</v>
      </c>
      <c r="E116" s="3" t="s">
        <v>1855</v>
      </c>
      <c r="F116" s="3">
        <v>28</v>
      </c>
      <c r="G116" s="20">
        <f t="shared" si="4"/>
        <v>17.36</v>
      </c>
      <c r="H116" s="20">
        <f t="shared" si="5"/>
        <v>277.76</v>
      </c>
      <c r="J116" s="43" t="s">
        <v>19</v>
      </c>
    </row>
    <row r="117" spans="1:10" x14ac:dyDescent="0.25">
      <c r="A117" s="46" t="s">
        <v>1799</v>
      </c>
      <c r="B117" s="3" t="s">
        <v>1800</v>
      </c>
      <c r="C117" s="3" t="s">
        <v>46</v>
      </c>
      <c r="D117" s="3">
        <v>8</v>
      </c>
      <c r="E117" s="3" t="s">
        <v>1856</v>
      </c>
      <c r="F117" s="3">
        <v>504</v>
      </c>
      <c r="G117" s="20">
        <f t="shared" si="4"/>
        <v>312.48</v>
      </c>
      <c r="H117" s="20">
        <f t="shared" si="5"/>
        <v>2499.84</v>
      </c>
      <c r="J117" s="43" t="s">
        <v>1914</v>
      </c>
    </row>
    <row r="118" spans="1:10" x14ac:dyDescent="0.25">
      <c r="A118" s="46" t="s">
        <v>1793</v>
      </c>
      <c r="B118" s="3" t="s">
        <v>1794</v>
      </c>
      <c r="C118" s="3" t="s">
        <v>46</v>
      </c>
      <c r="D118" s="3">
        <v>8</v>
      </c>
      <c r="E118" s="3" t="s">
        <v>1855</v>
      </c>
      <c r="F118" s="3">
        <v>96.6</v>
      </c>
      <c r="G118" s="20">
        <f t="shared" si="4"/>
        <v>59.891999999999996</v>
      </c>
      <c r="H118" s="20">
        <f t="shared" si="5"/>
        <v>479.13599999999997</v>
      </c>
      <c r="J118" s="43" t="s">
        <v>1881</v>
      </c>
    </row>
    <row r="119" spans="1:10" s="5" customFormat="1" x14ac:dyDescent="0.25">
      <c r="A119" s="51"/>
      <c r="B119" s="6" t="s">
        <v>129</v>
      </c>
      <c r="C119" s="4"/>
      <c r="D119" s="29"/>
      <c r="E119" s="4"/>
      <c r="F119" s="4"/>
      <c r="G119" s="4"/>
      <c r="H119" s="19"/>
      <c r="J119" s="43"/>
    </row>
    <row r="120" spans="1:10" x14ac:dyDescent="0.25">
      <c r="A120" s="46" t="s">
        <v>30</v>
      </c>
      <c r="B120" s="3" t="s">
        <v>31</v>
      </c>
      <c r="C120" s="3" t="s">
        <v>46</v>
      </c>
      <c r="D120" s="3">
        <v>8</v>
      </c>
      <c r="E120" s="3" t="s">
        <v>1855</v>
      </c>
      <c r="F120" s="3">
        <v>24.3</v>
      </c>
      <c r="G120" s="20">
        <f t="shared" si="4"/>
        <v>15.066000000000001</v>
      </c>
      <c r="H120" s="20">
        <f t="shared" ref="H120:H149" si="6">G120*D120</f>
        <v>120.52800000000001</v>
      </c>
      <c r="J120" s="43" t="s">
        <v>1874</v>
      </c>
    </row>
    <row r="121" spans="1:10" x14ac:dyDescent="0.25">
      <c r="A121" s="46" t="s">
        <v>130</v>
      </c>
      <c r="B121" s="3" t="s">
        <v>131</v>
      </c>
      <c r="C121" s="3" t="s">
        <v>47</v>
      </c>
      <c r="D121" s="3">
        <v>2</v>
      </c>
      <c r="E121" s="3" t="s">
        <v>1855</v>
      </c>
      <c r="F121" s="3">
        <v>68.400000000000006</v>
      </c>
      <c r="G121" s="20">
        <f t="shared" si="4"/>
        <v>42.408000000000001</v>
      </c>
      <c r="H121" s="20">
        <f t="shared" si="6"/>
        <v>84.816000000000003</v>
      </c>
      <c r="J121" s="43" t="s">
        <v>1915</v>
      </c>
    </row>
    <row r="122" spans="1:10" x14ac:dyDescent="0.25">
      <c r="A122" s="46" t="s">
        <v>26</v>
      </c>
      <c r="B122" s="3" t="s">
        <v>27</v>
      </c>
      <c r="C122" s="3" t="s">
        <v>46</v>
      </c>
      <c r="D122" s="3">
        <v>2</v>
      </c>
      <c r="E122" s="3" t="s">
        <v>1855</v>
      </c>
      <c r="F122" s="3">
        <v>6.81</v>
      </c>
      <c r="G122" s="20">
        <f t="shared" si="4"/>
        <v>4.2221999999999991</v>
      </c>
      <c r="H122" s="20">
        <f t="shared" si="6"/>
        <v>8.4443999999999981</v>
      </c>
      <c r="J122" s="43" t="s">
        <v>1873</v>
      </c>
    </row>
    <row r="123" spans="1:10" x14ac:dyDescent="0.25">
      <c r="A123" s="46" t="s">
        <v>51</v>
      </c>
      <c r="B123" s="3" t="s">
        <v>52</v>
      </c>
      <c r="C123" s="3" t="s">
        <v>46</v>
      </c>
      <c r="D123" s="3">
        <v>2</v>
      </c>
      <c r="E123" s="3" t="s">
        <v>1855</v>
      </c>
      <c r="F123" s="3">
        <v>20.100000000000001</v>
      </c>
      <c r="G123" s="20">
        <f t="shared" si="4"/>
        <v>12.462</v>
      </c>
      <c r="H123" s="20">
        <f t="shared" si="6"/>
        <v>24.923999999999999</v>
      </c>
      <c r="J123" s="43" t="s">
        <v>1883</v>
      </c>
    </row>
    <row r="124" spans="1:10" x14ac:dyDescent="0.25">
      <c r="A124" s="46" t="s">
        <v>132</v>
      </c>
      <c r="B124" s="3" t="s">
        <v>133</v>
      </c>
      <c r="C124" s="3" t="s">
        <v>47</v>
      </c>
      <c r="D124" s="3">
        <v>12</v>
      </c>
      <c r="E124" s="3" t="s">
        <v>1855</v>
      </c>
      <c r="F124" s="3">
        <v>28.2</v>
      </c>
      <c r="G124" s="20">
        <f t="shared" si="4"/>
        <v>17.484000000000002</v>
      </c>
      <c r="H124" s="20">
        <f t="shared" si="6"/>
        <v>209.80800000000002</v>
      </c>
      <c r="J124" s="43" t="s">
        <v>1916</v>
      </c>
    </row>
    <row r="125" spans="1:10" x14ac:dyDescent="0.25">
      <c r="A125" s="46" t="s">
        <v>59</v>
      </c>
      <c r="B125" s="3" t="s">
        <v>60</v>
      </c>
      <c r="C125" s="3" t="s">
        <v>47</v>
      </c>
      <c r="D125" s="3">
        <v>12</v>
      </c>
      <c r="E125" s="3" t="s">
        <v>1855</v>
      </c>
      <c r="F125" s="3">
        <v>75.3</v>
      </c>
      <c r="G125" s="20">
        <f t="shared" si="4"/>
        <v>46.685999999999993</v>
      </c>
      <c r="H125" s="20">
        <f t="shared" si="6"/>
        <v>560.23199999999997</v>
      </c>
      <c r="J125" s="43" t="s">
        <v>1887</v>
      </c>
    </row>
    <row r="126" spans="1:10" x14ac:dyDescent="0.25">
      <c r="A126" s="46" t="s">
        <v>134</v>
      </c>
      <c r="B126" s="3" t="s">
        <v>135</v>
      </c>
      <c r="C126" s="3" t="s">
        <v>46</v>
      </c>
      <c r="D126" s="3">
        <v>2</v>
      </c>
      <c r="E126" s="3" t="s">
        <v>1855</v>
      </c>
      <c r="F126" s="3">
        <v>68.7</v>
      </c>
      <c r="G126" s="20">
        <f t="shared" si="4"/>
        <v>42.594000000000001</v>
      </c>
      <c r="H126" s="20">
        <f t="shared" si="6"/>
        <v>85.188000000000002</v>
      </c>
      <c r="J126" s="43" t="s">
        <v>1917</v>
      </c>
    </row>
    <row r="127" spans="1:10" x14ac:dyDescent="0.25">
      <c r="A127" s="46" t="s">
        <v>69</v>
      </c>
      <c r="B127" s="3" t="s">
        <v>70</v>
      </c>
      <c r="C127" s="3" t="s">
        <v>47</v>
      </c>
      <c r="D127" s="3">
        <v>2</v>
      </c>
      <c r="E127" s="3" t="s">
        <v>1855</v>
      </c>
      <c r="F127" s="3">
        <v>72.099999999999994</v>
      </c>
      <c r="G127" s="20">
        <f t="shared" si="4"/>
        <v>44.701999999999998</v>
      </c>
      <c r="H127" s="20">
        <f t="shared" si="6"/>
        <v>89.403999999999996</v>
      </c>
      <c r="J127" s="43" t="s">
        <v>1892</v>
      </c>
    </row>
    <row r="128" spans="1:10" x14ac:dyDescent="0.25">
      <c r="A128" s="46" t="s">
        <v>18</v>
      </c>
      <c r="B128" s="3" t="s">
        <v>19</v>
      </c>
      <c r="C128" s="3" t="s">
        <v>47</v>
      </c>
      <c r="D128" s="3">
        <v>2</v>
      </c>
      <c r="E128" s="3" t="s">
        <v>1855</v>
      </c>
      <c r="F128" s="3">
        <v>28</v>
      </c>
      <c r="G128" s="20">
        <f t="shared" si="4"/>
        <v>17.36</v>
      </c>
      <c r="H128" s="20">
        <f t="shared" si="6"/>
        <v>34.72</v>
      </c>
      <c r="J128" s="43" t="s">
        <v>19</v>
      </c>
    </row>
    <row r="129" spans="1:10" x14ac:dyDescent="0.25">
      <c r="A129" s="46" t="s">
        <v>136</v>
      </c>
      <c r="B129" s="3" t="s">
        <v>137</v>
      </c>
      <c r="C129" s="3" t="s">
        <v>46</v>
      </c>
      <c r="D129" s="3">
        <v>2</v>
      </c>
      <c r="E129" s="3" t="s">
        <v>1855</v>
      </c>
      <c r="F129" s="3">
        <v>19.8</v>
      </c>
      <c r="G129" s="20">
        <f t="shared" si="4"/>
        <v>12.276</v>
      </c>
      <c r="H129" s="20">
        <f t="shared" si="6"/>
        <v>24.552</v>
      </c>
      <c r="J129" s="43" t="s">
        <v>137</v>
      </c>
    </row>
    <row r="130" spans="1:10" x14ac:dyDescent="0.25">
      <c r="A130" s="46" t="s">
        <v>138</v>
      </c>
      <c r="B130" s="3" t="s">
        <v>139</v>
      </c>
      <c r="C130" s="3" t="s">
        <v>47</v>
      </c>
      <c r="D130" s="3">
        <v>2</v>
      </c>
      <c r="E130" s="3" t="s">
        <v>1855</v>
      </c>
      <c r="F130" s="3">
        <v>10.3</v>
      </c>
      <c r="G130" s="20">
        <f t="shared" si="4"/>
        <v>6.386000000000001</v>
      </c>
      <c r="H130" s="20">
        <f t="shared" si="6"/>
        <v>12.772000000000002</v>
      </c>
      <c r="J130" s="43" t="s">
        <v>139</v>
      </c>
    </row>
    <row r="131" spans="1:10" x14ac:dyDescent="0.25">
      <c r="A131" s="46" t="s">
        <v>140</v>
      </c>
      <c r="B131" s="3" t="s">
        <v>141</v>
      </c>
      <c r="C131" s="3" t="s">
        <v>46</v>
      </c>
      <c r="D131" s="3">
        <v>2</v>
      </c>
      <c r="E131" s="3" t="s">
        <v>1855</v>
      </c>
      <c r="F131" s="3">
        <v>196</v>
      </c>
      <c r="G131" s="20">
        <f t="shared" si="4"/>
        <v>121.52</v>
      </c>
      <c r="H131" s="20">
        <f t="shared" si="6"/>
        <v>243.04</v>
      </c>
      <c r="J131" s="43" t="s">
        <v>1918</v>
      </c>
    </row>
    <row r="132" spans="1:10" x14ac:dyDescent="0.25">
      <c r="A132" s="46" t="s">
        <v>142</v>
      </c>
      <c r="B132" s="3" t="s">
        <v>143</v>
      </c>
      <c r="C132" s="3" t="s">
        <v>47</v>
      </c>
      <c r="D132" s="3">
        <v>2</v>
      </c>
      <c r="E132" s="3" t="s">
        <v>1855</v>
      </c>
      <c r="F132" s="3">
        <v>96.2</v>
      </c>
      <c r="G132" s="20">
        <f t="shared" si="4"/>
        <v>59.643999999999998</v>
      </c>
      <c r="H132" s="20">
        <f t="shared" si="6"/>
        <v>119.288</v>
      </c>
      <c r="J132" s="43" t="s">
        <v>1919</v>
      </c>
    </row>
    <row r="133" spans="1:10" x14ac:dyDescent="0.25">
      <c r="A133" s="46" t="s">
        <v>28</v>
      </c>
      <c r="B133" s="3" t="s">
        <v>29</v>
      </c>
      <c r="C133" s="3" t="s">
        <v>46</v>
      </c>
      <c r="D133" s="3">
        <v>2</v>
      </c>
      <c r="E133" s="3" t="s">
        <v>1855</v>
      </c>
      <c r="F133" s="3">
        <v>25.7</v>
      </c>
      <c r="G133" s="20">
        <f t="shared" si="4"/>
        <v>15.933999999999999</v>
      </c>
      <c r="H133" s="20">
        <f t="shared" si="6"/>
        <v>31.867999999999999</v>
      </c>
      <c r="J133" s="43" t="s">
        <v>29</v>
      </c>
    </row>
    <row r="134" spans="1:10" x14ac:dyDescent="0.25">
      <c r="A134" s="48" t="s">
        <v>99</v>
      </c>
      <c r="B134" s="3" t="s">
        <v>100</v>
      </c>
      <c r="C134" s="3" t="s">
        <v>46</v>
      </c>
      <c r="D134" s="3">
        <v>2</v>
      </c>
      <c r="E134" s="3" t="s">
        <v>1855</v>
      </c>
      <c r="F134" s="3">
        <v>11.9</v>
      </c>
      <c r="G134" s="20">
        <f t="shared" si="4"/>
        <v>7.3780000000000001</v>
      </c>
      <c r="H134" s="20">
        <f t="shared" si="6"/>
        <v>14.756</v>
      </c>
      <c r="J134" s="43" t="e">
        <v>#N/A</v>
      </c>
    </row>
    <row r="135" spans="1:10" x14ac:dyDescent="0.25">
      <c r="A135" s="46" t="s">
        <v>101</v>
      </c>
      <c r="B135" s="3" t="s">
        <v>102</v>
      </c>
      <c r="C135" s="3" t="s">
        <v>46</v>
      </c>
      <c r="D135" s="3">
        <v>2</v>
      </c>
      <c r="E135" s="3" t="s">
        <v>1855</v>
      </c>
      <c r="F135" s="3">
        <v>54.1</v>
      </c>
      <c r="G135" s="20">
        <f t="shared" si="4"/>
        <v>33.542000000000002</v>
      </c>
      <c r="H135" s="20">
        <f t="shared" si="6"/>
        <v>67.084000000000003</v>
      </c>
      <c r="J135" s="43" t="s">
        <v>1899</v>
      </c>
    </row>
    <row r="136" spans="1:10" x14ac:dyDescent="0.25">
      <c r="A136" s="46" t="s">
        <v>16</v>
      </c>
      <c r="B136" s="3" t="s">
        <v>17</v>
      </c>
      <c r="C136" s="3" t="s">
        <v>46</v>
      </c>
      <c r="D136" s="3">
        <v>2</v>
      </c>
      <c r="E136" s="3" t="s">
        <v>1855</v>
      </c>
      <c r="F136" s="3">
        <v>24.1</v>
      </c>
      <c r="G136" s="20">
        <f t="shared" si="4"/>
        <v>14.942</v>
      </c>
      <c r="H136" s="20">
        <f t="shared" si="6"/>
        <v>29.884</v>
      </c>
      <c r="J136" s="43" t="s">
        <v>1869</v>
      </c>
    </row>
    <row r="137" spans="1:10" x14ac:dyDescent="0.25">
      <c r="A137" s="46" t="s">
        <v>144</v>
      </c>
      <c r="B137" s="3" t="s">
        <v>145</v>
      </c>
      <c r="C137" s="3" t="s">
        <v>46</v>
      </c>
      <c r="D137" s="3">
        <v>4</v>
      </c>
      <c r="E137" s="3" t="s">
        <v>1855</v>
      </c>
      <c r="F137" s="3">
        <v>75.5</v>
      </c>
      <c r="G137" s="20">
        <f t="shared" si="4"/>
        <v>46.81</v>
      </c>
      <c r="H137" s="20">
        <f t="shared" si="6"/>
        <v>187.24</v>
      </c>
      <c r="J137" s="43" t="s">
        <v>1920</v>
      </c>
    </row>
    <row r="138" spans="1:10" x14ac:dyDescent="0.25">
      <c r="A138" s="46" t="s">
        <v>119</v>
      </c>
      <c r="B138" s="3" t="s">
        <v>120</v>
      </c>
      <c r="C138" s="3" t="s">
        <v>46</v>
      </c>
      <c r="D138" s="3">
        <v>8</v>
      </c>
      <c r="E138" s="3" t="s">
        <v>1855</v>
      </c>
      <c r="F138" s="3">
        <v>68.099999999999994</v>
      </c>
      <c r="G138" s="20">
        <f t="shared" si="4"/>
        <v>42.221999999999994</v>
      </c>
      <c r="H138" s="20">
        <f t="shared" si="6"/>
        <v>337.77599999999995</v>
      </c>
      <c r="J138" s="43" t="s">
        <v>1908</v>
      </c>
    </row>
    <row r="139" spans="1:10" x14ac:dyDescent="0.25">
      <c r="A139" s="46" t="s">
        <v>146</v>
      </c>
      <c r="B139" s="3" t="s">
        <v>147</v>
      </c>
      <c r="C139" s="3" t="s">
        <v>46</v>
      </c>
      <c r="D139" s="3">
        <v>4</v>
      </c>
      <c r="E139" s="3" t="s">
        <v>1855</v>
      </c>
      <c r="F139" s="3">
        <v>39.1</v>
      </c>
      <c r="G139" s="20">
        <f t="shared" si="4"/>
        <v>24.242000000000001</v>
      </c>
      <c r="H139" s="20">
        <f t="shared" si="6"/>
        <v>96.968000000000004</v>
      </c>
      <c r="J139" s="43" t="s">
        <v>1921</v>
      </c>
    </row>
    <row r="140" spans="1:10" x14ac:dyDescent="0.25">
      <c r="A140" s="46" t="s">
        <v>148</v>
      </c>
      <c r="B140" s="3" t="s">
        <v>149</v>
      </c>
      <c r="C140" s="3" t="s">
        <v>46</v>
      </c>
      <c r="D140" s="3">
        <v>2</v>
      </c>
      <c r="E140" s="3" t="s">
        <v>1855</v>
      </c>
      <c r="F140" s="3">
        <v>15.3</v>
      </c>
      <c r="G140" s="20">
        <f t="shared" si="4"/>
        <v>9.4860000000000007</v>
      </c>
      <c r="H140" s="20">
        <f t="shared" si="6"/>
        <v>18.972000000000001</v>
      </c>
      <c r="J140" s="43" t="s">
        <v>1922</v>
      </c>
    </row>
    <row r="141" spans="1:10" x14ac:dyDescent="0.25">
      <c r="A141" s="46" t="s">
        <v>150</v>
      </c>
      <c r="B141" s="3" t="s">
        <v>151</v>
      </c>
      <c r="C141" s="3" t="s">
        <v>46</v>
      </c>
      <c r="D141" s="3">
        <v>4</v>
      </c>
      <c r="E141" s="3" t="s">
        <v>1855</v>
      </c>
      <c r="F141" s="3">
        <v>31.7</v>
      </c>
      <c r="G141" s="20">
        <f t="shared" ref="G141:G204" si="7">F141-(F141*38%)</f>
        <v>19.654</v>
      </c>
      <c r="H141" s="20">
        <f t="shared" si="6"/>
        <v>78.616</v>
      </c>
      <c r="J141" s="43" t="s">
        <v>1923</v>
      </c>
    </row>
    <row r="142" spans="1:10" x14ac:dyDescent="0.25">
      <c r="A142" s="46" t="s">
        <v>10</v>
      </c>
      <c r="B142" s="3" t="s">
        <v>11</v>
      </c>
      <c r="C142" s="3" t="s">
        <v>46</v>
      </c>
      <c r="D142" s="3">
        <v>4</v>
      </c>
      <c r="E142" s="3" t="s">
        <v>1855</v>
      </c>
      <c r="F142" s="3">
        <v>30</v>
      </c>
      <c r="G142" s="20">
        <f t="shared" si="7"/>
        <v>18.600000000000001</v>
      </c>
      <c r="H142" s="20">
        <f t="shared" si="6"/>
        <v>74.400000000000006</v>
      </c>
      <c r="J142" s="43" t="s">
        <v>1866</v>
      </c>
    </row>
    <row r="143" spans="1:10" x14ac:dyDescent="0.25">
      <c r="A143" s="46" t="s">
        <v>152</v>
      </c>
      <c r="B143" s="3" t="s">
        <v>153</v>
      </c>
      <c r="C143" s="3" t="s">
        <v>46</v>
      </c>
      <c r="D143" s="3">
        <v>2</v>
      </c>
      <c r="E143" s="3" t="s">
        <v>1855</v>
      </c>
      <c r="F143" s="3">
        <v>233</v>
      </c>
      <c r="G143" s="20">
        <f t="shared" si="7"/>
        <v>144.45999999999998</v>
      </c>
      <c r="H143" s="20">
        <f t="shared" si="6"/>
        <v>288.91999999999996</v>
      </c>
      <c r="J143" s="43" t="s">
        <v>1924</v>
      </c>
    </row>
    <row r="144" spans="1:10" x14ac:dyDescent="0.25">
      <c r="A144" s="46" t="s">
        <v>148</v>
      </c>
      <c r="B144" s="3" t="s">
        <v>149</v>
      </c>
      <c r="C144" s="3" t="s">
        <v>46</v>
      </c>
      <c r="D144" s="3">
        <v>2</v>
      </c>
      <c r="E144" s="3" t="s">
        <v>1855</v>
      </c>
      <c r="F144" s="3">
        <v>15.3</v>
      </c>
      <c r="G144" s="20">
        <f t="shared" si="7"/>
        <v>9.4860000000000007</v>
      </c>
      <c r="H144" s="20">
        <f t="shared" si="6"/>
        <v>18.972000000000001</v>
      </c>
      <c r="J144" s="43" t="s">
        <v>1922</v>
      </c>
    </row>
    <row r="145" spans="1:10" x14ac:dyDescent="0.25">
      <c r="A145" s="46" t="s">
        <v>154</v>
      </c>
      <c r="B145" s="3" t="s">
        <v>155</v>
      </c>
      <c r="C145" s="3" t="s">
        <v>46</v>
      </c>
      <c r="D145" s="3">
        <v>2</v>
      </c>
      <c r="E145" s="3" t="s">
        <v>1855</v>
      </c>
      <c r="F145" s="3">
        <v>11.4</v>
      </c>
      <c r="G145" s="20">
        <f t="shared" si="7"/>
        <v>7.0680000000000005</v>
      </c>
      <c r="H145" s="20">
        <f t="shared" si="6"/>
        <v>14.136000000000001</v>
      </c>
      <c r="J145" s="43" t="s">
        <v>1925</v>
      </c>
    </row>
    <row r="146" spans="1:10" x14ac:dyDescent="0.25">
      <c r="A146" s="46" t="s">
        <v>156</v>
      </c>
      <c r="B146" s="3" t="s">
        <v>157</v>
      </c>
      <c r="C146" s="3" t="s">
        <v>46</v>
      </c>
      <c r="D146" s="3">
        <v>2</v>
      </c>
      <c r="E146" s="3" t="s">
        <v>1855</v>
      </c>
      <c r="F146" s="3">
        <v>71.2</v>
      </c>
      <c r="G146" s="20">
        <f t="shared" si="7"/>
        <v>44.144000000000005</v>
      </c>
      <c r="H146" s="20">
        <f t="shared" si="6"/>
        <v>88.288000000000011</v>
      </c>
      <c r="J146" s="43" t="s">
        <v>1926</v>
      </c>
    </row>
    <row r="147" spans="1:10" x14ac:dyDescent="0.25">
      <c r="A147" s="48" t="s">
        <v>158</v>
      </c>
      <c r="B147" s="3" t="s">
        <v>159</v>
      </c>
      <c r="C147" s="3" t="s">
        <v>46</v>
      </c>
      <c r="D147" s="3">
        <v>2</v>
      </c>
      <c r="E147" s="3" t="s">
        <v>1855</v>
      </c>
      <c r="F147" s="3">
        <v>31.9</v>
      </c>
      <c r="G147" s="20">
        <f t="shared" si="7"/>
        <v>19.777999999999999</v>
      </c>
      <c r="H147" s="20">
        <f t="shared" si="6"/>
        <v>39.555999999999997</v>
      </c>
      <c r="J147" s="43" t="e">
        <v>#N/A</v>
      </c>
    </row>
    <row r="148" spans="1:10" x14ac:dyDescent="0.25">
      <c r="A148" s="46" t="s">
        <v>1801</v>
      </c>
      <c r="B148" s="3" t="s">
        <v>1802</v>
      </c>
      <c r="C148" s="3" t="s">
        <v>46</v>
      </c>
      <c r="D148" s="3">
        <v>2</v>
      </c>
      <c r="E148" s="3" t="s">
        <v>1856</v>
      </c>
      <c r="F148" s="3">
        <v>501</v>
      </c>
      <c r="G148" s="20">
        <f t="shared" si="7"/>
        <v>310.62</v>
      </c>
      <c r="H148" s="20">
        <f t="shared" si="6"/>
        <v>621.24</v>
      </c>
      <c r="J148" s="43" t="s">
        <v>1927</v>
      </c>
    </row>
    <row r="149" spans="1:10" x14ac:dyDescent="0.25">
      <c r="A149" s="46" t="s">
        <v>1793</v>
      </c>
      <c r="B149" s="3" t="s">
        <v>1794</v>
      </c>
      <c r="C149" s="3" t="s">
        <v>46</v>
      </c>
      <c r="D149" s="3">
        <v>2</v>
      </c>
      <c r="E149" s="3" t="s">
        <v>1855</v>
      </c>
      <c r="F149" s="3">
        <v>96.6</v>
      </c>
      <c r="G149" s="20">
        <f t="shared" si="7"/>
        <v>59.891999999999996</v>
      </c>
      <c r="H149" s="20">
        <f t="shared" si="6"/>
        <v>119.78399999999999</v>
      </c>
      <c r="J149" s="43" t="s">
        <v>1881</v>
      </c>
    </row>
    <row r="150" spans="1:10" s="10" customFormat="1" x14ac:dyDescent="0.25">
      <c r="A150" s="50"/>
      <c r="B150" s="11" t="s">
        <v>160</v>
      </c>
      <c r="C150" s="9"/>
      <c r="D150" s="9"/>
      <c r="E150" s="9"/>
      <c r="F150" s="9"/>
      <c r="G150" s="9"/>
      <c r="H150" s="21"/>
      <c r="J150" s="43"/>
    </row>
    <row r="151" spans="1:10" s="5" customFormat="1" x14ac:dyDescent="0.25">
      <c r="A151" s="51"/>
      <c r="B151" s="6" t="s">
        <v>161</v>
      </c>
      <c r="C151" s="4"/>
      <c r="D151" s="29"/>
      <c r="E151" s="4"/>
      <c r="F151" s="4"/>
      <c r="G151" s="4"/>
      <c r="H151" s="19"/>
      <c r="J151" s="43"/>
    </row>
    <row r="152" spans="1:10" x14ac:dyDescent="0.25">
      <c r="A152" s="46" t="s">
        <v>162</v>
      </c>
      <c r="B152" s="3" t="s">
        <v>163</v>
      </c>
      <c r="C152" s="3" t="s">
        <v>46</v>
      </c>
      <c r="D152" s="3">
        <v>1</v>
      </c>
      <c r="E152" s="3" t="s">
        <v>1855</v>
      </c>
      <c r="F152" s="3">
        <v>3850</v>
      </c>
      <c r="G152" s="20">
        <f t="shared" si="7"/>
        <v>2387</v>
      </c>
      <c r="H152" s="20">
        <f t="shared" ref="H152:H164" si="8">G152*D152</f>
        <v>2387</v>
      </c>
      <c r="J152" s="43" t="s">
        <v>1928</v>
      </c>
    </row>
    <row r="153" spans="1:10" x14ac:dyDescent="0.25">
      <c r="A153" s="46" t="s">
        <v>164</v>
      </c>
      <c r="B153" s="3" t="s">
        <v>165</v>
      </c>
      <c r="C153" s="3" t="s">
        <v>46</v>
      </c>
      <c r="D153" s="3">
        <v>1</v>
      </c>
      <c r="E153" s="3" t="s">
        <v>1855</v>
      </c>
      <c r="F153" s="3">
        <v>612</v>
      </c>
      <c r="G153" s="20">
        <f t="shared" si="7"/>
        <v>379.44</v>
      </c>
      <c r="H153" s="20">
        <f t="shared" si="8"/>
        <v>379.44</v>
      </c>
      <c r="J153" s="43" t="s">
        <v>1929</v>
      </c>
    </row>
    <row r="154" spans="1:10" x14ac:dyDescent="0.25">
      <c r="A154" s="46" t="s">
        <v>166</v>
      </c>
      <c r="B154" s="3" t="s">
        <v>167</v>
      </c>
      <c r="C154" s="3" t="s">
        <v>46</v>
      </c>
      <c r="D154" s="3">
        <v>1</v>
      </c>
      <c r="E154" s="3" t="s">
        <v>1855</v>
      </c>
      <c r="F154" s="3">
        <v>2870</v>
      </c>
      <c r="G154" s="20">
        <f t="shared" si="7"/>
        <v>1779.4</v>
      </c>
      <c r="H154" s="20">
        <f t="shared" si="8"/>
        <v>1779.4</v>
      </c>
      <c r="J154" s="43" t="s">
        <v>1930</v>
      </c>
    </row>
    <row r="155" spans="1:10" x14ac:dyDescent="0.25">
      <c r="A155" s="46" t="s">
        <v>168</v>
      </c>
      <c r="B155" s="3" t="s">
        <v>169</v>
      </c>
      <c r="C155" s="3" t="s">
        <v>46</v>
      </c>
      <c r="D155" s="3">
        <v>2</v>
      </c>
      <c r="E155" s="3" t="s">
        <v>1855</v>
      </c>
      <c r="F155" s="3">
        <v>1235</v>
      </c>
      <c r="G155" s="20">
        <f t="shared" si="7"/>
        <v>765.7</v>
      </c>
      <c r="H155" s="20">
        <f t="shared" si="8"/>
        <v>1531.4</v>
      </c>
      <c r="J155" s="43" t="s">
        <v>1931</v>
      </c>
    </row>
    <row r="156" spans="1:10" x14ac:dyDescent="0.25">
      <c r="A156" s="46" t="s">
        <v>170</v>
      </c>
      <c r="B156" s="3" t="s">
        <v>171</v>
      </c>
      <c r="C156" s="3" t="s">
        <v>46</v>
      </c>
      <c r="D156" s="3">
        <v>6</v>
      </c>
      <c r="E156" s="3" t="s">
        <v>1855</v>
      </c>
      <c r="F156" s="3">
        <v>1115</v>
      </c>
      <c r="G156" s="20">
        <f t="shared" si="7"/>
        <v>691.3</v>
      </c>
      <c r="H156" s="20">
        <f t="shared" si="8"/>
        <v>4147.7999999999993</v>
      </c>
      <c r="J156" s="43" t="s">
        <v>1932</v>
      </c>
    </row>
    <row r="157" spans="1:10" x14ac:dyDescent="0.25">
      <c r="A157" s="46" t="s">
        <v>172</v>
      </c>
      <c r="B157" s="3" t="s">
        <v>173</v>
      </c>
      <c r="C157" s="3" t="s">
        <v>46</v>
      </c>
      <c r="D157" s="3">
        <v>6</v>
      </c>
      <c r="E157" s="3" t="s">
        <v>1855</v>
      </c>
      <c r="F157" s="3">
        <v>235</v>
      </c>
      <c r="G157" s="20">
        <f t="shared" si="7"/>
        <v>145.69999999999999</v>
      </c>
      <c r="H157" s="20">
        <f t="shared" si="8"/>
        <v>874.19999999999993</v>
      </c>
      <c r="J157" s="43" t="s">
        <v>1933</v>
      </c>
    </row>
    <row r="158" spans="1:10" x14ac:dyDescent="0.25">
      <c r="A158" s="46" t="s">
        <v>174</v>
      </c>
      <c r="B158" s="3" t="s">
        <v>175</v>
      </c>
      <c r="C158" s="3" t="s">
        <v>46</v>
      </c>
      <c r="D158" s="3">
        <v>1</v>
      </c>
      <c r="E158" s="3" t="s">
        <v>1855</v>
      </c>
      <c r="F158" s="3">
        <v>703</v>
      </c>
      <c r="G158" s="20">
        <f t="shared" si="7"/>
        <v>435.86</v>
      </c>
      <c r="H158" s="20">
        <f t="shared" si="8"/>
        <v>435.86</v>
      </c>
      <c r="J158" s="43" t="s">
        <v>1934</v>
      </c>
    </row>
    <row r="159" spans="1:10" x14ac:dyDescent="0.25">
      <c r="A159" s="46" t="s">
        <v>176</v>
      </c>
      <c r="B159" s="3" t="s">
        <v>177</v>
      </c>
      <c r="C159" s="3" t="s">
        <v>46</v>
      </c>
      <c r="D159" s="3">
        <v>1</v>
      </c>
      <c r="E159" s="3" t="s">
        <v>1855</v>
      </c>
      <c r="F159" s="3">
        <v>246</v>
      </c>
      <c r="G159" s="20">
        <f t="shared" si="7"/>
        <v>152.51999999999998</v>
      </c>
      <c r="H159" s="20">
        <f t="shared" si="8"/>
        <v>152.51999999999998</v>
      </c>
      <c r="J159" s="43" t="s">
        <v>1935</v>
      </c>
    </row>
    <row r="160" spans="1:10" x14ac:dyDescent="0.25">
      <c r="A160" s="46" t="s">
        <v>178</v>
      </c>
      <c r="B160" s="3" t="s">
        <v>179</v>
      </c>
      <c r="C160" s="3" t="s">
        <v>46</v>
      </c>
      <c r="D160" s="3">
        <v>4</v>
      </c>
      <c r="E160" s="3" t="s">
        <v>1855</v>
      </c>
      <c r="F160" s="3">
        <v>378.5</v>
      </c>
      <c r="G160" s="20">
        <f t="shared" si="7"/>
        <v>234.67</v>
      </c>
      <c r="H160" s="20">
        <f t="shared" si="8"/>
        <v>938.68</v>
      </c>
      <c r="J160" s="43" t="s">
        <v>1936</v>
      </c>
    </row>
    <row r="161" spans="1:10" x14ac:dyDescent="0.25">
      <c r="A161" s="46" t="s">
        <v>180</v>
      </c>
      <c r="B161" s="3" t="s">
        <v>181</v>
      </c>
      <c r="C161" s="3" t="s">
        <v>46</v>
      </c>
      <c r="D161" s="3">
        <v>1</v>
      </c>
      <c r="E161" s="3" t="s">
        <v>1855</v>
      </c>
      <c r="F161" s="3">
        <v>356.5</v>
      </c>
      <c r="G161" s="20">
        <f t="shared" si="7"/>
        <v>221.03</v>
      </c>
      <c r="H161" s="20">
        <f t="shared" si="8"/>
        <v>221.03</v>
      </c>
      <c r="J161" s="43" t="s">
        <v>1937</v>
      </c>
    </row>
    <row r="162" spans="1:10" x14ac:dyDescent="0.25">
      <c r="A162" s="46" t="s">
        <v>182</v>
      </c>
      <c r="B162" s="3" t="s">
        <v>183</v>
      </c>
      <c r="C162" s="3" t="s">
        <v>46</v>
      </c>
      <c r="D162" s="3">
        <v>1</v>
      </c>
      <c r="E162" s="3" t="s">
        <v>1855</v>
      </c>
      <c r="F162" s="3">
        <v>400.5</v>
      </c>
      <c r="G162" s="20">
        <f t="shared" si="7"/>
        <v>248.31</v>
      </c>
      <c r="H162" s="20">
        <f t="shared" si="8"/>
        <v>248.31</v>
      </c>
      <c r="J162" s="43" t="s">
        <v>1938</v>
      </c>
    </row>
    <row r="163" spans="1:10" x14ac:dyDescent="0.25">
      <c r="A163" s="46" t="s">
        <v>1803</v>
      </c>
      <c r="B163" s="3" t="s">
        <v>1805</v>
      </c>
      <c r="C163" s="3" t="s">
        <v>46</v>
      </c>
      <c r="D163" s="3">
        <v>1</v>
      </c>
      <c r="E163" s="3" t="s">
        <v>1856</v>
      </c>
      <c r="F163" s="3">
        <v>639</v>
      </c>
      <c r="G163" s="20">
        <f t="shared" si="7"/>
        <v>396.18</v>
      </c>
      <c r="H163" s="20">
        <f t="shared" si="8"/>
        <v>396.18</v>
      </c>
      <c r="J163" s="43" t="s">
        <v>1939</v>
      </c>
    </row>
    <row r="164" spans="1:10" x14ac:dyDescent="0.25">
      <c r="A164" s="46" t="s">
        <v>1804</v>
      </c>
      <c r="B164" s="3" t="s">
        <v>1806</v>
      </c>
      <c r="C164" s="3" t="s">
        <v>46</v>
      </c>
      <c r="D164" s="3">
        <v>1</v>
      </c>
      <c r="E164" s="3" t="s">
        <v>1855</v>
      </c>
      <c r="F164" s="3">
        <v>123</v>
      </c>
      <c r="G164" s="20">
        <f t="shared" si="7"/>
        <v>76.259999999999991</v>
      </c>
      <c r="H164" s="20">
        <f t="shared" si="8"/>
        <v>76.259999999999991</v>
      </c>
      <c r="J164" s="43" t="s">
        <v>1940</v>
      </c>
    </row>
    <row r="165" spans="1:10" s="5" customFormat="1" x14ac:dyDescent="0.25">
      <c r="A165" s="51"/>
      <c r="B165" s="6" t="s">
        <v>184</v>
      </c>
      <c r="C165" s="4"/>
      <c r="D165" s="29"/>
      <c r="E165" s="4"/>
      <c r="F165" s="4"/>
      <c r="G165" s="4"/>
      <c r="H165" s="19"/>
      <c r="J165" s="43"/>
    </row>
    <row r="166" spans="1:10" x14ac:dyDescent="0.25">
      <c r="A166" s="46" t="s">
        <v>185</v>
      </c>
      <c r="B166" s="3" t="s">
        <v>186</v>
      </c>
      <c r="C166" s="3" t="s">
        <v>46</v>
      </c>
      <c r="D166" s="3">
        <v>4</v>
      </c>
      <c r="E166" s="3" t="s">
        <v>1855</v>
      </c>
      <c r="F166" s="3">
        <v>120</v>
      </c>
      <c r="G166" s="20">
        <f t="shared" si="7"/>
        <v>74.400000000000006</v>
      </c>
      <c r="H166" s="20">
        <f t="shared" ref="H166:H210" si="9">G166*D166</f>
        <v>297.60000000000002</v>
      </c>
      <c r="J166" s="43" t="s">
        <v>1941</v>
      </c>
    </row>
    <row r="167" spans="1:10" x14ac:dyDescent="0.25">
      <c r="A167" s="46" t="s">
        <v>187</v>
      </c>
      <c r="B167" s="3" t="s">
        <v>188</v>
      </c>
      <c r="C167" s="3" t="s">
        <v>46</v>
      </c>
      <c r="D167" s="3">
        <v>2</v>
      </c>
      <c r="E167" s="3" t="s">
        <v>1855</v>
      </c>
      <c r="F167" s="3">
        <v>81.900000000000006</v>
      </c>
      <c r="G167" s="20">
        <f t="shared" si="7"/>
        <v>50.778000000000006</v>
      </c>
      <c r="H167" s="20">
        <f t="shared" si="9"/>
        <v>101.55600000000001</v>
      </c>
      <c r="J167" s="43" t="s">
        <v>1942</v>
      </c>
    </row>
    <row r="168" spans="1:10" x14ac:dyDescent="0.25">
      <c r="A168" s="46" t="s">
        <v>189</v>
      </c>
      <c r="B168" s="3" t="s">
        <v>190</v>
      </c>
      <c r="C168" s="3" t="s">
        <v>47</v>
      </c>
      <c r="D168" s="3">
        <v>1</v>
      </c>
      <c r="E168" s="3" t="s">
        <v>1855</v>
      </c>
      <c r="F168" s="3">
        <v>70.599999999999994</v>
      </c>
      <c r="G168" s="20">
        <f t="shared" si="7"/>
        <v>43.771999999999991</v>
      </c>
      <c r="H168" s="20">
        <f t="shared" si="9"/>
        <v>43.771999999999991</v>
      </c>
      <c r="J168" s="43" t="s">
        <v>1943</v>
      </c>
    </row>
    <row r="169" spans="1:10" x14ac:dyDescent="0.25">
      <c r="A169" s="46" t="s">
        <v>103</v>
      </c>
      <c r="B169" s="3" t="s">
        <v>104</v>
      </c>
      <c r="C169" s="3" t="s">
        <v>47</v>
      </c>
      <c r="D169" s="3">
        <v>1</v>
      </c>
      <c r="E169" s="3" t="s">
        <v>1855</v>
      </c>
      <c r="F169" s="3">
        <v>65.599999999999994</v>
      </c>
      <c r="G169" s="20">
        <f t="shared" si="7"/>
        <v>40.671999999999997</v>
      </c>
      <c r="H169" s="20">
        <f t="shared" si="9"/>
        <v>40.671999999999997</v>
      </c>
      <c r="J169" s="43" t="s">
        <v>1900</v>
      </c>
    </row>
    <row r="170" spans="1:10" x14ac:dyDescent="0.25">
      <c r="A170" s="46" t="s">
        <v>191</v>
      </c>
      <c r="B170" s="3" t="s">
        <v>192</v>
      </c>
      <c r="C170" s="3" t="s">
        <v>46</v>
      </c>
      <c r="D170" s="3">
        <v>2</v>
      </c>
      <c r="E170" s="3" t="s">
        <v>1855</v>
      </c>
      <c r="F170" s="3">
        <v>200.5</v>
      </c>
      <c r="G170" s="20">
        <f t="shared" si="7"/>
        <v>124.31</v>
      </c>
      <c r="H170" s="20">
        <f t="shared" si="9"/>
        <v>248.62</v>
      </c>
      <c r="J170" s="43" t="s">
        <v>192</v>
      </c>
    </row>
    <row r="171" spans="1:10" x14ac:dyDescent="0.25">
      <c r="A171" s="46" t="s">
        <v>193</v>
      </c>
      <c r="B171" s="3" t="s">
        <v>194</v>
      </c>
      <c r="C171" s="3" t="s">
        <v>46</v>
      </c>
      <c r="D171" s="3">
        <v>1</v>
      </c>
      <c r="E171" s="3" t="s">
        <v>1855</v>
      </c>
      <c r="F171" s="3">
        <v>25.2</v>
      </c>
      <c r="G171" s="20">
        <f t="shared" si="7"/>
        <v>15.623999999999999</v>
      </c>
      <c r="H171" s="20">
        <f t="shared" si="9"/>
        <v>15.623999999999999</v>
      </c>
      <c r="J171" s="43" t="s">
        <v>1944</v>
      </c>
    </row>
    <row r="172" spans="1:10" x14ac:dyDescent="0.25">
      <c r="A172" s="46" t="s">
        <v>195</v>
      </c>
      <c r="B172" s="3" t="s">
        <v>196</v>
      </c>
      <c r="C172" s="3" t="s">
        <v>46</v>
      </c>
      <c r="D172" s="3">
        <v>1</v>
      </c>
      <c r="E172" s="3" t="s">
        <v>1855</v>
      </c>
      <c r="F172" s="3">
        <v>129</v>
      </c>
      <c r="G172" s="20">
        <f t="shared" si="7"/>
        <v>79.97999999999999</v>
      </c>
      <c r="H172" s="20">
        <f t="shared" si="9"/>
        <v>79.97999999999999</v>
      </c>
      <c r="J172" s="43" t="s">
        <v>1945</v>
      </c>
    </row>
    <row r="173" spans="1:10" x14ac:dyDescent="0.25">
      <c r="A173" s="46" t="s">
        <v>197</v>
      </c>
      <c r="B173" s="3" t="s">
        <v>198</v>
      </c>
      <c r="C173" s="3" t="s">
        <v>46</v>
      </c>
      <c r="D173" s="3">
        <v>1</v>
      </c>
      <c r="E173" s="3" t="s">
        <v>1855</v>
      </c>
      <c r="F173" s="3">
        <v>106</v>
      </c>
      <c r="G173" s="20">
        <f t="shared" si="7"/>
        <v>65.72</v>
      </c>
      <c r="H173" s="20">
        <f t="shared" si="9"/>
        <v>65.72</v>
      </c>
      <c r="J173" s="43" t="s">
        <v>1946</v>
      </c>
    </row>
    <row r="174" spans="1:10" x14ac:dyDescent="0.25">
      <c r="A174" s="46" t="s">
        <v>63</v>
      </c>
      <c r="B174" s="3" t="s">
        <v>64</v>
      </c>
      <c r="C174" s="3" t="s">
        <v>47</v>
      </c>
      <c r="D174" s="3">
        <v>1</v>
      </c>
      <c r="E174" s="3" t="s">
        <v>1855</v>
      </c>
      <c r="F174" s="3">
        <v>86.3</v>
      </c>
      <c r="G174" s="20">
        <f t="shared" si="7"/>
        <v>53.506</v>
      </c>
      <c r="H174" s="20">
        <f t="shared" si="9"/>
        <v>53.506</v>
      </c>
      <c r="J174" s="43" t="s">
        <v>1889</v>
      </c>
    </row>
    <row r="175" spans="1:10" x14ac:dyDescent="0.25">
      <c r="A175" s="46" t="s">
        <v>199</v>
      </c>
      <c r="B175" s="3" t="s">
        <v>200</v>
      </c>
      <c r="C175" s="3" t="s">
        <v>47</v>
      </c>
      <c r="D175" s="3">
        <v>2</v>
      </c>
      <c r="E175" s="3" t="s">
        <v>1855</v>
      </c>
      <c r="F175" s="3">
        <v>124</v>
      </c>
      <c r="G175" s="20">
        <f t="shared" si="7"/>
        <v>76.88</v>
      </c>
      <c r="H175" s="20">
        <f t="shared" si="9"/>
        <v>153.76</v>
      </c>
      <c r="J175" s="43" t="s">
        <v>200</v>
      </c>
    </row>
    <row r="176" spans="1:10" x14ac:dyDescent="0.25">
      <c r="A176" s="46" t="s">
        <v>201</v>
      </c>
      <c r="B176" s="3" t="s">
        <v>202</v>
      </c>
      <c r="C176" s="3" t="s">
        <v>47</v>
      </c>
      <c r="D176" s="3">
        <v>1</v>
      </c>
      <c r="E176" s="3" t="s">
        <v>1855</v>
      </c>
      <c r="F176" s="3">
        <v>220.5</v>
      </c>
      <c r="G176" s="20">
        <f t="shared" si="7"/>
        <v>136.70999999999998</v>
      </c>
      <c r="H176" s="20">
        <f t="shared" si="9"/>
        <v>136.70999999999998</v>
      </c>
      <c r="J176" s="43" t="s">
        <v>202</v>
      </c>
    </row>
    <row r="177" spans="1:10" x14ac:dyDescent="0.25">
      <c r="A177" s="46" t="s">
        <v>55</v>
      </c>
      <c r="B177" s="3" t="s">
        <v>56</v>
      </c>
      <c r="C177" s="3" t="s">
        <v>47</v>
      </c>
      <c r="D177" s="3">
        <v>6</v>
      </c>
      <c r="E177" s="3" t="s">
        <v>1855</v>
      </c>
      <c r="F177" s="3">
        <v>23.9</v>
      </c>
      <c r="G177" s="20">
        <f t="shared" si="7"/>
        <v>14.818</v>
      </c>
      <c r="H177" s="20">
        <f t="shared" si="9"/>
        <v>88.908000000000001</v>
      </c>
      <c r="J177" s="43" t="s">
        <v>1885</v>
      </c>
    </row>
    <row r="178" spans="1:10" x14ac:dyDescent="0.25">
      <c r="A178" s="46" t="s">
        <v>203</v>
      </c>
      <c r="B178" s="3" t="s">
        <v>204</v>
      </c>
      <c r="C178" s="3" t="s">
        <v>46</v>
      </c>
      <c r="D178" s="3">
        <v>2</v>
      </c>
      <c r="E178" s="3" t="s">
        <v>1855</v>
      </c>
      <c r="F178" s="3">
        <v>180</v>
      </c>
      <c r="G178" s="20">
        <f t="shared" si="7"/>
        <v>111.6</v>
      </c>
      <c r="H178" s="20">
        <f t="shared" si="9"/>
        <v>223.2</v>
      </c>
      <c r="J178" s="43" t="s">
        <v>1947</v>
      </c>
    </row>
    <row r="179" spans="1:10" x14ac:dyDescent="0.25">
      <c r="A179" s="46" t="s">
        <v>205</v>
      </c>
      <c r="B179" s="3" t="s">
        <v>206</v>
      </c>
      <c r="C179" s="3" t="s">
        <v>46</v>
      </c>
      <c r="D179" s="3">
        <v>2</v>
      </c>
      <c r="E179" s="3" t="s">
        <v>1855</v>
      </c>
      <c r="F179" s="3">
        <v>61.7</v>
      </c>
      <c r="G179" s="20">
        <f t="shared" si="7"/>
        <v>38.254000000000005</v>
      </c>
      <c r="H179" s="20">
        <f t="shared" si="9"/>
        <v>76.50800000000001</v>
      </c>
      <c r="J179" s="43" t="s">
        <v>1948</v>
      </c>
    </row>
    <row r="180" spans="1:10" x14ac:dyDescent="0.25">
      <c r="A180" s="46" t="s">
        <v>207</v>
      </c>
      <c r="B180" s="3" t="s">
        <v>208</v>
      </c>
      <c r="C180" s="3" t="s">
        <v>46</v>
      </c>
      <c r="D180" s="3">
        <v>1</v>
      </c>
      <c r="E180" s="3" t="s">
        <v>1855</v>
      </c>
      <c r="F180" s="3">
        <v>77.099999999999994</v>
      </c>
      <c r="G180" s="20">
        <f t="shared" si="7"/>
        <v>47.801999999999992</v>
      </c>
      <c r="H180" s="20">
        <f t="shared" si="9"/>
        <v>47.801999999999992</v>
      </c>
      <c r="J180" s="43" t="s">
        <v>1949</v>
      </c>
    </row>
    <row r="181" spans="1:10" x14ac:dyDescent="0.25">
      <c r="A181" s="46" t="s">
        <v>209</v>
      </c>
      <c r="B181" s="3" t="s">
        <v>210</v>
      </c>
      <c r="C181" s="3" t="s">
        <v>46</v>
      </c>
      <c r="D181" s="3">
        <v>1</v>
      </c>
      <c r="E181" s="3" t="s">
        <v>1855</v>
      </c>
      <c r="F181" s="3">
        <v>15.3</v>
      </c>
      <c r="G181" s="20">
        <f t="shared" si="7"/>
        <v>9.4860000000000007</v>
      </c>
      <c r="H181" s="20">
        <f t="shared" si="9"/>
        <v>9.4860000000000007</v>
      </c>
      <c r="J181" s="43" t="s">
        <v>1950</v>
      </c>
    </row>
    <row r="182" spans="1:10" x14ac:dyDescent="0.25">
      <c r="A182" s="46" t="s">
        <v>211</v>
      </c>
      <c r="B182" s="3" t="s">
        <v>212</v>
      </c>
      <c r="C182" s="3" t="s">
        <v>47</v>
      </c>
      <c r="D182" s="3">
        <v>5</v>
      </c>
      <c r="E182" s="3" t="s">
        <v>1855</v>
      </c>
      <c r="F182" s="3">
        <v>151</v>
      </c>
      <c r="G182" s="20">
        <f t="shared" si="7"/>
        <v>93.62</v>
      </c>
      <c r="H182" s="20">
        <f t="shared" si="9"/>
        <v>468.1</v>
      </c>
      <c r="J182" s="43" t="s">
        <v>1951</v>
      </c>
    </row>
    <row r="183" spans="1:10" x14ac:dyDescent="0.25">
      <c r="A183" s="46" t="s">
        <v>213</v>
      </c>
      <c r="B183" s="3" t="s">
        <v>214</v>
      </c>
      <c r="C183" s="3" t="s">
        <v>46</v>
      </c>
      <c r="D183" s="3">
        <v>2</v>
      </c>
      <c r="E183" s="3" t="s">
        <v>1855</v>
      </c>
      <c r="F183" s="3">
        <v>207.5</v>
      </c>
      <c r="G183" s="20">
        <f t="shared" si="7"/>
        <v>128.65</v>
      </c>
      <c r="H183" s="20">
        <f t="shared" si="9"/>
        <v>257.3</v>
      </c>
      <c r="J183" s="43" t="s">
        <v>1952</v>
      </c>
    </row>
    <row r="184" spans="1:10" x14ac:dyDescent="0.25">
      <c r="A184" s="46" t="s">
        <v>215</v>
      </c>
      <c r="B184" s="3" t="s">
        <v>216</v>
      </c>
      <c r="C184" s="3" t="s">
        <v>46</v>
      </c>
      <c r="D184" s="3">
        <v>2</v>
      </c>
      <c r="E184" s="3" t="s">
        <v>1855</v>
      </c>
      <c r="F184" s="3">
        <v>239</v>
      </c>
      <c r="G184" s="20">
        <f t="shared" si="7"/>
        <v>148.18</v>
      </c>
      <c r="H184" s="20">
        <f t="shared" si="9"/>
        <v>296.36</v>
      </c>
      <c r="J184" s="43" t="s">
        <v>1953</v>
      </c>
    </row>
    <row r="185" spans="1:10" x14ac:dyDescent="0.25">
      <c r="A185" s="46" t="s">
        <v>217</v>
      </c>
      <c r="B185" s="3" t="s">
        <v>218</v>
      </c>
      <c r="C185" s="3" t="s">
        <v>47</v>
      </c>
      <c r="D185" s="3">
        <v>2</v>
      </c>
      <c r="E185" s="3" t="s">
        <v>1855</v>
      </c>
      <c r="F185" s="3">
        <v>174.5</v>
      </c>
      <c r="G185" s="20">
        <f t="shared" si="7"/>
        <v>108.19</v>
      </c>
      <c r="H185" s="20">
        <f t="shared" si="9"/>
        <v>216.38</v>
      </c>
      <c r="J185" s="43" t="s">
        <v>1954</v>
      </c>
    </row>
    <row r="186" spans="1:10" x14ac:dyDescent="0.25">
      <c r="A186" s="46" t="s">
        <v>219</v>
      </c>
      <c r="B186" s="3" t="s">
        <v>220</v>
      </c>
      <c r="C186" s="3" t="s">
        <v>46</v>
      </c>
      <c r="D186" s="3">
        <v>1</v>
      </c>
      <c r="E186" s="3" t="s">
        <v>1855</v>
      </c>
      <c r="F186" s="3">
        <v>76.2</v>
      </c>
      <c r="G186" s="20">
        <f t="shared" si="7"/>
        <v>47.244</v>
      </c>
      <c r="H186" s="20">
        <f t="shared" si="9"/>
        <v>47.244</v>
      </c>
      <c r="J186" s="43" t="s">
        <v>1955</v>
      </c>
    </row>
    <row r="187" spans="1:10" x14ac:dyDescent="0.25">
      <c r="A187" s="46" t="s">
        <v>221</v>
      </c>
      <c r="B187" s="3" t="s">
        <v>222</v>
      </c>
      <c r="C187" s="3" t="s">
        <v>46</v>
      </c>
      <c r="D187" s="3">
        <v>2</v>
      </c>
      <c r="E187" s="3" t="s">
        <v>1855</v>
      </c>
      <c r="F187" s="3">
        <v>80.099999999999994</v>
      </c>
      <c r="G187" s="20">
        <f t="shared" si="7"/>
        <v>49.661999999999992</v>
      </c>
      <c r="H187" s="20">
        <f t="shared" si="9"/>
        <v>99.323999999999984</v>
      </c>
      <c r="J187" s="43" t="s">
        <v>1956</v>
      </c>
    </row>
    <row r="188" spans="1:10" x14ac:dyDescent="0.25">
      <c r="A188" s="46" t="s">
        <v>49</v>
      </c>
      <c r="B188" s="3" t="s">
        <v>50</v>
      </c>
      <c r="C188" s="3" t="s">
        <v>47</v>
      </c>
      <c r="D188" s="3">
        <v>1</v>
      </c>
      <c r="E188" s="3" t="s">
        <v>1855</v>
      </c>
      <c r="F188" s="3">
        <v>126.5</v>
      </c>
      <c r="G188" s="20">
        <f t="shared" si="7"/>
        <v>78.430000000000007</v>
      </c>
      <c r="H188" s="20">
        <f t="shared" si="9"/>
        <v>78.430000000000007</v>
      </c>
      <c r="J188" s="43" t="s">
        <v>1882</v>
      </c>
    </row>
    <row r="189" spans="1:10" x14ac:dyDescent="0.25">
      <c r="A189" s="46" t="s">
        <v>223</v>
      </c>
      <c r="B189" s="3" t="s">
        <v>224</v>
      </c>
      <c r="C189" s="3" t="s">
        <v>47</v>
      </c>
      <c r="D189" s="3">
        <v>6</v>
      </c>
      <c r="E189" s="3" t="s">
        <v>1855</v>
      </c>
      <c r="F189" s="3">
        <v>89.9</v>
      </c>
      <c r="G189" s="20">
        <f t="shared" si="7"/>
        <v>55.738000000000007</v>
      </c>
      <c r="H189" s="20">
        <f t="shared" si="9"/>
        <v>334.42800000000005</v>
      </c>
      <c r="J189" s="43" t="s">
        <v>1957</v>
      </c>
    </row>
    <row r="190" spans="1:10" x14ac:dyDescent="0.25">
      <c r="A190" s="46" t="s">
        <v>225</v>
      </c>
      <c r="B190" s="3" t="s">
        <v>226</v>
      </c>
      <c r="C190" s="3" t="s">
        <v>46</v>
      </c>
      <c r="D190" s="3">
        <v>2</v>
      </c>
      <c r="E190" s="3" t="s">
        <v>1855</v>
      </c>
      <c r="F190" s="3">
        <v>249</v>
      </c>
      <c r="G190" s="20">
        <f t="shared" si="7"/>
        <v>154.38</v>
      </c>
      <c r="H190" s="20">
        <f t="shared" si="9"/>
        <v>308.76</v>
      </c>
      <c r="J190" s="43" t="s">
        <v>1958</v>
      </c>
    </row>
    <row r="191" spans="1:10" x14ac:dyDescent="0.25">
      <c r="A191" s="48" t="s">
        <v>99</v>
      </c>
      <c r="B191" s="3" t="s">
        <v>100</v>
      </c>
      <c r="C191" s="3" t="s">
        <v>46</v>
      </c>
      <c r="D191" s="3">
        <v>2</v>
      </c>
      <c r="E191" s="3" t="s">
        <v>1855</v>
      </c>
      <c r="F191" s="3">
        <v>11.9</v>
      </c>
      <c r="G191" s="20">
        <f t="shared" si="7"/>
        <v>7.3780000000000001</v>
      </c>
      <c r="H191" s="20">
        <f t="shared" si="9"/>
        <v>14.756</v>
      </c>
      <c r="J191" s="43" t="e">
        <v>#N/A</v>
      </c>
    </row>
    <row r="192" spans="1:10" x14ac:dyDescent="0.25">
      <c r="A192" s="46" t="s">
        <v>227</v>
      </c>
      <c r="B192" s="3" t="s">
        <v>228</v>
      </c>
      <c r="C192" s="3" t="s">
        <v>47</v>
      </c>
      <c r="D192" s="3">
        <v>2</v>
      </c>
      <c r="E192" s="3" t="s">
        <v>1855</v>
      </c>
      <c r="F192" s="3">
        <v>116.5</v>
      </c>
      <c r="G192" s="20">
        <f t="shared" si="7"/>
        <v>72.22999999999999</v>
      </c>
      <c r="H192" s="20">
        <f t="shared" si="9"/>
        <v>144.45999999999998</v>
      </c>
      <c r="J192" s="43" t="s">
        <v>228</v>
      </c>
    </row>
    <row r="193" spans="1:10" x14ac:dyDescent="0.25">
      <c r="A193" s="46" t="s">
        <v>26</v>
      </c>
      <c r="B193" s="3" t="s">
        <v>27</v>
      </c>
      <c r="C193" s="3" t="s">
        <v>46</v>
      </c>
      <c r="D193" s="3">
        <v>1</v>
      </c>
      <c r="E193" s="3" t="s">
        <v>1855</v>
      </c>
      <c r="F193" s="3">
        <v>6.81</v>
      </c>
      <c r="G193" s="20">
        <f t="shared" si="7"/>
        <v>4.2221999999999991</v>
      </c>
      <c r="H193" s="20">
        <f t="shared" si="9"/>
        <v>4.2221999999999991</v>
      </c>
      <c r="J193" s="43" t="s">
        <v>1873</v>
      </c>
    </row>
    <row r="194" spans="1:10" x14ac:dyDescent="0.25">
      <c r="A194" s="46" t="s">
        <v>229</v>
      </c>
      <c r="B194" s="3" t="s">
        <v>230</v>
      </c>
      <c r="C194" s="3" t="s">
        <v>46</v>
      </c>
      <c r="D194" s="3">
        <v>5</v>
      </c>
      <c r="E194" s="3" t="s">
        <v>1855</v>
      </c>
      <c r="F194" s="3">
        <v>62.5</v>
      </c>
      <c r="G194" s="20">
        <f t="shared" si="7"/>
        <v>38.75</v>
      </c>
      <c r="H194" s="20">
        <f t="shared" si="9"/>
        <v>193.75</v>
      </c>
      <c r="J194" s="43" t="s">
        <v>1959</v>
      </c>
    </row>
    <row r="195" spans="1:10" x14ac:dyDescent="0.25">
      <c r="A195" s="46" t="s">
        <v>231</v>
      </c>
      <c r="B195" s="3" t="s">
        <v>232</v>
      </c>
      <c r="C195" s="3" t="s">
        <v>46</v>
      </c>
      <c r="D195" s="3">
        <v>4</v>
      </c>
      <c r="E195" s="3" t="s">
        <v>1855</v>
      </c>
      <c r="F195" s="3">
        <v>112.5</v>
      </c>
      <c r="G195" s="20">
        <f t="shared" si="7"/>
        <v>69.75</v>
      </c>
      <c r="H195" s="20">
        <f t="shared" si="9"/>
        <v>279</v>
      </c>
      <c r="J195" s="43" t="s">
        <v>1960</v>
      </c>
    </row>
    <row r="196" spans="1:10" x14ac:dyDescent="0.25">
      <c r="A196" s="46" t="s">
        <v>233</v>
      </c>
      <c r="B196" s="3" t="s">
        <v>234</v>
      </c>
      <c r="C196" s="3" t="s">
        <v>47</v>
      </c>
      <c r="D196" s="3">
        <v>5</v>
      </c>
      <c r="E196" s="3" t="s">
        <v>1855</v>
      </c>
      <c r="F196" s="3">
        <v>49.5</v>
      </c>
      <c r="G196" s="20">
        <f t="shared" si="7"/>
        <v>30.69</v>
      </c>
      <c r="H196" s="20">
        <f t="shared" si="9"/>
        <v>153.45000000000002</v>
      </c>
      <c r="J196" s="43" t="s">
        <v>1961</v>
      </c>
    </row>
    <row r="197" spans="1:10" x14ac:dyDescent="0.25">
      <c r="A197" s="46" t="s">
        <v>235</v>
      </c>
      <c r="B197" s="3" t="s">
        <v>236</v>
      </c>
      <c r="C197" s="3" t="s">
        <v>47</v>
      </c>
      <c r="D197" s="3">
        <v>2</v>
      </c>
      <c r="E197" s="3" t="s">
        <v>1855</v>
      </c>
      <c r="F197" s="3">
        <v>359</v>
      </c>
      <c r="G197" s="20">
        <f t="shared" si="7"/>
        <v>222.58</v>
      </c>
      <c r="H197" s="20">
        <f t="shared" si="9"/>
        <v>445.16</v>
      </c>
      <c r="J197" s="43" t="s">
        <v>1962</v>
      </c>
    </row>
    <row r="198" spans="1:10" x14ac:dyDescent="0.25">
      <c r="A198" s="46" t="s">
        <v>237</v>
      </c>
      <c r="B198" s="3" t="s">
        <v>238</v>
      </c>
      <c r="C198" s="3" t="s">
        <v>47</v>
      </c>
      <c r="D198" s="3">
        <v>2</v>
      </c>
      <c r="E198" s="3" t="s">
        <v>1855</v>
      </c>
      <c r="F198" s="3">
        <v>44.1</v>
      </c>
      <c r="G198" s="20">
        <f t="shared" si="7"/>
        <v>27.342000000000002</v>
      </c>
      <c r="H198" s="20">
        <f t="shared" si="9"/>
        <v>54.684000000000005</v>
      </c>
      <c r="J198" s="43" t="s">
        <v>1963</v>
      </c>
    </row>
    <row r="199" spans="1:10" x14ac:dyDescent="0.25">
      <c r="A199" s="46" t="s">
        <v>239</v>
      </c>
      <c r="B199" s="3" t="s">
        <v>240</v>
      </c>
      <c r="C199" s="3" t="s">
        <v>46</v>
      </c>
      <c r="D199" s="3">
        <v>2</v>
      </c>
      <c r="E199" s="3" t="s">
        <v>1855</v>
      </c>
      <c r="F199" s="3">
        <v>269.5</v>
      </c>
      <c r="G199" s="20">
        <f t="shared" si="7"/>
        <v>167.09</v>
      </c>
      <c r="H199" s="20">
        <f t="shared" si="9"/>
        <v>334.18</v>
      </c>
      <c r="J199" s="43" t="s">
        <v>1964</v>
      </c>
    </row>
    <row r="200" spans="1:10" x14ac:dyDescent="0.25">
      <c r="A200" s="46" t="s">
        <v>241</v>
      </c>
      <c r="B200" s="3" t="s">
        <v>242</v>
      </c>
      <c r="C200" s="3" t="s">
        <v>47</v>
      </c>
      <c r="D200" s="3">
        <v>2</v>
      </c>
      <c r="E200" s="3" t="s">
        <v>1855</v>
      </c>
      <c r="F200" s="3">
        <v>312.5</v>
      </c>
      <c r="G200" s="20">
        <f t="shared" si="7"/>
        <v>193.75</v>
      </c>
      <c r="H200" s="20">
        <f t="shared" si="9"/>
        <v>387.5</v>
      </c>
      <c r="J200" s="43" t="s">
        <v>1965</v>
      </c>
    </row>
    <row r="201" spans="1:10" x14ac:dyDescent="0.25">
      <c r="A201" s="46" t="s">
        <v>243</v>
      </c>
      <c r="B201" s="3" t="s">
        <v>244</v>
      </c>
      <c r="C201" s="3" t="s">
        <v>46</v>
      </c>
      <c r="D201" s="3">
        <v>2</v>
      </c>
      <c r="E201" s="3" t="s">
        <v>1855</v>
      </c>
      <c r="F201" s="3">
        <v>37.9</v>
      </c>
      <c r="G201" s="20">
        <f t="shared" si="7"/>
        <v>23.497999999999998</v>
      </c>
      <c r="H201" s="20">
        <f t="shared" si="9"/>
        <v>46.995999999999995</v>
      </c>
      <c r="J201" s="43" t="s">
        <v>244</v>
      </c>
    </row>
    <row r="202" spans="1:10" x14ac:dyDescent="0.25">
      <c r="A202" s="46" t="s">
        <v>245</v>
      </c>
      <c r="B202" s="3" t="s">
        <v>246</v>
      </c>
      <c r="C202" s="3" t="s">
        <v>46</v>
      </c>
      <c r="D202" s="3">
        <v>2</v>
      </c>
      <c r="E202" s="3" t="s">
        <v>1855</v>
      </c>
      <c r="F202" s="3">
        <v>28.9</v>
      </c>
      <c r="G202" s="20">
        <f t="shared" si="7"/>
        <v>17.917999999999999</v>
      </c>
      <c r="H202" s="20">
        <f t="shared" si="9"/>
        <v>35.835999999999999</v>
      </c>
      <c r="J202" s="43" t="s">
        <v>246</v>
      </c>
    </row>
    <row r="203" spans="1:10" x14ac:dyDescent="0.25">
      <c r="A203" s="46" t="s">
        <v>14</v>
      </c>
      <c r="B203" s="3" t="s">
        <v>15</v>
      </c>
      <c r="C203" s="3" t="s">
        <v>46</v>
      </c>
      <c r="D203" s="3">
        <v>2</v>
      </c>
      <c r="E203" s="3" t="s">
        <v>1855</v>
      </c>
      <c r="F203" s="3">
        <v>27.2</v>
      </c>
      <c r="G203" s="20">
        <f t="shared" si="7"/>
        <v>16.863999999999997</v>
      </c>
      <c r="H203" s="20">
        <f t="shared" si="9"/>
        <v>33.727999999999994</v>
      </c>
      <c r="J203" s="43" t="s">
        <v>1868</v>
      </c>
    </row>
    <row r="204" spans="1:10" x14ac:dyDescent="0.25">
      <c r="A204" s="46" t="s">
        <v>247</v>
      </c>
      <c r="B204" s="3" t="s">
        <v>248</v>
      </c>
      <c r="C204" s="3" t="s">
        <v>47</v>
      </c>
      <c r="D204" s="3">
        <v>2</v>
      </c>
      <c r="E204" s="3" t="s">
        <v>1855</v>
      </c>
      <c r="F204" s="3">
        <v>86.7</v>
      </c>
      <c r="G204" s="20">
        <f t="shared" si="7"/>
        <v>53.754000000000005</v>
      </c>
      <c r="H204" s="20">
        <f t="shared" si="9"/>
        <v>107.50800000000001</v>
      </c>
      <c r="J204" s="43" t="s">
        <v>248</v>
      </c>
    </row>
    <row r="205" spans="1:10" x14ac:dyDescent="0.25">
      <c r="A205" s="46" t="s">
        <v>249</v>
      </c>
      <c r="B205" s="3" t="s">
        <v>250</v>
      </c>
      <c r="C205" s="3" t="s">
        <v>46</v>
      </c>
      <c r="D205" s="3">
        <v>1</v>
      </c>
      <c r="E205" s="3" t="s">
        <v>1855</v>
      </c>
      <c r="F205" s="3">
        <v>224.5</v>
      </c>
      <c r="G205" s="20">
        <f t="shared" ref="G205:G268" si="10">F205-(F205*38%)</f>
        <v>139.19</v>
      </c>
      <c r="H205" s="20">
        <f t="shared" si="9"/>
        <v>139.19</v>
      </c>
      <c r="J205" s="43" t="s">
        <v>1966</v>
      </c>
    </row>
    <row r="206" spans="1:10" x14ac:dyDescent="0.25">
      <c r="A206" s="46" t="s">
        <v>251</v>
      </c>
      <c r="B206" s="3" t="s">
        <v>252</v>
      </c>
      <c r="C206" s="3" t="s">
        <v>46</v>
      </c>
      <c r="D206" s="3">
        <v>1</v>
      </c>
      <c r="E206" s="3" t="s">
        <v>1855</v>
      </c>
      <c r="F206" s="3">
        <v>10.7</v>
      </c>
      <c r="G206" s="20">
        <f t="shared" si="10"/>
        <v>6.6339999999999995</v>
      </c>
      <c r="H206" s="20">
        <f t="shared" si="9"/>
        <v>6.6339999999999995</v>
      </c>
      <c r="J206" s="43" t="s">
        <v>1967</v>
      </c>
    </row>
    <row r="207" spans="1:10" x14ac:dyDescent="0.25">
      <c r="A207" s="46" t="s">
        <v>253</v>
      </c>
      <c r="B207" s="3" t="s">
        <v>254</v>
      </c>
      <c r="C207" s="3" t="s">
        <v>46</v>
      </c>
      <c r="D207" s="3">
        <v>2</v>
      </c>
      <c r="E207" s="3" t="s">
        <v>1855</v>
      </c>
      <c r="F207" s="3">
        <v>344.5</v>
      </c>
      <c r="G207" s="20">
        <f t="shared" si="10"/>
        <v>213.59</v>
      </c>
      <c r="H207" s="20">
        <f t="shared" si="9"/>
        <v>427.18</v>
      </c>
      <c r="J207" s="43" t="s">
        <v>1968</v>
      </c>
    </row>
    <row r="208" spans="1:10" x14ac:dyDescent="0.25">
      <c r="A208" s="46" t="s">
        <v>255</v>
      </c>
      <c r="B208" s="3" t="s">
        <v>256</v>
      </c>
      <c r="C208" s="3" t="s">
        <v>46</v>
      </c>
      <c r="D208" s="3">
        <v>2</v>
      </c>
      <c r="E208" s="3" t="s">
        <v>1855</v>
      </c>
      <c r="F208" s="3">
        <v>344.5</v>
      </c>
      <c r="G208" s="20">
        <f t="shared" si="10"/>
        <v>213.59</v>
      </c>
      <c r="H208" s="20">
        <f t="shared" si="9"/>
        <v>427.18</v>
      </c>
      <c r="J208" s="43" t="s">
        <v>1969</v>
      </c>
    </row>
    <row r="209" spans="1:10" x14ac:dyDescent="0.25">
      <c r="A209" s="46" t="s">
        <v>1795</v>
      </c>
      <c r="B209" s="3" t="s">
        <v>1797</v>
      </c>
      <c r="C209" s="3" t="s">
        <v>46</v>
      </c>
      <c r="D209" s="3">
        <v>1</v>
      </c>
      <c r="E209" s="3" t="s">
        <v>1856</v>
      </c>
      <c r="F209" s="3">
        <v>664</v>
      </c>
      <c r="G209" s="20">
        <f t="shared" si="10"/>
        <v>411.68</v>
      </c>
      <c r="H209" s="20">
        <f t="shared" si="9"/>
        <v>411.68</v>
      </c>
      <c r="J209" s="43" t="s">
        <v>1911</v>
      </c>
    </row>
    <row r="210" spans="1:10" x14ac:dyDescent="0.25">
      <c r="A210" s="46" t="s">
        <v>1796</v>
      </c>
      <c r="B210" s="3" t="s">
        <v>1798</v>
      </c>
      <c r="C210" s="3" t="s">
        <v>46</v>
      </c>
      <c r="D210" s="3">
        <v>1</v>
      </c>
      <c r="E210" s="3" t="s">
        <v>1855</v>
      </c>
      <c r="F210" s="3">
        <v>147</v>
      </c>
      <c r="G210" s="20">
        <f t="shared" si="10"/>
        <v>91.14</v>
      </c>
      <c r="H210" s="20">
        <f t="shared" si="9"/>
        <v>91.14</v>
      </c>
      <c r="J210" s="43" t="s">
        <v>1912</v>
      </c>
    </row>
    <row r="211" spans="1:10" s="5" customFormat="1" x14ac:dyDescent="0.25">
      <c r="A211" s="51"/>
      <c r="B211" s="6" t="s">
        <v>257</v>
      </c>
      <c r="C211" s="4"/>
      <c r="D211" s="29"/>
      <c r="E211" s="4"/>
      <c r="F211" s="4"/>
      <c r="G211" s="4"/>
      <c r="H211" s="19"/>
      <c r="J211" s="43"/>
    </row>
    <row r="212" spans="1:10" x14ac:dyDescent="0.25">
      <c r="A212" s="46" t="s">
        <v>185</v>
      </c>
      <c r="B212" s="3" t="s">
        <v>186</v>
      </c>
      <c r="C212" s="3" t="s">
        <v>46</v>
      </c>
      <c r="D212" s="3">
        <v>4</v>
      </c>
      <c r="E212" s="3" t="s">
        <v>1855</v>
      </c>
      <c r="F212" s="3">
        <v>120</v>
      </c>
      <c r="G212" s="20">
        <f t="shared" si="10"/>
        <v>74.400000000000006</v>
      </c>
      <c r="H212" s="20">
        <f t="shared" ref="H212:H257" si="11">G212*D212</f>
        <v>297.60000000000002</v>
      </c>
      <c r="J212" s="43" t="s">
        <v>1941</v>
      </c>
    </row>
    <row r="213" spans="1:10" x14ac:dyDescent="0.25">
      <c r="A213" s="46" t="s">
        <v>187</v>
      </c>
      <c r="B213" s="3" t="s">
        <v>188</v>
      </c>
      <c r="C213" s="3" t="s">
        <v>46</v>
      </c>
      <c r="D213" s="3">
        <v>2</v>
      </c>
      <c r="E213" s="3" t="s">
        <v>1855</v>
      </c>
      <c r="F213" s="3">
        <v>81.900000000000006</v>
      </c>
      <c r="G213" s="20">
        <f t="shared" si="10"/>
        <v>50.778000000000006</v>
      </c>
      <c r="H213" s="20">
        <f t="shared" si="11"/>
        <v>101.55600000000001</v>
      </c>
      <c r="J213" s="43" t="s">
        <v>1942</v>
      </c>
    </row>
    <row r="214" spans="1:10" x14ac:dyDescent="0.25">
      <c r="A214" s="46" t="s">
        <v>189</v>
      </c>
      <c r="B214" s="3" t="s">
        <v>190</v>
      </c>
      <c r="C214" s="3" t="s">
        <v>47</v>
      </c>
      <c r="D214" s="3">
        <v>1</v>
      </c>
      <c r="E214" s="3" t="s">
        <v>1855</v>
      </c>
      <c r="F214" s="3">
        <v>70.599999999999994</v>
      </c>
      <c r="G214" s="20">
        <f t="shared" si="10"/>
        <v>43.771999999999991</v>
      </c>
      <c r="H214" s="20">
        <f t="shared" si="11"/>
        <v>43.771999999999991</v>
      </c>
      <c r="J214" s="43" t="s">
        <v>1943</v>
      </c>
    </row>
    <row r="215" spans="1:10" x14ac:dyDescent="0.25">
      <c r="A215" s="46" t="s">
        <v>103</v>
      </c>
      <c r="B215" s="3" t="s">
        <v>104</v>
      </c>
      <c r="C215" s="3" t="s">
        <v>47</v>
      </c>
      <c r="D215" s="3">
        <v>1</v>
      </c>
      <c r="E215" s="3" t="s">
        <v>1855</v>
      </c>
      <c r="F215" s="3">
        <v>65.599999999999994</v>
      </c>
      <c r="G215" s="20">
        <f t="shared" si="10"/>
        <v>40.671999999999997</v>
      </c>
      <c r="H215" s="20">
        <f t="shared" si="11"/>
        <v>40.671999999999997</v>
      </c>
      <c r="J215" s="43" t="s">
        <v>1900</v>
      </c>
    </row>
    <row r="216" spans="1:10" x14ac:dyDescent="0.25">
      <c r="A216" s="46" t="s">
        <v>191</v>
      </c>
      <c r="B216" s="3" t="s">
        <v>192</v>
      </c>
      <c r="C216" s="3" t="s">
        <v>46</v>
      </c>
      <c r="D216" s="3">
        <v>2</v>
      </c>
      <c r="E216" s="3" t="s">
        <v>1855</v>
      </c>
      <c r="F216" s="3">
        <v>200.5</v>
      </c>
      <c r="G216" s="20">
        <f t="shared" si="10"/>
        <v>124.31</v>
      </c>
      <c r="H216" s="20">
        <f t="shared" si="11"/>
        <v>248.62</v>
      </c>
      <c r="J216" s="43" t="s">
        <v>192</v>
      </c>
    </row>
    <row r="217" spans="1:10" x14ac:dyDescent="0.25">
      <c r="A217" s="46" t="s">
        <v>193</v>
      </c>
      <c r="B217" s="3" t="s">
        <v>194</v>
      </c>
      <c r="C217" s="3" t="s">
        <v>46</v>
      </c>
      <c r="D217" s="3">
        <v>1</v>
      </c>
      <c r="E217" s="3" t="s">
        <v>1855</v>
      </c>
      <c r="F217" s="3">
        <v>25.2</v>
      </c>
      <c r="G217" s="20">
        <f t="shared" si="10"/>
        <v>15.623999999999999</v>
      </c>
      <c r="H217" s="20">
        <f t="shared" si="11"/>
        <v>15.623999999999999</v>
      </c>
      <c r="J217" s="43" t="s">
        <v>1944</v>
      </c>
    </row>
    <row r="218" spans="1:10" x14ac:dyDescent="0.25">
      <c r="A218" s="46" t="s">
        <v>195</v>
      </c>
      <c r="B218" s="3" t="s">
        <v>196</v>
      </c>
      <c r="C218" s="3" t="s">
        <v>46</v>
      </c>
      <c r="D218" s="3">
        <v>1</v>
      </c>
      <c r="E218" s="3" t="s">
        <v>1855</v>
      </c>
      <c r="F218" s="3">
        <v>129</v>
      </c>
      <c r="G218" s="20">
        <f t="shared" si="10"/>
        <v>79.97999999999999</v>
      </c>
      <c r="H218" s="20">
        <f t="shared" si="11"/>
        <v>79.97999999999999</v>
      </c>
      <c r="J218" s="43" t="s">
        <v>1945</v>
      </c>
    </row>
    <row r="219" spans="1:10" x14ac:dyDescent="0.25">
      <c r="A219" s="46" t="s">
        <v>197</v>
      </c>
      <c r="B219" s="3" t="s">
        <v>198</v>
      </c>
      <c r="C219" s="3" t="s">
        <v>46</v>
      </c>
      <c r="D219" s="3">
        <v>1</v>
      </c>
      <c r="E219" s="3" t="s">
        <v>1855</v>
      </c>
      <c r="F219" s="3">
        <v>106</v>
      </c>
      <c r="G219" s="20">
        <f t="shared" si="10"/>
        <v>65.72</v>
      </c>
      <c r="H219" s="20">
        <f t="shared" si="11"/>
        <v>65.72</v>
      </c>
      <c r="J219" s="43" t="s">
        <v>1946</v>
      </c>
    </row>
    <row r="220" spans="1:10" x14ac:dyDescent="0.25">
      <c r="A220" s="46" t="s">
        <v>63</v>
      </c>
      <c r="B220" s="3" t="s">
        <v>64</v>
      </c>
      <c r="C220" s="3" t="s">
        <v>47</v>
      </c>
      <c r="D220" s="3">
        <v>1</v>
      </c>
      <c r="E220" s="3" t="s">
        <v>1855</v>
      </c>
      <c r="F220" s="3">
        <v>86.3</v>
      </c>
      <c r="G220" s="20">
        <f t="shared" si="10"/>
        <v>53.506</v>
      </c>
      <c r="H220" s="20">
        <f t="shared" si="11"/>
        <v>53.506</v>
      </c>
      <c r="J220" s="43" t="s">
        <v>1889</v>
      </c>
    </row>
    <row r="221" spans="1:10" x14ac:dyDescent="0.25">
      <c r="A221" s="46" t="s">
        <v>199</v>
      </c>
      <c r="B221" s="3" t="s">
        <v>200</v>
      </c>
      <c r="C221" s="3" t="s">
        <v>47</v>
      </c>
      <c r="D221" s="3">
        <v>2</v>
      </c>
      <c r="E221" s="3" t="s">
        <v>1855</v>
      </c>
      <c r="F221" s="3">
        <v>124</v>
      </c>
      <c r="G221" s="20">
        <f t="shared" si="10"/>
        <v>76.88</v>
      </c>
      <c r="H221" s="20">
        <f t="shared" si="11"/>
        <v>153.76</v>
      </c>
      <c r="J221" s="43" t="s">
        <v>200</v>
      </c>
    </row>
    <row r="222" spans="1:10" x14ac:dyDescent="0.25">
      <c r="A222" s="46" t="s">
        <v>201</v>
      </c>
      <c r="B222" s="3" t="s">
        <v>202</v>
      </c>
      <c r="C222" s="3" t="s">
        <v>47</v>
      </c>
      <c r="D222" s="3">
        <v>1</v>
      </c>
      <c r="E222" s="3" t="s">
        <v>1855</v>
      </c>
      <c r="F222" s="3">
        <v>220.5</v>
      </c>
      <c r="G222" s="20">
        <f t="shared" si="10"/>
        <v>136.70999999999998</v>
      </c>
      <c r="H222" s="20">
        <f t="shared" si="11"/>
        <v>136.70999999999998</v>
      </c>
      <c r="J222" s="43" t="s">
        <v>202</v>
      </c>
    </row>
    <row r="223" spans="1:10" x14ac:dyDescent="0.25">
      <c r="A223" s="46" t="s">
        <v>55</v>
      </c>
      <c r="B223" s="3" t="s">
        <v>56</v>
      </c>
      <c r="C223" s="3" t="s">
        <v>47</v>
      </c>
      <c r="D223" s="3">
        <v>6</v>
      </c>
      <c r="E223" s="3" t="s">
        <v>1855</v>
      </c>
      <c r="F223" s="3">
        <v>23.9</v>
      </c>
      <c r="G223" s="20">
        <f t="shared" si="10"/>
        <v>14.818</v>
      </c>
      <c r="H223" s="20">
        <f t="shared" si="11"/>
        <v>88.908000000000001</v>
      </c>
      <c r="J223" s="43" t="s">
        <v>1885</v>
      </c>
    </row>
    <row r="224" spans="1:10" x14ac:dyDescent="0.25">
      <c r="A224" s="46" t="s">
        <v>203</v>
      </c>
      <c r="B224" s="3" t="s">
        <v>204</v>
      </c>
      <c r="C224" s="3" t="s">
        <v>46</v>
      </c>
      <c r="D224" s="3">
        <v>2</v>
      </c>
      <c r="E224" s="3" t="s">
        <v>1855</v>
      </c>
      <c r="F224" s="3">
        <v>180</v>
      </c>
      <c r="G224" s="20">
        <f t="shared" si="10"/>
        <v>111.6</v>
      </c>
      <c r="H224" s="20">
        <f t="shared" si="11"/>
        <v>223.2</v>
      </c>
      <c r="J224" s="43" t="s">
        <v>1947</v>
      </c>
    </row>
    <row r="225" spans="1:10" x14ac:dyDescent="0.25">
      <c r="A225" s="46" t="s">
        <v>205</v>
      </c>
      <c r="B225" s="3" t="s">
        <v>206</v>
      </c>
      <c r="C225" s="3" t="s">
        <v>46</v>
      </c>
      <c r="D225" s="3">
        <v>2</v>
      </c>
      <c r="E225" s="3" t="s">
        <v>1855</v>
      </c>
      <c r="F225" s="3">
        <v>61.7</v>
      </c>
      <c r="G225" s="20">
        <f t="shared" si="10"/>
        <v>38.254000000000005</v>
      </c>
      <c r="H225" s="20">
        <f t="shared" si="11"/>
        <v>76.50800000000001</v>
      </c>
      <c r="J225" s="43" t="s">
        <v>1948</v>
      </c>
    </row>
    <row r="226" spans="1:10" x14ac:dyDescent="0.25">
      <c r="A226" s="46" t="s">
        <v>207</v>
      </c>
      <c r="B226" s="3" t="s">
        <v>208</v>
      </c>
      <c r="C226" s="3" t="s">
        <v>46</v>
      </c>
      <c r="D226" s="3">
        <v>1</v>
      </c>
      <c r="E226" s="3" t="s">
        <v>1855</v>
      </c>
      <c r="F226" s="3">
        <v>77.099999999999994</v>
      </c>
      <c r="G226" s="20">
        <f t="shared" si="10"/>
        <v>47.801999999999992</v>
      </c>
      <c r="H226" s="20">
        <f t="shared" si="11"/>
        <v>47.801999999999992</v>
      </c>
      <c r="J226" s="43" t="s">
        <v>1949</v>
      </c>
    </row>
    <row r="227" spans="1:10" x14ac:dyDescent="0.25">
      <c r="A227" s="46" t="s">
        <v>209</v>
      </c>
      <c r="B227" s="3" t="s">
        <v>210</v>
      </c>
      <c r="C227" s="3" t="s">
        <v>46</v>
      </c>
      <c r="D227" s="3">
        <v>2</v>
      </c>
      <c r="E227" s="3" t="s">
        <v>1855</v>
      </c>
      <c r="F227" s="3">
        <v>15.3</v>
      </c>
      <c r="G227" s="20">
        <f t="shared" si="10"/>
        <v>9.4860000000000007</v>
      </c>
      <c r="H227" s="20">
        <f t="shared" si="11"/>
        <v>18.972000000000001</v>
      </c>
      <c r="J227" s="43" t="s">
        <v>1950</v>
      </c>
    </row>
    <row r="228" spans="1:10" x14ac:dyDescent="0.25">
      <c r="A228" s="46" t="s">
        <v>211</v>
      </c>
      <c r="B228" s="3" t="s">
        <v>212</v>
      </c>
      <c r="C228" s="3" t="s">
        <v>47</v>
      </c>
      <c r="D228" s="3">
        <v>5</v>
      </c>
      <c r="E228" s="3" t="s">
        <v>1855</v>
      </c>
      <c r="F228" s="3">
        <v>151</v>
      </c>
      <c r="G228" s="20">
        <f t="shared" si="10"/>
        <v>93.62</v>
      </c>
      <c r="H228" s="20">
        <f t="shared" si="11"/>
        <v>468.1</v>
      </c>
      <c r="J228" s="43" t="s">
        <v>1951</v>
      </c>
    </row>
    <row r="229" spans="1:10" x14ac:dyDescent="0.25">
      <c r="A229" s="46" t="s">
        <v>213</v>
      </c>
      <c r="B229" s="3" t="s">
        <v>214</v>
      </c>
      <c r="C229" s="3" t="s">
        <v>46</v>
      </c>
      <c r="D229" s="3">
        <v>2</v>
      </c>
      <c r="E229" s="3" t="s">
        <v>1855</v>
      </c>
      <c r="F229" s="3">
        <v>207.5</v>
      </c>
      <c r="G229" s="20">
        <f t="shared" si="10"/>
        <v>128.65</v>
      </c>
      <c r="H229" s="20">
        <f t="shared" si="11"/>
        <v>257.3</v>
      </c>
      <c r="J229" s="43" t="s">
        <v>1952</v>
      </c>
    </row>
    <row r="230" spans="1:10" x14ac:dyDescent="0.25">
      <c r="A230" s="46" t="s">
        <v>215</v>
      </c>
      <c r="B230" s="3" t="s">
        <v>216</v>
      </c>
      <c r="C230" s="3" t="s">
        <v>46</v>
      </c>
      <c r="D230" s="3">
        <v>2</v>
      </c>
      <c r="E230" s="3" t="s">
        <v>1855</v>
      </c>
      <c r="F230" s="3">
        <v>239</v>
      </c>
      <c r="G230" s="20">
        <f t="shared" si="10"/>
        <v>148.18</v>
      </c>
      <c r="H230" s="20">
        <f t="shared" si="11"/>
        <v>296.36</v>
      </c>
      <c r="J230" s="43" t="s">
        <v>1953</v>
      </c>
    </row>
    <row r="231" spans="1:10" x14ac:dyDescent="0.25">
      <c r="A231" s="46" t="s">
        <v>217</v>
      </c>
      <c r="B231" s="3" t="s">
        <v>218</v>
      </c>
      <c r="C231" s="3" t="s">
        <v>47</v>
      </c>
      <c r="D231" s="3">
        <v>2</v>
      </c>
      <c r="E231" s="3" t="s">
        <v>1855</v>
      </c>
      <c r="F231" s="3">
        <v>174.5</v>
      </c>
      <c r="G231" s="20">
        <f t="shared" si="10"/>
        <v>108.19</v>
      </c>
      <c r="H231" s="20">
        <f t="shared" si="11"/>
        <v>216.38</v>
      </c>
      <c r="J231" s="43" t="s">
        <v>1954</v>
      </c>
    </row>
    <row r="232" spans="1:10" x14ac:dyDescent="0.25">
      <c r="A232" s="46" t="s">
        <v>219</v>
      </c>
      <c r="B232" s="3" t="s">
        <v>220</v>
      </c>
      <c r="C232" s="3" t="s">
        <v>46</v>
      </c>
      <c r="D232" s="3">
        <v>1</v>
      </c>
      <c r="E232" s="3" t="s">
        <v>1855</v>
      </c>
      <c r="F232" s="3">
        <v>76.2</v>
      </c>
      <c r="G232" s="20">
        <f t="shared" si="10"/>
        <v>47.244</v>
      </c>
      <c r="H232" s="20">
        <f t="shared" si="11"/>
        <v>47.244</v>
      </c>
      <c r="J232" s="43" t="s">
        <v>1955</v>
      </c>
    </row>
    <row r="233" spans="1:10" x14ac:dyDescent="0.25">
      <c r="A233" s="46" t="s">
        <v>221</v>
      </c>
      <c r="B233" s="3" t="s">
        <v>222</v>
      </c>
      <c r="C233" s="3" t="s">
        <v>46</v>
      </c>
      <c r="D233" s="3">
        <v>2</v>
      </c>
      <c r="E233" s="3" t="s">
        <v>1855</v>
      </c>
      <c r="F233" s="3">
        <v>80.099999999999994</v>
      </c>
      <c r="G233" s="20">
        <f t="shared" si="10"/>
        <v>49.661999999999992</v>
      </c>
      <c r="H233" s="20">
        <f t="shared" si="11"/>
        <v>99.323999999999984</v>
      </c>
      <c r="J233" s="43" t="s">
        <v>1956</v>
      </c>
    </row>
    <row r="234" spans="1:10" x14ac:dyDescent="0.25">
      <c r="A234" s="46" t="s">
        <v>49</v>
      </c>
      <c r="B234" s="3" t="s">
        <v>50</v>
      </c>
      <c r="C234" s="3" t="s">
        <v>47</v>
      </c>
      <c r="D234" s="3">
        <v>1</v>
      </c>
      <c r="E234" s="3" t="s">
        <v>1855</v>
      </c>
      <c r="F234" s="3">
        <v>126.5</v>
      </c>
      <c r="G234" s="20">
        <f t="shared" si="10"/>
        <v>78.430000000000007</v>
      </c>
      <c r="H234" s="20">
        <f t="shared" si="11"/>
        <v>78.430000000000007</v>
      </c>
      <c r="J234" s="43" t="s">
        <v>1882</v>
      </c>
    </row>
    <row r="235" spans="1:10" x14ac:dyDescent="0.25">
      <c r="A235" s="46" t="s">
        <v>223</v>
      </c>
      <c r="B235" s="3" t="s">
        <v>224</v>
      </c>
      <c r="C235" s="3" t="s">
        <v>47</v>
      </c>
      <c r="D235" s="3">
        <v>6</v>
      </c>
      <c r="E235" s="3" t="s">
        <v>1855</v>
      </c>
      <c r="F235" s="3">
        <v>89.9</v>
      </c>
      <c r="G235" s="20">
        <f t="shared" si="10"/>
        <v>55.738000000000007</v>
      </c>
      <c r="H235" s="20">
        <f t="shared" si="11"/>
        <v>334.42800000000005</v>
      </c>
      <c r="J235" s="43" t="s">
        <v>1957</v>
      </c>
    </row>
    <row r="236" spans="1:10" x14ac:dyDescent="0.25">
      <c r="A236" s="46" t="s">
        <v>225</v>
      </c>
      <c r="B236" s="3" t="s">
        <v>226</v>
      </c>
      <c r="C236" s="3" t="s">
        <v>46</v>
      </c>
      <c r="D236" s="3">
        <v>2</v>
      </c>
      <c r="E236" s="3" t="s">
        <v>1855</v>
      </c>
      <c r="F236" s="3">
        <v>249</v>
      </c>
      <c r="G236" s="20">
        <f t="shared" si="10"/>
        <v>154.38</v>
      </c>
      <c r="H236" s="20">
        <f t="shared" si="11"/>
        <v>308.76</v>
      </c>
      <c r="J236" s="43" t="s">
        <v>1958</v>
      </c>
    </row>
    <row r="237" spans="1:10" x14ac:dyDescent="0.25">
      <c r="A237" s="49" t="s">
        <v>99</v>
      </c>
      <c r="B237" s="3" t="s">
        <v>100</v>
      </c>
      <c r="C237" s="3" t="s">
        <v>46</v>
      </c>
      <c r="D237" s="3">
        <v>2</v>
      </c>
      <c r="E237" s="3" t="s">
        <v>1855</v>
      </c>
      <c r="F237" s="3">
        <v>11.9</v>
      </c>
      <c r="G237" s="20">
        <f t="shared" si="10"/>
        <v>7.3780000000000001</v>
      </c>
      <c r="H237" s="20">
        <f t="shared" si="11"/>
        <v>14.756</v>
      </c>
      <c r="J237" s="43" t="e">
        <v>#N/A</v>
      </c>
    </row>
    <row r="238" spans="1:10" x14ac:dyDescent="0.25">
      <c r="A238" s="46" t="s">
        <v>227</v>
      </c>
      <c r="B238" s="3" t="s">
        <v>228</v>
      </c>
      <c r="C238" s="3" t="s">
        <v>47</v>
      </c>
      <c r="D238" s="3">
        <v>2</v>
      </c>
      <c r="E238" s="3" t="s">
        <v>1855</v>
      </c>
      <c r="F238" s="3">
        <v>116.5</v>
      </c>
      <c r="G238" s="20">
        <f t="shared" si="10"/>
        <v>72.22999999999999</v>
      </c>
      <c r="H238" s="20">
        <f t="shared" si="11"/>
        <v>144.45999999999998</v>
      </c>
      <c r="J238" s="43" t="s">
        <v>228</v>
      </c>
    </row>
    <row r="239" spans="1:10" x14ac:dyDescent="0.25">
      <c r="A239" s="46" t="s">
        <v>26</v>
      </c>
      <c r="B239" s="3" t="s">
        <v>27</v>
      </c>
      <c r="C239" s="3" t="s">
        <v>46</v>
      </c>
      <c r="D239" s="3">
        <v>1</v>
      </c>
      <c r="E239" s="3" t="s">
        <v>1855</v>
      </c>
      <c r="F239" s="3">
        <v>6.81</v>
      </c>
      <c r="G239" s="20">
        <f t="shared" si="10"/>
        <v>4.2221999999999991</v>
      </c>
      <c r="H239" s="20">
        <f t="shared" si="11"/>
        <v>4.2221999999999991</v>
      </c>
      <c r="J239" s="43" t="s">
        <v>1873</v>
      </c>
    </row>
    <row r="240" spans="1:10" x14ac:dyDescent="0.25">
      <c r="A240" s="46" t="s">
        <v>229</v>
      </c>
      <c r="B240" s="3" t="s">
        <v>230</v>
      </c>
      <c r="C240" s="3" t="s">
        <v>46</v>
      </c>
      <c r="D240" s="3">
        <v>5</v>
      </c>
      <c r="E240" s="3" t="s">
        <v>1855</v>
      </c>
      <c r="F240" s="3">
        <v>62.5</v>
      </c>
      <c r="G240" s="20">
        <f t="shared" si="10"/>
        <v>38.75</v>
      </c>
      <c r="H240" s="20">
        <f t="shared" si="11"/>
        <v>193.75</v>
      </c>
      <c r="J240" s="43" t="s">
        <v>1959</v>
      </c>
    </row>
    <row r="241" spans="1:10" x14ac:dyDescent="0.25">
      <c r="A241" s="46" t="s">
        <v>231</v>
      </c>
      <c r="B241" s="3" t="s">
        <v>232</v>
      </c>
      <c r="C241" s="3" t="s">
        <v>46</v>
      </c>
      <c r="D241" s="3">
        <v>4</v>
      </c>
      <c r="E241" s="3" t="s">
        <v>1855</v>
      </c>
      <c r="F241" s="3">
        <v>112.5</v>
      </c>
      <c r="G241" s="20">
        <f t="shared" si="10"/>
        <v>69.75</v>
      </c>
      <c r="H241" s="20">
        <f t="shared" si="11"/>
        <v>279</v>
      </c>
      <c r="J241" s="43" t="s">
        <v>1960</v>
      </c>
    </row>
    <row r="242" spans="1:10" x14ac:dyDescent="0.25">
      <c r="A242" s="46" t="s">
        <v>233</v>
      </c>
      <c r="B242" s="3" t="s">
        <v>234</v>
      </c>
      <c r="C242" s="3" t="s">
        <v>47</v>
      </c>
      <c r="D242" s="3">
        <v>5</v>
      </c>
      <c r="E242" s="3" t="s">
        <v>1855</v>
      </c>
      <c r="F242" s="3">
        <v>49.5</v>
      </c>
      <c r="G242" s="20">
        <f t="shared" si="10"/>
        <v>30.69</v>
      </c>
      <c r="H242" s="20">
        <f t="shared" si="11"/>
        <v>153.45000000000002</v>
      </c>
      <c r="J242" s="43" t="s">
        <v>1961</v>
      </c>
    </row>
    <row r="243" spans="1:10" x14ac:dyDescent="0.25">
      <c r="A243" s="46" t="s">
        <v>235</v>
      </c>
      <c r="B243" s="3" t="s">
        <v>236</v>
      </c>
      <c r="C243" s="3" t="s">
        <v>47</v>
      </c>
      <c r="D243" s="3">
        <v>2</v>
      </c>
      <c r="E243" s="3" t="s">
        <v>1855</v>
      </c>
      <c r="F243" s="3">
        <v>359</v>
      </c>
      <c r="G243" s="20">
        <f t="shared" si="10"/>
        <v>222.58</v>
      </c>
      <c r="H243" s="20">
        <f t="shared" si="11"/>
        <v>445.16</v>
      </c>
      <c r="J243" s="43" t="s">
        <v>1962</v>
      </c>
    </row>
    <row r="244" spans="1:10" x14ac:dyDescent="0.25">
      <c r="A244" s="46" t="s">
        <v>237</v>
      </c>
      <c r="B244" s="3" t="s">
        <v>238</v>
      </c>
      <c r="C244" s="3" t="s">
        <v>47</v>
      </c>
      <c r="D244" s="3">
        <v>2</v>
      </c>
      <c r="E244" s="3" t="s">
        <v>1855</v>
      </c>
      <c r="F244" s="3">
        <v>44.1</v>
      </c>
      <c r="G244" s="20">
        <f t="shared" si="10"/>
        <v>27.342000000000002</v>
      </c>
      <c r="H244" s="20">
        <f t="shared" si="11"/>
        <v>54.684000000000005</v>
      </c>
      <c r="J244" s="43" t="s">
        <v>1963</v>
      </c>
    </row>
    <row r="245" spans="1:10" x14ac:dyDescent="0.25">
      <c r="A245" s="46" t="s">
        <v>239</v>
      </c>
      <c r="B245" s="3" t="s">
        <v>240</v>
      </c>
      <c r="C245" s="3" t="s">
        <v>46</v>
      </c>
      <c r="D245" s="3">
        <v>2</v>
      </c>
      <c r="E245" s="3" t="s">
        <v>1855</v>
      </c>
      <c r="F245" s="3">
        <v>269.5</v>
      </c>
      <c r="G245" s="20">
        <f t="shared" si="10"/>
        <v>167.09</v>
      </c>
      <c r="H245" s="20">
        <f t="shared" si="11"/>
        <v>334.18</v>
      </c>
      <c r="J245" s="43" t="s">
        <v>1964</v>
      </c>
    </row>
    <row r="246" spans="1:10" x14ac:dyDescent="0.25">
      <c r="A246" s="46" t="s">
        <v>241</v>
      </c>
      <c r="B246" s="3" t="s">
        <v>242</v>
      </c>
      <c r="C246" s="3" t="s">
        <v>47</v>
      </c>
      <c r="D246" s="3">
        <v>2</v>
      </c>
      <c r="E246" s="3" t="s">
        <v>1855</v>
      </c>
      <c r="F246" s="3">
        <v>312.5</v>
      </c>
      <c r="G246" s="20">
        <f t="shared" si="10"/>
        <v>193.75</v>
      </c>
      <c r="H246" s="20">
        <f t="shared" si="11"/>
        <v>387.5</v>
      </c>
      <c r="J246" s="43" t="s">
        <v>1965</v>
      </c>
    </row>
    <row r="247" spans="1:10" x14ac:dyDescent="0.25">
      <c r="A247" s="46" t="s">
        <v>243</v>
      </c>
      <c r="B247" s="3" t="s">
        <v>244</v>
      </c>
      <c r="C247" s="3" t="s">
        <v>46</v>
      </c>
      <c r="D247" s="3">
        <v>2</v>
      </c>
      <c r="E247" s="3" t="s">
        <v>1855</v>
      </c>
      <c r="F247" s="3">
        <v>37.9</v>
      </c>
      <c r="G247" s="20">
        <f t="shared" si="10"/>
        <v>23.497999999999998</v>
      </c>
      <c r="H247" s="20">
        <f t="shared" si="11"/>
        <v>46.995999999999995</v>
      </c>
      <c r="J247" s="43" t="s">
        <v>244</v>
      </c>
    </row>
    <row r="248" spans="1:10" x14ac:dyDescent="0.25">
      <c r="A248" s="46" t="s">
        <v>245</v>
      </c>
      <c r="B248" s="3" t="s">
        <v>246</v>
      </c>
      <c r="C248" s="3" t="s">
        <v>46</v>
      </c>
      <c r="D248" s="3">
        <v>2</v>
      </c>
      <c r="E248" s="3" t="s">
        <v>1855</v>
      </c>
      <c r="F248" s="3">
        <v>28.9</v>
      </c>
      <c r="G248" s="20">
        <f t="shared" si="10"/>
        <v>17.917999999999999</v>
      </c>
      <c r="H248" s="20">
        <f t="shared" si="11"/>
        <v>35.835999999999999</v>
      </c>
      <c r="J248" s="43" t="s">
        <v>246</v>
      </c>
    </row>
    <row r="249" spans="1:10" x14ac:dyDescent="0.25">
      <c r="A249" s="46" t="s">
        <v>14</v>
      </c>
      <c r="B249" s="3" t="s">
        <v>15</v>
      </c>
      <c r="C249" s="3" t="s">
        <v>46</v>
      </c>
      <c r="D249" s="3">
        <v>2</v>
      </c>
      <c r="E249" s="3" t="s">
        <v>1855</v>
      </c>
      <c r="F249" s="3">
        <v>27.2</v>
      </c>
      <c r="G249" s="20">
        <f t="shared" si="10"/>
        <v>16.863999999999997</v>
      </c>
      <c r="H249" s="20">
        <f t="shared" si="11"/>
        <v>33.727999999999994</v>
      </c>
      <c r="J249" s="43" t="s">
        <v>1868</v>
      </c>
    </row>
    <row r="250" spans="1:10" x14ac:dyDescent="0.25">
      <c r="A250" s="46" t="s">
        <v>247</v>
      </c>
      <c r="B250" s="3" t="s">
        <v>248</v>
      </c>
      <c r="C250" s="3" t="s">
        <v>47</v>
      </c>
      <c r="D250" s="3">
        <v>2</v>
      </c>
      <c r="E250" s="3" t="s">
        <v>1855</v>
      </c>
      <c r="F250" s="3">
        <v>86.7</v>
      </c>
      <c r="G250" s="20">
        <f t="shared" si="10"/>
        <v>53.754000000000005</v>
      </c>
      <c r="H250" s="20">
        <f t="shared" si="11"/>
        <v>107.50800000000001</v>
      </c>
      <c r="J250" s="43" t="s">
        <v>248</v>
      </c>
    </row>
    <row r="251" spans="1:10" x14ac:dyDescent="0.25">
      <c r="A251" s="46" t="s">
        <v>249</v>
      </c>
      <c r="B251" s="3" t="s">
        <v>250</v>
      </c>
      <c r="C251" s="3" t="s">
        <v>46</v>
      </c>
      <c r="D251" s="3">
        <v>1</v>
      </c>
      <c r="E251" s="3" t="s">
        <v>1855</v>
      </c>
      <c r="F251" s="3">
        <v>224.5</v>
      </c>
      <c r="G251" s="20">
        <f t="shared" si="10"/>
        <v>139.19</v>
      </c>
      <c r="H251" s="20">
        <f t="shared" si="11"/>
        <v>139.19</v>
      </c>
      <c r="J251" s="43" t="s">
        <v>1966</v>
      </c>
    </row>
    <row r="252" spans="1:10" x14ac:dyDescent="0.25">
      <c r="A252" s="46" t="s">
        <v>251</v>
      </c>
      <c r="B252" s="3" t="s">
        <v>252</v>
      </c>
      <c r="C252" s="3" t="s">
        <v>46</v>
      </c>
      <c r="D252" s="3">
        <v>1</v>
      </c>
      <c r="E252" s="3" t="s">
        <v>1855</v>
      </c>
      <c r="F252" s="3">
        <v>10.7</v>
      </c>
      <c r="G252" s="20">
        <f t="shared" si="10"/>
        <v>6.6339999999999995</v>
      </c>
      <c r="H252" s="20">
        <f t="shared" si="11"/>
        <v>6.6339999999999995</v>
      </c>
      <c r="J252" s="43" t="s">
        <v>1967</v>
      </c>
    </row>
    <row r="253" spans="1:10" x14ac:dyDescent="0.25">
      <c r="A253" s="46" t="s">
        <v>253</v>
      </c>
      <c r="B253" s="3" t="s">
        <v>254</v>
      </c>
      <c r="C253" s="3" t="s">
        <v>46</v>
      </c>
      <c r="D253" s="3">
        <v>2</v>
      </c>
      <c r="E253" s="3" t="s">
        <v>1855</v>
      </c>
      <c r="F253" s="3">
        <v>344.5</v>
      </c>
      <c r="G253" s="20">
        <f t="shared" si="10"/>
        <v>213.59</v>
      </c>
      <c r="H253" s="20">
        <f t="shared" si="11"/>
        <v>427.18</v>
      </c>
      <c r="J253" s="43" t="s">
        <v>1968</v>
      </c>
    </row>
    <row r="254" spans="1:10" x14ac:dyDescent="0.25">
      <c r="A254" s="46" t="s">
        <v>255</v>
      </c>
      <c r="B254" s="3" t="s">
        <v>256</v>
      </c>
      <c r="C254" s="3" t="s">
        <v>46</v>
      </c>
      <c r="D254" s="3">
        <v>2</v>
      </c>
      <c r="E254" s="3" t="s">
        <v>1855</v>
      </c>
      <c r="F254" s="3">
        <v>344.5</v>
      </c>
      <c r="G254" s="20">
        <f t="shared" si="10"/>
        <v>213.59</v>
      </c>
      <c r="H254" s="20">
        <f t="shared" si="11"/>
        <v>427.18</v>
      </c>
      <c r="J254" s="43" t="s">
        <v>1969</v>
      </c>
    </row>
    <row r="255" spans="1:10" ht="15.95" customHeight="1" x14ac:dyDescent="0.25">
      <c r="A255" s="46" t="s">
        <v>258</v>
      </c>
      <c r="B255" s="3" t="s">
        <v>259</v>
      </c>
      <c r="C255" s="3" t="s">
        <v>46</v>
      </c>
      <c r="D255" s="3">
        <v>1</v>
      </c>
      <c r="E255" s="3" t="s">
        <v>1855</v>
      </c>
      <c r="F255" s="3">
        <v>1125</v>
      </c>
      <c r="G255" s="20">
        <f t="shared" si="10"/>
        <v>697.5</v>
      </c>
      <c r="H255" s="20">
        <f t="shared" si="11"/>
        <v>697.5</v>
      </c>
      <c r="J255" s="43" t="s">
        <v>1970</v>
      </c>
    </row>
    <row r="256" spans="1:10" ht="15.95" customHeight="1" x14ac:dyDescent="0.25">
      <c r="A256" s="46" t="s">
        <v>1795</v>
      </c>
      <c r="B256" s="3" t="s">
        <v>1797</v>
      </c>
      <c r="C256" s="3" t="s">
        <v>46</v>
      </c>
      <c r="D256" s="3">
        <v>1</v>
      </c>
      <c r="E256" s="3" t="s">
        <v>1856</v>
      </c>
      <c r="F256" s="3">
        <v>664</v>
      </c>
      <c r="G256" s="20">
        <f t="shared" si="10"/>
        <v>411.68</v>
      </c>
      <c r="H256" s="20">
        <f t="shared" si="11"/>
        <v>411.68</v>
      </c>
      <c r="J256" s="43" t="s">
        <v>1911</v>
      </c>
    </row>
    <row r="257" spans="1:10" ht="15.95" customHeight="1" x14ac:dyDescent="0.25">
      <c r="A257" s="46" t="s">
        <v>1796</v>
      </c>
      <c r="B257" s="3" t="s">
        <v>1798</v>
      </c>
      <c r="C257" s="3" t="s">
        <v>46</v>
      </c>
      <c r="D257" s="3">
        <v>1</v>
      </c>
      <c r="E257" s="3" t="s">
        <v>1855</v>
      </c>
      <c r="F257" s="3">
        <v>147</v>
      </c>
      <c r="G257" s="20">
        <f t="shared" si="10"/>
        <v>91.14</v>
      </c>
      <c r="H257" s="20">
        <f t="shared" si="11"/>
        <v>91.14</v>
      </c>
      <c r="J257" s="43" t="s">
        <v>1912</v>
      </c>
    </row>
    <row r="258" spans="1:10" s="5" customFormat="1" ht="15" customHeight="1" x14ac:dyDescent="0.25">
      <c r="A258" s="51"/>
      <c r="B258" s="6" t="s">
        <v>260</v>
      </c>
      <c r="C258" s="4"/>
      <c r="D258" s="29"/>
      <c r="E258" s="4"/>
      <c r="F258" s="4"/>
      <c r="G258" s="4"/>
      <c r="H258" s="19"/>
      <c r="J258" s="43"/>
    </row>
    <row r="259" spans="1:10" x14ac:dyDescent="0.25">
      <c r="A259" s="46" t="s">
        <v>185</v>
      </c>
      <c r="B259" s="3" t="s">
        <v>186</v>
      </c>
      <c r="C259" s="3" t="s">
        <v>46</v>
      </c>
      <c r="D259" s="3">
        <v>4</v>
      </c>
      <c r="E259" s="3" t="s">
        <v>1855</v>
      </c>
      <c r="F259" s="3">
        <v>120</v>
      </c>
      <c r="G259" s="20">
        <f t="shared" si="10"/>
        <v>74.400000000000006</v>
      </c>
      <c r="H259" s="20">
        <f t="shared" ref="H259:H303" si="12">G259*D259</f>
        <v>297.60000000000002</v>
      </c>
      <c r="J259" s="43" t="s">
        <v>1941</v>
      </c>
    </row>
    <row r="260" spans="1:10" x14ac:dyDescent="0.25">
      <c r="A260" s="46" t="s">
        <v>187</v>
      </c>
      <c r="B260" s="3" t="s">
        <v>188</v>
      </c>
      <c r="C260" s="3" t="s">
        <v>46</v>
      </c>
      <c r="D260" s="3">
        <v>2</v>
      </c>
      <c r="E260" s="3" t="s">
        <v>1855</v>
      </c>
      <c r="F260" s="3">
        <v>81.900000000000006</v>
      </c>
      <c r="G260" s="20">
        <f t="shared" si="10"/>
        <v>50.778000000000006</v>
      </c>
      <c r="H260" s="20">
        <f t="shared" si="12"/>
        <v>101.55600000000001</v>
      </c>
      <c r="J260" s="43" t="s">
        <v>1942</v>
      </c>
    </row>
    <row r="261" spans="1:10" x14ac:dyDescent="0.25">
      <c r="A261" s="46" t="s">
        <v>189</v>
      </c>
      <c r="B261" s="3" t="s">
        <v>190</v>
      </c>
      <c r="C261" s="3" t="s">
        <v>47</v>
      </c>
      <c r="D261" s="3">
        <v>2</v>
      </c>
      <c r="E261" s="3" t="s">
        <v>1855</v>
      </c>
      <c r="F261" s="3">
        <v>70.599999999999994</v>
      </c>
      <c r="G261" s="20">
        <f t="shared" si="10"/>
        <v>43.771999999999991</v>
      </c>
      <c r="H261" s="20">
        <f t="shared" si="12"/>
        <v>87.543999999999983</v>
      </c>
      <c r="J261" s="43" t="s">
        <v>1943</v>
      </c>
    </row>
    <row r="262" spans="1:10" x14ac:dyDescent="0.25">
      <c r="A262" s="46" t="s">
        <v>103</v>
      </c>
      <c r="B262" s="3" t="s">
        <v>104</v>
      </c>
      <c r="C262" s="3" t="s">
        <v>47</v>
      </c>
      <c r="D262" s="3">
        <v>2</v>
      </c>
      <c r="E262" s="3" t="s">
        <v>1855</v>
      </c>
      <c r="F262" s="3">
        <v>65.599999999999994</v>
      </c>
      <c r="G262" s="20">
        <f t="shared" si="10"/>
        <v>40.671999999999997</v>
      </c>
      <c r="H262" s="20">
        <f t="shared" si="12"/>
        <v>81.343999999999994</v>
      </c>
      <c r="J262" s="43" t="s">
        <v>1900</v>
      </c>
    </row>
    <row r="263" spans="1:10" x14ac:dyDescent="0.25">
      <c r="A263" s="46" t="s">
        <v>191</v>
      </c>
      <c r="B263" s="3" t="s">
        <v>192</v>
      </c>
      <c r="C263" s="3" t="s">
        <v>46</v>
      </c>
      <c r="D263" s="3">
        <v>2</v>
      </c>
      <c r="E263" s="3" t="s">
        <v>1855</v>
      </c>
      <c r="F263" s="3">
        <v>200.5</v>
      </c>
      <c r="G263" s="20">
        <f t="shared" si="10"/>
        <v>124.31</v>
      </c>
      <c r="H263" s="20">
        <f t="shared" si="12"/>
        <v>248.62</v>
      </c>
      <c r="J263" s="43" t="s">
        <v>192</v>
      </c>
    </row>
    <row r="264" spans="1:10" x14ac:dyDescent="0.25">
      <c r="A264" s="46" t="s">
        <v>193</v>
      </c>
      <c r="B264" s="3" t="s">
        <v>194</v>
      </c>
      <c r="C264" s="3" t="s">
        <v>46</v>
      </c>
      <c r="D264" s="3">
        <v>1</v>
      </c>
      <c r="E264" s="3" t="s">
        <v>1855</v>
      </c>
      <c r="F264" s="3">
        <v>25.2</v>
      </c>
      <c r="G264" s="20">
        <f t="shared" si="10"/>
        <v>15.623999999999999</v>
      </c>
      <c r="H264" s="20">
        <f t="shared" si="12"/>
        <v>15.623999999999999</v>
      </c>
      <c r="J264" s="43" t="s">
        <v>1944</v>
      </c>
    </row>
    <row r="265" spans="1:10" x14ac:dyDescent="0.25">
      <c r="A265" s="46" t="s">
        <v>195</v>
      </c>
      <c r="B265" s="3" t="s">
        <v>196</v>
      </c>
      <c r="C265" s="3" t="s">
        <v>46</v>
      </c>
      <c r="D265" s="3">
        <v>1</v>
      </c>
      <c r="E265" s="3" t="s">
        <v>1855</v>
      </c>
      <c r="F265" s="3">
        <v>129</v>
      </c>
      <c r="G265" s="20">
        <f t="shared" si="10"/>
        <v>79.97999999999999</v>
      </c>
      <c r="H265" s="20">
        <f t="shared" si="12"/>
        <v>79.97999999999999</v>
      </c>
      <c r="J265" s="43" t="s">
        <v>1945</v>
      </c>
    </row>
    <row r="266" spans="1:10" x14ac:dyDescent="0.25">
      <c r="A266" s="46" t="s">
        <v>197</v>
      </c>
      <c r="B266" s="3" t="s">
        <v>198</v>
      </c>
      <c r="C266" s="3" t="s">
        <v>46</v>
      </c>
      <c r="D266" s="3">
        <v>2</v>
      </c>
      <c r="E266" s="3" t="s">
        <v>1855</v>
      </c>
      <c r="F266" s="3">
        <v>106</v>
      </c>
      <c r="G266" s="20">
        <f t="shared" si="10"/>
        <v>65.72</v>
      </c>
      <c r="H266" s="20">
        <f t="shared" si="12"/>
        <v>131.44</v>
      </c>
      <c r="J266" s="43" t="s">
        <v>1946</v>
      </c>
    </row>
    <row r="267" spans="1:10" x14ac:dyDescent="0.25">
      <c r="A267" s="46" t="s">
        <v>63</v>
      </c>
      <c r="B267" s="3" t="s">
        <v>64</v>
      </c>
      <c r="C267" s="3" t="s">
        <v>47</v>
      </c>
      <c r="D267" s="3">
        <v>2</v>
      </c>
      <c r="E267" s="3" t="s">
        <v>1855</v>
      </c>
      <c r="F267" s="3">
        <v>86.3</v>
      </c>
      <c r="G267" s="20">
        <f t="shared" si="10"/>
        <v>53.506</v>
      </c>
      <c r="H267" s="20">
        <f t="shared" si="12"/>
        <v>107.012</v>
      </c>
      <c r="J267" s="43" t="s">
        <v>1889</v>
      </c>
    </row>
    <row r="268" spans="1:10" x14ac:dyDescent="0.25">
      <c r="A268" s="46" t="s">
        <v>199</v>
      </c>
      <c r="B268" s="3" t="s">
        <v>200</v>
      </c>
      <c r="C268" s="3" t="s">
        <v>47</v>
      </c>
      <c r="D268" s="3">
        <v>2</v>
      </c>
      <c r="E268" s="3" t="s">
        <v>1855</v>
      </c>
      <c r="F268" s="3">
        <v>124</v>
      </c>
      <c r="G268" s="20">
        <f t="shared" si="10"/>
        <v>76.88</v>
      </c>
      <c r="H268" s="20">
        <f t="shared" si="12"/>
        <v>153.76</v>
      </c>
      <c r="J268" s="43" t="s">
        <v>200</v>
      </c>
    </row>
    <row r="269" spans="1:10" x14ac:dyDescent="0.25">
      <c r="A269" s="46" t="s">
        <v>201</v>
      </c>
      <c r="B269" s="3" t="s">
        <v>202</v>
      </c>
      <c r="C269" s="3" t="s">
        <v>47</v>
      </c>
      <c r="D269" s="3">
        <v>1</v>
      </c>
      <c r="E269" s="3" t="s">
        <v>1855</v>
      </c>
      <c r="F269" s="3">
        <v>220.5</v>
      </c>
      <c r="G269" s="20">
        <f t="shared" ref="G269:G332" si="13">F269-(F269*38%)</f>
        <v>136.70999999999998</v>
      </c>
      <c r="H269" s="20">
        <f t="shared" si="12"/>
        <v>136.70999999999998</v>
      </c>
      <c r="J269" s="43" t="s">
        <v>202</v>
      </c>
    </row>
    <row r="270" spans="1:10" x14ac:dyDescent="0.25">
      <c r="A270" s="46" t="s">
        <v>55</v>
      </c>
      <c r="B270" s="3" t="s">
        <v>56</v>
      </c>
      <c r="C270" s="3" t="s">
        <v>47</v>
      </c>
      <c r="D270" s="3">
        <v>12</v>
      </c>
      <c r="E270" s="3" t="s">
        <v>1855</v>
      </c>
      <c r="F270" s="3">
        <v>23.9</v>
      </c>
      <c r="G270" s="20">
        <f t="shared" si="13"/>
        <v>14.818</v>
      </c>
      <c r="H270" s="20">
        <f t="shared" si="12"/>
        <v>177.816</v>
      </c>
      <c r="J270" s="43" t="s">
        <v>1885</v>
      </c>
    </row>
    <row r="271" spans="1:10" x14ac:dyDescent="0.25">
      <c r="A271" s="46" t="s">
        <v>203</v>
      </c>
      <c r="B271" s="3" t="s">
        <v>204</v>
      </c>
      <c r="C271" s="3" t="s">
        <v>46</v>
      </c>
      <c r="D271" s="3">
        <v>4</v>
      </c>
      <c r="E271" s="3" t="s">
        <v>1855</v>
      </c>
      <c r="F271" s="3">
        <v>180</v>
      </c>
      <c r="G271" s="20">
        <f t="shared" si="13"/>
        <v>111.6</v>
      </c>
      <c r="H271" s="20">
        <f t="shared" si="12"/>
        <v>446.4</v>
      </c>
      <c r="J271" s="43" t="s">
        <v>1947</v>
      </c>
    </row>
    <row r="272" spans="1:10" x14ac:dyDescent="0.25">
      <c r="A272" s="46" t="s">
        <v>205</v>
      </c>
      <c r="B272" s="3" t="s">
        <v>206</v>
      </c>
      <c r="C272" s="3" t="s">
        <v>46</v>
      </c>
      <c r="D272" s="3">
        <v>2</v>
      </c>
      <c r="E272" s="3" t="s">
        <v>1855</v>
      </c>
      <c r="F272" s="3">
        <v>61.7</v>
      </c>
      <c r="G272" s="20">
        <f t="shared" si="13"/>
        <v>38.254000000000005</v>
      </c>
      <c r="H272" s="20">
        <f t="shared" si="12"/>
        <v>76.50800000000001</v>
      </c>
      <c r="J272" s="43" t="s">
        <v>1948</v>
      </c>
    </row>
    <row r="273" spans="1:10" x14ac:dyDescent="0.25">
      <c r="A273" s="46" t="s">
        <v>207</v>
      </c>
      <c r="B273" s="3" t="s">
        <v>208</v>
      </c>
      <c r="C273" s="3" t="s">
        <v>46</v>
      </c>
      <c r="D273" s="3">
        <v>1</v>
      </c>
      <c r="E273" s="3" t="s">
        <v>1855</v>
      </c>
      <c r="F273" s="3">
        <v>77.099999999999994</v>
      </c>
      <c r="G273" s="20">
        <f t="shared" si="13"/>
        <v>47.801999999999992</v>
      </c>
      <c r="H273" s="20">
        <f t="shared" si="12"/>
        <v>47.801999999999992</v>
      </c>
      <c r="J273" s="43" t="s">
        <v>1949</v>
      </c>
    </row>
    <row r="274" spans="1:10" x14ac:dyDescent="0.25">
      <c r="A274" s="46" t="s">
        <v>209</v>
      </c>
      <c r="B274" s="3" t="s">
        <v>210</v>
      </c>
      <c r="C274" s="3" t="s">
        <v>46</v>
      </c>
      <c r="D274" s="3">
        <v>2</v>
      </c>
      <c r="E274" s="3" t="s">
        <v>1855</v>
      </c>
      <c r="F274" s="3">
        <v>15.3</v>
      </c>
      <c r="G274" s="20">
        <f t="shared" si="13"/>
        <v>9.4860000000000007</v>
      </c>
      <c r="H274" s="20">
        <f t="shared" si="12"/>
        <v>18.972000000000001</v>
      </c>
      <c r="J274" s="43" t="s">
        <v>1950</v>
      </c>
    </row>
    <row r="275" spans="1:10" x14ac:dyDescent="0.25">
      <c r="A275" s="46" t="s">
        <v>211</v>
      </c>
      <c r="B275" s="3" t="s">
        <v>212</v>
      </c>
      <c r="C275" s="3" t="s">
        <v>47</v>
      </c>
      <c r="D275" s="3">
        <v>5</v>
      </c>
      <c r="E275" s="3" t="s">
        <v>1855</v>
      </c>
      <c r="F275" s="3">
        <v>151</v>
      </c>
      <c r="G275" s="20">
        <f t="shared" si="13"/>
        <v>93.62</v>
      </c>
      <c r="H275" s="20">
        <f t="shared" si="12"/>
        <v>468.1</v>
      </c>
      <c r="J275" s="43" t="s">
        <v>1951</v>
      </c>
    </row>
    <row r="276" spans="1:10" x14ac:dyDescent="0.25">
      <c r="A276" s="46" t="s">
        <v>213</v>
      </c>
      <c r="B276" s="3" t="s">
        <v>214</v>
      </c>
      <c r="C276" s="3" t="s">
        <v>46</v>
      </c>
      <c r="D276" s="3">
        <v>2</v>
      </c>
      <c r="E276" s="3" t="s">
        <v>1855</v>
      </c>
      <c r="F276" s="3">
        <v>207.5</v>
      </c>
      <c r="G276" s="20">
        <f t="shared" si="13"/>
        <v>128.65</v>
      </c>
      <c r="H276" s="20">
        <f t="shared" si="12"/>
        <v>257.3</v>
      </c>
      <c r="J276" s="43" t="s">
        <v>1952</v>
      </c>
    </row>
    <row r="277" spans="1:10" x14ac:dyDescent="0.25">
      <c r="A277" s="46" t="s">
        <v>215</v>
      </c>
      <c r="B277" s="3" t="s">
        <v>216</v>
      </c>
      <c r="C277" s="3" t="s">
        <v>46</v>
      </c>
      <c r="D277" s="3">
        <v>2</v>
      </c>
      <c r="E277" s="3" t="s">
        <v>1855</v>
      </c>
      <c r="F277" s="3">
        <v>239</v>
      </c>
      <c r="G277" s="20">
        <f t="shared" si="13"/>
        <v>148.18</v>
      </c>
      <c r="H277" s="20">
        <f t="shared" si="12"/>
        <v>296.36</v>
      </c>
      <c r="J277" s="43" t="s">
        <v>1953</v>
      </c>
    </row>
    <row r="278" spans="1:10" x14ac:dyDescent="0.25">
      <c r="A278" s="46" t="s">
        <v>217</v>
      </c>
      <c r="B278" s="3" t="s">
        <v>218</v>
      </c>
      <c r="C278" s="3" t="s">
        <v>47</v>
      </c>
      <c r="D278" s="3">
        <v>2</v>
      </c>
      <c r="E278" s="3" t="s">
        <v>1855</v>
      </c>
      <c r="F278" s="3">
        <v>174.5</v>
      </c>
      <c r="G278" s="20">
        <f t="shared" si="13"/>
        <v>108.19</v>
      </c>
      <c r="H278" s="20">
        <f t="shared" si="12"/>
        <v>216.38</v>
      </c>
      <c r="J278" s="43" t="s">
        <v>1954</v>
      </c>
    </row>
    <row r="279" spans="1:10" x14ac:dyDescent="0.25">
      <c r="A279" s="46" t="s">
        <v>219</v>
      </c>
      <c r="B279" s="3" t="s">
        <v>220</v>
      </c>
      <c r="C279" s="3" t="s">
        <v>46</v>
      </c>
      <c r="D279" s="3">
        <v>1</v>
      </c>
      <c r="E279" s="3" t="s">
        <v>1855</v>
      </c>
      <c r="F279" s="3">
        <v>76.2</v>
      </c>
      <c r="G279" s="20">
        <f t="shared" si="13"/>
        <v>47.244</v>
      </c>
      <c r="H279" s="20">
        <f t="shared" si="12"/>
        <v>47.244</v>
      </c>
      <c r="J279" s="43" t="s">
        <v>1955</v>
      </c>
    </row>
    <row r="280" spans="1:10" x14ac:dyDescent="0.25">
      <c r="A280" s="46" t="s">
        <v>221</v>
      </c>
      <c r="B280" s="3" t="s">
        <v>222</v>
      </c>
      <c r="C280" s="3" t="s">
        <v>46</v>
      </c>
      <c r="D280" s="3">
        <v>2</v>
      </c>
      <c r="E280" s="3" t="s">
        <v>1855</v>
      </c>
      <c r="F280" s="3">
        <v>80.099999999999994</v>
      </c>
      <c r="G280" s="20">
        <f t="shared" si="13"/>
        <v>49.661999999999992</v>
      </c>
      <c r="H280" s="20">
        <f t="shared" si="12"/>
        <v>99.323999999999984</v>
      </c>
      <c r="J280" s="43" t="s">
        <v>1956</v>
      </c>
    </row>
    <row r="281" spans="1:10" x14ac:dyDescent="0.25">
      <c r="A281" s="46" t="s">
        <v>49</v>
      </c>
      <c r="B281" s="3" t="s">
        <v>50</v>
      </c>
      <c r="C281" s="3" t="s">
        <v>47</v>
      </c>
      <c r="D281" s="3">
        <v>1</v>
      </c>
      <c r="E281" s="3" t="s">
        <v>1855</v>
      </c>
      <c r="F281" s="3">
        <v>126.5</v>
      </c>
      <c r="G281" s="20">
        <f t="shared" si="13"/>
        <v>78.430000000000007</v>
      </c>
      <c r="H281" s="20">
        <f t="shared" si="12"/>
        <v>78.430000000000007</v>
      </c>
      <c r="J281" s="43" t="s">
        <v>1882</v>
      </c>
    </row>
    <row r="282" spans="1:10" x14ac:dyDescent="0.25">
      <c r="A282" s="46" t="s">
        <v>223</v>
      </c>
      <c r="B282" s="3" t="s">
        <v>224</v>
      </c>
      <c r="C282" s="3" t="s">
        <v>47</v>
      </c>
      <c r="D282" s="3">
        <v>6</v>
      </c>
      <c r="E282" s="3" t="s">
        <v>1855</v>
      </c>
      <c r="F282" s="3">
        <v>89.9</v>
      </c>
      <c r="G282" s="20">
        <f t="shared" si="13"/>
        <v>55.738000000000007</v>
      </c>
      <c r="H282" s="20">
        <f t="shared" si="12"/>
        <v>334.42800000000005</v>
      </c>
      <c r="J282" s="43" t="s">
        <v>1957</v>
      </c>
    </row>
    <row r="283" spans="1:10" x14ac:dyDescent="0.25">
      <c r="A283" s="46" t="s">
        <v>225</v>
      </c>
      <c r="B283" s="3" t="s">
        <v>226</v>
      </c>
      <c r="C283" s="3" t="s">
        <v>46</v>
      </c>
      <c r="D283" s="3">
        <v>2</v>
      </c>
      <c r="E283" s="3" t="s">
        <v>1855</v>
      </c>
      <c r="F283" s="3">
        <v>249</v>
      </c>
      <c r="G283" s="20">
        <f t="shared" si="13"/>
        <v>154.38</v>
      </c>
      <c r="H283" s="20">
        <f t="shared" si="12"/>
        <v>308.76</v>
      </c>
      <c r="J283" s="43" t="s">
        <v>1958</v>
      </c>
    </row>
    <row r="284" spans="1:10" x14ac:dyDescent="0.25">
      <c r="A284" s="48" t="s">
        <v>99</v>
      </c>
      <c r="B284" s="3" t="s">
        <v>100</v>
      </c>
      <c r="C284" s="3" t="s">
        <v>46</v>
      </c>
      <c r="D284" s="3">
        <v>2</v>
      </c>
      <c r="E284" s="3" t="s">
        <v>1855</v>
      </c>
      <c r="F284" s="3">
        <v>11.9</v>
      </c>
      <c r="G284" s="20">
        <f t="shared" si="13"/>
        <v>7.3780000000000001</v>
      </c>
      <c r="H284" s="20">
        <f t="shared" si="12"/>
        <v>14.756</v>
      </c>
      <c r="J284" s="43" t="e">
        <v>#N/A</v>
      </c>
    </row>
    <row r="285" spans="1:10" x14ac:dyDescent="0.25">
      <c r="A285" s="46" t="s">
        <v>227</v>
      </c>
      <c r="B285" s="3" t="s">
        <v>228</v>
      </c>
      <c r="C285" s="3" t="s">
        <v>47</v>
      </c>
      <c r="D285" s="3">
        <v>2</v>
      </c>
      <c r="E285" s="3" t="s">
        <v>1855</v>
      </c>
      <c r="F285" s="3">
        <v>116.5</v>
      </c>
      <c r="G285" s="20">
        <f t="shared" si="13"/>
        <v>72.22999999999999</v>
      </c>
      <c r="H285" s="20">
        <f t="shared" si="12"/>
        <v>144.45999999999998</v>
      </c>
      <c r="J285" s="43" t="s">
        <v>228</v>
      </c>
    </row>
    <row r="286" spans="1:10" x14ac:dyDescent="0.25">
      <c r="A286" s="46" t="s">
        <v>26</v>
      </c>
      <c r="B286" s="3" t="s">
        <v>27</v>
      </c>
      <c r="C286" s="3" t="s">
        <v>46</v>
      </c>
      <c r="D286" s="3">
        <v>1</v>
      </c>
      <c r="E286" s="3" t="s">
        <v>1855</v>
      </c>
      <c r="F286" s="3">
        <v>6.81</v>
      </c>
      <c r="G286" s="20">
        <f t="shared" si="13"/>
        <v>4.2221999999999991</v>
      </c>
      <c r="H286" s="20">
        <f t="shared" si="12"/>
        <v>4.2221999999999991</v>
      </c>
      <c r="J286" s="43" t="s">
        <v>1873</v>
      </c>
    </row>
    <row r="287" spans="1:10" x14ac:dyDescent="0.25">
      <c r="A287" s="46" t="s">
        <v>229</v>
      </c>
      <c r="B287" s="3" t="s">
        <v>230</v>
      </c>
      <c r="C287" s="3" t="s">
        <v>46</v>
      </c>
      <c r="D287" s="3">
        <v>5</v>
      </c>
      <c r="E287" s="3" t="s">
        <v>1855</v>
      </c>
      <c r="F287" s="3">
        <v>62.5</v>
      </c>
      <c r="G287" s="20">
        <f t="shared" si="13"/>
        <v>38.75</v>
      </c>
      <c r="H287" s="20">
        <f t="shared" si="12"/>
        <v>193.75</v>
      </c>
      <c r="J287" s="43" t="s">
        <v>1959</v>
      </c>
    </row>
    <row r="288" spans="1:10" x14ac:dyDescent="0.25">
      <c r="A288" s="46" t="s">
        <v>231</v>
      </c>
      <c r="B288" s="3" t="s">
        <v>232</v>
      </c>
      <c r="C288" s="3" t="s">
        <v>46</v>
      </c>
      <c r="D288" s="3">
        <v>4</v>
      </c>
      <c r="E288" s="3" t="s">
        <v>1855</v>
      </c>
      <c r="F288" s="3">
        <v>112.5</v>
      </c>
      <c r="G288" s="20">
        <f t="shared" si="13"/>
        <v>69.75</v>
      </c>
      <c r="H288" s="20">
        <f t="shared" si="12"/>
        <v>279</v>
      </c>
      <c r="J288" s="43" t="s">
        <v>1960</v>
      </c>
    </row>
    <row r="289" spans="1:10" x14ac:dyDescent="0.25">
      <c r="A289" s="46" t="s">
        <v>233</v>
      </c>
      <c r="B289" s="3" t="s">
        <v>234</v>
      </c>
      <c r="C289" s="3" t="s">
        <v>47</v>
      </c>
      <c r="D289" s="3">
        <v>5</v>
      </c>
      <c r="E289" s="3" t="s">
        <v>1855</v>
      </c>
      <c r="F289" s="3">
        <v>49.5</v>
      </c>
      <c r="G289" s="20">
        <f t="shared" si="13"/>
        <v>30.69</v>
      </c>
      <c r="H289" s="20">
        <f t="shared" si="12"/>
        <v>153.45000000000002</v>
      </c>
      <c r="J289" s="43" t="s">
        <v>1961</v>
      </c>
    </row>
    <row r="290" spans="1:10" x14ac:dyDescent="0.25">
      <c r="A290" s="46" t="s">
        <v>235</v>
      </c>
      <c r="B290" s="3" t="s">
        <v>236</v>
      </c>
      <c r="C290" s="3" t="s">
        <v>47</v>
      </c>
      <c r="D290" s="3">
        <v>4</v>
      </c>
      <c r="E290" s="3" t="s">
        <v>1855</v>
      </c>
      <c r="F290" s="3">
        <v>359</v>
      </c>
      <c r="G290" s="20">
        <f t="shared" si="13"/>
        <v>222.58</v>
      </c>
      <c r="H290" s="20">
        <f t="shared" si="12"/>
        <v>890.32</v>
      </c>
      <c r="J290" s="43" t="s">
        <v>1962</v>
      </c>
    </row>
    <row r="291" spans="1:10" x14ac:dyDescent="0.25">
      <c r="A291" s="46" t="s">
        <v>237</v>
      </c>
      <c r="B291" s="3" t="s">
        <v>238</v>
      </c>
      <c r="C291" s="3" t="s">
        <v>47</v>
      </c>
      <c r="D291" s="3">
        <v>4</v>
      </c>
      <c r="E291" s="3" t="s">
        <v>1855</v>
      </c>
      <c r="F291" s="3">
        <v>44.1</v>
      </c>
      <c r="G291" s="20">
        <f t="shared" si="13"/>
        <v>27.342000000000002</v>
      </c>
      <c r="H291" s="20">
        <f t="shared" si="12"/>
        <v>109.36800000000001</v>
      </c>
      <c r="J291" s="43" t="s">
        <v>1963</v>
      </c>
    </row>
    <row r="292" spans="1:10" x14ac:dyDescent="0.25">
      <c r="A292" s="46" t="s">
        <v>239</v>
      </c>
      <c r="B292" s="3" t="s">
        <v>240</v>
      </c>
      <c r="C292" s="3" t="s">
        <v>46</v>
      </c>
      <c r="D292" s="3">
        <v>4</v>
      </c>
      <c r="E292" s="3" t="s">
        <v>1855</v>
      </c>
      <c r="F292" s="3">
        <v>269.5</v>
      </c>
      <c r="G292" s="20">
        <f t="shared" si="13"/>
        <v>167.09</v>
      </c>
      <c r="H292" s="20">
        <f t="shared" si="12"/>
        <v>668.36</v>
      </c>
      <c r="J292" s="43" t="s">
        <v>1964</v>
      </c>
    </row>
    <row r="293" spans="1:10" x14ac:dyDescent="0.25">
      <c r="A293" s="46" t="s">
        <v>241</v>
      </c>
      <c r="B293" s="3" t="s">
        <v>242</v>
      </c>
      <c r="C293" s="3" t="s">
        <v>47</v>
      </c>
      <c r="D293" s="3">
        <v>2</v>
      </c>
      <c r="E293" s="3" t="s">
        <v>1855</v>
      </c>
      <c r="F293" s="3">
        <v>312.5</v>
      </c>
      <c r="G293" s="20">
        <f t="shared" si="13"/>
        <v>193.75</v>
      </c>
      <c r="H293" s="20">
        <f t="shared" si="12"/>
        <v>387.5</v>
      </c>
      <c r="J293" s="43" t="s">
        <v>1965</v>
      </c>
    </row>
    <row r="294" spans="1:10" x14ac:dyDescent="0.25">
      <c r="A294" s="46" t="s">
        <v>243</v>
      </c>
      <c r="B294" s="3" t="s">
        <v>244</v>
      </c>
      <c r="C294" s="3" t="s">
        <v>46</v>
      </c>
      <c r="D294" s="3">
        <v>4</v>
      </c>
      <c r="E294" s="3" t="s">
        <v>1855</v>
      </c>
      <c r="F294" s="3">
        <v>37.9</v>
      </c>
      <c r="G294" s="20">
        <f t="shared" si="13"/>
        <v>23.497999999999998</v>
      </c>
      <c r="H294" s="20">
        <f t="shared" si="12"/>
        <v>93.99199999999999</v>
      </c>
      <c r="J294" s="43" t="s">
        <v>244</v>
      </c>
    </row>
    <row r="295" spans="1:10" x14ac:dyDescent="0.25">
      <c r="A295" s="46" t="s">
        <v>245</v>
      </c>
      <c r="B295" s="3" t="s">
        <v>246</v>
      </c>
      <c r="C295" s="3" t="s">
        <v>46</v>
      </c>
      <c r="D295" s="3">
        <v>2</v>
      </c>
      <c r="E295" s="3" t="s">
        <v>1855</v>
      </c>
      <c r="F295" s="3">
        <v>28.9</v>
      </c>
      <c r="G295" s="20">
        <f t="shared" si="13"/>
        <v>17.917999999999999</v>
      </c>
      <c r="H295" s="20">
        <f t="shared" si="12"/>
        <v>35.835999999999999</v>
      </c>
      <c r="J295" s="43" t="s">
        <v>246</v>
      </c>
    </row>
    <row r="296" spans="1:10" x14ac:dyDescent="0.25">
      <c r="A296" s="46" t="s">
        <v>14</v>
      </c>
      <c r="B296" s="3" t="s">
        <v>15</v>
      </c>
      <c r="C296" s="3" t="s">
        <v>46</v>
      </c>
      <c r="D296" s="3">
        <v>2</v>
      </c>
      <c r="E296" s="3" t="s">
        <v>1855</v>
      </c>
      <c r="F296" s="3">
        <v>27.2</v>
      </c>
      <c r="G296" s="20">
        <f t="shared" si="13"/>
        <v>16.863999999999997</v>
      </c>
      <c r="H296" s="20">
        <f t="shared" si="12"/>
        <v>33.727999999999994</v>
      </c>
      <c r="J296" s="43" t="s">
        <v>1868</v>
      </c>
    </row>
    <row r="297" spans="1:10" x14ac:dyDescent="0.25">
      <c r="A297" s="46" t="s">
        <v>247</v>
      </c>
      <c r="B297" s="3" t="s">
        <v>248</v>
      </c>
      <c r="C297" s="3" t="s">
        <v>47</v>
      </c>
      <c r="D297" s="3">
        <v>2</v>
      </c>
      <c r="E297" s="3" t="s">
        <v>1855</v>
      </c>
      <c r="F297" s="3">
        <v>86.7</v>
      </c>
      <c r="G297" s="20">
        <f t="shared" si="13"/>
        <v>53.754000000000005</v>
      </c>
      <c r="H297" s="20">
        <f t="shared" si="12"/>
        <v>107.50800000000001</v>
      </c>
      <c r="J297" s="43" t="s">
        <v>248</v>
      </c>
    </row>
    <row r="298" spans="1:10" x14ac:dyDescent="0.25">
      <c r="A298" s="46" t="s">
        <v>249</v>
      </c>
      <c r="B298" s="3" t="s">
        <v>250</v>
      </c>
      <c r="C298" s="3" t="s">
        <v>46</v>
      </c>
      <c r="D298" s="3">
        <v>1</v>
      </c>
      <c r="E298" s="3" t="s">
        <v>1855</v>
      </c>
      <c r="F298" s="3">
        <v>224.5</v>
      </c>
      <c r="G298" s="20">
        <f t="shared" si="13"/>
        <v>139.19</v>
      </c>
      <c r="H298" s="20">
        <f t="shared" si="12"/>
        <v>139.19</v>
      </c>
      <c r="J298" s="43" t="s">
        <v>1966</v>
      </c>
    </row>
    <row r="299" spans="1:10" x14ac:dyDescent="0.25">
      <c r="A299" s="46" t="s">
        <v>251</v>
      </c>
      <c r="B299" s="3" t="s">
        <v>252</v>
      </c>
      <c r="C299" s="3" t="s">
        <v>46</v>
      </c>
      <c r="D299" s="3">
        <v>1</v>
      </c>
      <c r="E299" s="3" t="s">
        <v>1855</v>
      </c>
      <c r="F299" s="3">
        <v>10.7</v>
      </c>
      <c r="G299" s="20">
        <f t="shared" si="13"/>
        <v>6.6339999999999995</v>
      </c>
      <c r="H299" s="20">
        <f t="shared" si="12"/>
        <v>6.6339999999999995</v>
      </c>
      <c r="J299" s="43" t="s">
        <v>1967</v>
      </c>
    </row>
    <row r="300" spans="1:10" x14ac:dyDescent="0.25">
      <c r="A300" s="46" t="s">
        <v>253</v>
      </c>
      <c r="B300" s="3" t="s">
        <v>254</v>
      </c>
      <c r="C300" s="3" t="s">
        <v>46</v>
      </c>
      <c r="D300" s="3">
        <v>2</v>
      </c>
      <c r="E300" s="3" t="s">
        <v>1855</v>
      </c>
      <c r="F300" s="3">
        <v>344.5</v>
      </c>
      <c r="G300" s="20">
        <f t="shared" si="13"/>
        <v>213.59</v>
      </c>
      <c r="H300" s="20">
        <f t="shared" si="12"/>
        <v>427.18</v>
      </c>
      <c r="J300" s="43" t="s">
        <v>1968</v>
      </c>
    </row>
    <row r="301" spans="1:10" x14ac:dyDescent="0.25">
      <c r="A301" s="46" t="s">
        <v>255</v>
      </c>
      <c r="B301" s="3" t="s">
        <v>256</v>
      </c>
      <c r="C301" s="3" t="s">
        <v>46</v>
      </c>
      <c r="D301" s="3">
        <v>2</v>
      </c>
      <c r="E301" s="3" t="s">
        <v>1855</v>
      </c>
      <c r="F301" s="3">
        <v>344.5</v>
      </c>
      <c r="G301" s="20">
        <f t="shared" si="13"/>
        <v>213.59</v>
      </c>
      <c r="H301" s="20">
        <f t="shared" si="12"/>
        <v>427.18</v>
      </c>
      <c r="J301" s="43" t="s">
        <v>1969</v>
      </c>
    </row>
    <row r="302" spans="1:10" x14ac:dyDescent="0.25">
      <c r="A302" s="46" t="s">
        <v>1795</v>
      </c>
      <c r="B302" s="3" t="s">
        <v>1797</v>
      </c>
      <c r="C302" s="3" t="s">
        <v>46</v>
      </c>
      <c r="D302" s="3">
        <v>1</v>
      </c>
      <c r="E302" s="3" t="s">
        <v>1856</v>
      </c>
      <c r="F302" s="3">
        <v>664</v>
      </c>
      <c r="G302" s="20">
        <f t="shared" si="13"/>
        <v>411.68</v>
      </c>
      <c r="H302" s="20">
        <f t="shared" si="12"/>
        <v>411.68</v>
      </c>
      <c r="J302" s="43" t="s">
        <v>1911</v>
      </c>
    </row>
    <row r="303" spans="1:10" x14ac:dyDescent="0.25">
      <c r="A303" s="46" t="s">
        <v>1796</v>
      </c>
      <c r="B303" s="3" t="s">
        <v>1798</v>
      </c>
      <c r="C303" s="3" t="s">
        <v>46</v>
      </c>
      <c r="D303" s="3">
        <v>1</v>
      </c>
      <c r="E303" s="3" t="s">
        <v>1855</v>
      </c>
      <c r="F303" s="3">
        <v>147</v>
      </c>
      <c r="G303" s="20">
        <f t="shared" si="13"/>
        <v>91.14</v>
      </c>
      <c r="H303" s="20">
        <f t="shared" si="12"/>
        <v>91.14</v>
      </c>
      <c r="J303" s="43" t="s">
        <v>1912</v>
      </c>
    </row>
    <row r="304" spans="1:10" s="5" customFormat="1" x14ac:dyDescent="0.25">
      <c r="A304" s="51"/>
      <c r="B304" s="6" t="s">
        <v>261</v>
      </c>
      <c r="C304" s="4"/>
      <c r="D304" s="29"/>
      <c r="E304" s="4"/>
      <c r="F304" s="4"/>
      <c r="G304" s="4"/>
      <c r="H304" s="19"/>
      <c r="J304" s="43"/>
    </row>
    <row r="305" spans="1:10" x14ac:dyDescent="0.25">
      <c r="A305" s="46" t="s">
        <v>185</v>
      </c>
      <c r="B305" s="3" t="s">
        <v>186</v>
      </c>
      <c r="C305" s="3" t="s">
        <v>46</v>
      </c>
      <c r="D305" s="3">
        <v>4</v>
      </c>
      <c r="E305" s="3" t="s">
        <v>1855</v>
      </c>
      <c r="F305" s="3">
        <v>120</v>
      </c>
      <c r="G305" s="20">
        <f t="shared" si="13"/>
        <v>74.400000000000006</v>
      </c>
      <c r="H305" s="20">
        <f t="shared" ref="H305:H349" si="14">G305*D305</f>
        <v>297.60000000000002</v>
      </c>
      <c r="J305" s="43" t="s">
        <v>1941</v>
      </c>
    </row>
    <row r="306" spans="1:10" x14ac:dyDescent="0.25">
      <c r="A306" s="46" t="s">
        <v>187</v>
      </c>
      <c r="B306" s="3" t="s">
        <v>188</v>
      </c>
      <c r="C306" s="3" t="s">
        <v>46</v>
      </c>
      <c r="D306" s="3">
        <v>2</v>
      </c>
      <c r="E306" s="3" t="s">
        <v>1855</v>
      </c>
      <c r="F306" s="3">
        <v>81.900000000000006</v>
      </c>
      <c r="G306" s="20">
        <f t="shared" si="13"/>
        <v>50.778000000000006</v>
      </c>
      <c r="H306" s="20">
        <f t="shared" si="14"/>
        <v>101.55600000000001</v>
      </c>
      <c r="J306" s="43" t="s">
        <v>1942</v>
      </c>
    </row>
    <row r="307" spans="1:10" x14ac:dyDescent="0.25">
      <c r="A307" s="46" t="s">
        <v>189</v>
      </c>
      <c r="B307" s="3" t="s">
        <v>190</v>
      </c>
      <c r="C307" s="3" t="s">
        <v>47</v>
      </c>
      <c r="D307" s="3">
        <v>1</v>
      </c>
      <c r="E307" s="3" t="s">
        <v>1855</v>
      </c>
      <c r="F307" s="3">
        <v>70.599999999999994</v>
      </c>
      <c r="G307" s="20">
        <f t="shared" si="13"/>
        <v>43.771999999999991</v>
      </c>
      <c r="H307" s="20">
        <f t="shared" si="14"/>
        <v>43.771999999999991</v>
      </c>
      <c r="J307" s="43" t="s">
        <v>1943</v>
      </c>
    </row>
    <row r="308" spans="1:10" x14ac:dyDescent="0.25">
      <c r="A308" s="46" t="s">
        <v>103</v>
      </c>
      <c r="B308" s="3" t="s">
        <v>104</v>
      </c>
      <c r="C308" s="3" t="s">
        <v>47</v>
      </c>
      <c r="D308" s="3">
        <v>1</v>
      </c>
      <c r="E308" s="3" t="s">
        <v>1855</v>
      </c>
      <c r="F308" s="3">
        <v>65.599999999999994</v>
      </c>
      <c r="G308" s="20">
        <f t="shared" si="13"/>
        <v>40.671999999999997</v>
      </c>
      <c r="H308" s="20">
        <f t="shared" si="14"/>
        <v>40.671999999999997</v>
      </c>
      <c r="J308" s="43" t="s">
        <v>1900</v>
      </c>
    </row>
    <row r="309" spans="1:10" x14ac:dyDescent="0.25">
      <c r="A309" s="46" t="s">
        <v>191</v>
      </c>
      <c r="B309" s="3" t="s">
        <v>192</v>
      </c>
      <c r="C309" s="3" t="s">
        <v>46</v>
      </c>
      <c r="D309" s="3">
        <v>2</v>
      </c>
      <c r="E309" s="3" t="s">
        <v>1855</v>
      </c>
      <c r="F309" s="3">
        <v>200.5</v>
      </c>
      <c r="G309" s="20">
        <f t="shared" si="13"/>
        <v>124.31</v>
      </c>
      <c r="H309" s="20">
        <f t="shared" si="14"/>
        <v>248.62</v>
      </c>
      <c r="J309" s="43" t="s">
        <v>192</v>
      </c>
    </row>
    <row r="310" spans="1:10" x14ac:dyDescent="0.25">
      <c r="A310" s="46" t="s">
        <v>193</v>
      </c>
      <c r="B310" s="3" t="s">
        <v>194</v>
      </c>
      <c r="C310" s="3" t="s">
        <v>46</v>
      </c>
      <c r="D310" s="3">
        <v>1</v>
      </c>
      <c r="E310" s="3" t="s">
        <v>1855</v>
      </c>
      <c r="F310" s="3">
        <v>25.2</v>
      </c>
      <c r="G310" s="20">
        <f t="shared" si="13"/>
        <v>15.623999999999999</v>
      </c>
      <c r="H310" s="20">
        <f t="shared" si="14"/>
        <v>15.623999999999999</v>
      </c>
      <c r="J310" s="43" t="s">
        <v>1944</v>
      </c>
    </row>
    <row r="311" spans="1:10" x14ac:dyDescent="0.25">
      <c r="A311" s="46" t="s">
        <v>195</v>
      </c>
      <c r="B311" s="3" t="s">
        <v>196</v>
      </c>
      <c r="C311" s="3" t="s">
        <v>46</v>
      </c>
      <c r="D311" s="3">
        <v>1</v>
      </c>
      <c r="E311" s="3" t="s">
        <v>1855</v>
      </c>
      <c r="F311" s="3">
        <v>129</v>
      </c>
      <c r="G311" s="20">
        <f t="shared" si="13"/>
        <v>79.97999999999999</v>
      </c>
      <c r="H311" s="20">
        <f t="shared" si="14"/>
        <v>79.97999999999999</v>
      </c>
      <c r="J311" s="43" t="s">
        <v>1945</v>
      </c>
    </row>
    <row r="312" spans="1:10" x14ac:dyDescent="0.25">
      <c r="A312" s="46" t="s">
        <v>197</v>
      </c>
      <c r="B312" s="3" t="s">
        <v>198</v>
      </c>
      <c r="C312" s="3" t="s">
        <v>46</v>
      </c>
      <c r="D312" s="3">
        <v>1</v>
      </c>
      <c r="E312" s="3" t="s">
        <v>1855</v>
      </c>
      <c r="F312" s="3">
        <v>106</v>
      </c>
      <c r="G312" s="20">
        <f t="shared" si="13"/>
        <v>65.72</v>
      </c>
      <c r="H312" s="20">
        <f t="shared" si="14"/>
        <v>65.72</v>
      </c>
      <c r="J312" s="43" t="s">
        <v>1946</v>
      </c>
    </row>
    <row r="313" spans="1:10" x14ac:dyDescent="0.25">
      <c r="A313" s="46" t="s">
        <v>63</v>
      </c>
      <c r="B313" s="3" t="s">
        <v>64</v>
      </c>
      <c r="C313" s="3" t="s">
        <v>47</v>
      </c>
      <c r="D313" s="3">
        <v>1</v>
      </c>
      <c r="E313" s="3" t="s">
        <v>1855</v>
      </c>
      <c r="F313" s="3">
        <v>86.3</v>
      </c>
      <c r="G313" s="20">
        <f t="shared" si="13"/>
        <v>53.506</v>
      </c>
      <c r="H313" s="20">
        <f t="shared" si="14"/>
        <v>53.506</v>
      </c>
      <c r="J313" s="43" t="s">
        <v>1889</v>
      </c>
    </row>
    <row r="314" spans="1:10" x14ac:dyDescent="0.25">
      <c r="A314" s="46" t="s">
        <v>199</v>
      </c>
      <c r="B314" s="3" t="s">
        <v>200</v>
      </c>
      <c r="C314" s="3" t="s">
        <v>47</v>
      </c>
      <c r="D314" s="3">
        <v>2</v>
      </c>
      <c r="E314" s="3" t="s">
        <v>1855</v>
      </c>
      <c r="F314" s="3">
        <v>124</v>
      </c>
      <c r="G314" s="20">
        <f t="shared" si="13"/>
        <v>76.88</v>
      </c>
      <c r="H314" s="20">
        <f t="shared" si="14"/>
        <v>153.76</v>
      </c>
      <c r="J314" s="43" t="s">
        <v>200</v>
      </c>
    </row>
    <row r="315" spans="1:10" x14ac:dyDescent="0.25">
      <c r="A315" s="46" t="s">
        <v>201</v>
      </c>
      <c r="B315" s="3" t="s">
        <v>202</v>
      </c>
      <c r="C315" s="3" t="s">
        <v>47</v>
      </c>
      <c r="D315" s="3">
        <v>1</v>
      </c>
      <c r="E315" s="3" t="s">
        <v>1855</v>
      </c>
      <c r="F315" s="3">
        <v>220.5</v>
      </c>
      <c r="G315" s="20">
        <f t="shared" si="13"/>
        <v>136.70999999999998</v>
      </c>
      <c r="H315" s="20">
        <f t="shared" si="14"/>
        <v>136.70999999999998</v>
      </c>
      <c r="J315" s="43" t="s">
        <v>202</v>
      </c>
    </row>
    <row r="316" spans="1:10" x14ac:dyDescent="0.25">
      <c r="A316" s="46" t="s">
        <v>55</v>
      </c>
      <c r="B316" s="3" t="s">
        <v>56</v>
      </c>
      <c r="C316" s="3" t="s">
        <v>47</v>
      </c>
      <c r="D316" s="3">
        <v>6</v>
      </c>
      <c r="E316" s="3" t="s">
        <v>1855</v>
      </c>
      <c r="F316" s="3">
        <v>23.9</v>
      </c>
      <c r="G316" s="20">
        <f t="shared" si="13"/>
        <v>14.818</v>
      </c>
      <c r="H316" s="20">
        <f t="shared" si="14"/>
        <v>88.908000000000001</v>
      </c>
      <c r="J316" s="43" t="s">
        <v>1885</v>
      </c>
    </row>
    <row r="317" spans="1:10" x14ac:dyDescent="0.25">
      <c r="A317" s="46" t="s">
        <v>203</v>
      </c>
      <c r="B317" s="3" t="s">
        <v>204</v>
      </c>
      <c r="C317" s="3" t="s">
        <v>46</v>
      </c>
      <c r="D317" s="3">
        <v>2</v>
      </c>
      <c r="E317" s="3" t="s">
        <v>1855</v>
      </c>
      <c r="F317" s="3">
        <v>180</v>
      </c>
      <c r="G317" s="20">
        <f t="shared" si="13"/>
        <v>111.6</v>
      </c>
      <c r="H317" s="20">
        <f t="shared" si="14"/>
        <v>223.2</v>
      </c>
      <c r="J317" s="43" t="s">
        <v>1947</v>
      </c>
    </row>
    <row r="318" spans="1:10" x14ac:dyDescent="0.25">
      <c r="A318" s="46" t="s">
        <v>205</v>
      </c>
      <c r="B318" s="3" t="s">
        <v>206</v>
      </c>
      <c r="C318" s="3" t="s">
        <v>46</v>
      </c>
      <c r="D318" s="3">
        <v>2</v>
      </c>
      <c r="E318" s="3" t="s">
        <v>1855</v>
      </c>
      <c r="F318" s="3">
        <v>61.7</v>
      </c>
      <c r="G318" s="20">
        <f t="shared" si="13"/>
        <v>38.254000000000005</v>
      </c>
      <c r="H318" s="20">
        <f t="shared" si="14"/>
        <v>76.50800000000001</v>
      </c>
      <c r="J318" s="43" t="s">
        <v>1948</v>
      </c>
    </row>
    <row r="319" spans="1:10" x14ac:dyDescent="0.25">
      <c r="A319" s="46" t="s">
        <v>207</v>
      </c>
      <c r="B319" s="3" t="s">
        <v>208</v>
      </c>
      <c r="C319" s="3" t="s">
        <v>46</v>
      </c>
      <c r="D319" s="3">
        <v>1</v>
      </c>
      <c r="E319" s="3" t="s">
        <v>1855</v>
      </c>
      <c r="F319" s="3">
        <v>77.099999999999994</v>
      </c>
      <c r="G319" s="20">
        <f t="shared" si="13"/>
        <v>47.801999999999992</v>
      </c>
      <c r="H319" s="20">
        <f t="shared" si="14"/>
        <v>47.801999999999992</v>
      </c>
      <c r="J319" s="43" t="s">
        <v>1949</v>
      </c>
    </row>
    <row r="320" spans="1:10" x14ac:dyDescent="0.25">
      <c r="A320" s="46" t="s">
        <v>209</v>
      </c>
      <c r="B320" s="3" t="s">
        <v>210</v>
      </c>
      <c r="C320" s="3" t="s">
        <v>46</v>
      </c>
      <c r="D320" s="3">
        <v>1</v>
      </c>
      <c r="E320" s="3" t="s">
        <v>1855</v>
      </c>
      <c r="F320" s="3">
        <v>15.3</v>
      </c>
      <c r="G320" s="20">
        <f t="shared" si="13"/>
        <v>9.4860000000000007</v>
      </c>
      <c r="H320" s="20">
        <f t="shared" si="14"/>
        <v>9.4860000000000007</v>
      </c>
      <c r="J320" s="43" t="s">
        <v>1950</v>
      </c>
    </row>
    <row r="321" spans="1:10" x14ac:dyDescent="0.25">
      <c r="A321" s="46" t="s">
        <v>211</v>
      </c>
      <c r="B321" s="3" t="s">
        <v>212</v>
      </c>
      <c r="C321" s="3" t="s">
        <v>47</v>
      </c>
      <c r="D321" s="3">
        <v>5</v>
      </c>
      <c r="E321" s="3" t="s">
        <v>1855</v>
      </c>
      <c r="F321" s="3">
        <v>151</v>
      </c>
      <c r="G321" s="20">
        <f t="shared" si="13"/>
        <v>93.62</v>
      </c>
      <c r="H321" s="20">
        <f t="shared" si="14"/>
        <v>468.1</v>
      </c>
      <c r="J321" s="43" t="s">
        <v>1951</v>
      </c>
    </row>
    <row r="322" spans="1:10" x14ac:dyDescent="0.25">
      <c r="A322" s="46" t="s">
        <v>213</v>
      </c>
      <c r="B322" s="3" t="s">
        <v>214</v>
      </c>
      <c r="C322" s="3" t="s">
        <v>46</v>
      </c>
      <c r="D322" s="3">
        <v>2</v>
      </c>
      <c r="E322" s="3" t="s">
        <v>1855</v>
      </c>
      <c r="F322" s="3">
        <v>207.5</v>
      </c>
      <c r="G322" s="20">
        <f t="shared" si="13"/>
        <v>128.65</v>
      </c>
      <c r="H322" s="20">
        <f t="shared" si="14"/>
        <v>257.3</v>
      </c>
      <c r="J322" s="43" t="s">
        <v>1952</v>
      </c>
    </row>
    <row r="323" spans="1:10" x14ac:dyDescent="0.25">
      <c r="A323" s="46" t="s">
        <v>215</v>
      </c>
      <c r="B323" s="3" t="s">
        <v>216</v>
      </c>
      <c r="C323" s="3" t="s">
        <v>46</v>
      </c>
      <c r="D323" s="3">
        <v>2</v>
      </c>
      <c r="E323" s="3" t="s">
        <v>1855</v>
      </c>
      <c r="F323" s="3">
        <v>239</v>
      </c>
      <c r="G323" s="20">
        <f t="shared" si="13"/>
        <v>148.18</v>
      </c>
      <c r="H323" s="20">
        <f t="shared" si="14"/>
        <v>296.36</v>
      </c>
      <c r="J323" s="43" t="s">
        <v>1953</v>
      </c>
    </row>
    <row r="324" spans="1:10" x14ac:dyDescent="0.25">
      <c r="A324" s="46" t="s">
        <v>262</v>
      </c>
      <c r="B324" s="3" t="s">
        <v>263</v>
      </c>
      <c r="C324" s="3" t="s">
        <v>46</v>
      </c>
      <c r="D324" s="3">
        <v>2</v>
      </c>
      <c r="E324" s="3" t="s">
        <v>1855</v>
      </c>
      <c r="F324" s="3">
        <v>249</v>
      </c>
      <c r="G324" s="20">
        <f t="shared" si="13"/>
        <v>154.38</v>
      </c>
      <c r="H324" s="20">
        <f t="shared" si="14"/>
        <v>308.76</v>
      </c>
      <c r="J324" s="43" t="s">
        <v>1971</v>
      </c>
    </row>
    <row r="325" spans="1:10" x14ac:dyDescent="0.25">
      <c r="A325" s="46" t="s">
        <v>219</v>
      </c>
      <c r="B325" s="3" t="s">
        <v>220</v>
      </c>
      <c r="C325" s="3" t="s">
        <v>46</v>
      </c>
      <c r="D325" s="3">
        <v>1</v>
      </c>
      <c r="E325" s="3" t="s">
        <v>1855</v>
      </c>
      <c r="F325" s="3">
        <v>76.2</v>
      </c>
      <c r="G325" s="20">
        <f t="shared" si="13"/>
        <v>47.244</v>
      </c>
      <c r="H325" s="20">
        <f t="shared" si="14"/>
        <v>47.244</v>
      </c>
      <c r="J325" s="43" t="s">
        <v>1955</v>
      </c>
    </row>
    <row r="326" spans="1:10" x14ac:dyDescent="0.25">
      <c r="A326" s="46" t="s">
        <v>221</v>
      </c>
      <c r="B326" s="3" t="s">
        <v>222</v>
      </c>
      <c r="C326" s="3" t="s">
        <v>46</v>
      </c>
      <c r="D326" s="3">
        <v>2</v>
      </c>
      <c r="E326" s="3" t="s">
        <v>1855</v>
      </c>
      <c r="F326" s="3">
        <v>80.099999999999994</v>
      </c>
      <c r="G326" s="20">
        <f t="shared" si="13"/>
        <v>49.661999999999992</v>
      </c>
      <c r="H326" s="20">
        <f t="shared" si="14"/>
        <v>99.323999999999984</v>
      </c>
      <c r="J326" s="43" t="s">
        <v>1956</v>
      </c>
    </row>
    <row r="327" spans="1:10" x14ac:dyDescent="0.25">
      <c r="A327" s="46" t="s">
        <v>49</v>
      </c>
      <c r="B327" s="3" t="s">
        <v>50</v>
      </c>
      <c r="C327" s="3" t="s">
        <v>47</v>
      </c>
      <c r="D327" s="3">
        <v>1</v>
      </c>
      <c r="E327" s="3" t="s">
        <v>1855</v>
      </c>
      <c r="F327" s="3">
        <v>126.5</v>
      </c>
      <c r="G327" s="20">
        <f t="shared" si="13"/>
        <v>78.430000000000007</v>
      </c>
      <c r="H327" s="20">
        <f t="shared" si="14"/>
        <v>78.430000000000007</v>
      </c>
      <c r="J327" s="43" t="s">
        <v>1882</v>
      </c>
    </row>
    <row r="328" spans="1:10" x14ac:dyDescent="0.25">
      <c r="A328" s="46" t="s">
        <v>223</v>
      </c>
      <c r="B328" s="3" t="s">
        <v>224</v>
      </c>
      <c r="C328" s="3" t="s">
        <v>47</v>
      </c>
      <c r="D328" s="3">
        <v>6</v>
      </c>
      <c r="E328" s="3" t="s">
        <v>1855</v>
      </c>
      <c r="F328" s="3">
        <v>89.9</v>
      </c>
      <c r="G328" s="20">
        <f t="shared" si="13"/>
        <v>55.738000000000007</v>
      </c>
      <c r="H328" s="20">
        <f t="shared" si="14"/>
        <v>334.42800000000005</v>
      </c>
      <c r="J328" s="43" t="s">
        <v>1957</v>
      </c>
    </row>
    <row r="329" spans="1:10" x14ac:dyDescent="0.25">
      <c r="A329" s="46" t="s">
        <v>225</v>
      </c>
      <c r="B329" s="3" t="s">
        <v>226</v>
      </c>
      <c r="C329" s="3" t="s">
        <v>46</v>
      </c>
      <c r="D329" s="3">
        <v>2</v>
      </c>
      <c r="E329" s="3" t="s">
        <v>1855</v>
      </c>
      <c r="F329" s="3">
        <v>249</v>
      </c>
      <c r="G329" s="20">
        <f t="shared" si="13"/>
        <v>154.38</v>
      </c>
      <c r="H329" s="20">
        <f t="shared" si="14"/>
        <v>308.76</v>
      </c>
      <c r="J329" s="43" t="s">
        <v>1958</v>
      </c>
    </row>
    <row r="330" spans="1:10" x14ac:dyDescent="0.25">
      <c r="A330" s="48" t="s">
        <v>99</v>
      </c>
      <c r="B330" s="3" t="s">
        <v>100</v>
      </c>
      <c r="C330" s="3" t="s">
        <v>46</v>
      </c>
      <c r="D330" s="3">
        <v>2</v>
      </c>
      <c r="E330" s="3" t="s">
        <v>1855</v>
      </c>
      <c r="F330" s="3">
        <v>11.9</v>
      </c>
      <c r="G330" s="20">
        <f t="shared" si="13"/>
        <v>7.3780000000000001</v>
      </c>
      <c r="H330" s="20">
        <f t="shared" si="14"/>
        <v>14.756</v>
      </c>
      <c r="J330" s="43" t="e">
        <v>#N/A</v>
      </c>
    </row>
    <row r="331" spans="1:10" x14ac:dyDescent="0.25">
      <c r="A331" s="46" t="s">
        <v>227</v>
      </c>
      <c r="B331" s="3" t="s">
        <v>228</v>
      </c>
      <c r="C331" s="3" t="s">
        <v>47</v>
      </c>
      <c r="D331" s="3">
        <v>2</v>
      </c>
      <c r="E331" s="3" t="s">
        <v>1855</v>
      </c>
      <c r="F331" s="3">
        <v>116.5</v>
      </c>
      <c r="G331" s="20">
        <f t="shared" si="13"/>
        <v>72.22999999999999</v>
      </c>
      <c r="H331" s="20">
        <f t="shared" si="14"/>
        <v>144.45999999999998</v>
      </c>
      <c r="J331" s="43" t="s">
        <v>228</v>
      </c>
    </row>
    <row r="332" spans="1:10" x14ac:dyDescent="0.25">
      <c r="A332" s="46" t="s">
        <v>26</v>
      </c>
      <c r="B332" s="3" t="s">
        <v>27</v>
      </c>
      <c r="C332" s="3" t="s">
        <v>46</v>
      </c>
      <c r="D332" s="3">
        <v>1</v>
      </c>
      <c r="E332" s="3" t="s">
        <v>1855</v>
      </c>
      <c r="F332" s="3">
        <v>6.81</v>
      </c>
      <c r="G332" s="20">
        <f t="shared" si="13"/>
        <v>4.2221999999999991</v>
      </c>
      <c r="H332" s="20">
        <f t="shared" si="14"/>
        <v>4.2221999999999991</v>
      </c>
      <c r="J332" s="43" t="s">
        <v>1873</v>
      </c>
    </row>
    <row r="333" spans="1:10" x14ac:dyDescent="0.25">
      <c r="A333" s="46" t="s">
        <v>229</v>
      </c>
      <c r="B333" s="3" t="s">
        <v>230</v>
      </c>
      <c r="C333" s="3" t="s">
        <v>46</v>
      </c>
      <c r="D333" s="3">
        <v>5</v>
      </c>
      <c r="E333" s="3" t="s">
        <v>1855</v>
      </c>
      <c r="F333" s="3">
        <v>62.5</v>
      </c>
      <c r="G333" s="20">
        <f t="shared" ref="G333:G396" si="15">F333-(F333*38%)</f>
        <v>38.75</v>
      </c>
      <c r="H333" s="20">
        <f t="shared" si="14"/>
        <v>193.75</v>
      </c>
      <c r="J333" s="43" t="s">
        <v>1959</v>
      </c>
    </row>
    <row r="334" spans="1:10" x14ac:dyDescent="0.25">
      <c r="A334" s="46" t="s">
        <v>231</v>
      </c>
      <c r="B334" s="3" t="s">
        <v>232</v>
      </c>
      <c r="C334" s="3" t="s">
        <v>46</v>
      </c>
      <c r="D334" s="3">
        <v>4</v>
      </c>
      <c r="E334" s="3" t="s">
        <v>1855</v>
      </c>
      <c r="F334" s="3">
        <v>112.5</v>
      </c>
      <c r="G334" s="20">
        <f t="shared" si="15"/>
        <v>69.75</v>
      </c>
      <c r="H334" s="20">
        <f t="shared" si="14"/>
        <v>279</v>
      </c>
      <c r="J334" s="43" t="s">
        <v>1960</v>
      </c>
    </row>
    <row r="335" spans="1:10" x14ac:dyDescent="0.25">
      <c r="A335" s="46" t="s">
        <v>233</v>
      </c>
      <c r="B335" s="3" t="s">
        <v>234</v>
      </c>
      <c r="C335" s="3" t="s">
        <v>47</v>
      </c>
      <c r="D335" s="3">
        <v>5</v>
      </c>
      <c r="E335" s="3" t="s">
        <v>1855</v>
      </c>
      <c r="F335" s="3">
        <v>49.5</v>
      </c>
      <c r="G335" s="20">
        <f t="shared" si="15"/>
        <v>30.69</v>
      </c>
      <c r="H335" s="20">
        <f t="shared" si="14"/>
        <v>153.45000000000002</v>
      </c>
      <c r="J335" s="43" t="s">
        <v>1961</v>
      </c>
    </row>
    <row r="336" spans="1:10" x14ac:dyDescent="0.25">
      <c r="A336" s="46" t="s">
        <v>235</v>
      </c>
      <c r="B336" s="3" t="s">
        <v>236</v>
      </c>
      <c r="C336" s="3" t="s">
        <v>47</v>
      </c>
      <c r="D336" s="3">
        <v>2</v>
      </c>
      <c r="E336" s="3" t="s">
        <v>1855</v>
      </c>
      <c r="F336" s="3">
        <v>359</v>
      </c>
      <c r="G336" s="20">
        <f t="shared" si="15"/>
        <v>222.58</v>
      </c>
      <c r="H336" s="20">
        <f t="shared" si="14"/>
        <v>445.16</v>
      </c>
      <c r="J336" s="43" t="s">
        <v>1962</v>
      </c>
    </row>
    <row r="337" spans="1:10" x14ac:dyDescent="0.25">
      <c r="A337" s="46" t="s">
        <v>237</v>
      </c>
      <c r="B337" s="3" t="s">
        <v>238</v>
      </c>
      <c r="C337" s="3" t="s">
        <v>47</v>
      </c>
      <c r="D337" s="3">
        <v>2</v>
      </c>
      <c r="E337" s="3" t="s">
        <v>1855</v>
      </c>
      <c r="F337" s="3">
        <v>44.1</v>
      </c>
      <c r="G337" s="20">
        <f t="shared" si="15"/>
        <v>27.342000000000002</v>
      </c>
      <c r="H337" s="20">
        <f t="shared" si="14"/>
        <v>54.684000000000005</v>
      </c>
      <c r="J337" s="43" t="s">
        <v>1963</v>
      </c>
    </row>
    <row r="338" spans="1:10" x14ac:dyDescent="0.25">
      <c r="A338" s="46" t="s">
        <v>239</v>
      </c>
      <c r="B338" s="3" t="s">
        <v>240</v>
      </c>
      <c r="C338" s="3" t="s">
        <v>46</v>
      </c>
      <c r="D338" s="3">
        <v>2</v>
      </c>
      <c r="E338" s="3" t="s">
        <v>1855</v>
      </c>
      <c r="F338" s="3">
        <v>269.5</v>
      </c>
      <c r="G338" s="20">
        <f t="shared" si="15"/>
        <v>167.09</v>
      </c>
      <c r="H338" s="20">
        <f t="shared" si="14"/>
        <v>334.18</v>
      </c>
      <c r="J338" s="43" t="s">
        <v>1964</v>
      </c>
    </row>
    <row r="339" spans="1:10" x14ac:dyDescent="0.25">
      <c r="A339" s="46" t="s">
        <v>241</v>
      </c>
      <c r="B339" s="3" t="s">
        <v>242</v>
      </c>
      <c r="C339" s="3" t="s">
        <v>47</v>
      </c>
      <c r="D339" s="3">
        <v>2</v>
      </c>
      <c r="E339" s="3" t="s">
        <v>1855</v>
      </c>
      <c r="F339" s="3">
        <v>312.5</v>
      </c>
      <c r="G339" s="20">
        <f t="shared" si="15"/>
        <v>193.75</v>
      </c>
      <c r="H339" s="20">
        <f t="shared" si="14"/>
        <v>387.5</v>
      </c>
      <c r="J339" s="43" t="s">
        <v>1965</v>
      </c>
    </row>
    <row r="340" spans="1:10" x14ac:dyDescent="0.25">
      <c r="A340" s="46" t="s">
        <v>243</v>
      </c>
      <c r="B340" s="3" t="s">
        <v>244</v>
      </c>
      <c r="C340" s="3" t="s">
        <v>46</v>
      </c>
      <c r="D340" s="3">
        <v>2</v>
      </c>
      <c r="E340" s="3" t="s">
        <v>1855</v>
      </c>
      <c r="F340" s="3">
        <v>37.9</v>
      </c>
      <c r="G340" s="20">
        <f t="shared" si="15"/>
        <v>23.497999999999998</v>
      </c>
      <c r="H340" s="20">
        <f t="shared" si="14"/>
        <v>46.995999999999995</v>
      </c>
      <c r="J340" s="43" t="s">
        <v>244</v>
      </c>
    </row>
    <row r="341" spans="1:10" x14ac:dyDescent="0.25">
      <c r="A341" s="46" t="s">
        <v>245</v>
      </c>
      <c r="B341" s="3" t="s">
        <v>246</v>
      </c>
      <c r="C341" s="3" t="s">
        <v>46</v>
      </c>
      <c r="D341" s="3">
        <v>2</v>
      </c>
      <c r="E341" s="3" t="s">
        <v>1855</v>
      </c>
      <c r="F341" s="3">
        <v>28.9</v>
      </c>
      <c r="G341" s="20">
        <f t="shared" si="15"/>
        <v>17.917999999999999</v>
      </c>
      <c r="H341" s="20">
        <f t="shared" si="14"/>
        <v>35.835999999999999</v>
      </c>
      <c r="J341" s="43" t="s">
        <v>246</v>
      </c>
    </row>
    <row r="342" spans="1:10" x14ac:dyDescent="0.25">
      <c r="A342" s="46" t="s">
        <v>14</v>
      </c>
      <c r="B342" s="3" t="s">
        <v>15</v>
      </c>
      <c r="C342" s="3" t="s">
        <v>46</v>
      </c>
      <c r="D342" s="3">
        <v>2</v>
      </c>
      <c r="E342" s="3" t="s">
        <v>1855</v>
      </c>
      <c r="F342" s="3">
        <v>27.2</v>
      </c>
      <c r="G342" s="20">
        <f t="shared" si="15"/>
        <v>16.863999999999997</v>
      </c>
      <c r="H342" s="20">
        <f t="shared" si="14"/>
        <v>33.727999999999994</v>
      </c>
      <c r="J342" s="43" t="s">
        <v>1868</v>
      </c>
    </row>
    <row r="343" spans="1:10" x14ac:dyDescent="0.25">
      <c r="A343" s="46" t="s">
        <v>247</v>
      </c>
      <c r="B343" s="3" t="s">
        <v>248</v>
      </c>
      <c r="C343" s="3" t="s">
        <v>47</v>
      </c>
      <c r="D343" s="3">
        <v>2</v>
      </c>
      <c r="E343" s="3" t="s">
        <v>1855</v>
      </c>
      <c r="F343" s="3">
        <v>86.7</v>
      </c>
      <c r="G343" s="20">
        <f t="shared" si="15"/>
        <v>53.754000000000005</v>
      </c>
      <c r="H343" s="20">
        <f t="shared" si="14"/>
        <v>107.50800000000001</v>
      </c>
      <c r="J343" s="43" t="s">
        <v>248</v>
      </c>
    </row>
    <row r="344" spans="1:10" x14ac:dyDescent="0.25">
      <c r="A344" s="46" t="s">
        <v>249</v>
      </c>
      <c r="B344" s="3" t="s">
        <v>250</v>
      </c>
      <c r="C344" s="3" t="s">
        <v>46</v>
      </c>
      <c r="D344" s="3">
        <v>1</v>
      </c>
      <c r="E344" s="3" t="s">
        <v>1855</v>
      </c>
      <c r="F344" s="3">
        <v>224.5</v>
      </c>
      <c r="G344" s="20">
        <f t="shared" si="15"/>
        <v>139.19</v>
      </c>
      <c r="H344" s="20">
        <f t="shared" si="14"/>
        <v>139.19</v>
      </c>
      <c r="J344" s="43" t="s">
        <v>1966</v>
      </c>
    </row>
    <row r="345" spans="1:10" x14ac:dyDescent="0.25">
      <c r="A345" s="46" t="s">
        <v>251</v>
      </c>
      <c r="B345" s="3" t="s">
        <v>252</v>
      </c>
      <c r="C345" s="3" t="s">
        <v>46</v>
      </c>
      <c r="D345" s="3">
        <v>1</v>
      </c>
      <c r="E345" s="3" t="s">
        <v>1855</v>
      </c>
      <c r="F345" s="3">
        <v>10.7</v>
      </c>
      <c r="G345" s="20">
        <f t="shared" si="15"/>
        <v>6.6339999999999995</v>
      </c>
      <c r="H345" s="20">
        <f t="shared" si="14"/>
        <v>6.6339999999999995</v>
      </c>
      <c r="J345" s="43" t="s">
        <v>1967</v>
      </c>
    </row>
    <row r="346" spans="1:10" x14ac:dyDescent="0.25">
      <c r="A346" s="46" t="s">
        <v>253</v>
      </c>
      <c r="B346" s="3" t="s">
        <v>254</v>
      </c>
      <c r="C346" s="3" t="s">
        <v>46</v>
      </c>
      <c r="D346" s="3">
        <v>2</v>
      </c>
      <c r="E346" s="3" t="s">
        <v>1855</v>
      </c>
      <c r="F346" s="3">
        <v>344.5</v>
      </c>
      <c r="G346" s="20">
        <f t="shared" si="15"/>
        <v>213.59</v>
      </c>
      <c r="H346" s="20">
        <f t="shared" si="14"/>
        <v>427.18</v>
      </c>
      <c r="J346" s="43" t="s">
        <v>1968</v>
      </c>
    </row>
    <row r="347" spans="1:10" x14ac:dyDescent="0.25">
      <c r="A347" s="46" t="s">
        <v>255</v>
      </c>
      <c r="B347" s="3" t="s">
        <v>256</v>
      </c>
      <c r="C347" s="3" t="s">
        <v>46</v>
      </c>
      <c r="D347" s="3">
        <v>2</v>
      </c>
      <c r="E347" s="3" t="s">
        <v>1855</v>
      </c>
      <c r="F347" s="3">
        <v>344.5</v>
      </c>
      <c r="G347" s="20">
        <f t="shared" si="15"/>
        <v>213.59</v>
      </c>
      <c r="H347" s="20">
        <f t="shared" si="14"/>
        <v>427.18</v>
      </c>
      <c r="J347" s="43" t="s">
        <v>1969</v>
      </c>
    </row>
    <row r="348" spans="1:10" x14ac:dyDescent="0.25">
      <c r="A348" s="46" t="s">
        <v>1795</v>
      </c>
      <c r="B348" s="3" t="s">
        <v>1797</v>
      </c>
      <c r="C348" s="3" t="s">
        <v>46</v>
      </c>
      <c r="D348" s="3">
        <v>1</v>
      </c>
      <c r="E348" s="3" t="s">
        <v>1856</v>
      </c>
      <c r="F348" s="3">
        <v>664</v>
      </c>
      <c r="G348" s="20">
        <f t="shared" si="15"/>
        <v>411.68</v>
      </c>
      <c r="H348" s="20">
        <f t="shared" si="14"/>
        <v>411.68</v>
      </c>
      <c r="J348" s="43" t="s">
        <v>1911</v>
      </c>
    </row>
    <row r="349" spans="1:10" x14ac:dyDescent="0.25">
      <c r="A349" s="46" t="s">
        <v>1796</v>
      </c>
      <c r="B349" s="3" t="s">
        <v>1798</v>
      </c>
      <c r="C349" s="3" t="s">
        <v>46</v>
      </c>
      <c r="D349" s="3">
        <v>1</v>
      </c>
      <c r="E349" s="3" t="s">
        <v>1855</v>
      </c>
      <c r="F349" s="3">
        <v>147</v>
      </c>
      <c r="G349" s="20">
        <f t="shared" si="15"/>
        <v>91.14</v>
      </c>
      <c r="H349" s="20">
        <f t="shared" si="14"/>
        <v>91.14</v>
      </c>
      <c r="J349" s="43" t="s">
        <v>1912</v>
      </c>
    </row>
    <row r="350" spans="1:10" s="10" customFormat="1" x14ac:dyDescent="0.25">
      <c r="A350" s="50"/>
      <c r="B350" s="11" t="s">
        <v>264</v>
      </c>
      <c r="C350" s="9"/>
      <c r="D350" s="9"/>
      <c r="E350" s="9"/>
      <c r="F350" s="9"/>
      <c r="G350" s="9"/>
      <c r="H350" s="21"/>
      <c r="J350" s="43"/>
    </row>
    <row r="351" spans="1:10" s="5" customFormat="1" x14ac:dyDescent="0.25">
      <c r="A351" s="51"/>
      <c r="B351" s="6" t="s">
        <v>265</v>
      </c>
      <c r="C351" s="4"/>
      <c r="D351" s="29"/>
      <c r="E351" s="4"/>
      <c r="F351" s="4"/>
      <c r="G351" s="4"/>
      <c r="H351" s="19"/>
      <c r="J351" s="43"/>
    </row>
    <row r="352" spans="1:10" x14ac:dyDescent="0.25">
      <c r="A352" s="46" t="s">
        <v>266</v>
      </c>
      <c r="B352" s="3" t="s">
        <v>267</v>
      </c>
      <c r="C352" s="3" t="s">
        <v>46</v>
      </c>
      <c r="D352" s="3">
        <v>6</v>
      </c>
      <c r="E352" s="3" t="s">
        <v>1855</v>
      </c>
      <c r="F352" s="3">
        <v>26.6</v>
      </c>
      <c r="G352" s="20">
        <f t="shared" si="15"/>
        <v>16.492000000000001</v>
      </c>
      <c r="H352" s="20">
        <f t="shared" ref="H352:H415" si="16">G352*D352</f>
        <v>98.951999999999998</v>
      </c>
      <c r="J352" s="43" t="s">
        <v>1972</v>
      </c>
    </row>
    <row r="353" spans="1:10" x14ac:dyDescent="0.25">
      <c r="A353" s="46" t="s">
        <v>57</v>
      </c>
      <c r="B353" s="3" t="s">
        <v>58</v>
      </c>
      <c r="C353" s="3" t="s">
        <v>47</v>
      </c>
      <c r="D353" s="3">
        <v>6</v>
      </c>
      <c r="E353" s="3" t="s">
        <v>1855</v>
      </c>
      <c r="F353" s="3">
        <v>22.4</v>
      </c>
      <c r="G353" s="20">
        <f t="shared" si="15"/>
        <v>13.888</v>
      </c>
      <c r="H353" s="20">
        <f t="shared" si="16"/>
        <v>83.328000000000003</v>
      </c>
      <c r="J353" s="43" t="s">
        <v>1886</v>
      </c>
    </row>
    <row r="354" spans="1:10" x14ac:dyDescent="0.25">
      <c r="A354" s="46" t="s">
        <v>268</v>
      </c>
      <c r="B354" s="3" t="s">
        <v>269</v>
      </c>
      <c r="C354" s="3" t="s">
        <v>47</v>
      </c>
      <c r="D354" s="3">
        <v>6</v>
      </c>
      <c r="E354" s="3" t="s">
        <v>1855</v>
      </c>
      <c r="F354" s="3">
        <v>30.2</v>
      </c>
      <c r="G354" s="20">
        <f t="shared" si="15"/>
        <v>18.724</v>
      </c>
      <c r="H354" s="20">
        <f t="shared" si="16"/>
        <v>112.34399999999999</v>
      </c>
      <c r="J354" s="43" t="s">
        <v>1973</v>
      </c>
    </row>
    <row r="355" spans="1:10" x14ac:dyDescent="0.25">
      <c r="A355" s="46" t="s">
        <v>270</v>
      </c>
      <c r="B355" s="3" t="s">
        <v>271</v>
      </c>
      <c r="C355" s="3" t="s">
        <v>46</v>
      </c>
      <c r="D355" s="3">
        <v>6</v>
      </c>
      <c r="E355" s="3" t="s">
        <v>1855</v>
      </c>
      <c r="F355" s="3">
        <v>27.9</v>
      </c>
      <c r="G355" s="20">
        <f t="shared" si="15"/>
        <v>17.297999999999998</v>
      </c>
      <c r="H355" s="20">
        <f t="shared" si="16"/>
        <v>103.78799999999998</v>
      </c>
      <c r="J355" s="43" t="s">
        <v>1974</v>
      </c>
    </row>
    <row r="356" spans="1:10" x14ac:dyDescent="0.25">
      <c r="A356" s="46" t="s">
        <v>55</v>
      </c>
      <c r="B356" s="3" t="s">
        <v>56</v>
      </c>
      <c r="C356" s="3" t="s">
        <v>47</v>
      </c>
      <c r="D356" s="3">
        <v>6</v>
      </c>
      <c r="E356" s="3" t="s">
        <v>1855</v>
      </c>
      <c r="F356" s="3">
        <v>23.9</v>
      </c>
      <c r="G356" s="20">
        <f t="shared" si="15"/>
        <v>14.818</v>
      </c>
      <c r="H356" s="20">
        <f t="shared" si="16"/>
        <v>88.908000000000001</v>
      </c>
      <c r="J356" s="43" t="s">
        <v>1885</v>
      </c>
    </row>
    <row r="357" spans="1:10" x14ac:dyDescent="0.25">
      <c r="A357" s="46" t="s">
        <v>272</v>
      </c>
      <c r="B357" s="3" t="s">
        <v>273</v>
      </c>
      <c r="C357" s="3" t="s">
        <v>46</v>
      </c>
      <c r="D357" s="3">
        <v>6</v>
      </c>
      <c r="E357" s="3" t="s">
        <v>1855</v>
      </c>
      <c r="F357" s="3">
        <v>35.5</v>
      </c>
      <c r="G357" s="20">
        <f t="shared" si="15"/>
        <v>22.009999999999998</v>
      </c>
      <c r="H357" s="20">
        <f t="shared" si="16"/>
        <v>132.06</v>
      </c>
      <c r="J357" s="43" t="s">
        <v>1975</v>
      </c>
    </row>
    <row r="358" spans="1:10" x14ac:dyDescent="0.25">
      <c r="A358" s="46" t="s">
        <v>274</v>
      </c>
      <c r="B358" s="3" t="s">
        <v>275</v>
      </c>
      <c r="C358" s="3" t="s">
        <v>46</v>
      </c>
      <c r="D358" s="3">
        <v>12</v>
      </c>
      <c r="E358" s="3" t="s">
        <v>1855</v>
      </c>
      <c r="F358" s="3">
        <v>44.5</v>
      </c>
      <c r="G358" s="20">
        <f t="shared" si="15"/>
        <v>27.59</v>
      </c>
      <c r="H358" s="20">
        <f t="shared" si="16"/>
        <v>331.08</v>
      </c>
      <c r="J358" s="43" t="s">
        <v>1976</v>
      </c>
    </row>
    <row r="359" spans="1:10" x14ac:dyDescent="0.25">
      <c r="A359" s="46" t="s">
        <v>276</v>
      </c>
      <c r="B359" s="3" t="s">
        <v>277</v>
      </c>
      <c r="C359" s="3" t="s">
        <v>46</v>
      </c>
      <c r="D359" s="3">
        <v>6</v>
      </c>
      <c r="E359" s="3" t="s">
        <v>1855</v>
      </c>
      <c r="F359" s="3">
        <v>72.900000000000006</v>
      </c>
      <c r="G359" s="20">
        <f t="shared" si="15"/>
        <v>45.198000000000008</v>
      </c>
      <c r="H359" s="20">
        <f t="shared" si="16"/>
        <v>271.18800000000005</v>
      </c>
      <c r="J359" s="43" t="s">
        <v>277</v>
      </c>
    </row>
    <row r="360" spans="1:10" x14ac:dyDescent="0.25">
      <c r="A360" s="46" t="s">
        <v>278</v>
      </c>
      <c r="B360" s="3" t="s">
        <v>279</v>
      </c>
      <c r="C360" s="3" t="s">
        <v>46</v>
      </c>
      <c r="D360" s="3">
        <v>6</v>
      </c>
      <c r="E360" s="3" t="s">
        <v>1855</v>
      </c>
      <c r="F360" s="3">
        <v>36</v>
      </c>
      <c r="G360" s="20">
        <f t="shared" si="15"/>
        <v>22.32</v>
      </c>
      <c r="H360" s="20">
        <f t="shared" si="16"/>
        <v>133.92000000000002</v>
      </c>
      <c r="J360" s="43" t="s">
        <v>1977</v>
      </c>
    </row>
    <row r="361" spans="1:10" x14ac:dyDescent="0.25">
      <c r="A361" s="46" t="s">
        <v>8</v>
      </c>
      <c r="B361" s="3" t="s">
        <v>9</v>
      </c>
      <c r="C361" s="3" t="s">
        <v>46</v>
      </c>
      <c r="D361" s="3">
        <v>6</v>
      </c>
      <c r="E361" s="3" t="s">
        <v>1855</v>
      </c>
      <c r="F361" s="3">
        <v>26.3</v>
      </c>
      <c r="G361" s="20">
        <f t="shared" si="15"/>
        <v>16.306000000000001</v>
      </c>
      <c r="H361" s="20">
        <f t="shared" si="16"/>
        <v>97.836000000000013</v>
      </c>
      <c r="J361" s="43" t="s">
        <v>1865</v>
      </c>
    </row>
    <row r="362" spans="1:10" x14ac:dyDescent="0.25">
      <c r="A362" s="46" t="s">
        <v>10</v>
      </c>
      <c r="B362" s="3" t="s">
        <v>11</v>
      </c>
      <c r="C362" s="3" t="s">
        <v>46</v>
      </c>
      <c r="D362" s="3">
        <v>6</v>
      </c>
      <c r="E362" s="3" t="s">
        <v>1855</v>
      </c>
      <c r="F362" s="3">
        <v>30</v>
      </c>
      <c r="G362" s="20">
        <f t="shared" si="15"/>
        <v>18.600000000000001</v>
      </c>
      <c r="H362" s="20">
        <f t="shared" si="16"/>
        <v>111.60000000000001</v>
      </c>
      <c r="J362" s="43" t="s">
        <v>1866</v>
      </c>
    </row>
    <row r="363" spans="1:10" x14ac:dyDescent="0.25">
      <c r="A363" s="46" t="s">
        <v>127</v>
      </c>
      <c r="B363" s="3" t="s">
        <v>128</v>
      </c>
      <c r="C363" s="3" t="s">
        <v>46</v>
      </c>
      <c r="D363" s="3">
        <v>12</v>
      </c>
      <c r="E363" s="3" t="s">
        <v>1855</v>
      </c>
      <c r="F363" s="3">
        <v>41.9</v>
      </c>
      <c r="G363" s="20">
        <f t="shared" si="15"/>
        <v>25.978000000000002</v>
      </c>
      <c r="H363" s="20">
        <f t="shared" si="16"/>
        <v>311.73599999999999</v>
      </c>
      <c r="J363" s="43" t="s">
        <v>1913</v>
      </c>
    </row>
    <row r="364" spans="1:10" x14ac:dyDescent="0.25">
      <c r="A364" s="46" t="s">
        <v>280</v>
      </c>
      <c r="B364" s="3" t="s">
        <v>281</v>
      </c>
      <c r="C364" s="3" t="s">
        <v>46</v>
      </c>
      <c r="D364" s="3">
        <v>6</v>
      </c>
      <c r="E364" s="3" t="s">
        <v>1855</v>
      </c>
      <c r="F364" s="3">
        <v>34.6</v>
      </c>
      <c r="G364" s="20">
        <f t="shared" si="15"/>
        <v>21.451999999999998</v>
      </c>
      <c r="H364" s="20">
        <f t="shared" si="16"/>
        <v>128.71199999999999</v>
      </c>
      <c r="J364" s="43" t="s">
        <v>1978</v>
      </c>
    </row>
    <row r="365" spans="1:10" x14ac:dyDescent="0.25">
      <c r="A365" s="46" t="s">
        <v>282</v>
      </c>
      <c r="B365" s="3" t="s">
        <v>283</v>
      </c>
      <c r="C365" s="3" t="s">
        <v>46</v>
      </c>
      <c r="D365" s="3">
        <v>6</v>
      </c>
      <c r="E365" s="3" t="s">
        <v>1855</v>
      </c>
      <c r="F365" s="3">
        <v>24.5</v>
      </c>
      <c r="G365" s="20">
        <f t="shared" si="15"/>
        <v>15.19</v>
      </c>
      <c r="H365" s="20">
        <f t="shared" si="16"/>
        <v>91.14</v>
      </c>
      <c r="J365" s="43" t="s">
        <v>1979</v>
      </c>
    </row>
    <row r="366" spans="1:10" x14ac:dyDescent="0.25">
      <c r="A366" s="46" t="s">
        <v>30</v>
      </c>
      <c r="B366" s="3" t="s">
        <v>31</v>
      </c>
      <c r="C366" s="3" t="s">
        <v>46</v>
      </c>
      <c r="D366" s="3">
        <v>24</v>
      </c>
      <c r="E366" s="3" t="s">
        <v>1855</v>
      </c>
      <c r="F366" s="3">
        <v>24.3</v>
      </c>
      <c r="G366" s="20">
        <f t="shared" si="15"/>
        <v>15.066000000000001</v>
      </c>
      <c r="H366" s="20">
        <f t="shared" si="16"/>
        <v>361.584</v>
      </c>
      <c r="J366" s="43" t="s">
        <v>1874</v>
      </c>
    </row>
    <row r="367" spans="1:10" x14ac:dyDescent="0.25">
      <c r="A367" s="46" t="s">
        <v>284</v>
      </c>
      <c r="B367" s="3" t="s">
        <v>285</v>
      </c>
      <c r="C367" s="3" t="s">
        <v>46</v>
      </c>
      <c r="D367" s="3">
        <v>6</v>
      </c>
      <c r="E367" s="3" t="s">
        <v>1855</v>
      </c>
      <c r="F367" s="3">
        <v>70</v>
      </c>
      <c r="G367" s="20">
        <f t="shared" si="15"/>
        <v>43.4</v>
      </c>
      <c r="H367" s="20">
        <f t="shared" si="16"/>
        <v>260.39999999999998</v>
      </c>
      <c r="J367" s="43" t="s">
        <v>1980</v>
      </c>
    </row>
    <row r="368" spans="1:10" x14ac:dyDescent="0.25">
      <c r="A368" s="46" t="s">
        <v>286</v>
      </c>
      <c r="B368" s="3" t="s">
        <v>287</v>
      </c>
      <c r="C368" s="3" t="s">
        <v>46</v>
      </c>
      <c r="D368" s="3">
        <v>3</v>
      </c>
      <c r="E368" s="3" t="s">
        <v>1855</v>
      </c>
      <c r="F368" s="3">
        <v>51.4</v>
      </c>
      <c r="G368" s="20">
        <f t="shared" si="15"/>
        <v>31.867999999999999</v>
      </c>
      <c r="H368" s="20">
        <f t="shared" si="16"/>
        <v>95.603999999999999</v>
      </c>
      <c r="J368" s="43" t="s">
        <v>287</v>
      </c>
    </row>
    <row r="369" spans="1:10" x14ac:dyDescent="0.25">
      <c r="A369" s="46" t="s">
        <v>288</v>
      </c>
      <c r="B369" s="3" t="s">
        <v>289</v>
      </c>
      <c r="C369" s="3" t="s">
        <v>46</v>
      </c>
      <c r="D369" s="3">
        <v>3</v>
      </c>
      <c r="E369" s="3" t="s">
        <v>1855</v>
      </c>
      <c r="F369" s="3">
        <v>51.4</v>
      </c>
      <c r="G369" s="20">
        <f t="shared" si="15"/>
        <v>31.867999999999999</v>
      </c>
      <c r="H369" s="20">
        <f t="shared" si="16"/>
        <v>95.603999999999999</v>
      </c>
      <c r="J369" s="43" t="s">
        <v>1981</v>
      </c>
    </row>
    <row r="370" spans="1:10" x14ac:dyDescent="0.25">
      <c r="A370" s="46" t="s">
        <v>290</v>
      </c>
      <c r="B370" s="3" t="s">
        <v>291</v>
      </c>
      <c r="C370" s="3" t="s">
        <v>46</v>
      </c>
      <c r="D370" s="3">
        <v>3</v>
      </c>
      <c r="E370" s="3" t="s">
        <v>1855</v>
      </c>
      <c r="F370" s="3">
        <v>51.4</v>
      </c>
      <c r="G370" s="20">
        <f t="shared" si="15"/>
        <v>31.867999999999999</v>
      </c>
      <c r="H370" s="20">
        <f t="shared" si="16"/>
        <v>95.603999999999999</v>
      </c>
      <c r="J370" s="43" t="s">
        <v>1982</v>
      </c>
    </row>
    <row r="371" spans="1:10" x14ac:dyDescent="0.25">
      <c r="A371" s="46" t="s">
        <v>292</v>
      </c>
      <c r="B371" s="3" t="s">
        <v>293</v>
      </c>
      <c r="C371" s="3" t="s">
        <v>46</v>
      </c>
      <c r="D371" s="3">
        <v>3</v>
      </c>
      <c r="E371" s="3" t="s">
        <v>1855</v>
      </c>
      <c r="F371" s="3">
        <v>51.4</v>
      </c>
      <c r="G371" s="20">
        <f t="shared" si="15"/>
        <v>31.867999999999999</v>
      </c>
      <c r="H371" s="20">
        <f t="shared" si="16"/>
        <v>95.603999999999999</v>
      </c>
      <c r="J371" s="43" t="s">
        <v>1983</v>
      </c>
    </row>
    <row r="372" spans="1:10" x14ac:dyDescent="0.25">
      <c r="A372" s="46" t="s">
        <v>294</v>
      </c>
      <c r="B372" s="3" t="s">
        <v>295</v>
      </c>
      <c r="C372" s="3" t="s">
        <v>47</v>
      </c>
      <c r="D372" s="3">
        <v>3</v>
      </c>
      <c r="E372" s="3" t="s">
        <v>1855</v>
      </c>
      <c r="F372" s="3">
        <v>154</v>
      </c>
      <c r="G372" s="20">
        <f t="shared" si="15"/>
        <v>95.47999999999999</v>
      </c>
      <c r="H372" s="20">
        <f t="shared" si="16"/>
        <v>286.43999999999994</v>
      </c>
      <c r="J372" s="43" t="s">
        <v>1984</v>
      </c>
    </row>
    <row r="373" spans="1:10" x14ac:dyDescent="0.25">
      <c r="A373" s="46" t="s">
        <v>296</v>
      </c>
      <c r="B373" s="3" t="s">
        <v>297</v>
      </c>
      <c r="C373" s="3" t="s">
        <v>46</v>
      </c>
      <c r="D373" s="3">
        <v>3</v>
      </c>
      <c r="E373" s="3" t="s">
        <v>1855</v>
      </c>
      <c r="F373" s="3">
        <v>92.3</v>
      </c>
      <c r="G373" s="20">
        <f t="shared" si="15"/>
        <v>57.225999999999999</v>
      </c>
      <c r="H373" s="20">
        <f t="shared" si="16"/>
        <v>171.678</v>
      </c>
      <c r="J373" s="43" t="s">
        <v>1985</v>
      </c>
    </row>
    <row r="374" spans="1:10" x14ac:dyDescent="0.25">
      <c r="A374" s="46" t="s">
        <v>298</v>
      </c>
      <c r="B374" s="3" t="s">
        <v>299</v>
      </c>
      <c r="C374" s="3" t="s">
        <v>46</v>
      </c>
      <c r="D374" s="3">
        <v>3</v>
      </c>
      <c r="E374" s="3" t="s">
        <v>1855</v>
      </c>
      <c r="F374" s="3">
        <v>52.9</v>
      </c>
      <c r="G374" s="20">
        <f t="shared" si="15"/>
        <v>32.798000000000002</v>
      </c>
      <c r="H374" s="20">
        <f t="shared" si="16"/>
        <v>98.394000000000005</v>
      </c>
      <c r="J374" s="43" t="s">
        <v>1986</v>
      </c>
    </row>
    <row r="375" spans="1:10" x14ac:dyDescent="0.25">
      <c r="A375" s="46" t="s">
        <v>300</v>
      </c>
      <c r="B375" s="3" t="s">
        <v>301</v>
      </c>
      <c r="C375" s="3" t="s">
        <v>46</v>
      </c>
      <c r="D375" s="3">
        <v>3</v>
      </c>
      <c r="E375" s="3" t="s">
        <v>1855</v>
      </c>
      <c r="F375" s="3">
        <v>54.8</v>
      </c>
      <c r="G375" s="20">
        <f t="shared" si="15"/>
        <v>33.975999999999999</v>
      </c>
      <c r="H375" s="20">
        <f t="shared" si="16"/>
        <v>101.928</v>
      </c>
      <c r="J375" s="43" t="s">
        <v>1987</v>
      </c>
    </row>
    <row r="376" spans="1:10" x14ac:dyDescent="0.25">
      <c r="A376" s="46" t="s">
        <v>302</v>
      </c>
      <c r="B376" s="3" t="s">
        <v>303</v>
      </c>
      <c r="C376" s="3" t="s">
        <v>46</v>
      </c>
      <c r="D376" s="3">
        <v>3</v>
      </c>
      <c r="E376" s="3" t="s">
        <v>1855</v>
      </c>
      <c r="F376" s="3">
        <v>34.1</v>
      </c>
      <c r="G376" s="20">
        <f t="shared" si="15"/>
        <v>21.142000000000003</v>
      </c>
      <c r="H376" s="20">
        <f t="shared" si="16"/>
        <v>63.426000000000009</v>
      </c>
      <c r="J376" s="43" t="s">
        <v>1988</v>
      </c>
    </row>
    <row r="377" spans="1:10" x14ac:dyDescent="0.25">
      <c r="A377" s="46" t="s">
        <v>304</v>
      </c>
      <c r="B377" s="3" t="s">
        <v>305</v>
      </c>
      <c r="C377" s="3" t="s">
        <v>46</v>
      </c>
      <c r="D377" s="3">
        <v>3</v>
      </c>
      <c r="E377" s="3" t="s">
        <v>1855</v>
      </c>
      <c r="F377" s="3">
        <v>63.7</v>
      </c>
      <c r="G377" s="20">
        <f t="shared" si="15"/>
        <v>39.494</v>
      </c>
      <c r="H377" s="20">
        <f t="shared" si="16"/>
        <v>118.482</v>
      </c>
      <c r="J377" s="43" t="s">
        <v>1989</v>
      </c>
    </row>
    <row r="378" spans="1:10" x14ac:dyDescent="0.25">
      <c r="A378" s="46" t="s">
        <v>306</v>
      </c>
      <c r="B378" s="3" t="s">
        <v>307</v>
      </c>
      <c r="C378" s="3" t="s">
        <v>47</v>
      </c>
      <c r="D378" s="3">
        <v>3</v>
      </c>
      <c r="E378" s="3" t="s">
        <v>1855</v>
      </c>
      <c r="F378" s="3">
        <v>10.3</v>
      </c>
      <c r="G378" s="20">
        <f t="shared" si="15"/>
        <v>6.386000000000001</v>
      </c>
      <c r="H378" s="20">
        <f t="shared" si="16"/>
        <v>19.158000000000001</v>
      </c>
      <c r="J378" s="43" t="s">
        <v>1990</v>
      </c>
    </row>
    <row r="379" spans="1:10" x14ac:dyDescent="0.25">
      <c r="A379" s="46" t="s">
        <v>308</v>
      </c>
      <c r="B379" s="3" t="s">
        <v>309</v>
      </c>
      <c r="C379" s="3" t="s">
        <v>47</v>
      </c>
      <c r="D379" s="3">
        <v>6</v>
      </c>
      <c r="E379" s="3" t="s">
        <v>1855</v>
      </c>
      <c r="F379" s="3">
        <v>13.1</v>
      </c>
      <c r="G379" s="20">
        <f t="shared" si="15"/>
        <v>8.1219999999999999</v>
      </c>
      <c r="H379" s="20">
        <f t="shared" si="16"/>
        <v>48.731999999999999</v>
      </c>
      <c r="J379" s="43" t="s">
        <v>1991</v>
      </c>
    </row>
    <row r="380" spans="1:10" x14ac:dyDescent="0.25">
      <c r="A380" s="46" t="s">
        <v>310</v>
      </c>
      <c r="B380" s="3" t="s">
        <v>311</v>
      </c>
      <c r="C380" s="3" t="s">
        <v>46</v>
      </c>
      <c r="D380" s="3">
        <v>6</v>
      </c>
      <c r="E380" s="3" t="s">
        <v>1855</v>
      </c>
      <c r="F380" s="3">
        <v>72.099999999999994</v>
      </c>
      <c r="G380" s="20">
        <f t="shared" si="15"/>
        <v>44.701999999999998</v>
      </c>
      <c r="H380" s="20">
        <f t="shared" si="16"/>
        <v>268.21199999999999</v>
      </c>
      <c r="J380" s="43" t="s">
        <v>1992</v>
      </c>
    </row>
    <row r="381" spans="1:10" x14ac:dyDescent="0.25">
      <c r="A381" s="46" t="s">
        <v>312</v>
      </c>
      <c r="B381" s="3" t="s">
        <v>313</v>
      </c>
      <c r="C381" s="3" t="s">
        <v>47</v>
      </c>
      <c r="D381" s="3">
        <v>3</v>
      </c>
      <c r="E381" s="3" t="s">
        <v>1855</v>
      </c>
      <c r="F381" s="3">
        <v>222.5</v>
      </c>
      <c r="G381" s="20">
        <f t="shared" si="15"/>
        <v>137.94999999999999</v>
      </c>
      <c r="H381" s="20">
        <f t="shared" si="16"/>
        <v>413.84999999999997</v>
      </c>
      <c r="J381" s="43" t="s">
        <v>1993</v>
      </c>
    </row>
    <row r="382" spans="1:10" x14ac:dyDescent="0.25">
      <c r="A382" s="46" t="s">
        <v>314</v>
      </c>
      <c r="B382" s="3" t="s">
        <v>315</v>
      </c>
      <c r="C382" s="3" t="s">
        <v>46</v>
      </c>
      <c r="D382" s="3">
        <v>6</v>
      </c>
      <c r="E382" s="3" t="s">
        <v>1855</v>
      </c>
      <c r="F382" s="3">
        <v>40.1</v>
      </c>
      <c r="G382" s="20">
        <f t="shared" si="15"/>
        <v>24.862000000000002</v>
      </c>
      <c r="H382" s="20">
        <f t="shared" si="16"/>
        <v>149.17200000000003</v>
      </c>
      <c r="J382" s="43" t="s">
        <v>1994</v>
      </c>
    </row>
    <row r="383" spans="1:10" x14ac:dyDescent="0.25">
      <c r="A383" s="46" t="s">
        <v>316</v>
      </c>
      <c r="B383" s="3" t="s">
        <v>317</v>
      </c>
      <c r="C383" s="3" t="s">
        <v>46</v>
      </c>
      <c r="D383" s="3">
        <v>3</v>
      </c>
      <c r="E383" s="3" t="s">
        <v>1855</v>
      </c>
      <c r="F383" s="3">
        <v>13.1</v>
      </c>
      <c r="G383" s="20">
        <f t="shared" si="15"/>
        <v>8.1219999999999999</v>
      </c>
      <c r="H383" s="20">
        <f t="shared" si="16"/>
        <v>24.366</v>
      </c>
      <c r="J383" s="43" t="s">
        <v>1995</v>
      </c>
    </row>
    <row r="384" spans="1:10" x14ac:dyDescent="0.25">
      <c r="A384" s="46" t="s">
        <v>26</v>
      </c>
      <c r="B384" s="3" t="s">
        <v>27</v>
      </c>
      <c r="C384" s="3" t="s">
        <v>46</v>
      </c>
      <c r="D384" s="3">
        <v>3</v>
      </c>
      <c r="E384" s="3" t="s">
        <v>1855</v>
      </c>
      <c r="F384" s="3">
        <v>6.81</v>
      </c>
      <c r="G384" s="20">
        <f t="shared" si="15"/>
        <v>4.2221999999999991</v>
      </c>
      <c r="H384" s="20">
        <f t="shared" si="16"/>
        <v>12.666599999999997</v>
      </c>
      <c r="J384" s="43" t="s">
        <v>1873</v>
      </c>
    </row>
    <row r="385" spans="1:10" x14ac:dyDescent="0.25">
      <c r="A385" s="46" t="s">
        <v>318</v>
      </c>
      <c r="B385" s="3" t="s">
        <v>319</v>
      </c>
      <c r="C385" s="3" t="s">
        <v>46</v>
      </c>
      <c r="D385" s="3">
        <v>3</v>
      </c>
      <c r="E385" s="3" t="s">
        <v>1855</v>
      </c>
      <c r="F385" s="3">
        <v>32</v>
      </c>
      <c r="G385" s="20">
        <f t="shared" si="15"/>
        <v>19.84</v>
      </c>
      <c r="H385" s="20">
        <f t="shared" si="16"/>
        <v>59.519999999999996</v>
      </c>
      <c r="J385" s="43" t="s">
        <v>1996</v>
      </c>
    </row>
    <row r="386" spans="1:10" x14ac:dyDescent="0.25">
      <c r="A386" s="46" t="s">
        <v>320</v>
      </c>
      <c r="B386" s="3" t="s">
        <v>321</v>
      </c>
      <c r="C386" s="3" t="s">
        <v>46</v>
      </c>
      <c r="D386" s="3">
        <v>6</v>
      </c>
      <c r="E386" s="3" t="s">
        <v>1855</v>
      </c>
      <c r="F386" s="3">
        <v>59.8</v>
      </c>
      <c r="G386" s="20">
        <f t="shared" si="15"/>
        <v>37.075999999999993</v>
      </c>
      <c r="H386" s="20">
        <f t="shared" si="16"/>
        <v>222.45599999999996</v>
      </c>
      <c r="J386" s="43" t="s">
        <v>1997</v>
      </c>
    </row>
    <row r="387" spans="1:10" x14ac:dyDescent="0.25">
      <c r="A387" s="46" t="s">
        <v>322</v>
      </c>
      <c r="B387" s="3" t="s">
        <v>323</v>
      </c>
      <c r="C387" s="3" t="s">
        <v>46</v>
      </c>
      <c r="D387" s="3">
        <v>3</v>
      </c>
      <c r="E387" s="3" t="s">
        <v>1855</v>
      </c>
      <c r="F387" s="3">
        <v>123.5</v>
      </c>
      <c r="G387" s="20">
        <f t="shared" si="15"/>
        <v>76.569999999999993</v>
      </c>
      <c r="H387" s="20">
        <f t="shared" si="16"/>
        <v>229.70999999999998</v>
      </c>
      <c r="J387" s="43" t="s">
        <v>323</v>
      </c>
    </row>
    <row r="388" spans="1:10" x14ac:dyDescent="0.25">
      <c r="A388" s="46" t="s">
        <v>324</v>
      </c>
      <c r="B388" s="3" t="s">
        <v>325</v>
      </c>
      <c r="C388" s="3" t="s">
        <v>46</v>
      </c>
      <c r="D388" s="3">
        <v>3</v>
      </c>
      <c r="E388" s="3" t="s">
        <v>1855</v>
      </c>
      <c r="F388" s="3">
        <v>86.7</v>
      </c>
      <c r="G388" s="20">
        <f t="shared" si="15"/>
        <v>53.754000000000005</v>
      </c>
      <c r="H388" s="20">
        <f t="shared" si="16"/>
        <v>161.262</v>
      </c>
      <c r="J388" s="43" t="s">
        <v>325</v>
      </c>
    </row>
    <row r="389" spans="1:10" x14ac:dyDescent="0.25">
      <c r="A389" s="46" t="s">
        <v>326</v>
      </c>
      <c r="B389" s="3" t="s">
        <v>327</v>
      </c>
      <c r="C389" s="3" t="s">
        <v>46</v>
      </c>
      <c r="D389" s="3">
        <v>3</v>
      </c>
      <c r="E389" s="3" t="s">
        <v>1855</v>
      </c>
      <c r="F389" s="3">
        <v>83.5</v>
      </c>
      <c r="G389" s="20">
        <f t="shared" si="15"/>
        <v>51.769999999999996</v>
      </c>
      <c r="H389" s="20">
        <f t="shared" si="16"/>
        <v>155.31</v>
      </c>
      <c r="J389" s="43" t="s">
        <v>327</v>
      </c>
    </row>
    <row r="390" spans="1:10" x14ac:dyDescent="0.25">
      <c r="A390" s="46" t="s">
        <v>328</v>
      </c>
      <c r="B390" s="3" t="s">
        <v>329</v>
      </c>
      <c r="C390" s="3" t="s">
        <v>46</v>
      </c>
      <c r="D390" s="3">
        <v>3</v>
      </c>
      <c r="E390" s="3" t="s">
        <v>1855</v>
      </c>
      <c r="F390" s="3">
        <v>143</v>
      </c>
      <c r="G390" s="20">
        <f t="shared" si="15"/>
        <v>88.66</v>
      </c>
      <c r="H390" s="20">
        <f t="shared" si="16"/>
        <v>265.98</v>
      </c>
      <c r="J390" s="43" t="s">
        <v>1998</v>
      </c>
    </row>
    <row r="391" spans="1:10" x14ac:dyDescent="0.25">
      <c r="A391" s="46" t="s">
        <v>330</v>
      </c>
      <c r="B391" s="3" t="s">
        <v>331</v>
      </c>
      <c r="C391" s="3" t="s">
        <v>46</v>
      </c>
      <c r="D391" s="3">
        <v>3</v>
      </c>
      <c r="E391" s="3" t="s">
        <v>1855</v>
      </c>
      <c r="F391" s="3">
        <v>160.5</v>
      </c>
      <c r="G391" s="20">
        <f t="shared" si="15"/>
        <v>99.509999999999991</v>
      </c>
      <c r="H391" s="20">
        <f t="shared" si="16"/>
        <v>298.52999999999997</v>
      </c>
      <c r="J391" s="43" t="s">
        <v>331</v>
      </c>
    </row>
    <row r="392" spans="1:10" x14ac:dyDescent="0.25">
      <c r="A392" s="46" t="s">
        <v>332</v>
      </c>
      <c r="B392" s="3" t="s">
        <v>333</v>
      </c>
      <c r="C392" s="3" t="s">
        <v>46</v>
      </c>
      <c r="D392" s="3">
        <v>3</v>
      </c>
      <c r="E392" s="3" t="s">
        <v>1855</v>
      </c>
      <c r="F392" s="3">
        <v>51.5</v>
      </c>
      <c r="G392" s="20">
        <f t="shared" si="15"/>
        <v>31.93</v>
      </c>
      <c r="H392" s="20">
        <f t="shared" si="16"/>
        <v>95.789999999999992</v>
      </c>
      <c r="J392" s="43" t="s">
        <v>333</v>
      </c>
    </row>
    <row r="393" spans="1:10" x14ac:dyDescent="0.25">
      <c r="A393" s="46" t="s">
        <v>334</v>
      </c>
      <c r="B393" s="3" t="s">
        <v>335</v>
      </c>
      <c r="C393" s="3" t="s">
        <v>46</v>
      </c>
      <c r="D393" s="3">
        <v>3</v>
      </c>
      <c r="E393" s="3" t="s">
        <v>1855</v>
      </c>
      <c r="F393" s="3">
        <v>51.5</v>
      </c>
      <c r="G393" s="20">
        <f t="shared" si="15"/>
        <v>31.93</v>
      </c>
      <c r="H393" s="20">
        <f t="shared" si="16"/>
        <v>95.789999999999992</v>
      </c>
      <c r="J393" s="43" t="s">
        <v>335</v>
      </c>
    </row>
    <row r="394" spans="1:10" x14ac:dyDescent="0.25">
      <c r="A394" s="46" t="s">
        <v>243</v>
      </c>
      <c r="B394" s="3" t="s">
        <v>244</v>
      </c>
      <c r="C394" s="3" t="s">
        <v>46</v>
      </c>
      <c r="D394" s="3">
        <v>6</v>
      </c>
      <c r="E394" s="3" t="s">
        <v>1855</v>
      </c>
      <c r="F394" s="3">
        <v>37.9</v>
      </c>
      <c r="G394" s="20">
        <f t="shared" si="15"/>
        <v>23.497999999999998</v>
      </c>
      <c r="H394" s="20">
        <f t="shared" si="16"/>
        <v>140.988</v>
      </c>
      <c r="J394" s="43" t="s">
        <v>244</v>
      </c>
    </row>
    <row r="395" spans="1:10" x14ac:dyDescent="0.25">
      <c r="A395" s="46" t="s">
        <v>336</v>
      </c>
      <c r="B395" s="3" t="s">
        <v>337</v>
      </c>
      <c r="C395" s="3" t="s">
        <v>47</v>
      </c>
      <c r="D395" s="3">
        <v>6</v>
      </c>
      <c r="E395" s="3" t="s">
        <v>1855</v>
      </c>
      <c r="F395" s="3">
        <v>83.7</v>
      </c>
      <c r="G395" s="20">
        <f t="shared" si="15"/>
        <v>51.894000000000005</v>
      </c>
      <c r="H395" s="20">
        <f t="shared" si="16"/>
        <v>311.36400000000003</v>
      </c>
      <c r="J395" s="43" t="s">
        <v>337</v>
      </c>
    </row>
    <row r="396" spans="1:10" x14ac:dyDescent="0.25">
      <c r="A396" s="46" t="s">
        <v>338</v>
      </c>
      <c r="B396" s="3" t="s">
        <v>339</v>
      </c>
      <c r="C396" s="3" t="s">
        <v>46</v>
      </c>
      <c r="D396" s="3">
        <v>6</v>
      </c>
      <c r="E396" s="3" t="s">
        <v>1855</v>
      </c>
      <c r="F396" s="3">
        <v>35.1</v>
      </c>
      <c r="G396" s="20">
        <f t="shared" si="15"/>
        <v>21.762</v>
      </c>
      <c r="H396" s="20">
        <f t="shared" si="16"/>
        <v>130.572</v>
      </c>
      <c r="J396" s="43" t="s">
        <v>1999</v>
      </c>
    </row>
    <row r="397" spans="1:10" x14ac:dyDescent="0.25">
      <c r="A397" s="46" t="s">
        <v>340</v>
      </c>
      <c r="B397" s="3" t="s">
        <v>341</v>
      </c>
      <c r="C397" s="3" t="s">
        <v>46</v>
      </c>
      <c r="D397" s="3">
        <v>6</v>
      </c>
      <c r="E397" s="3" t="s">
        <v>1855</v>
      </c>
      <c r="F397" s="3">
        <v>24.8</v>
      </c>
      <c r="G397" s="20">
        <f t="shared" ref="G397:G460" si="17">F397-(F397*38%)</f>
        <v>15.375999999999999</v>
      </c>
      <c r="H397" s="20">
        <f t="shared" si="16"/>
        <v>92.256</v>
      </c>
      <c r="J397" s="43" t="s">
        <v>2000</v>
      </c>
    </row>
    <row r="398" spans="1:10" x14ac:dyDescent="0.25">
      <c r="A398" s="46" t="s">
        <v>342</v>
      </c>
      <c r="B398" s="3" t="s">
        <v>343</v>
      </c>
      <c r="C398" s="3" t="s">
        <v>46</v>
      </c>
      <c r="D398" s="3">
        <v>6</v>
      </c>
      <c r="E398" s="3" t="s">
        <v>1855</v>
      </c>
      <c r="F398" s="3">
        <v>24.8</v>
      </c>
      <c r="G398" s="20">
        <f t="shared" si="17"/>
        <v>15.375999999999999</v>
      </c>
      <c r="H398" s="20">
        <f t="shared" si="16"/>
        <v>92.256</v>
      </c>
      <c r="J398" s="43" t="s">
        <v>2001</v>
      </c>
    </row>
    <row r="399" spans="1:10" x14ac:dyDescent="0.25">
      <c r="A399" s="46" t="s">
        <v>344</v>
      </c>
      <c r="B399" s="3" t="s">
        <v>345</v>
      </c>
      <c r="C399" s="3" t="s">
        <v>46</v>
      </c>
      <c r="D399" s="3">
        <v>6</v>
      </c>
      <c r="E399" s="3" t="s">
        <v>1855</v>
      </c>
      <c r="F399" s="3">
        <v>19.899999999999999</v>
      </c>
      <c r="G399" s="20">
        <f t="shared" si="17"/>
        <v>12.337999999999999</v>
      </c>
      <c r="H399" s="20">
        <f t="shared" si="16"/>
        <v>74.027999999999992</v>
      </c>
      <c r="J399" s="43" t="s">
        <v>2002</v>
      </c>
    </row>
    <row r="400" spans="1:10" x14ac:dyDescent="0.25">
      <c r="A400" s="46" t="s">
        <v>346</v>
      </c>
      <c r="B400" s="3" t="s">
        <v>347</v>
      </c>
      <c r="C400" s="3" t="s">
        <v>46</v>
      </c>
      <c r="D400" s="3">
        <v>6</v>
      </c>
      <c r="E400" s="3" t="s">
        <v>1855</v>
      </c>
      <c r="F400" s="3">
        <v>21</v>
      </c>
      <c r="G400" s="20">
        <f t="shared" si="17"/>
        <v>13.02</v>
      </c>
      <c r="H400" s="20">
        <f t="shared" si="16"/>
        <v>78.12</v>
      </c>
      <c r="J400" s="43" t="s">
        <v>2003</v>
      </c>
    </row>
    <row r="401" spans="1:10" x14ac:dyDescent="0.25">
      <c r="A401" s="46" t="s">
        <v>348</v>
      </c>
      <c r="B401" s="3" t="s">
        <v>349</v>
      </c>
      <c r="C401" s="3" t="s">
        <v>46</v>
      </c>
      <c r="D401" s="3">
        <v>3</v>
      </c>
      <c r="E401" s="3" t="s">
        <v>1855</v>
      </c>
      <c r="F401" s="3">
        <v>387.5</v>
      </c>
      <c r="G401" s="20">
        <f t="shared" si="17"/>
        <v>240.25</v>
      </c>
      <c r="H401" s="20">
        <f t="shared" si="16"/>
        <v>720.75</v>
      </c>
      <c r="J401" s="43" t="s">
        <v>2004</v>
      </c>
    </row>
    <row r="402" spans="1:10" x14ac:dyDescent="0.25">
      <c r="A402" s="46" t="s">
        <v>350</v>
      </c>
      <c r="B402" s="3" t="s">
        <v>351</v>
      </c>
      <c r="C402" s="3" t="s">
        <v>46</v>
      </c>
      <c r="D402" s="3">
        <v>6</v>
      </c>
      <c r="E402" s="3" t="s">
        <v>1855</v>
      </c>
      <c r="F402" s="3">
        <v>16</v>
      </c>
      <c r="G402" s="20">
        <f t="shared" si="17"/>
        <v>9.92</v>
      </c>
      <c r="H402" s="20">
        <f t="shared" si="16"/>
        <v>59.519999999999996</v>
      </c>
      <c r="J402" s="43" t="s">
        <v>351</v>
      </c>
    </row>
    <row r="403" spans="1:10" x14ac:dyDescent="0.25">
      <c r="A403" s="46" t="s">
        <v>352</v>
      </c>
      <c r="B403" s="3" t="s">
        <v>353</v>
      </c>
      <c r="C403" s="3" t="s">
        <v>46</v>
      </c>
      <c r="D403" s="3">
        <v>3</v>
      </c>
      <c r="E403" s="3" t="s">
        <v>1855</v>
      </c>
      <c r="F403" s="3">
        <v>27.4</v>
      </c>
      <c r="G403" s="20">
        <f t="shared" si="17"/>
        <v>16.988</v>
      </c>
      <c r="H403" s="20">
        <f t="shared" si="16"/>
        <v>50.963999999999999</v>
      </c>
      <c r="J403" s="43" t="s">
        <v>2005</v>
      </c>
    </row>
    <row r="404" spans="1:10" x14ac:dyDescent="0.25">
      <c r="A404" s="46" t="s">
        <v>354</v>
      </c>
      <c r="B404" s="3" t="s">
        <v>355</v>
      </c>
      <c r="C404" s="3" t="s">
        <v>46</v>
      </c>
      <c r="D404" s="3">
        <v>6</v>
      </c>
      <c r="E404" s="3" t="s">
        <v>1855</v>
      </c>
      <c r="F404" s="3">
        <v>36.200000000000003</v>
      </c>
      <c r="G404" s="20">
        <f t="shared" si="17"/>
        <v>22.444000000000003</v>
      </c>
      <c r="H404" s="20">
        <f t="shared" si="16"/>
        <v>134.66400000000002</v>
      </c>
      <c r="J404" s="43" t="s">
        <v>2006</v>
      </c>
    </row>
    <row r="405" spans="1:10" x14ac:dyDescent="0.25">
      <c r="A405" s="46" t="s">
        <v>356</v>
      </c>
      <c r="B405" s="3" t="s">
        <v>357</v>
      </c>
      <c r="C405" s="3" t="s">
        <v>46</v>
      </c>
      <c r="D405" s="3">
        <v>3</v>
      </c>
      <c r="E405" s="3" t="s">
        <v>1855</v>
      </c>
      <c r="F405" s="3">
        <v>55</v>
      </c>
      <c r="G405" s="20">
        <f t="shared" si="17"/>
        <v>34.1</v>
      </c>
      <c r="H405" s="20">
        <f t="shared" si="16"/>
        <v>102.30000000000001</v>
      </c>
      <c r="J405" s="43" t="s">
        <v>2007</v>
      </c>
    </row>
    <row r="406" spans="1:10" x14ac:dyDescent="0.25">
      <c r="A406" s="46" t="s">
        <v>358</v>
      </c>
      <c r="B406" s="3" t="s">
        <v>359</v>
      </c>
      <c r="C406" s="3" t="s">
        <v>47</v>
      </c>
      <c r="D406" s="3">
        <v>3</v>
      </c>
      <c r="E406" s="3" t="s">
        <v>1855</v>
      </c>
      <c r="F406" s="3">
        <v>118.5</v>
      </c>
      <c r="G406" s="20">
        <f t="shared" si="17"/>
        <v>73.47</v>
      </c>
      <c r="H406" s="20">
        <f t="shared" si="16"/>
        <v>220.41</v>
      </c>
      <c r="J406" s="43" t="s">
        <v>2008</v>
      </c>
    </row>
    <row r="407" spans="1:10" x14ac:dyDescent="0.25">
      <c r="A407" s="46" t="s">
        <v>360</v>
      </c>
      <c r="B407" s="3" t="s">
        <v>361</v>
      </c>
      <c r="C407" s="3" t="s">
        <v>46</v>
      </c>
      <c r="D407" s="3">
        <v>3</v>
      </c>
      <c r="E407" s="3" t="s">
        <v>1855</v>
      </c>
      <c r="F407" s="3">
        <v>108.5</v>
      </c>
      <c r="G407" s="20">
        <f t="shared" si="17"/>
        <v>67.27</v>
      </c>
      <c r="H407" s="20">
        <f t="shared" si="16"/>
        <v>201.81</v>
      </c>
      <c r="J407" s="43" t="s">
        <v>361</v>
      </c>
    </row>
    <row r="408" spans="1:10" x14ac:dyDescent="0.25">
      <c r="A408" s="46" t="s">
        <v>362</v>
      </c>
      <c r="B408" s="3" t="s">
        <v>363</v>
      </c>
      <c r="C408" s="3" t="s">
        <v>46</v>
      </c>
      <c r="D408" s="3">
        <v>3</v>
      </c>
      <c r="E408" s="3" t="s">
        <v>1855</v>
      </c>
      <c r="F408" s="3">
        <v>113</v>
      </c>
      <c r="G408" s="20">
        <f t="shared" si="17"/>
        <v>70.06</v>
      </c>
      <c r="H408" s="20">
        <f t="shared" si="16"/>
        <v>210.18</v>
      </c>
      <c r="J408" s="43" t="s">
        <v>363</v>
      </c>
    </row>
    <row r="409" spans="1:10" x14ac:dyDescent="0.25">
      <c r="A409" s="46" t="s">
        <v>364</v>
      </c>
      <c r="B409" s="3" t="s">
        <v>365</v>
      </c>
      <c r="C409" s="3" t="s">
        <v>47</v>
      </c>
      <c r="D409" s="3">
        <v>3</v>
      </c>
      <c r="E409" s="3" t="s">
        <v>1855</v>
      </c>
      <c r="F409" s="3">
        <v>317</v>
      </c>
      <c r="G409" s="20">
        <f t="shared" si="17"/>
        <v>196.54</v>
      </c>
      <c r="H409" s="20">
        <f t="shared" si="16"/>
        <v>589.62</v>
      </c>
      <c r="J409" s="43" t="s">
        <v>2009</v>
      </c>
    </row>
    <row r="410" spans="1:10" x14ac:dyDescent="0.25">
      <c r="A410" s="46" t="s">
        <v>366</v>
      </c>
      <c r="B410" s="3" t="s">
        <v>367</v>
      </c>
      <c r="C410" s="3" t="s">
        <v>47</v>
      </c>
      <c r="D410" s="3">
        <v>3</v>
      </c>
      <c r="E410" s="3" t="s">
        <v>1855</v>
      </c>
      <c r="F410" s="3">
        <v>320</v>
      </c>
      <c r="G410" s="20">
        <f t="shared" si="17"/>
        <v>198.4</v>
      </c>
      <c r="H410" s="20">
        <f t="shared" si="16"/>
        <v>595.20000000000005</v>
      </c>
      <c r="J410" s="43" t="s">
        <v>2010</v>
      </c>
    </row>
    <row r="411" spans="1:10" x14ac:dyDescent="0.25">
      <c r="A411" s="46" t="s">
        <v>368</v>
      </c>
      <c r="B411" s="3" t="s">
        <v>369</v>
      </c>
      <c r="C411" s="3" t="s">
        <v>47</v>
      </c>
      <c r="D411" s="3">
        <v>3</v>
      </c>
      <c r="E411" s="3" t="s">
        <v>1855</v>
      </c>
      <c r="F411" s="3">
        <v>320</v>
      </c>
      <c r="G411" s="20">
        <f t="shared" si="17"/>
        <v>198.4</v>
      </c>
      <c r="H411" s="20">
        <f t="shared" si="16"/>
        <v>595.20000000000005</v>
      </c>
      <c r="J411" s="43" t="s">
        <v>2011</v>
      </c>
    </row>
    <row r="412" spans="1:10" x14ac:dyDescent="0.25">
      <c r="A412" s="46" t="s">
        <v>370</v>
      </c>
      <c r="B412" s="3" t="s">
        <v>371</v>
      </c>
      <c r="C412" s="3" t="s">
        <v>46</v>
      </c>
      <c r="D412" s="3">
        <v>6</v>
      </c>
      <c r="E412" s="3" t="s">
        <v>1855</v>
      </c>
      <c r="F412" s="3">
        <v>38.5</v>
      </c>
      <c r="G412" s="20">
        <f t="shared" si="17"/>
        <v>23.869999999999997</v>
      </c>
      <c r="H412" s="20">
        <f t="shared" si="16"/>
        <v>143.21999999999997</v>
      </c>
      <c r="J412" s="43" t="s">
        <v>371</v>
      </c>
    </row>
    <row r="413" spans="1:10" x14ac:dyDescent="0.25">
      <c r="A413" s="46" t="s">
        <v>372</v>
      </c>
      <c r="B413" s="3" t="s">
        <v>373</v>
      </c>
      <c r="C413" s="3" t="s">
        <v>46</v>
      </c>
      <c r="D413" s="3">
        <v>6</v>
      </c>
      <c r="E413" s="3" t="s">
        <v>1855</v>
      </c>
      <c r="F413" s="3">
        <v>38.6</v>
      </c>
      <c r="G413" s="20">
        <f t="shared" si="17"/>
        <v>23.932000000000002</v>
      </c>
      <c r="H413" s="20">
        <f t="shared" si="16"/>
        <v>143.59200000000001</v>
      </c>
      <c r="J413" s="43" t="s">
        <v>373</v>
      </c>
    </row>
    <row r="414" spans="1:10" x14ac:dyDescent="0.25">
      <c r="A414" s="46" t="s">
        <v>374</v>
      </c>
      <c r="B414" s="3" t="s">
        <v>375</v>
      </c>
      <c r="C414" s="3" t="s">
        <v>46</v>
      </c>
      <c r="D414" s="3">
        <v>3</v>
      </c>
      <c r="E414" s="3" t="s">
        <v>1855</v>
      </c>
      <c r="F414" s="3">
        <v>85.9</v>
      </c>
      <c r="G414" s="20">
        <f t="shared" si="17"/>
        <v>53.258000000000003</v>
      </c>
      <c r="H414" s="20">
        <f t="shared" si="16"/>
        <v>159.774</v>
      </c>
      <c r="J414" s="43" t="s">
        <v>375</v>
      </c>
    </row>
    <row r="415" spans="1:10" x14ac:dyDescent="0.25">
      <c r="A415" s="46" t="s">
        <v>376</v>
      </c>
      <c r="B415" s="3" t="s">
        <v>377</v>
      </c>
      <c r="C415" s="3" t="s">
        <v>46</v>
      </c>
      <c r="D415" s="3">
        <v>3</v>
      </c>
      <c r="E415" s="3" t="s">
        <v>1855</v>
      </c>
      <c r="F415" s="3">
        <v>72.7</v>
      </c>
      <c r="G415" s="20">
        <f t="shared" si="17"/>
        <v>45.073999999999998</v>
      </c>
      <c r="H415" s="20">
        <f t="shared" si="16"/>
        <v>135.22199999999998</v>
      </c>
      <c r="J415" s="43" t="s">
        <v>377</v>
      </c>
    </row>
    <row r="416" spans="1:10" x14ac:dyDescent="0.25">
      <c r="A416" s="46" t="s">
        <v>378</v>
      </c>
      <c r="B416" s="3" t="s">
        <v>379</v>
      </c>
      <c r="C416" s="3" t="s">
        <v>46</v>
      </c>
      <c r="D416" s="3">
        <v>3</v>
      </c>
      <c r="E416" s="3" t="s">
        <v>1855</v>
      </c>
      <c r="F416" s="3">
        <v>40.6</v>
      </c>
      <c r="G416" s="20">
        <f t="shared" si="17"/>
        <v>25.172000000000001</v>
      </c>
      <c r="H416" s="20">
        <f t="shared" ref="H416:H439" si="18">G416*D416</f>
        <v>75.516000000000005</v>
      </c>
      <c r="J416" s="43" t="s">
        <v>379</v>
      </c>
    </row>
    <row r="417" spans="1:10" x14ac:dyDescent="0.25">
      <c r="A417" s="46" t="s">
        <v>380</v>
      </c>
      <c r="B417" s="3" t="s">
        <v>381</v>
      </c>
      <c r="C417" s="3" t="s">
        <v>46</v>
      </c>
      <c r="D417" s="3">
        <v>3</v>
      </c>
      <c r="E417" s="3" t="s">
        <v>1855</v>
      </c>
      <c r="F417" s="3">
        <v>38.6</v>
      </c>
      <c r="G417" s="20">
        <f t="shared" si="17"/>
        <v>23.932000000000002</v>
      </c>
      <c r="H417" s="20">
        <f t="shared" si="18"/>
        <v>71.796000000000006</v>
      </c>
      <c r="J417" s="43" t="s">
        <v>381</v>
      </c>
    </row>
    <row r="418" spans="1:10" x14ac:dyDescent="0.25">
      <c r="A418" s="46" t="s">
        <v>382</v>
      </c>
      <c r="B418" s="3" t="s">
        <v>383</v>
      </c>
      <c r="C418" s="3" t="s">
        <v>46</v>
      </c>
      <c r="D418" s="3">
        <v>3</v>
      </c>
      <c r="E418" s="3" t="s">
        <v>1855</v>
      </c>
      <c r="F418" s="3">
        <v>40.6</v>
      </c>
      <c r="G418" s="20">
        <f t="shared" si="17"/>
        <v>25.172000000000001</v>
      </c>
      <c r="H418" s="20">
        <f t="shared" si="18"/>
        <v>75.516000000000005</v>
      </c>
      <c r="J418" s="43" t="s">
        <v>383</v>
      </c>
    </row>
    <row r="419" spans="1:10" x14ac:dyDescent="0.25">
      <c r="A419" s="46" t="s">
        <v>384</v>
      </c>
      <c r="B419" s="3" t="s">
        <v>385</v>
      </c>
      <c r="C419" s="3" t="s">
        <v>47</v>
      </c>
      <c r="D419" s="3">
        <v>3</v>
      </c>
      <c r="E419" s="3" t="s">
        <v>1855</v>
      </c>
      <c r="F419" s="3">
        <v>6.29</v>
      </c>
      <c r="G419" s="20">
        <f t="shared" si="17"/>
        <v>3.8997999999999999</v>
      </c>
      <c r="H419" s="20">
        <f t="shared" si="18"/>
        <v>11.699400000000001</v>
      </c>
      <c r="J419" s="43" t="s">
        <v>2012</v>
      </c>
    </row>
    <row r="420" spans="1:10" x14ac:dyDescent="0.25">
      <c r="A420" s="46" t="s">
        <v>386</v>
      </c>
      <c r="B420" s="3" t="s">
        <v>387</v>
      </c>
      <c r="C420" s="3" t="s">
        <v>46</v>
      </c>
      <c r="D420" s="3">
        <v>3</v>
      </c>
      <c r="E420" s="3" t="s">
        <v>1855</v>
      </c>
      <c r="F420" s="3">
        <v>213.5</v>
      </c>
      <c r="G420" s="20">
        <f t="shared" si="17"/>
        <v>132.37</v>
      </c>
      <c r="H420" s="20">
        <f t="shared" si="18"/>
        <v>397.11</v>
      </c>
      <c r="J420" s="43" t="s">
        <v>387</v>
      </c>
    </row>
    <row r="421" spans="1:10" x14ac:dyDescent="0.25">
      <c r="A421" s="46" t="s">
        <v>348</v>
      </c>
      <c r="B421" s="3" t="s">
        <v>349</v>
      </c>
      <c r="C421" s="3" t="s">
        <v>46</v>
      </c>
      <c r="D421" s="3">
        <v>3</v>
      </c>
      <c r="E421" s="3" t="s">
        <v>1855</v>
      </c>
      <c r="F421" s="3">
        <v>387.5</v>
      </c>
      <c r="G421" s="20">
        <f t="shared" si="17"/>
        <v>240.25</v>
      </c>
      <c r="H421" s="20">
        <f t="shared" si="18"/>
        <v>720.75</v>
      </c>
      <c r="J421" s="43" t="s">
        <v>2004</v>
      </c>
    </row>
    <row r="422" spans="1:10" x14ac:dyDescent="0.25">
      <c r="A422" s="46" t="s">
        <v>388</v>
      </c>
      <c r="B422" s="3" t="s">
        <v>389</v>
      </c>
      <c r="C422" s="3" t="s">
        <v>47</v>
      </c>
      <c r="D422" s="3">
        <v>6</v>
      </c>
      <c r="E422" s="3" t="s">
        <v>1855</v>
      </c>
      <c r="F422" s="3">
        <v>290</v>
      </c>
      <c r="G422" s="20">
        <f t="shared" si="17"/>
        <v>179.8</v>
      </c>
      <c r="H422" s="20">
        <f t="shared" si="18"/>
        <v>1078.8000000000002</v>
      </c>
      <c r="J422" s="43" t="s">
        <v>2013</v>
      </c>
    </row>
    <row r="423" spans="1:10" x14ac:dyDescent="0.25">
      <c r="A423" s="46" t="s">
        <v>390</v>
      </c>
      <c r="B423" s="3" t="s">
        <v>391</v>
      </c>
      <c r="C423" s="3" t="s">
        <v>46</v>
      </c>
      <c r="D423" s="3">
        <v>3</v>
      </c>
      <c r="E423" s="3" t="s">
        <v>1855</v>
      </c>
      <c r="F423" s="3">
        <v>21.7</v>
      </c>
      <c r="G423" s="20">
        <f t="shared" si="17"/>
        <v>13.453999999999999</v>
      </c>
      <c r="H423" s="20">
        <f t="shared" si="18"/>
        <v>40.361999999999995</v>
      </c>
      <c r="J423" s="43" t="s">
        <v>391</v>
      </c>
    </row>
    <row r="424" spans="1:10" x14ac:dyDescent="0.25">
      <c r="A424" s="46" t="s">
        <v>392</v>
      </c>
      <c r="B424" s="3" t="s">
        <v>393</v>
      </c>
      <c r="C424" s="3" t="s">
        <v>46</v>
      </c>
      <c r="D424" s="3">
        <v>3</v>
      </c>
      <c r="E424" s="3" t="s">
        <v>1855</v>
      </c>
      <c r="F424" s="3">
        <v>61.8</v>
      </c>
      <c r="G424" s="20">
        <f t="shared" si="17"/>
        <v>38.316000000000003</v>
      </c>
      <c r="H424" s="20">
        <f t="shared" si="18"/>
        <v>114.94800000000001</v>
      </c>
      <c r="J424" s="43" t="s">
        <v>2014</v>
      </c>
    </row>
    <row r="425" spans="1:10" x14ac:dyDescent="0.25">
      <c r="A425" s="46" t="s">
        <v>394</v>
      </c>
      <c r="B425" s="3" t="s">
        <v>395</v>
      </c>
      <c r="C425" s="3" t="s">
        <v>46</v>
      </c>
      <c r="D425" s="3">
        <v>3</v>
      </c>
      <c r="E425" s="3" t="s">
        <v>1855</v>
      </c>
      <c r="F425" s="3">
        <v>61.8</v>
      </c>
      <c r="G425" s="20">
        <f t="shared" si="17"/>
        <v>38.316000000000003</v>
      </c>
      <c r="H425" s="20">
        <f t="shared" si="18"/>
        <v>114.94800000000001</v>
      </c>
      <c r="J425" s="43" t="s">
        <v>2015</v>
      </c>
    </row>
    <row r="426" spans="1:10" x14ac:dyDescent="0.25">
      <c r="A426" s="46" t="s">
        <v>396</v>
      </c>
      <c r="B426" s="3" t="s">
        <v>397</v>
      </c>
      <c r="C426" s="3" t="s">
        <v>46</v>
      </c>
      <c r="D426" s="3">
        <v>3</v>
      </c>
      <c r="E426" s="3" t="s">
        <v>1855</v>
      </c>
      <c r="F426" s="3">
        <v>60</v>
      </c>
      <c r="G426" s="20">
        <f t="shared" si="17"/>
        <v>37.200000000000003</v>
      </c>
      <c r="H426" s="20">
        <f t="shared" si="18"/>
        <v>111.60000000000001</v>
      </c>
      <c r="J426" s="43" t="s">
        <v>2016</v>
      </c>
    </row>
    <row r="427" spans="1:10" x14ac:dyDescent="0.25">
      <c r="A427" s="46" t="s">
        <v>398</v>
      </c>
      <c r="B427" s="3" t="s">
        <v>399</v>
      </c>
      <c r="C427" s="3" t="s">
        <v>46</v>
      </c>
      <c r="D427" s="3">
        <v>3</v>
      </c>
      <c r="E427" s="3" t="s">
        <v>1855</v>
      </c>
      <c r="F427" s="3">
        <v>60</v>
      </c>
      <c r="G427" s="20">
        <f t="shared" si="17"/>
        <v>37.200000000000003</v>
      </c>
      <c r="H427" s="20">
        <f t="shared" si="18"/>
        <v>111.60000000000001</v>
      </c>
      <c r="J427" s="43" t="s">
        <v>2017</v>
      </c>
    </row>
    <row r="428" spans="1:10" x14ac:dyDescent="0.25">
      <c r="A428" s="46" t="s">
        <v>400</v>
      </c>
      <c r="B428" s="3" t="s">
        <v>401</v>
      </c>
      <c r="C428" s="3" t="s">
        <v>46</v>
      </c>
      <c r="D428" s="3">
        <v>3</v>
      </c>
      <c r="E428" s="3" t="s">
        <v>1855</v>
      </c>
      <c r="F428" s="3">
        <v>41.3</v>
      </c>
      <c r="G428" s="20">
        <f t="shared" si="17"/>
        <v>25.605999999999998</v>
      </c>
      <c r="H428" s="20">
        <f t="shared" si="18"/>
        <v>76.817999999999998</v>
      </c>
      <c r="J428" s="43" t="s">
        <v>2018</v>
      </c>
    </row>
    <row r="429" spans="1:10" x14ac:dyDescent="0.25">
      <c r="A429" s="46" t="s">
        <v>402</v>
      </c>
      <c r="B429" s="3" t="s">
        <v>403</v>
      </c>
      <c r="C429" s="3" t="s">
        <v>47</v>
      </c>
      <c r="D429" s="3">
        <v>6</v>
      </c>
      <c r="E429" s="3" t="s">
        <v>1855</v>
      </c>
      <c r="F429" s="3">
        <v>94.9</v>
      </c>
      <c r="G429" s="20">
        <f t="shared" si="17"/>
        <v>58.838000000000001</v>
      </c>
      <c r="H429" s="20">
        <f t="shared" si="18"/>
        <v>353.02800000000002</v>
      </c>
      <c r="J429" s="43" t="s">
        <v>2019</v>
      </c>
    </row>
    <row r="430" spans="1:10" x14ac:dyDescent="0.25">
      <c r="A430" s="46" t="s">
        <v>404</v>
      </c>
      <c r="B430" s="3" t="s">
        <v>405</v>
      </c>
      <c r="C430" s="3" t="s">
        <v>46</v>
      </c>
      <c r="D430" s="3">
        <v>6</v>
      </c>
      <c r="E430" s="3" t="s">
        <v>1855</v>
      </c>
      <c r="F430" s="3">
        <v>39</v>
      </c>
      <c r="G430" s="20">
        <f t="shared" si="17"/>
        <v>24.18</v>
      </c>
      <c r="H430" s="20">
        <f t="shared" si="18"/>
        <v>145.07999999999998</v>
      </c>
      <c r="J430" s="43" t="s">
        <v>405</v>
      </c>
    </row>
    <row r="431" spans="1:10" x14ac:dyDescent="0.25">
      <c r="A431" s="46" t="s">
        <v>406</v>
      </c>
      <c r="B431" s="3" t="s">
        <v>407</v>
      </c>
      <c r="C431" s="3" t="s">
        <v>46</v>
      </c>
      <c r="D431" s="3">
        <v>3</v>
      </c>
      <c r="E431" s="3" t="s">
        <v>1855</v>
      </c>
      <c r="F431" s="3">
        <v>294.5</v>
      </c>
      <c r="G431" s="20">
        <f t="shared" si="17"/>
        <v>182.59</v>
      </c>
      <c r="H431" s="20">
        <f t="shared" si="18"/>
        <v>547.77</v>
      </c>
      <c r="J431" s="43" t="s">
        <v>2020</v>
      </c>
    </row>
    <row r="432" spans="1:10" x14ac:dyDescent="0.25">
      <c r="A432" s="46" t="s">
        <v>408</v>
      </c>
      <c r="B432" s="3" t="s">
        <v>409</v>
      </c>
      <c r="C432" s="3" t="s">
        <v>46</v>
      </c>
      <c r="D432" s="3">
        <v>3</v>
      </c>
      <c r="E432" s="3" t="s">
        <v>1855</v>
      </c>
      <c r="F432" s="3">
        <v>359</v>
      </c>
      <c r="G432" s="20">
        <f t="shared" si="17"/>
        <v>222.58</v>
      </c>
      <c r="H432" s="20">
        <f t="shared" si="18"/>
        <v>667.74</v>
      </c>
      <c r="J432" s="43" t="s">
        <v>2021</v>
      </c>
    </row>
    <row r="433" spans="1:10" x14ac:dyDescent="0.25">
      <c r="A433" s="48" t="s">
        <v>99</v>
      </c>
      <c r="B433" s="3" t="s">
        <v>100</v>
      </c>
      <c r="C433" s="3" t="s">
        <v>46</v>
      </c>
      <c r="D433" s="3">
        <v>6</v>
      </c>
      <c r="E433" s="3" t="s">
        <v>1855</v>
      </c>
      <c r="F433" s="3">
        <v>11.9</v>
      </c>
      <c r="G433" s="20">
        <f t="shared" si="17"/>
        <v>7.3780000000000001</v>
      </c>
      <c r="H433" s="20">
        <f t="shared" si="18"/>
        <v>44.268000000000001</v>
      </c>
      <c r="J433" s="43" t="e">
        <v>#N/A</v>
      </c>
    </row>
    <row r="434" spans="1:10" x14ac:dyDescent="0.25">
      <c r="A434" s="46" t="s">
        <v>28</v>
      </c>
      <c r="B434" s="3" t="s">
        <v>29</v>
      </c>
      <c r="C434" s="3" t="s">
        <v>46</v>
      </c>
      <c r="D434" s="3">
        <v>6</v>
      </c>
      <c r="E434" s="3" t="s">
        <v>1855</v>
      </c>
      <c r="F434" s="3">
        <v>25.7</v>
      </c>
      <c r="G434" s="20">
        <f t="shared" si="17"/>
        <v>15.933999999999999</v>
      </c>
      <c r="H434" s="20">
        <f t="shared" si="18"/>
        <v>95.603999999999999</v>
      </c>
      <c r="J434" s="43" t="s">
        <v>29</v>
      </c>
    </row>
    <row r="435" spans="1:10" x14ac:dyDescent="0.25">
      <c r="A435" s="46" t="s">
        <v>410</v>
      </c>
      <c r="B435" s="3" t="s">
        <v>411</v>
      </c>
      <c r="C435" s="3" t="s">
        <v>46</v>
      </c>
      <c r="D435" s="3">
        <v>3</v>
      </c>
      <c r="E435" s="3" t="s">
        <v>1855</v>
      </c>
      <c r="F435" s="3">
        <v>241.5</v>
      </c>
      <c r="G435" s="20">
        <f t="shared" si="17"/>
        <v>149.73000000000002</v>
      </c>
      <c r="H435" s="20">
        <f t="shared" si="18"/>
        <v>449.19000000000005</v>
      </c>
      <c r="J435" s="43" t="s">
        <v>2022</v>
      </c>
    </row>
    <row r="436" spans="1:10" x14ac:dyDescent="0.25">
      <c r="A436" s="46" t="s">
        <v>412</v>
      </c>
      <c r="B436" s="3" t="s">
        <v>413</v>
      </c>
      <c r="C436" s="3" t="s">
        <v>46</v>
      </c>
      <c r="D436" s="3">
        <v>3</v>
      </c>
      <c r="E436" s="3" t="s">
        <v>1855</v>
      </c>
      <c r="F436" s="3">
        <v>85.3</v>
      </c>
      <c r="G436" s="20">
        <f t="shared" si="17"/>
        <v>52.885999999999996</v>
      </c>
      <c r="H436" s="20">
        <f t="shared" si="18"/>
        <v>158.65799999999999</v>
      </c>
      <c r="J436" s="43" t="s">
        <v>413</v>
      </c>
    </row>
    <row r="437" spans="1:10" x14ac:dyDescent="0.25">
      <c r="A437" s="46" t="s">
        <v>414</v>
      </c>
      <c r="B437" s="3" t="s">
        <v>415</v>
      </c>
      <c r="C437" s="3" t="s">
        <v>46</v>
      </c>
      <c r="D437" s="3">
        <v>3</v>
      </c>
      <c r="E437" s="3" t="s">
        <v>1855</v>
      </c>
      <c r="F437" s="3">
        <v>79.599999999999994</v>
      </c>
      <c r="G437" s="20">
        <f t="shared" si="17"/>
        <v>49.351999999999997</v>
      </c>
      <c r="H437" s="20">
        <f t="shared" si="18"/>
        <v>148.05599999999998</v>
      </c>
      <c r="J437" s="43" t="s">
        <v>415</v>
      </c>
    </row>
    <row r="438" spans="1:10" x14ac:dyDescent="0.25">
      <c r="A438" s="46" t="s">
        <v>1803</v>
      </c>
      <c r="B438" s="3" t="s">
        <v>1805</v>
      </c>
      <c r="C438" s="3" t="s">
        <v>46</v>
      </c>
      <c r="D438" s="3">
        <v>3</v>
      </c>
      <c r="E438" s="3" t="s">
        <v>1856</v>
      </c>
      <c r="F438" s="3">
        <v>639</v>
      </c>
      <c r="G438" s="20">
        <f t="shared" si="17"/>
        <v>396.18</v>
      </c>
      <c r="H438" s="20">
        <f t="shared" si="18"/>
        <v>1188.54</v>
      </c>
      <c r="J438" s="43" t="s">
        <v>1939</v>
      </c>
    </row>
    <row r="439" spans="1:10" x14ac:dyDescent="0.25">
      <c r="A439" s="46" t="s">
        <v>1807</v>
      </c>
      <c r="B439" s="3" t="s">
        <v>1808</v>
      </c>
      <c r="C439" s="3" t="s">
        <v>46</v>
      </c>
      <c r="D439" s="3">
        <v>3</v>
      </c>
      <c r="E439" s="3" t="s">
        <v>1855</v>
      </c>
      <c r="F439" s="3">
        <v>136.5</v>
      </c>
      <c r="G439" s="20">
        <f t="shared" si="17"/>
        <v>84.63</v>
      </c>
      <c r="H439" s="20">
        <f t="shared" si="18"/>
        <v>253.89</v>
      </c>
      <c r="J439" s="43" t="s">
        <v>2023</v>
      </c>
    </row>
    <row r="440" spans="1:10" s="5" customFormat="1" x14ac:dyDescent="0.25">
      <c r="A440" s="51"/>
      <c r="B440" s="6" t="s">
        <v>416</v>
      </c>
      <c r="C440" s="4"/>
      <c r="D440" s="29"/>
      <c r="E440" s="4"/>
      <c r="F440" s="4"/>
      <c r="G440" s="4"/>
      <c r="H440" s="19"/>
      <c r="J440" s="43"/>
    </row>
    <row r="441" spans="1:10" x14ac:dyDescent="0.25">
      <c r="A441" s="48"/>
      <c r="B441" s="13" t="s">
        <v>417</v>
      </c>
      <c r="C441" s="3"/>
      <c r="D441" s="3"/>
      <c r="E441" s="20"/>
      <c r="F441" s="3"/>
      <c r="G441" s="3"/>
      <c r="H441" s="20"/>
    </row>
    <row r="442" spans="1:10" x14ac:dyDescent="0.25">
      <c r="A442" s="46" t="s">
        <v>316</v>
      </c>
      <c r="B442" s="14" t="s">
        <v>317</v>
      </c>
      <c r="C442" s="3" t="s">
        <v>46</v>
      </c>
      <c r="D442" s="3">
        <v>2</v>
      </c>
      <c r="E442" s="3" t="s">
        <v>1855</v>
      </c>
      <c r="F442" s="3">
        <v>13.1</v>
      </c>
      <c r="G442" s="20">
        <f t="shared" si="17"/>
        <v>8.1219999999999999</v>
      </c>
      <c r="H442" s="20">
        <f>G442*D442</f>
        <v>16.244</v>
      </c>
      <c r="J442" s="43" t="s">
        <v>1995</v>
      </c>
    </row>
    <row r="443" spans="1:10" x14ac:dyDescent="0.25">
      <c r="A443" s="46" t="s">
        <v>26</v>
      </c>
      <c r="B443" s="14" t="s">
        <v>27</v>
      </c>
      <c r="C443" s="3" t="s">
        <v>46</v>
      </c>
      <c r="D443" s="3">
        <v>2</v>
      </c>
      <c r="E443" s="3" t="s">
        <v>1855</v>
      </c>
      <c r="F443" s="3">
        <v>6.81</v>
      </c>
      <c r="G443" s="20">
        <f t="shared" si="17"/>
        <v>4.2221999999999991</v>
      </c>
      <c r="H443" s="20">
        <f>G443*D443</f>
        <v>8.4443999999999981</v>
      </c>
      <c r="J443" s="43" t="s">
        <v>1873</v>
      </c>
    </row>
    <row r="444" spans="1:10" x14ac:dyDescent="0.25">
      <c r="A444" s="46" t="s">
        <v>418</v>
      </c>
      <c r="B444" s="14" t="s">
        <v>419</v>
      </c>
      <c r="C444" s="3" t="s">
        <v>47</v>
      </c>
      <c r="D444" s="3">
        <v>2</v>
      </c>
      <c r="E444" s="3" t="s">
        <v>1855</v>
      </c>
      <c r="F444" s="3">
        <v>16</v>
      </c>
      <c r="G444" s="20">
        <f t="shared" si="17"/>
        <v>9.92</v>
      </c>
      <c r="H444" s="20">
        <f>G444*D444</f>
        <v>19.84</v>
      </c>
      <c r="J444" s="43" t="s">
        <v>2024</v>
      </c>
    </row>
    <row r="445" spans="1:10" x14ac:dyDescent="0.25">
      <c r="A445" s="48"/>
      <c r="B445" s="15" t="s">
        <v>420</v>
      </c>
      <c r="C445" s="3"/>
      <c r="D445" s="3"/>
      <c r="E445" s="20"/>
      <c r="F445" s="3"/>
      <c r="G445" s="3"/>
      <c r="H445" s="20"/>
    </row>
    <row r="446" spans="1:10" x14ac:dyDescent="0.25">
      <c r="A446" s="46" t="s">
        <v>421</v>
      </c>
      <c r="B446" s="14" t="s">
        <v>422</v>
      </c>
      <c r="C446" s="3" t="s">
        <v>46</v>
      </c>
      <c r="D446" s="3">
        <v>2</v>
      </c>
      <c r="E446" s="3" t="s">
        <v>1855</v>
      </c>
      <c r="F446" s="3">
        <v>24</v>
      </c>
      <c r="G446" s="20">
        <f t="shared" si="17"/>
        <v>14.879999999999999</v>
      </c>
      <c r="H446" s="20">
        <f>G446*D446</f>
        <v>29.759999999999998</v>
      </c>
      <c r="J446" s="43" t="s">
        <v>2025</v>
      </c>
    </row>
    <row r="447" spans="1:10" x14ac:dyDescent="0.25">
      <c r="A447" s="46" t="s">
        <v>423</v>
      </c>
      <c r="B447" s="14" t="s">
        <v>424</v>
      </c>
      <c r="C447" s="3" t="s">
        <v>46</v>
      </c>
      <c r="D447" s="3">
        <v>2</v>
      </c>
      <c r="E447" s="3" t="s">
        <v>1855</v>
      </c>
      <c r="F447" s="3">
        <v>9.56</v>
      </c>
      <c r="G447" s="20">
        <f t="shared" si="17"/>
        <v>5.9272000000000009</v>
      </c>
      <c r="H447" s="20">
        <f>G447*D447</f>
        <v>11.854400000000002</v>
      </c>
      <c r="J447" s="43" t="s">
        <v>2026</v>
      </c>
    </row>
    <row r="448" spans="1:10" x14ac:dyDescent="0.25">
      <c r="A448" s="48" t="s">
        <v>3</v>
      </c>
      <c r="B448" s="15" t="s">
        <v>425</v>
      </c>
      <c r="C448" s="3"/>
      <c r="D448" s="3"/>
      <c r="E448" s="20"/>
      <c r="F448" s="3"/>
      <c r="G448" s="3"/>
      <c r="H448" s="20"/>
    </row>
    <row r="449" spans="1:10" x14ac:dyDescent="0.25">
      <c r="A449" s="46" t="s">
        <v>426</v>
      </c>
      <c r="B449" s="14" t="s">
        <v>427</v>
      </c>
      <c r="C449" s="3" t="s">
        <v>46</v>
      </c>
      <c r="D449" s="3">
        <v>2</v>
      </c>
      <c r="E449" s="3" t="s">
        <v>1855</v>
      </c>
      <c r="F449" s="3">
        <v>20.7</v>
      </c>
      <c r="G449" s="20">
        <f t="shared" si="17"/>
        <v>12.834</v>
      </c>
      <c r="H449" s="20">
        <f>G449*D449</f>
        <v>25.667999999999999</v>
      </c>
      <c r="J449" s="43" t="s">
        <v>2027</v>
      </c>
    </row>
    <row r="450" spans="1:10" x14ac:dyDescent="0.25">
      <c r="A450" s="46" t="s">
        <v>428</v>
      </c>
      <c r="B450" s="14" t="s">
        <v>429</v>
      </c>
      <c r="C450" s="3" t="s">
        <v>46</v>
      </c>
      <c r="D450" s="3">
        <v>2</v>
      </c>
      <c r="E450" s="3" t="s">
        <v>1855</v>
      </c>
      <c r="F450" s="3">
        <v>32</v>
      </c>
      <c r="G450" s="20">
        <f t="shared" si="17"/>
        <v>19.84</v>
      </c>
      <c r="H450" s="20">
        <f>G450*D450</f>
        <v>39.68</v>
      </c>
      <c r="J450" s="43" t="s">
        <v>429</v>
      </c>
    </row>
    <row r="451" spans="1:10" x14ac:dyDescent="0.25">
      <c r="A451" s="48" t="s">
        <v>3</v>
      </c>
      <c r="B451" s="15" t="s">
        <v>430</v>
      </c>
      <c r="C451" s="3"/>
      <c r="D451" s="3"/>
      <c r="E451" s="20"/>
      <c r="F451" s="3"/>
      <c r="G451" s="3"/>
      <c r="H451" s="20"/>
    </row>
    <row r="452" spans="1:10" x14ac:dyDescent="0.25">
      <c r="A452" s="46" t="s">
        <v>306</v>
      </c>
      <c r="B452" s="14" t="s">
        <v>307</v>
      </c>
      <c r="C452" s="3" t="s">
        <v>47</v>
      </c>
      <c r="D452" s="3">
        <v>2</v>
      </c>
      <c r="E452" s="3" t="s">
        <v>1855</v>
      </c>
      <c r="F452" s="3">
        <v>10.3</v>
      </c>
      <c r="G452" s="20">
        <f t="shared" si="17"/>
        <v>6.386000000000001</v>
      </c>
      <c r="H452" s="20">
        <f>G452*D452</f>
        <v>12.772000000000002</v>
      </c>
      <c r="J452" s="43" t="s">
        <v>1990</v>
      </c>
    </row>
    <row r="453" spans="1:10" x14ac:dyDescent="0.25">
      <c r="A453" s="46" t="s">
        <v>431</v>
      </c>
      <c r="B453" s="14" t="s">
        <v>432</v>
      </c>
      <c r="C453" s="3" t="s">
        <v>47</v>
      </c>
      <c r="D453" s="3">
        <v>2</v>
      </c>
      <c r="E453" s="3" t="s">
        <v>1855</v>
      </c>
      <c r="F453" s="3">
        <v>22.7</v>
      </c>
      <c r="G453" s="20">
        <f t="shared" si="17"/>
        <v>14.074</v>
      </c>
      <c r="H453" s="20">
        <f>G453*D453</f>
        <v>28.148</v>
      </c>
      <c r="J453" s="43" t="s">
        <v>2028</v>
      </c>
    </row>
    <row r="454" spans="1:10" x14ac:dyDescent="0.25">
      <c r="A454" s="48" t="s">
        <v>3</v>
      </c>
      <c r="B454" s="15" t="s">
        <v>433</v>
      </c>
      <c r="C454" s="3"/>
      <c r="D454" s="3"/>
      <c r="E454" s="20"/>
      <c r="F454" s="3"/>
      <c r="G454" s="3"/>
      <c r="H454" s="20"/>
    </row>
    <row r="455" spans="1:10" x14ac:dyDescent="0.25">
      <c r="A455" s="46" t="s">
        <v>57</v>
      </c>
      <c r="B455" s="14" t="s">
        <v>58</v>
      </c>
      <c r="C455" s="3" t="s">
        <v>47</v>
      </c>
      <c r="D455" s="3">
        <v>12</v>
      </c>
      <c r="E455" s="3" t="s">
        <v>1855</v>
      </c>
      <c r="F455" s="3">
        <v>22.4</v>
      </c>
      <c r="G455" s="20">
        <f t="shared" si="17"/>
        <v>13.888</v>
      </c>
      <c r="H455" s="20">
        <f>G455*D455</f>
        <v>166.65600000000001</v>
      </c>
      <c r="J455" s="43" t="s">
        <v>1886</v>
      </c>
    </row>
    <row r="456" spans="1:10" x14ac:dyDescent="0.25">
      <c r="A456" s="46" t="s">
        <v>55</v>
      </c>
      <c r="B456" s="14" t="s">
        <v>56</v>
      </c>
      <c r="C456" s="3" t="s">
        <v>47</v>
      </c>
      <c r="D456" s="3">
        <v>12</v>
      </c>
      <c r="E456" s="3" t="s">
        <v>1855</v>
      </c>
      <c r="F456" s="3">
        <v>23.9</v>
      </c>
      <c r="G456" s="20">
        <f t="shared" si="17"/>
        <v>14.818</v>
      </c>
      <c r="H456" s="20">
        <f>G456*D456</f>
        <v>177.816</v>
      </c>
      <c r="J456" s="43" t="s">
        <v>1885</v>
      </c>
    </row>
    <row r="457" spans="1:10" x14ac:dyDescent="0.25">
      <c r="A457" s="48" t="s">
        <v>3</v>
      </c>
      <c r="B457" s="15" t="s">
        <v>434</v>
      </c>
      <c r="C457" s="3"/>
      <c r="D457" s="3"/>
      <c r="E457" s="20"/>
      <c r="F457" s="3"/>
      <c r="G457" s="3"/>
      <c r="H457" s="20"/>
    </row>
    <row r="458" spans="1:10" x14ac:dyDescent="0.25">
      <c r="A458" s="46" t="s">
        <v>435</v>
      </c>
      <c r="B458" s="14" t="s">
        <v>436</v>
      </c>
      <c r="C458" s="3" t="s">
        <v>47</v>
      </c>
      <c r="D458" s="3">
        <v>4</v>
      </c>
      <c r="E458" s="3" t="s">
        <v>1855</v>
      </c>
      <c r="F458" s="3">
        <v>143</v>
      </c>
      <c r="G458" s="20">
        <f t="shared" si="17"/>
        <v>88.66</v>
      </c>
      <c r="H458" s="20">
        <f>G458*D458</f>
        <v>354.64</v>
      </c>
      <c r="J458" s="43" t="s">
        <v>2029</v>
      </c>
    </row>
    <row r="459" spans="1:10" x14ac:dyDescent="0.25">
      <c r="A459" s="48" t="s">
        <v>3</v>
      </c>
      <c r="B459" s="15" t="s">
        <v>437</v>
      </c>
      <c r="C459" s="3"/>
      <c r="D459" s="3"/>
      <c r="E459" s="20"/>
      <c r="F459" s="3"/>
      <c r="G459" s="3"/>
      <c r="H459" s="20"/>
    </row>
    <row r="460" spans="1:10" x14ac:dyDescent="0.25">
      <c r="A460" s="46" t="s">
        <v>438</v>
      </c>
      <c r="B460" s="14" t="s">
        <v>439</v>
      </c>
      <c r="C460" s="3" t="s">
        <v>46</v>
      </c>
      <c r="D460" s="3">
        <v>2</v>
      </c>
      <c r="E460" s="3" t="s">
        <v>1855</v>
      </c>
      <c r="F460" s="3">
        <v>22.6</v>
      </c>
      <c r="G460" s="20">
        <f t="shared" si="17"/>
        <v>14.012</v>
      </c>
      <c r="H460" s="20">
        <f>G460*D460</f>
        <v>28.024000000000001</v>
      </c>
      <c r="J460" s="43" t="s">
        <v>2030</v>
      </c>
    </row>
    <row r="461" spans="1:10" x14ac:dyDescent="0.25">
      <c r="A461" s="46" t="s">
        <v>440</v>
      </c>
      <c r="B461" s="14" t="s">
        <v>441</v>
      </c>
      <c r="C461" s="3" t="s">
        <v>46</v>
      </c>
      <c r="D461" s="3">
        <v>2</v>
      </c>
      <c r="E461" s="3" t="s">
        <v>1855</v>
      </c>
      <c r="F461" s="3">
        <v>8.26</v>
      </c>
      <c r="G461" s="20">
        <f t="shared" ref="G461:G524" si="19">F461-(F461*38%)</f>
        <v>5.1212</v>
      </c>
      <c r="H461" s="20">
        <f>G461*D461</f>
        <v>10.2424</v>
      </c>
      <c r="J461" s="43" t="s">
        <v>2031</v>
      </c>
    </row>
    <row r="462" spans="1:10" x14ac:dyDescent="0.25">
      <c r="A462" s="48" t="s">
        <v>3</v>
      </c>
      <c r="B462" s="15" t="s">
        <v>442</v>
      </c>
      <c r="C462" s="3"/>
      <c r="D462" s="3"/>
      <c r="E462" s="20"/>
      <c r="F462" s="3"/>
      <c r="G462" s="3"/>
      <c r="H462" s="20"/>
    </row>
    <row r="463" spans="1:10" x14ac:dyDescent="0.25">
      <c r="A463" s="46" t="s">
        <v>346</v>
      </c>
      <c r="B463" s="14" t="s">
        <v>347</v>
      </c>
      <c r="C463" s="3" t="s">
        <v>46</v>
      </c>
      <c r="D463" s="3">
        <v>2</v>
      </c>
      <c r="E463" s="3" t="s">
        <v>1855</v>
      </c>
      <c r="F463" s="3">
        <v>21</v>
      </c>
      <c r="G463" s="20">
        <f t="shared" si="19"/>
        <v>13.02</v>
      </c>
      <c r="H463" s="20">
        <f>G463*D463</f>
        <v>26.04</v>
      </c>
      <c r="J463" s="43" t="s">
        <v>2003</v>
      </c>
    </row>
    <row r="464" spans="1:10" x14ac:dyDescent="0.25">
      <c r="A464" s="46" t="s">
        <v>344</v>
      </c>
      <c r="B464" s="14" t="s">
        <v>345</v>
      </c>
      <c r="C464" s="3" t="s">
        <v>46</v>
      </c>
      <c r="D464" s="3">
        <v>2</v>
      </c>
      <c r="E464" s="3" t="s">
        <v>1855</v>
      </c>
      <c r="F464" s="3">
        <v>19.899999999999999</v>
      </c>
      <c r="G464" s="20">
        <f t="shared" si="19"/>
        <v>12.337999999999999</v>
      </c>
      <c r="H464" s="20">
        <f>G464*D464</f>
        <v>24.675999999999998</v>
      </c>
      <c r="J464" s="43" t="s">
        <v>2002</v>
      </c>
    </row>
    <row r="465" spans="1:10" x14ac:dyDescent="0.25">
      <c r="A465" s="46" t="s">
        <v>443</v>
      </c>
      <c r="B465" s="14" t="s">
        <v>444</v>
      </c>
      <c r="C465" s="3" t="s">
        <v>47</v>
      </c>
      <c r="D465" s="3">
        <v>2</v>
      </c>
      <c r="E465" s="3" t="s">
        <v>1855</v>
      </c>
      <c r="F465" s="3">
        <v>30.8</v>
      </c>
      <c r="G465" s="20">
        <f t="shared" si="19"/>
        <v>19.096</v>
      </c>
      <c r="H465" s="20">
        <f>G465*D465</f>
        <v>38.192</v>
      </c>
      <c r="J465" s="43" t="s">
        <v>2032</v>
      </c>
    </row>
    <row r="466" spans="1:10" x14ac:dyDescent="0.25">
      <c r="A466" s="48" t="s">
        <v>3</v>
      </c>
      <c r="B466" s="15" t="s">
        <v>445</v>
      </c>
      <c r="C466" s="3"/>
      <c r="D466" s="3"/>
      <c r="E466" s="20"/>
      <c r="F466" s="3"/>
      <c r="G466" s="3"/>
      <c r="H466" s="20"/>
    </row>
    <row r="467" spans="1:10" x14ac:dyDescent="0.25">
      <c r="A467" s="46" t="s">
        <v>274</v>
      </c>
      <c r="B467" s="14" t="s">
        <v>275</v>
      </c>
      <c r="C467" s="3" t="s">
        <v>46</v>
      </c>
      <c r="D467" s="3">
        <v>12</v>
      </c>
      <c r="E467" s="3" t="s">
        <v>1855</v>
      </c>
      <c r="F467" s="3">
        <v>44.5</v>
      </c>
      <c r="G467" s="20">
        <f t="shared" si="19"/>
        <v>27.59</v>
      </c>
      <c r="H467" s="20">
        <f>G467*D467</f>
        <v>331.08</v>
      </c>
      <c r="J467" s="43" t="s">
        <v>1976</v>
      </c>
    </row>
    <row r="468" spans="1:10" x14ac:dyDescent="0.25">
      <c r="A468" s="48" t="s">
        <v>3</v>
      </c>
      <c r="B468" s="15" t="s">
        <v>446</v>
      </c>
      <c r="C468" s="3"/>
      <c r="D468" s="3"/>
      <c r="E468" s="20"/>
      <c r="F468" s="3"/>
      <c r="G468" s="3"/>
      <c r="H468" s="20"/>
    </row>
    <row r="469" spans="1:10" x14ac:dyDescent="0.25">
      <c r="A469" s="46" t="s">
        <v>447</v>
      </c>
      <c r="B469" s="14" t="s">
        <v>448</v>
      </c>
      <c r="C469" s="3" t="s">
        <v>46</v>
      </c>
      <c r="D469" s="3">
        <v>16</v>
      </c>
      <c r="E469" s="3" t="s">
        <v>1855</v>
      </c>
      <c r="F469" s="3">
        <v>21.7</v>
      </c>
      <c r="G469" s="20">
        <f t="shared" si="19"/>
        <v>13.453999999999999</v>
      </c>
      <c r="H469" s="20">
        <f>G469*D469</f>
        <v>215.26399999999998</v>
      </c>
      <c r="J469" s="43" t="s">
        <v>2033</v>
      </c>
    </row>
    <row r="470" spans="1:10" x14ac:dyDescent="0.25">
      <c r="A470" s="48" t="s">
        <v>3</v>
      </c>
      <c r="B470" s="15" t="s">
        <v>449</v>
      </c>
      <c r="C470" s="3"/>
      <c r="D470" s="3"/>
      <c r="E470" s="20"/>
      <c r="F470" s="3"/>
      <c r="G470" s="3"/>
      <c r="H470" s="20"/>
    </row>
    <row r="471" spans="1:10" x14ac:dyDescent="0.25">
      <c r="A471" s="46" t="s">
        <v>404</v>
      </c>
      <c r="B471" s="14" t="s">
        <v>405</v>
      </c>
      <c r="C471" s="3" t="s">
        <v>46</v>
      </c>
      <c r="D471" s="3">
        <v>2</v>
      </c>
      <c r="E471" s="3" t="s">
        <v>1855</v>
      </c>
      <c r="F471" s="3">
        <v>39</v>
      </c>
      <c r="G471" s="20">
        <f t="shared" si="19"/>
        <v>24.18</v>
      </c>
      <c r="H471" s="20">
        <f>G471*D471</f>
        <v>48.36</v>
      </c>
      <c r="J471" s="43" t="s">
        <v>405</v>
      </c>
    </row>
    <row r="472" spans="1:10" x14ac:dyDescent="0.25">
      <c r="A472" s="48" t="s">
        <v>3</v>
      </c>
      <c r="B472" s="15" t="s">
        <v>450</v>
      </c>
      <c r="C472" s="3"/>
      <c r="D472" s="3"/>
      <c r="E472" s="20"/>
      <c r="F472" s="3"/>
      <c r="G472" s="3"/>
      <c r="H472" s="20"/>
    </row>
    <row r="473" spans="1:10" x14ac:dyDescent="0.25">
      <c r="A473" s="46" t="s">
        <v>451</v>
      </c>
      <c r="B473" s="14" t="s">
        <v>452</v>
      </c>
      <c r="C473" s="3" t="s">
        <v>46</v>
      </c>
      <c r="D473" s="3">
        <v>10</v>
      </c>
      <c r="E473" s="3" t="s">
        <v>1855</v>
      </c>
      <c r="F473" s="3">
        <v>29.6</v>
      </c>
      <c r="G473" s="20">
        <f t="shared" si="19"/>
        <v>18.352</v>
      </c>
      <c r="H473" s="20">
        <f>G473*D473</f>
        <v>183.52</v>
      </c>
      <c r="J473" s="43" t="s">
        <v>452</v>
      </c>
    </row>
    <row r="474" spans="1:10" x14ac:dyDescent="0.25">
      <c r="A474" s="48" t="s">
        <v>3</v>
      </c>
      <c r="B474" s="15" t="s">
        <v>453</v>
      </c>
      <c r="C474" s="3"/>
      <c r="D474" s="3"/>
      <c r="E474" s="20"/>
      <c r="F474" s="3"/>
      <c r="G474" s="3"/>
      <c r="H474" s="20"/>
    </row>
    <row r="475" spans="1:10" x14ac:dyDescent="0.25">
      <c r="A475" s="46" t="s">
        <v>454</v>
      </c>
      <c r="B475" s="14" t="s">
        <v>455</v>
      </c>
      <c r="C475" s="3" t="s">
        <v>46</v>
      </c>
      <c r="D475" s="3">
        <v>2</v>
      </c>
      <c r="E475" s="3" t="s">
        <v>1855</v>
      </c>
      <c r="F475" s="3">
        <v>40.1</v>
      </c>
      <c r="G475" s="20">
        <f t="shared" si="19"/>
        <v>24.862000000000002</v>
      </c>
      <c r="H475" s="20">
        <f>G475*D475</f>
        <v>49.724000000000004</v>
      </c>
      <c r="J475" s="43" t="s">
        <v>2034</v>
      </c>
    </row>
    <row r="476" spans="1:10" x14ac:dyDescent="0.25">
      <c r="A476" s="46" t="s">
        <v>314</v>
      </c>
      <c r="B476" s="14" t="s">
        <v>315</v>
      </c>
      <c r="C476" s="3" t="s">
        <v>46</v>
      </c>
      <c r="D476" s="3">
        <v>2</v>
      </c>
      <c r="E476" s="3" t="s">
        <v>1855</v>
      </c>
      <c r="F476" s="3">
        <v>40.1</v>
      </c>
      <c r="G476" s="20">
        <f t="shared" si="19"/>
        <v>24.862000000000002</v>
      </c>
      <c r="H476" s="20">
        <f>G476*D476</f>
        <v>49.724000000000004</v>
      </c>
      <c r="J476" s="43" t="s">
        <v>1994</v>
      </c>
    </row>
    <row r="477" spans="1:10" x14ac:dyDescent="0.25">
      <c r="A477" s="48" t="s">
        <v>3</v>
      </c>
      <c r="B477" s="15" t="s">
        <v>456</v>
      </c>
      <c r="C477" s="3"/>
      <c r="D477" s="3"/>
      <c r="E477" s="20"/>
      <c r="F477" s="3"/>
      <c r="G477" s="3"/>
      <c r="H477" s="20"/>
    </row>
    <row r="478" spans="1:10" x14ac:dyDescent="0.25">
      <c r="A478" s="46" t="s">
        <v>457</v>
      </c>
      <c r="B478" s="14" t="s">
        <v>458</v>
      </c>
      <c r="C478" s="3" t="s">
        <v>46</v>
      </c>
      <c r="D478" s="3">
        <v>2</v>
      </c>
      <c r="E478" s="3" t="s">
        <v>1855</v>
      </c>
      <c r="F478" s="3">
        <v>62.9</v>
      </c>
      <c r="G478" s="20">
        <f t="shared" si="19"/>
        <v>38.997999999999998</v>
      </c>
      <c r="H478" s="20">
        <f>G478*D478</f>
        <v>77.995999999999995</v>
      </c>
      <c r="J478" s="43" t="s">
        <v>458</v>
      </c>
    </row>
    <row r="479" spans="1:10" x14ac:dyDescent="0.25">
      <c r="A479" s="48" t="s">
        <v>3</v>
      </c>
      <c r="B479" s="15" t="s">
        <v>459</v>
      </c>
      <c r="C479" s="3"/>
      <c r="D479" s="3"/>
      <c r="E479" s="20"/>
      <c r="F479" s="3"/>
      <c r="G479" s="3"/>
      <c r="H479" s="20"/>
    </row>
    <row r="480" spans="1:10" x14ac:dyDescent="0.25">
      <c r="A480" s="46" t="s">
        <v>460</v>
      </c>
      <c r="B480" s="14" t="s">
        <v>461</v>
      </c>
      <c r="C480" s="3" t="s">
        <v>46</v>
      </c>
      <c r="D480" s="3">
        <v>4</v>
      </c>
      <c r="E480" s="3" t="s">
        <v>1855</v>
      </c>
      <c r="F480" s="3">
        <v>127</v>
      </c>
      <c r="G480" s="20">
        <f t="shared" si="19"/>
        <v>78.740000000000009</v>
      </c>
      <c r="H480" s="20">
        <f>G480*D480</f>
        <v>314.96000000000004</v>
      </c>
      <c r="J480" s="43" t="s">
        <v>2035</v>
      </c>
    </row>
    <row r="481" spans="1:10" x14ac:dyDescent="0.25">
      <c r="A481" s="48" t="s">
        <v>3</v>
      </c>
      <c r="B481" s="15" t="s">
        <v>462</v>
      </c>
      <c r="C481" s="3"/>
      <c r="D481" s="3"/>
      <c r="E481" s="20"/>
      <c r="F481" s="3"/>
      <c r="G481" s="3"/>
      <c r="H481" s="20"/>
    </row>
    <row r="482" spans="1:10" x14ac:dyDescent="0.25">
      <c r="A482" s="46" t="s">
        <v>362</v>
      </c>
      <c r="B482" s="14" t="s">
        <v>363</v>
      </c>
      <c r="C482" s="3" t="s">
        <v>46</v>
      </c>
      <c r="D482" s="3">
        <v>2</v>
      </c>
      <c r="E482" s="3" t="s">
        <v>1855</v>
      </c>
      <c r="F482" s="3">
        <v>113</v>
      </c>
      <c r="G482" s="20">
        <f t="shared" si="19"/>
        <v>70.06</v>
      </c>
      <c r="H482" s="20">
        <f>G482*D482</f>
        <v>140.12</v>
      </c>
      <c r="J482" s="43" t="s">
        <v>363</v>
      </c>
    </row>
    <row r="483" spans="1:10" x14ac:dyDescent="0.25">
      <c r="A483" s="48" t="s">
        <v>3</v>
      </c>
      <c r="B483" s="15" t="s">
        <v>462</v>
      </c>
      <c r="C483" s="3"/>
      <c r="D483" s="3"/>
      <c r="E483" s="20"/>
      <c r="F483" s="3"/>
      <c r="G483" s="3"/>
      <c r="H483" s="20"/>
    </row>
    <row r="484" spans="1:10" x14ac:dyDescent="0.25">
      <c r="A484" s="46" t="s">
        <v>463</v>
      </c>
      <c r="B484" s="14" t="s">
        <v>464</v>
      </c>
      <c r="C484" s="3" t="s">
        <v>46</v>
      </c>
      <c r="D484" s="3">
        <v>2</v>
      </c>
      <c r="E484" s="3" t="s">
        <v>1855</v>
      </c>
      <c r="F484" s="3">
        <v>123</v>
      </c>
      <c r="G484" s="20">
        <f t="shared" si="19"/>
        <v>76.259999999999991</v>
      </c>
      <c r="H484" s="20">
        <f>G484*D484</f>
        <v>152.51999999999998</v>
      </c>
      <c r="J484" s="43" t="s">
        <v>464</v>
      </c>
    </row>
    <row r="485" spans="1:10" x14ac:dyDescent="0.25">
      <c r="A485" s="48" t="s">
        <v>3</v>
      </c>
      <c r="B485" s="15" t="s">
        <v>465</v>
      </c>
      <c r="C485" s="3"/>
      <c r="D485" s="3"/>
      <c r="E485" s="20"/>
      <c r="F485" s="3"/>
      <c r="G485" s="3"/>
      <c r="H485" s="20"/>
    </row>
    <row r="486" spans="1:10" x14ac:dyDescent="0.25">
      <c r="A486" s="46" t="s">
        <v>360</v>
      </c>
      <c r="B486" s="14" t="s">
        <v>361</v>
      </c>
      <c r="C486" s="3" t="s">
        <v>46</v>
      </c>
      <c r="D486" s="3">
        <v>2</v>
      </c>
      <c r="E486" s="3" t="s">
        <v>1855</v>
      </c>
      <c r="F486" s="3">
        <v>108.5</v>
      </c>
      <c r="G486" s="20">
        <f t="shared" si="19"/>
        <v>67.27</v>
      </c>
      <c r="H486" s="20">
        <f>G486*D486</f>
        <v>134.54</v>
      </c>
      <c r="J486" s="43" t="s">
        <v>361</v>
      </c>
    </row>
    <row r="487" spans="1:10" x14ac:dyDescent="0.25">
      <c r="A487" s="48" t="s">
        <v>3</v>
      </c>
      <c r="B487" s="15" t="s">
        <v>466</v>
      </c>
      <c r="C487" s="3"/>
      <c r="D487" s="3"/>
      <c r="E487" s="20"/>
      <c r="F487" s="3"/>
      <c r="G487" s="3"/>
      <c r="H487" s="20"/>
    </row>
    <row r="488" spans="1:10" x14ac:dyDescent="0.25">
      <c r="A488" s="46" t="s">
        <v>467</v>
      </c>
      <c r="B488" s="14" t="s">
        <v>468</v>
      </c>
      <c r="C488" s="3" t="s">
        <v>47</v>
      </c>
      <c r="D488" s="3">
        <v>2</v>
      </c>
      <c r="E488" s="3" t="s">
        <v>1855</v>
      </c>
      <c r="F488" s="3">
        <v>169.5</v>
      </c>
      <c r="G488" s="20">
        <f t="shared" si="19"/>
        <v>105.09</v>
      </c>
      <c r="H488" s="20">
        <f>G488*D488</f>
        <v>210.18</v>
      </c>
      <c r="J488" s="43" t="s">
        <v>2036</v>
      </c>
    </row>
    <row r="489" spans="1:10" x14ac:dyDescent="0.25">
      <c r="A489" s="48" t="s">
        <v>3</v>
      </c>
      <c r="B489" s="15" t="s">
        <v>469</v>
      </c>
      <c r="C489" s="3"/>
      <c r="D489" s="3"/>
      <c r="E489" s="20"/>
      <c r="F489" s="3"/>
      <c r="G489" s="3"/>
      <c r="H489" s="20"/>
    </row>
    <row r="490" spans="1:10" x14ac:dyDescent="0.25">
      <c r="A490" s="46" t="s">
        <v>470</v>
      </c>
      <c r="B490" s="14" t="s">
        <v>471</v>
      </c>
      <c r="C490" s="3" t="s">
        <v>47</v>
      </c>
      <c r="D490" s="3">
        <v>2</v>
      </c>
      <c r="E490" s="3" t="s">
        <v>1855</v>
      </c>
      <c r="F490" s="3">
        <v>161.5</v>
      </c>
      <c r="G490" s="20">
        <f t="shared" si="19"/>
        <v>100.13</v>
      </c>
      <c r="H490" s="20">
        <f>G490*D490</f>
        <v>200.26</v>
      </c>
      <c r="J490" s="43" t="s">
        <v>2037</v>
      </c>
    </row>
    <row r="491" spans="1:10" x14ac:dyDescent="0.25">
      <c r="A491" s="48" t="s">
        <v>3</v>
      </c>
      <c r="B491" s="15" t="s">
        <v>472</v>
      </c>
      <c r="C491" s="3"/>
      <c r="D491" s="3"/>
      <c r="E491" s="20"/>
      <c r="F491" s="3"/>
      <c r="G491" s="3"/>
      <c r="H491" s="20"/>
    </row>
    <row r="492" spans="1:10" x14ac:dyDescent="0.25">
      <c r="A492" s="46" t="s">
        <v>473</v>
      </c>
      <c r="B492" s="14" t="s">
        <v>474</v>
      </c>
      <c r="C492" s="3" t="s">
        <v>47</v>
      </c>
      <c r="D492" s="3">
        <v>2</v>
      </c>
      <c r="E492" s="3" t="s">
        <v>1855</v>
      </c>
      <c r="F492" s="3">
        <v>179.5</v>
      </c>
      <c r="G492" s="20">
        <f t="shared" si="19"/>
        <v>111.29</v>
      </c>
      <c r="H492" s="20">
        <f>G492*D492</f>
        <v>222.58</v>
      </c>
      <c r="J492" s="43" t="s">
        <v>2038</v>
      </c>
    </row>
    <row r="493" spans="1:10" x14ac:dyDescent="0.25">
      <c r="A493" s="48" t="s">
        <v>3</v>
      </c>
      <c r="B493" s="15" t="s">
        <v>475</v>
      </c>
      <c r="C493" s="3"/>
      <c r="D493" s="3"/>
      <c r="E493" s="20"/>
      <c r="F493" s="3"/>
      <c r="G493" s="3"/>
      <c r="H493" s="20"/>
    </row>
    <row r="494" spans="1:10" x14ac:dyDescent="0.25">
      <c r="A494" s="46" t="s">
        <v>476</v>
      </c>
      <c r="B494" s="14" t="s">
        <v>477</v>
      </c>
      <c r="C494" s="3" t="s">
        <v>46</v>
      </c>
      <c r="D494" s="3">
        <v>2</v>
      </c>
      <c r="E494" s="3" t="s">
        <v>1855</v>
      </c>
      <c r="F494" s="3">
        <v>134.5</v>
      </c>
      <c r="G494" s="20">
        <f t="shared" si="19"/>
        <v>83.39</v>
      </c>
      <c r="H494" s="20">
        <f>G494*D494</f>
        <v>166.78</v>
      </c>
      <c r="J494" s="43" t="s">
        <v>2039</v>
      </c>
    </row>
    <row r="495" spans="1:10" x14ac:dyDescent="0.25">
      <c r="A495" s="48" t="s">
        <v>3</v>
      </c>
      <c r="B495" s="15" t="s">
        <v>478</v>
      </c>
      <c r="C495" s="3"/>
      <c r="D495" s="3"/>
      <c r="E495" s="20"/>
      <c r="F495" s="3"/>
      <c r="G495" s="3"/>
      <c r="H495" s="20"/>
    </row>
    <row r="496" spans="1:10" x14ac:dyDescent="0.25">
      <c r="A496" s="46" t="s">
        <v>479</v>
      </c>
      <c r="B496" s="14" t="s">
        <v>480</v>
      </c>
      <c r="C496" s="3" t="s">
        <v>46</v>
      </c>
      <c r="D496" s="3">
        <v>2</v>
      </c>
      <c r="E496" s="3" t="s">
        <v>1855</v>
      </c>
      <c r="F496" s="3">
        <v>20.399999999999999</v>
      </c>
      <c r="G496" s="20">
        <f t="shared" si="19"/>
        <v>12.648</v>
      </c>
      <c r="H496" s="20">
        <f>G496*D496</f>
        <v>25.295999999999999</v>
      </c>
      <c r="J496" s="43" t="s">
        <v>2040</v>
      </c>
    </row>
    <row r="497" spans="1:10" x14ac:dyDescent="0.25">
      <c r="A497" s="48" t="s">
        <v>3</v>
      </c>
      <c r="B497" s="15" t="s">
        <v>481</v>
      </c>
      <c r="C497" s="3"/>
      <c r="D497" s="3"/>
      <c r="E497" s="20"/>
      <c r="F497" s="3"/>
      <c r="G497" s="3"/>
      <c r="H497" s="20"/>
    </row>
    <row r="498" spans="1:10" x14ac:dyDescent="0.25">
      <c r="A498" s="46" t="s">
        <v>482</v>
      </c>
      <c r="B498" s="14" t="s">
        <v>483</v>
      </c>
      <c r="C498" s="3" t="s">
        <v>46</v>
      </c>
      <c r="D498" s="3">
        <v>2</v>
      </c>
      <c r="E498" s="3" t="s">
        <v>1855</v>
      </c>
      <c r="F498" s="3">
        <v>22.9</v>
      </c>
      <c r="G498" s="20">
        <f t="shared" si="19"/>
        <v>14.197999999999999</v>
      </c>
      <c r="H498" s="20">
        <f>G498*D498</f>
        <v>28.395999999999997</v>
      </c>
      <c r="J498" s="43" t="s">
        <v>2041</v>
      </c>
    </row>
    <row r="499" spans="1:10" x14ac:dyDescent="0.25">
      <c r="A499" s="48" t="s">
        <v>3</v>
      </c>
      <c r="B499" s="15" t="s">
        <v>484</v>
      </c>
      <c r="C499" s="3"/>
      <c r="D499" s="3"/>
      <c r="E499" s="20"/>
      <c r="F499" s="3"/>
      <c r="G499" s="3"/>
      <c r="H499" s="20"/>
    </row>
    <row r="500" spans="1:10" x14ac:dyDescent="0.25">
      <c r="A500" s="46" t="s">
        <v>14</v>
      </c>
      <c r="B500" s="14" t="s">
        <v>15</v>
      </c>
      <c r="C500" s="3" t="s">
        <v>46</v>
      </c>
      <c r="D500" s="3">
        <v>2</v>
      </c>
      <c r="E500" s="3" t="s">
        <v>1855</v>
      </c>
      <c r="F500" s="3">
        <v>27.2</v>
      </c>
      <c r="G500" s="20">
        <f t="shared" si="19"/>
        <v>16.863999999999997</v>
      </c>
      <c r="H500" s="20">
        <f>G500*D500</f>
        <v>33.727999999999994</v>
      </c>
      <c r="J500" s="43" t="s">
        <v>1868</v>
      </c>
    </row>
    <row r="501" spans="1:10" x14ac:dyDescent="0.25">
      <c r="A501" s="48" t="s">
        <v>3</v>
      </c>
      <c r="B501" s="15" t="s">
        <v>484</v>
      </c>
      <c r="C501" s="3"/>
      <c r="D501" s="3"/>
      <c r="E501" s="20"/>
      <c r="F501" s="3"/>
      <c r="G501" s="3"/>
      <c r="H501" s="20"/>
    </row>
    <row r="502" spans="1:10" x14ac:dyDescent="0.25">
      <c r="A502" s="46" t="s">
        <v>485</v>
      </c>
      <c r="B502" s="14" t="s">
        <v>486</v>
      </c>
      <c r="C502" s="3" t="s">
        <v>46</v>
      </c>
      <c r="D502" s="3">
        <v>2</v>
      </c>
      <c r="E502" s="3" t="s">
        <v>1855</v>
      </c>
      <c r="F502" s="3">
        <v>19.7</v>
      </c>
      <c r="G502" s="20">
        <f t="shared" si="19"/>
        <v>12.213999999999999</v>
      </c>
      <c r="H502" s="20">
        <f>G502*D502</f>
        <v>24.427999999999997</v>
      </c>
      <c r="J502" s="43" t="s">
        <v>2042</v>
      </c>
    </row>
    <row r="503" spans="1:10" x14ac:dyDescent="0.25">
      <c r="A503" s="48" t="s">
        <v>3</v>
      </c>
      <c r="B503" s="15" t="s">
        <v>487</v>
      </c>
      <c r="C503" s="3"/>
      <c r="D503" s="3"/>
      <c r="E503" s="20"/>
      <c r="F503" s="3"/>
      <c r="G503" s="3"/>
      <c r="H503" s="20"/>
    </row>
    <row r="504" spans="1:10" x14ac:dyDescent="0.25">
      <c r="A504" s="46" t="s">
        <v>193</v>
      </c>
      <c r="B504" s="14" t="s">
        <v>194</v>
      </c>
      <c r="C504" s="3" t="s">
        <v>46</v>
      </c>
      <c r="D504" s="3">
        <v>2</v>
      </c>
      <c r="E504" s="3" t="s">
        <v>1855</v>
      </c>
      <c r="F504" s="3">
        <v>25.2</v>
      </c>
      <c r="G504" s="20">
        <f t="shared" si="19"/>
        <v>15.623999999999999</v>
      </c>
      <c r="H504" s="20">
        <f>G504*D504</f>
        <v>31.247999999999998</v>
      </c>
      <c r="J504" s="43" t="s">
        <v>1944</v>
      </c>
    </row>
    <row r="505" spans="1:10" x14ac:dyDescent="0.25">
      <c r="A505" s="48" t="s">
        <v>3</v>
      </c>
      <c r="B505" s="15" t="s">
        <v>487</v>
      </c>
      <c r="C505" s="3"/>
      <c r="D505" s="3"/>
      <c r="E505" s="20"/>
      <c r="F505" s="3"/>
      <c r="G505" s="3"/>
      <c r="H505" s="20"/>
    </row>
    <row r="506" spans="1:10" x14ac:dyDescent="0.25">
      <c r="A506" s="46" t="s">
        <v>488</v>
      </c>
      <c r="B506" s="14" t="s">
        <v>489</v>
      </c>
      <c r="C506" s="3" t="s">
        <v>46</v>
      </c>
      <c r="D506" s="3">
        <v>2</v>
      </c>
      <c r="E506" s="3" t="s">
        <v>1855</v>
      </c>
      <c r="F506" s="3">
        <v>47.4</v>
      </c>
      <c r="G506" s="20">
        <f t="shared" si="19"/>
        <v>29.387999999999998</v>
      </c>
      <c r="H506" s="20">
        <f>G506*D506</f>
        <v>58.775999999999996</v>
      </c>
      <c r="J506" s="43" t="s">
        <v>2043</v>
      </c>
    </row>
    <row r="507" spans="1:10" x14ac:dyDescent="0.25">
      <c r="A507" s="48" t="s">
        <v>3</v>
      </c>
      <c r="B507" s="15" t="s">
        <v>490</v>
      </c>
      <c r="C507" s="3"/>
      <c r="D507" s="3"/>
      <c r="E507" s="20"/>
      <c r="F507" s="3"/>
      <c r="G507" s="3"/>
      <c r="H507" s="20"/>
    </row>
    <row r="508" spans="1:10" x14ac:dyDescent="0.25">
      <c r="A508" s="46" t="s">
        <v>491</v>
      </c>
      <c r="B508" s="14" t="s">
        <v>492</v>
      </c>
      <c r="C508" s="3" t="s">
        <v>46</v>
      </c>
      <c r="D508" s="3">
        <v>2</v>
      </c>
      <c r="E508" s="3" t="s">
        <v>1855</v>
      </c>
      <c r="F508" s="3">
        <v>65.2</v>
      </c>
      <c r="G508" s="20">
        <f t="shared" si="19"/>
        <v>40.424000000000007</v>
      </c>
      <c r="H508" s="20">
        <f>G508*D508</f>
        <v>80.848000000000013</v>
      </c>
      <c r="J508" s="43" t="s">
        <v>2044</v>
      </c>
    </row>
    <row r="509" spans="1:10" x14ac:dyDescent="0.25">
      <c r="A509" s="48" t="s">
        <v>3</v>
      </c>
      <c r="B509" s="15" t="s">
        <v>493</v>
      </c>
      <c r="C509" s="3"/>
      <c r="D509" s="3"/>
      <c r="E509" s="20"/>
      <c r="F509" s="3"/>
      <c r="G509" s="3"/>
      <c r="H509" s="20"/>
    </row>
    <row r="510" spans="1:10" x14ac:dyDescent="0.25">
      <c r="A510" s="46" t="s">
        <v>494</v>
      </c>
      <c r="B510" s="14" t="s">
        <v>495</v>
      </c>
      <c r="C510" s="3" t="s">
        <v>46</v>
      </c>
      <c r="D510" s="3">
        <v>2</v>
      </c>
      <c r="E510" s="3" t="s">
        <v>1855</v>
      </c>
      <c r="F510" s="3">
        <v>61.3</v>
      </c>
      <c r="G510" s="20">
        <f t="shared" si="19"/>
        <v>38.006</v>
      </c>
      <c r="H510" s="20">
        <f>G510*D510</f>
        <v>76.012</v>
      </c>
      <c r="J510" s="43" t="s">
        <v>2045</v>
      </c>
    </row>
    <row r="511" spans="1:10" x14ac:dyDescent="0.25">
      <c r="A511" s="48" t="s">
        <v>3</v>
      </c>
      <c r="B511" s="15" t="s">
        <v>493</v>
      </c>
      <c r="C511" s="3"/>
      <c r="D511" s="3"/>
      <c r="E511" s="20"/>
      <c r="F511" s="3"/>
      <c r="G511" s="3"/>
      <c r="H511" s="20"/>
    </row>
    <row r="512" spans="1:10" x14ac:dyDescent="0.25">
      <c r="A512" s="46" t="s">
        <v>496</v>
      </c>
      <c r="B512" s="14" t="s">
        <v>497</v>
      </c>
      <c r="C512" s="3" t="s">
        <v>46</v>
      </c>
      <c r="D512" s="3">
        <v>2</v>
      </c>
      <c r="E512" s="3" t="s">
        <v>1855</v>
      </c>
      <c r="F512" s="3">
        <v>60.9</v>
      </c>
      <c r="G512" s="20">
        <f t="shared" si="19"/>
        <v>37.757999999999996</v>
      </c>
      <c r="H512" s="20">
        <f>G512*D512</f>
        <v>75.515999999999991</v>
      </c>
      <c r="J512" s="43" t="s">
        <v>2046</v>
      </c>
    </row>
    <row r="513" spans="1:10" x14ac:dyDescent="0.25">
      <c r="A513" s="48" t="s">
        <v>3</v>
      </c>
      <c r="B513" s="15" t="s">
        <v>498</v>
      </c>
      <c r="C513" s="3"/>
      <c r="D513" s="3"/>
      <c r="E513" s="20"/>
      <c r="F513" s="3"/>
      <c r="G513" s="3"/>
      <c r="H513" s="20"/>
    </row>
    <row r="514" spans="1:10" x14ac:dyDescent="0.25">
      <c r="A514" s="46" t="s">
        <v>499</v>
      </c>
      <c r="B514" s="14" t="s">
        <v>500</v>
      </c>
      <c r="C514" s="3" t="s">
        <v>46</v>
      </c>
      <c r="D514" s="3">
        <v>2</v>
      </c>
      <c r="E514" s="3" t="s">
        <v>1855</v>
      </c>
      <c r="F514" s="3">
        <v>155.5</v>
      </c>
      <c r="G514" s="20">
        <f t="shared" si="19"/>
        <v>96.41</v>
      </c>
      <c r="H514" s="20">
        <f>G514*D514</f>
        <v>192.82</v>
      </c>
      <c r="J514" s="43" t="s">
        <v>2047</v>
      </c>
    </row>
    <row r="515" spans="1:10" x14ac:dyDescent="0.25">
      <c r="A515" s="48" t="s">
        <v>3</v>
      </c>
      <c r="B515" s="15" t="s">
        <v>501</v>
      </c>
      <c r="C515" s="3"/>
      <c r="D515" s="3"/>
      <c r="E515" s="20"/>
      <c r="F515" s="3"/>
      <c r="G515" s="3"/>
      <c r="H515" s="20"/>
    </row>
    <row r="516" spans="1:10" x14ac:dyDescent="0.25">
      <c r="A516" s="46" t="s">
        <v>502</v>
      </c>
      <c r="B516" s="14" t="s">
        <v>503</v>
      </c>
      <c r="C516" s="3" t="s">
        <v>47</v>
      </c>
      <c r="D516" s="3">
        <v>2</v>
      </c>
      <c r="E516" s="3" t="s">
        <v>1855</v>
      </c>
      <c r="F516" s="3">
        <v>49.3</v>
      </c>
      <c r="G516" s="20">
        <f t="shared" si="19"/>
        <v>30.565999999999999</v>
      </c>
      <c r="H516" s="20">
        <f>G516*D516</f>
        <v>61.131999999999998</v>
      </c>
      <c r="J516" s="43" t="s">
        <v>2048</v>
      </c>
    </row>
    <row r="517" spans="1:10" x14ac:dyDescent="0.25">
      <c r="A517" s="48" t="s">
        <v>3</v>
      </c>
      <c r="B517" s="15" t="s">
        <v>501</v>
      </c>
      <c r="C517" s="3"/>
      <c r="D517" s="3"/>
      <c r="E517" s="20"/>
      <c r="F517" s="3"/>
      <c r="G517" s="3"/>
      <c r="H517" s="20"/>
    </row>
    <row r="518" spans="1:10" x14ac:dyDescent="0.25">
      <c r="A518" s="46" t="s">
        <v>504</v>
      </c>
      <c r="B518" s="14" t="s">
        <v>505</v>
      </c>
      <c r="C518" s="3" t="s">
        <v>47</v>
      </c>
      <c r="D518" s="3">
        <v>2</v>
      </c>
      <c r="E518" s="3" t="s">
        <v>1855</v>
      </c>
      <c r="F518" s="3">
        <v>51.8</v>
      </c>
      <c r="G518" s="20">
        <f t="shared" si="19"/>
        <v>32.116</v>
      </c>
      <c r="H518" s="20">
        <f>G518*D518</f>
        <v>64.231999999999999</v>
      </c>
      <c r="J518" s="43" t="s">
        <v>2049</v>
      </c>
    </row>
    <row r="519" spans="1:10" x14ac:dyDescent="0.25">
      <c r="A519" s="48" t="s">
        <v>3</v>
      </c>
      <c r="B519" s="15" t="s">
        <v>506</v>
      </c>
      <c r="C519" s="3"/>
      <c r="D519" s="3"/>
      <c r="E519" s="20"/>
      <c r="F519" s="3"/>
      <c r="G519" s="3"/>
      <c r="H519" s="20"/>
    </row>
    <row r="520" spans="1:10" x14ac:dyDescent="0.25">
      <c r="A520" s="46" t="s">
        <v>507</v>
      </c>
      <c r="B520" s="14" t="s">
        <v>508</v>
      </c>
      <c r="C520" s="3" t="s">
        <v>46</v>
      </c>
      <c r="D520" s="3">
        <v>2</v>
      </c>
      <c r="E520" s="3" t="s">
        <v>1855</v>
      </c>
      <c r="F520" s="3">
        <v>161</v>
      </c>
      <c r="G520" s="20">
        <f t="shared" si="19"/>
        <v>99.82</v>
      </c>
      <c r="H520" s="20">
        <f>G520*D520</f>
        <v>199.64</v>
      </c>
      <c r="J520" s="43" t="s">
        <v>508</v>
      </c>
    </row>
    <row r="521" spans="1:10" x14ac:dyDescent="0.25">
      <c r="A521" s="46" t="s">
        <v>509</v>
      </c>
      <c r="B521" s="14" t="s">
        <v>510</v>
      </c>
      <c r="C521" s="3" t="s">
        <v>46</v>
      </c>
      <c r="D521" s="3">
        <v>2</v>
      </c>
      <c r="E521" s="3" t="s">
        <v>1855</v>
      </c>
      <c r="F521" s="3">
        <v>161</v>
      </c>
      <c r="G521" s="20">
        <f t="shared" si="19"/>
        <v>99.82</v>
      </c>
      <c r="H521" s="20">
        <f>G521*D521</f>
        <v>199.64</v>
      </c>
      <c r="J521" s="43" t="s">
        <v>510</v>
      </c>
    </row>
    <row r="522" spans="1:10" x14ac:dyDescent="0.25">
      <c r="A522" s="48" t="s">
        <v>3</v>
      </c>
      <c r="B522" s="15" t="s">
        <v>511</v>
      </c>
      <c r="C522" s="3"/>
      <c r="D522" s="3"/>
      <c r="E522" s="20"/>
      <c r="F522" s="3"/>
      <c r="G522" s="3"/>
      <c r="H522" s="20"/>
    </row>
    <row r="523" spans="1:10" x14ac:dyDescent="0.25">
      <c r="A523" s="46" t="s">
        <v>512</v>
      </c>
      <c r="B523" s="14" t="s">
        <v>513</v>
      </c>
      <c r="C523" s="3" t="s">
        <v>47</v>
      </c>
      <c r="D523" s="3">
        <v>2</v>
      </c>
      <c r="E523" s="3" t="s">
        <v>1855</v>
      </c>
      <c r="F523" s="3">
        <v>32.700000000000003</v>
      </c>
      <c r="G523" s="20">
        <f t="shared" si="19"/>
        <v>20.274000000000001</v>
      </c>
      <c r="H523" s="20">
        <f>G523*D523</f>
        <v>40.548000000000002</v>
      </c>
      <c r="J523" s="43" t="s">
        <v>2050</v>
      </c>
    </row>
    <row r="524" spans="1:10" x14ac:dyDescent="0.25">
      <c r="A524" s="46" t="s">
        <v>514</v>
      </c>
      <c r="B524" s="14" t="s">
        <v>515</v>
      </c>
      <c r="C524" s="3" t="s">
        <v>47</v>
      </c>
      <c r="D524" s="3">
        <v>2</v>
      </c>
      <c r="E524" s="3" t="s">
        <v>1855</v>
      </c>
      <c r="F524" s="3">
        <v>32.700000000000003</v>
      </c>
      <c r="G524" s="20">
        <f t="shared" si="19"/>
        <v>20.274000000000001</v>
      </c>
      <c r="H524" s="20">
        <f>G524*D524</f>
        <v>40.548000000000002</v>
      </c>
      <c r="J524" s="43" t="s">
        <v>2051</v>
      </c>
    </row>
    <row r="525" spans="1:10" x14ac:dyDescent="0.25">
      <c r="A525" s="46" t="s">
        <v>516</v>
      </c>
      <c r="B525" s="14" t="s">
        <v>517</v>
      </c>
      <c r="C525" s="3" t="s">
        <v>47</v>
      </c>
      <c r="D525" s="3">
        <v>2</v>
      </c>
      <c r="E525" s="3" t="s">
        <v>1855</v>
      </c>
      <c r="F525" s="3">
        <v>32.700000000000003</v>
      </c>
      <c r="G525" s="20">
        <f t="shared" ref="G525:G588" si="20">F525-(F525*38%)</f>
        <v>20.274000000000001</v>
      </c>
      <c r="H525" s="20">
        <f>G525*D525</f>
        <v>40.548000000000002</v>
      </c>
      <c r="J525" s="43" t="s">
        <v>2052</v>
      </c>
    </row>
    <row r="526" spans="1:10" x14ac:dyDescent="0.25">
      <c r="A526" s="48" t="s">
        <v>3</v>
      </c>
      <c r="B526" s="15" t="s">
        <v>518</v>
      </c>
      <c r="C526" s="3"/>
      <c r="D526" s="3"/>
      <c r="E526" s="20"/>
      <c r="F526" s="3"/>
      <c r="G526" s="3"/>
      <c r="H526" s="20"/>
    </row>
    <row r="527" spans="1:10" x14ac:dyDescent="0.25">
      <c r="A527" s="46" t="s">
        <v>519</v>
      </c>
      <c r="B527" s="14" t="s">
        <v>520</v>
      </c>
      <c r="C527" s="3" t="s">
        <v>46</v>
      </c>
      <c r="D527" s="3">
        <v>8</v>
      </c>
      <c r="E527" s="3" t="s">
        <v>1855</v>
      </c>
      <c r="F527" s="3">
        <v>59.4</v>
      </c>
      <c r="G527" s="20">
        <f t="shared" si="20"/>
        <v>36.828000000000003</v>
      </c>
      <c r="H527" s="20">
        <f>G527*D527</f>
        <v>294.62400000000002</v>
      </c>
      <c r="J527" s="43" t="s">
        <v>2053</v>
      </c>
    </row>
    <row r="528" spans="1:10" x14ac:dyDescent="0.25">
      <c r="A528" s="46" t="s">
        <v>63</v>
      </c>
      <c r="B528" s="14" t="s">
        <v>64</v>
      </c>
      <c r="C528" s="3" t="s">
        <v>47</v>
      </c>
      <c r="D528" s="3">
        <v>4</v>
      </c>
      <c r="E528" s="3" t="s">
        <v>1855</v>
      </c>
      <c r="F528" s="3">
        <v>86.3</v>
      </c>
      <c r="G528" s="20">
        <f t="shared" si="20"/>
        <v>53.506</v>
      </c>
      <c r="H528" s="20">
        <f>G528*D528</f>
        <v>214.024</v>
      </c>
      <c r="J528" s="43" t="s">
        <v>1889</v>
      </c>
    </row>
    <row r="529" spans="1:10" x14ac:dyDescent="0.25">
      <c r="A529" s="46" t="s">
        <v>521</v>
      </c>
      <c r="B529" s="14" t="s">
        <v>522</v>
      </c>
      <c r="C529" s="3" t="s">
        <v>46</v>
      </c>
      <c r="D529" s="3">
        <v>12</v>
      </c>
      <c r="E529" s="3" t="s">
        <v>1855</v>
      </c>
      <c r="F529" s="3">
        <v>69.8</v>
      </c>
      <c r="G529" s="20">
        <f t="shared" si="20"/>
        <v>43.275999999999996</v>
      </c>
      <c r="H529" s="20">
        <f>G529*D529</f>
        <v>519.3119999999999</v>
      </c>
      <c r="J529" s="43" t="s">
        <v>2054</v>
      </c>
    </row>
    <row r="530" spans="1:10" x14ac:dyDescent="0.25">
      <c r="A530" s="48" t="s">
        <v>3</v>
      </c>
      <c r="B530" s="15" t="s">
        <v>523</v>
      </c>
      <c r="C530" s="3"/>
      <c r="D530" s="3"/>
      <c r="E530" s="20"/>
      <c r="F530" s="3"/>
      <c r="G530" s="3"/>
      <c r="H530" s="20"/>
    </row>
    <row r="531" spans="1:10" x14ac:dyDescent="0.25">
      <c r="A531" s="46" t="s">
        <v>342</v>
      </c>
      <c r="B531" s="14" t="s">
        <v>343</v>
      </c>
      <c r="C531" s="3" t="s">
        <v>46</v>
      </c>
      <c r="D531" s="3">
        <v>4</v>
      </c>
      <c r="E531" s="3" t="s">
        <v>1855</v>
      </c>
      <c r="F531" s="3">
        <v>24.8</v>
      </c>
      <c r="G531" s="20">
        <f t="shared" si="20"/>
        <v>15.375999999999999</v>
      </c>
      <c r="H531" s="20">
        <f>G531*D531</f>
        <v>61.503999999999998</v>
      </c>
      <c r="J531" s="43" t="s">
        <v>2001</v>
      </c>
    </row>
    <row r="532" spans="1:10" x14ac:dyDescent="0.25">
      <c r="A532" s="48" t="s">
        <v>3</v>
      </c>
      <c r="B532" s="15" t="s">
        <v>524</v>
      </c>
      <c r="C532" s="3"/>
      <c r="D532" s="3"/>
      <c r="E532" s="20"/>
      <c r="F532" s="3"/>
      <c r="G532" s="3"/>
      <c r="H532" s="20"/>
    </row>
    <row r="533" spans="1:10" x14ac:dyDescent="0.25">
      <c r="A533" s="46" t="s">
        <v>525</v>
      </c>
      <c r="B533" s="14" t="s">
        <v>526</v>
      </c>
      <c r="C533" s="3" t="s">
        <v>46</v>
      </c>
      <c r="D533" s="3">
        <v>4</v>
      </c>
      <c r="E533" s="3" t="s">
        <v>1855</v>
      </c>
      <c r="F533" s="3">
        <v>59</v>
      </c>
      <c r="G533" s="20">
        <f t="shared" si="20"/>
        <v>36.58</v>
      </c>
      <c r="H533" s="20">
        <f>G533*D533</f>
        <v>146.32</v>
      </c>
      <c r="J533" s="43" t="s">
        <v>2055</v>
      </c>
    </row>
    <row r="534" spans="1:10" x14ac:dyDescent="0.25">
      <c r="A534" s="48" t="s">
        <v>3</v>
      </c>
      <c r="B534" s="15" t="s">
        <v>527</v>
      </c>
      <c r="C534" s="3"/>
      <c r="D534" s="3"/>
      <c r="E534" s="20"/>
      <c r="F534" s="3"/>
      <c r="G534" s="3"/>
      <c r="H534" s="20"/>
    </row>
    <row r="535" spans="1:10" x14ac:dyDescent="0.25">
      <c r="A535" s="46" t="s">
        <v>528</v>
      </c>
      <c r="B535" s="14" t="s">
        <v>529</v>
      </c>
      <c r="C535" s="3" t="s">
        <v>46</v>
      </c>
      <c r="D535" s="3">
        <v>12</v>
      </c>
      <c r="E535" s="3" t="s">
        <v>1855</v>
      </c>
      <c r="F535" s="3">
        <v>22.7</v>
      </c>
      <c r="G535" s="20">
        <f t="shared" si="20"/>
        <v>14.074</v>
      </c>
      <c r="H535" s="20">
        <f>G535*D535</f>
        <v>168.88800000000001</v>
      </c>
      <c r="J535" s="43" t="s">
        <v>2056</v>
      </c>
    </row>
    <row r="536" spans="1:10" x14ac:dyDescent="0.25">
      <c r="A536" s="48" t="s">
        <v>3</v>
      </c>
      <c r="B536" s="15" t="s">
        <v>530</v>
      </c>
      <c r="C536" s="3"/>
      <c r="D536" s="3"/>
      <c r="E536" s="20"/>
      <c r="F536" s="3"/>
      <c r="G536" s="3"/>
      <c r="H536" s="20"/>
    </row>
    <row r="537" spans="1:10" x14ac:dyDescent="0.25">
      <c r="A537" s="46" t="s">
        <v>531</v>
      </c>
      <c r="B537" s="14" t="s">
        <v>532</v>
      </c>
      <c r="C537" s="3" t="s">
        <v>46</v>
      </c>
      <c r="D537" s="3">
        <v>12</v>
      </c>
      <c r="E537" s="3" t="s">
        <v>1855</v>
      </c>
      <c r="F537" s="3">
        <v>51.6</v>
      </c>
      <c r="G537" s="20">
        <f t="shared" si="20"/>
        <v>31.992000000000001</v>
      </c>
      <c r="H537" s="20">
        <f>G537*D537</f>
        <v>383.904</v>
      </c>
      <c r="J537" s="43" t="s">
        <v>2057</v>
      </c>
    </row>
    <row r="538" spans="1:10" x14ac:dyDescent="0.25">
      <c r="A538" s="48" t="s">
        <v>3</v>
      </c>
      <c r="B538" s="15" t="s">
        <v>533</v>
      </c>
      <c r="C538" s="3"/>
      <c r="D538" s="3"/>
      <c r="E538" s="20"/>
      <c r="F538" s="3"/>
      <c r="G538" s="3"/>
      <c r="H538" s="20"/>
    </row>
    <row r="539" spans="1:10" x14ac:dyDescent="0.25">
      <c r="A539" s="46" t="s">
        <v>534</v>
      </c>
      <c r="B539" s="14" t="s">
        <v>535</v>
      </c>
      <c r="C539" s="3" t="s">
        <v>46</v>
      </c>
      <c r="D539" s="3">
        <v>2</v>
      </c>
      <c r="E539" s="3" t="s">
        <v>1855</v>
      </c>
      <c r="F539" s="3">
        <v>221.5</v>
      </c>
      <c r="G539" s="20">
        <f t="shared" si="20"/>
        <v>137.32999999999998</v>
      </c>
      <c r="H539" s="20">
        <f>G539*D539</f>
        <v>274.65999999999997</v>
      </c>
      <c r="J539" s="43" t="s">
        <v>535</v>
      </c>
    </row>
    <row r="540" spans="1:10" x14ac:dyDescent="0.25">
      <c r="A540" s="48" t="s">
        <v>3</v>
      </c>
      <c r="B540" s="15" t="s">
        <v>536</v>
      </c>
      <c r="C540" s="3"/>
      <c r="D540" s="3"/>
      <c r="E540" s="20"/>
      <c r="F540" s="3"/>
      <c r="G540" s="3"/>
      <c r="H540" s="20"/>
    </row>
    <row r="541" spans="1:10" x14ac:dyDescent="0.25">
      <c r="A541" s="46" t="s">
        <v>89</v>
      </c>
      <c r="B541" s="14" t="s">
        <v>90</v>
      </c>
      <c r="C541" s="3" t="s">
        <v>46</v>
      </c>
      <c r="D541" s="3">
        <v>4</v>
      </c>
      <c r="E541" s="3" t="s">
        <v>1855</v>
      </c>
      <c r="F541" s="3">
        <v>39.4</v>
      </c>
      <c r="G541" s="20">
        <f t="shared" si="20"/>
        <v>24.427999999999997</v>
      </c>
      <c r="H541" s="20">
        <f>G541*D541</f>
        <v>97.711999999999989</v>
      </c>
      <c r="J541" s="43" t="s">
        <v>90</v>
      </c>
    </row>
    <row r="542" spans="1:10" x14ac:dyDescent="0.25">
      <c r="A542" s="46" t="s">
        <v>91</v>
      </c>
      <c r="B542" s="14" t="s">
        <v>92</v>
      </c>
      <c r="C542" s="3" t="s">
        <v>46</v>
      </c>
      <c r="D542" s="3">
        <v>4</v>
      </c>
      <c r="E542" s="3" t="s">
        <v>1855</v>
      </c>
      <c r="F542" s="3">
        <v>57.1</v>
      </c>
      <c r="G542" s="20">
        <f t="shared" si="20"/>
        <v>35.402000000000001</v>
      </c>
      <c r="H542" s="20">
        <f>G542*D542</f>
        <v>141.608</v>
      </c>
      <c r="J542" s="43" t="s">
        <v>92</v>
      </c>
    </row>
    <row r="543" spans="1:10" x14ac:dyDescent="0.25">
      <c r="A543" s="48" t="s">
        <v>3</v>
      </c>
      <c r="B543" s="15" t="s">
        <v>537</v>
      </c>
      <c r="C543" s="3"/>
      <c r="D543" s="3"/>
      <c r="E543" s="20"/>
      <c r="F543" s="3"/>
      <c r="G543" s="3"/>
      <c r="H543" s="20"/>
    </row>
    <row r="544" spans="1:10" x14ac:dyDescent="0.25">
      <c r="A544" s="46" t="s">
        <v>408</v>
      </c>
      <c r="B544" s="14" t="s">
        <v>409</v>
      </c>
      <c r="C544" s="3" t="s">
        <v>46</v>
      </c>
      <c r="D544" s="3">
        <v>2</v>
      </c>
      <c r="E544" s="3" t="s">
        <v>1855</v>
      </c>
      <c r="F544" s="3">
        <v>359</v>
      </c>
      <c r="G544" s="20">
        <f t="shared" si="20"/>
        <v>222.58</v>
      </c>
      <c r="H544" s="20">
        <f>G544*D544</f>
        <v>445.16</v>
      </c>
      <c r="J544" s="43" t="s">
        <v>2021</v>
      </c>
    </row>
    <row r="545" spans="1:10" x14ac:dyDescent="0.25">
      <c r="A545" s="46" t="s">
        <v>406</v>
      </c>
      <c r="B545" s="14" t="s">
        <v>407</v>
      </c>
      <c r="C545" s="3" t="s">
        <v>46</v>
      </c>
      <c r="D545" s="3">
        <v>2</v>
      </c>
      <c r="E545" s="3" t="s">
        <v>1855</v>
      </c>
      <c r="F545" s="3">
        <v>294.5</v>
      </c>
      <c r="G545" s="20">
        <f t="shared" si="20"/>
        <v>182.59</v>
      </c>
      <c r="H545" s="20">
        <f>G545*D545</f>
        <v>365.18</v>
      </c>
      <c r="J545" s="43" t="s">
        <v>2020</v>
      </c>
    </row>
    <row r="546" spans="1:10" x14ac:dyDescent="0.25">
      <c r="A546" s="48" t="s">
        <v>3</v>
      </c>
      <c r="B546" s="15" t="s">
        <v>538</v>
      </c>
      <c r="C546" s="3"/>
      <c r="D546" s="3"/>
      <c r="E546" s="20"/>
      <c r="F546" s="3"/>
      <c r="G546" s="3"/>
      <c r="H546" s="20"/>
    </row>
    <row r="547" spans="1:10" x14ac:dyDescent="0.25">
      <c r="A547" s="48" t="s">
        <v>99</v>
      </c>
      <c r="B547" s="14" t="s">
        <v>100</v>
      </c>
      <c r="C547" s="3" t="s">
        <v>46</v>
      </c>
      <c r="D547" s="3">
        <v>4</v>
      </c>
      <c r="E547" s="3" t="s">
        <v>1855</v>
      </c>
      <c r="F547" s="3">
        <v>11.9</v>
      </c>
      <c r="G547" s="20">
        <f t="shared" si="20"/>
        <v>7.3780000000000001</v>
      </c>
      <c r="H547" s="20">
        <f>G547*D547</f>
        <v>29.512</v>
      </c>
      <c r="J547" s="43" t="e">
        <v>#N/A</v>
      </c>
    </row>
    <row r="548" spans="1:10" x14ac:dyDescent="0.25">
      <c r="A548" s="48" t="s">
        <v>3</v>
      </c>
      <c r="B548" s="15" t="s">
        <v>539</v>
      </c>
      <c r="C548" s="3"/>
      <c r="D548" s="3"/>
      <c r="E548" s="20"/>
      <c r="F548" s="3"/>
      <c r="G548" s="3"/>
      <c r="H548" s="20"/>
    </row>
    <row r="549" spans="1:10" x14ac:dyDescent="0.25">
      <c r="A549" s="46" t="s">
        <v>97</v>
      </c>
      <c r="B549" s="14" t="s">
        <v>98</v>
      </c>
      <c r="C549" s="3" t="s">
        <v>46</v>
      </c>
      <c r="D549" s="3">
        <v>4</v>
      </c>
      <c r="E549" s="3" t="s">
        <v>1855</v>
      </c>
      <c r="F549" s="3">
        <v>37.1</v>
      </c>
      <c r="G549" s="20">
        <f t="shared" si="20"/>
        <v>23.002000000000002</v>
      </c>
      <c r="H549" s="20">
        <f>G549*D549</f>
        <v>92.00800000000001</v>
      </c>
      <c r="J549" s="43" t="s">
        <v>98</v>
      </c>
    </row>
    <row r="550" spans="1:10" x14ac:dyDescent="0.25">
      <c r="A550" s="46" t="s">
        <v>540</v>
      </c>
      <c r="B550" s="14" t="s">
        <v>541</v>
      </c>
      <c r="C550" s="3" t="s">
        <v>46</v>
      </c>
      <c r="D550" s="3">
        <v>4</v>
      </c>
      <c r="E550" s="3" t="s">
        <v>1855</v>
      </c>
      <c r="F550" s="3">
        <v>33</v>
      </c>
      <c r="G550" s="20">
        <f t="shared" si="20"/>
        <v>20.46</v>
      </c>
      <c r="H550" s="20">
        <f>G550*D550</f>
        <v>81.84</v>
      </c>
      <c r="J550" s="43" t="s">
        <v>541</v>
      </c>
    </row>
    <row r="551" spans="1:10" x14ac:dyDescent="0.25">
      <c r="A551" s="48" t="s">
        <v>3</v>
      </c>
      <c r="B551" s="15" t="s">
        <v>542</v>
      </c>
      <c r="C551" s="3"/>
      <c r="D551" s="3"/>
      <c r="E551" s="20"/>
      <c r="F551" s="3"/>
      <c r="G551" s="3"/>
      <c r="H551" s="20"/>
    </row>
    <row r="552" spans="1:10" x14ac:dyDescent="0.25">
      <c r="A552" s="46" t="s">
        <v>543</v>
      </c>
      <c r="B552" s="14" t="s">
        <v>544</v>
      </c>
      <c r="C552" s="3" t="s">
        <v>47</v>
      </c>
      <c r="D552" s="3">
        <v>8</v>
      </c>
      <c r="E552" s="3" t="s">
        <v>1855</v>
      </c>
      <c r="F552" s="3">
        <v>39.799999999999997</v>
      </c>
      <c r="G552" s="20">
        <f t="shared" si="20"/>
        <v>24.675999999999998</v>
      </c>
      <c r="H552" s="20">
        <f>G552*D552</f>
        <v>197.40799999999999</v>
      </c>
      <c r="J552" s="43" t="s">
        <v>2058</v>
      </c>
    </row>
    <row r="553" spans="1:10" x14ac:dyDescent="0.25">
      <c r="A553" s="48" t="s">
        <v>3</v>
      </c>
      <c r="B553" s="15" t="s">
        <v>545</v>
      </c>
      <c r="C553" s="3"/>
      <c r="D553" s="3"/>
      <c r="E553" s="20"/>
      <c r="F553" s="3"/>
      <c r="G553" s="3"/>
      <c r="H553" s="20"/>
    </row>
    <row r="554" spans="1:10" x14ac:dyDescent="0.25">
      <c r="A554" s="46" t="s">
        <v>546</v>
      </c>
      <c r="B554" s="14" t="s">
        <v>547</v>
      </c>
      <c r="C554" s="3" t="s">
        <v>47</v>
      </c>
      <c r="D554" s="3">
        <v>2</v>
      </c>
      <c r="E554" s="3" t="s">
        <v>1855</v>
      </c>
      <c r="F554" s="3">
        <v>59.4</v>
      </c>
      <c r="G554" s="20">
        <f t="shared" si="20"/>
        <v>36.828000000000003</v>
      </c>
      <c r="H554" s="20">
        <f>G554*D554</f>
        <v>73.656000000000006</v>
      </c>
      <c r="J554" s="43" t="s">
        <v>2059</v>
      </c>
    </row>
    <row r="555" spans="1:10" x14ac:dyDescent="0.25">
      <c r="A555" s="46" t="s">
        <v>548</v>
      </c>
      <c r="B555" s="14" t="s">
        <v>549</v>
      </c>
      <c r="C555" s="3" t="s">
        <v>46</v>
      </c>
      <c r="D555" s="3">
        <v>2</v>
      </c>
      <c r="E555" s="3" t="s">
        <v>1855</v>
      </c>
      <c r="F555" s="3">
        <v>97.4</v>
      </c>
      <c r="G555" s="20">
        <f t="shared" si="20"/>
        <v>60.388000000000005</v>
      </c>
      <c r="H555" s="20">
        <f>G555*D555</f>
        <v>120.77600000000001</v>
      </c>
      <c r="J555" s="43" t="s">
        <v>2060</v>
      </c>
    </row>
    <row r="556" spans="1:10" x14ac:dyDescent="0.25">
      <c r="A556" s="48" t="s">
        <v>3</v>
      </c>
      <c r="B556" s="15" t="s">
        <v>550</v>
      </c>
      <c r="C556" s="3"/>
      <c r="D556" s="3"/>
      <c r="E556" s="20"/>
      <c r="F556" s="3"/>
      <c r="G556" s="3"/>
      <c r="H556" s="20"/>
    </row>
    <row r="557" spans="1:10" x14ac:dyDescent="0.25">
      <c r="A557" s="46" t="s">
        <v>144</v>
      </c>
      <c r="B557" s="14" t="s">
        <v>145</v>
      </c>
      <c r="C557" s="3" t="s">
        <v>46</v>
      </c>
      <c r="D557" s="3">
        <v>8</v>
      </c>
      <c r="E557" s="3" t="s">
        <v>1855</v>
      </c>
      <c r="F557" s="3">
        <v>75.5</v>
      </c>
      <c r="G557" s="20">
        <f t="shared" si="20"/>
        <v>46.81</v>
      </c>
      <c r="H557" s="20">
        <f>G557*D557</f>
        <v>374.48</v>
      </c>
      <c r="J557" s="43" t="s">
        <v>1920</v>
      </c>
    </row>
    <row r="558" spans="1:10" x14ac:dyDescent="0.25">
      <c r="A558" s="48" t="s">
        <v>3</v>
      </c>
      <c r="B558" s="15" t="s">
        <v>551</v>
      </c>
      <c r="C558" s="3"/>
      <c r="D558" s="3"/>
      <c r="E558" s="20"/>
      <c r="F558" s="3"/>
      <c r="G558" s="3"/>
      <c r="H558" s="20"/>
    </row>
    <row r="559" spans="1:10" x14ac:dyDescent="0.25">
      <c r="A559" s="46" t="s">
        <v>552</v>
      </c>
      <c r="B559" s="14" t="s">
        <v>553</v>
      </c>
      <c r="C559" s="3" t="s">
        <v>47</v>
      </c>
      <c r="D559" s="3">
        <v>2</v>
      </c>
      <c r="E559" s="3" t="s">
        <v>1855</v>
      </c>
      <c r="F559" s="3">
        <v>21.3</v>
      </c>
      <c r="G559" s="20">
        <f t="shared" si="20"/>
        <v>13.206</v>
      </c>
      <c r="H559" s="20">
        <f>G559*D559</f>
        <v>26.411999999999999</v>
      </c>
      <c r="J559" s="43" t="s">
        <v>2061</v>
      </c>
    </row>
    <row r="560" spans="1:10" x14ac:dyDescent="0.25">
      <c r="A560" s="46" t="s">
        <v>554</v>
      </c>
      <c r="B560" s="14" t="s">
        <v>555</v>
      </c>
      <c r="C560" s="3" t="s">
        <v>47</v>
      </c>
      <c r="D560" s="3">
        <v>2</v>
      </c>
      <c r="E560" s="3" t="s">
        <v>1855</v>
      </c>
      <c r="F560" s="3">
        <v>21.3</v>
      </c>
      <c r="G560" s="20">
        <f t="shared" si="20"/>
        <v>13.206</v>
      </c>
      <c r="H560" s="20">
        <f>G560*D560</f>
        <v>26.411999999999999</v>
      </c>
      <c r="J560" s="43" t="s">
        <v>2062</v>
      </c>
    </row>
    <row r="561" spans="1:10" x14ac:dyDescent="0.25">
      <c r="A561" s="46" t="s">
        <v>556</v>
      </c>
      <c r="B561" s="14" t="s">
        <v>557</v>
      </c>
      <c r="C561" s="3" t="s">
        <v>47</v>
      </c>
      <c r="D561" s="3">
        <v>2</v>
      </c>
      <c r="E561" s="3" t="s">
        <v>1855</v>
      </c>
      <c r="F561" s="3">
        <v>21.3</v>
      </c>
      <c r="G561" s="20">
        <f t="shared" si="20"/>
        <v>13.206</v>
      </c>
      <c r="H561" s="20">
        <f>G561*D561</f>
        <v>26.411999999999999</v>
      </c>
      <c r="J561" s="43" t="s">
        <v>2063</v>
      </c>
    </row>
    <row r="562" spans="1:10" x14ac:dyDescent="0.25">
      <c r="A562" s="48" t="s">
        <v>3</v>
      </c>
      <c r="B562" s="15" t="s">
        <v>558</v>
      </c>
      <c r="C562" s="3"/>
      <c r="D562" s="3"/>
      <c r="E562" s="20"/>
      <c r="F562" s="3"/>
      <c r="G562" s="3"/>
      <c r="H562" s="20"/>
    </row>
    <row r="563" spans="1:10" x14ac:dyDescent="0.25">
      <c r="A563" s="46" t="s">
        <v>559</v>
      </c>
      <c r="B563" s="14" t="s">
        <v>560</v>
      </c>
      <c r="C563" s="3" t="s">
        <v>46</v>
      </c>
      <c r="D563" s="3">
        <v>4</v>
      </c>
      <c r="E563" s="3" t="s">
        <v>1855</v>
      </c>
      <c r="F563" s="3">
        <v>19.899999999999999</v>
      </c>
      <c r="G563" s="20">
        <f t="shared" si="20"/>
        <v>12.337999999999999</v>
      </c>
      <c r="H563" s="20">
        <f>G563*D563</f>
        <v>49.351999999999997</v>
      </c>
      <c r="J563" s="43" t="s">
        <v>2064</v>
      </c>
    </row>
    <row r="564" spans="1:10" x14ac:dyDescent="0.25">
      <c r="A564" s="48" t="s">
        <v>3</v>
      </c>
      <c r="B564" s="15" t="s">
        <v>561</v>
      </c>
      <c r="C564" s="3"/>
      <c r="D564" s="3"/>
      <c r="E564" s="20"/>
      <c r="F564" s="3"/>
      <c r="G564" s="3"/>
      <c r="H564" s="20"/>
    </row>
    <row r="565" spans="1:10" x14ac:dyDescent="0.25">
      <c r="A565" s="46" t="s">
        <v>562</v>
      </c>
      <c r="B565" s="14" t="s">
        <v>563</v>
      </c>
      <c r="C565" s="3" t="s">
        <v>46</v>
      </c>
      <c r="D565" s="3">
        <v>4</v>
      </c>
      <c r="E565" s="3" t="s">
        <v>1855</v>
      </c>
      <c r="F565" s="3">
        <v>42.4</v>
      </c>
      <c r="G565" s="20">
        <f t="shared" si="20"/>
        <v>26.288</v>
      </c>
      <c r="H565" s="20">
        <f>G565*D565</f>
        <v>105.152</v>
      </c>
      <c r="J565" s="43" t="s">
        <v>2065</v>
      </c>
    </row>
    <row r="566" spans="1:10" x14ac:dyDescent="0.25">
      <c r="A566" s="48" t="s">
        <v>3</v>
      </c>
      <c r="B566" s="15" t="s">
        <v>564</v>
      </c>
      <c r="C566" s="3"/>
      <c r="D566" s="3"/>
      <c r="E566" s="20"/>
      <c r="F566" s="3"/>
      <c r="G566" s="3"/>
      <c r="H566" s="20"/>
    </row>
    <row r="567" spans="1:10" x14ac:dyDescent="0.25">
      <c r="A567" s="46" t="s">
        <v>565</v>
      </c>
      <c r="B567" s="14" t="s">
        <v>566</v>
      </c>
      <c r="C567" s="3" t="s">
        <v>46</v>
      </c>
      <c r="D567" s="3">
        <v>2</v>
      </c>
      <c r="E567" s="3" t="s">
        <v>1855</v>
      </c>
      <c r="F567" s="3">
        <v>63.3</v>
      </c>
      <c r="G567" s="20">
        <f t="shared" si="20"/>
        <v>39.245999999999995</v>
      </c>
      <c r="H567" s="20">
        <f t="shared" ref="H567:H572" si="21">G567*D567</f>
        <v>78.49199999999999</v>
      </c>
      <c r="J567" s="43" t="s">
        <v>2066</v>
      </c>
    </row>
    <row r="568" spans="1:10" x14ac:dyDescent="0.25">
      <c r="A568" s="46" t="s">
        <v>567</v>
      </c>
      <c r="B568" s="14" t="s">
        <v>568</v>
      </c>
      <c r="C568" s="3" t="s">
        <v>46</v>
      </c>
      <c r="D568" s="3">
        <v>2</v>
      </c>
      <c r="E568" s="3" t="s">
        <v>1855</v>
      </c>
      <c r="F568" s="3">
        <v>56.9</v>
      </c>
      <c r="G568" s="20">
        <f t="shared" si="20"/>
        <v>35.277999999999999</v>
      </c>
      <c r="H568" s="20">
        <f t="shared" si="21"/>
        <v>70.555999999999997</v>
      </c>
      <c r="J568" s="43" t="s">
        <v>2067</v>
      </c>
    </row>
    <row r="569" spans="1:10" x14ac:dyDescent="0.25">
      <c r="A569" s="46" t="s">
        <v>569</v>
      </c>
      <c r="B569" s="14" t="s">
        <v>570</v>
      </c>
      <c r="C569" s="3" t="s">
        <v>46</v>
      </c>
      <c r="D569" s="3">
        <v>2</v>
      </c>
      <c r="E569" s="3" t="s">
        <v>1855</v>
      </c>
      <c r="F569" s="3">
        <v>1090</v>
      </c>
      <c r="G569" s="20">
        <f t="shared" si="20"/>
        <v>675.8</v>
      </c>
      <c r="H569" s="20">
        <f t="shared" si="21"/>
        <v>1351.6</v>
      </c>
      <c r="J569" s="43" t="s">
        <v>570</v>
      </c>
    </row>
    <row r="570" spans="1:10" x14ac:dyDescent="0.25">
      <c r="A570" s="48" t="s">
        <v>571</v>
      </c>
      <c r="B570" s="16" t="s">
        <v>572</v>
      </c>
      <c r="C570" s="3" t="s">
        <v>46</v>
      </c>
      <c r="D570" s="3">
        <v>100</v>
      </c>
      <c r="E570" s="3" t="s">
        <v>1856</v>
      </c>
      <c r="F570" s="3">
        <v>10.3</v>
      </c>
      <c r="G570" s="20">
        <f t="shared" si="20"/>
        <v>6.386000000000001</v>
      </c>
      <c r="H570" s="20">
        <f t="shared" si="21"/>
        <v>638.60000000000014</v>
      </c>
      <c r="J570" s="43" t="e">
        <v>#N/A</v>
      </c>
    </row>
    <row r="571" spans="1:10" x14ac:dyDescent="0.25">
      <c r="A571" s="46" t="s">
        <v>1803</v>
      </c>
      <c r="B571" s="16" t="s">
        <v>1805</v>
      </c>
      <c r="C571" s="3" t="s">
        <v>46</v>
      </c>
      <c r="D571" s="3">
        <v>2</v>
      </c>
      <c r="E571" s="3" t="s">
        <v>1856</v>
      </c>
      <c r="F571" s="3">
        <v>639</v>
      </c>
      <c r="G571" s="20">
        <f t="shared" si="20"/>
        <v>396.18</v>
      </c>
      <c r="H571" s="20">
        <f t="shared" si="21"/>
        <v>792.36</v>
      </c>
      <c r="J571" s="43" t="s">
        <v>1939</v>
      </c>
    </row>
    <row r="572" spans="1:10" x14ac:dyDescent="0.25">
      <c r="A572" s="46" t="s">
        <v>1807</v>
      </c>
      <c r="B572" s="16" t="s">
        <v>1808</v>
      </c>
      <c r="C572" s="3" t="s">
        <v>46</v>
      </c>
      <c r="D572" s="3">
        <v>2</v>
      </c>
      <c r="E572" s="3" t="s">
        <v>1855</v>
      </c>
      <c r="F572" s="3">
        <v>136.5</v>
      </c>
      <c r="G572" s="20">
        <f t="shared" si="20"/>
        <v>84.63</v>
      </c>
      <c r="H572" s="20">
        <f t="shared" si="21"/>
        <v>169.26</v>
      </c>
      <c r="J572" s="43" t="s">
        <v>2023</v>
      </c>
    </row>
    <row r="573" spans="1:10" s="5" customFormat="1" x14ac:dyDescent="0.25">
      <c r="A573" s="51"/>
      <c r="B573" s="6" t="s">
        <v>1858</v>
      </c>
      <c r="C573" s="4"/>
      <c r="D573" s="4"/>
      <c r="E573" s="4"/>
      <c r="F573" s="4"/>
      <c r="G573" s="4"/>
      <c r="J573" s="43"/>
    </row>
    <row r="574" spans="1:10" x14ac:dyDescent="0.25">
      <c r="A574" s="55" t="s">
        <v>573</v>
      </c>
      <c r="B574" s="15" t="s">
        <v>574</v>
      </c>
      <c r="C574" s="3"/>
      <c r="D574" s="3"/>
      <c r="E574" s="20"/>
      <c r="F574" s="3"/>
      <c r="G574" s="3"/>
      <c r="H574" s="20"/>
    </row>
    <row r="575" spans="1:10" x14ac:dyDescent="0.25">
      <c r="A575" s="59" t="s">
        <v>534</v>
      </c>
      <c r="B575" s="14" t="s">
        <v>535</v>
      </c>
      <c r="C575" s="3" t="s">
        <v>46</v>
      </c>
      <c r="D575" s="3">
        <v>4</v>
      </c>
      <c r="E575" s="3" t="s">
        <v>1855</v>
      </c>
      <c r="F575" s="3">
        <v>221.5</v>
      </c>
      <c r="G575" s="20">
        <f t="shared" si="20"/>
        <v>137.32999999999998</v>
      </c>
      <c r="H575" s="20">
        <f>G575*D575</f>
        <v>549.31999999999994</v>
      </c>
      <c r="J575" s="43" t="s">
        <v>535</v>
      </c>
    </row>
    <row r="576" spans="1:10" x14ac:dyDescent="0.25">
      <c r="A576" s="55" t="s">
        <v>573</v>
      </c>
      <c r="B576" s="15" t="s">
        <v>575</v>
      </c>
      <c r="C576" s="3"/>
      <c r="D576" s="3"/>
      <c r="E576" s="20"/>
      <c r="F576" s="3"/>
      <c r="G576" s="3"/>
      <c r="H576" s="20"/>
    </row>
    <row r="577" spans="1:10" x14ac:dyDescent="0.25">
      <c r="A577" s="59" t="s">
        <v>576</v>
      </c>
      <c r="B577" s="14" t="s">
        <v>577</v>
      </c>
      <c r="C577" s="3" t="s">
        <v>46</v>
      </c>
      <c r="D577" s="3">
        <v>2</v>
      </c>
      <c r="E577" s="3" t="s">
        <v>1855</v>
      </c>
      <c r="F577" s="3">
        <v>25.6</v>
      </c>
      <c r="G577" s="20">
        <f t="shared" si="20"/>
        <v>15.872</v>
      </c>
      <c r="H577" s="20">
        <f>G577*D577</f>
        <v>31.744</v>
      </c>
      <c r="J577" s="43" t="s">
        <v>2068</v>
      </c>
    </row>
    <row r="578" spans="1:10" x14ac:dyDescent="0.25">
      <c r="A578" s="59" t="s">
        <v>578</v>
      </c>
      <c r="B578" s="14" t="s">
        <v>579</v>
      </c>
      <c r="C578" s="3" t="s">
        <v>46</v>
      </c>
      <c r="D578" s="3">
        <v>2</v>
      </c>
      <c r="E578" s="3" t="s">
        <v>1855</v>
      </c>
      <c r="F578" s="3">
        <v>25.6</v>
      </c>
      <c r="G578" s="20">
        <f t="shared" si="20"/>
        <v>15.872</v>
      </c>
      <c r="H578" s="20">
        <f>G578*D578</f>
        <v>31.744</v>
      </c>
      <c r="J578" s="43" t="s">
        <v>2069</v>
      </c>
    </row>
    <row r="579" spans="1:10" x14ac:dyDescent="0.25">
      <c r="A579" s="55" t="s">
        <v>573</v>
      </c>
      <c r="B579" s="15" t="s">
        <v>580</v>
      </c>
      <c r="C579" s="3"/>
      <c r="D579" s="3"/>
      <c r="E579" s="20"/>
      <c r="F579" s="3"/>
      <c r="G579" s="3"/>
      <c r="H579" s="20"/>
    </row>
    <row r="580" spans="1:10" x14ac:dyDescent="0.25">
      <c r="A580" s="59" t="s">
        <v>581</v>
      </c>
      <c r="B580" s="14" t="s">
        <v>582</v>
      </c>
      <c r="C580" s="3" t="s">
        <v>711</v>
      </c>
      <c r="D580" s="3">
        <v>2</v>
      </c>
      <c r="E580" s="3" t="s">
        <v>1855</v>
      </c>
      <c r="F580" s="3">
        <v>48.2</v>
      </c>
      <c r="G580" s="20">
        <f t="shared" si="20"/>
        <v>29.884</v>
      </c>
      <c r="H580" s="20">
        <f>G580*D580</f>
        <v>59.768000000000001</v>
      </c>
      <c r="J580" s="43" t="s">
        <v>2070</v>
      </c>
    </row>
    <row r="581" spans="1:10" x14ac:dyDescent="0.25">
      <c r="A581" s="59" t="s">
        <v>583</v>
      </c>
      <c r="B581" s="14" t="s">
        <v>584</v>
      </c>
      <c r="C581" s="3" t="s">
        <v>711</v>
      </c>
      <c r="D581" s="3">
        <v>2</v>
      </c>
      <c r="E581" s="3" t="s">
        <v>1855</v>
      </c>
      <c r="F581" s="3">
        <v>48.2</v>
      </c>
      <c r="G581" s="20">
        <f t="shared" si="20"/>
        <v>29.884</v>
      </c>
      <c r="H581" s="20">
        <f>G581*D581</f>
        <v>59.768000000000001</v>
      </c>
      <c r="J581" s="43" t="s">
        <v>798</v>
      </c>
    </row>
    <row r="582" spans="1:10" x14ac:dyDescent="0.25">
      <c r="A582" s="59" t="s">
        <v>585</v>
      </c>
      <c r="B582" s="14" t="s">
        <v>586</v>
      </c>
      <c r="C582" s="3" t="s">
        <v>711</v>
      </c>
      <c r="D582" s="3">
        <v>2</v>
      </c>
      <c r="E582" s="3" t="s">
        <v>1855</v>
      </c>
      <c r="F582" s="3">
        <v>48.2</v>
      </c>
      <c r="G582" s="20">
        <f t="shared" si="20"/>
        <v>29.884</v>
      </c>
      <c r="H582" s="20">
        <f>G582*D582</f>
        <v>59.768000000000001</v>
      </c>
      <c r="J582" s="43" t="s">
        <v>586</v>
      </c>
    </row>
    <row r="583" spans="1:10" x14ac:dyDescent="0.25">
      <c r="A583" s="59" t="s">
        <v>587</v>
      </c>
      <c r="B583" s="14" t="s">
        <v>588</v>
      </c>
      <c r="C583" s="3" t="s">
        <v>711</v>
      </c>
      <c r="D583" s="3">
        <v>2</v>
      </c>
      <c r="E583" s="3" t="s">
        <v>1855</v>
      </c>
      <c r="F583" s="3">
        <v>48.1</v>
      </c>
      <c r="G583" s="20">
        <f t="shared" si="20"/>
        <v>29.821999999999999</v>
      </c>
      <c r="H583" s="20">
        <f>G583*D583</f>
        <v>59.643999999999998</v>
      </c>
      <c r="J583" s="43" t="s">
        <v>2071</v>
      </c>
    </row>
    <row r="584" spans="1:10" x14ac:dyDescent="0.25">
      <c r="A584" s="55" t="s">
        <v>573</v>
      </c>
      <c r="B584" s="15" t="s">
        <v>589</v>
      </c>
      <c r="C584" s="3"/>
      <c r="D584" s="3"/>
      <c r="E584" s="20"/>
      <c r="F584" s="3"/>
      <c r="G584" s="3"/>
      <c r="H584" s="20"/>
    </row>
    <row r="585" spans="1:10" x14ac:dyDescent="0.25">
      <c r="A585" s="59" t="s">
        <v>590</v>
      </c>
      <c r="B585" s="14" t="s">
        <v>591</v>
      </c>
      <c r="C585" s="3" t="s">
        <v>46</v>
      </c>
      <c r="D585" s="3">
        <v>4</v>
      </c>
      <c r="E585" s="3" t="s">
        <v>1855</v>
      </c>
      <c r="F585" s="3">
        <v>28.5</v>
      </c>
      <c r="G585" s="20">
        <f t="shared" si="20"/>
        <v>17.670000000000002</v>
      </c>
      <c r="H585" s="20">
        <f>G585*D585</f>
        <v>70.680000000000007</v>
      </c>
      <c r="J585" s="43" t="s">
        <v>2072</v>
      </c>
    </row>
    <row r="586" spans="1:10" x14ac:dyDescent="0.25">
      <c r="A586" s="59" t="s">
        <v>590</v>
      </c>
      <c r="B586" s="14" t="s">
        <v>591</v>
      </c>
      <c r="C586" s="3" t="s">
        <v>46</v>
      </c>
      <c r="D586" s="3">
        <v>4</v>
      </c>
      <c r="E586" s="3" t="s">
        <v>1855</v>
      </c>
      <c r="F586" s="3">
        <v>28.5</v>
      </c>
      <c r="G586" s="20">
        <f t="shared" si="20"/>
        <v>17.670000000000002</v>
      </c>
      <c r="H586" s="20">
        <f>G586*D586</f>
        <v>70.680000000000007</v>
      </c>
      <c r="J586" s="43" t="s">
        <v>2072</v>
      </c>
    </row>
    <row r="587" spans="1:10" x14ac:dyDescent="0.25">
      <c r="A587" s="55" t="s">
        <v>573</v>
      </c>
      <c r="B587" s="15" t="s">
        <v>592</v>
      </c>
      <c r="C587" s="3"/>
      <c r="D587" s="3"/>
      <c r="E587" s="20"/>
      <c r="F587" s="3"/>
      <c r="G587" s="3"/>
      <c r="H587" s="20"/>
    </row>
    <row r="588" spans="1:10" x14ac:dyDescent="0.25">
      <c r="A588" s="59" t="s">
        <v>593</v>
      </c>
      <c r="B588" s="14" t="s">
        <v>594</v>
      </c>
      <c r="C588" s="3" t="s">
        <v>46</v>
      </c>
      <c r="D588" s="3">
        <v>2</v>
      </c>
      <c r="E588" s="3" t="s">
        <v>1855</v>
      </c>
      <c r="F588" s="3">
        <v>85.3</v>
      </c>
      <c r="G588" s="20">
        <f t="shared" si="20"/>
        <v>52.885999999999996</v>
      </c>
      <c r="H588" s="20">
        <f>G588*D588</f>
        <v>105.77199999999999</v>
      </c>
      <c r="J588" s="43" t="s">
        <v>2073</v>
      </c>
    </row>
    <row r="589" spans="1:10" x14ac:dyDescent="0.25">
      <c r="A589" s="59" t="s">
        <v>595</v>
      </c>
      <c r="B589" s="14" t="s">
        <v>596</v>
      </c>
      <c r="C589" s="3" t="s">
        <v>46</v>
      </c>
      <c r="D589" s="3">
        <v>2</v>
      </c>
      <c r="E589" s="3" t="s">
        <v>1855</v>
      </c>
      <c r="F589" s="3">
        <v>85.3</v>
      </c>
      <c r="G589" s="20">
        <f t="shared" ref="G589:G652" si="22">F589-(F589*38%)</f>
        <v>52.885999999999996</v>
      </c>
      <c r="H589" s="20">
        <f>G589*D589</f>
        <v>105.77199999999999</v>
      </c>
      <c r="J589" s="43" t="s">
        <v>2074</v>
      </c>
    </row>
    <row r="590" spans="1:10" x14ac:dyDescent="0.25">
      <c r="A590" s="55" t="s">
        <v>573</v>
      </c>
      <c r="B590" s="15" t="s">
        <v>597</v>
      </c>
      <c r="C590" s="3"/>
      <c r="D590" s="3"/>
      <c r="E590" s="20"/>
      <c r="F590" s="3"/>
      <c r="G590" s="3"/>
      <c r="H590" s="20"/>
    </row>
    <row r="591" spans="1:10" x14ac:dyDescent="0.25">
      <c r="A591" s="59" t="s">
        <v>598</v>
      </c>
      <c r="B591" s="14" t="s">
        <v>599</v>
      </c>
      <c r="C591" s="3" t="s">
        <v>46</v>
      </c>
      <c r="D591" s="3">
        <v>2</v>
      </c>
      <c r="E591" s="3" t="s">
        <v>1855</v>
      </c>
      <c r="F591" s="3">
        <v>81.5</v>
      </c>
      <c r="G591" s="20">
        <f t="shared" si="22"/>
        <v>50.53</v>
      </c>
      <c r="H591" s="20">
        <f>G591*D591</f>
        <v>101.06</v>
      </c>
      <c r="J591" s="43" t="s">
        <v>599</v>
      </c>
    </row>
    <row r="592" spans="1:10" x14ac:dyDescent="0.25">
      <c r="A592" s="59" t="s">
        <v>600</v>
      </c>
      <c r="B592" s="14" t="s">
        <v>601</v>
      </c>
      <c r="C592" s="3" t="s">
        <v>46</v>
      </c>
      <c r="D592" s="3">
        <v>2</v>
      </c>
      <c r="E592" s="3" t="s">
        <v>1855</v>
      </c>
      <c r="F592" s="3">
        <v>81.5</v>
      </c>
      <c r="G592" s="20">
        <f t="shared" si="22"/>
        <v>50.53</v>
      </c>
      <c r="H592" s="20">
        <f>G592*D592</f>
        <v>101.06</v>
      </c>
      <c r="J592" s="43" t="s">
        <v>2075</v>
      </c>
    </row>
    <row r="593" spans="1:10" x14ac:dyDescent="0.25">
      <c r="A593" s="55" t="s">
        <v>573</v>
      </c>
      <c r="B593" s="15" t="s">
        <v>602</v>
      </c>
      <c r="C593" s="3"/>
      <c r="D593" s="3"/>
      <c r="E593" s="20"/>
      <c r="F593" s="3"/>
      <c r="G593" s="3"/>
      <c r="H593" s="20"/>
    </row>
    <row r="594" spans="1:10" x14ac:dyDescent="0.25">
      <c r="A594" s="59" t="s">
        <v>603</v>
      </c>
      <c r="B594" s="14" t="s">
        <v>604</v>
      </c>
      <c r="C594" s="3" t="s">
        <v>46</v>
      </c>
      <c r="D594" s="3">
        <v>2</v>
      </c>
      <c r="E594" s="3" t="s">
        <v>1855</v>
      </c>
      <c r="F594" s="3">
        <v>88.1</v>
      </c>
      <c r="G594" s="20">
        <f t="shared" si="22"/>
        <v>54.621999999999993</v>
      </c>
      <c r="H594" s="20">
        <f>G594*D594</f>
        <v>109.24399999999999</v>
      </c>
      <c r="J594" s="43" t="s">
        <v>604</v>
      </c>
    </row>
    <row r="595" spans="1:10" x14ac:dyDescent="0.25">
      <c r="A595" s="59" t="s">
        <v>605</v>
      </c>
      <c r="B595" s="14" t="s">
        <v>606</v>
      </c>
      <c r="C595" s="3" t="s">
        <v>46</v>
      </c>
      <c r="D595" s="3">
        <v>2</v>
      </c>
      <c r="E595" s="3" t="s">
        <v>1855</v>
      </c>
      <c r="F595" s="3">
        <v>85.3</v>
      </c>
      <c r="G595" s="20">
        <f t="shared" si="22"/>
        <v>52.885999999999996</v>
      </c>
      <c r="H595" s="20">
        <f>G595*D595</f>
        <v>105.77199999999999</v>
      </c>
      <c r="J595" s="43" t="s">
        <v>2076</v>
      </c>
    </row>
    <row r="596" spans="1:10" x14ac:dyDescent="0.25">
      <c r="A596" s="55" t="s">
        <v>573</v>
      </c>
      <c r="B596" s="15" t="s">
        <v>607</v>
      </c>
      <c r="C596" s="3"/>
      <c r="D596" s="3"/>
      <c r="E596" s="20"/>
      <c r="F596" s="3"/>
      <c r="G596" s="3"/>
      <c r="H596" s="20"/>
    </row>
    <row r="597" spans="1:10" x14ac:dyDescent="0.25">
      <c r="A597" s="59" t="s">
        <v>608</v>
      </c>
      <c r="B597" s="14" t="s">
        <v>609</v>
      </c>
      <c r="C597" s="3" t="s">
        <v>46</v>
      </c>
      <c r="D597" s="3">
        <v>2</v>
      </c>
      <c r="E597" s="3" t="s">
        <v>1855</v>
      </c>
      <c r="F597" s="3">
        <v>30.4</v>
      </c>
      <c r="G597" s="20">
        <f t="shared" si="22"/>
        <v>18.847999999999999</v>
      </c>
      <c r="H597" s="20">
        <f>G597*D597</f>
        <v>37.695999999999998</v>
      </c>
      <c r="J597" s="43" t="s">
        <v>2077</v>
      </c>
    </row>
    <row r="598" spans="1:10" x14ac:dyDescent="0.25">
      <c r="A598" s="55" t="s">
        <v>573</v>
      </c>
      <c r="B598" s="15" t="s">
        <v>610</v>
      </c>
      <c r="C598" s="3"/>
      <c r="D598" s="3"/>
      <c r="E598" s="20"/>
      <c r="F598" s="3"/>
      <c r="G598" s="3"/>
      <c r="H598" s="20"/>
    </row>
    <row r="599" spans="1:10" x14ac:dyDescent="0.25">
      <c r="A599" s="59" t="s">
        <v>611</v>
      </c>
      <c r="B599" s="14" t="s">
        <v>612</v>
      </c>
      <c r="C599" s="3" t="s">
        <v>46</v>
      </c>
      <c r="D599" s="3">
        <v>2</v>
      </c>
      <c r="E599" s="3" t="s">
        <v>1855</v>
      </c>
      <c r="F599" s="3">
        <v>176.5</v>
      </c>
      <c r="G599" s="20">
        <f t="shared" si="22"/>
        <v>109.42999999999999</v>
      </c>
      <c r="H599" s="20">
        <f>G599*D599</f>
        <v>218.85999999999999</v>
      </c>
      <c r="J599" s="43" t="s">
        <v>2078</v>
      </c>
    </row>
    <row r="600" spans="1:10" x14ac:dyDescent="0.25">
      <c r="A600" s="55" t="s">
        <v>573</v>
      </c>
      <c r="B600" s="15" t="s">
        <v>613</v>
      </c>
      <c r="C600" s="3"/>
      <c r="D600" s="3"/>
      <c r="E600" s="20"/>
      <c r="F600" s="3"/>
      <c r="G600" s="3"/>
      <c r="H600" s="20"/>
    </row>
    <row r="601" spans="1:10" x14ac:dyDescent="0.25">
      <c r="A601" s="59" t="s">
        <v>614</v>
      </c>
      <c r="B601" s="14" t="s">
        <v>615</v>
      </c>
      <c r="C601" s="3" t="s">
        <v>46</v>
      </c>
      <c r="D601" s="3">
        <v>2</v>
      </c>
      <c r="E601" s="3" t="s">
        <v>1855</v>
      </c>
      <c r="F601" s="3">
        <v>64.3</v>
      </c>
      <c r="G601" s="20">
        <f t="shared" si="22"/>
        <v>39.866</v>
      </c>
      <c r="H601" s="20">
        <f t="shared" ref="H601:H608" si="23">G601*D601</f>
        <v>79.731999999999999</v>
      </c>
      <c r="J601" s="43" t="s">
        <v>2079</v>
      </c>
    </row>
    <row r="602" spans="1:10" x14ac:dyDescent="0.25">
      <c r="A602" s="59" t="s">
        <v>616</v>
      </c>
      <c r="B602" s="14" t="s">
        <v>617</v>
      </c>
      <c r="C602" s="3" t="s">
        <v>46</v>
      </c>
      <c r="D602" s="3">
        <v>2</v>
      </c>
      <c r="E602" s="3" t="s">
        <v>1855</v>
      </c>
      <c r="F602" s="3">
        <v>64.3</v>
      </c>
      <c r="G602" s="20">
        <f t="shared" si="22"/>
        <v>39.866</v>
      </c>
      <c r="H602" s="20">
        <f t="shared" si="23"/>
        <v>79.731999999999999</v>
      </c>
      <c r="J602" s="43" t="s">
        <v>2080</v>
      </c>
    </row>
    <row r="603" spans="1:10" x14ac:dyDescent="0.25">
      <c r="A603" s="59" t="s">
        <v>618</v>
      </c>
      <c r="B603" s="14" t="s">
        <v>619</v>
      </c>
      <c r="C603" s="3" t="s">
        <v>46</v>
      </c>
      <c r="D603" s="3">
        <v>2</v>
      </c>
      <c r="E603" s="3" t="s">
        <v>1855</v>
      </c>
      <c r="F603" s="3">
        <v>64.3</v>
      </c>
      <c r="G603" s="20">
        <f t="shared" si="22"/>
        <v>39.866</v>
      </c>
      <c r="H603" s="20">
        <f t="shared" si="23"/>
        <v>79.731999999999999</v>
      </c>
      <c r="J603" s="43" t="s">
        <v>2081</v>
      </c>
    </row>
    <row r="604" spans="1:10" x14ac:dyDescent="0.25">
      <c r="A604" s="59" t="s">
        <v>392</v>
      </c>
      <c r="B604" s="14" t="s">
        <v>620</v>
      </c>
      <c r="C604" s="3" t="s">
        <v>46</v>
      </c>
      <c r="D604" s="3">
        <v>4</v>
      </c>
      <c r="E604" s="3" t="s">
        <v>1855</v>
      </c>
      <c r="F604" s="3">
        <v>61.8</v>
      </c>
      <c r="G604" s="20">
        <f t="shared" si="22"/>
        <v>38.316000000000003</v>
      </c>
      <c r="H604" s="20">
        <f t="shared" si="23"/>
        <v>153.26400000000001</v>
      </c>
      <c r="J604" s="43" t="s">
        <v>2014</v>
      </c>
    </row>
    <row r="605" spans="1:10" x14ac:dyDescent="0.25">
      <c r="A605" s="59" t="s">
        <v>394</v>
      </c>
      <c r="B605" s="14" t="s">
        <v>621</v>
      </c>
      <c r="C605" s="3" t="s">
        <v>46</v>
      </c>
      <c r="D605" s="3">
        <v>4</v>
      </c>
      <c r="E605" s="3" t="s">
        <v>1855</v>
      </c>
      <c r="F605" s="3">
        <v>61.8</v>
      </c>
      <c r="G605" s="20">
        <f t="shared" si="22"/>
        <v>38.316000000000003</v>
      </c>
      <c r="H605" s="20">
        <f t="shared" si="23"/>
        <v>153.26400000000001</v>
      </c>
      <c r="J605" s="43" t="s">
        <v>2015</v>
      </c>
    </row>
    <row r="606" spans="1:10" x14ac:dyDescent="0.25">
      <c r="A606" s="59" t="s">
        <v>398</v>
      </c>
      <c r="B606" s="14" t="s">
        <v>399</v>
      </c>
      <c r="C606" s="3" t="s">
        <v>46</v>
      </c>
      <c r="D606" s="3">
        <v>4</v>
      </c>
      <c r="E606" s="3" t="s">
        <v>1855</v>
      </c>
      <c r="F606" s="3">
        <v>60</v>
      </c>
      <c r="G606" s="20">
        <f t="shared" si="22"/>
        <v>37.200000000000003</v>
      </c>
      <c r="H606" s="20">
        <f t="shared" si="23"/>
        <v>148.80000000000001</v>
      </c>
      <c r="J606" s="43" t="s">
        <v>2017</v>
      </c>
    </row>
    <row r="607" spans="1:10" x14ac:dyDescent="0.25">
      <c r="A607" s="59" t="s">
        <v>622</v>
      </c>
      <c r="B607" s="14" t="s">
        <v>623</v>
      </c>
      <c r="C607" s="3" t="s">
        <v>46</v>
      </c>
      <c r="D607" s="3">
        <v>2</v>
      </c>
      <c r="E607" s="3" t="s">
        <v>1855</v>
      </c>
      <c r="F607" s="3">
        <v>166</v>
      </c>
      <c r="G607" s="20">
        <f t="shared" si="22"/>
        <v>102.92</v>
      </c>
      <c r="H607" s="20">
        <f t="shared" si="23"/>
        <v>205.84</v>
      </c>
      <c r="J607" s="43" t="s">
        <v>2082</v>
      </c>
    </row>
    <row r="608" spans="1:10" x14ac:dyDescent="0.25">
      <c r="A608" s="59" t="s">
        <v>624</v>
      </c>
      <c r="B608" s="14" t="s">
        <v>625</v>
      </c>
      <c r="C608" s="3" t="s">
        <v>46</v>
      </c>
      <c r="D608" s="3">
        <v>4</v>
      </c>
      <c r="E608" s="3" t="s">
        <v>1855</v>
      </c>
      <c r="F608" s="3">
        <v>139.5</v>
      </c>
      <c r="G608" s="20">
        <f t="shared" si="22"/>
        <v>86.490000000000009</v>
      </c>
      <c r="H608" s="20">
        <f t="shared" si="23"/>
        <v>345.96000000000004</v>
      </c>
      <c r="J608" s="43" t="s">
        <v>2083</v>
      </c>
    </row>
    <row r="609" spans="1:10" x14ac:dyDescent="0.25">
      <c r="A609" s="55" t="s">
        <v>573</v>
      </c>
      <c r="B609" s="15" t="s">
        <v>626</v>
      </c>
      <c r="C609" s="3"/>
      <c r="D609" s="3"/>
      <c r="E609" s="20"/>
      <c r="F609" s="3"/>
      <c r="G609" s="3"/>
      <c r="H609" s="20"/>
    </row>
    <row r="610" spans="1:10" x14ac:dyDescent="0.25">
      <c r="A610" s="59" t="s">
        <v>322</v>
      </c>
      <c r="B610" s="14" t="s">
        <v>627</v>
      </c>
      <c r="C610" s="3" t="s">
        <v>46</v>
      </c>
      <c r="D610" s="3">
        <v>2</v>
      </c>
      <c r="E610" s="3" t="s">
        <v>1855</v>
      </c>
      <c r="F610" s="3">
        <v>123.5</v>
      </c>
      <c r="G610" s="20">
        <f t="shared" si="22"/>
        <v>76.569999999999993</v>
      </c>
      <c r="H610" s="20">
        <f t="shared" ref="H610:H620" si="24">G610*D610</f>
        <v>153.13999999999999</v>
      </c>
      <c r="J610" s="43" t="s">
        <v>323</v>
      </c>
    </row>
    <row r="611" spans="1:10" x14ac:dyDescent="0.25">
      <c r="A611" s="59" t="s">
        <v>628</v>
      </c>
      <c r="B611" s="14" t="s">
        <v>629</v>
      </c>
      <c r="C611" s="3" t="s">
        <v>46</v>
      </c>
      <c r="D611" s="3">
        <v>2</v>
      </c>
      <c r="E611" s="3" t="s">
        <v>1855</v>
      </c>
      <c r="F611" s="3">
        <v>312</v>
      </c>
      <c r="G611" s="20">
        <f t="shared" si="22"/>
        <v>193.44</v>
      </c>
      <c r="H611" s="20">
        <f t="shared" si="24"/>
        <v>386.88</v>
      </c>
      <c r="J611" s="43" t="s">
        <v>2084</v>
      </c>
    </row>
    <row r="612" spans="1:10" x14ac:dyDescent="0.25">
      <c r="A612" s="59" t="s">
        <v>630</v>
      </c>
      <c r="B612" s="14" t="s">
        <v>631</v>
      </c>
      <c r="C612" s="3" t="s">
        <v>46</v>
      </c>
      <c r="D612" s="3">
        <v>2</v>
      </c>
      <c r="E612" s="3" t="s">
        <v>1855</v>
      </c>
      <c r="F612" s="3">
        <v>312</v>
      </c>
      <c r="G612" s="20">
        <f t="shared" si="22"/>
        <v>193.44</v>
      </c>
      <c r="H612" s="20">
        <f t="shared" si="24"/>
        <v>386.88</v>
      </c>
      <c r="J612" s="43" t="s">
        <v>2085</v>
      </c>
    </row>
    <row r="613" spans="1:10" x14ac:dyDescent="0.25">
      <c r="A613" s="59" t="s">
        <v>632</v>
      </c>
      <c r="B613" s="14" t="s">
        <v>633</v>
      </c>
      <c r="C613" s="3" t="s">
        <v>46</v>
      </c>
      <c r="D613" s="3">
        <v>2</v>
      </c>
      <c r="E613" s="3" t="s">
        <v>1855</v>
      </c>
      <c r="F613" s="3">
        <v>312</v>
      </c>
      <c r="G613" s="20">
        <f t="shared" si="22"/>
        <v>193.44</v>
      </c>
      <c r="H613" s="20">
        <f t="shared" si="24"/>
        <v>386.88</v>
      </c>
      <c r="J613" s="43" t="s">
        <v>2086</v>
      </c>
    </row>
    <row r="614" spans="1:10" x14ac:dyDescent="0.25">
      <c r="A614" s="59" t="s">
        <v>634</v>
      </c>
      <c r="B614" s="14" t="s">
        <v>635</v>
      </c>
      <c r="C614" s="3" t="s">
        <v>46</v>
      </c>
      <c r="D614" s="3">
        <v>2</v>
      </c>
      <c r="E614" s="3" t="s">
        <v>1855</v>
      </c>
      <c r="F614" s="3">
        <v>312</v>
      </c>
      <c r="G614" s="20">
        <f t="shared" si="22"/>
        <v>193.44</v>
      </c>
      <c r="H614" s="20">
        <f t="shared" si="24"/>
        <v>386.88</v>
      </c>
      <c r="J614" s="43" t="s">
        <v>2087</v>
      </c>
    </row>
    <row r="615" spans="1:10" x14ac:dyDescent="0.25">
      <c r="A615" s="59" t="s">
        <v>636</v>
      </c>
      <c r="B615" s="14" t="s">
        <v>637</v>
      </c>
      <c r="C615" s="3" t="s">
        <v>46</v>
      </c>
      <c r="D615" s="3">
        <v>2</v>
      </c>
      <c r="E615" s="3" t="s">
        <v>1855</v>
      </c>
      <c r="F615" s="3">
        <v>312</v>
      </c>
      <c r="G615" s="20">
        <f t="shared" si="22"/>
        <v>193.44</v>
      </c>
      <c r="H615" s="20">
        <f t="shared" si="24"/>
        <v>386.88</v>
      </c>
      <c r="J615" s="43" t="s">
        <v>2088</v>
      </c>
    </row>
    <row r="616" spans="1:10" x14ac:dyDescent="0.25">
      <c r="A616" s="59" t="s">
        <v>638</v>
      </c>
      <c r="B616" s="14" t="s">
        <v>639</v>
      </c>
      <c r="C616" s="3" t="s">
        <v>46</v>
      </c>
      <c r="D616" s="3">
        <v>2</v>
      </c>
      <c r="E616" s="3" t="s">
        <v>1855</v>
      </c>
      <c r="F616" s="3">
        <v>312</v>
      </c>
      <c r="G616" s="20">
        <f t="shared" si="22"/>
        <v>193.44</v>
      </c>
      <c r="H616" s="20">
        <f t="shared" si="24"/>
        <v>386.88</v>
      </c>
      <c r="J616" s="43" t="s">
        <v>2089</v>
      </c>
    </row>
    <row r="617" spans="1:10" x14ac:dyDescent="0.25">
      <c r="A617" s="59" t="s">
        <v>640</v>
      </c>
      <c r="B617" s="14" t="s">
        <v>641</v>
      </c>
      <c r="C617" s="3" t="s">
        <v>46</v>
      </c>
      <c r="D617" s="3">
        <v>2</v>
      </c>
      <c r="E617" s="3" t="s">
        <v>1855</v>
      </c>
      <c r="F617" s="3">
        <v>196</v>
      </c>
      <c r="G617" s="20">
        <f t="shared" si="22"/>
        <v>121.52</v>
      </c>
      <c r="H617" s="20">
        <f t="shared" si="24"/>
        <v>243.04</v>
      </c>
      <c r="J617" s="43" t="s">
        <v>2090</v>
      </c>
    </row>
    <row r="618" spans="1:10" x14ac:dyDescent="0.25">
      <c r="A618" s="59" t="s">
        <v>642</v>
      </c>
      <c r="B618" s="14" t="s">
        <v>643</v>
      </c>
      <c r="C618" s="3" t="s">
        <v>46</v>
      </c>
      <c r="D618" s="3">
        <v>2</v>
      </c>
      <c r="E618" s="3" t="s">
        <v>1855</v>
      </c>
      <c r="F618" s="3">
        <v>196</v>
      </c>
      <c r="G618" s="20">
        <f t="shared" si="22"/>
        <v>121.52</v>
      </c>
      <c r="H618" s="20">
        <f t="shared" si="24"/>
        <v>243.04</v>
      </c>
      <c r="J618" s="43" t="s">
        <v>2091</v>
      </c>
    </row>
    <row r="619" spans="1:10" x14ac:dyDescent="0.25">
      <c r="A619" s="59" t="s">
        <v>644</v>
      </c>
      <c r="B619" s="14" t="s">
        <v>645</v>
      </c>
      <c r="C619" s="3" t="s">
        <v>46</v>
      </c>
      <c r="D619" s="3">
        <v>2</v>
      </c>
      <c r="E619" s="3" t="s">
        <v>1855</v>
      </c>
      <c r="F619" s="3">
        <v>178</v>
      </c>
      <c r="G619" s="20">
        <f t="shared" si="22"/>
        <v>110.36</v>
      </c>
      <c r="H619" s="20">
        <f t="shared" si="24"/>
        <v>220.72</v>
      </c>
      <c r="J619" s="43" t="s">
        <v>2092</v>
      </c>
    </row>
    <row r="620" spans="1:10" x14ac:dyDescent="0.25">
      <c r="A620" s="59" t="s">
        <v>646</v>
      </c>
      <c r="B620" s="14" t="s">
        <v>647</v>
      </c>
      <c r="C620" s="3" t="s">
        <v>46</v>
      </c>
      <c r="D620" s="3">
        <v>2</v>
      </c>
      <c r="E620" s="3" t="s">
        <v>1855</v>
      </c>
      <c r="F620" s="3">
        <v>180</v>
      </c>
      <c r="G620" s="20">
        <f t="shared" si="22"/>
        <v>111.6</v>
      </c>
      <c r="H620" s="20">
        <f t="shared" si="24"/>
        <v>223.2</v>
      </c>
      <c r="J620" s="43" t="s">
        <v>2093</v>
      </c>
    </row>
    <row r="621" spans="1:10" x14ac:dyDescent="0.25">
      <c r="A621" s="55" t="s">
        <v>573</v>
      </c>
      <c r="B621" s="15" t="s">
        <v>648</v>
      </c>
      <c r="C621" s="3"/>
      <c r="D621" s="3"/>
      <c r="E621" s="20"/>
      <c r="F621" s="3"/>
      <c r="G621" s="3"/>
      <c r="H621" s="20"/>
    </row>
    <row r="622" spans="1:10" x14ac:dyDescent="0.25">
      <c r="A622" s="59" t="s">
        <v>649</v>
      </c>
      <c r="B622" s="14" t="s">
        <v>650</v>
      </c>
      <c r="C622" s="3" t="s">
        <v>46</v>
      </c>
      <c r="D622" s="3">
        <v>4</v>
      </c>
      <c r="E622" s="3" t="s">
        <v>1855</v>
      </c>
      <c r="F622" s="3">
        <v>304</v>
      </c>
      <c r="G622" s="20">
        <f t="shared" si="22"/>
        <v>188.48000000000002</v>
      </c>
      <c r="H622" s="20">
        <f>G622*D622</f>
        <v>753.92000000000007</v>
      </c>
      <c r="J622" s="43" t="s">
        <v>2094</v>
      </c>
    </row>
    <row r="623" spans="1:10" x14ac:dyDescent="0.25">
      <c r="A623" s="55" t="s">
        <v>573</v>
      </c>
      <c r="B623" s="15" t="s">
        <v>651</v>
      </c>
      <c r="C623" s="3"/>
      <c r="D623" s="3"/>
      <c r="E623" s="20"/>
      <c r="F623" s="3"/>
      <c r="G623" s="3"/>
      <c r="H623" s="20"/>
    </row>
    <row r="624" spans="1:10" x14ac:dyDescent="0.25">
      <c r="A624" s="59" t="s">
        <v>402</v>
      </c>
      <c r="B624" s="14" t="s">
        <v>652</v>
      </c>
      <c r="C624" s="3" t="s">
        <v>47</v>
      </c>
      <c r="D624" s="3">
        <v>4</v>
      </c>
      <c r="E624" s="3" t="s">
        <v>1855</v>
      </c>
      <c r="F624" s="3">
        <v>94.9</v>
      </c>
      <c r="G624" s="20">
        <f t="shared" si="22"/>
        <v>58.838000000000001</v>
      </c>
      <c r="H624" s="20">
        <f>G624*D624</f>
        <v>235.352</v>
      </c>
      <c r="J624" s="43" t="s">
        <v>2019</v>
      </c>
    </row>
    <row r="625" spans="1:10" x14ac:dyDescent="0.25">
      <c r="A625" s="59" t="s">
        <v>653</v>
      </c>
      <c r="B625" s="14" t="s">
        <v>654</v>
      </c>
      <c r="C625" s="3" t="s">
        <v>46</v>
      </c>
      <c r="D625" s="3">
        <v>4</v>
      </c>
      <c r="E625" s="3" t="s">
        <v>1855</v>
      </c>
      <c r="F625" s="3">
        <v>429</v>
      </c>
      <c r="G625" s="20">
        <f t="shared" si="22"/>
        <v>265.98</v>
      </c>
      <c r="H625" s="20">
        <f>G625*D625</f>
        <v>1063.92</v>
      </c>
      <c r="J625" s="43" t="s">
        <v>2095</v>
      </c>
    </row>
    <row r="626" spans="1:10" x14ac:dyDescent="0.25">
      <c r="A626" s="55" t="s">
        <v>573</v>
      </c>
      <c r="B626" s="15" t="s">
        <v>655</v>
      </c>
      <c r="C626" s="3"/>
      <c r="D626" s="3"/>
      <c r="E626" s="20"/>
      <c r="F626" s="3"/>
      <c r="G626" s="3"/>
      <c r="H626" s="20"/>
    </row>
    <row r="627" spans="1:10" x14ac:dyDescent="0.25">
      <c r="A627" s="59" t="s">
        <v>656</v>
      </c>
      <c r="B627" s="14" t="s">
        <v>657</v>
      </c>
      <c r="C627" s="3" t="s">
        <v>46</v>
      </c>
      <c r="D627" s="3">
        <v>2</v>
      </c>
      <c r="E627" s="3" t="s">
        <v>1855</v>
      </c>
      <c r="F627" s="3">
        <v>193</v>
      </c>
      <c r="G627" s="20">
        <f t="shared" si="22"/>
        <v>119.66</v>
      </c>
      <c r="H627" s="20">
        <f>G627*D627</f>
        <v>239.32</v>
      </c>
      <c r="J627" s="43" t="s">
        <v>2096</v>
      </c>
    </row>
    <row r="628" spans="1:10" x14ac:dyDescent="0.25">
      <c r="A628" s="55" t="s">
        <v>573</v>
      </c>
      <c r="B628" s="15" t="s">
        <v>658</v>
      </c>
      <c r="C628" s="3"/>
      <c r="D628" s="3"/>
      <c r="E628" s="20"/>
      <c r="F628" s="3"/>
      <c r="G628" s="3"/>
      <c r="H628" s="20"/>
    </row>
    <row r="629" spans="1:10" x14ac:dyDescent="0.25">
      <c r="A629" s="59" t="s">
        <v>659</v>
      </c>
      <c r="B629" s="14" t="s">
        <v>660</v>
      </c>
      <c r="C629" s="3" t="s">
        <v>46</v>
      </c>
      <c r="D629" s="3">
        <v>2</v>
      </c>
      <c r="E629" s="3" t="s">
        <v>1855</v>
      </c>
      <c r="F629" s="3">
        <v>61.3</v>
      </c>
      <c r="G629" s="20">
        <f t="shared" si="22"/>
        <v>38.006</v>
      </c>
      <c r="H629" s="20">
        <f>G629*D629</f>
        <v>76.012</v>
      </c>
      <c r="J629" s="43" t="s">
        <v>2097</v>
      </c>
    </row>
    <row r="630" spans="1:10" x14ac:dyDescent="0.25">
      <c r="A630" s="59" t="s">
        <v>661</v>
      </c>
      <c r="B630" s="14" t="s">
        <v>662</v>
      </c>
      <c r="C630" s="3" t="s">
        <v>46</v>
      </c>
      <c r="D630" s="3">
        <v>2</v>
      </c>
      <c r="E630" s="3" t="s">
        <v>1855</v>
      </c>
      <c r="F630" s="3">
        <v>293.5</v>
      </c>
      <c r="G630" s="20">
        <f t="shared" si="22"/>
        <v>181.97</v>
      </c>
      <c r="H630" s="20">
        <f>G630*D630</f>
        <v>363.94</v>
      </c>
      <c r="J630" s="43" t="s">
        <v>824</v>
      </c>
    </row>
    <row r="631" spans="1:10" x14ac:dyDescent="0.25">
      <c r="A631" s="59" t="s">
        <v>663</v>
      </c>
      <c r="B631" s="14" t="s">
        <v>664</v>
      </c>
      <c r="C631" s="3" t="s">
        <v>46</v>
      </c>
      <c r="D631" s="3">
        <v>2</v>
      </c>
      <c r="E631" s="3" t="s">
        <v>1855</v>
      </c>
      <c r="F631" s="3">
        <v>268.5</v>
      </c>
      <c r="G631" s="20">
        <f t="shared" si="22"/>
        <v>166.47</v>
      </c>
      <c r="H631" s="20">
        <f>G631*D631</f>
        <v>332.94</v>
      </c>
      <c r="J631" s="43" t="s">
        <v>664</v>
      </c>
    </row>
    <row r="632" spans="1:10" x14ac:dyDescent="0.25">
      <c r="A632" s="59" t="s">
        <v>665</v>
      </c>
      <c r="B632" s="14" t="s">
        <v>666</v>
      </c>
      <c r="C632" s="3" t="s">
        <v>46</v>
      </c>
      <c r="D632" s="3">
        <v>2</v>
      </c>
      <c r="E632" s="3" t="s">
        <v>1855</v>
      </c>
      <c r="F632" s="3">
        <v>268.5</v>
      </c>
      <c r="G632" s="20">
        <f t="shared" si="22"/>
        <v>166.47</v>
      </c>
      <c r="H632" s="20">
        <f>G632*D632</f>
        <v>332.94</v>
      </c>
      <c r="J632" s="43" t="s">
        <v>2098</v>
      </c>
    </row>
    <row r="633" spans="1:10" x14ac:dyDescent="0.25">
      <c r="A633" s="55" t="s">
        <v>573</v>
      </c>
      <c r="B633" s="15" t="s">
        <v>667</v>
      </c>
      <c r="C633" s="3"/>
      <c r="D633" s="3"/>
      <c r="E633" s="20"/>
      <c r="F633" s="3"/>
      <c r="G633" s="3"/>
      <c r="H633" s="20"/>
    </row>
    <row r="634" spans="1:10" x14ac:dyDescent="0.25">
      <c r="A634" s="59" t="s">
        <v>668</v>
      </c>
      <c r="B634" s="14" t="s">
        <v>669</v>
      </c>
      <c r="C634" s="3" t="s">
        <v>46</v>
      </c>
      <c r="D634" s="3">
        <v>10</v>
      </c>
      <c r="E634" s="3" t="s">
        <v>1855</v>
      </c>
      <c r="F634" s="3">
        <v>25.4</v>
      </c>
      <c r="G634" s="20">
        <f t="shared" si="22"/>
        <v>15.747999999999999</v>
      </c>
      <c r="H634" s="20">
        <f>G634*D634</f>
        <v>157.47999999999999</v>
      </c>
      <c r="J634" s="43" t="s">
        <v>2099</v>
      </c>
    </row>
    <row r="635" spans="1:10" x14ac:dyDescent="0.25">
      <c r="A635" s="55" t="s">
        <v>573</v>
      </c>
      <c r="B635" s="15" t="s">
        <v>670</v>
      </c>
      <c r="C635" s="3"/>
      <c r="D635" s="3"/>
      <c r="E635" s="20"/>
      <c r="F635" s="3"/>
      <c r="G635" s="3"/>
      <c r="H635" s="20"/>
    </row>
    <row r="636" spans="1:10" x14ac:dyDescent="0.25">
      <c r="A636" s="59" t="s">
        <v>671</v>
      </c>
      <c r="B636" s="14" t="s">
        <v>672</v>
      </c>
      <c r="C636" s="3" t="s">
        <v>46</v>
      </c>
      <c r="D636" s="3">
        <v>4</v>
      </c>
      <c r="E636" s="3" t="s">
        <v>1855</v>
      </c>
      <c r="F636" s="3">
        <v>22.9</v>
      </c>
      <c r="G636" s="20">
        <f t="shared" si="22"/>
        <v>14.197999999999999</v>
      </c>
      <c r="H636" s="20">
        <f>G636*D636</f>
        <v>56.791999999999994</v>
      </c>
      <c r="J636" s="43" t="s">
        <v>2100</v>
      </c>
    </row>
    <row r="637" spans="1:10" x14ac:dyDescent="0.25">
      <c r="A637" s="59" t="s">
        <v>673</v>
      </c>
      <c r="B637" s="14" t="s">
        <v>674</v>
      </c>
      <c r="C637" s="3" t="s">
        <v>46</v>
      </c>
      <c r="D637" s="3">
        <v>4</v>
      </c>
      <c r="E637" s="3" t="s">
        <v>1855</v>
      </c>
      <c r="F637" s="3">
        <v>37.1</v>
      </c>
      <c r="G637" s="20">
        <f t="shared" si="22"/>
        <v>23.002000000000002</v>
      </c>
      <c r="H637" s="20">
        <f>G637*D637</f>
        <v>92.00800000000001</v>
      </c>
      <c r="J637" s="43" t="s">
        <v>2101</v>
      </c>
    </row>
    <row r="638" spans="1:10" x14ac:dyDescent="0.25">
      <c r="A638" s="55" t="s">
        <v>573</v>
      </c>
      <c r="B638" s="15" t="s">
        <v>675</v>
      </c>
      <c r="C638" s="3"/>
      <c r="D638" s="3"/>
      <c r="E638" s="20"/>
      <c r="F638" s="3"/>
      <c r="G638" s="3"/>
      <c r="H638" s="20"/>
    </row>
    <row r="639" spans="1:10" x14ac:dyDescent="0.25">
      <c r="A639" s="59" t="s">
        <v>676</v>
      </c>
      <c r="B639" s="14" t="s">
        <v>677</v>
      </c>
      <c r="C639" s="3" t="s">
        <v>46</v>
      </c>
      <c r="D639" s="3">
        <v>4</v>
      </c>
      <c r="E639" s="3" t="s">
        <v>1855</v>
      </c>
      <c r="F639" s="3">
        <v>78.599999999999994</v>
      </c>
      <c r="G639" s="20">
        <f t="shared" si="22"/>
        <v>48.731999999999999</v>
      </c>
      <c r="H639" s="20">
        <f t="shared" ref="H639:H648" si="25">G639*D639</f>
        <v>194.928</v>
      </c>
      <c r="J639" s="43" t="s">
        <v>2102</v>
      </c>
    </row>
    <row r="640" spans="1:10" x14ac:dyDescent="0.25">
      <c r="A640" s="59" t="s">
        <v>676</v>
      </c>
      <c r="B640" s="14" t="s">
        <v>677</v>
      </c>
      <c r="C640" s="3" t="s">
        <v>46</v>
      </c>
      <c r="D640" s="3">
        <v>4</v>
      </c>
      <c r="E640" s="3" t="s">
        <v>1855</v>
      </c>
      <c r="F640" s="3">
        <v>78.599999999999994</v>
      </c>
      <c r="G640" s="20">
        <f t="shared" si="22"/>
        <v>48.731999999999999</v>
      </c>
      <c r="H640" s="20">
        <f t="shared" si="25"/>
        <v>194.928</v>
      </c>
      <c r="J640" s="43" t="s">
        <v>2102</v>
      </c>
    </row>
    <row r="641" spans="1:10" x14ac:dyDescent="0.25">
      <c r="A641" s="59" t="s">
        <v>678</v>
      </c>
      <c r="B641" s="14" t="s">
        <v>679</v>
      </c>
      <c r="C641" s="3" t="s">
        <v>46</v>
      </c>
      <c r="D641" s="3">
        <v>2</v>
      </c>
      <c r="E641" s="3" t="s">
        <v>1855</v>
      </c>
      <c r="F641" s="3">
        <v>83</v>
      </c>
      <c r="G641" s="20">
        <f t="shared" si="22"/>
        <v>51.46</v>
      </c>
      <c r="H641" s="20">
        <f t="shared" si="25"/>
        <v>102.92</v>
      </c>
      <c r="J641" s="43" t="s">
        <v>679</v>
      </c>
    </row>
    <row r="642" spans="1:10" x14ac:dyDescent="0.25">
      <c r="A642" s="59" t="s">
        <v>412</v>
      </c>
      <c r="B642" s="14" t="s">
        <v>680</v>
      </c>
      <c r="C642" s="3" t="s">
        <v>46</v>
      </c>
      <c r="D642" s="3">
        <v>4</v>
      </c>
      <c r="E642" s="3" t="s">
        <v>1855</v>
      </c>
      <c r="F642" s="3">
        <v>85.3</v>
      </c>
      <c r="G642" s="20">
        <f t="shared" si="22"/>
        <v>52.885999999999996</v>
      </c>
      <c r="H642" s="20">
        <f t="shared" si="25"/>
        <v>211.54399999999998</v>
      </c>
      <c r="J642" s="43" t="s">
        <v>413</v>
      </c>
    </row>
    <row r="643" spans="1:10" x14ac:dyDescent="0.25">
      <c r="A643" s="59" t="s">
        <v>681</v>
      </c>
      <c r="B643" s="14" t="s">
        <v>682</v>
      </c>
      <c r="C643" s="3" t="s">
        <v>47</v>
      </c>
      <c r="D643" s="3">
        <v>4</v>
      </c>
      <c r="E643" s="3" t="s">
        <v>1855</v>
      </c>
      <c r="F643" s="3">
        <v>50.4</v>
      </c>
      <c r="G643" s="20">
        <f t="shared" si="22"/>
        <v>31.247999999999998</v>
      </c>
      <c r="H643" s="20">
        <f t="shared" si="25"/>
        <v>124.99199999999999</v>
      </c>
      <c r="J643" s="43" t="s">
        <v>2103</v>
      </c>
    </row>
    <row r="644" spans="1:10" x14ac:dyDescent="0.25">
      <c r="A644" s="59" t="s">
        <v>414</v>
      </c>
      <c r="B644" s="14" t="s">
        <v>415</v>
      </c>
      <c r="C644" s="3" t="s">
        <v>46</v>
      </c>
      <c r="D644" s="3">
        <v>4</v>
      </c>
      <c r="E644" s="3" t="s">
        <v>1855</v>
      </c>
      <c r="F644" s="3">
        <v>79.599999999999994</v>
      </c>
      <c r="G644" s="20">
        <f t="shared" si="22"/>
        <v>49.351999999999997</v>
      </c>
      <c r="H644" s="20">
        <f t="shared" si="25"/>
        <v>197.40799999999999</v>
      </c>
      <c r="J644" s="43" t="s">
        <v>415</v>
      </c>
    </row>
    <row r="645" spans="1:10" x14ac:dyDescent="0.25">
      <c r="A645" s="59" t="s">
        <v>683</v>
      </c>
      <c r="B645" s="14" t="s">
        <v>684</v>
      </c>
      <c r="C645" s="3" t="s">
        <v>46</v>
      </c>
      <c r="D645" s="3">
        <v>4</v>
      </c>
      <c r="E645" s="3" t="s">
        <v>1855</v>
      </c>
      <c r="F645" s="3">
        <v>84.9</v>
      </c>
      <c r="G645" s="20">
        <f t="shared" si="22"/>
        <v>52.638000000000005</v>
      </c>
      <c r="H645" s="20">
        <f t="shared" si="25"/>
        <v>210.55200000000002</v>
      </c>
      <c r="J645" s="43" t="s">
        <v>2104</v>
      </c>
    </row>
    <row r="646" spans="1:10" x14ac:dyDescent="0.25">
      <c r="A646" s="59" t="s">
        <v>685</v>
      </c>
      <c r="B646" s="14" t="s">
        <v>686</v>
      </c>
      <c r="C646" s="3" t="s">
        <v>46</v>
      </c>
      <c r="D646" s="3">
        <v>4</v>
      </c>
      <c r="E646" s="3" t="s">
        <v>1855</v>
      </c>
      <c r="F646" s="3">
        <v>436</v>
      </c>
      <c r="G646" s="20">
        <f t="shared" si="22"/>
        <v>270.32</v>
      </c>
      <c r="H646" s="20">
        <f t="shared" si="25"/>
        <v>1081.28</v>
      </c>
      <c r="J646" s="43" t="s">
        <v>2105</v>
      </c>
    </row>
    <row r="647" spans="1:10" x14ac:dyDescent="0.25">
      <c r="A647" s="59" t="s">
        <v>687</v>
      </c>
      <c r="B647" s="14" t="s">
        <v>688</v>
      </c>
      <c r="C647" s="3" t="s">
        <v>46</v>
      </c>
      <c r="D647" s="3">
        <v>4</v>
      </c>
      <c r="E647" s="3" t="s">
        <v>1855</v>
      </c>
      <c r="F647" s="3">
        <v>33.200000000000003</v>
      </c>
      <c r="G647" s="20">
        <f t="shared" si="22"/>
        <v>20.584000000000003</v>
      </c>
      <c r="H647" s="20">
        <f t="shared" si="25"/>
        <v>82.336000000000013</v>
      </c>
      <c r="J647" s="43" t="s">
        <v>2106</v>
      </c>
    </row>
    <row r="648" spans="1:10" x14ac:dyDescent="0.25">
      <c r="A648" s="52" t="s">
        <v>158</v>
      </c>
      <c r="B648" s="14" t="s">
        <v>159</v>
      </c>
      <c r="C648" s="3" t="s">
        <v>46</v>
      </c>
      <c r="D648" s="3">
        <v>2</v>
      </c>
      <c r="E648" s="3" t="s">
        <v>1855</v>
      </c>
      <c r="F648" s="3">
        <v>31.9</v>
      </c>
      <c r="G648" s="20">
        <f t="shared" si="22"/>
        <v>19.777999999999999</v>
      </c>
      <c r="H648" s="20">
        <f t="shared" si="25"/>
        <v>39.555999999999997</v>
      </c>
      <c r="J648" s="43" t="e">
        <v>#N/A</v>
      </c>
    </row>
    <row r="649" spans="1:10" x14ac:dyDescent="0.25">
      <c r="A649" s="55" t="s">
        <v>573</v>
      </c>
      <c r="B649" s="15" t="s">
        <v>689</v>
      </c>
      <c r="C649" s="3"/>
      <c r="D649" s="3"/>
      <c r="E649" s="20"/>
      <c r="F649" s="3"/>
      <c r="G649" s="3"/>
      <c r="H649" s="20"/>
    </row>
    <row r="650" spans="1:10" x14ac:dyDescent="0.25">
      <c r="A650" s="59" t="s">
        <v>690</v>
      </c>
      <c r="B650" s="14" t="s">
        <v>691</v>
      </c>
      <c r="C650" s="3" t="s">
        <v>46</v>
      </c>
      <c r="D650" s="3">
        <v>2</v>
      </c>
      <c r="E650" s="3" t="s">
        <v>1855</v>
      </c>
      <c r="F650" s="3">
        <v>93.7</v>
      </c>
      <c r="G650" s="20">
        <f t="shared" si="22"/>
        <v>58.094000000000001</v>
      </c>
      <c r="H650" s="20">
        <f t="shared" ref="H650:H664" si="26">G650*D650</f>
        <v>116.188</v>
      </c>
      <c r="J650" s="43" t="s">
        <v>2107</v>
      </c>
    </row>
    <row r="651" spans="1:10" x14ac:dyDescent="0.25">
      <c r="A651" s="59" t="s">
        <v>692</v>
      </c>
      <c r="B651" s="14" t="s">
        <v>693</v>
      </c>
      <c r="C651" s="3" t="s">
        <v>46</v>
      </c>
      <c r="D651" s="3">
        <v>2</v>
      </c>
      <c r="E651" s="3" t="s">
        <v>1855</v>
      </c>
      <c r="F651" s="3">
        <v>304</v>
      </c>
      <c r="G651" s="20">
        <f t="shared" si="22"/>
        <v>188.48000000000002</v>
      </c>
      <c r="H651" s="20">
        <f t="shared" si="26"/>
        <v>376.96000000000004</v>
      </c>
      <c r="J651" s="43" t="s">
        <v>2108</v>
      </c>
    </row>
    <row r="652" spans="1:10" x14ac:dyDescent="0.25">
      <c r="A652" s="59" t="s">
        <v>368</v>
      </c>
      <c r="B652" s="14" t="s">
        <v>369</v>
      </c>
      <c r="C652" s="3" t="s">
        <v>47</v>
      </c>
      <c r="D652" s="3">
        <v>2</v>
      </c>
      <c r="E652" s="3" t="s">
        <v>1855</v>
      </c>
      <c r="F652" s="3">
        <v>320</v>
      </c>
      <c r="G652" s="20">
        <f t="shared" si="22"/>
        <v>198.4</v>
      </c>
      <c r="H652" s="20">
        <f t="shared" si="26"/>
        <v>396.8</v>
      </c>
      <c r="J652" s="43" t="s">
        <v>2011</v>
      </c>
    </row>
    <row r="653" spans="1:10" x14ac:dyDescent="0.25">
      <c r="A653" s="59" t="s">
        <v>694</v>
      </c>
      <c r="B653" s="14" t="s">
        <v>695</v>
      </c>
      <c r="C653" s="3" t="s">
        <v>46</v>
      </c>
      <c r="D653" s="3">
        <v>2</v>
      </c>
      <c r="E653" s="3" t="s">
        <v>1855</v>
      </c>
      <c r="F653" s="3">
        <v>434</v>
      </c>
      <c r="G653" s="20">
        <f t="shared" ref="G653:G716" si="27">F653-(F653*38%)</f>
        <v>269.08</v>
      </c>
      <c r="H653" s="20">
        <f t="shared" si="26"/>
        <v>538.16</v>
      </c>
      <c r="J653" s="43" t="s">
        <v>2109</v>
      </c>
    </row>
    <row r="654" spans="1:10" x14ac:dyDescent="0.25">
      <c r="A654" s="59" t="s">
        <v>696</v>
      </c>
      <c r="B654" s="14" t="s">
        <v>697</v>
      </c>
      <c r="C654" s="3" t="s">
        <v>46</v>
      </c>
      <c r="D654" s="3">
        <v>4</v>
      </c>
      <c r="E654" s="3" t="s">
        <v>1855</v>
      </c>
      <c r="F654" s="3">
        <v>18.399999999999999</v>
      </c>
      <c r="G654" s="20">
        <f t="shared" si="27"/>
        <v>11.407999999999999</v>
      </c>
      <c r="H654" s="20">
        <f t="shared" si="26"/>
        <v>45.631999999999998</v>
      </c>
      <c r="J654" s="43" t="s">
        <v>2110</v>
      </c>
    </row>
    <row r="655" spans="1:10" x14ac:dyDescent="0.25">
      <c r="A655" s="59" t="s">
        <v>562</v>
      </c>
      <c r="B655" s="14" t="s">
        <v>698</v>
      </c>
      <c r="C655" s="3" t="s">
        <v>46</v>
      </c>
      <c r="D655" s="3">
        <v>2</v>
      </c>
      <c r="E655" s="3" t="s">
        <v>1855</v>
      </c>
      <c r="F655" s="3">
        <v>42.4</v>
      </c>
      <c r="G655" s="20">
        <f t="shared" si="27"/>
        <v>26.288</v>
      </c>
      <c r="H655" s="20">
        <f t="shared" si="26"/>
        <v>52.576000000000001</v>
      </c>
      <c r="J655" s="43" t="s">
        <v>2065</v>
      </c>
    </row>
    <row r="656" spans="1:10" x14ac:dyDescent="0.25">
      <c r="A656" s="59" t="s">
        <v>699</v>
      </c>
      <c r="B656" s="14" t="s">
        <v>700</v>
      </c>
      <c r="C656" s="3" t="s">
        <v>46</v>
      </c>
      <c r="D656" s="3">
        <v>2</v>
      </c>
      <c r="E656" s="3" t="s">
        <v>1855</v>
      </c>
      <c r="F656" s="3">
        <v>617</v>
      </c>
      <c r="G656" s="20">
        <f t="shared" si="27"/>
        <v>382.53999999999996</v>
      </c>
      <c r="H656" s="20">
        <f t="shared" si="26"/>
        <v>765.07999999999993</v>
      </c>
      <c r="J656" s="43" t="s">
        <v>700</v>
      </c>
    </row>
    <row r="657" spans="1:10" x14ac:dyDescent="0.25">
      <c r="A657" s="59" t="s">
        <v>701</v>
      </c>
      <c r="B657" s="14" t="s">
        <v>702</v>
      </c>
      <c r="C657" s="3" t="s">
        <v>46</v>
      </c>
      <c r="D657" s="3">
        <v>2</v>
      </c>
      <c r="E657" s="3" t="s">
        <v>1855</v>
      </c>
      <c r="F657" s="3">
        <v>64.400000000000006</v>
      </c>
      <c r="G657" s="20">
        <f t="shared" si="27"/>
        <v>39.928000000000004</v>
      </c>
      <c r="H657" s="20">
        <f t="shared" si="26"/>
        <v>79.856000000000009</v>
      </c>
      <c r="J657" s="43" t="s">
        <v>1502</v>
      </c>
    </row>
    <row r="658" spans="1:10" x14ac:dyDescent="0.25">
      <c r="A658" s="59" t="s">
        <v>703</v>
      </c>
      <c r="B658" s="14" t="s">
        <v>704</v>
      </c>
      <c r="C658" s="3" t="s">
        <v>46</v>
      </c>
      <c r="D658" s="3">
        <v>2</v>
      </c>
      <c r="E658" s="3" t="s">
        <v>1855</v>
      </c>
      <c r="F658" s="3">
        <v>64.400000000000006</v>
      </c>
      <c r="G658" s="20">
        <f t="shared" si="27"/>
        <v>39.928000000000004</v>
      </c>
      <c r="H658" s="20">
        <f t="shared" si="26"/>
        <v>79.856000000000009</v>
      </c>
      <c r="J658" s="43" t="s">
        <v>1503</v>
      </c>
    </row>
    <row r="659" spans="1:10" x14ac:dyDescent="0.25">
      <c r="A659" s="59" t="s">
        <v>705</v>
      </c>
      <c r="B659" s="14" t="s">
        <v>706</v>
      </c>
      <c r="C659" s="3" t="s">
        <v>46</v>
      </c>
      <c r="D659" s="3">
        <v>2</v>
      </c>
      <c r="E659" s="3" t="s">
        <v>1855</v>
      </c>
      <c r="F659" s="3">
        <v>78.8</v>
      </c>
      <c r="G659" s="20">
        <f t="shared" si="27"/>
        <v>48.855999999999995</v>
      </c>
      <c r="H659" s="20">
        <f t="shared" si="26"/>
        <v>97.711999999999989</v>
      </c>
      <c r="J659" s="43" t="s">
        <v>2111</v>
      </c>
    </row>
    <row r="660" spans="1:10" x14ac:dyDescent="0.25">
      <c r="A660" s="59" t="s">
        <v>707</v>
      </c>
      <c r="B660" s="14" t="s">
        <v>708</v>
      </c>
      <c r="C660" s="3" t="s">
        <v>46</v>
      </c>
      <c r="D660" s="3">
        <v>2</v>
      </c>
      <c r="E660" s="3" t="s">
        <v>1855</v>
      </c>
      <c r="F660" s="3">
        <v>119</v>
      </c>
      <c r="G660" s="20">
        <f t="shared" si="27"/>
        <v>73.78</v>
      </c>
      <c r="H660" s="20">
        <f t="shared" si="26"/>
        <v>147.56</v>
      </c>
      <c r="J660" s="43" t="s">
        <v>2112</v>
      </c>
    </row>
    <row r="661" spans="1:10" x14ac:dyDescent="0.25">
      <c r="A661" s="60" t="s">
        <v>709</v>
      </c>
      <c r="B661" s="16" t="s">
        <v>710</v>
      </c>
      <c r="C661" s="3" t="s">
        <v>46</v>
      </c>
      <c r="D661" s="3">
        <v>2</v>
      </c>
      <c r="E661" s="3" t="s">
        <v>1855</v>
      </c>
      <c r="F661" s="3">
        <v>101</v>
      </c>
      <c r="G661" s="20">
        <f t="shared" si="27"/>
        <v>62.62</v>
      </c>
      <c r="H661" s="20">
        <f t="shared" si="26"/>
        <v>125.24</v>
      </c>
      <c r="J661" s="43" t="s">
        <v>2113</v>
      </c>
    </row>
    <row r="662" spans="1:10" x14ac:dyDescent="0.25">
      <c r="A662" s="59" t="s">
        <v>567</v>
      </c>
      <c r="B662" s="14" t="s">
        <v>568</v>
      </c>
      <c r="C662" s="3" t="s">
        <v>46</v>
      </c>
      <c r="D662" s="3">
        <v>2</v>
      </c>
      <c r="E662" s="3" t="s">
        <v>1855</v>
      </c>
      <c r="F662" s="3">
        <v>56.9</v>
      </c>
      <c r="G662" s="20">
        <f t="shared" si="27"/>
        <v>35.277999999999999</v>
      </c>
      <c r="H662" s="20">
        <f t="shared" si="26"/>
        <v>70.555999999999997</v>
      </c>
      <c r="J662" s="43" t="s">
        <v>2067</v>
      </c>
    </row>
    <row r="663" spans="1:10" x14ac:dyDescent="0.25">
      <c r="A663" s="59" t="s">
        <v>1803</v>
      </c>
      <c r="B663" s="14" t="s">
        <v>1805</v>
      </c>
      <c r="C663" s="3" t="s">
        <v>46</v>
      </c>
      <c r="D663" s="3">
        <v>2</v>
      </c>
      <c r="E663" s="3" t="s">
        <v>1856</v>
      </c>
      <c r="F663" s="3">
        <v>639</v>
      </c>
      <c r="G663" s="20">
        <f t="shared" si="27"/>
        <v>396.18</v>
      </c>
      <c r="H663" s="20">
        <f t="shared" si="26"/>
        <v>792.36</v>
      </c>
      <c r="J663" s="43" t="s">
        <v>1939</v>
      </c>
    </row>
    <row r="664" spans="1:10" x14ac:dyDescent="0.25">
      <c r="A664" s="59" t="s">
        <v>1807</v>
      </c>
      <c r="B664" s="14" t="s">
        <v>1808</v>
      </c>
      <c r="C664" s="3" t="s">
        <v>46</v>
      </c>
      <c r="D664" s="3">
        <v>2</v>
      </c>
      <c r="E664" s="3" t="s">
        <v>1855</v>
      </c>
      <c r="F664" s="3">
        <v>136.5</v>
      </c>
      <c r="G664" s="20">
        <f t="shared" si="27"/>
        <v>84.63</v>
      </c>
      <c r="H664" s="20">
        <f t="shared" si="26"/>
        <v>169.26</v>
      </c>
      <c r="J664" s="43" t="s">
        <v>2023</v>
      </c>
    </row>
    <row r="665" spans="1:10" s="5" customFormat="1" x14ac:dyDescent="0.25">
      <c r="A665" s="51"/>
      <c r="B665" s="6" t="s">
        <v>712</v>
      </c>
      <c r="C665" s="4"/>
      <c r="D665" s="29"/>
      <c r="E665" s="4"/>
      <c r="F665" s="4"/>
      <c r="G665" s="4"/>
      <c r="H665" s="4"/>
      <c r="J665" s="43"/>
    </row>
    <row r="666" spans="1:10" x14ac:dyDescent="0.25">
      <c r="A666" s="48" t="s">
        <v>713</v>
      </c>
      <c r="B666" s="3" t="s">
        <v>714</v>
      </c>
      <c r="C666" s="3" t="s">
        <v>46</v>
      </c>
      <c r="D666" s="3">
        <v>4</v>
      </c>
      <c r="E666" s="3" t="s">
        <v>1857</v>
      </c>
      <c r="F666" s="3">
        <v>85</v>
      </c>
      <c r="G666" s="20">
        <f t="shared" si="27"/>
        <v>52.7</v>
      </c>
      <c r="H666" s="20">
        <f t="shared" ref="H666:H701" si="28">G666*D666</f>
        <v>210.8</v>
      </c>
      <c r="J666" s="43" t="e">
        <v>#N/A</v>
      </c>
    </row>
    <row r="667" spans="1:10" x14ac:dyDescent="0.25">
      <c r="A667" s="48" t="s">
        <v>715</v>
      </c>
      <c r="B667" s="3" t="s">
        <v>716</v>
      </c>
      <c r="C667" s="3" t="s">
        <v>46</v>
      </c>
      <c r="D667" s="3">
        <v>4</v>
      </c>
      <c r="E667" s="3" t="s">
        <v>1857</v>
      </c>
      <c r="F667" s="3">
        <v>85</v>
      </c>
      <c r="G667" s="20">
        <f t="shared" si="27"/>
        <v>52.7</v>
      </c>
      <c r="H667" s="20">
        <f t="shared" si="28"/>
        <v>210.8</v>
      </c>
      <c r="J667" s="43" t="e">
        <v>#N/A</v>
      </c>
    </row>
    <row r="668" spans="1:10" x14ac:dyDescent="0.25">
      <c r="A668" s="48" t="s">
        <v>717</v>
      </c>
      <c r="B668" s="3" t="s">
        <v>718</v>
      </c>
      <c r="C668" s="3" t="s">
        <v>46</v>
      </c>
      <c r="D668" s="3">
        <v>4</v>
      </c>
      <c r="E668" s="3" t="s">
        <v>1857</v>
      </c>
      <c r="F668" s="3">
        <v>82.5</v>
      </c>
      <c r="G668" s="20">
        <f t="shared" si="27"/>
        <v>51.15</v>
      </c>
      <c r="H668" s="20">
        <f t="shared" si="28"/>
        <v>204.6</v>
      </c>
      <c r="J668" s="43" t="e">
        <v>#N/A</v>
      </c>
    </row>
    <row r="669" spans="1:10" x14ac:dyDescent="0.25">
      <c r="A669" s="48" t="s">
        <v>719</v>
      </c>
      <c r="B669" s="3" t="s">
        <v>720</v>
      </c>
      <c r="C669" s="3" t="s">
        <v>46</v>
      </c>
      <c r="D669" s="3">
        <v>4</v>
      </c>
      <c r="E669" s="3" t="s">
        <v>1857</v>
      </c>
      <c r="F669" s="3">
        <v>82.5</v>
      </c>
      <c r="G669" s="20">
        <f t="shared" si="27"/>
        <v>51.15</v>
      </c>
      <c r="H669" s="20">
        <f t="shared" si="28"/>
        <v>204.6</v>
      </c>
      <c r="J669" s="43" t="e">
        <v>#N/A</v>
      </c>
    </row>
    <row r="670" spans="1:10" x14ac:dyDescent="0.25">
      <c r="A670" s="48" t="s">
        <v>721</v>
      </c>
      <c r="B670" s="3" t="s">
        <v>722</v>
      </c>
      <c r="C670" s="3" t="s">
        <v>46</v>
      </c>
      <c r="D670" s="3">
        <v>4</v>
      </c>
      <c r="E670" s="3" t="s">
        <v>1856</v>
      </c>
      <c r="F670" s="3">
        <v>120</v>
      </c>
      <c r="G670" s="20">
        <f t="shared" si="27"/>
        <v>74.400000000000006</v>
      </c>
      <c r="H670" s="20">
        <f t="shared" si="28"/>
        <v>297.60000000000002</v>
      </c>
      <c r="J670" s="43" t="e">
        <v>#N/A</v>
      </c>
    </row>
    <row r="671" spans="1:10" x14ac:dyDescent="0.25">
      <c r="A671" s="48" t="s">
        <v>723</v>
      </c>
      <c r="B671" s="3" t="s">
        <v>724</v>
      </c>
      <c r="C671" s="3" t="s">
        <v>46</v>
      </c>
      <c r="D671" s="3">
        <v>4</v>
      </c>
      <c r="E671" s="3" t="s">
        <v>1856</v>
      </c>
      <c r="F671" s="3">
        <v>120</v>
      </c>
      <c r="G671" s="20">
        <f t="shared" si="27"/>
        <v>74.400000000000006</v>
      </c>
      <c r="H671" s="20">
        <f t="shared" si="28"/>
        <v>297.60000000000002</v>
      </c>
      <c r="J671" s="43" t="e">
        <v>#N/A</v>
      </c>
    </row>
    <row r="672" spans="1:10" x14ac:dyDescent="0.25">
      <c r="A672" s="48" t="s">
        <v>725</v>
      </c>
      <c r="B672" s="3" t="s">
        <v>726</v>
      </c>
      <c r="C672" s="3" t="s">
        <v>46</v>
      </c>
      <c r="D672" s="3">
        <v>4</v>
      </c>
      <c r="E672" s="3" t="s">
        <v>1856</v>
      </c>
      <c r="F672" s="3">
        <v>161</v>
      </c>
      <c r="G672" s="20">
        <f t="shared" si="27"/>
        <v>99.82</v>
      </c>
      <c r="H672" s="20">
        <f t="shared" si="28"/>
        <v>399.28</v>
      </c>
      <c r="J672" s="43" t="e">
        <v>#N/A</v>
      </c>
    </row>
    <row r="673" spans="1:10" x14ac:dyDescent="0.25">
      <c r="A673" s="48" t="s">
        <v>727</v>
      </c>
      <c r="B673" s="3" t="s">
        <v>728</v>
      </c>
      <c r="C673" s="3" t="s">
        <v>46</v>
      </c>
      <c r="D673" s="3">
        <v>4</v>
      </c>
      <c r="E673" s="3" t="s">
        <v>1856</v>
      </c>
      <c r="F673" s="3">
        <v>161</v>
      </c>
      <c r="G673" s="20">
        <f t="shared" si="27"/>
        <v>99.82</v>
      </c>
      <c r="H673" s="20">
        <f t="shared" si="28"/>
        <v>399.28</v>
      </c>
      <c r="J673" s="43" t="e">
        <v>#N/A</v>
      </c>
    </row>
    <row r="674" spans="1:10" x14ac:dyDescent="0.25">
      <c r="A674" s="48" t="s">
        <v>729</v>
      </c>
      <c r="B674" s="3" t="s">
        <v>730</v>
      </c>
      <c r="C674" s="3" t="s">
        <v>46</v>
      </c>
      <c r="D674" s="3">
        <v>4</v>
      </c>
      <c r="E674" s="3" t="s">
        <v>1856</v>
      </c>
      <c r="F674" s="3">
        <v>148</v>
      </c>
      <c r="G674" s="20">
        <f t="shared" si="27"/>
        <v>91.759999999999991</v>
      </c>
      <c r="H674" s="20">
        <f t="shared" si="28"/>
        <v>367.03999999999996</v>
      </c>
      <c r="J674" s="43" t="e">
        <v>#N/A</v>
      </c>
    </row>
    <row r="675" spans="1:10" x14ac:dyDescent="0.25">
      <c r="A675" s="48" t="s">
        <v>731</v>
      </c>
      <c r="B675" s="3" t="s">
        <v>732</v>
      </c>
      <c r="C675" s="3" t="s">
        <v>46</v>
      </c>
      <c r="D675" s="3">
        <v>4</v>
      </c>
      <c r="E675" s="3" t="s">
        <v>1856</v>
      </c>
      <c r="F675" s="3">
        <v>148</v>
      </c>
      <c r="G675" s="20">
        <f t="shared" si="27"/>
        <v>91.759999999999991</v>
      </c>
      <c r="H675" s="20">
        <f t="shared" si="28"/>
        <v>367.03999999999996</v>
      </c>
      <c r="J675" s="43" t="e">
        <v>#N/A</v>
      </c>
    </row>
    <row r="676" spans="1:10" x14ac:dyDescent="0.25">
      <c r="A676" s="48" t="s">
        <v>733</v>
      </c>
      <c r="B676" s="3" t="s">
        <v>734</v>
      </c>
      <c r="C676" s="3" t="s">
        <v>46</v>
      </c>
      <c r="D676" s="3">
        <v>4</v>
      </c>
      <c r="E676" s="3" t="s">
        <v>1856</v>
      </c>
      <c r="F676" s="3">
        <v>155.5</v>
      </c>
      <c r="G676" s="20">
        <f t="shared" si="27"/>
        <v>96.41</v>
      </c>
      <c r="H676" s="20">
        <f t="shared" si="28"/>
        <v>385.64</v>
      </c>
      <c r="J676" s="43" t="e">
        <v>#N/A</v>
      </c>
    </row>
    <row r="677" spans="1:10" x14ac:dyDescent="0.25">
      <c r="A677" s="48" t="s">
        <v>735</v>
      </c>
      <c r="B677" s="3" t="s">
        <v>736</v>
      </c>
      <c r="C677" s="3" t="s">
        <v>46</v>
      </c>
      <c r="D677" s="3">
        <v>4</v>
      </c>
      <c r="E677" s="3" t="s">
        <v>1856</v>
      </c>
      <c r="F677" s="3">
        <v>155.5</v>
      </c>
      <c r="G677" s="20">
        <f t="shared" si="27"/>
        <v>96.41</v>
      </c>
      <c r="H677" s="20">
        <f t="shared" si="28"/>
        <v>385.64</v>
      </c>
      <c r="J677" s="43" t="e">
        <v>#N/A</v>
      </c>
    </row>
    <row r="678" spans="1:10" x14ac:dyDescent="0.25">
      <c r="A678" s="48" t="s">
        <v>737</v>
      </c>
      <c r="B678" s="3" t="s">
        <v>738</v>
      </c>
      <c r="C678" s="3" t="s">
        <v>46</v>
      </c>
      <c r="D678" s="3">
        <v>4</v>
      </c>
      <c r="E678" s="3" t="s">
        <v>1856</v>
      </c>
      <c r="F678" s="3">
        <v>134.5</v>
      </c>
      <c r="G678" s="20">
        <f t="shared" si="27"/>
        <v>83.39</v>
      </c>
      <c r="H678" s="20">
        <f t="shared" si="28"/>
        <v>333.56</v>
      </c>
      <c r="J678" s="43" t="e">
        <v>#N/A</v>
      </c>
    </row>
    <row r="679" spans="1:10" x14ac:dyDescent="0.25">
      <c r="A679" s="46" t="s">
        <v>739</v>
      </c>
      <c r="B679" s="3" t="s">
        <v>740</v>
      </c>
      <c r="C679" s="3" t="s">
        <v>46</v>
      </c>
      <c r="D679" s="3">
        <v>4</v>
      </c>
      <c r="E679" s="3" t="s">
        <v>1855</v>
      </c>
      <c r="F679" s="3">
        <v>212.5</v>
      </c>
      <c r="G679" s="20">
        <f t="shared" si="27"/>
        <v>131.75</v>
      </c>
      <c r="H679" s="20">
        <f t="shared" si="28"/>
        <v>527</v>
      </c>
      <c r="J679" s="43" t="s">
        <v>2114</v>
      </c>
    </row>
    <row r="680" spans="1:10" x14ac:dyDescent="0.25">
      <c r="A680" s="46" t="s">
        <v>741</v>
      </c>
      <c r="B680" s="3" t="s">
        <v>742</v>
      </c>
      <c r="C680" s="3" t="s">
        <v>46</v>
      </c>
      <c r="D680" s="3">
        <v>4</v>
      </c>
      <c r="E680" s="3" t="s">
        <v>1855</v>
      </c>
      <c r="F680" s="3">
        <v>222</v>
      </c>
      <c r="G680" s="20">
        <f t="shared" si="27"/>
        <v>137.63999999999999</v>
      </c>
      <c r="H680" s="20">
        <f t="shared" si="28"/>
        <v>550.55999999999995</v>
      </c>
      <c r="J680" s="43" t="s">
        <v>2115</v>
      </c>
    </row>
    <row r="681" spans="1:10" x14ac:dyDescent="0.25">
      <c r="A681" s="46" t="s">
        <v>743</v>
      </c>
      <c r="B681" s="3" t="s">
        <v>744</v>
      </c>
      <c r="C681" s="3" t="s">
        <v>46</v>
      </c>
      <c r="D681" s="3">
        <v>4</v>
      </c>
      <c r="E681" s="3" t="s">
        <v>1855</v>
      </c>
      <c r="F681" s="3">
        <v>265.5</v>
      </c>
      <c r="G681" s="20">
        <f t="shared" si="27"/>
        <v>164.61</v>
      </c>
      <c r="H681" s="20">
        <f t="shared" si="28"/>
        <v>658.44</v>
      </c>
      <c r="J681" s="43" t="s">
        <v>2116</v>
      </c>
    </row>
    <row r="682" spans="1:10" x14ac:dyDescent="0.25">
      <c r="A682" s="46" t="s">
        <v>745</v>
      </c>
      <c r="B682" s="3" t="s">
        <v>746</v>
      </c>
      <c r="C682" s="3" t="s">
        <v>46</v>
      </c>
      <c r="D682" s="3">
        <v>4</v>
      </c>
      <c r="E682" s="3" t="s">
        <v>1855</v>
      </c>
      <c r="F682" s="3">
        <v>174.5</v>
      </c>
      <c r="G682" s="20">
        <f t="shared" si="27"/>
        <v>108.19</v>
      </c>
      <c r="H682" s="20">
        <f t="shared" si="28"/>
        <v>432.76</v>
      </c>
      <c r="J682" s="43" t="s">
        <v>746</v>
      </c>
    </row>
    <row r="683" spans="1:10" x14ac:dyDescent="0.25">
      <c r="A683" s="46" t="s">
        <v>747</v>
      </c>
      <c r="B683" s="3" t="s">
        <v>748</v>
      </c>
      <c r="C683" s="3" t="s">
        <v>46</v>
      </c>
      <c r="D683" s="3">
        <v>4</v>
      </c>
      <c r="E683" s="3" t="s">
        <v>1855</v>
      </c>
      <c r="F683" s="3">
        <v>143.5</v>
      </c>
      <c r="G683" s="20">
        <f t="shared" si="27"/>
        <v>88.97</v>
      </c>
      <c r="H683" s="20">
        <f t="shared" si="28"/>
        <v>355.88</v>
      </c>
      <c r="J683" s="43" t="s">
        <v>748</v>
      </c>
    </row>
    <row r="684" spans="1:10" x14ac:dyDescent="0.25">
      <c r="A684" s="46" t="s">
        <v>749</v>
      </c>
      <c r="B684" s="3" t="s">
        <v>750</v>
      </c>
      <c r="C684" s="3" t="s">
        <v>46</v>
      </c>
      <c r="D684" s="3">
        <v>4</v>
      </c>
      <c r="E684" s="3" t="s">
        <v>1855</v>
      </c>
      <c r="F684" s="3">
        <v>240</v>
      </c>
      <c r="G684" s="20">
        <f t="shared" si="27"/>
        <v>148.80000000000001</v>
      </c>
      <c r="H684" s="20">
        <f t="shared" si="28"/>
        <v>595.20000000000005</v>
      </c>
      <c r="J684" s="43" t="s">
        <v>750</v>
      </c>
    </row>
    <row r="685" spans="1:10" x14ac:dyDescent="0.25">
      <c r="A685" s="46" t="s">
        <v>751</v>
      </c>
      <c r="B685" s="3" t="s">
        <v>752</v>
      </c>
      <c r="C685" s="3" t="s">
        <v>46</v>
      </c>
      <c r="D685" s="3">
        <v>4</v>
      </c>
      <c r="E685" s="3" t="s">
        <v>1855</v>
      </c>
      <c r="F685" s="3">
        <v>276</v>
      </c>
      <c r="G685" s="20">
        <f t="shared" si="27"/>
        <v>171.12</v>
      </c>
      <c r="H685" s="20">
        <f t="shared" si="28"/>
        <v>684.48</v>
      </c>
      <c r="J685" s="43" t="s">
        <v>752</v>
      </c>
    </row>
    <row r="686" spans="1:10" x14ac:dyDescent="0.25">
      <c r="A686" s="46" t="s">
        <v>753</v>
      </c>
      <c r="B686" s="3" t="s">
        <v>754</v>
      </c>
      <c r="C686" s="3" t="s">
        <v>46</v>
      </c>
      <c r="D686" s="3">
        <v>4</v>
      </c>
      <c r="E686" s="3" t="s">
        <v>1855</v>
      </c>
      <c r="F686" s="3">
        <v>261</v>
      </c>
      <c r="G686" s="20">
        <f t="shared" si="27"/>
        <v>161.82</v>
      </c>
      <c r="H686" s="20">
        <f t="shared" si="28"/>
        <v>647.28</v>
      </c>
      <c r="J686" s="43" t="s">
        <v>754</v>
      </c>
    </row>
    <row r="687" spans="1:10" x14ac:dyDescent="0.25">
      <c r="A687" s="46" t="s">
        <v>755</v>
      </c>
      <c r="B687" s="3" t="s">
        <v>756</v>
      </c>
      <c r="C687" s="3" t="s">
        <v>46</v>
      </c>
      <c r="D687" s="3">
        <v>4</v>
      </c>
      <c r="E687" s="3" t="s">
        <v>1855</v>
      </c>
      <c r="F687" s="3">
        <v>338</v>
      </c>
      <c r="G687" s="20">
        <f t="shared" si="27"/>
        <v>209.56</v>
      </c>
      <c r="H687" s="20">
        <f t="shared" si="28"/>
        <v>838.24</v>
      </c>
      <c r="J687" s="43" t="s">
        <v>756</v>
      </c>
    </row>
    <row r="688" spans="1:10" x14ac:dyDescent="0.25">
      <c r="A688" s="46" t="s">
        <v>757</v>
      </c>
      <c r="B688" s="3" t="s">
        <v>758</v>
      </c>
      <c r="C688" s="3" t="s">
        <v>46</v>
      </c>
      <c r="D688" s="3">
        <v>4</v>
      </c>
      <c r="E688" s="3" t="s">
        <v>1855</v>
      </c>
      <c r="F688" s="3">
        <v>346.5</v>
      </c>
      <c r="G688" s="20">
        <f t="shared" si="27"/>
        <v>214.83</v>
      </c>
      <c r="H688" s="20">
        <f t="shared" si="28"/>
        <v>859.32</v>
      </c>
      <c r="J688" s="43" t="s">
        <v>758</v>
      </c>
    </row>
    <row r="689" spans="1:10" x14ac:dyDescent="0.25">
      <c r="A689" s="48" t="s">
        <v>759</v>
      </c>
      <c r="B689" s="3" t="s">
        <v>760</v>
      </c>
      <c r="C689" s="3" t="s">
        <v>46</v>
      </c>
      <c r="D689" s="3">
        <v>4</v>
      </c>
      <c r="E689" s="3" t="s">
        <v>1855</v>
      </c>
      <c r="F689" s="3">
        <v>31.9</v>
      </c>
      <c r="G689" s="20">
        <f t="shared" si="27"/>
        <v>19.777999999999999</v>
      </c>
      <c r="H689" s="20">
        <f t="shared" si="28"/>
        <v>79.111999999999995</v>
      </c>
      <c r="J689" s="43" t="e">
        <v>#N/A</v>
      </c>
    </row>
    <row r="690" spans="1:10" x14ac:dyDescent="0.25">
      <c r="A690" s="48" t="s">
        <v>761</v>
      </c>
      <c r="B690" s="3" t="s">
        <v>762</v>
      </c>
      <c r="C690" s="3" t="s">
        <v>46</v>
      </c>
      <c r="D690" s="3">
        <v>4</v>
      </c>
      <c r="E690" s="3" t="s">
        <v>1856</v>
      </c>
      <c r="F690" s="3">
        <v>44</v>
      </c>
      <c r="G690" s="20">
        <f t="shared" si="27"/>
        <v>27.28</v>
      </c>
      <c r="H690" s="20">
        <f t="shared" si="28"/>
        <v>109.12</v>
      </c>
      <c r="J690" s="43" t="e">
        <v>#N/A</v>
      </c>
    </row>
    <row r="691" spans="1:10" x14ac:dyDescent="0.25">
      <c r="A691" s="48" t="s">
        <v>761</v>
      </c>
      <c r="B691" s="3" t="s">
        <v>762</v>
      </c>
      <c r="C691" s="3" t="s">
        <v>46</v>
      </c>
      <c r="D691" s="3">
        <v>4</v>
      </c>
      <c r="E691" s="3" t="s">
        <v>1856</v>
      </c>
      <c r="F691" s="3">
        <v>44</v>
      </c>
      <c r="G691" s="20">
        <f t="shared" si="27"/>
        <v>27.28</v>
      </c>
      <c r="H691" s="20">
        <f t="shared" si="28"/>
        <v>109.12</v>
      </c>
      <c r="J691" s="43" t="e">
        <v>#N/A</v>
      </c>
    </row>
    <row r="692" spans="1:10" x14ac:dyDescent="0.25">
      <c r="A692" s="46" t="s">
        <v>763</v>
      </c>
      <c r="B692" s="3" t="s">
        <v>764</v>
      </c>
      <c r="C692" s="3" t="s">
        <v>46</v>
      </c>
      <c r="D692" s="3">
        <v>6</v>
      </c>
      <c r="E692" s="3" t="s">
        <v>1855</v>
      </c>
      <c r="F692" s="3">
        <v>47.4</v>
      </c>
      <c r="G692" s="20">
        <f t="shared" si="27"/>
        <v>29.387999999999998</v>
      </c>
      <c r="H692" s="20">
        <f t="shared" si="28"/>
        <v>176.32799999999997</v>
      </c>
      <c r="J692" s="43" t="s">
        <v>2117</v>
      </c>
    </row>
    <row r="693" spans="1:10" x14ac:dyDescent="0.25">
      <c r="A693" s="46" t="s">
        <v>765</v>
      </c>
      <c r="B693" s="3" t="s">
        <v>766</v>
      </c>
      <c r="C693" s="3" t="s">
        <v>47</v>
      </c>
      <c r="D693" s="3">
        <v>6</v>
      </c>
      <c r="E693" s="3" t="s">
        <v>1855</v>
      </c>
      <c r="F693" s="3">
        <v>59.6</v>
      </c>
      <c r="G693" s="20">
        <f t="shared" si="27"/>
        <v>36.951999999999998</v>
      </c>
      <c r="H693" s="20">
        <f t="shared" si="28"/>
        <v>221.71199999999999</v>
      </c>
      <c r="J693" s="43" t="s">
        <v>2118</v>
      </c>
    </row>
    <row r="694" spans="1:10" x14ac:dyDescent="0.25">
      <c r="A694" s="48" t="s">
        <v>767</v>
      </c>
      <c r="B694" s="3" t="s">
        <v>768</v>
      </c>
      <c r="C694" s="3" t="s">
        <v>46</v>
      </c>
      <c r="D694" s="3">
        <v>2</v>
      </c>
      <c r="E694" s="3" t="s">
        <v>1856</v>
      </c>
      <c r="F694" s="3">
        <v>159.5</v>
      </c>
      <c r="G694" s="20">
        <f t="shared" si="27"/>
        <v>98.89</v>
      </c>
      <c r="H694" s="20">
        <f t="shared" si="28"/>
        <v>197.78</v>
      </c>
      <c r="J694" s="43" t="e">
        <v>#N/A</v>
      </c>
    </row>
    <row r="695" spans="1:10" x14ac:dyDescent="0.25">
      <c r="A695" s="48" t="s">
        <v>769</v>
      </c>
      <c r="B695" s="3" t="s">
        <v>770</v>
      </c>
      <c r="C695" s="3" t="s">
        <v>46</v>
      </c>
      <c r="D695" s="3">
        <v>2</v>
      </c>
      <c r="E695" s="3" t="s">
        <v>1857</v>
      </c>
      <c r="F695" s="3">
        <v>159.5</v>
      </c>
      <c r="G695" s="20">
        <f t="shared" si="27"/>
        <v>98.89</v>
      </c>
      <c r="H695" s="20">
        <f t="shared" si="28"/>
        <v>197.78</v>
      </c>
      <c r="J695" s="43" t="e">
        <v>#N/A</v>
      </c>
    </row>
    <row r="696" spans="1:10" x14ac:dyDescent="0.25">
      <c r="A696" s="48" t="s">
        <v>771</v>
      </c>
      <c r="B696" s="3" t="s">
        <v>772</v>
      </c>
      <c r="C696" s="3" t="s">
        <v>46</v>
      </c>
      <c r="D696" s="3">
        <v>4</v>
      </c>
      <c r="E696" s="3" t="s">
        <v>1857</v>
      </c>
      <c r="F696" s="3">
        <v>88.8</v>
      </c>
      <c r="G696" s="20">
        <f t="shared" si="27"/>
        <v>55.055999999999997</v>
      </c>
      <c r="H696" s="20">
        <f t="shared" si="28"/>
        <v>220.22399999999999</v>
      </c>
      <c r="J696" s="43" t="e">
        <v>#N/A</v>
      </c>
    </row>
    <row r="697" spans="1:10" x14ac:dyDescent="0.25">
      <c r="A697" s="48" t="s">
        <v>773</v>
      </c>
      <c r="B697" s="3" t="s">
        <v>774</v>
      </c>
      <c r="C697" s="3" t="s">
        <v>46</v>
      </c>
      <c r="D697" s="3">
        <v>4</v>
      </c>
      <c r="E697" s="3" t="s">
        <v>1857</v>
      </c>
      <c r="F697" s="3">
        <v>88.8</v>
      </c>
      <c r="G697" s="20">
        <f t="shared" si="27"/>
        <v>55.055999999999997</v>
      </c>
      <c r="H697" s="20">
        <f t="shared" si="28"/>
        <v>220.22399999999999</v>
      </c>
      <c r="J697" s="43" t="e">
        <v>#N/A</v>
      </c>
    </row>
    <row r="698" spans="1:10" x14ac:dyDescent="0.25">
      <c r="A698" s="48" t="s">
        <v>775</v>
      </c>
      <c r="B698" s="3" t="s">
        <v>776</v>
      </c>
      <c r="C698" s="3" t="s">
        <v>46</v>
      </c>
      <c r="D698" s="3">
        <v>4</v>
      </c>
      <c r="E698" s="3" t="s">
        <v>1857</v>
      </c>
      <c r="F698" s="3">
        <v>93.8</v>
      </c>
      <c r="G698" s="20">
        <f t="shared" si="27"/>
        <v>58.155999999999999</v>
      </c>
      <c r="H698" s="20">
        <f t="shared" si="28"/>
        <v>232.624</v>
      </c>
      <c r="J698" s="43" t="e">
        <v>#N/A</v>
      </c>
    </row>
    <row r="699" spans="1:10" x14ac:dyDescent="0.25">
      <c r="A699" s="48" t="s">
        <v>777</v>
      </c>
      <c r="B699" s="3" t="s">
        <v>778</v>
      </c>
      <c r="C699" s="3" t="s">
        <v>46</v>
      </c>
      <c r="D699" s="3">
        <v>4</v>
      </c>
      <c r="E699" s="3" t="s">
        <v>1857</v>
      </c>
      <c r="F699" s="3">
        <v>93.8</v>
      </c>
      <c r="G699" s="20">
        <f t="shared" si="27"/>
        <v>58.155999999999999</v>
      </c>
      <c r="H699" s="20">
        <f t="shared" si="28"/>
        <v>232.624</v>
      </c>
      <c r="J699" s="43" t="e">
        <v>#N/A</v>
      </c>
    </row>
    <row r="700" spans="1:10" x14ac:dyDescent="0.25">
      <c r="A700" s="46" t="s">
        <v>1801</v>
      </c>
      <c r="B700" s="3" t="s">
        <v>1802</v>
      </c>
      <c r="C700" s="3" t="s">
        <v>46</v>
      </c>
      <c r="D700" s="3">
        <v>4</v>
      </c>
      <c r="E700" s="3" t="s">
        <v>1856</v>
      </c>
      <c r="F700" s="3">
        <v>501</v>
      </c>
      <c r="G700" s="20">
        <f t="shared" si="27"/>
        <v>310.62</v>
      </c>
      <c r="H700" s="20">
        <f t="shared" si="28"/>
        <v>1242.48</v>
      </c>
      <c r="J700" s="43" t="s">
        <v>1927</v>
      </c>
    </row>
    <row r="701" spans="1:10" x14ac:dyDescent="0.25">
      <c r="A701" s="46" t="s">
        <v>1793</v>
      </c>
      <c r="B701" s="3" t="s">
        <v>1794</v>
      </c>
      <c r="C701" s="3" t="s">
        <v>46</v>
      </c>
      <c r="D701" s="3">
        <v>4</v>
      </c>
      <c r="E701" s="3" t="s">
        <v>1855</v>
      </c>
      <c r="F701" s="3">
        <v>96.6</v>
      </c>
      <c r="G701" s="20">
        <f t="shared" si="27"/>
        <v>59.891999999999996</v>
      </c>
      <c r="H701" s="20">
        <f t="shared" si="28"/>
        <v>239.56799999999998</v>
      </c>
      <c r="J701" s="43" t="s">
        <v>1881</v>
      </c>
    </row>
    <row r="702" spans="1:10" s="5" customFormat="1" x14ac:dyDescent="0.25">
      <c r="A702" s="51"/>
      <c r="B702" s="6" t="s">
        <v>779</v>
      </c>
      <c r="C702" s="4"/>
      <c r="D702" s="29"/>
      <c r="E702" s="4"/>
      <c r="F702" s="4"/>
      <c r="G702" s="4"/>
      <c r="H702" s="4"/>
      <c r="J702" s="43"/>
    </row>
    <row r="703" spans="1:10" x14ac:dyDescent="0.25">
      <c r="A703" s="55" t="s">
        <v>3</v>
      </c>
      <c r="B703" s="15" t="s">
        <v>780</v>
      </c>
      <c r="C703" s="3"/>
      <c r="D703" s="3"/>
      <c r="E703" s="20"/>
      <c r="F703" s="3"/>
      <c r="G703" s="3"/>
      <c r="H703" s="20"/>
    </row>
    <row r="704" spans="1:10" x14ac:dyDescent="0.25">
      <c r="A704" s="59" t="s">
        <v>316</v>
      </c>
      <c r="B704" s="14" t="s">
        <v>317</v>
      </c>
      <c r="C704" s="3" t="s">
        <v>46</v>
      </c>
      <c r="D704" s="3">
        <v>2</v>
      </c>
      <c r="E704" s="3" t="s">
        <v>1855</v>
      </c>
      <c r="F704" s="3">
        <v>13.1</v>
      </c>
      <c r="G704" s="20">
        <f t="shared" si="27"/>
        <v>8.1219999999999999</v>
      </c>
      <c r="H704" s="20">
        <f t="shared" ref="H704:H727" si="29">G704*D704</f>
        <v>16.244</v>
      </c>
      <c r="J704" s="43" t="s">
        <v>1995</v>
      </c>
    </row>
    <row r="705" spans="1:10" x14ac:dyDescent="0.25">
      <c r="A705" s="59" t="s">
        <v>781</v>
      </c>
      <c r="B705" s="14" t="s">
        <v>782</v>
      </c>
      <c r="C705" s="3" t="s">
        <v>46</v>
      </c>
      <c r="D705" s="3">
        <v>2</v>
      </c>
      <c r="E705" s="3" t="s">
        <v>1855</v>
      </c>
      <c r="F705" s="3">
        <v>55.3</v>
      </c>
      <c r="G705" s="20">
        <f t="shared" si="27"/>
        <v>34.286000000000001</v>
      </c>
      <c r="H705" s="20">
        <f t="shared" si="29"/>
        <v>68.572000000000003</v>
      </c>
      <c r="J705" s="43" t="s">
        <v>2119</v>
      </c>
    </row>
    <row r="706" spans="1:10" x14ac:dyDescent="0.25">
      <c r="A706" s="59" t="s">
        <v>783</v>
      </c>
      <c r="B706" s="14" t="s">
        <v>784</v>
      </c>
      <c r="C706" s="3" t="s">
        <v>46</v>
      </c>
      <c r="D706" s="3">
        <v>2</v>
      </c>
      <c r="E706" s="3" t="s">
        <v>1855</v>
      </c>
      <c r="F706" s="3">
        <v>51.9</v>
      </c>
      <c r="G706" s="20">
        <f t="shared" si="27"/>
        <v>32.177999999999997</v>
      </c>
      <c r="H706" s="20">
        <f t="shared" si="29"/>
        <v>64.355999999999995</v>
      </c>
      <c r="J706" s="43" t="s">
        <v>2120</v>
      </c>
    </row>
    <row r="707" spans="1:10" x14ac:dyDescent="0.25">
      <c r="A707" s="59" t="s">
        <v>785</v>
      </c>
      <c r="B707" s="14" t="s">
        <v>786</v>
      </c>
      <c r="C707" s="3" t="s">
        <v>46</v>
      </c>
      <c r="D707" s="3">
        <v>2</v>
      </c>
      <c r="E707" s="3" t="s">
        <v>1855</v>
      </c>
      <c r="F707" s="3">
        <v>51.9</v>
      </c>
      <c r="G707" s="20">
        <f t="shared" si="27"/>
        <v>32.177999999999997</v>
      </c>
      <c r="H707" s="20">
        <f t="shared" si="29"/>
        <v>64.355999999999995</v>
      </c>
      <c r="J707" s="43" t="s">
        <v>2121</v>
      </c>
    </row>
    <row r="708" spans="1:10" x14ac:dyDescent="0.25">
      <c r="A708" s="59" t="s">
        <v>787</v>
      </c>
      <c r="B708" s="14" t="s">
        <v>788</v>
      </c>
      <c r="C708" s="3" t="s">
        <v>47</v>
      </c>
      <c r="D708" s="3">
        <v>2</v>
      </c>
      <c r="E708" s="3" t="s">
        <v>1855</v>
      </c>
      <c r="F708" s="3">
        <v>26.7</v>
      </c>
      <c r="G708" s="20">
        <f t="shared" si="27"/>
        <v>16.554000000000002</v>
      </c>
      <c r="H708" s="20">
        <f t="shared" si="29"/>
        <v>33.108000000000004</v>
      </c>
      <c r="J708" s="43" t="s">
        <v>2122</v>
      </c>
    </row>
    <row r="709" spans="1:10" x14ac:dyDescent="0.25">
      <c r="A709" s="59" t="s">
        <v>789</v>
      </c>
      <c r="B709" s="14" t="s">
        <v>790</v>
      </c>
      <c r="C709" s="3" t="s">
        <v>46</v>
      </c>
      <c r="D709" s="3">
        <v>2</v>
      </c>
      <c r="E709" s="3" t="s">
        <v>1855</v>
      </c>
      <c r="F709" s="3">
        <v>27.1</v>
      </c>
      <c r="G709" s="20">
        <f t="shared" si="27"/>
        <v>16.802</v>
      </c>
      <c r="H709" s="20">
        <f t="shared" si="29"/>
        <v>33.603999999999999</v>
      </c>
      <c r="J709" s="43" t="s">
        <v>790</v>
      </c>
    </row>
    <row r="710" spans="1:10" x14ac:dyDescent="0.25">
      <c r="A710" s="59" t="s">
        <v>791</v>
      </c>
      <c r="B710" s="14" t="s">
        <v>792</v>
      </c>
      <c r="C710" s="3" t="s">
        <v>46</v>
      </c>
      <c r="D710" s="3">
        <v>2</v>
      </c>
      <c r="E710" s="3" t="s">
        <v>1855</v>
      </c>
      <c r="F710" s="3">
        <v>48.1</v>
      </c>
      <c r="G710" s="20">
        <f t="shared" si="27"/>
        <v>29.821999999999999</v>
      </c>
      <c r="H710" s="20">
        <f t="shared" si="29"/>
        <v>59.643999999999998</v>
      </c>
      <c r="J710" s="43" t="s">
        <v>2123</v>
      </c>
    </row>
    <row r="711" spans="1:10" x14ac:dyDescent="0.25">
      <c r="A711" s="59" t="s">
        <v>793</v>
      </c>
      <c r="B711" s="14" t="s">
        <v>794</v>
      </c>
      <c r="C711" s="3" t="s">
        <v>46</v>
      </c>
      <c r="D711" s="3">
        <v>2</v>
      </c>
      <c r="E711" s="3" t="s">
        <v>1855</v>
      </c>
      <c r="F711" s="3">
        <v>44.6</v>
      </c>
      <c r="G711" s="20">
        <f t="shared" si="27"/>
        <v>27.652000000000001</v>
      </c>
      <c r="H711" s="20">
        <f t="shared" si="29"/>
        <v>55.304000000000002</v>
      </c>
      <c r="J711" s="43" t="s">
        <v>2124</v>
      </c>
    </row>
    <row r="712" spans="1:10" x14ac:dyDescent="0.25">
      <c r="A712" s="59" t="s">
        <v>795</v>
      </c>
      <c r="B712" s="14" t="s">
        <v>796</v>
      </c>
      <c r="C712" s="3" t="s">
        <v>46</v>
      </c>
      <c r="D712" s="3">
        <v>2</v>
      </c>
      <c r="E712" s="3" t="s">
        <v>1855</v>
      </c>
      <c r="F712" s="3">
        <v>52.1</v>
      </c>
      <c r="G712" s="20">
        <f t="shared" si="27"/>
        <v>32.302</v>
      </c>
      <c r="H712" s="20">
        <f t="shared" si="29"/>
        <v>64.603999999999999</v>
      </c>
      <c r="J712" s="43" t="s">
        <v>796</v>
      </c>
    </row>
    <row r="713" spans="1:10" x14ac:dyDescent="0.25">
      <c r="A713" s="59" t="s">
        <v>671</v>
      </c>
      <c r="B713" s="14" t="s">
        <v>797</v>
      </c>
      <c r="C713" s="3" t="s">
        <v>46</v>
      </c>
      <c r="D713" s="3">
        <v>2</v>
      </c>
      <c r="E713" s="3" t="s">
        <v>1855</v>
      </c>
      <c r="F713" s="3">
        <v>22.9</v>
      </c>
      <c r="G713" s="20">
        <f t="shared" si="27"/>
        <v>14.197999999999999</v>
      </c>
      <c r="H713" s="20">
        <f t="shared" si="29"/>
        <v>28.395999999999997</v>
      </c>
      <c r="J713" s="43" t="s">
        <v>2100</v>
      </c>
    </row>
    <row r="714" spans="1:10" x14ac:dyDescent="0.25">
      <c r="A714" s="59" t="s">
        <v>583</v>
      </c>
      <c r="B714" s="14" t="s">
        <v>798</v>
      </c>
      <c r="C714" s="3" t="s">
        <v>711</v>
      </c>
      <c r="D714" s="3">
        <v>2</v>
      </c>
      <c r="E714" s="3" t="s">
        <v>1855</v>
      </c>
      <c r="F714" s="3">
        <v>48.2</v>
      </c>
      <c r="G714" s="20">
        <f t="shared" si="27"/>
        <v>29.884</v>
      </c>
      <c r="H714" s="20">
        <f t="shared" si="29"/>
        <v>59.768000000000001</v>
      </c>
      <c r="J714" s="43" t="s">
        <v>798</v>
      </c>
    </row>
    <row r="715" spans="1:10" x14ac:dyDescent="0.25">
      <c r="A715" s="59" t="s">
        <v>585</v>
      </c>
      <c r="B715" s="14" t="s">
        <v>586</v>
      </c>
      <c r="C715" s="3" t="s">
        <v>711</v>
      </c>
      <c r="D715" s="3">
        <v>2</v>
      </c>
      <c r="E715" s="3" t="s">
        <v>1855</v>
      </c>
      <c r="F715" s="3">
        <v>48.2</v>
      </c>
      <c r="G715" s="20">
        <f t="shared" si="27"/>
        <v>29.884</v>
      </c>
      <c r="H715" s="20">
        <f t="shared" si="29"/>
        <v>59.768000000000001</v>
      </c>
      <c r="J715" s="43" t="s">
        <v>586</v>
      </c>
    </row>
    <row r="716" spans="1:10" x14ac:dyDescent="0.25">
      <c r="A716" s="59" t="s">
        <v>799</v>
      </c>
      <c r="B716" s="14" t="s">
        <v>800</v>
      </c>
      <c r="C716" s="3" t="s">
        <v>711</v>
      </c>
      <c r="D716" s="3">
        <v>2</v>
      </c>
      <c r="E716" s="3" t="s">
        <v>1855</v>
      </c>
      <c r="F716" s="3">
        <v>48.1</v>
      </c>
      <c r="G716" s="20">
        <f t="shared" si="27"/>
        <v>29.821999999999999</v>
      </c>
      <c r="H716" s="20">
        <f t="shared" si="29"/>
        <v>59.643999999999998</v>
      </c>
      <c r="J716" s="43" t="s">
        <v>800</v>
      </c>
    </row>
    <row r="717" spans="1:10" x14ac:dyDescent="0.25">
      <c r="A717" s="59" t="s">
        <v>801</v>
      </c>
      <c r="B717" s="14" t="s">
        <v>802</v>
      </c>
      <c r="C717" s="3" t="s">
        <v>47</v>
      </c>
      <c r="D717" s="3">
        <v>2</v>
      </c>
      <c r="E717" s="3" t="s">
        <v>1855</v>
      </c>
      <c r="F717" s="3">
        <v>54</v>
      </c>
      <c r="G717" s="20">
        <f t="shared" ref="G717:G780" si="30">F717-(F717*38%)</f>
        <v>33.480000000000004</v>
      </c>
      <c r="H717" s="20">
        <f t="shared" si="29"/>
        <v>66.960000000000008</v>
      </c>
      <c r="J717" s="43" t="s">
        <v>2125</v>
      </c>
    </row>
    <row r="718" spans="1:10" x14ac:dyDescent="0.25">
      <c r="A718" s="59" t="s">
        <v>803</v>
      </c>
      <c r="B718" s="14" t="s">
        <v>804</v>
      </c>
      <c r="C718" s="3" t="s">
        <v>46</v>
      </c>
      <c r="D718" s="3">
        <v>2</v>
      </c>
      <c r="E718" s="3" t="s">
        <v>1855</v>
      </c>
      <c r="F718" s="3">
        <v>53.9</v>
      </c>
      <c r="G718" s="20">
        <f t="shared" si="30"/>
        <v>33.417999999999999</v>
      </c>
      <c r="H718" s="20">
        <f t="shared" si="29"/>
        <v>66.835999999999999</v>
      </c>
      <c r="J718" s="43" t="s">
        <v>2126</v>
      </c>
    </row>
    <row r="719" spans="1:10" x14ac:dyDescent="0.25">
      <c r="A719" s="59" t="s">
        <v>805</v>
      </c>
      <c r="B719" s="14" t="s">
        <v>806</v>
      </c>
      <c r="C719" s="3" t="s">
        <v>46</v>
      </c>
      <c r="D719" s="3">
        <v>2</v>
      </c>
      <c r="E719" s="3" t="s">
        <v>1855</v>
      </c>
      <c r="F719" s="3">
        <v>55</v>
      </c>
      <c r="G719" s="20">
        <f t="shared" si="30"/>
        <v>34.1</v>
      </c>
      <c r="H719" s="20">
        <f t="shared" si="29"/>
        <v>68.2</v>
      </c>
      <c r="J719" s="43" t="s">
        <v>2127</v>
      </c>
    </row>
    <row r="720" spans="1:10" x14ac:dyDescent="0.25">
      <c r="A720" s="59" t="s">
        <v>807</v>
      </c>
      <c r="B720" s="14" t="s">
        <v>808</v>
      </c>
      <c r="C720" s="3" t="s">
        <v>47</v>
      </c>
      <c r="D720" s="3">
        <v>2</v>
      </c>
      <c r="E720" s="3" t="s">
        <v>1855</v>
      </c>
      <c r="F720" s="3">
        <v>21.7</v>
      </c>
      <c r="G720" s="20">
        <f t="shared" si="30"/>
        <v>13.453999999999999</v>
      </c>
      <c r="H720" s="20">
        <f t="shared" si="29"/>
        <v>26.907999999999998</v>
      </c>
      <c r="J720" s="43" t="s">
        <v>808</v>
      </c>
    </row>
    <row r="721" spans="1:10" x14ac:dyDescent="0.25">
      <c r="A721" s="59" t="s">
        <v>809</v>
      </c>
      <c r="B721" s="14" t="s">
        <v>810</v>
      </c>
      <c r="C721" s="3" t="s">
        <v>46</v>
      </c>
      <c r="D721" s="3">
        <v>2</v>
      </c>
      <c r="E721" s="3" t="s">
        <v>1855</v>
      </c>
      <c r="F721" s="3">
        <v>27.4</v>
      </c>
      <c r="G721" s="20">
        <f t="shared" si="30"/>
        <v>16.988</v>
      </c>
      <c r="H721" s="20">
        <f t="shared" si="29"/>
        <v>33.975999999999999</v>
      </c>
      <c r="J721" s="43" t="s">
        <v>810</v>
      </c>
    </row>
    <row r="722" spans="1:10" x14ac:dyDescent="0.25">
      <c r="A722" s="59" t="s">
        <v>811</v>
      </c>
      <c r="B722" s="14" t="s">
        <v>812</v>
      </c>
      <c r="C722" s="3" t="s">
        <v>46</v>
      </c>
      <c r="D722" s="3">
        <v>2</v>
      </c>
      <c r="E722" s="3" t="s">
        <v>1856</v>
      </c>
      <c r="F722" s="3">
        <v>26.2</v>
      </c>
      <c r="G722" s="20">
        <f t="shared" si="30"/>
        <v>16.244</v>
      </c>
      <c r="H722" s="20">
        <f t="shared" si="29"/>
        <v>32.488</v>
      </c>
      <c r="J722" s="43" t="s">
        <v>2128</v>
      </c>
    </row>
    <row r="723" spans="1:10" x14ac:dyDescent="0.25">
      <c r="A723" s="59" t="s">
        <v>813</v>
      </c>
      <c r="B723" s="14" t="s">
        <v>814</v>
      </c>
      <c r="C723" s="3" t="s">
        <v>47</v>
      </c>
      <c r="D723" s="3">
        <v>2</v>
      </c>
      <c r="E723" s="3" t="s">
        <v>1855</v>
      </c>
      <c r="F723" s="3">
        <v>4.3899999999999997</v>
      </c>
      <c r="G723" s="20">
        <f t="shared" si="30"/>
        <v>2.7218</v>
      </c>
      <c r="H723" s="20">
        <f t="shared" si="29"/>
        <v>5.4436</v>
      </c>
      <c r="J723" s="43" t="s">
        <v>2129</v>
      </c>
    </row>
    <row r="724" spans="1:10" x14ac:dyDescent="0.25">
      <c r="A724" s="59" t="s">
        <v>815</v>
      </c>
      <c r="B724" s="14" t="s">
        <v>816</v>
      </c>
      <c r="C724" s="3" t="s">
        <v>47</v>
      </c>
      <c r="D724" s="3">
        <v>2</v>
      </c>
      <c r="E724" s="3" t="s">
        <v>1855</v>
      </c>
      <c r="F724" s="3">
        <v>2.31</v>
      </c>
      <c r="G724" s="20">
        <f t="shared" si="30"/>
        <v>1.4321999999999999</v>
      </c>
      <c r="H724" s="20">
        <f t="shared" si="29"/>
        <v>2.8643999999999998</v>
      </c>
      <c r="J724" s="43" t="s">
        <v>2130</v>
      </c>
    </row>
    <row r="725" spans="1:10" x14ac:dyDescent="0.25">
      <c r="A725" s="59" t="s">
        <v>817</v>
      </c>
      <c r="B725" s="14" t="s">
        <v>818</v>
      </c>
      <c r="C725" s="3" t="s">
        <v>46</v>
      </c>
      <c r="D725" s="3">
        <v>2</v>
      </c>
      <c r="E725" s="3" t="s">
        <v>1855</v>
      </c>
      <c r="F725" s="3">
        <v>7.93</v>
      </c>
      <c r="G725" s="20">
        <f t="shared" si="30"/>
        <v>4.9165999999999999</v>
      </c>
      <c r="H725" s="20">
        <f t="shared" si="29"/>
        <v>9.8331999999999997</v>
      </c>
      <c r="J725" s="43" t="s">
        <v>2131</v>
      </c>
    </row>
    <row r="726" spans="1:10" x14ac:dyDescent="0.25">
      <c r="A726" s="59" t="s">
        <v>1803</v>
      </c>
      <c r="B726" s="14" t="s">
        <v>1805</v>
      </c>
      <c r="C726" s="3" t="s">
        <v>46</v>
      </c>
      <c r="D726" s="3">
        <v>2</v>
      </c>
      <c r="E726" s="3" t="s">
        <v>1856</v>
      </c>
      <c r="F726" s="3">
        <v>639</v>
      </c>
      <c r="G726" s="20">
        <f t="shared" si="30"/>
        <v>396.18</v>
      </c>
      <c r="H726" s="20">
        <f t="shared" si="29"/>
        <v>792.36</v>
      </c>
      <c r="J726" s="43" t="s">
        <v>1939</v>
      </c>
    </row>
    <row r="727" spans="1:10" x14ac:dyDescent="0.25">
      <c r="A727" s="59" t="s">
        <v>1804</v>
      </c>
      <c r="B727" s="14" t="s">
        <v>1806</v>
      </c>
      <c r="C727" s="3" t="s">
        <v>46</v>
      </c>
      <c r="D727" s="3">
        <v>2</v>
      </c>
      <c r="E727" s="3" t="s">
        <v>1855</v>
      </c>
      <c r="F727" s="3">
        <v>123</v>
      </c>
      <c r="G727" s="20">
        <f t="shared" si="30"/>
        <v>76.259999999999991</v>
      </c>
      <c r="H727" s="20">
        <f t="shared" si="29"/>
        <v>152.51999999999998</v>
      </c>
      <c r="J727" s="43" t="s">
        <v>1940</v>
      </c>
    </row>
    <row r="728" spans="1:10" x14ac:dyDescent="0.25">
      <c r="A728" s="55" t="s">
        <v>3</v>
      </c>
      <c r="B728" s="15" t="s">
        <v>819</v>
      </c>
      <c r="C728" s="3"/>
      <c r="D728" s="3"/>
      <c r="E728" s="20"/>
      <c r="F728" s="3"/>
      <c r="G728" s="3"/>
      <c r="H728" s="20"/>
    </row>
    <row r="729" spans="1:10" x14ac:dyDescent="0.25">
      <c r="A729" s="59" t="s">
        <v>628</v>
      </c>
      <c r="B729" s="14" t="s">
        <v>820</v>
      </c>
      <c r="C729" s="3" t="s">
        <v>46</v>
      </c>
      <c r="D729" s="3">
        <v>2</v>
      </c>
      <c r="E729" s="3" t="s">
        <v>1855</v>
      </c>
      <c r="F729" s="3">
        <v>312</v>
      </c>
      <c r="G729" s="20">
        <f t="shared" si="30"/>
        <v>193.44</v>
      </c>
      <c r="H729" s="20">
        <f t="shared" ref="H729:H754" si="31">G729*D729</f>
        <v>386.88</v>
      </c>
      <c r="J729" s="43" t="s">
        <v>2084</v>
      </c>
    </row>
    <row r="730" spans="1:10" x14ac:dyDescent="0.25">
      <c r="A730" s="59" t="s">
        <v>630</v>
      </c>
      <c r="B730" s="14" t="s">
        <v>821</v>
      </c>
      <c r="C730" s="3" t="s">
        <v>46</v>
      </c>
      <c r="D730" s="3">
        <v>2</v>
      </c>
      <c r="E730" s="3" t="s">
        <v>1855</v>
      </c>
      <c r="F730" s="3">
        <v>312</v>
      </c>
      <c r="G730" s="20">
        <f t="shared" si="30"/>
        <v>193.44</v>
      </c>
      <c r="H730" s="20">
        <f t="shared" si="31"/>
        <v>386.88</v>
      </c>
      <c r="J730" s="43" t="s">
        <v>2085</v>
      </c>
    </row>
    <row r="731" spans="1:10" x14ac:dyDescent="0.25">
      <c r="A731" s="59" t="s">
        <v>822</v>
      </c>
      <c r="B731" s="14" t="s">
        <v>823</v>
      </c>
      <c r="C731" s="3" t="s">
        <v>46</v>
      </c>
      <c r="D731" s="3">
        <v>2</v>
      </c>
      <c r="E731" s="3" t="s">
        <v>1855</v>
      </c>
      <c r="F731" s="3">
        <v>164.5</v>
      </c>
      <c r="G731" s="20">
        <f t="shared" si="30"/>
        <v>101.99000000000001</v>
      </c>
      <c r="H731" s="20">
        <f t="shared" si="31"/>
        <v>203.98000000000002</v>
      </c>
      <c r="J731" s="43" t="s">
        <v>2132</v>
      </c>
    </row>
    <row r="732" spans="1:10" x14ac:dyDescent="0.25">
      <c r="A732" s="59" t="s">
        <v>661</v>
      </c>
      <c r="B732" s="14" t="s">
        <v>824</v>
      </c>
      <c r="C732" s="3" t="s">
        <v>46</v>
      </c>
      <c r="D732" s="3">
        <v>2</v>
      </c>
      <c r="E732" s="3" t="s">
        <v>1855</v>
      </c>
      <c r="F732" s="3">
        <v>293.5</v>
      </c>
      <c r="G732" s="20">
        <f t="shared" si="30"/>
        <v>181.97</v>
      </c>
      <c r="H732" s="20">
        <f t="shared" si="31"/>
        <v>363.94</v>
      </c>
      <c r="J732" s="43" t="s">
        <v>824</v>
      </c>
    </row>
    <row r="733" spans="1:10" x14ac:dyDescent="0.25">
      <c r="A733" s="59" t="s">
        <v>454</v>
      </c>
      <c r="B733" s="14" t="s">
        <v>455</v>
      </c>
      <c r="C733" s="3" t="s">
        <v>46</v>
      </c>
      <c r="D733" s="3">
        <v>4</v>
      </c>
      <c r="E733" s="3" t="s">
        <v>1855</v>
      </c>
      <c r="F733" s="3">
        <v>40.1</v>
      </c>
      <c r="G733" s="20">
        <f t="shared" si="30"/>
        <v>24.862000000000002</v>
      </c>
      <c r="H733" s="20">
        <f t="shared" si="31"/>
        <v>99.448000000000008</v>
      </c>
      <c r="J733" s="43" t="s">
        <v>2034</v>
      </c>
    </row>
    <row r="734" spans="1:10" x14ac:dyDescent="0.25">
      <c r="A734" s="59" t="s">
        <v>825</v>
      </c>
      <c r="B734" s="14" t="s">
        <v>826</v>
      </c>
      <c r="C734" s="3" t="s">
        <v>46</v>
      </c>
      <c r="D734" s="3">
        <v>2</v>
      </c>
      <c r="E734" s="3" t="s">
        <v>1855</v>
      </c>
      <c r="F734" s="3">
        <v>186.5</v>
      </c>
      <c r="G734" s="20">
        <f t="shared" si="30"/>
        <v>115.63</v>
      </c>
      <c r="H734" s="20">
        <f t="shared" si="31"/>
        <v>231.26</v>
      </c>
      <c r="J734" s="43" t="s">
        <v>2133</v>
      </c>
    </row>
    <row r="735" spans="1:10" x14ac:dyDescent="0.25">
      <c r="A735" s="59" t="s">
        <v>827</v>
      </c>
      <c r="B735" s="14" t="s">
        <v>828</v>
      </c>
      <c r="C735" s="3" t="s">
        <v>46</v>
      </c>
      <c r="D735" s="3">
        <v>2</v>
      </c>
      <c r="E735" s="3" t="s">
        <v>1855</v>
      </c>
      <c r="F735" s="3">
        <v>108</v>
      </c>
      <c r="G735" s="20">
        <f t="shared" si="30"/>
        <v>66.960000000000008</v>
      </c>
      <c r="H735" s="20">
        <f t="shared" si="31"/>
        <v>133.92000000000002</v>
      </c>
      <c r="J735" s="43" t="s">
        <v>828</v>
      </c>
    </row>
    <row r="736" spans="1:10" x14ac:dyDescent="0.25">
      <c r="A736" s="59" t="s">
        <v>829</v>
      </c>
      <c r="B736" s="14" t="s">
        <v>830</v>
      </c>
      <c r="C736" s="3" t="s">
        <v>46</v>
      </c>
      <c r="D736" s="3">
        <v>2</v>
      </c>
      <c r="E736" s="3" t="s">
        <v>1855</v>
      </c>
      <c r="F736" s="3">
        <v>72.2</v>
      </c>
      <c r="G736" s="20">
        <f t="shared" si="30"/>
        <v>44.764000000000003</v>
      </c>
      <c r="H736" s="20">
        <f t="shared" si="31"/>
        <v>89.528000000000006</v>
      </c>
      <c r="J736" s="43" t="s">
        <v>830</v>
      </c>
    </row>
    <row r="737" spans="1:10" x14ac:dyDescent="0.25">
      <c r="A737" s="59" t="s">
        <v>831</v>
      </c>
      <c r="B737" s="14" t="s">
        <v>832</v>
      </c>
      <c r="C737" s="3" t="s">
        <v>46</v>
      </c>
      <c r="D737" s="3">
        <v>2</v>
      </c>
      <c r="E737" s="3" t="s">
        <v>1855</v>
      </c>
      <c r="F737" s="3">
        <v>65.599999999999994</v>
      </c>
      <c r="G737" s="20">
        <f t="shared" si="30"/>
        <v>40.671999999999997</v>
      </c>
      <c r="H737" s="20">
        <f t="shared" si="31"/>
        <v>81.343999999999994</v>
      </c>
      <c r="J737" s="43" t="s">
        <v>2134</v>
      </c>
    </row>
    <row r="738" spans="1:10" x14ac:dyDescent="0.25">
      <c r="A738" s="59" t="s">
        <v>340</v>
      </c>
      <c r="B738" s="14" t="s">
        <v>341</v>
      </c>
      <c r="C738" s="3" t="s">
        <v>46</v>
      </c>
      <c r="D738" s="3">
        <v>2</v>
      </c>
      <c r="E738" s="3" t="s">
        <v>1855</v>
      </c>
      <c r="F738" s="3">
        <v>24.8</v>
      </c>
      <c r="G738" s="20">
        <f t="shared" si="30"/>
        <v>15.375999999999999</v>
      </c>
      <c r="H738" s="20">
        <f t="shared" si="31"/>
        <v>30.751999999999999</v>
      </c>
      <c r="J738" s="43" t="s">
        <v>2000</v>
      </c>
    </row>
    <row r="739" spans="1:10" x14ac:dyDescent="0.25">
      <c r="A739" s="59" t="s">
        <v>789</v>
      </c>
      <c r="B739" s="14" t="s">
        <v>790</v>
      </c>
      <c r="C739" s="3" t="s">
        <v>46</v>
      </c>
      <c r="D739" s="3">
        <v>2</v>
      </c>
      <c r="E739" s="3" t="s">
        <v>1855</v>
      </c>
      <c r="F739" s="3">
        <v>27.1</v>
      </c>
      <c r="G739" s="20">
        <f t="shared" si="30"/>
        <v>16.802</v>
      </c>
      <c r="H739" s="20">
        <f t="shared" si="31"/>
        <v>33.603999999999999</v>
      </c>
      <c r="J739" s="43" t="s">
        <v>790</v>
      </c>
    </row>
    <row r="740" spans="1:10" x14ac:dyDescent="0.25">
      <c r="A740" s="59" t="s">
        <v>833</v>
      </c>
      <c r="B740" s="14" t="s">
        <v>834</v>
      </c>
      <c r="C740" s="3" t="s">
        <v>46</v>
      </c>
      <c r="D740" s="3">
        <v>2</v>
      </c>
      <c r="E740" s="3" t="s">
        <v>1855</v>
      </c>
      <c r="F740" s="3">
        <v>45.5</v>
      </c>
      <c r="G740" s="20">
        <f t="shared" si="30"/>
        <v>28.21</v>
      </c>
      <c r="H740" s="20">
        <f t="shared" si="31"/>
        <v>56.42</v>
      </c>
      <c r="J740" s="43" t="s">
        <v>2135</v>
      </c>
    </row>
    <row r="741" spans="1:10" x14ac:dyDescent="0.25">
      <c r="A741" s="59" t="s">
        <v>835</v>
      </c>
      <c r="B741" s="14" t="s">
        <v>836</v>
      </c>
      <c r="C741" s="3" t="s">
        <v>46</v>
      </c>
      <c r="D741" s="3">
        <v>2</v>
      </c>
      <c r="E741" s="3" t="s">
        <v>1855</v>
      </c>
      <c r="F741" s="3">
        <v>39.6</v>
      </c>
      <c r="G741" s="20">
        <f t="shared" si="30"/>
        <v>24.552</v>
      </c>
      <c r="H741" s="20">
        <f t="shared" si="31"/>
        <v>49.103999999999999</v>
      </c>
      <c r="J741" s="43" t="s">
        <v>836</v>
      </c>
    </row>
    <row r="742" spans="1:10" x14ac:dyDescent="0.25">
      <c r="A742" s="59" t="s">
        <v>837</v>
      </c>
      <c r="B742" s="14" t="s">
        <v>838</v>
      </c>
      <c r="C742" s="3" t="s">
        <v>46</v>
      </c>
      <c r="D742" s="3">
        <v>2</v>
      </c>
      <c r="E742" s="3" t="s">
        <v>1855</v>
      </c>
      <c r="F742" s="3">
        <v>54.6</v>
      </c>
      <c r="G742" s="20">
        <f t="shared" si="30"/>
        <v>33.852000000000004</v>
      </c>
      <c r="H742" s="20">
        <f t="shared" si="31"/>
        <v>67.704000000000008</v>
      </c>
      <c r="J742" s="43" t="s">
        <v>838</v>
      </c>
    </row>
    <row r="743" spans="1:10" x14ac:dyDescent="0.25">
      <c r="A743" s="59" t="s">
        <v>839</v>
      </c>
      <c r="B743" s="14" t="s">
        <v>840</v>
      </c>
      <c r="C743" s="3" t="s">
        <v>46</v>
      </c>
      <c r="D743" s="3">
        <v>4</v>
      </c>
      <c r="E743" s="3" t="s">
        <v>1855</v>
      </c>
      <c r="F743" s="3">
        <v>88.1</v>
      </c>
      <c r="G743" s="20">
        <f t="shared" si="30"/>
        <v>54.621999999999993</v>
      </c>
      <c r="H743" s="20">
        <f t="shared" si="31"/>
        <v>218.48799999999997</v>
      </c>
      <c r="J743" s="43" t="s">
        <v>840</v>
      </c>
    </row>
    <row r="744" spans="1:10" x14ac:dyDescent="0.25">
      <c r="A744" s="59" t="s">
        <v>841</v>
      </c>
      <c r="B744" s="14" t="s">
        <v>842</v>
      </c>
      <c r="C744" s="3" t="s">
        <v>47</v>
      </c>
      <c r="D744" s="3">
        <v>2</v>
      </c>
      <c r="E744" s="3" t="s">
        <v>1855</v>
      </c>
      <c r="F744" s="3">
        <v>220.5</v>
      </c>
      <c r="G744" s="20">
        <f t="shared" si="30"/>
        <v>136.70999999999998</v>
      </c>
      <c r="H744" s="20">
        <f t="shared" si="31"/>
        <v>273.41999999999996</v>
      </c>
      <c r="J744" s="43" t="s">
        <v>2136</v>
      </c>
    </row>
    <row r="745" spans="1:10" x14ac:dyDescent="0.25">
      <c r="A745" s="59" t="s">
        <v>843</v>
      </c>
      <c r="B745" s="14" t="s">
        <v>844</v>
      </c>
      <c r="C745" s="3" t="s">
        <v>46</v>
      </c>
      <c r="D745" s="3">
        <v>4</v>
      </c>
      <c r="E745" s="3" t="s">
        <v>1855</v>
      </c>
      <c r="F745" s="3">
        <v>160.5</v>
      </c>
      <c r="G745" s="20">
        <f t="shared" si="30"/>
        <v>99.509999999999991</v>
      </c>
      <c r="H745" s="20">
        <f t="shared" si="31"/>
        <v>398.03999999999996</v>
      </c>
      <c r="J745" s="43" t="s">
        <v>844</v>
      </c>
    </row>
    <row r="746" spans="1:10" x14ac:dyDescent="0.25">
      <c r="A746" s="59" t="s">
        <v>845</v>
      </c>
      <c r="B746" s="14" t="s">
        <v>846</v>
      </c>
      <c r="C746" s="3" t="s">
        <v>46</v>
      </c>
      <c r="D746" s="3">
        <v>4</v>
      </c>
      <c r="E746" s="3" t="s">
        <v>1855</v>
      </c>
      <c r="F746" s="3">
        <v>160.5</v>
      </c>
      <c r="G746" s="20">
        <f t="shared" si="30"/>
        <v>99.509999999999991</v>
      </c>
      <c r="H746" s="20">
        <f t="shared" si="31"/>
        <v>398.03999999999996</v>
      </c>
      <c r="J746" s="43" t="s">
        <v>846</v>
      </c>
    </row>
    <row r="747" spans="1:10" x14ac:dyDescent="0.25">
      <c r="A747" s="59" t="s">
        <v>847</v>
      </c>
      <c r="B747" s="14" t="s">
        <v>848</v>
      </c>
      <c r="C747" s="3" t="s">
        <v>46</v>
      </c>
      <c r="D747" s="3">
        <v>2</v>
      </c>
      <c r="E747" s="3" t="s">
        <v>1855</v>
      </c>
      <c r="F747" s="3">
        <v>111</v>
      </c>
      <c r="G747" s="20">
        <f t="shared" si="30"/>
        <v>68.819999999999993</v>
      </c>
      <c r="H747" s="20">
        <f t="shared" si="31"/>
        <v>137.63999999999999</v>
      </c>
      <c r="J747" s="43" t="s">
        <v>848</v>
      </c>
    </row>
    <row r="748" spans="1:10" x14ac:dyDescent="0.25">
      <c r="A748" s="59" t="s">
        <v>849</v>
      </c>
      <c r="B748" s="14" t="s">
        <v>850</v>
      </c>
      <c r="C748" s="3" t="s">
        <v>46</v>
      </c>
      <c r="D748" s="3">
        <v>2</v>
      </c>
      <c r="E748" s="3" t="s">
        <v>1856</v>
      </c>
      <c r="F748" s="3">
        <v>44.4</v>
      </c>
      <c r="G748" s="20">
        <f t="shared" si="30"/>
        <v>27.527999999999999</v>
      </c>
      <c r="H748" s="20">
        <f t="shared" si="31"/>
        <v>55.055999999999997</v>
      </c>
      <c r="J748" s="43" t="s">
        <v>2137</v>
      </c>
    </row>
    <row r="749" spans="1:10" x14ac:dyDescent="0.25">
      <c r="A749" s="59" t="s">
        <v>851</v>
      </c>
      <c r="B749" s="14" t="s">
        <v>852</v>
      </c>
      <c r="C749" s="3" t="s">
        <v>46</v>
      </c>
      <c r="D749" s="3">
        <v>2</v>
      </c>
      <c r="E749" s="3" t="s">
        <v>1855</v>
      </c>
      <c r="F749" s="3">
        <v>93.7</v>
      </c>
      <c r="G749" s="20">
        <f t="shared" si="30"/>
        <v>58.094000000000001</v>
      </c>
      <c r="H749" s="20">
        <f t="shared" si="31"/>
        <v>116.188</v>
      </c>
      <c r="J749" s="43" t="s">
        <v>2138</v>
      </c>
    </row>
    <row r="750" spans="1:10" x14ac:dyDescent="0.25">
      <c r="A750" s="59" t="s">
        <v>853</v>
      </c>
      <c r="B750" s="14" t="s">
        <v>854</v>
      </c>
      <c r="C750" s="3" t="s">
        <v>46</v>
      </c>
      <c r="D750" s="3">
        <v>2</v>
      </c>
      <c r="E750" s="3" t="s">
        <v>1855</v>
      </c>
      <c r="F750" s="3">
        <v>97</v>
      </c>
      <c r="G750" s="20">
        <f t="shared" si="30"/>
        <v>60.14</v>
      </c>
      <c r="H750" s="20">
        <f t="shared" si="31"/>
        <v>120.28</v>
      </c>
      <c r="J750" s="43" t="s">
        <v>2139</v>
      </c>
    </row>
    <row r="751" spans="1:10" x14ac:dyDescent="0.25">
      <c r="A751" s="59" t="s">
        <v>855</v>
      </c>
      <c r="B751" s="14" t="s">
        <v>856</v>
      </c>
      <c r="C751" s="3" t="s">
        <v>47</v>
      </c>
      <c r="D751" s="3">
        <v>2</v>
      </c>
      <c r="E751" s="3" t="s">
        <v>1855</v>
      </c>
      <c r="F751" s="3">
        <v>44.6</v>
      </c>
      <c r="G751" s="20">
        <f t="shared" si="30"/>
        <v>27.652000000000001</v>
      </c>
      <c r="H751" s="20">
        <f t="shared" si="31"/>
        <v>55.304000000000002</v>
      </c>
      <c r="J751" s="43" t="s">
        <v>2140</v>
      </c>
    </row>
    <row r="752" spans="1:10" x14ac:dyDescent="0.25">
      <c r="A752" s="59" t="s">
        <v>857</v>
      </c>
      <c r="B752" s="14" t="s">
        <v>858</v>
      </c>
      <c r="C752" s="3" t="s">
        <v>47</v>
      </c>
      <c r="D752" s="3">
        <v>2</v>
      </c>
      <c r="E752" s="3" t="s">
        <v>1855</v>
      </c>
      <c r="F752" s="3">
        <v>44.6</v>
      </c>
      <c r="G752" s="20">
        <f t="shared" si="30"/>
        <v>27.652000000000001</v>
      </c>
      <c r="H752" s="20">
        <f t="shared" si="31"/>
        <v>55.304000000000002</v>
      </c>
      <c r="J752" s="43" t="s">
        <v>2141</v>
      </c>
    </row>
    <row r="753" spans="1:10" x14ac:dyDescent="0.25">
      <c r="A753" s="59" t="s">
        <v>1803</v>
      </c>
      <c r="B753" s="14" t="s">
        <v>1805</v>
      </c>
      <c r="C753" s="3" t="s">
        <v>46</v>
      </c>
      <c r="D753" s="3">
        <v>2</v>
      </c>
      <c r="E753" s="3" t="s">
        <v>1856</v>
      </c>
      <c r="F753" s="3">
        <v>639</v>
      </c>
      <c r="G753" s="20">
        <f t="shared" si="30"/>
        <v>396.18</v>
      </c>
      <c r="H753" s="20">
        <f t="shared" si="31"/>
        <v>792.36</v>
      </c>
      <c r="J753" s="43" t="s">
        <v>1939</v>
      </c>
    </row>
    <row r="754" spans="1:10" x14ac:dyDescent="0.25">
      <c r="A754" s="59" t="s">
        <v>1804</v>
      </c>
      <c r="B754" s="14" t="s">
        <v>1806</v>
      </c>
      <c r="C754" s="3" t="s">
        <v>46</v>
      </c>
      <c r="D754" s="3">
        <v>2</v>
      </c>
      <c r="E754" s="3" t="s">
        <v>1855</v>
      </c>
      <c r="F754" s="3">
        <v>123</v>
      </c>
      <c r="G754" s="20">
        <f t="shared" si="30"/>
        <v>76.259999999999991</v>
      </c>
      <c r="H754" s="20">
        <f t="shared" si="31"/>
        <v>152.51999999999998</v>
      </c>
      <c r="J754" s="43" t="s">
        <v>1940</v>
      </c>
    </row>
    <row r="755" spans="1:10" x14ac:dyDescent="0.25">
      <c r="A755" s="55" t="s">
        <v>3</v>
      </c>
      <c r="B755" s="15" t="s">
        <v>859</v>
      </c>
      <c r="C755" s="3"/>
      <c r="D755" s="3"/>
      <c r="E755" s="20"/>
      <c r="F755" s="3"/>
      <c r="G755" s="3"/>
      <c r="H755" s="20"/>
    </row>
    <row r="756" spans="1:10" x14ac:dyDescent="0.25">
      <c r="A756" s="59" t="s">
        <v>860</v>
      </c>
      <c r="B756" s="14" t="s">
        <v>861</v>
      </c>
      <c r="C756" s="3" t="s">
        <v>46</v>
      </c>
      <c r="D756" s="3">
        <v>4</v>
      </c>
      <c r="E756" s="3" t="s">
        <v>1855</v>
      </c>
      <c r="F756" s="3">
        <v>26.9</v>
      </c>
      <c r="G756" s="20">
        <f t="shared" si="30"/>
        <v>16.677999999999997</v>
      </c>
      <c r="H756" s="20">
        <f t="shared" ref="H756:H794" si="32">G756*D756</f>
        <v>66.711999999999989</v>
      </c>
      <c r="J756" s="43" t="s">
        <v>2142</v>
      </c>
    </row>
    <row r="757" spans="1:10" x14ac:dyDescent="0.25">
      <c r="A757" s="59" t="s">
        <v>862</v>
      </c>
      <c r="B757" s="14" t="s">
        <v>863</v>
      </c>
      <c r="C757" s="3" t="s">
        <v>46</v>
      </c>
      <c r="D757" s="3">
        <v>4</v>
      </c>
      <c r="E757" s="3" t="s">
        <v>1855</v>
      </c>
      <c r="F757" s="3">
        <v>77.8</v>
      </c>
      <c r="G757" s="20">
        <f t="shared" si="30"/>
        <v>48.235999999999997</v>
      </c>
      <c r="H757" s="20">
        <f t="shared" si="32"/>
        <v>192.94399999999999</v>
      </c>
      <c r="J757" s="43" t="s">
        <v>2143</v>
      </c>
    </row>
    <row r="758" spans="1:10" x14ac:dyDescent="0.25">
      <c r="A758" s="59" t="s">
        <v>864</v>
      </c>
      <c r="B758" s="14" t="s">
        <v>865</v>
      </c>
      <c r="C758" s="3" t="s">
        <v>46</v>
      </c>
      <c r="D758" s="3">
        <v>2</v>
      </c>
      <c r="E758" s="3" t="s">
        <v>1855</v>
      </c>
      <c r="F758" s="3">
        <v>83.5</v>
      </c>
      <c r="G758" s="20">
        <f t="shared" si="30"/>
        <v>51.769999999999996</v>
      </c>
      <c r="H758" s="20">
        <f t="shared" si="32"/>
        <v>103.53999999999999</v>
      </c>
      <c r="J758" s="43" t="s">
        <v>865</v>
      </c>
    </row>
    <row r="759" spans="1:10" x14ac:dyDescent="0.25">
      <c r="A759" s="59" t="s">
        <v>866</v>
      </c>
      <c r="B759" s="14" t="s">
        <v>867</v>
      </c>
      <c r="C759" s="3" t="s">
        <v>46</v>
      </c>
      <c r="D759" s="3">
        <v>2</v>
      </c>
      <c r="E759" s="3" t="s">
        <v>1855</v>
      </c>
      <c r="F759" s="3">
        <v>83.4</v>
      </c>
      <c r="G759" s="20">
        <f t="shared" si="30"/>
        <v>51.707999999999998</v>
      </c>
      <c r="H759" s="20">
        <f t="shared" si="32"/>
        <v>103.416</v>
      </c>
      <c r="J759" s="43" t="s">
        <v>867</v>
      </c>
    </row>
    <row r="760" spans="1:10" x14ac:dyDescent="0.25">
      <c r="A760" s="59" t="s">
        <v>868</v>
      </c>
      <c r="B760" s="14" t="s">
        <v>869</v>
      </c>
      <c r="C760" s="3" t="s">
        <v>46</v>
      </c>
      <c r="D760" s="3">
        <v>2</v>
      </c>
      <c r="E760" s="3" t="s">
        <v>1855</v>
      </c>
      <c r="F760" s="3">
        <v>163</v>
      </c>
      <c r="G760" s="20">
        <f t="shared" si="30"/>
        <v>101.06</v>
      </c>
      <c r="H760" s="20">
        <f t="shared" si="32"/>
        <v>202.12</v>
      </c>
      <c r="J760" s="43" t="s">
        <v>869</v>
      </c>
    </row>
    <row r="761" spans="1:10" x14ac:dyDescent="0.25">
      <c r="A761" s="59" t="s">
        <v>870</v>
      </c>
      <c r="B761" s="14" t="s">
        <v>871</v>
      </c>
      <c r="C761" s="3" t="s">
        <v>47</v>
      </c>
      <c r="D761" s="3">
        <v>2</v>
      </c>
      <c r="E761" s="3" t="s">
        <v>1855</v>
      </c>
      <c r="F761" s="3">
        <v>117</v>
      </c>
      <c r="G761" s="20">
        <f t="shared" si="30"/>
        <v>72.539999999999992</v>
      </c>
      <c r="H761" s="20">
        <f t="shared" si="32"/>
        <v>145.07999999999998</v>
      </c>
      <c r="J761" s="43" t="s">
        <v>871</v>
      </c>
    </row>
    <row r="762" spans="1:10" x14ac:dyDescent="0.25">
      <c r="A762" s="59" t="s">
        <v>872</v>
      </c>
      <c r="B762" s="14" t="s">
        <v>873</v>
      </c>
      <c r="C762" s="3" t="s">
        <v>46</v>
      </c>
      <c r="D762" s="3">
        <v>2</v>
      </c>
      <c r="E762" s="3" t="s">
        <v>1855</v>
      </c>
      <c r="F762" s="3">
        <v>61.9</v>
      </c>
      <c r="G762" s="20">
        <f t="shared" si="30"/>
        <v>38.378</v>
      </c>
      <c r="H762" s="20">
        <f t="shared" si="32"/>
        <v>76.756</v>
      </c>
      <c r="J762" s="43" t="s">
        <v>2144</v>
      </c>
    </row>
    <row r="763" spans="1:10" x14ac:dyDescent="0.25">
      <c r="A763" s="59" t="s">
        <v>874</v>
      </c>
      <c r="B763" s="14" t="s">
        <v>875</v>
      </c>
      <c r="C763" s="3" t="s">
        <v>46</v>
      </c>
      <c r="D763" s="3">
        <v>2</v>
      </c>
      <c r="E763" s="3" t="s">
        <v>1855</v>
      </c>
      <c r="F763" s="3">
        <v>39.5</v>
      </c>
      <c r="G763" s="20">
        <f t="shared" si="30"/>
        <v>24.490000000000002</v>
      </c>
      <c r="H763" s="20">
        <f t="shared" si="32"/>
        <v>48.980000000000004</v>
      </c>
      <c r="J763" s="43" t="s">
        <v>2145</v>
      </c>
    </row>
    <row r="764" spans="1:10" x14ac:dyDescent="0.25">
      <c r="A764" s="59" t="s">
        <v>876</v>
      </c>
      <c r="B764" s="14" t="s">
        <v>877</v>
      </c>
      <c r="C764" s="3" t="s">
        <v>46</v>
      </c>
      <c r="D764" s="3">
        <v>2</v>
      </c>
      <c r="E764" s="3" t="s">
        <v>1855</v>
      </c>
      <c r="F764" s="3">
        <v>71.7</v>
      </c>
      <c r="G764" s="20">
        <f t="shared" si="30"/>
        <v>44.454000000000001</v>
      </c>
      <c r="H764" s="20">
        <f t="shared" si="32"/>
        <v>88.908000000000001</v>
      </c>
      <c r="J764" s="43" t="s">
        <v>2146</v>
      </c>
    </row>
    <row r="765" spans="1:10" x14ac:dyDescent="0.25">
      <c r="A765" s="59" t="s">
        <v>878</v>
      </c>
      <c r="B765" s="14" t="s">
        <v>879</v>
      </c>
      <c r="C765" s="3" t="s">
        <v>46</v>
      </c>
      <c r="D765" s="3">
        <v>2</v>
      </c>
      <c r="E765" s="3" t="s">
        <v>1855</v>
      </c>
      <c r="F765" s="3">
        <v>75.099999999999994</v>
      </c>
      <c r="G765" s="20">
        <f t="shared" si="30"/>
        <v>46.561999999999998</v>
      </c>
      <c r="H765" s="20">
        <f t="shared" si="32"/>
        <v>93.123999999999995</v>
      </c>
      <c r="J765" s="43" t="s">
        <v>2147</v>
      </c>
    </row>
    <row r="766" spans="1:10" x14ac:dyDescent="0.25">
      <c r="A766" s="59" t="s">
        <v>308</v>
      </c>
      <c r="B766" s="14" t="s">
        <v>309</v>
      </c>
      <c r="C766" s="3" t="s">
        <v>47</v>
      </c>
      <c r="D766" s="3">
        <v>2</v>
      </c>
      <c r="E766" s="3" t="s">
        <v>1855</v>
      </c>
      <c r="F766" s="3">
        <v>13.1</v>
      </c>
      <c r="G766" s="20">
        <f t="shared" si="30"/>
        <v>8.1219999999999999</v>
      </c>
      <c r="H766" s="20">
        <f t="shared" si="32"/>
        <v>16.244</v>
      </c>
      <c r="J766" s="43" t="s">
        <v>1991</v>
      </c>
    </row>
    <row r="767" spans="1:10" x14ac:dyDescent="0.25">
      <c r="A767" s="59" t="s">
        <v>306</v>
      </c>
      <c r="B767" s="14" t="s">
        <v>307</v>
      </c>
      <c r="C767" s="3" t="s">
        <v>47</v>
      </c>
      <c r="D767" s="3">
        <v>2</v>
      </c>
      <c r="E767" s="3" t="s">
        <v>1855</v>
      </c>
      <c r="F767" s="3">
        <v>10.3</v>
      </c>
      <c r="G767" s="20">
        <f t="shared" si="30"/>
        <v>6.386000000000001</v>
      </c>
      <c r="H767" s="20">
        <f t="shared" si="32"/>
        <v>12.772000000000002</v>
      </c>
      <c r="J767" s="43" t="s">
        <v>1990</v>
      </c>
    </row>
    <row r="768" spans="1:10" x14ac:dyDescent="0.25">
      <c r="A768" s="59" t="s">
        <v>880</v>
      </c>
      <c r="B768" s="14" t="s">
        <v>881</v>
      </c>
      <c r="C768" s="3" t="s">
        <v>46</v>
      </c>
      <c r="D768" s="3">
        <v>4</v>
      </c>
      <c r="E768" s="3" t="s">
        <v>1855</v>
      </c>
      <c r="F768" s="3">
        <v>27.2</v>
      </c>
      <c r="G768" s="20">
        <f t="shared" si="30"/>
        <v>16.863999999999997</v>
      </c>
      <c r="H768" s="20">
        <f t="shared" si="32"/>
        <v>67.455999999999989</v>
      </c>
      <c r="J768" s="43" t="s">
        <v>2148</v>
      </c>
    </row>
    <row r="769" spans="1:10" x14ac:dyDescent="0.25">
      <c r="A769" s="59" t="s">
        <v>882</v>
      </c>
      <c r="B769" s="14" t="s">
        <v>883</v>
      </c>
      <c r="C769" s="3" t="s">
        <v>46</v>
      </c>
      <c r="D769" s="3">
        <v>2</v>
      </c>
      <c r="E769" s="3" t="s">
        <v>1855</v>
      </c>
      <c r="F769" s="3">
        <v>34.299999999999997</v>
      </c>
      <c r="G769" s="20">
        <f t="shared" si="30"/>
        <v>21.265999999999998</v>
      </c>
      <c r="H769" s="20">
        <f t="shared" si="32"/>
        <v>42.531999999999996</v>
      </c>
      <c r="J769" s="43" t="s">
        <v>2149</v>
      </c>
    </row>
    <row r="770" spans="1:10" x14ac:dyDescent="0.25">
      <c r="A770" s="59" t="s">
        <v>55</v>
      </c>
      <c r="B770" s="14" t="s">
        <v>56</v>
      </c>
      <c r="C770" s="3" t="s">
        <v>47</v>
      </c>
      <c r="D770" s="3">
        <v>2</v>
      </c>
      <c r="E770" s="3" t="s">
        <v>1855</v>
      </c>
      <c r="F770" s="3">
        <v>23.9</v>
      </c>
      <c r="G770" s="20">
        <f t="shared" si="30"/>
        <v>14.818</v>
      </c>
      <c r="H770" s="20">
        <f t="shared" si="32"/>
        <v>29.635999999999999</v>
      </c>
      <c r="J770" s="43" t="s">
        <v>1885</v>
      </c>
    </row>
    <row r="771" spans="1:10" x14ac:dyDescent="0.25">
      <c r="A771" s="59" t="s">
        <v>884</v>
      </c>
      <c r="B771" s="14" t="s">
        <v>885</v>
      </c>
      <c r="C771" s="3" t="s">
        <v>46</v>
      </c>
      <c r="D771" s="3">
        <v>2</v>
      </c>
      <c r="E771" s="3" t="s">
        <v>1855</v>
      </c>
      <c r="F771" s="3">
        <v>24</v>
      </c>
      <c r="G771" s="20">
        <f t="shared" si="30"/>
        <v>14.879999999999999</v>
      </c>
      <c r="H771" s="20">
        <f t="shared" si="32"/>
        <v>29.759999999999998</v>
      </c>
      <c r="J771" s="43" t="s">
        <v>2150</v>
      </c>
    </row>
    <row r="772" spans="1:10" x14ac:dyDescent="0.25">
      <c r="A772" s="59" t="s">
        <v>886</v>
      </c>
      <c r="B772" s="14" t="s">
        <v>887</v>
      </c>
      <c r="C772" s="3" t="s">
        <v>46</v>
      </c>
      <c r="D772" s="3">
        <v>2</v>
      </c>
      <c r="E772" s="3" t="s">
        <v>1855</v>
      </c>
      <c r="F772" s="3">
        <v>59.8</v>
      </c>
      <c r="G772" s="20">
        <f t="shared" si="30"/>
        <v>37.075999999999993</v>
      </c>
      <c r="H772" s="20">
        <f t="shared" si="32"/>
        <v>74.151999999999987</v>
      </c>
      <c r="J772" s="43" t="s">
        <v>2151</v>
      </c>
    </row>
    <row r="773" spans="1:10" x14ac:dyDescent="0.25">
      <c r="A773" s="59" t="s">
        <v>803</v>
      </c>
      <c r="B773" s="14" t="s">
        <v>804</v>
      </c>
      <c r="C773" s="3" t="s">
        <v>46</v>
      </c>
      <c r="D773" s="3">
        <v>2</v>
      </c>
      <c r="E773" s="3" t="s">
        <v>1855</v>
      </c>
      <c r="F773" s="3">
        <v>53.9</v>
      </c>
      <c r="G773" s="20">
        <f t="shared" si="30"/>
        <v>33.417999999999999</v>
      </c>
      <c r="H773" s="20">
        <f t="shared" si="32"/>
        <v>66.835999999999999</v>
      </c>
      <c r="J773" s="43" t="s">
        <v>2126</v>
      </c>
    </row>
    <row r="774" spans="1:10" x14ac:dyDescent="0.25">
      <c r="A774" s="59" t="s">
        <v>276</v>
      </c>
      <c r="B774" s="14" t="s">
        <v>277</v>
      </c>
      <c r="C774" s="3" t="s">
        <v>46</v>
      </c>
      <c r="D774" s="3">
        <v>2</v>
      </c>
      <c r="E774" s="3" t="s">
        <v>1855</v>
      </c>
      <c r="F774" s="3">
        <v>72.900000000000006</v>
      </c>
      <c r="G774" s="20">
        <f t="shared" si="30"/>
        <v>45.198000000000008</v>
      </c>
      <c r="H774" s="20">
        <f t="shared" si="32"/>
        <v>90.396000000000015</v>
      </c>
      <c r="J774" s="43" t="s">
        <v>277</v>
      </c>
    </row>
    <row r="775" spans="1:10" x14ac:dyDescent="0.25">
      <c r="A775" s="59" t="s">
        <v>274</v>
      </c>
      <c r="B775" s="14" t="s">
        <v>275</v>
      </c>
      <c r="C775" s="3" t="s">
        <v>46</v>
      </c>
      <c r="D775" s="3">
        <v>2</v>
      </c>
      <c r="E775" s="3" t="s">
        <v>1855</v>
      </c>
      <c r="F775" s="3">
        <v>44.5</v>
      </c>
      <c r="G775" s="20">
        <f t="shared" si="30"/>
        <v>27.59</v>
      </c>
      <c r="H775" s="20">
        <f t="shared" si="32"/>
        <v>55.18</v>
      </c>
      <c r="J775" s="43" t="s">
        <v>1976</v>
      </c>
    </row>
    <row r="776" spans="1:10" x14ac:dyDescent="0.25">
      <c r="A776" s="59" t="s">
        <v>888</v>
      </c>
      <c r="B776" s="14" t="s">
        <v>889</v>
      </c>
      <c r="C776" s="3" t="s">
        <v>46</v>
      </c>
      <c r="D776" s="3">
        <v>2</v>
      </c>
      <c r="E776" s="3" t="s">
        <v>1855</v>
      </c>
      <c r="F776" s="3">
        <v>52.7</v>
      </c>
      <c r="G776" s="20">
        <f t="shared" si="30"/>
        <v>32.674000000000007</v>
      </c>
      <c r="H776" s="20">
        <f t="shared" si="32"/>
        <v>65.348000000000013</v>
      </c>
      <c r="J776" s="43" t="s">
        <v>2152</v>
      </c>
    </row>
    <row r="777" spans="1:10" x14ac:dyDescent="0.25">
      <c r="A777" s="59" t="s">
        <v>562</v>
      </c>
      <c r="B777" s="14" t="s">
        <v>563</v>
      </c>
      <c r="C777" s="3" t="s">
        <v>46</v>
      </c>
      <c r="D777" s="3">
        <v>2</v>
      </c>
      <c r="E777" s="3" t="s">
        <v>1855</v>
      </c>
      <c r="F777" s="3">
        <v>42.4</v>
      </c>
      <c r="G777" s="20">
        <f t="shared" si="30"/>
        <v>26.288</v>
      </c>
      <c r="H777" s="20">
        <f t="shared" si="32"/>
        <v>52.576000000000001</v>
      </c>
      <c r="J777" s="43" t="s">
        <v>2065</v>
      </c>
    </row>
    <row r="778" spans="1:10" x14ac:dyDescent="0.25">
      <c r="A778" s="59" t="s">
        <v>890</v>
      </c>
      <c r="B778" s="14" t="s">
        <v>891</v>
      </c>
      <c r="C778" s="3" t="s">
        <v>46</v>
      </c>
      <c r="D778" s="3">
        <v>2</v>
      </c>
      <c r="E778" s="3" t="s">
        <v>1855</v>
      </c>
      <c r="F778" s="3">
        <v>27.4</v>
      </c>
      <c r="G778" s="20">
        <f t="shared" si="30"/>
        <v>16.988</v>
      </c>
      <c r="H778" s="20">
        <f t="shared" si="32"/>
        <v>33.975999999999999</v>
      </c>
      <c r="J778" s="43" t="s">
        <v>891</v>
      </c>
    </row>
    <row r="779" spans="1:10" x14ac:dyDescent="0.25">
      <c r="A779" s="59" t="s">
        <v>892</v>
      </c>
      <c r="B779" s="14" t="s">
        <v>893</v>
      </c>
      <c r="C779" s="3" t="s">
        <v>46</v>
      </c>
      <c r="D779" s="3">
        <v>2</v>
      </c>
      <c r="E779" s="3" t="s">
        <v>1855</v>
      </c>
      <c r="F779" s="3">
        <v>27.4</v>
      </c>
      <c r="G779" s="20">
        <f t="shared" si="30"/>
        <v>16.988</v>
      </c>
      <c r="H779" s="20">
        <f t="shared" si="32"/>
        <v>33.975999999999999</v>
      </c>
      <c r="J779" s="43" t="s">
        <v>893</v>
      </c>
    </row>
    <row r="780" spans="1:10" x14ac:dyDescent="0.25">
      <c r="A780" s="59" t="s">
        <v>894</v>
      </c>
      <c r="B780" s="14" t="s">
        <v>895</v>
      </c>
      <c r="C780" s="3" t="s">
        <v>46</v>
      </c>
      <c r="D780" s="3">
        <v>2</v>
      </c>
      <c r="E780" s="3" t="s">
        <v>1855</v>
      </c>
      <c r="F780" s="3">
        <v>30.6</v>
      </c>
      <c r="G780" s="20">
        <f t="shared" si="30"/>
        <v>18.972000000000001</v>
      </c>
      <c r="H780" s="20">
        <f t="shared" si="32"/>
        <v>37.944000000000003</v>
      </c>
      <c r="J780" s="43" t="s">
        <v>895</v>
      </c>
    </row>
    <row r="781" spans="1:10" x14ac:dyDescent="0.25">
      <c r="A781" s="60" t="s">
        <v>896</v>
      </c>
      <c r="B781" s="16" t="s">
        <v>897</v>
      </c>
      <c r="C781" s="3" t="s">
        <v>46</v>
      </c>
      <c r="D781" s="3">
        <v>2</v>
      </c>
      <c r="E781" s="3" t="s">
        <v>1855</v>
      </c>
      <c r="F781" s="3">
        <v>27.4</v>
      </c>
      <c r="G781" s="20">
        <f t="shared" ref="G781:G844" si="33">F781-(F781*38%)</f>
        <v>16.988</v>
      </c>
      <c r="H781" s="20">
        <f t="shared" si="32"/>
        <v>33.975999999999999</v>
      </c>
      <c r="J781" s="43" t="s">
        <v>897</v>
      </c>
    </row>
    <row r="782" spans="1:10" x14ac:dyDescent="0.25">
      <c r="A782" s="60" t="s">
        <v>898</v>
      </c>
      <c r="B782" s="23" t="s">
        <v>899</v>
      </c>
      <c r="C782" s="3" t="s">
        <v>46</v>
      </c>
      <c r="D782" s="3">
        <v>2</v>
      </c>
      <c r="E782" s="3" t="s">
        <v>1855</v>
      </c>
      <c r="F782" s="3">
        <v>30.6</v>
      </c>
      <c r="G782" s="20">
        <f t="shared" si="33"/>
        <v>18.972000000000001</v>
      </c>
      <c r="H782" s="20">
        <f t="shared" si="32"/>
        <v>37.944000000000003</v>
      </c>
      <c r="J782" s="43" t="s">
        <v>899</v>
      </c>
    </row>
    <row r="783" spans="1:10" x14ac:dyDescent="0.25">
      <c r="A783" s="60" t="s">
        <v>900</v>
      </c>
      <c r="B783" s="23" t="s">
        <v>901</v>
      </c>
      <c r="C783" s="3" t="s">
        <v>47</v>
      </c>
      <c r="D783" s="3">
        <v>4</v>
      </c>
      <c r="E783" s="3" t="s">
        <v>1855</v>
      </c>
      <c r="F783" s="3">
        <v>238</v>
      </c>
      <c r="G783" s="20">
        <f t="shared" si="33"/>
        <v>147.56</v>
      </c>
      <c r="H783" s="20">
        <f t="shared" si="32"/>
        <v>590.24</v>
      </c>
      <c r="J783" s="43" t="s">
        <v>2153</v>
      </c>
    </row>
    <row r="784" spans="1:10" x14ac:dyDescent="0.25">
      <c r="A784" s="60" t="s">
        <v>902</v>
      </c>
      <c r="B784" s="23" t="s">
        <v>903</v>
      </c>
      <c r="C784" s="3" t="s">
        <v>46</v>
      </c>
      <c r="D784" s="3">
        <v>4</v>
      </c>
      <c r="E784" s="3" t="s">
        <v>1855</v>
      </c>
      <c r="F784" s="3">
        <v>27</v>
      </c>
      <c r="G784" s="20">
        <f t="shared" si="33"/>
        <v>16.740000000000002</v>
      </c>
      <c r="H784" s="20">
        <f t="shared" si="32"/>
        <v>66.960000000000008</v>
      </c>
      <c r="J784" s="43" t="s">
        <v>903</v>
      </c>
    </row>
    <row r="785" spans="1:10" x14ac:dyDescent="0.25">
      <c r="A785" s="60" t="s">
        <v>904</v>
      </c>
      <c r="B785" s="23" t="s">
        <v>905</v>
      </c>
      <c r="C785" s="3" t="s">
        <v>46</v>
      </c>
      <c r="D785" s="3">
        <v>2</v>
      </c>
      <c r="E785" s="3" t="s">
        <v>1855</v>
      </c>
      <c r="F785" s="3">
        <v>927</v>
      </c>
      <c r="G785" s="20">
        <f t="shared" si="33"/>
        <v>574.74</v>
      </c>
      <c r="H785" s="20">
        <f t="shared" si="32"/>
        <v>1149.48</v>
      </c>
      <c r="J785" s="43" t="s">
        <v>905</v>
      </c>
    </row>
    <row r="786" spans="1:10" x14ac:dyDescent="0.25">
      <c r="A786" s="60" t="s">
        <v>681</v>
      </c>
      <c r="B786" s="23" t="s">
        <v>682</v>
      </c>
      <c r="C786" s="3" t="s">
        <v>47</v>
      </c>
      <c r="D786" s="3">
        <v>2</v>
      </c>
      <c r="E786" s="3" t="s">
        <v>1855</v>
      </c>
      <c r="F786" s="3">
        <v>50.4</v>
      </c>
      <c r="G786" s="20">
        <f t="shared" si="33"/>
        <v>31.247999999999998</v>
      </c>
      <c r="H786" s="20">
        <f t="shared" si="32"/>
        <v>62.495999999999995</v>
      </c>
      <c r="J786" s="43" t="s">
        <v>2103</v>
      </c>
    </row>
    <row r="787" spans="1:10" x14ac:dyDescent="0.25">
      <c r="A787" s="60" t="s">
        <v>906</v>
      </c>
      <c r="B787" s="23" t="s">
        <v>907</v>
      </c>
      <c r="C787" s="3" t="s">
        <v>46</v>
      </c>
      <c r="D787" s="3">
        <v>2</v>
      </c>
      <c r="E787" s="3" t="s">
        <v>1855</v>
      </c>
      <c r="F787" s="3">
        <v>74.099999999999994</v>
      </c>
      <c r="G787" s="20">
        <f t="shared" si="33"/>
        <v>45.941999999999993</v>
      </c>
      <c r="H787" s="20">
        <f t="shared" si="32"/>
        <v>91.883999999999986</v>
      </c>
      <c r="J787" s="43" t="s">
        <v>2154</v>
      </c>
    </row>
    <row r="788" spans="1:10" x14ac:dyDescent="0.25">
      <c r="A788" s="60" t="s">
        <v>908</v>
      </c>
      <c r="B788" s="23" t="s">
        <v>909</v>
      </c>
      <c r="C788" s="3" t="s">
        <v>47</v>
      </c>
      <c r="D788" s="3">
        <v>2</v>
      </c>
      <c r="E788" s="3" t="s">
        <v>1855</v>
      </c>
      <c r="F788" s="3">
        <v>21.3</v>
      </c>
      <c r="G788" s="20">
        <f t="shared" si="33"/>
        <v>13.206</v>
      </c>
      <c r="H788" s="20">
        <f t="shared" si="32"/>
        <v>26.411999999999999</v>
      </c>
      <c r="J788" s="43" t="s">
        <v>2155</v>
      </c>
    </row>
    <row r="789" spans="1:10" x14ac:dyDescent="0.25">
      <c r="A789" s="60" t="s">
        <v>910</v>
      </c>
      <c r="B789" s="23" t="s">
        <v>911</v>
      </c>
      <c r="C789" s="3" t="s">
        <v>46</v>
      </c>
      <c r="D789" s="3">
        <v>2</v>
      </c>
      <c r="E789" s="3" t="s">
        <v>1855</v>
      </c>
      <c r="F789" s="3">
        <v>19.7</v>
      </c>
      <c r="G789" s="20">
        <f t="shared" si="33"/>
        <v>12.213999999999999</v>
      </c>
      <c r="H789" s="20">
        <f t="shared" si="32"/>
        <v>24.427999999999997</v>
      </c>
      <c r="J789" s="43" t="s">
        <v>2156</v>
      </c>
    </row>
    <row r="790" spans="1:10" x14ac:dyDescent="0.25">
      <c r="A790" s="60" t="s">
        <v>400</v>
      </c>
      <c r="B790" s="23" t="s">
        <v>401</v>
      </c>
      <c r="C790" s="3" t="s">
        <v>46</v>
      </c>
      <c r="D790" s="3">
        <v>4</v>
      </c>
      <c r="E790" s="3" t="s">
        <v>1855</v>
      </c>
      <c r="F790" s="3">
        <v>41.3</v>
      </c>
      <c r="G790" s="20">
        <f t="shared" si="33"/>
        <v>25.605999999999998</v>
      </c>
      <c r="H790" s="20">
        <f t="shared" si="32"/>
        <v>102.42399999999999</v>
      </c>
      <c r="J790" s="43" t="s">
        <v>2018</v>
      </c>
    </row>
    <row r="791" spans="1:10" x14ac:dyDescent="0.25">
      <c r="A791" s="60" t="s">
        <v>683</v>
      </c>
      <c r="B791" s="23" t="s">
        <v>912</v>
      </c>
      <c r="C791" s="3" t="s">
        <v>46</v>
      </c>
      <c r="D791" s="3">
        <v>4</v>
      </c>
      <c r="E791" s="3" t="s">
        <v>1855</v>
      </c>
      <c r="F791" s="3">
        <v>84.9</v>
      </c>
      <c r="G791" s="20">
        <f t="shared" si="33"/>
        <v>52.638000000000005</v>
      </c>
      <c r="H791" s="20">
        <f t="shared" si="32"/>
        <v>210.55200000000002</v>
      </c>
      <c r="J791" s="43" t="s">
        <v>2104</v>
      </c>
    </row>
    <row r="792" spans="1:10" x14ac:dyDescent="0.25">
      <c r="A792" s="60" t="s">
        <v>454</v>
      </c>
      <c r="B792" s="23" t="s">
        <v>455</v>
      </c>
      <c r="C792" s="3" t="s">
        <v>46</v>
      </c>
      <c r="D792" s="3">
        <v>4</v>
      </c>
      <c r="E792" s="3" t="s">
        <v>1855</v>
      </c>
      <c r="F792" s="3">
        <v>40.1</v>
      </c>
      <c r="G792" s="20">
        <f t="shared" si="33"/>
        <v>24.862000000000002</v>
      </c>
      <c r="H792" s="20">
        <f t="shared" si="32"/>
        <v>99.448000000000008</v>
      </c>
      <c r="J792" s="43" t="s">
        <v>2034</v>
      </c>
    </row>
    <row r="793" spans="1:10" ht="15.75" x14ac:dyDescent="0.25">
      <c r="A793" s="47" t="s">
        <v>1803</v>
      </c>
      <c r="B793" s="28" t="s">
        <v>1805</v>
      </c>
      <c r="C793" s="3" t="s">
        <v>46</v>
      </c>
      <c r="D793" s="3">
        <v>2</v>
      </c>
      <c r="E793" s="3" t="s">
        <v>1856</v>
      </c>
      <c r="F793" s="3">
        <v>639</v>
      </c>
      <c r="G793" s="20">
        <f t="shared" si="33"/>
        <v>396.18</v>
      </c>
      <c r="H793" s="20">
        <f t="shared" si="32"/>
        <v>792.36</v>
      </c>
      <c r="J793" s="43" t="s">
        <v>1939</v>
      </c>
    </row>
    <row r="794" spans="1:10" ht="15.75" x14ac:dyDescent="0.25">
      <c r="A794" s="47" t="s">
        <v>1804</v>
      </c>
      <c r="B794" s="28" t="s">
        <v>1806</v>
      </c>
      <c r="C794" s="3" t="s">
        <v>46</v>
      </c>
      <c r="D794" s="3">
        <v>2</v>
      </c>
      <c r="E794" s="3" t="s">
        <v>1855</v>
      </c>
      <c r="F794" s="3">
        <v>123</v>
      </c>
      <c r="G794" s="20">
        <f t="shared" si="33"/>
        <v>76.259999999999991</v>
      </c>
      <c r="H794" s="20">
        <f t="shared" si="32"/>
        <v>152.51999999999998</v>
      </c>
      <c r="J794" s="43" t="s">
        <v>1940</v>
      </c>
    </row>
    <row r="795" spans="1:10" s="5" customFormat="1" x14ac:dyDescent="0.25">
      <c r="A795" s="51"/>
      <c r="B795" s="6" t="s">
        <v>1013</v>
      </c>
      <c r="C795" s="4"/>
      <c r="D795" s="29"/>
      <c r="E795" s="4"/>
      <c r="F795" s="4"/>
      <c r="G795" s="4"/>
      <c r="H795" s="4"/>
      <c r="J795" s="43"/>
    </row>
    <row r="796" spans="1:10" x14ac:dyDescent="0.25">
      <c r="A796" s="59" t="s">
        <v>51</v>
      </c>
      <c r="B796" s="14" t="s">
        <v>52</v>
      </c>
      <c r="C796" s="3" t="s">
        <v>46</v>
      </c>
      <c r="D796" s="3">
        <v>4</v>
      </c>
      <c r="E796" s="3" t="s">
        <v>1855</v>
      </c>
      <c r="F796" s="3">
        <v>20.100000000000001</v>
      </c>
      <c r="G796" s="20">
        <f t="shared" si="33"/>
        <v>12.462</v>
      </c>
      <c r="H796" s="20">
        <f t="shared" ref="H796:H859" si="34">G796*D796</f>
        <v>49.847999999999999</v>
      </c>
      <c r="J796" s="43" t="s">
        <v>1883</v>
      </c>
    </row>
    <row r="797" spans="1:10" x14ac:dyDescent="0.25">
      <c r="A797" s="59" t="s">
        <v>915</v>
      </c>
      <c r="B797" s="14" t="s">
        <v>916</v>
      </c>
      <c r="C797" s="3" t="s">
        <v>46</v>
      </c>
      <c r="D797" s="3">
        <v>2</v>
      </c>
      <c r="E797" s="3" t="s">
        <v>1855</v>
      </c>
      <c r="F797" s="3">
        <v>97.9</v>
      </c>
      <c r="G797" s="20">
        <f t="shared" si="33"/>
        <v>60.698</v>
      </c>
      <c r="H797" s="20">
        <f t="shared" si="34"/>
        <v>121.396</v>
      </c>
      <c r="J797" s="43" t="s">
        <v>2157</v>
      </c>
    </row>
    <row r="798" spans="1:10" x14ac:dyDescent="0.25">
      <c r="A798" s="59" t="s">
        <v>611</v>
      </c>
      <c r="B798" s="14" t="s">
        <v>917</v>
      </c>
      <c r="C798" s="3" t="s">
        <v>46</v>
      </c>
      <c r="D798" s="3">
        <v>2</v>
      </c>
      <c r="E798" s="3" t="s">
        <v>1855</v>
      </c>
      <c r="F798" s="3">
        <v>176.5</v>
      </c>
      <c r="G798" s="20">
        <f t="shared" si="33"/>
        <v>109.42999999999999</v>
      </c>
      <c r="H798" s="20">
        <f t="shared" si="34"/>
        <v>218.85999999999999</v>
      </c>
      <c r="J798" s="43" t="s">
        <v>2078</v>
      </c>
    </row>
    <row r="799" spans="1:10" x14ac:dyDescent="0.25">
      <c r="A799" s="59" t="s">
        <v>918</v>
      </c>
      <c r="B799" s="14" t="s">
        <v>919</v>
      </c>
      <c r="C799" s="3" t="s">
        <v>46</v>
      </c>
      <c r="D799" s="3">
        <v>2</v>
      </c>
      <c r="E799" s="3" t="s">
        <v>1855</v>
      </c>
      <c r="F799" s="3">
        <v>211.5</v>
      </c>
      <c r="G799" s="20">
        <f t="shared" si="33"/>
        <v>131.13</v>
      </c>
      <c r="H799" s="20">
        <f t="shared" si="34"/>
        <v>262.26</v>
      </c>
      <c r="J799" s="43" t="s">
        <v>2158</v>
      </c>
    </row>
    <row r="800" spans="1:10" x14ac:dyDescent="0.25">
      <c r="A800" s="59" t="s">
        <v>920</v>
      </c>
      <c r="B800" s="14" t="s">
        <v>921</v>
      </c>
      <c r="C800" s="3" t="s">
        <v>46</v>
      </c>
      <c r="D800" s="3">
        <v>12</v>
      </c>
      <c r="E800" s="3" t="s">
        <v>1855</v>
      </c>
      <c r="F800" s="3">
        <v>27</v>
      </c>
      <c r="G800" s="20">
        <f t="shared" si="33"/>
        <v>16.740000000000002</v>
      </c>
      <c r="H800" s="20">
        <f t="shared" si="34"/>
        <v>200.88000000000002</v>
      </c>
      <c r="J800" s="43" t="s">
        <v>2159</v>
      </c>
    </row>
    <row r="801" spans="1:10" x14ac:dyDescent="0.25">
      <c r="A801" s="59" t="s">
        <v>132</v>
      </c>
      <c r="B801" s="14" t="s">
        <v>133</v>
      </c>
      <c r="C801" s="3" t="s">
        <v>47</v>
      </c>
      <c r="D801" s="3">
        <v>12</v>
      </c>
      <c r="E801" s="3" t="s">
        <v>1855</v>
      </c>
      <c r="F801" s="3">
        <v>28.2</v>
      </c>
      <c r="G801" s="20">
        <f t="shared" si="33"/>
        <v>17.484000000000002</v>
      </c>
      <c r="H801" s="20">
        <f t="shared" si="34"/>
        <v>209.80800000000002</v>
      </c>
      <c r="J801" s="43" t="s">
        <v>1916</v>
      </c>
    </row>
    <row r="802" spans="1:10" x14ac:dyDescent="0.25">
      <c r="A802" s="59" t="s">
        <v>922</v>
      </c>
      <c r="B802" s="14" t="s">
        <v>923</v>
      </c>
      <c r="C802" s="3" t="s">
        <v>47</v>
      </c>
      <c r="D802" s="3">
        <v>4</v>
      </c>
      <c r="E802" s="3" t="s">
        <v>1855</v>
      </c>
      <c r="F802" s="3">
        <v>68.3</v>
      </c>
      <c r="G802" s="20">
        <f t="shared" si="33"/>
        <v>42.345999999999997</v>
      </c>
      <c r="H802" s="20">
        <f t="shared" si="34"/>
        <v>169.38399999999999</v>
      </c>
      <c r="J802" s="43" t="s">
        <v>2160</v>
      </c>
    </row>
    <row r="803" spans="1:10" x14ac:dyDescent="0.25">
      <c r="A803" s="59" t="s">
        <v>924</v>
      </c>
      <c r="B803" s="14" t="s">
        <v>925</v>
      </c>
      <c r="C803" s="3" t="s">
        <v>47</v>
      </c>
      <c r="D803" s="3">
        <v>4</v>
      </c>
      <c r="E803" s="3" t="s">
        <v>1855</v>
      </c>
      <c r="F803" s="3">
        <v>31.7</v>
      </c>
      <c r="G803" s="20">
        <f t="shared" si="33"/>
        <v>19.654</v>
      </c>
      <c r="H803" s="20">
        <f t="shared" si="34"/>
        <v>78.616</v>
      </c>
      <c r="J803" s="43" t="s">
        <v>2161</v>
      </c>
    </row>
    <row r="804" spans="1:10" x14ac:dyDescent="0.25">
      <c r="A804" s="59" t="s">
        <v>428</v>
      </c>
      <c r="B804" s="14" t="s">
        <v>429</v>
      </c>
      <c r="C804" s="3" t="s">
        <v>46</v>
      </c>
      <c r="D804" s="3">
        <v>2</v>
      </c>
      <c r="E804" s="3" t="s">
        <v>1855</v>
      </c>
      <c r="F804" s="3">
        <v>32</v>
      </c>
      <c r="G804" s="20">
        <f t="shared" si="33"/>
        <v>19.84</v>
      </c>
      <c r="H804" s="20">
        <f t="shared" si="34"/>
        <v>39.68</v>
      </c>
      <c r="J804" s="43" t="s">
        <v>429</v>
      </c>
    </row>
    <row r="805" spans="1:10" x14ac:dyDescent="0.25">
      <c r="A805" s="59" t="s">
        <v>16</v>
      </c>
      <c r="B805" s="14" t="s">
        <v>17</v>
      </c>
      <c r="C805" s="3" t="s">
        <v>46</v>
      </c>
      <c r="D805" s="3">
        <v>4</v>
      </c>
      <c r="E805" s="3" t="s">
        <v>1855</v>
      </c>
      <c r="F805" s="3">
        <v>24.1</v>
      </c>
      <c r="G805" s="20">
        <f t="shared" si="33"/>
        <v>14.942</v>
      </c>
      <c r="H805" s="20">
        <f t="shared" si="34"/>
        <v>59.768000000000001</v>
      </c>
      <c r="J805" s="43" t="s">
        <v>1869</v>
      </c>
    </row>
    <row r="806" spans="1:10" x14ac:dyDescent="0.25">
      <c r="A806" s="59" t="s">
        <v>926</v>
      </c>
      <c r="B806" s="14" t="s">
        <v>927</v>
      </c>
      <c r="C806" s="3" t="s">
        <v>46</v>
      </c>
      <c r="D806" s="3">
        <v>2</v>
      </c>
      <c r="E806" s="3" t="s">
        <v>1855</v>
      </c>
      <c r="F806" s="3">
        <v>23.5</v>
      </c>
      <c r="G806" s="20">
        <f t="shared" si="33"/>
        <v>14.57</v>
      </c>
      <c r="H806" s="20">
        <f t="shared" si="34"/>
        <v>29.14</v>
      </c>
      <c r="J806" s="43" t="s">
        <v>2162</v>
      </c>
    </row>
    <row r="807" spans="1:10" x14ac:dyDescent="0.25">
      <c r="A807" s="59" t="s">
        <v>928</v>
      </c>
      <c r="B807" s="14" t="s">
        <v>929</v>
      </c>
      <c r="C807" s="3" t="s">
        <v>46</v>
      </c>
      <c r="D807" s="3">
        <v>2</v>
      </c>
      <c r="E807" s="3" t="s">
        <v>1855</v>
      </c>
      <c r="F807" s="3">
        <v>35.9</v>
      </c>
      <c r="G807" s="20">
        <f t="shared" si="33"/>
        <v>22.257999999999999</v>
      </c>
      <c r="H807" s="20">
        <f t="shared" si="34"/>
        <v>44.515999999999998</v>
      </c>
      <c r="J807" s="43" t="s">
        <v>2163</v>
      </c>
    </row>
    <row r="808" spans="1:10" x14ac:dyDescent="0.25">
      <c r="A808" s="59" t="s">
        <v>930</v>
      </c>
      <c r="B808" s="14" t="s">
        <v>931</v>
      </c>
      <c r="C808" s="3" t="s">
        <v>46</v>
      </c>
      <c r="D808" s="3">
        <v>2</v>
      </c>
      <c r="E808" s="3" t="s">
        <v>1855</v>
      </c>
      <c r="F808" s="3">
        <v>26.4</v>
      </c>
      <c r="G808" s="20">
        <f t="shared" si="33"/>
        <v>16.367999999999999</v>
      </c>
      <c r="H808" s="20">
        <f t="shared" si="34"/>
        <v>32.735999999999997</v>
      </c>
      <c r="J808" s="43" t="s">
        <v>2164</v>
      </c>
    </row>
    <row r="809" spans="1:10" x14ac:dyDescent="0.25">
      <c r="A809" s="59" t="s">
        <v>14</v>
      </c>
      <c r="B809" s="14" t="s">
        <v>15</v>
      </c>
      <c r="C809" s="3" t="s">
        <v>46</v>
      </c>
      <c r="D809" s="3">
        <v>2</v>
      </c>
      <c r="E809" s="3" t="s">
        <v>1855</v>
      </c>
      <c r="F809" s="3">
        <v>27.2</v>
      </c>
      <c r="G809" s="20">
        <f t="shared" si="33"/>
        <v>16.863999999999997</v>
      </c>
      <c r="H809" s="20">
        <f t="shared" si="34"/>
        <v>33.727999999999994</v>
      </c>
      <c r="J809" s="43" t="s">
        <v>1868</v>
      </c>
    </row>
    <row r="810" spans="1:10" x14ac:dyDescent="0.25">
      <c r="A810" s="59" t="s">
        <v>932</v>
      </c>
      <c r="B810" s="14" t="s">
        <v>933</v>
      </c>
      <c r="C810" s="3" t="s">
        <v>46</v>
      </c>
      <c r="D810" s="3">
        <v>2</v>
      </c>
      <c r="E810" s="3" t="s">
        <v>1855</v>
      </c>
      <c r="F810" s="3">
        <v>100.5</v>
      </c>
      <c r="G810" s="20">
        <f t="shared" si="33"/>
        <v>62.31</v>
      </c>
      <c r="H810" s="20">
        <f t="shared" si="34"/>
        <v>124.62</v>
      </c>
      <c r="J810" s="43" t="s">
        <v>2165</v>
      </c>
    </row>
    <row r="811" spans="1:10" x14ac:dyDescent="0.25">
      <c r="A811" s="59" t="s">
        <v>934</v>
      </c>
      <c r="B811" s="14" t="s">
        <v>935</v>
      </c>
      <c r="C811" s="3" t="s">
        <v>47</v>
      </c>
      <c r="D811" s="3">
        <v>2</v>
      </c>
      <c r="E811" s="3" t="s">
        <v>1855</v>
      </c>
      <c r="F811" s="3">
        <v>171</v>
      </c>
      <c r="G811" s="20">
        <f t="shared" si="33"/>
        <v>106.02</v>
      </c>
      <c r="H811" s="20">
        <f t="shared" si="34"/>
        <v>212.04</v>
      </c>
      <c r="J811" s="43" t="s">
        <v>2166</v>
      </c>
    </row>
    <row r="812" spans="1:10" x14ac:dyDescent="0.25">
      <c r="A812" s="59" t="s">
        <v>936</v>
      </c>
      <c r="B812" s="24" t="s">
        <v>937</v>
      </c>
      <c r="C812" s="3" t="s">
        <v>46</v>
      </c>
      <c r="D812" s="3">
        <v>2</v>
      </c>
      <c r="E812" s="3" t="s">
        <v>1855</v>
      </c>
      <c r="F812" s="3">
        <v>62.8</v>
      </c>
      <c r="G812" s="20">
        <f t="shared" si="33"/>
        <v>38.935999999999993</v>
      </c>
      <c r="H812" s="20">
        <f t="shared" si="34"/>
        <v>77.871999999999986</v>
      </c>
      <c r="J812" s="43" t="s">
        <v>2167</v>
      </c>
    </row>
    <row r="813" spans="1:10" x14ac:dyDescent="0.25">
      <c r="A813" s="59" t="s">
        <v>938</v>
      </c>
      <c r="B813" s="24" t="s">
        <v>331</v>
      </c>
      <c r="C813" s="3" t="s">
        <v>47</v>
      </c>
      <c r="D813" s="3">
        <v>4</v>
      </c>
      <c r="E813" s="3" t="s">
        <v>1855</v>
      </c>
      <c r="F813" s="3">
        <v>86.7</v>
      </c>
      <c r="G813" s="20">
        <f t="shared" si="33"/>
        <v>53.754000000000005</v>
      </c>
      <c r="H813" s="20">
        <f t="shared" si="34"/>
        <v>215.01600000000002</v>
      </c>
      <c r="J813" s="43" t="s">
        <v>331</v>
      </c>
    </row>
    <row r="814" spans="1:10" x14ac:dyDescent="0.25">
      <c r="A814" s="59" t="s">
        <v>939</v>
      </c>
      <c r="B814" s="24" t="s">
        <v>940</v>
      </c>
      <c r="C814" s="3" t="s">
        <v>46</v>
      </c>
      <c r="D814" s="3">
        <v>2</v>
      </c>
      <c r="E814" s="3" t="s">
        <v>1855</v>
      </c>
      <c r="F814" s="3">
        <v>77.099999999999994</v>
      </c>
      <c r="G814" s="20">
        <f t="shared" si="33"/>
        <v>47.801999999999992</v>
      </c>
      <c r="H814" s="20">
        <f t="shared" si="34"/>
        <v>95.603999999999985</v>
      </c>
      <c r="J814" s="43" t="s">
        <v>2168</v>
      </c>
    </row>
    <row r="815" spans="1:10" x14ac:dyDescent="0.25">
      <c r="A815" s="59" t="s">
        <v>941</v>
      </c>
      <c r="B815" s="24" t="s">
        <v>942</v>
      </c>
      <c r="C815" s="3" t="s">
        <v>46</v>
      </c>
      <c r="D815" s="3">
        <v>2</v>
      </c>
      <c r="E815" s="3" t="s">
        <v>1855</v>
      </c>
      <c r="F815" s="3">
        <v>129.5</v>
      </c>
      <c r="G815" s="20">
        <f t="shared" si="33"/>
        <v>80.289999999999992</v>
      </c>
      <c r="H815" s="20">
        <f t="shared" si="34"/>
        <v>160.57999999999998</v>
      </c>
      <c r="J815" s="43" t="s">
        <v>2169</v>
      </c>
    </row>
    <row r="816" spans="1:10" x14ac:dyDescent="0.25">
      <c r="A816" s="59" t="s">
        <v>943</v>
      </c>
      <c r="B816" s="24" t="s">
        <v>944</v>
      </c>
      <c r="C816" s="3" t="s">
        <v>46</v>
      </c>
      <c r="D816" s="3">
        <v>2</v>
      </c>
      <c r="E816" s="3" t="s">
        <v>1855</v>
      </c>
      <c r="F816" s="3">
        <v>129.5</v>
      </c>
      <c r="G816" s="20">
        <f t="shared" si="33"/>
        <v>80.289999999999992</v>
      </c>
      <c r="H816" s="20">
        <f t="shared" si="34"/>
        <v>160.57999999999998</v>
      </c>
      <c r="J816" s="43" t="s">
        <v>2170</v>
      </c>
    </row>
    <row r="817" spans="1:10" x14ac:dyDescent="0.25">
      <c r="A817" s="59" t="s">
        <v>945</v>
      </c>
      <c r="B817" s="24" t="s">
        <v>946</v>
      </c>
      <c r="C817" s="3" t="s">
        <v>46</v>
      </c>
      <c r="D817" s="3">
        <v>2</v>
      </c>
      <c r="E817" s="3" t="s">
        <v>1855</v>
      </c>
      <c r="F817" s="3">
        <v>67.099999999999994</v>
      </c>
      <c r="G817" s="20">
        <f t="shared" si="33"/>
        <v>41.601999999999997</v>
      </c>
      <c r="H817" s="20">
        <f t="shared" si="34"/>
        <v>83.203999999999994</v>
      </c>
      <c r="J817" s="43" t="s">
        <v>2171</v>
      </c>
    </row>
    <row r="818" spans="1:10" x14ac:dyDescent="0.25">
      <c r="A818" s="59" t="s">
        <v>457</v>
      </c>
      <c r="B818" s="24" t="s">
        <v>458</v>
      </c>
      <c r="C818" s="3" t="s">
        <v>46</v>
      </c>
      <c r="D818" s="3">
        <v>2</v>
      </c>
      <c r="E818" s="3" t="s">
        <v>1855</v>
      </c>
      <c r="F818" s="3">
        <v>62.9</v>
      </c>
      <c r="G818" s="20">
        <f t="shared" si="33"/>
        <v>38.997999999999998</v>
      </c>
      <c r="H818" s="20">
        <f t="shared" si="34"/>
        <v>77.995999999999995</v>
      </c>
      <c r="J818" s="43" t="s">
        <v>458</v>
      </c>
    </row>
    <row r="819" spans="1:10" x14ac:dyDescent="0.25">
      <c r="A819" s="59" t="s">
        <v>947</v>
      </c>
      <c r="B819" s="24" t="s">
        <v>948</v>
      </c>
      <c r="C819" s="3" t="s">
        <v>46</v>
      </c>
      <c r="D819" s="3">
        <v>4</v>
      </c>
      <c r="E819" s="3" t="s">
        <v>1855</v>
      </c>
      <c r="F819" s="3">
        <v>134</v>
      </c>
      <c r="G819" s="20">
        <f t="shared" si="33"/>
        <v>83.08</v>
      </c>
      <c r="H819" s="20">
        <f t="shared" si="34"/>
        <v>332.32</v>
      </c>
      <c r="J819" s="43" t="s">
        <v>948</v>
      </c>
    </row>
    <row r="820" spans="1:10" x14ac:dyDescent="0.25">
      <c r="A820" s="59" t="s">
        <v>949</v>
      </c>
      <c r="B820" s="24" t="s">
        <v>950</v>
      </c>
      <c r="C820" s="3" t="s">
        <v>46</v>
      </c>
      <c r="D820" s="3">
        <v>4</v>
      </c>
      <c r="E820" s="3" t="s">
        <v>1855</v>
      </c>
      <c r="F820" s="3">
        <v>81.8</v>
      </c>
      <c r="G820" s="20">
        <f t="shared" si="33"/>
        <v>50.715999999999994</v>
      </c>
      <c r="H820" s="20">
        <f t="shared" si="34"/>
        <v>202.86399999999998</v>
      </c>
      <c r="J820" s="43" t="s">
        <v>950</v>
      </c>
    </row>
    <row r="821" spans="1:10" x14ac:dyDescent="0.25">
      <c r="A821" s="59" t="s">
        <v>951</v>
      </c>
      <c r="B821" s="24" t="s">
        <v>952</v>
      </c>
      <c r="C821" s="3" t="s">
        <v>46</v>
      </c>
      <c r="D821" s="3">
        <v>2</v>
      </c>
      <c r="E821" s="3" t="s">
        <v>1855</v>
      </c>
      <c r="F821" s="3">
        <v>77.599999999999994</v>
      </c>
      <c r="G821" s="20">
        <f t="shared" si="33"/>
        <v>48.111999999999995</v>
      </c>
      <c r="H821" s="20">
        <f t="shared" si="34"/>
        <v>96.22399999999999</v>
      </c>
      <c r="J821" s="43" t="s">
        <v>2172</v>
      </c>
    </row>
    <row r="822" spans="1:10" x14ac:dyDescent="0.25">
      <c r="A822" s="59" t="s">
        <v>953</v>
      </c>
      <c r="B822" s="24" t="s">
        <v>954</v>
      </c>
      <c r="C822" s="3" t="s">
        <v>46</v>
      </c>
      <c r="D822" s="3">
        <v>2</v>
      </c>
      <c r="E822" s="3" t="s">
        <v>1855</v>
      </c>
      <c r="F822" s="3">
        <v>83.3</v>
      </c>
      <c r="G822" s="20">
        <f t="shared" si="33"/>
        <v>51.646000000000001</v>
      </c>
      <c r="H822" s="20">
        <f t="shared" si="34"/>
        <v>103.292</v>
      </c>
      <c r="J822" s="43" t="s">
        <v>954</v>
      </c>
    </row>
    <row r="823" spans="1:10" x14ac:dyDescent="0.25">
      <c r="A823" s="59" t="s">
        <v>322</v>
      </c>
      <c r="B823" s="24" t="s">
        <v>323</v>
      </c>
      <c r="C823" s="3" t="s">
        <v>46</v>
      </c>
      <c r="D823" s="3">
        <v>2</v>
      </c>
      <c r="E823" s="3" t="s">
        <v>1855</v>
      </c>
      <c r="F823" s="3">
        <v>123.5</v>
      </c>
      <c r="G823" s="20">
        <f t="shared" si="33"/>
        <v>76.569999999999993</v>
      </c>
      <c r="H823" s="20">
        <f t="shared" si="34"/>
        <v>153.13999999999999</v>
      </c>
      <c r="J823" s="43" t="s">
        <v>323</v>
      </c>
    </row>
    <row r="824" spans="1:10" x14ac:dyDescent="0.25">
      <c r="A824" s="59" t="s">
        <v>955</v>
      </c>
      <c r="B824" s="24" t="s">
        <v>956</v>
      </c>
      <c r="C824" s="3" t="s">
        <v>46</v>
      </c>
      <c r="D824" s="3">
        <v>4</v>
      </c>
      <c r="E824" s="3" t="s">
        <v>1855</v>
      </c>
      <c r="F824" s="3">
        <v>35</v>
      </c>
      <c r="G824" s="20">
        <f t="shared" si="33"/>
        <v>21.7</v>
      </c>
      <c r="H824" s="20">
        <f t="shared" si="34"/>
        <v>86.8</v>
      </c>
      <c r="J824" s="43" t="s">
        <v>956</v>
      </c>
    </row>
    <row r="825" spans="1:10" x14ac:dyDescent="0.25">
      <c r="A825" s="59" t="s">
        <v>957</v>
      </c>
      <c r="B825" s="24" t="s">
        <v>958</v>
      </c>
      <c r="C825" s="3" t="s">
        <v>46</v>
      </c>
      <c r="D825" s="3">
        <v>2</v>
      </c>
      <c r="E825" s="3" t="s">
        <v>1855</v>
      </c>
      <c r="F825" s="3">
        <v>123.5</v>
      </c>
      <c r="G825" s="20">
        <f t="shared" si="33"/>
        <v>76.569999999999993</v>
      </c>
      <c r="H825" s="20">
        <f t="shared" si="34"/>
        <v>153.13999999999999</v>
      </c>
      <c r="J825" s="43" t="s">
        <v>958</v>
      </c>
    </row>
    <row r="826" spans="1:10" x14ac:dyDescent="0.25">
      <c r="A826" s="59" t="s">
        <v>959</v>
      </c>
      <c r="B826" s="24" t="s">
        <v>960</v>
      </c>
      <c r="C826" s="3" t="s">
        <v>46</v>
      </c>
      <c r="D826" s="3">
        <v>2</v>
      </c>
      <c r="E826" s="3" t="s">
        <v>1855</v>
      </c>
      <c r="F826" s="3">
        <v>123.5</v>
      </c>
      <c r="G826" s="20">
        <f t="shared" si="33"/>
        <v>76.569999999999993</v>
      </c>
      <c r="H826" s="20">
        <f t="shared" si="34"/>
        <v>153.13999999999999</v>
      </c>
      <c r="J826" s="43" t="s">
        <v>960</v>
      </c>
    </row>
    <row r="827" spans="1:10" x14ac:dyDescent="0.25">
      <c r="A827" s="59" t="s">
        <v>961</v>
      </c>
      <c r="B827" s="24" t="s">
        <v>962</v>
      </c>
      <c r="C827" s="3" t="s">
        <v>46</v>
      </c>
      <c r="D827" s="3">
        <v>2</v>
      </c>
      <c r="E827" s="3" t="s">
        <v>1855</v>
      </c>
      <c r="F827" s="3">
        <v>86.6</v>
      </c>
      <c r="G827" s="20">
        <f t="shared" si="33"/>
        <v>53.691999999999993</v>
      </c>
      <c r="H827" s="20">
        <f t="shared" si="34"/>
        <v>107.38399999999999</v>
      </c>
      <c r="J827" s="43" t="s">
        <v>2173</v>
      </c>
    </row>
    <row r="828" spans="1:10" x14ac:dyDescent="0.25">
      <c r="A828" s="59" t="s">
        <v>963</v>
      </c>
      <c r="B828" s="24" t="s">
        <v>964</v>
      </c>
      <c r="C828" s="3" t="s">
        <v>46</v>
      </c>
      <c r="D828" s="3">
        <v>2</v>
      </c>
      <c r="E828" s="3" t="s">
        <v>1855</v>
      </c>
      <c r="F828" s="3">
        <v>86.3</v>
      </c>
      <c r="G828" s="20">
        <f t="shared" si="33"/>
        <v>53.506</v>
      </c>
      <c r="H828" s="20">
        <f t="shared" si="34"/>
        <v>107.012</v>
      </c>
      <c r="J828" s="43" t="s">
        <v>2174</v>
      </c>
    </row>
    <row r="829" spans="1:10" x14ac:dyDescent="0.25">
      <c r="A829" s="59" t="s">
        <v>965</v>
      </c>
      <c r="B829" s="24" t="s">
        <v>966</v>
      </c>
      <c r="C829" s="3" t="s">
        <v>46</v>
      </c>
      <c r="D829" s="3">
        <v>2</v>
      </c>
      <c r="E829" s="3" t="s">
        <v>1855</v>
      </c>
      <c r="F829" s="3">
        <v>57.1</v>
      </c>
      <c r="G829" s="20">
        <f t="shared" si="33"/>
        <v>35.402000000000001</v>
      </c>
      <c r="H829" s="20">
        <f t="shared" si="34"/>
        <v>70.804000000000002</v>
      </c>
      <c r="J829" s="43" t="s">
        <v>2175</v>
      </c>
    </row>
    <row r="830" spans="1:10" x14ac:dyDescent="0.25">
      <c r="A830" s="59" t="s">
        <v>967</v>
      </c>
      <c r="B830" s="24" t="s">
        <v>968</v>
      </c>
      <c r="C830" s="3" t="s">
        <v>46</v>
      </c>
      <c r="D830" s="3">
        <v>2</v>
      </c>
      <c r="E830" s="3" t="s">
        <v>1855</v>
      </c>
      <c r="F830" s="3">
        <v>29.3</v>
      </c>
      <c r="G830" s="20">
        <f t="shared" si="33"/>
        <v>18.166</v>
      </c>
      <c r="H830" s="20">
        <f t="shared" si="34"/>
        <v>36.332000000000001</v>
      </c>
      <c r="J830" s="43" t="s">
        <v>968</v>
      </c>
    </row>
    <row r="831" spans="1:10" x14ac:dyDescent="0.25">
      <c r="A831" s="59" t="s">
        <v>969</v>
      </c>
      <c r="B831" s="14" t="s">
        <v>970</v>
      </c>
      <c r="C831" s="3" t="s">
        <v>46</v>
      </c>
      <c r="D831" s="3">
        <v>2</v>
      </c>
      <c r="E831" s="3" t="s">
        <v>1855</v>
      </c>
      <c r="F831" s="3">
        <v>34.1</v>
      </c>
      <c r="G831" s="20">
        <f t="shared" si="33"/>
        <v>21.142000000000003</v>
      </c>
      <c r="H831" s="20">
        <f t="shared" si="34"/>
        <v>42.284000000000006</v>
      </c>
      <c r="J831" s="43" t="s">
        <v>2176</v>
      </c>
    </row>
    <row r="832" spans="1:10" x14ac:dyDescent="0.25">
      <c r="A832" s="59" t="s">
        <v>302</v>
      </c>
      <c r="B832" s="14" t="s">
        <v>303</v>
      </c>
      <c r="C832" s="3" t="s">
        <v>46</v>
      </c>
      <c r="D832" s="3">
        <v>2</v>
      </c>
      <c r="E832" s="3" t="s">
        <v>1855</v>
      </c>
      <c r="F832" s="3">
        <v>34.1</v>
      </c>
      <c r="G832" s="20">
        <f t="shared" si="33"/>
        <v>21.142000000000003</v>
      </c>
      <c r="H832" s="20">
        <f t="shared" si="34"/>
        <v>42.284000000000006</v>
      </c>
      <c r="J832" s="43" t="s">
        <v>1988</v>
      </c>
    </row>
    <row r="833" spans="1:10" x14ac:dyDescent="0.25">
      <c r="A833" s="59" t="s">
        <v>971</v>
      </c>
      <c r="B833" s="14" t="s">
        <v>972</v>
      </c>
      <c r="C833" s="3" t="s">
        <v>46</v>
      </c>
      <c r="D833" s="3">
        <v>4</v>
      </c>
      <c r="E833" s="3" t="s">
        <v>1855</v>
      </c>
      <c r="F833" s="3">
        <v>36.9</v>
      </c>
      <c r="G833" s="20">
        <f t="shared" si="33"/>
        <v>22.878</v>
      </c>
      <c r="H833" s="20">
        <f t="shared" si="34"/>
        <v>91.512</v>
      </c>
      <c r="J833" s="43" t="s">
        <v>2177</v>
      </c>
    </row>
    <row r="834" spans="1:10" x14ac:dyDescent="0.25">
      <c r="A834" s="59" t="s">
        <v>298</v>
      </c>
      <c r="B834" s="14" t="s">
        <v>299</v>
      </c>
      <c r="C834" s="3" t="s">
        <v>46</v>
      </c>
      <c r="D834" s="3">
        <v>4</v>
      </c>
      <c r="E834" s="3" t="s">
        <v>1855</v>
      </c>
      <c r="F834" s="3">
        <v>52.9</v>
      </c>
      <c r="G834" s="20">
        <f t="shared" si="33"/>
        <v>32.798000000000002</v>
      </c>
      <c r="H834" s="20">
        <f t="shared" si="34"/>
        <v>131.19200000000001</v>
      </c>
      <c r="J834" s="43" t="s">
        <v>1986</v>
      </c>
    </row>
    <row r="835" spans="1:10" x14ac:dyDescent="0.25">
      <c r="A835" s="59" t="s">
        <v>973</v>
      </c>
      <c r="B835" s="14" t="s">
        <v>974</v>
      </c>
      <c r="C835" s="3" t="s">
        <v>46</v>
      </c>
      <c r="D835" s="3">
        <v>2</v>
      </c>
      <c r="E835" s="3" t="s">
        <v>1855</v>
      </c>
      <c r="F835" s="3">
        <v>68.5</v>
      </c>
      <c r="G835" s="20">
        <f t="shared" si="33"/>
        <v>42.47</v>
      </c>
      <c r="H835" s="20">
        <f t="shared" si="34"/>
        <v>84.94</v>
      </c>
      <c r="J835" s="43" t="s">
        <v>2178</v>
      </c>
    </row>
    <row r="836" spans="1:10" x14ac:dyDescent="0.25">
      <c r="A836" s="59" t="s">
        <v>975</v>
      </c>
      <c r="B836" s="14" t="s">
        <v>976</v>
      </c>
      <c r="C836" s="3" t="s">
        <v>46</v>
      </c>
      <c r="D836" s="3">
        <v>4</v>
      </c>
      <c r="E836" s="3" t="s">
        <v>1855</v>
      </c>
      <c r="F836" s="3">
        <v>44.6</v>
      </c>
      <c r="G836" s="20">
        <f t="shared" si="33"/>
        <v>27.652000000000001</v>
      </c>
      <c r="H836" s="20">
        <f t="shared" si="34"/>
        <v>110.608</v>
      </c>
      <c r="J836" s="43" t="s">
        <v>2179</v>
      </c>
    </row>
    <row r="837" spans="1:10" x14ac:dyDescent="0.25">
      <c r="A837" s="59" t="s">
        <v>977</v>
      </c>
      <c r="B837" s="14" t="s">
        <v>978</v>
      </c>
      <c r="C837" s="3" t="s">
        <v>46</v>
      </c>
      <c r="D837" s="3">
        <v>2</v>
      </c>
      <c r="E837" s="3" t="s">
        <v>1855</v>
      </c>
      <c r="F837" s="3">
        <v>112</v>
      </c>
      <c r="G837" s="20">
        <f t="shared" si="33"/>
        <v>69.44</v>
      </c>
      <c r="H837" s="20">
        <f t="shared" si="34"/>
        <v>138.88</v>
      </c>
      <c r="J837" s="43" t="s">
        <v>2180</v>
      </c>
    </row>
    <row r="838" spans="1:10" x14ac:dyDescent="0.25">
      <c r="A838" s="55" t="s">
        <v>979</v>
      </c>
      <c r="B838" s="14" t="s">
        <v>980</v>
      </c>
      <c r="C838" s="3" t="s">
        <v>46</v>
      </c>
      <c r="D838" s="3">
        <v>2</v>
      </c>
      <c r="E838" s="3" t="s">
        <v>1855</v>
      </c>
      <c r="F838" s="3">
        <v>67.7</v>
      </c>
      <c r="G838" s="20">
        <f t="shared" si="33"/>
        <v>41.974000000000004</v>
      </c>
      <c r="H838" s="20">
        <f t="shared" si="34"/>
        <v>83.948000000000008</v>
      </c>
      <c r="J838" s="43" t="e">
        <v>#N/A</v>
      </c>
    </row>
    <row r="839" spans="1:10" x14ac:dyDescent="0.25">
      <c r="A839" s="59" t="s">
        <v>981</v>
      </c>
      <c r="B839" s="14" t="s">
        <v>982</v>
      </c>
      <c r="C839" s="3" t="s">
        <v>46</v>
      </c>
      <c r="D839" s="3">
        <v>2</v>
      </c>
      <c r="E839" s="3" t="s">
        <v>1855</v>
      </c>
      <c r="F839" s="3">
        <v>10.3</v>
      </c>
      <c r="G839" s="20">
        <f t="shared" si="33"/>
        <v>6.386000000000001</v>
      </c>
      <c r="H839" s="20">
        <f t="shared" si="34"/>
        <v>12.772000000000002</v>
      </c>
      <c r="J839" s="43" t="s">
        <v>982</v>
      </c>
    </row>
    <row r="840" spans="1:10" x14ac:dyDescent="0.25">
      <c r="A840" s="59" t="s">
        <v>983</v>
      </c>
      <c r="B840" s="14" t="s">
        <v>984</v>
      </c>
      <c r="C840" s="3" t="s">
        <v>1011</v>
      </c>
      <c r="D840" s="3">
        <v>2</v>
      </c>
      <c r="E840" s="3" t="s">
        <v>1855</v>
      </c>
      <c r="F840" s="3">
        <v>7.77</v>
      </c>
      <c r="G840" s="20">
        <f t="shared" si="33"/>
        <v>4.8173999999999992</v>
      </c>
      <c r="H840" s="20">
        <f t="shared" si="34"/>
        <v>9.6347999999999985</v>
      </c>
      <c r="J840" s="43" t="s">
        <v>984</v>
      </c>
    </row>
    <row r="841" spans="1:10" x14ac:dyDescent="0.25">
      <c r="A841" s="59" t="s">
        <v>985</v>
      </c>
      <c r="B841" s="14" t="s">
        <v>986</v>
      </c>
      <c r="C841" s="3" t="s">
        <v>46</v>
      </c>
      <c r="D841" s="3">
        <v>4</v>
      </c>
      <c r="E841" s="3" t="s">
        <v>1855</v>
      </c>
      <c r="F841" s="3">
        <v>336</v>
      </c>
      <c r="G841" s="20">
        <f t="shared" si="33"/>
        <v>208.32</v>
      </c>
      <c r="H841" s="20">
        <f t="shared" si="34"/>
        <v>833.28</v>
      </c>
      <c r="J841" s="43" t="s">
        <v>2181</v>
      </c>
    </row>
    <row r="842" spans="1:10" x14ac:dyDescent="0.25">
      <c r="A842" s="59" t="s">
        <v>953</v>
      </c>
      <c r="B842" s="14" t="s">
        <v>954</v>
      </c>
      <c r="C842" s="3" t="s">
        <v>46</v>
      </c>
      <c r="D842" s="3">
        <v>2</v>
      </c>
      <c r="E842" s="3" t="s">
        <v>1855</v>
      </c>
      <c r="F842" s="3">
        <v>83.3</v>
      </c>
      <c r="G842" s="20">
        <f t="shared" si="33"/>
        <v>51.646000000000001</v>
      </c>
      <c r="H842" s="20">
        <f t="shared" si="34"/>
        <v>103.292</v>
      </c>
      <c r="J842" s="43" t="s">
        <v>954</v>
      </c>
    </row>
    <row r="843" spans="1:10" x14ac:dyDescent="0.25">
      <c r="A843" s="59" t="s">
        <v>987</v>
      </c>
      <c r="B843" s="14" t="s">
        <v>988</v>
      </c>
      <c r="C843" s="3" t="s">
        <v>46</v>
      </c>
      <c r="D843" s="3">
        <v>2</v>
      </c>
      <c r="E843" s="3" t="s">
        <v>1855</v>
      </c>
      <c r="F843" s="3">
        <v>95.2</v>
      </c>
      <c r="G843" s="20">
        <f t="shared" si="33"/>
        <v>59.024000000000001</v>
      </c>
      <c r="H843" s="20">
        <f t="shared" si="34"/>
        <v>118.048</v>
      </c>
      <c r="J843" s="43" t="s">
        <v>988</v>
      </c>
    </row>
    <row r="844" spans="1:10" x14ac:dyDescent="0.25">
      <c r="A844" s="59" t="s">
        <v>989</v>
      </c>
      <c r="B844" s="14" t="s">
        <v>990</v>
      </c>
      <c r="C844" s="3" t="s">
        <v>46</v>
      </c>
      <c r="D844" s="3">
        <v>2</v>
      </c>
      <c r="E844" s="3" t="s">
        <v>1855</v>
      </c>
      <c r="F844" s="3">
        <v>95.2</v>
      </c>
      <c r="G844" s="20">
        <f t="shared" si="33"/>
        <v>59.024000000000001</v>
      </c>
      <c r="H844" s="20">
        <f t="shared" si="34"/>
        <v>118.048</v>
      </c>
      <c r="J844" s="43" t="s">
        <v>990</v>
      </c>
    </row>
    <row r="845" spans="1:10" x14ac:dyDescent="0.25">
      <c r="A845" s="59" t="s">
        <v>860</v>
      </c>
      <c r="B845" s="14" t="s">
        <v>861</v>
      </c>
      <c r="C845" s="3" t="s">
        <v>46</v>
      </c>
      <c r="D845" s="3">
        <v>2</v>
      </c>
      <c r="E845" s="3" t="s">
        <v>1855</v>
      </c>
      <c r="F845" s="3">
        <v>26.9</v>
      </c>
      <c r="G845" s="20">
        <f t="shared" ref="G845:G908" si="35">F845-(F845*38%)</f>
        <v>16.677999999999997</v>
      </c>
      <c r="H845" s="20">
        <f t="shared" si="34"/>
        <v>33.355999999999995</v>
      </c>
      <c r="J845" s="43" t="s">
        <v>2142</v>
      </c>
    </row>
    <row r="846" spans="1:10" x14ac:dyDescent="0.25">
      <c r="A846" s="59" t="s">
        <v>860</v>
      </c>
      <c r="B846" s="14" t="s">
        <v>861</v>
      </c>
      <c r="C846" s="3" t="s">
        <v>46</v>
      </c>
      <c r="D846" s="3">
        <v>2</v>
      </c>
      <c r="E846" s="3" t="s">
        <v>1855</v>
      </c>
      <c r="F846" s="3">
        <v>26.9</v>
      </c>
      <c r="G846" s="20">
        <f t="shared" si="35"/>
        <v>16.677999999999997</v>
      </c>
      <c r="H846" s="20">
        <f t="shared" si="34"/>
        <v>33.355999999999995</v>
      </c>
      <c r="J846" s="43" t="s">
        <v>2142</v>
      </c>
    </row>
    <row r="847" spans="1:10" x14ac:dyDescent="0.25">
      <c r="A847" s="59" t="s">
        <v>454</v>
      </c>
      <c r="B847" s="14" t="s">
        <v>455</v>
      </c>
      <c r="C847" s="3" t="s">
        <v>46</v>
      </c>
      <c r="D847" s="3">
        <v>2</v>
      </c>
      <c r="E847" s="3" t="s">
        <v>1855</v>
      </c>
      <c r="F847" s="3">
        <v>40.1</v>
      </c>
      <c r="G847" s="20">
        <f t="shared" si="35"/>
        <v>24.862000000000002</v>
      </c>
      <c r="H847" s="20">
        <f t="shared" si="34"/>
        <v>49.724000000000004</v>
      </c>
      <c r="J847" s="43" t="s">
        <v>2034</v>
      </c>
    </row>
    <row r="848" spans="1:10" x14ac:dyDescent="0.25">
      <c r="A848" s="59" t="s">
        <v>314</v>
      </c>
      <c r="B848" s="14" t="s">
        <v>315</v>
      </c>
      <c r="C848" s="3" t="s">
        <v>46</v>
      </c>
      <c r="D848" s="3">
        <v>2</v>
      </c>
      <c r="E848" s="3" t="s">
        <v>1855</v>
      </c>
      <c r="F848" s="3">
        <v>40.1</v>
      </c>
      <c r="G848" s="20">
        <f t="shared" si="35"/>
        <v>24.862000000000002</v>
      </c>
      <c r="H848" s="20">
        <f t="shared" si="34"/>
        <v>49.724000000000004</v>
      </c>
      <c r="J848" s="43" t="s">
        <v>1994</v>
      </c>
    </row>
    <row r="849" spans="1:10" x14ac:dyDescent="0.25">
      <c r="A849" s="59" t="s">
        <v>991</v>
      </c>
      <c r="B849" s="14" t="s">
        <v>992</v>
      </c>
      <c r="C849" s="3" t="s">
        <v>46</v>
      </c>
      <c r="D849" s="3">
        <v>2</v>
      </c>
      <c r="E849" s="3" t="s">
        <v>1855</v>
      </c>
      <c r="F849" s="3">
        <v>40.1</v>
      </c>
      <c r="G849" s="20">
        <f t="shared" si="35"/>
        <v>24.862000000000002</v>
      </c>
      <c r="H849" s="20">
        <f t="shared" si="34"/>
        <v>49.724000000000004</v>
      </c>
      <c r="J849" s="43" t="s">
        <v>2182</v>
      </c>
    </row>
    <row r="850" spans="1:10" x14ac:dyDescent="0.25">
      <c r="A850" s="59" t="s">
        <v>993</v>
      </c>
      <c r="B850" s="14" t="s">
        <v>994</v>
      </c>
      <c r="C850" s="3" t="s">
        <v>46</v>
      </c>
      <c r="D850" s="3">
        <v>2</v>
      </c>
      <c r="E850" s="3" t="s">
        <v>1855</v>
      </c>
      <c r="F850" s="3">
        <v>40.1</v>
      </c>
      <c r="G850" s="20">
        <f t="shared" si="35"/>
        <v>24.862000000000002</v>
      </c>
      <c r="H850" s="20">
        <f t="shared" si="34"/>
        <v>49.724000000000004</v>
      </c>
      <c r="J850" s="43" t="s">
        <v>2183</v>
      </c>
    </row>
    <row r="851" spans="1:10" x14ac:dyDescent="0.25">
      <c r="A851" s="59" t="s">
        <v>565</v>
      </c>
      <c r="B851" s="14" t="s">
        <v>566</v>
      </c>
      <c r="C851" s="3" t="s">
        <v>46</v>
      </c>
      <c r="D851" s="3">
        <v>2</v>
      </c>
      <c r="E851" s="3" t="s">
        <v>1855</v>
      </c>
      <c r="F851" s="3">
        <v>63.3</v>
      </c>
      <c r="G851" s="20">
        <f t="shared" si="35"/>
        <v>39.245999999999995</v>
      </c>
      <c r="H851" s="20">
        <f t="shared" si="34"/>
        <v>78.49199999999999</v>
      </c>
      <c r="J851" s="43" t="s">
        <v>2066</v>
      </c>
    </row>
    <row r="852" spans="1:10" x14ac:dyDescent="0.25">
      <c r="A852" s="59" t="s">
        <v>995</v>
      </c>
      <c r="B852" s="14" t="s">
        <v>996</v>
      </c>
      <c r="C852" s="3" t="s">
        <v>46</v>
      </c>
      <c r="D852" s="3">
        <v>2</v>
      </c>
      <c r="E852" s="3" t="s">
        <v>1855</v>
      </c>
      <c r="F852" s="3">
        <v>57.1</v>
      </c>
      <c r="G852" s="20">
        <f t="shared" si="35"/>
        <v>35.402000000000001</v>
      </c>
      <c r="H852" s="20">
        <f t="shared" si="34"/>
        <v>70.804000000000002</v>
      </c>
      <c r="J852" s="43" t="s">
        <v>996</v>
      </c>
    </row>
    <row r="853" spans="1:10" x14ac:dyDescent="0.25">
      <c r="A853" s="59" t="s">
        <v>340</v>
      </c>
      <c r="B853" s="14" t="s">
        <v>341</v>
      </c>
      <c r="C853" s="3" t="s">
        <v>46</v>
      </c>
      <c r="D853" s="3">
        <v>8</v>
      </c>
      <c r="E853" s="3" t="s">
        <v>1855</v>
      </c>
      <c r="F853" s="3">
        <v>24.8</v>
      </c>
      <c r="G853" s="20">
        <f t="shared" si="35"/>
        <v>15.375999999999999</v>
      </c>
      <c r="H853" s="20">
        <f t="shared" si="34"/>
        <v>123.008</v>
      </c>
      <c r="J853" s="43" t="s">
        <v>2000</v>
      </c>
    </row>
    <row r="854" spans="1:10" x14ac:dyDescent="0.25">
      <c r="A854" s="59" t="s">
        <v>997</v>
      </c>
      <c r="B854" s="14" t="s">
        <v>998</v>
      </c>
      <c r="C854" s="3" t="s">
        <v>46</v>
      </c>
      <c r="D854" s="3">
        <v>2</v>
      </c>
      <c r="E854" s="3" t="s">
        <v>1855</v>
      </c>
      <c r="F854" s="3">
        <v>51.4</v>
      </c>
      <c r="G854" s="20">
        <f t="shared" si="35"/>
        <v>31.867999999999999</v>
      </c>
      <c r="H854" s="20">
        <f t="shared" si="34"/>
        <v>63.735999999999997</v>
      </c>
      <c r="J854" s="43" t="s">
        <v>2184</v>
      </c>
    </row>
    <row r="855" spans="1:10" x14ac:dyDescent="0.25">
      <c r="A855" s="59" t="s">
        <v>999</v>
      </c>
      <c r="B855" s="14" t="s">
        <v>1000</v>
      </c>
      <c r="C855" s="3" t="s">
        <v>46</v>
      </c>
      <c r="D855" s="3">
        <v>2</v>
      </c>
      <c r="E855" s="3" t="s">
        <v>1855</v>
      </c>
      <c r="F855" s="3">
        <v>181.5</v>
      </c>
      <c r="G855" s="20">
        <f t="shared" si="35"/>
        <v>112.53</v>
      </c>
      <c r="H855" s="20">
        <f t="shared" si="34"/>
        <v>225.06</v>
      </c>
      <c r="J855" s="43" t="s">
        <v>1000</v>
      </c>
    </row>
    <row r="856" spans="1:10" x14ac:dyDescent="0.25">
      <c r="A856" s="59" t="s">
        <v>1001</v>
      </c>
      <c r="B856" s="14" t="s">
        <v>1002</v>
      </c>
      <c r="C856" s="3" t="s">
        <v>46</v>
      </c>
      <c r="D856" s="3">
        <v>2</v>
      </c>
      <c r="E856" s="3" t="s">
        <v>1855</v>
      </c>
      <c r="F856" s="3">
        <v>177</v>
      </c>
      <c r="G856" s="20">
        <f t="shared" si="35"/>
        <v>109.74</v>
      </c>
      <c r="H856" s="20">
        <f t="shared" si="34"/>
        <v>219.48</v>
      </c>
      <c r="J856" s="43" t="s">
        <v>1002</v>
      </c>
    </row>
    <row r="857" spans="1:10" x14ac:dyDescent="0.25">
      <c r="A857" s="59" t="s">
        <v>1003</v>
      </c>
      <c r="B857" s="14" t="s">
        <v>1004</v>
      </c>
      <c r="C857" s="3" t="s">
        <v>46</v>
      </c>
      <c r="D857" s="3">
        <v>2</v>
      </c>
      <c r="E857" s="3" t="s">
        <v>1855</v>
      </c>
      <c r="F857" s="3">
        <v>177</v>
      </c>
      <c r="G857" s="20">
        <f t="shared" si="35"/>
        <v>109.74</v>
      </c>
      <c r="H857" s="20">
        <f t="shared" si="34"/>
        <v>219.48</v>
      </c>
      <c r="J857" s="43" t="s">
        <v>1004</v>
      </c>
    </row>
    <row r="858" spans="1:10" x14ac:dyDescent="0.25">
      <c r="A858" s="59" t="s">
        <v>1005</v>
      </c>
      <c r="B858" s="14" t="s">
        <v>1006</v>
      </c>
      <c r="C858" s="3" t="s">
        <v>46</v>
      </c>
      <c r="D858" s="3">
        <v>2</v>
      </c>
      <c r="E858" s="3" t="s">
        <v>1855</v>
      </c>
      <c r="F858" s="3">
        <v>167</v>
      </c>
      <c r="G858" s="20">
        <f t="shared" si="35"/>
        <v>103.53999999999999</v>
      </c>
      <c r="H858" s="20">
        <f t="shared" si="34"/>
        <v>207.07999999999998</v>
      </c>
      <c r="J858" s="43" t="s">
        <v>2185</v>
      </c>
    </row>
    <row r="859" spans="1:10" x14ac:dyDescent="0.25">
      <c r="A859" s="59" t="s">
        <v>1007</v>
      </c>
      <c r="B859" s="14" t="s">
        <v>1008</v>
      </c>
      <c r="C859" s="3" t="s">
        <v>46</v>
      </c>
      <c r="D859" s="3">
        <v>2</v>
      </c>
      <c r="E859" s="3" t="s">
        <v>1855</v>
      </c>
      <c r="F859" s="3">
        <v>167</v>
      </c>
      <c r="G859" s="20">
        <f t="shared" si="35"/>
        <v>103.53999999999999</v>
      </c>
      <c r="H859" s="20">
        <f t="shared" si="34"/>
        <v>207.07999999999998</v>
      </c>
      <c r="J859" s="43" t="s">
        <v>2186</v>
      </c>
    </row>
    <row r="860" spans="1:10" x14ac:dyDescent="0.25">
      <c r="A860" s="59" t="s">
        <v>1009</v>
      </c>
      <c r="B860" s="14" t="s">
        <v>1010</v>
      </c>
      <c r="C860" s="3" t="s">
        <v>46</v>
      </c>
      <c r="D860" s="3">
        <v>2</v>
      </c>
      <c r="E860" s="3" t="s">
        <v>1855</v>
      </c>
      <c r="F860" s="3">
        <v>63.1</v>
      </c>
      <c r="G860" s="20">
        <f t="shared" si="35"/>
        <v>39.122</v>
      </c>
      <c r="H860" s="20">
        <f t="shared" ref="H860:H863" si="36">G860*D860</f>
        <v>78.244</v>
      </c>
      <c r="J860" s="43" t="s">
        <v>2187</v>
      </c>
    </row>
    <row r="861" spans="1:10" x14ac:dyDescent="0.25">
      <c r="A861" s="60" t="s">
        <v>457</v>
      </c>
      <c r="B861" s="16" t="s">
        <v>458</v>
      </c>
      <c r="C861" s="3" t="s">
        <v>46</v>
      </c>
      <c r="D861" s="3">
        <v>4</v>
      </c>
      <c r="E861" s="3" t="s">
        <v>1855</v>
      </c>
      <c r="F861" s="3">
        <v>62.9</v>
      </c>
      <c r="G861" s="20">
        <f t="shared" si="35"/>
        <v>38.997999999999998</v>
      </c>
      <c r="H861" s="20">
        <f t="shared" si="36"/>
        <v>155.99199999999999</v>
      </c>
      <c r="J861" s="43" t="s">
        <v>458</v>
      </c>
    </row>
    <row r="862" spans="1:10" ht="15.75" x14ac:dyDescent="0.25">
      <c r="A862" s="60" t="s">
        <v>1803</v>
      </c>
      <c r="B862" s="16" t="s">
        <v>1805</v>
      </c>
      <c r="C862" s="28" t="s">
        <v>46</v>
      </c>
      <c r="D862" s="3">
        <v>2</v>
      </c>
      <c r="E862" s="3" t="s">
        <v>1856</v>
      </c>
      <c r="F862" s="3">
        <v>639</v>
      </c>
      <c r="G862" s="20">
        <f t="shared" si="35"/>
        <v>396.18</v>
      </c>
      <c r="H862" s="20">
        <f t="shared" si="36"/>
        <v>792.36</v>
      </c>
      <c r="J862" s="43" t="s">
        <v>1939</v>
      </c>
    </row>
    <row r="863" spans="1:10" ht="15.75" x14ac:dyDescent="0.25">
      <c r="A863" s="60" t="s">
        <v>1804</v>
      </c>
      <c r="B863" s="16" t="s">
        <v>1806</v>
      </c>
      <c r="C863" s="28" t="s">
        <v>46</v>
      </c>
      <c r="D863" s="3">
        <v>2</v>
      </c>
      <c r="E863" s="3" t="s">
        <v>1855</v>
      </c>
      <c r="F863" s="3">
        <v>123</v>
      </c>
      <c r="G863" s="20">
        <f t="shared" si="35"/>
        <v>76.259999999999991</v>
      </c>
      <c r="H863" s="20">
        <f t="shared" si="36"/>
        <v>152.51999999999998</v>
      </c>
      <c r="J863" s="43" t="s">
        <v>1940</v>
      </c>
    </row>
    <row r="864" spans="1:10" s="5" customFormat="1" x14ac:dyDescent="0.25">
      <c r="A864" s="51"/>
      <c r="B864" s="6" t="s">
        <v>1012</v>
      </c>
      <c r="C864" s="4"/>
      <c r="D864" s="29"/>
      <c r="E864" s="4"/>
      <c r="F864" s="4"/>
      <c r="G864" s="4"/>
      <c r="H864" s="4"/>
      <c r="J864" s="43"/>
    </row>
    <row r="865" spans="1:10" x14ac:dyDescent="0.25">
      <c r="A865" s="59" t="s">
        <v>316</v>
      </c>
      <c r="B865" s="14" t="s">
        <v>317</v>
      </c>
      <c r="C865" s="3" t="s">
        <v>46</v>
      </c>
      <c r="D865" s="3">
        <v>4</v>
      </c>
      <c r="E865" s="3" t="s">
        <v>1855</v>
      </c>
      <c r="F865" s="3">
        <v>13.1</v>
      </c>
      <c r="G865" s="20">
        <f t="shared" si="35"/>
        <v>8.1219999999999999</v>
      </c>
      <c r="H865" s="20">
        <f t="shared" ref="H865:H893" si="37">G865*D865</f>
        <v>32.488</v>
      </c>
      <c r="J865" s="43" t="s">
        <v>1995</v>
      </c>
    </row>
    <row r="866" spans="1:10" x14ac:dyDescent="0.25">
      <c r="A866" s="59" t="s">
        <v>876</v>
      </c>
      <c r="B866" s="14" t="s">
        <v>877</v>
      </c>
      <c r="C866" s="3" t="s">
        <v>46</v>
      </c>
      <c r="D866" s="3">
        <v>2</v>
      </c>
      <c r="E866" s="3" t="s">
        <v>1855</v>
      </c>
      <c r="F866" s="3">
        <v>71.7</v>
      </c>
      <c r="G866" s="20">
        <f t="shared" si="35"/>
        <v>44.454000000000001</v>
      </c>
      <c r="H866" s="20">
        <f t="shared" si="37"/>
        <v>88.908000000000001</v>
      </c>
      <c r="J866" s="43" t="s">
        <v>2146</v>
      </c>
    </row>
    <row r="867" spans="1:10" x14ac:dyDescent="0.25">
      <c r="A867" s="59" t="s">
        <v>1014</v>
      </c>
      <c r="B867" s="14" t="s">
        <v>1015</v>
      </c>
      <c r="C867" s="3" t="s">
        <v>46</v>
      </c>
      <c r="D867" s="3">
        <v>2</v>
      </c>
      <c r="E867" s="3" t="s">
        <v>1855</v>
      </c>
      <c r="F867" s="3">
        <v>31.5</v>
      </c>
      <c r="G867" s="20">
        <f t="shared" si="35"/>
        <v>19.53</v>
      </c>
      <c r="H867" s="20">
        <f t="shared" si="37"/>
        <v>39.06</v>
      </c>
      <c r="J867" s="43" t="s">
        <v>2188</v>
      </c>
    </row>
    <row r="868" spans="1:10" x14ac:dyDescent="0.25">
      <c r="A868" s="59" t="s">
        <v>1016</v>
      </c>
      <c r="B868" s="14" t="s">
        <v>1017</v>
      </c>
      <c r="C868" s="3" t="s">
        <v>46</v>
      </c>
      <c r="D868" s="3">
        <v>2</v>
      </c>
      <c r="E868" s="3" t="s">
        <v>1855</v>
      </c>
      <c r="F868" s="3">
        <v>138.5</v>
      </c>
      <c r="G868" s="20">
        <f t="shared" si="35"/>
        <v>85.87</v>
      </c>
      <c r="H868" s="20">
        <f t="shared" si="37"/>
        <v>171.74</v>
      </c>
      <c r="J868" s="43" t="s">
        <v>1017</v>
      </c>
    </row>
    <row r="869" spans="1:10" x14ac:dyDescent="0.25">
      <c r="A869" s="59" t="s">
        <v>1018</v>
      </c>
      <c r="B869" s="14" t="s">
        <v>1019</v>
      </c>
      <c r="C869" s="3" t="s">
        <v>46</v>
      </c>
      <c r="D869" s="3">
        <v>2</v>
      </c>
      <c r="E869" s="3" t="s">
        <v>1855</v>
      </c>
      <c r="F869" s="3">
        <v>9.6300000000000008</v>
      </c>
      <c r="G869" s="20">
        <f t="shared" si="35"/>
        <v>5.970600000000001</v>
      </c>
      <c r="H869" s="20">
        <f t="shared" si="37"/>
        <v>11.941200000000002</v>
      </c>
      <c r="J869" s="43" t="s">
        <v>2189</v>
      </c>
    </row>
    <row r="870" spans="1:10" x14ac:dyDescent="0.25">
      <c r="A870" s="59" t="s">
        <v>1020</v>
      </c>
      <c r="B870" s="14" t="s">
        <v>1021</v>
      </c>
      <c r="C870" s="3" t="s">
        <v>47</v>
      </c>
      <c r="D870" s="3">
        <v>4</v>
      </c>
      <c r="E870" s="3" t="s">
        <v>1855</v>
      </c>
      <c r="F870" s="3">
        <v>20</v>
      </c>
      <c r="G870" s="20">
        <f t="shared" si="35"/>
        <v>12.4</v>
      </c>
      <c r="H870" s="20">
        <f t="shared" si="37"/>
        <v>49.6</v>
      </c>
      <c r="J870" s="43" t="s">
        <v>1021</v>
      </c>
    </row>
    <row r="871" spans="1:10" x14ac:dyDescent="0.25">
      <c r="A871" s="59" t="s">
        <v>346</v>
      </c>
      <c r="B871" s="14" t="s">
        <v>347</v>
      </c>
      <c r="C871" s="3" t="s">
        <v>46</v>
      </c>
      <c r="D871" s="3">
        <v>2</v>
      </c>
      <c r="E871" s="3" t="s">
        <v>1855</v>
      </c>
      <c r="F871" s="3">
        <v>21</v>
      </c>
      <c r="G871" s="20">
        <f t="shared" si="35"/>
        <v>13.02</v>
      </c>
      <c r="H871" s="20">
        <f t="shared" si="37"/>
        <v>26.04</v>
      </c>
      <c r="J871" s="43" t="s">
        <v>2003</v>
      </c>
    </row>
    <row r="872" spans="1:10" x14ac:dyDescent="0.25">
      <c r="A872" s="59" t="s">
        <v>1022</v>
      </c>
      <c r="B872" s="14" t="s">
        <v>1023</v>
      </c>
      <c r="C872" s="3" t="s">
        <v>46</v>
      </c>
      <c r="D872" s="3">
        <v>8</v>
      </c>
      <c r="E872" s="3" t="s">
        <v>1855</v>
      </c>
      <c r="F872" s="3">
        <v>24.8</v>
      </c>
      <c r="G872" s="20">
        <f t="shared" si="35"/>
        <v>15.375999999999999</v>
      </c>
      <c r="H872" s="20">
        <f t="shared" si="37"/>
        <v>123.008</v>
      </c>
      <c r="J872" s="43" t="s">
        <v>2190</v>
      </c>
    </row>
    <row r="873" spans="1:10" x14ac:dyDescent="0.25">
      <c r="A873" s="59" t="s">
        <v>1024</v>
      </c>
      <c r="B873" s="14" t="s">
        <v>1025</v>
      </c>
      <c r="C873" s="3" t="s">
        <v>47</v>
      </c>
      <c r="D873" s="3">
        <v>2</v>
      </c>
      <c r="E873" s="3" t="s">
        <v>1855</v>
      </c>
      <c r="F873" s="3">
        <v>52.9</v>
      </c>
      <c r="G873" s="20">
        <f t="shared" si="35"/>
        <v>32.798000000000002</v>
      </c>
      <c r="H873" s="20">
        <f t="shared" si="37"/>
        <v>65.596000000000004</v>
      </c>
      <c r="J873" s="43" t="s">
        <v>2191</v>
      </c>
    </row>
    <row r="874" spans="1:10" x14ac:dyDescent="0.25">
      <c r="A874" s="59" t="s">
        <v>1026</v>
      </c>
      <c r="B874" s="14" t="s">
        <v>1027</v>
      </c>
      <c r="C874" s="3" t="s">
        <v>46</v>
      </c>
      <c r="D874" s="3">
        <v>4</v>
      </c>
      <c r="E874" s="3" t="s">
        <v>1855</v>
      </c>
      <c r="F874" s="3">
        <v>47.7</v>
      </c>
      <c r="G874" s="20">
        <f t="shared" si="35"/>
        <v>29.574000000000002</v>
      </c>
      <c r="H874" s="20">
        <f t="shared" si="37"/>
        <v>118.29600000000001</v>
      </c>
      <c r="J874" s="43" t="s">
        <v>1027</v>
      </c>
    </row>
    <row r="875" spans="1:10" x14ac:dyDescent="0.25">
      <c r="A875" s="59" t="s">
        <v>1028</v>
      </c>
      <c r="B875" s="14" t="s">
        <v>1029</v>
      </c>
      <c r="C875" s="3" t="s">
        <v>46</v>
      </c>
      <c r="D875" s="3">
        <v>2</v>
      </c>
      <c r="E875" s="3" t="s">
        <v>1855</v>
      </c>
      <c r="F875" s="3">
        <v>20.3</v>
      </c>
      <c r="G875" s="20">
        <f t="shared" si="35"/>
        <v>12.586</v>
      </c>
      <c r="H875" s="20">
        <f t="shared" si="37"/>
        <v>25.172000000000001</v>
      </c>
      <c r="J875" s="43" t="s">
        <v>1029</v>
      </c>
    </row>
    <row r="876" spans="1:10" x14ac:dyDescent="0.25">
      <c r="A876" s="59" t="s">
        <v>1030</v>
      </c>
      <c r="B876" s="14" t="s">
        <v>1031</v>
      </c>
      <c r="C876" s="3" t="s">
        <v>46</v>
      </c>
      <c r="D876" s="3">
        <v>4</v>
      </c>
      <c r="E876" s="3" t="s">
        <v>1855</v>
      </c>
      <c r="F876" s="3">
        <v>34.9</v>
      </c>
      <c r="G876" s="20">
        <f t="shared" si="35"/>
        <v>21.637999999999998</v>
      </c>
      <c r="H876" s="20">
        <f t="shared" si="37"/>
        <v>86.551999999999992</v>
      </c>
      <c r="J876" s="43" t="s">
        <v>1031</v>
      </c>
    </row>
    <row r="877" spans="1:10" x14ac:dyDescent="0.25">
      <c r="A877" s="59" t="s">
        <v>1032</v>
      </c>
      <c r="B877" s="14" t="s">
        <v>1033</v>
      </c>
      <c r="C877" s="3" t="s">
        <v>47</v>
      </c>
      <c r="D877" s="3">
        <v>2</v>
      </c>
      <c r="E877" s="3" t="s">
        <v>1855</v>
      </c>
      <c r="F877" s="3">
        <v>43.7</v>
      </c>
      <c r="G877" s="20">
        <f t="shared" si="35"/>
        <v>27.094000000000001</v>
      </c>
      <c r="H877" s="20">
        <f t="shared" si="37"/>
        <v>54.188000000000002</v>
      </c>
      <c r="J877" s="43" t="s">
        <v>1033</v>
      </c>
    </row>
    <row r="878" spans="1:10" x14ac:dyDescent="0.25">
      <c r="A878" s="59" t="s">
        <v>681</v>
      </c>
      <c r="B878" s="14" t="s">
        <v>682</v>
      </c>
      <c r="C878" s="3" t="s">
        <v>47</v>
      </c>
      <c r="D878" s="3">
        <v>4</v>
      </c>
      <c r="E878" s="3" t="s">
        <v>1855</v>
      </c>
      <c r="F878" s="3">
        <v>50.4</v>
      </c>
      <c r="G878" s="20">
        <f t="shared" si="35"/>
        <v>31.247999999999998</v>
      </c>
      <c r="H878" s="20">
        <f t="shared" si="37"/>
        <v>124.99199999999999</v>
      </c>
      <c r="J878" s="43" t="s">
        <v>2103</v>
      </c>
    </row>
    <row r="879" spans="1:10" x14ac:dyDescent="0.25">
      <c r="A879" s="59" t="s">
        <v>906</v>
      </c>
      <c r="B879" s="14" t="s">
        <v>907</v>
      </c>
      <c r="C879" s="3" t="s">
        <v>46</v>
      </c>
      <c r="D879" s="3">
        <v>2</v>
      </c>
      <c r="E879" s="3" t="s">
        <v>1855</v>
      </c>
      <c r="F879" s="3">
        <v>74.099999999999994</v>
      </c>
      <c r="G879" s="20">
        <f t="shared" si="35"/>
        <v>45.941999999999993</v>
      </c>
      <c r="H879" s="20">
        <f t="shared" si="37"/>
        <v>91.883999999999986</v>
      </c>
      <c r="J879" s="43" t="s">
        <v>2154</v>
      </c>
    </row>
    <row r="880" spans="1:10" x14ac:dyDescent="0.25">
      <c r="A880" s="59" t="s">
        <v>1034</v>
      </c>
      <c r="B880" s="14" t="s">
        <v>1035</v>
      </c>
      <c r="C880" s="3" t="s">
        <v>46</v>
      </c>
      <c r="D880" s="3">
        <v>2</v>
      </c>
      <c r="E880" s="3" t="s">
        <v>1855</v>
      </c>
      <c r="F880" s="3">
        <v>62.8</v>
      </c>
      <c r="G880" s="20">
        <f t="shared" si="35"/>
        <v>38.935999999999993</v>
      </c>
      <c r="H880" s="20">
        <f t="shared" si="37"/>
        <v>77.871999999999986</v>
      </c>
      <c r="J880" s="43" t="s">
        <v>1035</v>
      </c>
    </row>
    <row r="881" spans="1:10" x14ac:dyDescent="0.25">
      <c r="A881" s="59" t="s">
        <v>1036</v>
      </c>
      <c r="B881" s="14" t="s">
        <v>1037</v>
      </c>
      <c r="C881" s="3" t="s">
        <v>46</v>
      </c>
      <c r="D881" s="3">
        <v>4</v>
      </c>
      <c r="E881" s="3" t="s">
        <v>1855</v>
      </c>
      <c r="F881" s="3">
        <v>23.6</v>
      </c>
      <c r="G881" s="20">
        <f t="shared" si="35"/>
        <v>14.632000000000001</v>
      </c>
      <c r="H881" s="20">
        <f t="shared" si="37"/>
        <v>58.528000000000006</v>
      </c>
      <c r="J881" s="43" t="s">
        <v>2192</v>
      </c>
    </row>
    <row r="882" spans="1:10" x14ac:dyDescent="0.25">
      <c r="A882" s="59" t="s">
        <v>1038</v>
      </c>
      <c r="B882" s="14" t="s">
        <v>1039</v>
      </c>
      <c r="C882" s="3" t="s">
        <v>46</v>
      </c>
      <c r="D882" s="3">
        <v>2</v>
      </c>
      <c r="E882" s="3" t="s">
        <v>1855</v>
      </c>
      <c r="F882" s="3">
        <v>21.7</v>
      </c>
      <c r="G882" s="20">
        <f t="shared" si="35"/>
        <v>13.453999999999999</v>
      </c>
      <c r="H882" s="20">
        <f t="shared" si="37"/>
        <v>26.907999999999998</v>
      </c>
      <c r="J882" s="43" t="s">
        <v>1039</v>
      </c>
    </row>
    <row r="883" spans="1:10" x14ac:dyDescent="0.25">
      <c r="A883" s="59" t="s">
        <v>330</v>
      </c>
      <c r="B883" s="14" t="s">
        <v>331</v>
      </c>
      <c r="C883" s="3" t="s">
        <v>46</v>
      </c>
      <c r="D883" s="3">
        <v>2</v>
      </c>
      <c r="E883" s="3" t="s">
        <v>1855</v>
      </c>
      <c r="F883" s="3">
        <v>160.5</v>
      </c>
      <c r="G883" s="20">
        <f t="shared" si="35"/>
        <v>99.509999999999991</v>
      </c>
      <c r="H883" s="20">
        <f t="shared" si="37"/>
        <v>199.01999999999998</v>
      </c>
      <c r="J883" s="43" t="s">
        <v>331</v>
      </c>
    </row>
    <row r="884" spans="1:10" x14ac:dyDescent="0.25">
      <c r="A884" s="59" t="s">
        <v>969</v>
      </c>
      <c r="B884" s="14" t="s">
        <v>970</v>
      </c>
      <c r="C884" s="3" t="s">
        <v>46</v>
      </c>
      <c r="D884" s="3">
        <v>2</v>
      </c>
      <c r="E884" s="3" t="s">
        <v>1855</v>
      </c>
      <c r="F884" s="3">
        <v>34.1</v>
      </c>
      <c r="G884" s="20">
        <f t="shared" si="35"/>
        <v>21.142000000000003</v>
      </c>
      <c r="H884" s="20">
        <f t="shared" si="37"/>
        <v>42.284000000000006</v>
      </c>
      <c r="J884" s="43" t="s">
        <v>2176</v>
      </c>
    </row>
    <row r="885" spans="1:10" x14ac:dyDescent="0.25">
      <c r="A885" s="59" t="s">
        <v>354</v>
      </c>
      <c r="B885" s="14" t="s">
        <v>355</v>
      </c>
      <c r="C885" s="3" t="s">
        <v>46</v>
      </c>
      <c r="D885" s="3">
        <v>2</v>
      </c>
      <c r="E885" s="3" t="s">
        <v>1855</v>
      </c>
      <c r="F885" s="3">
        <v>36.200000000000003</v>
      </c>
      <c r="G885" s="20">
        <f t="shared" si="35"/>
        <v>22.444000000000003</v>
      </c>
      <c r="H885" s="20">
        <f t="shared" si="37"/>
        <v>44.888000000000005</v>
      </c>
      <c r="J885" s="43" t="s">
        <v>2006</v>
      </c>
    </row>
    <row r="886" spans="1:10" x14ac:dyDescent="0.25">
      <c r="A886" s="59" t="s">
        <v>1040</v>
      </c>
      <c r="B886" s="14" t="s">
        <v>1041</v>
      </c>
      <c r="C886" s="3" t="s">
        <v>46</v>
      </c>
      <c r="D886" s="3">
        <v>4</v>
      </c>
      <c r="E886" s="3" t="s">
        <v>1855</v>
      </c>
      <c r="F886" s="3">
        <v>19.3</v>
      </c>
      <c r="G886" s="20">
        <f t="shared" si="35"/>
        <v>11.966000000000001</v>
      </c>
      <c r="H886" s="20">
        <f t="shared" si="37"/>
        <v>47.864000000000004</v>
      </c>
      <c r="J886" s="43" t="s">
        <v>1041</v>
      </c>
    </row>
    <row r="887" spans="1:10" x14ac:dyDescent="0.25">
      <c r="A887" s="59" t="s">
        <v>920</v>
      </c>
      <c r="B887" s="14" t="s">
        <v>921</v>
      </c>
      <c r="C887" s="3" t="s">
        <v>46</v>
      </c>
      <c r="D887" s="3">
        <v>30</v>
      </c>
      <c r="E887" s="3" t="s">
        <v>1855</v>
      </c>
      <c r="F887" s="3">
        <v>27</v>
      </c>
      <c r="G887" s="20">
        <f t="shared" si="35"/>
        <v>16.740000000000002</v>
      </c>
      <c r="H887" s="20">
        <f t="shared" si="37"/>
        <v>502.20000000000005</v>
      </c>
      <c r="J887" s="43" t="s">
        <v>2159</v>
      </c>
    </row>
    <row r="888" spans="1:10" x14ac:dyDescent="0.25">
      <c r="A888" s="59" t="s">
        <v>132</v>
      </c>
      <c r="B888" s="14" t="s">
        <v>133</v>
      </c>
      <c r="C888" s="3" t="s">
        <v>47</v>
      </c>
      <c r="D888" s="3">
        <v>30</v>
      </c>
      <c r="E888" s="3" t="s">
        <v>1855</v>
      </c>
      <c r="F888" s="3">
        <v>28.2</v>
      </c>
      <c r="G888" s="20">
        <f t="shared" si="35"/>
        <v>17.484000000000002</v>
      </c>
      <c r="H888" s="20">
        <f t="shared" si="37"/>
        <v>524.5200000000001</v>
      </c>
      <c r="J888" s="43" t="s">
        <v>1916</v>
      </c>
    </row>
    <row r="889" spans="1:10" x14ac:dyDescent="0.25">
      <c r="A889" s="59" t="s">
        <v>1042</v>
      </c>
      <c r="B889" s="14" t="s">
        <v>1043</v>
      </c>
      <c r="C889" s="3" t="s">
        <v>46</v>
      </c>
      <c r="D889" s="3">
        <v>4</v>
      </c>
      <c r="E889" s="3" t="s">
        <v>1855</v>
      </c>
      <c r="F889" s="3">
        <v>70.400000000000006</v>
      </c>
      <c r="G889" s="20">
        <f t="shared" si="35"/>
        <v>43.648000000000003</v>
      </c>
      <c r="H889" s="20">
        <f t="shared" si="37"/>
        <v>174.59200000000001</v>
      </c>
      <c r="J889" s="43" t="s">
        <v>1043</v>
      </c>
    </row>
    <row r="890" spans="1:10" x14ac:dyDescent="0.25">
      <c r="A890" s="59" t="s">
        <v>843</v>
      </c>
      <c r="B890" s="14" t="s">
        <v>844</v>
      </c>
      <c r="C890" s="3" t="s">
        <v>46</v>
      </c>
      <c r="D890" s="3">
        <v>2</v>
      </c>
      <c r="E890" s="3" t="s">
        <v>1855</v>
      </c>
      <c r="F890" s="3">
        <v>160.5</v>
      </c>
      <c r="G890" s="20">
        <f t="shared" si="35"/>
        <v>99.509999999999991</v>
      </c>
      <c r="H890" s="20">
        <f t="shared" si="37"/>
        <v>199.01999999999998</v>
      </c>
      <c r="J890" s="43" t="s">
        <v>844</v>
      </c>
    </row>
    <row r="891" spans="1:10" x14ac:dyDescent="0.25">
      <c r="A891" s="60" t="s">
        <v>845</v>
      </c>
      <c r="B891" s="16" t="s">
        <v>846</v>
      </c>
      <c r="C891" s="3" t="s">
        <v>46</v>
      </c>
      <c r="D891" s="3">
        <v>2</v>
      </c>
      <c r="E891" s="3" t="s">
        <v>1855</v>
      </c>
      <c r="F891" s="3">
        <v>160.5</v>
      </c>
      <c r="G891" s="20">
        <f t="shared" si="35"/>
        <v>99.509999999999991</v>
      </c>
      <c r="H891" s="20">
        <f t="shared" si="37"/>
        <v>199.01999999999998</v>
      </c>
      <c r="J891" s="43" t="s">
        <v>846</v>
      </c>
    </row>
    <row r="892" spans="1:10" x14ac:dyDescent="0.25">
      <c r="A892" s="60" t="s">
        <v>1803</v>
      </c>
      <c r="B892" s="16" t="s">
        <v>1805</v>
      </c>
      <c r="C892" s="3" t="s">
        <v>46</v>
      </c>
      <c r="D892" s="3">
        <v>2</v>
      </c>
      <c r="E892" s="3" t="s">
        <v>1856</v>
      </c>
      <c r="F892" s="3">
        <v>639</v>
      </c>
      <c r="G892" s="20">
        <f t="shared" si="35"/>
        <v>396.18</v>
      </c>
      <c r="H892" s="20">
        <f t="shared" si="37"/>
        <v>792.36</v>
      </c>
      <c r="J892" s="43" t="s">
        <v>1939</v>
      </c>
    </row>
    <row r="893" spans="1:10" x14ac:dyDescent="0.25">
      <c r="A893" s="60" t="s">
        <v>1804</v>
      </c>
      <c r="B893" s="16" t="s">
        <v>1806</v>
      </c>
      <c r="C893" s="3" t="s">
        <v>46</v>
      </c>
      <c r="D893" s="3">
        <v>2</v>
      </c>
      <c r="E893" s="3" t="s">
        <v>1855</v>
      </c>
      <c r="F893" s="3">
        <v>123</v>
      </c>
      <c r="G893" s="20">
        <f t="shared" si="35"/>
        <v>76.259999999999991</v>
      </c>
      <c r="H893" s="20">
        <f t="shared" si="37"/>
        <v>152.51999999999998</v>
      </c>
      <c r="J893" s="43" t="s">
        <v>1940</v>
      </c>
    </row>
    <row r="894" spans="1:10" s="5" customFormat="1" x14ac:dyDescent="0.25">
      <c r="A894" s="51"/>
      <c r="B894" s="6" t="s">
        <v>1044</v>
      </c>
      <c r="C894" s="4"/>
      <c r="D894" s="29"/>
      <c r="E894" s="4"/>
      <c r="F894" s="4"/>
      <c r="G894" s="4"/>
      <c r="H894" s="4"/>
      <c r="J894" s="43"/>
    </row>
    <row r="895" spans="1:10" x14ac:dyDescent="0.25">
      <c r="A895" s="46" t="s">
        <v>316</v>
      </c>
      <c r="B895" s="3" t="s">
        <v>317</v>
      </c>
      <c r="C895" s="3" t="s">
        <v>46</v>
      </c>
      <c r="D895" s="3">
        <v>4</v>
      </c>
      <c r="E895" s="3" t="s">
        <v>1855</v>
      </c>
      <c r="F895" s="3">
        <v>13.1</v>
      </c>
      <c r="G895" s="20">
        <f t="shared" si="35"/>
        <v>8.1219999999999999</v>
      </c>
      <c r="H895" s="20">
        <f t="shared" ref="H895:H958" si="38">G895*D895</f>
        <v>32.488</v>
      </c>
      <c r="J895" s="43" t="s">
        <v>1995</v>
      </c>
    </row>
    <row r="896" spans="1:10" x14ac:dyDescent="0.25">
      <c r="A896" s="46" t="s">
        <v>26</v>
      </c>
      <c r="B896" s="3" t="s">
        <v>27</v>
      </c>
      <c r="C896" s="3" t="s">
        <v>46</v>
      </c>
      <c r="D896" s="3">
        <v>4</v>
      </c>
      <c r="E896" s="3" t="s">
        <v>1855</v>
      </c>
      <c r="F896" s="3">
        <v>6.81</v>
      </c>
      <c r="G896" s="20">
        <f t="shared" si="35"/>
        <v>4.2221999999999991</v>
      </c>
      <c r="H896" s="20">
        <f t="shared" si="38"/>
        <v>16.888799999999996</v>
      </c>
      <c r="J896" s="43" t="s">
        <v>1873</v>
      </c>
    </row>
    <row r="897" spans="1:10" x14ac:dyDescent="0.25">
      <c r="A897" s="46" t="s">
        <v>1045</v>
      </c>
      <c r="B897" s="3" t="s">
        <v>1046</v>
      </c>
      <c r="C897" s="3" t="s">
        <v>46</v>
      </c>
      <c r="D897" s="3">
        <v>2</v>
      </c>
      <c r="E897" s="3" t="s">
        <v>1855</v>
      </c>
      <c r="F897" s="3">
        <v>80.3</v>
      </c>
      <c r="G897" s="20">
        <f t="shared" si="35"/>
        <v>49.786000000000001</v>
      </c>
      <c r="H897" s="20">
        <f t="shared" si="38"/>
        <v>99.572000000000003</v>
      </c>
      <c r="J897" s="43" t="s">
        <v>2193</v>
      </c>
    </row>
    <row r="898" spans="1:10" x14ac:dyDescent="0.25">
      <c r="A898" s="46" t="s">
        <v>1047</v>
      </c>
      <c r="B898" s="3" t="s">
        <v>1048</v>
      </c>
      <c r="C898" s="3" t="s">
        <v>47</v>
      </c>
      <c r="D898" s="3">
        <v>2</v>
      </c>
      <c r="E898" s="3" t="s">
        <v>1855</v>
      </c>
      <c r="F898" s="3">
        <v>136</v>
      </c>
      <c r="G898" s="20">
        <f t="shared" si="35"/>
        <v>84.32</v>
      </c>
      <c r="H898" s="20">
        <f t="shared" si="38"/>
        <v>168.64</v>
      </c>
      <c r="J898" s="43" t="s">
        <v>1048</v>
      </c>
    </row>
    <row r="899" spans="1:10" x14ac:dyDescent="0.25">
      <c r="A899" s="46" t="s">
        <v>1049</v>
      </c>
      <c r="B899" s="3" t="s">
        <v>1050</v>
      </c>
      <c r="C899" s="3" t="s">
        <v>47</v>
      </c>
      <c r="D899" s="3">
        <v>2</v>
      </c>
      <c r="E899" s="3" t="s">
        <v>1855</v>
      </c>
      <c r="F899" s="3">
        <v>121.5</v>
      </c>
      <c r="G899" s="20">
        <f t="shared" si="35"/>
        <v>75.33</v>
      </c>
      <c r="H899" s="20">
        <f t="shared" si="38"/>
        <v>150.66</v>
      </c>
      <c r="J899" s="43" t="s">
        <v>2194</v>
      </c>
    </row>
    <row r="900" spans="1:10" x14ac:dyDescent="0.25">
      <c r="A900" s="46" t="s">
        <v>1051</v>
      </c>
      <c r="B900" s="3" t="s">
        <v>1052</v>
      </c>
      <c r="C900" s="3" t="s">
        <v>47</v>
      </c>
      <c r="D900" s="3">
        <v>2</v>
      </c>
      <c r="E900" s="3" t="s">
        <v>1855</v>
      </c>
      <c r="F900" s="3">
        <v>211.5</v>
      </c>
      <c r="G900" s="20">
        <f t="shared" si="35"/>
        <v>131.13</v>
      </c>
      <c r="H900" s="20">
        <f t="shared" si="38"/>
        <v>262.26</v>
      </c>
      <c r="J900" s="43" t="s">
        <v>1052</v>
      </c>
    </row>
    <row r="901" spans="1:10" x14ac:dyDescent="0.25">
      <c r="A901" s="46" t="s">
        <v>1053</v>
      </c>
      <c r="B901" s="3" t="s">
        <v>1054</v>
      </c>
      <c r="C901" s="3" t="s">
        <v>46</v>
      </c>
      <c r="D901" s="3">
        <v>2</v>
      </c>
      <c r="E901" s="3" t="s">
        <v>1855</v>
      </c>
      <c r="F901" s="3">
        <v>68.5</v>
      </c>
      <c r="G901" s="20">
        <f t="shared" si="35"/>
        <v>42.47</v>
      </c>
      <c r="H901" s="20">
        <f t="shared" si="38"/>
        <v>84.94</v>
      </c>
      <c r="J901" s="43" t="s">
        <v>2195</v>
      </c>
    </row>
    <row r="902" spans="1:10" x14ac:dyDescent="0.25">
      <c r="A902" s="46" t="s">
        <v>340</v>
      </c>
      <c r="B902" s="3" t="s">
        <v>341</v>
      </c>
      <c r="C902" s="3" t="s">
        <v>46</v>
      </c>
      <c r="D902" s="3">
        <v>4</v>
      </c>
      <c r="E902" s="3" t="s">
        <v>1855</v>
      </c>
      <c r="F902" s="3">
        <v>24.8</v>
      </c>
      <c r="G902" s="20">
        <f t="shared" si="35"/>
        <v>15.375999999999999</v>
      </c>
      <c r="H902" s="20">
        <f t="shared" si="38"/>
        <v>61.503999999999998</v>
      </c>
      <c r="J902" s="43" t="s">
        <v>2000</v>
      </c>
    </row>
    <row r="903" spans="1:10" x14ac:dyDescent="0.25">
      <c r="A903" s="46" t="s">
        <v>308</v>
      </c>
      <c r="B903" s="3" t="s">
        <v>309</v>
      </c>
      <c r="C903" s="3" t="s">
        <v>47</v>
      </c>
      <c r="D903" s="3">
        <v>4</v>
      </c>
      <c r="E903" s="3" t="s">
        <v>1855</v>
      </c>
      <c r="F903" s="3">
        <v>13.1</v>
      </c>
      <c r="G903" s="20">
        <f t="shared" si="35"/>
        <v>8.1219999999999999</v>
      </c>
      <c r="H903" s="20">
        <f t="shared" si="38"/>
        <v>32.488</v>
      </c>
      <c r="J903" s="43" t="s">
        <v>1991</v>
      </c>
    </row>
    <row r="904" spans="1:10" x14ac:dyDescent="0.25">
      <c r="A904" s="46" t="s">
        <v>1055</v>
      </c>
      <c r="B904" s="3" t="s">
        <v>1056</v>
      </c>
      <c r="C904" s="3" t="s">
        <v>46</v>
      </c>
      <c r="D904" s="3">
        <v>2</v>
      </c>
      <c r="E904" s="3" t="s">
        <v>1855</v>
      </c>
      <c r="F904" s="3">
        <v>24</v>
      </c>
      <c r="G904" s="20">
        <f t="shared" si="35"/>
        <v>14.879999999999999</v>
      </c>
      <c r="H904" s="20">
        <f t="shared" si="38"/>
        <v>29.759999999999998</v>
      </c>
      <c r="J904" s="43" t="s">
        <v>2196</v>
      </c>
    </row>
    <row r="905" spans="1:10" x14ac:dyDescent="0.25">
      <c r="A905" s="46" t="s">
        <v>1057</v>
      </c>
      <c r="B905" s="3" t="s">
        <v>1058</v>
      </c>
      <c r="C905" s="3" t="s">
        <v>46</v>
      </c>
      <c r="D905" s="3">
        <v>2</v>
      </c>
      <c r="E905" s="3" t="s">
        <v>1856</v>
      </c>
      <c r="F905" s="3">
        <v>32.700000000000003</v>
      </c>
      <c r="G905" s="20">
        <f t="shared" si="35"/>
        <v>20.274000000000001</v>
      </c>
      <c r="H905" s="20">
        <f t="shared" si="38"/>
        <v>40.548000000000002</v>
      </c>
      <c r="J905" s="43" t="s">
        <v>2197</v>
      </c>
    </row>
    <row r="906" spans="1:10" x14ac:dyDescent="0.25">
      <c r="A906" s="46" t="s">
        <v>811</v>
      </c>
      <c r="B906" s="3" t="s">
        <v>812</v>
      </c>
      <c r="C906" s="3" t="s">
        <v>46</v>
      </c>
      <c r="D906" s="3">
        <v>2</v>
      </c>
      <c r="E906" s="3" t="s">
        <v>1856</v>
      </c>
      <c r="F906" s="3">
        <v>26.2</v>
      </c>
      <c r="G906" s="20">
        <f t="shared" si="35"/>
        <v>16.244</v>
      </c>
      <c r="H906" s="20">
        <f t="shared" si="38"/>
        <v>32.488</v>
      </c>
      <c r="J906" s="43" t="s">
        <v>2128</v>
      </c>
    </row>
    <row r="907" spans="1:10" x14ac:dyDescent="0.25">
      <c r="A907" s="46" t="s">
        <v>1059</v>
      </c>
      <c r="B907" s="3" t="s">
        <v>1060</v>
      </c>
      <c r="C907" s="3" t="s">
        <v>46</v>
      </c>
      <c r="D907" s="3">
        <v>2</v>
      </c>
      <c r="E907" s="3" t="s">
        <v>1855</v>
      </c>
      <c r="F907" s="3">
        <v>21</v>
      </c>
      <c r="G907" s="20">
        <f t="shared" si="35"/>
        <v>13.02</v>
      </c>
      <c r="H907" s="20">
        <f t="shared" si="38"/>
        <v>26.04</v>
      </c>
      <c r="J907" s="43" t="s">
        <v>2198</v>
      </c>
    </row>
    <row r="908" spans="1:10" x14ac:dyDescent="0.25">
      <c r="A908" s="46" t="s">
        <v>1061</v>
      </c>
      <c r="B908" s="3" t="s">
        <v>1062</v>
      </c>
      <c r="C908" s="3" t="s">
        <v>47</v>
      </c>
      <c r="D908" s="3">
        <v>2</v>
      </c>
      <c r="E908" s="3" t="s">
        <v>1855</v>
      </c>
      <c r="F908" s="3">
        <v>25.9</v>
      </c>
      <c r="G908" s="20">
        <f t="shared" si="35"/>
        <v>16.058</v>
      </c>
      <c r="H908" s="20">
        <f t="shared" si="38"/>
        <v>32.116</v>
      </c>
      <c r="J908" s="43" t="s">
        <v>2199</v>
      </c>
    </row>
    <row r="909" spans="1:10" x14ac:dyDescent="0.25">
      <c r="A909" s="46" t="s">
        <v>860</v>
      </c>
      <c r="B909" s="3" t="s">
        <v>861</v>
      </c>
      <c r="C909" s="3" t="s">
        <v>46</v>
      </c>
      <c r="D909" s="3">
        <v>4</v>
      </c>
      <c r="E909" s="3" t="s">
        <v>1855</v>
      </c>
      <c r="F909" s="3">
        <v>26.9</v>
      </c>
      <c r="G909" s="20">
        <f t="shared" ref="G909:G972" si="39">F909-(F909*38%)</f>
        <v>16.677999999999997</v>
      </c>
      <c r="H909" s="20">
        <f t="shared" si="38"/>
        <v>66.711999999999989</v>
      </c>
      <c r="J909" s="43" t="s">
        <v>2142</v>
      </c>
    </row>
    <row r="910" spans="1:10" x14ac:dyDescent="0.25">
      <c r="A910" s="46" t="s">
        <v>862</v>
      </c>
      <c r="B910" s="3" t="s">
        <v>863</v>
      </c>
      <c r="C910" s="3" t="s">
        <v>46</v>
      </c>
      <c r="D910" s="3">
        <v>4</v>
      </c>
      <c r="E910" s="3" t="s">
        <v>1855</v>
      </c>
      <c r="F910" s="3">
        <v>77.8</v>
      </c>
      <c r="G910" s="20">
        <f t="shared" si="39"/>
        <v>48.235999999999997</v>
      </c>
      <c r="H910" s="20">
        <f t="shared" si="38"/>
        <v>192.94399999999999</v>
      </c>
      <c r="J910" s="43" t="s">
        <v>2143</v>
      </c>
    </row>
    <row r="911" spans="1:10" x14ac:dyDescent="0.25">
      <c r="A911" s="46" t="s">
        <v>1063</v>
      </c>
      <c r="B911" s="3" t="s">
        <v>1064</v>
      </c>
      <c r="C911" s="3" t="s">
        <v>46</v>
      </c>
      <c r="D911" s="3">
        <v>4</v>
      </c>
      <c r="E911" s="3" t="s">
        <v>1855</v>
      </c>
      <c r="F911" s="3">
        <v>105.5</v>
      </c>
      <c r="G911" s="20">
        <f t="shared" si="39"/>
        <v>65.41</v>
      </c>
      <c r="H911" s="20">
        <f t="shared" si="38"/>
        <v>261.64</v>
      </c>
      <c r="J911" s="43" t="s">
        <v>1064</v>
      </c>
    </row>
    <row r="912" spans="1:10" x14ac:dyDescent="0.25">
      <c r="A912" s="46" t="s">
        <v>835</v>
      </c>
      <c r="B912" s="3" t="s">
        <v>836</v>
      </c>
      <c r="C912" s="3" t="s">
        <v>46</v>
      </c>
      <c r="D912" s="3">
        <v>4</v>
      </c>
      <c r="E912" s="3" t="s">
        <v>1855</v>
      </c>
      <c r="F912" s="3">
        <v>39.6</v>
      </c>
      <c r="G912" s="20">
        <f t="shared" si="39"/>
        <v>24.552</v>
      </c>
      <c r="H912" s="20">
        <f t="shared" si="38"/>
        <v>98.207999999999998</v>
      </c>
      <c r="J912" s="43" t="s">
        <v>836</v>
      </c>
    </row>
    <row r="913" spans="1:10" x14ac:dyDescent="0.25">
      <c r="A913" s="46" t="s">
        <v>1065</v>
      </c>
      <c r="B913" s="3" t="s">
        <v>1066</v>
      </c>
      <c r="C913" s="3" t="s">
        <v>46</v>
      </c>
      <c r="D913" s="3">
        <v>4</v>
      </c>
      <c r="E913" s="3" t="s">
        <v>1855</v>
      </c>
      <c r="F913" s="3">
        <v>41.1</v>
      </c>
      <c r="G913" s="20">
        <f t="shared" si="39"/>
        <v>25.481999999999999</v>
      </c>
      <c r="H913" s="20">
        <f t="shared" si="38"/>
        <v>101.928</v>
      </c>
      <c r="J913" s="43" t="s">
        <v>1066</v>
      </c>
    </row>
    <row r="914" spans="1:10" x14ac:dyDescent="0.25">
      <c r="A914" s="46" t="s">
        <v>1067</v>
      </c>
      <c r="B914" s="3" t="s">
        <v>1068</v>
      </c>
      <c r="C914" s="3" t="s">
        <v>46</v>
      </c>
      <c r="D914" s="3">
        <v>4</v>
      </c>
      <c r="E914" s="3" t="s">
        <v>1855</v>
      </c>
      <c r="F914" s="3">
        <v>54.2</v>
      </c>
      <c r="G914" s="20">
        <f t="shared" si="39"/>
        <v>33.603999999999999</v>
      </c>
      <c r="H914" s="20">
        <f t="shared" si="38"/>
        <v>134.416</v>
      </c>
      <c r="J914" s="43" t="s">
        <v>1068</v>
      </c>
    </row>
    <row r="915" spans="1:10" x14ac:dyDescent="0.25">
      <c r="A915" s="46" t="s">
        <v>1069</v>
      </c>
      <c r="B915" s="3" t="s">
        <v>1070</v>
      </c>
      <c r="C915" s="3" t="s">
        <v>46</v>
      </c>
      <c r="D915" s="3">
        <v>2</v>
      </c>
      <c r="E915" s="3" t="s">
        <v>1855</v>
      </c>
      <c r="F915" s="3">
        <v>144.5</v>
      </c>
      <c r="G915" s="20">
        <f t="shared" si="39"/>
        <v>89.59</v>
      </c>
      <c r="H915" s="20">
        <f t="shared" si="38"/>
        <v>179.18</v>
      </c>
      <c r="J915" s="43" t="s">
        <v>2200</v>
      </c>
    </row>
    <row r="916" spans="1:10" x14ac:dyDescent="0.25">
      <c r="A916" s="46" t="s">
        <v>1071</v>
      </c>
      <c r="B916" s="3" t="s">
        <v>1072</v>
      </c>
      <c r="C916" s="3" t="s">
        <v>47</v>
      </c>
      <c r="D916" s="3">
        <v>2</v>
      </c>
      <c r="E916" s="3" t="s">
        <v>1855</v>
      </c>
      <c r="F916" s="3">
        <v>88.9</v>
      </c>
      <c r="G916" s="20">
        <f t="shared" si="39"/>
        <v>55.118000000000002</v>
      </c>
      <c r="H916" s="20">
        <f t="shared" si="38"/>
        <v>110.236</v>
      </c>
      <c r="J916" s="43" t="s">
        <v>2201</v>
      </c>
    </row>
    <row r="917" spans="1:10" x14ac:dyDescent="0.25">
      <c r="A917" s="46" t="s">
        <v>1073</v>
      </c>
      <c r="B917" s="3" t="s">
        <v>1074</v>
      </c>
      <c r="C917" s="3" t="s">
        <v>46</v>
      </c>
      <c r="D917" s="3">
        <v>2</v>
      </c>
      <c r="E917" s="3" t="s">
        <v>1855</v>
      </c>
      <c r="F917" s="3">
        <v>349</v>
      </c>
      <c r="G917" s="20">
        <f t="shared" si="39"/>
        <v>216.38</v>
      </c>
      <c r="H917" s="20">
        <f t="shared" si="38"/>
        <v>432.76</v>
      </c>
      <c r="J917" s="43" t="s">
        <v>2202</v>
      </c>
    </row>
    <row r="918" spans="1:10" x14ac:dyDescent="0.25">
      <c r="A918" s="46" t="s">
        <v>1075</v>
      </c>
      <c r="B918" s="3" t="s">
        <v>1076</v>
      </c>
      <c r="C918" s="3" t="s">
        <v>46</v>
      </c>
      <c r="D918" s="3">
        <v>2</v>
      </c>
      <c r="E918" s="3" t="s">
        <v>1855</v>
      </c>
      <c r="F918" s="3">
        <v>356</v>
      </c>
      <c r="G918" s="20">
        <f t="shared" si="39"/>
        <v>220.72</v>
      </c>
      <c r="H918" s="20">
        <f t="shared" si="38"/>
        <v>441.44</v>
      </c>
      <c r="J918" s="43" t="s">
        <v>2203</v>
      </c>
    </row>
    <row r="919" spans="1:10" x14ac:dyDescent="0.25">
      <c r="A919" s="46" t="s">
        <v>1077</v>
      </c>
      <c r="B919" s="3" t="s">
        <v>1078</v>
      </c>
      <c r="C919" s="3" t="s">
        <v>46</v>
      </c>
      <c r="D919" s="3">
        <v>12</v>
      </c>
      <c r="E919" s="3" t="s">
        <v>1855</v>
      </c>
      <c r="F919" s="3">
        <v>21.9</v>
      </c>
      <c r="G919" s="20">
        <f t="shared" si="39"/>
        <v>13.577999999999999</v>
      </c>
      <c r="H919" s="20">
        <f t="shared" si="38"/>
        <v>162.93599999999998</v>
      </c>
      <c r="J919" s="43" t="s">
        <v>2204</v>
      </c>
    </row>
    <row r="920" spans="1:10" x14ac:dyDescent="0.25">
      <c r="A920" s="46" t="s">
        <v>1079</v>
      </c>
      <c r="B920" s="3" t="s">
        <v>1080</v>
      </c>
      <c r="C920" s="3" t="s">
        <v>46</v>
      </c>
      <c r="D920" s="3">
        <v>12</v>
      </c>
      <c r="E920" s="3" t="s">
        <v>1855</v>
      </c>
      <c r="F920" s="3">
        <v>22.7</v>
      </c>
      <c r="G920" s="20">
        <f t="shared" si="39"/>
        <v>14.074</v>
      </c>
      <c r="H920" s="20">
        <f t="shared" si="38"/>
        <v>168.88800000000001</v>
      </c>
      <c r="J920" s="43" t="s">
        <v>2205</v>
      </c>
    </row>
    <row r="921" spans="1:10" x14ac:dyDescent="0.25">
      <c r="A921" s="46" t="s">
        <v>266</v>
      </c>
      <c r="B921" s="3" t="s">
        <v>267</v>
      </c>
      <c r="C921" s="3" t="s">
        <v>46</v>
      </c>
      <c r="D921" s="3">
        <v>12</v>
      </c>
      <c r="E921" s="3" t="s">
        <v>1855</v>
      </c>
      <c r="F921" s="3">
        <v>26.6</v>
      </c>
      <c r="G921" s="20">
        <f t="shared" si="39"/>
        <v>16.492000000000001</v>
      </c>
      <c r="H921" s="20">
        <f t="shared" si="38"/>
        <v>197.904</v>
      </c>
      <c r="J921" s="43" t="s">
        <v>1972</v>
      </c>
    </row>
    <row r="922" spans="1:10" x14ac:dyDescent="0.25">
      <c r="A922" s="46" t="s">
        <v>270</v>
      </c>
      <c r="B922" s="3" t="s">
        <v>271</v>
      </c>
      <c r="C922" s="3" t="s">
        <v>46</v>
      </c>
      <c r="D922" s="3">
        <v>12</v>
      </c>
      <c r="E922" s="3" t="s">
        <v>1855</v>
      </c>
      <c r="F922" s="3">
        <v>27.9</v>
      </c>
      <c r="G922" s="20">
        <f t="shared" si="39"/>
        <v>17.297999999999998</v>
      </c>
      <c r="H922" s="20">
        <f t="shared" si="38"/>
        <v>207.57599999999996</v>
      </c>
      <c r="J922" s="43" t="s">
        <v>1974</v>
      </c>
    </row>
    <row r="923" spans="1:10" x14ac:dyDescent="0.25">
      <c r="A923" s="46" t="s">
        <v>1081</v>
      </c>
      <c r="B923" s="3" t="s">
        <v>1082</v>
      </c>
      <c r="C923" s="3" t="s">
        <v>46</v>
      </c>
      <c r="D923" s="3">
        <v>2</v>
      </c>
      <c r="E923" s="3" t="s">
        <v>1855</v>
      </c>
      <c r="F923" s="3">
        <v>108</v>
      </c>
      <c r="G923" s="20">
        <f t="shared" si="39"/>
        <v>66.960000000000008</v>
      </c>
      <c r="H923" s="20">
        <f t="shared" si="38"/>
        <v>133.92000000000002</v>
      </c>
      <c r="J923" s="43" t="s">
        <v>1082</v>
      </c>
    </row>
    <row r="924" spans="1:10" x14ac:dyDescent="0.25">
      <c r="A924" s="46" t="s">
        <v>1083</v>
      </c>
      <c r="B924" s="3" t="s">
        <v>1084</v>
      </c>
      <c r="C924" s="3" t="s">
        <v>47</v>
      </c>
      <c r="D924" s="3">
        <v>2</v>
      </c>
      <c r="E924" s="3" t="s">
        <v>1855</v>
      </c>
      <c r="F924" s="3">
        <v>21.7</v>
      </c>
      <c r="G924" s="20">
        <f t="shared" si="39"/>
        <v>13.453999999999999</v>
      </c>
      <c r="H924" s="20">
        <f t="shared" si="38"/>
        <v>26.907999999999998</v>
      </c>
      <c r="J924" s="43" t="s">
        <v>1084</v>
      </c>
    </row>
    <row r="925" spans="1:10" x14ac:dyDescent="0.25">
      <c r="A925" s="46" t="s">
        <v>1085</v>
      </c>
      <c r="B925" s="3" t="s">
        <v>1086</v>
      </c>
      <c r="C925" s="3" t="s">
        <v>46</v>
      </c>
      <c r="D925" s="3">
        <v>2</v>
      </c>
      <c r="E925" s="3" t="s">
        <v>1855</v>
      </c>
      <c r="F925" s="3">
        <v>21.7</v>
      </c>
      <c r="G925" s="20">
        <f t="shared" si="39"/>
        <v>13.453999999999999</v>
      </c>
      <c r="H925" s="20">
        <f t="shared" si="38"/>
        <v>26.907999999999998</v>
      </c>
      <c r="J925" s="43" t="s">
        <v>1086</v>
      </c>
    </row>
    <row r="926" spans="1:10" x14ac:dyDescent="0.25">
      <c r="A926" s="46" t="s">
        <v>276</v>
      </c>
      <c r="B926" s="3" t="s">
        <v>277</v>
      </c>
      <c r="C926" s="3" t="s">
        <v>46</v>
      </c>
      <c r="D926" s="3">
        <v>4</v>
      </c>
      <c r="E926" s="3" t="s">
        <v>1855</v>
      </c>
      <c r="F926" s="3">
        <v>72.900000000000006</v>
      </c>
      <c r="G926" s="20">
        <f t="shared" si="39"/>
        <v>45.198000000000008</v>
      </c>
      <c r="H926" s="20">
        <f t="shared" si="38"/>
        <v>180.79200000000003</v>
      </c>
      <c r="J926" s="43" t="s">
        <v>277</v>
      </c>
    </row>
    <row r="927" spans="1:10" x14ac:dyDescent="0.25">
      <c r="A927" s="46" t="s">
        <v>274</v>
      </c>
      <c r="B927" s="3" t="s">
        <v>275</v>
      </c>
      <c r="C927" s="3" t="s">
        <v>46</v>
      </c>
      <c r="D927" s="3">
        <v>2</v>
      </c>
      <c r="E927" s="3" t="s">
        <v>1855</v>
      </c>
      <c r="F927" s="3">
        <v>44.5</v>
      </c>
      <c r="G927" s="20">
        <f t="shared" si="39"/>
        <v>27.59</v>
      </c>
      <c r="H927" s="20">
        <f t="shared" si="38"/>
        <v>55.18</v>
      </c>
      <c r="J927" s="43" t="s">
        <v>1976</v>
      </c>
    </row>
    <row r="928" spans="1:10" x14ac:dyDescent="0.25">
      <c r="A928" s="46" t="s">
        <v>410</v>
      </c>
      <c r="B928" s="3" t="s">
        <v>411</v>
      </c>
      <c r="C928" s="3" t="s">
        <v>46</v>
      </c>
      <c r="D928" s="3">
        <v>2</v>
      </c>
      <c r="E928" s="3" t="s">
        <v>1855</v>
      </c>
      <c r="F928" s="3">
        <v>241.5</v>
      </c>
      <c r="G928" s="20">
        <f t="shared" si="39"/>
        <v>149.73000000000002</v>
      </c>
      <c r="H928" s="20">
        <f t="shared" si="38"/>
        <v>299.46000000000004</v>
      </c>
      <c r="J928" s="43" t="s">
        <v>2022</v>
      </c>
    </row>
    <row r="929" spans="1:10" x14ac:dyDescent="0.25">
      <c r="A929" s="46" t="s">
        <v>1087</v>
      </c>
      <c r="B929" s="3" t="s">
        <v>1088</v>
      </c>
      <c r="C929" s="3" t="s">
        <v>46</v>
      </c>
      <c r="D929" s="3">
        <v>2</v>
      </c>
      <c r="E929" s="3" t="s">
        <v>1855</v>
      </c>
      <c r="F929" s="3">
        <v>326</v>
      </c>
      <c r="G929" s="20">
        <f t="shared" si="39"/>
        <v>202.12</v>
      </c>
      <c r="H929" s="20">
        <f t="shared" si="38"/>
        <v>404.24</v>
      </c>
      <c r="J929" s="43" t="s">
        <v>2206</v>
      </c>
    </row>
    <row r="930" spans="1:10" x14ac:dyDescent="0.25">
      <c r="A930" s="46" t="s">
        <v>408</v>
      </c>
      <c r="B930" s="3" t="s">
        <v>409</v>
      </c>
      <c r="C930" s="3" t="s">
        <v>46</v>
      </c>
      <c r="D930" s="3">
        <v>2</v>
      </c>
      <c r="E930" s="3" t="s">
        <v>1855</v>
      </c>
      <c r="F930" s="3">
        <v>359</v>
      </c>
      <c r="G930" s="20">
        <f t="shared" si="39"/>
        <v>222.58</v>
      </c>
      <c r="H930" s="20">
        <f t="shared" si="38"/>
        <v>445.16</v>
      </c>
      <c r="J930" s="43" t="s">
        <v>2021</v>
      </c>
    </row>
    <row r="931" spans="1:10" x14ac:dyDescent="0.25">
      <c r="A931" s="46" t="s">
        <v>1089</v>
      </c>
      <c r="B931" s="3" t="s">
        <v>1090</v>
      </c>
      <c r="C931" s="3" t="s">
        <v>46</v>
      </c>
      <c r="D931" s="3">
        <v>2</v>
      </c>
      <c r="E931" s="3" t="s">
        <v>1855</v>
      </c>
      <c r="F931" s="3">
        <v>369.5</v>
      </c>
      <c r="G931" s="20">
        <f t="shared" si="39"/>
        <v>229.09</v>
      </c>
      <c r="H931" s="20">
        <f t="shared" si="38"/>
        <v>458.18</v>
      </c>
      <c r="J931" s="43" t="s">
        <v>2207</v>
      </c>
    </row>
    <row r="932" spans="1:10" x14ac:dyDescent="0.25">
      <c r="A932" s="46" t="s">
        <v>1091</v>
      </c>
      <c r="B932" s="3" t="s">
        <v>1092</v>
      </c>
      <c r="C932" s="3" t="s">
        <v>46</v>
      </c>
      <c r="D932" s="3">
        <v>2</v>
      </c>
      <c r="E932" s="3" t="s">
        <v>1855</v>
      </c>
      <c r="F932" s="3">
        <v>418</v>
      </c>
      <c r="G932" s="20">
        <f t="shared" si="39"/>
        <v>259.15999999999997</v>
      </c>
      <c r="H932" s="20">
        <f t="shared" si="38"/>
        <v>518.31999999999994</v>
      </c>
      <c r="J932" s="43" t="s">
        <v>2208</v>
      </c>
    </row>
    <row r="933" spans="1:10" x14ac:dyDescent="0.25">
      <c r="A933" s="46" t="s">
        <v>1093</v>
      </c>
      <c r="B933" s="3" t="s">
        <v>1094</v>
      </c>
      <c r="C933" s="3" t="s">
        <v>46</v>
      </c>
      <c r="D933" s="3">
        <v>4</v>
      </c>
      <c r="E933" s="3" t="s">
        <v>1855</v>
      </c>
      <c r="F933" s="3">
        <v>42.4</v>
      </c>
      <c r="G933" s="20">
        <f t="shared" si="39"/>
        <v>26.288</v>
      </c>
      <c r="H933" s="20">
        <f t="shared" si="38"/>
        <v>105.152</v>
      </c>
      <c r="J933" s="43" t="s">
        <v>2209</v>
      </c>
    </row>
    <row r="934" spans="1:10" x14ac:dyDescent="0.25">
      <c r="A934" s="46" t="s">
        <v>1091</v>
      </c>
      <c r="B934" s="3" t="s">
        <v>1092</v>
      </c>
      <c r="C934" s="3" t="s">
        <v>46</v>
      </c>
      <c r="D934" s="3">
        <v>2</v>
      </c>
      <c r="E934" s="3" t="s">
        <v>1855</v>
      </c>
      <c r="F934" s="3">
        <v>418</v>
      </c>
      <c r="G934" s="20">
        <f t="shared" si="39"/>
        <v>259.15999999999997</v>
      </c>
      <c r="H934" s="20">
        <f t="shared" si="38"/>
        <v>518.31999999999994</v>
      </c>
      <c r="J934" s="43" t="s">
        <v>2208</v>
      </c>
    </row>
    <row r="935" spans="1:10" x14ac:dyDescent="0.25">
      <c r="A935" s="46" t="s">
        <v>1095</v>
      </c>
      <c r="B935" s="3" t="s">
        <v>1096</v>
      </c>
      <c r="C935" s="3" t="s">
        <v>46</v>
      </c>
      <c r="D935" s="3">
        <v>2</v>
      </c>
      <c r="E935" s="3" t="s">
        <v>1855</v>
      </c>
      <c r="F935" s="3">
        <v>418</v>
      </c>
      <c r="G935" s="20">
        <f t="shared" si="39"/>
        <v>259.15999999999997</v>
      </c>
      <c r="H935" s="20">
        <f t="shared" si="38"/>
        <v>518.31999999999994</v>
      </c>
      <c r="J935" s="43" t="s">
        <v>2210</v>
      </c>
    </row>
    <row r="936" spans="1:10" x14ac:dyDescent="0.25">
      <c r="A936" s="46" t="s">
        <v>918</v>
      </c>
      <c r="B936" s="3" t="s">
        <v>919</v>
      </c>
      <c r="C936" s="3" t="s">
        <v>46</v>
      </c>
      <c r="D936" s="3">
        <v>2</v>
      </c>
      <c r="E936" s="3" t="s">
        <v>1855</v>
      </c>
      <c r="F936" s="3">
        <v>211.5</v>
      </c>
      <c r="G936" s="20">
        <f t="shared" si="39"/>
        <v>131.13</v>
      </c>
      <c r="H936" s="20">
        <f t="shared" si="38"/>
        <v>262.26</v>
      </c>
      <c r="J936" s="43" t="s">
        <v>2158</v>
      </c>
    </row>
    <row r="937" spans="1:10" x14ac:dyDescent="0.25">
      <c r="A937" s="46" t="s">
        <v>1097</v>
      </c>
      <c r="B937" s="3" t="s">
        <v>1098</v>
      </c>
      <c r="C937" s="3" t="s">
        <v>46</v>
      </c>
      <c r="D937" s="3">
        <v>2</v>
      </c>
      <c r="E937" s="3" t="s">
        <v>1855</v>
      </c>
      <c r="F937" s="3">
        <v>298.5</v>
      </c>
      <c r="G937" s="20">
        <f t="shared" si="39"/>
        <v>185.07</v>
      </c>
      <c r="H937" s="20">
        <f t="shared" si="38"/>
        <v>370.14</v>
      </c>
      <c r="J937" s="43" t="s">
        <v>2211</v>
      </c>
    </row>
    <row r="938" spans="1:10" x14ac:dyDescent="0.25">
      <c r="A938" s="48" t="s">
        <v>1099</v>
      </c>
      <c r="B938" s="3" t="s">
        <v>1100</v>
      </c>
      <c r="C938" s="3" t="s">
        <v>46</v>
      </c>
      <c r="D938" s="3">
        <v>2</v>
      </c>
      <c r="E938" s="3" t="s">
        <v>1855</v>
      </c>
      <c r="F938" s="3">
        <v>2.7</v>
      </c>
      <c r="G938" s="20">
        <f t="shared" si="39"/>
        <v>1.6740000000000002</v>
      </c>
      <c r="H938" s="20">
        <f t="shared" si="38"/>
        <v>3.3480000000000003</v>
      </c>
      <c r="J938" s="43" t="e">
        <v>#N/A</v>
      </c>
    </row>
    <row r="939" spans="1:10" x14ac:dyDescent="0.25">
      <c r="A939" s="48" t="s">
        <v>1101</v>
      </c>
      <c r="B939" s="3" t="s">
        <v>1102</v>
      </c>
      <c r="C939" s="3" t="s">
        <v>46</v>
      </c>
      <c r="D939" s="3">
        <v>2</v>
      </c>
      <c r="E939" s="3" t="s">
        <v>1855</v>
      </c>
      <c r="F939" s="3">
        <v>3.7</v>
      </c>
      <c r="G939" s="20">
        <f t="shared" si="39"/>
        <v>2.294</v>
      </c>
      <c r="H939" s="20">
        <f t="shared" si="38"/>
        <v>4.5880000000000001</v>
      </c>
      <c r="J939" s="43" t="e">
        <v>#N/A</v>
      </c>
    </row>
    <row r="940" spans="1:10" x14ac:dyDescent="0.25">
      <c r="A940" s="46" t="s">
        <v>1103</v>
      </c>
      <c r="B940" s="3" t="s">
        <v>1104</v>
      </c>
      <c r="C940" s="3" t="s">
        <v>46</v>
      </c>
      <c r="D940" s="3">
        <v>2</v>
      </c>
      <c r="E940" s="3" t="s">
        <v>1855</v>
      </c>
      <c r="F940" s="3">
        <v>23.8</v>
      </c>
      <c r="G940" s="20">
        <f t="shared" si="39"/>
        <v>14.756</v>
      </c>
      <c r="H940" s="20">
        <f t="shared" si="38"/>
        <v>29.512</v>
      </c>
      <c r="J940" s="43" t="s">
        <v>2212</v>
      </c>
    </row>
    <row r="941" spans="1:10" x14ac:dyDescent="0.25">
      <c r="A941" s="46" t="s">
        <v>1105</v>
      </c>
      <c r="B941" s="3" t="s">
        <v>1106</v>
      </c>
      <c r="C941" s="3" t="s">
        <v>46</v>
      </c>
      <c r="D941" s="3">
        <v>2</v>
      </c>
      <c r="E941" s="3" t="s">
        <v>1855</v>
      </c>
      <c r="F941" s="3">
        <v>22.4</v>
      </c>
      <c r="G941" s="20">
        <f t="shared" si="39"/>
        <v>13.888</v>
      </c>
      <c r="H941" s="20">
        <f t="shared" si="38"/>
        <v>27.776</v>
      </c>
      <c r="J941" s="43" t="s">
        <v>2213</v>
      </c>
    </row>
    <row r="942" spans="1:10" x14ac:dyDescent="0.25">
      <c r="A942" s="46" t="s">
        <v>1107</v>
      </c>
      <c r="B942" s="3" t="s">
        <v>1108</v>
      </c>
      <c r="C942" s="3" t="s">
        <v>46</v>
      </c>
      <c r="D942" s="3">
        <v>2</v>
      </c>
      <c r="E942" s="3" t="s">
        <v>1855</v>
      </c>
      <c r="F942" s="3">
        <v>16.7</v>
      </c>
      <c r="G942" s="20">
        <f t="shared" si="39"/>
        <v>10.353999999999999</v>
      </c>
      <c r="H942" s="20">
        <f t="shared" si="38"/>
        <v>20.707999999999998</v>
      </c>
      <c r="J942" s="43" t="s">
        <v>2214</v>
      </c>
    </row>
    <row r="943" spans="1:10" x14ac:dyDescent="0.25">
      <c r="A943" s="46" t="s">
        <v>781</v>
      </c>
      <c r="B943" s="3" t="s">
        <v>782</v>
      </c>
      <c r="C943" s="3" t="s">
        <v>46</v>
      </c>
      <c r="D943" s="3">
        <v>2</v>
      </c>
      <c r="E943" s="3" t="s">
        <v>1855</v>
      </c>
      <c r="F943" s="3">
        <v>55.3</v>
      </c>
      <c r="G943" s="20">
        <f t="shared" si="39"/>
        <v>34.286000000000001</v>
      </c>
      <c r="H943" s="20">
        <f t="shared" si="38"/>
        <v>68.572000000000003</v>
      </c>
      <c r="J943" s="43" t="s">
        <v>2119</v>
      </c>
    </row>
    <row r="944" spans="1:10" x14ac:dyDescent="0.25">
      <c r="A944" s="46" t="s">
        <v>144</v>
      </c>
      <c r="B944" s="3" t="s">
        <v>145</v>
      </c>
      <c r="C944" s="3" t="s">
        <v>46</v>
      </c>
      <c r="D944" s="3">
        <v>8</v>
      </c>
      <c r="E944" s="3" t="s">
        <v>1855</v>
      </c>
      <c r="F944" s="3">
        <v>75.5</v>
      </c>
      <c r="G944" s="20">
        <f t="shared" si="39"/>
        <v>46.81</v>
      </c>
      <c r="H944" s="20">
        <f t="shared" si="38"/>
        <v>374.48</v>
      </c>
      <c r="J944" s="43" t="s">
        <v>1920</v>
      </c>
    </row>
    <row r="945" spans="1:10" x14ac:dyDescent="0.25">
      <c r="A945" s="46" t="s">
        <v>1109</v>
      </c>
      <c r="B945" s="3" t="s">
        <v>1110</v>
      </c>
      <c r="C945" s="3" t="s">
        <v>46</v>
      </c>
      <c r="D945" s="3">
        <v>2</v>
      </c>
      <c r="E945" s="3" t="s">
        <v>1855</v>
      </c>
      <c r="F945" s="3">
        <v>35</v>
      </c>
      <c r="G945" s="20">
        <f t="shared" si="39"/>
        <v>21.7</v>
      </c>
      <c r="H945" s="20">
        <f t="shared" si="38"/>
        <v>43.4</v>
      </c>
      <c r="J945" s="43" t="s">
        <v>2215</v>
      </c>
    </row>
    <row r="946" spans="1:10" x14ac:dyDescent="0.25">
      <c r="A946" s="46" t="s">
        <v>1111</v>
      </c>
      <c r="B946" s="3" t="s">
        <v>1112</v>
      </c>
      <c r="C946" s="3" t="s">
        <v>46</v>
      </c>
      <c r="D946" s="3">
        <v>2</v>
      </c>
      <c r="E946" s="3" t="s">
        <v>1855</v>
      </c>
      <c r="F946" s="3">
        <v>40.299999999999997</v>
      </c>
      <c r="G946" s="20">
        <f t="shared" si="39"/>
        <v>24.985999999999997</v>
      </c>
      <c r="H946" s="20">
        <f t="shared" si="38"/>
        <v>49.971999999999994</v>
      </c>
      <c r="J946" s="43" t="s">
        <v>2216</v>
      </c>
    </row>
    <row r="947" spans="1:10" x14ac:dyDescent="0.25">
      <c r="A947" s="46" t="s">
        <v>1113</v>
      </c>
      <c r="B947" s="3" t="s">
        <v>1114</v>
      </c>
      <c r="C947" s="3" t="s">
        <v>46</v>
      </c>
      <c r="D947" s="3">
        <v>8</v>
      </c>
      <c r="E947" s="3" t="s">
        <v>1855</v>
      </c>
      <c r="F947" s="3">
        <v>54.5</v>
      </c>
      <c r="G947" s="20">
        <f t="shared" si="39"/>
        <v>33.79</v>
      </c>
      <c r="H947" s="20">
        <f t="shared" si="38"/>
        <v>270.32</v>
      </c>
      <c r="J947" s="43" t="s">
        <v>2217</v>
      </c>
    </row>
    <row r="948" spans="1:10" x14ac:dyDescent="0.25">
      <c r="A948" s="46" t="s">
        <v>384</v>
      </c>
      <c r="B948" s="3" t="s">
        <v>385</v>
      </c>
      <c r="C948" s="3" t="s">
        <v>47</v>
      </c>
      <c r="D948" s="3">
        <v>2</v>
      </c>
      <c r="E948" s="3" t="s">
        <v>1855</v>
      </c>
      <c r="F948" s="3">
        <v>6.29</v>
      </c>
      <c r="G948" s="20">
        <f t="shared" si="39"/>
        <v>3.8997999999999999</v>
      </c>
      <c r="H948" s="20">
        <f t="shared" si="38"/>
        <v>7.7995999999999999</v>
      </c>
      <c r="J948" s="43" t="s">
        <v>2012</v>
      </c>
    </row>
    <row r="949" spans="1:10" x14ac:dyDescent="0.25">
      <c r="A949" s="48" t="s">
        <v>99</v>
      </c>
      <c r="B949" s="3" t="s">
        <v>100</v>
      </c>
      <c r="C949" s="3" t="s">
        <v>46</v>
      </c>
      <c r="D949" s="3">
        <v>4</v>
      </c>
      <c r="E949" s="3" t="s">
        <v>1855</v>
      </c>
      <c r="F949" s="3">
        <v>11.9</v>
      </c>
      <c r="G949" s="20">
        <f t="shared" si="39"/>
        <v>7.3780000000000001</v>
      </c>
      <c r="H949" s="20">
        <f t="shared" si="38"/>
        <v>29.512</v>
      </c>
      <c r="J949" s="43" t="e">
        <v>#N/A</v>
      </c>
    </row>
    <row r="950" spans="1:10" x14ac:dyDescent="0.25">
      <c r="A950" s="46" t="s">
        <v>1115</v>
      </c>
      <c r="B950" s="3" t="s">
        <v>1116</v>
      </c>
      <c r="C950" s="3" t="s">
        <v>1011</v>
      </c>
      <c r="D950" s="3">
        <v>2</v>
      </c>
      <c r="E950" s="3" t="s">
        <v>1855</v>
      </c>
      <c r="F950" s="3">
        <v>6.42</v>
      </c>
      <c r="G950" s="20">
        <f t="shared" si="39"/>
        <v>3.9803999999999999</v>
      </c>
      <c r="H950" s="20">
        <f t="shared" si="38"/>
        <v>7.9607999999999999</v>
      </c>
      <c r="J950" s="43" t="s">
        <v>1116</v>
      </c>
    </row>
    <row r="951" spans="1:10" x14ac:dyDescent="0.25">
      <c r="A951" s="46" t="s">
        <v>983</v>
      </c>
      <c r="B951" s="3" t="s">
        <v>984</v>
      </c>
      <c r="C951" s="3" t="s">
        <v>1011</v>
      </c>
      <c r="D951" s="3">
        <v>2</v>
      </c>
      <c r="E951" s="3" t="s">
        <v>1855</v>
      </c>
      <c r="F951" s="3">
        <v>7.77</v>
      </c>
      <c r="G951" s="20">
        <f t="shared" si="39"/>
        <v>4.8173999999999992</v>
      </c>
      <c r="H951" s="20">
        <f t="shared" si="38"/>
        <v>9.6347999999999985</v>
      </c>
      <c r="J951" s="43" t="s">
        <v>984</v>
      </c>
    </row>
    <row r="952" spans="1:10" x14ac:dyDescent="0.25">
      <c r="A952" s="46" t="s">
        <v>981</v>
      </c>
      <c r="B952" s="3" t="s">
        <v>982</v>
      </c>
      <c r="C952" s="3" t="s">
        <v>46</v>
      </c>
      <c r="D952" s="3">
        <v>2</v>
      </c>
      <c r="E952" s="3" t="s">
        <v>1855</v>
      </c>
      <c r="F952" s="3">
        <v>10.3</v>
      </c>
      <c r="G952" s="20">
        <f t="shared" si="39"/>
        <v>6.386000000000001</v>
      </c>
      <c r="H952" s="20">
        <f t="shared" si="38"/>
        <v>12.772000000000002</v>
      </c>
      <c r="J952" s="43" t="s">
        <v>982</v>
      </c>
    </row>
    <row r="953" spans="1:10" x14ac:dyDescent="0.25">
      <c r="A953" s="46" t="s">
        <v>1117</v>
      </c>
      <c r="B953" s="3" t="s">
        <v>1118</v>
      </c>
      <c r="C953" s="3" t="s">
        <v>46</v>
      </c>
      <c r="D953" s="3">
        <v>2</v>
      </c>
      <c r="E953" s="3" t="s">
        <v>1855</v>
      </c>
      <c r="F953" s="3">
        <v>35.9</v>
      </c>
      <c r="G953" s="20">
        <f t="shared" si="39"/>
        <v>22.257999999999999</v>
      </c>
      <c r="H953" s="20">
        <f t="shared" si="38"/>
        <v>44.515999999999998</v>
      </c>
      <c r="J953" s="43" t="s">
        <v>1118</v>
      </c>
    </row>
    <row r="954" spans="1:10" x14ac:dyDescent="0.25">
      <c r="A954" s="46" t="s">
        <v>1119</v>
      </c>
      <c r="B954" s="3" t="s">
        <v>1120</v>
      </c>
      <c r="C954" s="3" t="s">
        <v>47</v>
      </c>
      <c r="D954" s="3">
        <v>2</v>
      </c>
      <c r="E954" s="3" t="s">
        <v>1855</v>
      </c>
      <c r="F954" s="3">
        <v>151.5</v>
      </c>
      <c r="G954" s="20">
        <f t="shared" si="39"/>
        <v>93.93</v>
      </c>
      <c r="H954" s="20">
        <f t="shared" si="38"/>
        <v>187.86</v>
      </c>
      <c r="J954" s="43" t="s">
        <v>2218</v>
      </c>
    </row>
    <row r="955" spans="1:10" x14ac:dyDescent="0.25">
      <c r="A955" s="46" t="s">
        <v>1121</v>
      </c>
      <c r="B955" s="3" t="s">
        <v>1122</v>
      </c>
      <c r="C955" s="3" t="s">
        <v>46</v>
      </c>
      <c r="D955" s="3">
        <v>2</v>
      </c>
      <c r="E955" s="3" t="s">
        <v>1855</v>
      </c>
      <c r="F955" s="3">
        <v>168</v>
      </c>
      <c r="G955" s="20">
        <f t="shared" si="39"/>
        <v>104.16</v>
      </c>
      <c r="H955" s="20">
        <f t="shared" si="38"/>
        <v>208.32</v>
      </c>
      <c r="J955" s="43" t="s">
        <v>2219</v>
      </c>
    </row>
    <row r="956" spans="1:10" x14ac:dyDescent="0.25">
      <c r="A956" s="46" t="s">
        <v>368</v>
      </c>
      <c r="B956" s="3" t="s">
        <v>369</v>
      </c>
      <c r="C956" s="3" t="s">
        <v>47</v>
      </c>
      <c r="D956" s="3">
        <v>2</v>
      </c>
      <c r="E956" s="3" t="s">
        <v>1855</v>
      </c>
      <c r="F956" s="3">
        <v>320</v>
      </c>
      <c r="G956" s="20">
        <f t="shared" si="39"/>
        <v>198.4</v>
      </c>
      <c r="H956" s="20">
        <f t="shared" si="38"/>
        <v>396.8</v>
      </c>
      <c r="J956" s="43" t="s">
        <v>2011</v>
      </c>
    </row>
    <row r="957" spans="1:10" x14ac:dyDescent="0.25">
      <c r="A957" s="46" t="s">
        <v>1123</v>
      </c>
      <c r="B957" s="3" t="s">
        <v>1124</v>
      </c>
      <c r="C957" s="3" t="s">
        <v>46</v>
      </c>
      <c r="D957" s="3">
        <v>2</v>
      </c>
      <c r="E957" s="3" t="s">
        <v>1855</v>
      </c>
      <c r="F957" s="3">
        <v>364.5</v>
      </c>
      <c r="G957" s="20">
        <f t="shared" si="39"/>
        <v>225.99</v>
      </c>
      <c r="H957" s="20">
        <f t="shared" si="38"/>
        <v>451.98</v>
      </c>
      <c r="J957" s="43" t="s">
        <v>2220</v>
      </c>
    </row>
    <row r="958" spans="1:10" x14ac:dyDescent="0.25">
      <c r="A958" s="46" t="s">
        <v>1125</v>
      </c>
      <c r="B958" s="3" t="s">
        <v>1126</v>
      </c>
      <c r="C958" s="3" t="s">
        <v>46</v>
      </c>
      <c r="D958" s="3">
        <v>2</v>
      </c>
      <c r="E958" s="3" t="s">
        <v>1855</v>
      </c>
      <c r="F958" s="3">
        <v>537</v>
      </c>
      <c r="G958" s="20">
        <f t="shared" si="39"/>
        <v>332.94</v>
      </c>
      <c r="H958" s="20">
        <f t="shared" si="38"/>
        <v>665.88</v>
      </c>
      <c r="J958" s="43" t="s">
        <v>2221</v>
      </c>
    </row>
    <row r="959" spans="1:10" x14ac:dyDescent="0.25">
      <c r="A959" s="46" t="s">
        <v>1127</v>
      </c>
      <c r="B959" s="3" t="s">
        <v>1128</v>
      </c>
      <c r="C959" s="3" t="s">
        <v>46</v>
      </c>
      <c r="D959" s="3">
        <v>2</v>
      </c>
      <c r="E959" s="3" t="s">
        <v>1855</v>
      </c>
      <c r="F959" s="3">
        <v>537</v>
      </c>
      <c r="G959" s="20">
        <f t="shared" si="39"/>
        <v>332.94</v>
      </c>
      <c r="H959" s="20">
        <f t="shared" ref="H959:H977" si="40">G959*D959</f>
        <v>665.88</v>
      </c>
      <c r="J959" s="43" t="s">
        <v>2222</v>
      </c>
    </row>
    <row r="960" spans="1:10" x14ac:dyDescent="0.25">
      <c r="A960" s="46" t="s">
        <v>1129</v>
      </c>
      <c r="B960" s="3" t="s">
        <v>1130</v>
      </c>
      <c r="C960" s="3" t="s">
        <v>46</v>
      </c>
      <c r="D960" s="3">
        <v>2</v>
      </c>
      <c r="E960" s="3" t="s">
        <v>1855</v>
      </c>
      <c r="F960" s="3">
        <v>867</v>
      </c>
      <c r="G960" s="20">
        <f t="shared" si="39"/>
        <v>537.54</v>
      </c>
      <c r="H960" s="20">
        <f t="shared" si="40"/>
        <v>1075.08</v>
      </c>
      <c r="J960" s="43" t="s">
        <v>2223</v>
      </c>
    </row>
    <row r="961" spans="1:10" x14ac:dyDescent="0.25">
      <c r="A961" s="46" t="s">
        <v>1131</v>
      </c>
      <c r="B961" s="3" t="s">
        <v>1132</v>
      </c>
      <c r="C961" s="3" t="s">
        <v>46</v>
      </c>
      <c r="D961" s="3">
        <v>2</v>
      </c>
      <c r="E961" s="3" t="s">
        <v>1855</v>
      </c>
      <c r="F961" s="3">
        <v>57.7</v>
      </c>
      <c r="G961" s="20">
        <f t="shared" si="39"/>
        <v>35.774000000000001</v>
      </c>
      <c r="H961" s="20">
        <f t="shared" si="40"/>
        <v>71.548000000000002</v>
      </c>
      <c r="J961" s="43" t="s">
        <v>1132</v>
      </c>
    </row>
    <row r="962" spans="1:10" x14ac:dyDescent="0.25">
      <c r="A962" s="46" t="s">
        <v>1133</v>
      </c>
      <c r="B962" s="3" t="s">
        <v>1134</v>
      </c>
      <c r="C962" s="3" t="s">
        <v>46</v>
      </c>
      <c r="D962" s="3">
        <v>2</v>
      </c>
      <c r="E962" s="3" t="s">
        <v>1855</v>
      </c>
      <c r="F962" s="3">
        <v>60.2</v>
      </c>
      <c r="G962" s="20">
        <f t="shared" si="39"/>
        <v>37.323999999999998</v>
      </c>
      <c r="H962" s="20">
        <f t="shared" si="40"/>
        <v>74.647999999999996</v>
      </c>
      <c r="J962" s="43" t="s">
        <v>1134</v>
      </c>
    </row>
    <row r="963" spans="1:10" x14ac:dyDescent="0.25">
      <c r="A963" s="46" t="s">
        <v>1135</v>
      </c>
      <c r="B963" s="3" t="s">
        <v>1136</v>
      </c>
      <c r="C963" s="3" t="s">
        <v>1145</v>
      </c>
      <c r="D963" s="3">
        <v>4</v>
      </c>
      <c r="E963" s="3" t="s">
        <v>1855</v>
      </c>
      <c r="F963" s="3">
        <v>22.3</v>
      </c>
      <c r="G963" s="20">
        <f t="shared" si="39"/>
        <v>13.826000000000001</v>
      </c>
      <c r="H963" s="20">
        <f t="shared" si="40"/>
        <v>55.304000000000002</v>
      </c>
      <c r="J963" s="43" t="s">
        <v>2224</v>
      </c>
    </row>
    <row r="964" spans="1:10" x14ac:dyDescent="0.25">
      <c r="A964" s="46" t="s">
        <v>1137</v>
      </c>
      <c r="B964" s="3" t="s">
        <v>1138</v>
      </c>
      <c r="C964" s="3" t="s">
        <v>46</v>
      </c>
      <c r="D964" s="3">
        <v>4</v>
      </c>
      <c r="E964" s="3" t="s">
        <v>1855</v>
      </c>
      <c r="F964" s="3">
        <v>128</v>
      </c>
      <c r="G964" s="20">
        <f t="shared" si="39"/>
        <v>79.36</v>
      </c>
      <c r="H964" s="20">
        <f t="shared" si="40"/>
        <v>317.44</v>
      </c>
      <c r="J964" s="43" t="s">
        <v>2225</v>
      </c>
    </row>
    <row r="965" spans="1:10" x14ac:dyDescent="0.25">
      <c r="A965" s="46" t="s">
        <v>1139</v>
      </c>
      <c r="B965" s="3" t="s">
        <v>1140</v>
      </c>
      <c r="C965" s="3" t="s">
        <v>46</v>
      </c>
      <c r="D965" s="3">
        <v>2</v>
      </c>
      <c r="E965" s="3" t="s">
        <v>1855</v>
      </c>
      <c r="F965" s="3">
        <v>203</v>
      </c>
      <c r="G965" s="20">
        <f t="shared" si="39"/>
        <v>125.86</v>
      </c>
      <c r="H965" s="20">
        <f t="shared" si="40"/>
        <v>251.72</v>
      </c>
      <c r="J965" s="43" t="s">
        <v>1140</v>
      </c>
    </row>
    <row r="966" spans="1:10" x14ac:dyDescent="0.25">
      <c r="A966" s="48" t="s">
        <v>1099</v>
      </c>
      <c r="B966" s="3" t="s">
        <v>1100</v>
      </c>
      <c r="C966" s="3" t="s">
        <v>46</v>
      </c>
      <c r="D966" s="3">
        <v>2</v>
      </c>
      <c r="E966" s="3" t="s">
        <v>1855</v>
      </c>
      <c r="F966" s="3">
        <v>2.7</v>
      </c>
      <c r="G966" s="20">
        <f t="shared" si="39"/>
        <v>1.6740000000000002</v>
      </c>
      <c r="H966" s="20">
        <f t="shared" si="40"/>
        <v>3.3480000000000003</v>
      </c>
      <c r="J966" s="43" t="e">
        <v>#N/A</v>
      </c>
    </row>
    <row r="967" spans="1:10" x14ac:dyDescent="0.25">
      <c r="A967" s="48" t="s">
        <v>1101</v>
      </c>
      <c r="B967" s="3" t="s">
        <v>1102</v>
      </c>
      <c r="C967" s="3" t="s">
        <v>46</v>
      </c>
      <c r="D967" s="3">
        <v>2</v>
      </c>
      <c r="E967" s="3" t="s">
        <v>1855</v>
      </c>
      <c r="F967" s="3">
        <v>3.7</v>
      </c>
      <c r="G967" s="20">
        <f t="shared" si="39"/>
        <v>2.294</v>
      </c>
      <c r="H967" s="20">
        <f t="shared" si="40"/>
        <v>4.5880000000000001</v>
      </c>
      <c r="J967" s="43" t="e">
        <v>#N/A</v>
      </c>
    </row>
    <row r="968" spans="1:10" x14ac:dyDescent="0.25">
      <c r="A968" s="46" t="s">
        <v>346</v>
      </c>
      <c r="B968" s="3" t="s">
        <v>347</v>
      </c>
      <c r="C968" s="3" t="s">
        <v>46</v>
      </c>
      <c r="D968" s="3">
        <v>2</v>
      </c>
      <c r="E968" s="3" t="s">
        <v>1855</v>
      </c>
      <c r="F968" s="3">
        <v>21</v>
      </c>
      <c r="G968" s="20">
        <f t="shared" si="39"/>
        <v>13.02</v>
      </c>
      <c r="H968" s="20">
        <f t="shared" si="40"/>
        <v>26.04</v>
      </c>
      <c r="J968" s="43" t="s">
        <v>2003</v>
      </c>
    </row>
    <row r="969" spans="1:10" x14ac:dyDescent="0.25">
      <c r="A969" s="46" t="s">
        <v>306</v>
      </c>
      <c r="B969" s="3" t="s">
        <v>307</v>
      </c>
      <c r="C969" s="3" t="s">
        <v>47</v>
      </c>
      <c r="D969" s="3">
        <v>2</v>
      </c>
      <c r="E969" s="3" t="s">
        <v>1855</v>
      </c>
      <c r="F969" s="3">
        <v>10.3</v>
      </c>
      <c r="G969" s="20">
        <f t="shared" si="39"/>
        <v>6.386000000000001</v>
      </c>
      <c r="H969" s="20">
        <f t="shared" si="40"/>
        <v>12.772000000000002</v>
      </c>
      <c r="J969" s="43" t="s">
        <v>1990</v>
      </c>
    </row>
    <row r="970" spans="1:10" x14ac:dyDescent="0.25">
      <c r="A970" s="46" t="s">
        <v>1141</v>
      </c>
      <c r="B970" s="3" t="s">
        <v>1142</v>
      </c>
      <c r="C970" s="3" t="s">
        <v>46</v>
      </c>
      <c r="D970" s="3">
        <v>2</v>
      </c>
      <c r="E970" s="3" t="s">
        <v>1855</v>
      </c>
      <c r="F970" s="3">
        <v>60</v>
      </c>
      <c r="G970" s="20">
        <f t="shared" si="39"/>
        <v>37.200000000000003</v>
      </c>
      <c r="H970" s="20">
        <f t="shared" si="40"/>
        <v>74.400000000000006</v>
      </c>
      <c r="J970" s="43" t="s">
        <v>2226</v>
      </c>
    </row>
    <row r="971" spans="1:10" x14ac:dyDescent="0.25">
      <c r="A971" s="46" t="s">
        <v>380</v>
      </c>
      <c r="B971" s="3" t="s">
        <v>381</v>
      </c>
      <c r="C971" s="3" t="s">
        <v>46</v>
      </c>
      <c r="D971" s="3">
        <v>2</v>
      </c>
      <c r="E971" s="3" t="s">
        <v>1855</v>
      </c>
      <c r="F971" s="3">
        <v>38.6</v>
      </c>
      <c r="G971" s="20">
        <f t="shared" si="39"/>
        <v>23.932000000000002</v>
      </c>
      <c r="H971" s="20">
        <f t="shared" si="40"/>
        <v>47.864000000000004</v>
      </c>
      <c r="J971" s="43" t="s">
        <v>381</v>
      </c>
    </row>
    <row r="972" spans="1:10" x14ac:dyDescent="0.25">
      <c r="A972" s="46" t="s">
        <v>874</v>
      </c>
      <c r="B972" s="3" t="s">
        <v>875</v>
      </c>
      <c r="C972" s="3" t="s">
        <v>46</v>
      </c>
      <c r="D972" s="3">
        <v>2</v>
      </c>
      <c r="E972" s="3" t="s">
        <v>1855</v>
      </c>
      <c r="F972" s="3">
        <v>39.5</v>
      </c>
      <c r="G972" s="20">
        <f t="shared" si="39"/>
        <v>24.490000000000002</v>
      </c>
      <c r="H972" s="20">
        <f t="shared" si="40"/>
        <v>48.980000000000004</v>
      </c>
      <c r="J972" s="43" t="s">
        <v>2145</v>
      </c>
    </row>
    <row r="973" spans="1:10" x14ac:dyDescent="0.25">
      <c r="A973" s="46" t="s">
        <v>390</v>
      </c>
      <c r="B973" s="3" t="s">
        <v>391</v>
      </c>
      <c r="C973" s="3" t="s">
        <v>46</v>
      </c>
      <c r="D973" s="3">
        <v>2</v>
      </c>
      <c r="E973" s="3" t="s">
        <v>1855</v>
      </c>
      <c r="F973" s="3">
        <v>21.7</v>
      </c>
      <c r="G973" s="20">
        <f t="shared" ref="G973:G1036" si="41">F973-(F973*38%)</f>
        <v>13.453999999999999</v>
      </c>
      <c r="H973" s="20">
        <f t="shared" si="40"/>
        <v>26.907999999999998</v>
      </c>
      <c r="J973" s="43" t="s">
        <v>391</v>
      </c>
    </row>
    <row r="974" spans="1:10" x14ac:dyDescent="0.25">
      <c r="A974" s="46" t="s">
        <v>1143</v>
      </c>
      <c r="B974" s="3" t="s">
        <v>1144</v>
      </c>
      <c r="C974" s="3" t="s">
        <v>46</v>
      </c>
      <c r="D974" s="3">
        <v>2</v>
      </c>
      <c r="E974" s="3" t="s">
        <v>1855</v>
      </c>
      <c r="F974" s="3">
        <v>39</v>
      </c>
      <c r="G974" s="20">
        <f t="shared" si="41"/>
        <v>24.18</v>
      </c>
      <c r="H974" s="20">
        <f t="shared" si="40"/>
        <v>48.36</v>
      </c>
      <c r="J974" s="43" t="s">
        <v>1144</v>
      </c>
    </row>
    <row r="975" spans="1:10" x14ac:dyDescent="0.25">
      <c r="A975" s="46" t="s">
        <v>338</v>
      </c>
      <c r="B975" s="3" t="s">
        <v>339</v>
      </c>
      <c r="C975" s="3" t="s">
        <v>46</v>
      </c>
      <c r="D975" s="3">
        <v>2</v>
      </c>
      <c r="E975" s="3" t="s">
        <v>1855</v>
      </c>
      <c r="F975" s="3">
        <v>35.1</v>
      </c>
      <c r="G975" s="20">
        <f t="shared" si="41"/>
        <v>21.762</v>
      </c>
      <c r="H975" s="20">
        <f t="shared" si="40"/>
        <v>43.524000000000001</v>
      </c>
      <c r="J975" s="43" t="s">
        <v>1999</v>
      </c>
    </row>
    <row r="976" spans="1:10" x14ac:dyDescent="0.25">
      <c r="A976" s="46" t="s">
        <v>1803</v>
      </c>
      <c r="B976" s="3" t="s">
        <v>1805</v>
      </c>
      <c r="C976" s="3" t="s">
        <v>46</v>
      </c>
      <c r="D976" s="3">
        <v>2</v>
      </c>
      <c r="E976" s="3" t="s">
        <v>1856</v>
      </c>
      <c r="F976" s="3">
        <v>639</v>
      </c>
      <c r="G976" s="20">
        <f t="shared" si="41"/>
        <v>396.18</v>
      </c>
      <c r="H976" s="20">
        <f t="shared" si="40"/>
        <v>792.36</v>
      </c>
      <c r="J976" s="43" t="s">
        <v>1939</v>
      </c>
    </row>
    <row r="977" spans="1:10" x14ac:dyDescent="0.25">
      <c r="A977" s="46" t="s">
        <v>1807</v>
      </c>
      <c r="B977" s="3" t="s">
        <v>1808</v>
      </c>
      <c r="C977" s="3" t="s">
        <v>46</v>
      </c>
      <c r="D977" s="3">
        <v>2</v>
      </c>
      <c r="E977" s="3" t="s">
        <v>1855</v>
      </c>
      <c r="F977" s="3">
        <v>136.5</v>
      </c>
      <c r="G977" s="20">
        <f t="shared" si="41"/>
        <v>84.63</v>
      </c>
      <c r="H977" s="20">
        <f t="shared" si="40"/>
        <v>169.26</v>
      </c>
      <c r="J977" s="43" t="s">
        <v>2023</v>
      </c>
    </row>
    <row r="978" spans="1:10" s="5" customFormat="1" x14ac:dyDescent="0.25">
      <c r="A978" s="51"/>
      <c r="B978" s="6" t="s">
        <v>1146</v>
      </c>
      <c r="C978" s="4"/>
      <c r="D978" s="29"/>
      <c r="E978" s="4"/>
      <c r="F978" s="4"/>
      <c r="G978" s="4"/>
      <c r="H978" s="4"/>
      <c r="J978" s="43"/>
    </row>
    <row r="979" spans="1:10" x14ac:dyDescent="0.25">
      <c r="A979" s="46" t="s">
        <v>26</v>
      </c>
      <c r="B979" s="3" t="s">
        <v>27</v>
      </c>
      <c r="C979" s="3" t="s">
        <v>46</v>
      </c>
      <c r="D979" s="3">
        <v>4</v>
      </c>
      <c r="E979" s="3" t="s">
        <v>1855</v>
      </c>
      <c r="F979" s="3">
        <v>6.81</v>
      </c>
      <c r="G979" s="20">
        <f t="shared" si="41"/>
        <v>4.2221999999999991</v>
      </c>
      <c r="H979" s="20">
        <f t="shared" ref="H979:H1004" si="42">G979*D979</f>
        <v>16.888799999999996</v>
      </c>
      <c r="J979" s="43" t="s">
        <v>1873</v>
      </c>
    </row>
    <row r="980" spans="1:10" x14ac:dyDescent="0.25">
      <c r="A980" s="46" t="s">
        <v>316</v>
      </c>
      <c r="B980" s="3" t="s">
        <v>317</v>
      </c>
      <c r="C980" s="3" t="s">
        <v>46</v>
      </c>
      <c r="D980" s="3">
        <v>4</v>
      </c>
      <c r="E980" s="3" t="s">
        <v>1855</v>
      </c>
      <c r="F980" s="3">
        <v>13.1</v>
      </c>
      <c r="G980" s="20">
        <f t="shared" si="41"/>
        <v>8.1219999999999999</v>
      </c>
      <c r="H980" s="20">
        <f t="shared" si="42"/>
        <v>32.488</v>
      </c>
      <c r="J980" s="43" t="s">
        <v>1995</v>
      </c>
    </row>
    <row r="981" spans="1:10" x14ac:dyDescent="0.25">
      <c r="A981" s="46" t="s">
        <v>132</v>
      </c>
      <c r="B981" s="3" t="s">
        <v>133</v>
      </c>
      <c r="C981" s="3" t="s">
        <v>47</v>
      </c>
      <c r="D981" s="3">
        <v>8</v>
      </c>
      <c r="E981" s="3" t="s">
        <v>1855</v>
      </c>
      <c r="F981" s="3">
        <v>28.2</v>
      </c>
      <c r="G981" s="20">
        <f t="shared" si="41"/>
        <v>17.484000000000002</v>
      </c>
      <c r="H981" s="20">
        <f t="shared" si="42"/>
        <v>139.87200000000001</v>
      </c>
      <c r="J981" s="43" t="s">
        <v>1916</v>
      </c>
    </row>
    <row r="982" spans="1:10" x14ac:dyDescent="0.25">
      <c r="A982" s="46" t="s">
        <v>920</v>
      </c>
      <c r="B982" s="3" t="s">
        <v>921</v>
      </c>
      <c r="C982" s="3" t="s">
        <v>46</v>
      </c>
      <c r="D982" s="3">
        <v>8</v>
      </c>
      <c r="E982" s="3" t="s">
        <v>1855</v>
      </c>
      <c r="F982" s="3">
        <v>27</v>
      </c>
      <c r="G982" s="20">
        <f t="shared" si="41"/>
        <v>16.740000000000002</v>
      </c>
      <c r="H982" s="20">
        <f t="shared" si="42"/>
        <v>133.92000000000002</v>
      </c>
      <c r="J982" s="43" t="s">
        <v>2159</v>
      </c>
    </row>
    <row r="983" spans="1:10" x14ac:dyDescent="0.25">
      <c r="A983" s="46" t="s">
        <v>1147</v>
      </c>
      <c r="B983" s="3" t="s">
        <v>1148</v>
      </c>
      <c r="C983" s="3" t="s">
        <v>46</v>
      </c>
      <c r="D983" s="3">
        <v>8</v>
      </c>
      <c r="E983" s="3" t="s">
        <v>1855</v>
      </c>
      <c r="F983" s="3">
        <v>25.3</v>
      </c>
      <c r="G983" s="20">
        <f t="shared" si="41"/>
        <v>15.686</v>
      </c>
      <c r="H983" s="20">
        <f t="shared" si="42"/>
        <v>125.488</v>
      </c>
      <c r="J983" s="43" t="s">
        <v>2227</v>
      </c>
    </row>
    <row r="984" spans="1:10" x14ac:dyDescent="0.25">
      <c r="A984" s="46" t="s">
        <v>1149</v>
      </c>
      <c r="B984" s="3" t="s">
        <v>1150</v>
      </c>
      <c r="C984" s="3" t="s">
        <v>46</v>
      </c>
      <c r="D984" s="3">
        <v>8</v>
      </c>
      <c r="E984" s="3" t="s">
        <v>1855</v>
      </c>
      <c r="F984" s="3">
        <v>24.8</v>
      </c>
      <c r="G984" s="20">
        <f t="shared" si="41"/>
        <v>15.375999999999999</v>
      </c>
      <c r="H984" s="20">
        <f t="shared" si="42"/>
        <v>123.008</v>
      </c>
      <c r="J984" s="43" t="s">
        <v>2228</v>
      </c>
    </row>
    <row r="985" spans="1:10" x14ac:dyDescent="0.25">
      <c r="A985" s="46" t="s">
        <v>1151</v>
      </c>
      <c r="B985" s="3" t="s">
        <v>1152</v>
      </c>
      <c r="C985" s="3" t="s">
        <v>46</v>
      </c>
      <c r="D985" s="3">
        <v>8</v>
      </c>
      <c r="E985" s="3" t="s">
        <v>1855</v>
      </c>
      <c r="F985" s="3">
        <v>38.1</v>
      </c>
      <c r="G985" s="20">
        <f t="shared" si="41"/>
        <v>23.622</v>
      </c>
      <c r="H985" s="20">
        <f t="shared" si="42"/>
        <v>188.976</v>
      </c>
      <c r="J985" s="43" t="s">
        <v>1152</v>
      </c>
    </row>
    <row r="986" spans="1:10" x14ac:dyDescent="0.25">
      <c r="A986" s="46" t="s">
        <v>1153</v>
      </c>
      <c r="B986" s="3" t="s">
        <v>1154</v>
      </c>
      <c r="C986" s="3" t="s">
        <v>47</v>
      </c>
      <c r="D986" s="3">
        <v>8</v>
      </c>
      <c r="E986" s="3" t="s">
        <v>1855</v>
      </c>
      <c r="F986" s="3">
        <v>10.199999999999999</v>
      </c>
      <c r="G986" s="20">
        <f t="shared" si="41"/>
        <v>6.3239999999999998</v>
      </c>
      <c r="H986" s="20">
        <f t="shared" si="42"/>
        <v>50.591999999999999</v>
      </c>
      <c r="J986" s="43" t="s">
        <v>2229</v>
      </c>
    </row>
    <row r="987" spans="1:10" x14ac:dyDescent="0.25">
      <c r="A987" s="46" t="s">
        <v>924</v>
      </c>
      <c r="B987" s="3" t="s">
        <v>925</v>
      </c>
      <c r="C987" s="3" t="s">
        <v>47</v>
      </c>
      <c r="D987" s="3">
        <v>4</v>
      </c>
      <c r="E987" s="3" t="s">
        <v>1855</v>
      </c>
      <c r="F987" s="3">
        <v>31.7</v>
      </c>
      <c r="G987" s="20">
        <f t="shared" si="41"/>
        <v>19.654</v>
      </c>
      <c r="H987" s="20">
        <f t="shared" si="42"/>
        <v>78.616</v>
      </c>
      <c r="J987" s="43" t="s">
        <v>2161</v>
      </c>
    </row>
    <row r="988" spans="1:10" x14ac:dyDescent="0.25">
      <c r="A988" s="46" t="s">
        <v>310</v>
      </c>
      <c r="B988" s="3" t="s">
        <v>311</v>
      </c>
      <c r="C988" s="3" t="s">
        <v>46</v>
      </c>
      <c r="D988" s="3">
        <v>4</v>
      </c>
      <c r="E988" s="3" t="s">
        <v>1855</v>
      </c>
      <c r="F988" s="3">
        <v>72.099999999999994</v>
      </c>
      <c r="G988" s="20">
        <f t="shared" si="41"/>
        <v>44.701999999999998</v>
      </c>
      <c r="H988" s="20">
        <f t="shared" si="42"/>
        <v>178.80799999999999</v>
      </c>
      <c r="J988" s="43" t="s">
        <v>1992</v>
      </c>
    </row>
    <row r="989" spans="1:10" x14ac:dyDescent="0.25">
      <c r="A989" s="46" t="s">
        <v>1155</v>
      </c>
      <c r="B989" s="3" t="s">
        <v>1156</v>
      </c>
      <c r="C989" s="3" t="s">
        <v>46</v>
      </c>
      <c r="D989" s="3">
        <v>4</v>
      </c>
      <c r="E989" s="3" t="s">
        <v>1855</v>
      </c>
      <c r="F989" s="3">
        <v>36.9</v>
      </c>
      <c r="G989" s="20">
        <f t="shared" si="41"/>
        <v>22.878</v>
      </c>
      <c r="H989" s="20">
        <f t="shared" si="42"/>
        <v>91.512</v>
      </c>
      <c r="J989" s="43" t="s">
        <v>2230</v>
      </c>
    </row>
    <row r="990" spans="1:10" x14ac:dyDescent="0.25">
      <c r="A990" s="46" t="s">
        <v>1157</v>
      </c>
      <c r="B990" s="3" t="s">
        <v>1158</v>
      </c>
      <c r="C990" s="3" t="s">
        <v>46</v>
      </c>
      <c r="D990" s="3">
        <v>4</v>
      </c>
      <c r="E990" s="3" t="s">
        <v>1855</v>
      </c>
      <c r="F990" s="3">
        <v>21.6</v>
      </c>
      <c r="G990" s="20">
        <f t="shared" si="41"/>
        <v>13.392000000000001</v>
      </c>
      <c r="H990" s="20">
        <f t="shared" si="42"/>
        <v>53.568000000000005</v>
      </c>
      <c r="J990" s="43" t="s">
        <v>2231</v>
      </c>
    </row>
    <row r="991" spans="1:10" x14ac:dyDescent="0.25">
      <c r="A991" s="46" t="s">
        <v>1065</v>
      </c>
      <c r="B991" s="3" t="s">
        <v>1066</v>
      </c>
      <c r="C991" s="3" t="s">
        <v>46</v>
      </c>
      <c r="D991" s="3">
        <v>8</v>
      </c>
      <c r="E991" s="3" t="s">
        <v>1855</v>
      </c>
      <c r="F991" s="3">
        <v>41.1</v>
      </c>
      <c r="G991" s="20">
        <f t="shared" si="41"/>
        <v>25.481999999999999</v>
      </c>
      <c r="H991" s="20">
        <f t="shared" si="42"/>
        <v>203.85599999999999</v>
      </c>
      <c r="J991" s="43" t="s">
        <v>1066</v>
      </c>
    </row>
    <row r="992" spans="1:10" x14ac:dyDescent="0.25">
      <c r="A992" s="46" t="s">
        <v>1159</v>
      </c>
      <c r="B992" s="3" t="s">
        <v>1160</v>
      </c>
      <c r="C992" s="3" t="s">
        <v>46</v>
      </c>
      <c r="D992" s="3">
        <v>8</v>
      </c>
      <c r="E992" s="3" t="s">
        <v>1855</v>
      </c>
      <c r="F992" s="3">
        <v>39.6</v>
      </c>
      <c r="G992" s="20">
        <f t="shared" si="41"/>
        <v>24.552</v>
      </c>
      <c r="H992" s="20">
        <f t="shared" si="42"/>
        <v>196.416</v>
      </c>
      <c r="J992" s="43" t="s">
        <v>1160</v>
      </c>
    </row>
    <row r="993" spans="1:10" x14ac:dyDescent="0.25">
      <c r="A993" s="46" t="s">
        <v>245</v>
      </c>
      <c r="B993" s="3" t="s">
        <v>246</v>
      </c>
      <c r="C993" s="3" t="s">
        <v>46</v>
      </c>
      <c r="D993" s="3">
        <v>8</v>
      </c>
      <c r="E993" s="3" t="s">
        <v>1855</v>
      </c>
      <c r="F993" s="3">
        <v>28.9</v>
      </c>
      <c r="G993" s="20">
        <f t="shared" si="41"/>
        <v>17.917999999999999</v>
      </c>
      <c r="H993" s="20">
        <f t="shared" si="42"/>
        <v>143.34399999999999</v>
      </c>
      <c r="J993" s="43" t="s">
        <v>246</v>
      </c>
    </row>
    <row r="994" spans="1:10" x14ac:dyDescent="0.25">
      <c r="A994" s="46" t="s">
        <v>1161</v>
      </c>
      <c r="B994" s="3" t="s">
        <v>1162</v>
      </c>
      <c r="C994" s="3" t="s">
        <v>46</v>
      </c>
      <c r="D994" s="3">
        <v>8</v>
      </c>
      <c r="E994" s="3" t="s">
        <v>1855</v>
      </c>
      <c r="F994" s="3">
        <v>25.3</v>
      </c>
      <c r="G994" s="20">
        <f t="shared" si="41"/>
        <v>15.686</v>
      </c>
      <c r="H994" s="20">
        <f t="shared" si="42"/>
        <v>125.488</v>
      </c>
      <c r="J994" s="43" t="s">
        <v>1162</v>
      </c>
    </row>
    <row r="995" spans="1:10" x14ac:dyDescent="0.25">
      <c r="A995" s="46" t="s">
        <v>1163</v>
      </c>
      <c r="B995" s="3" t="s">
        <v>1164</v>
      </c>
      <c r="C995" s="3" t="s">
        <v>46</v>
      </c>
      <c r="D995" s="3">
        <v>8</v>
      </c>
      <c r="E995" s="3" t="s">
        <v>1855</v>
      </c>
      <c r="F995" s="3">
        <v>45.5</v>
      </c>
      <c r="G995" s="20">
        <f t="shared" si="41"/>
        <v>28.21</v>
      </c>
      <c r="H995" s="20">
        <f t="shared" si="42"/>
        <v>225.68</v>
      </c>
      <c r="J995" s="43" t="s">
        <v>2232</v>
      </c>
    </row>
    <row r="996" spans="1:10" x14ac:dyDescent="0.25">
      <c r="A996" s="46" t="s">
        <v>12</v>
      </c>
      <c r="B996" s="3" t="s">
        <v>13</v>
      </c>
      <c r="C996" s="3" t="s">
        <v>47</v>
      </c>
      <c r="D996" s="3">
        <v>12</v>
      </c>
      <c r="E996" s="3" t="s">
        <v>1855</v>
      </c>
      <c r="F996" s="3">
        <v>45.7</v>
      </c>
      <c r="G996" s="20">
        <f t="shared" si="41"/>
        <v>28.334000000000003</v>
      </c>
      <c r="H996" s="20">
        <f t="shared" si="42"/>
        <v>340.00800000000004</v>
      </c>
      <c r="J996" s="43" t="s">
        <v>1867</v>
      </c>
    </row>
    <row r="997" spans="1:10" x14ac:dyDescent="0.25">
      <c r="A997" s="46" t="s">
        <v>1165</v>
      </c>
      <c r="B997" s="3" t="s">
        <v>1166</v>
      </c>
      <c r="C997" s="3" t="s">
        <v>46</v>
      </c>
      <c r="D997" s="3">
        <v>4</v>
      </c>
      <c r="E997" s="3" t="s">
        <v>1855</v>
      </c>
      <c r="F997" s="3">
        <v>40</v>
      </c>
      <c r="G997" s="20">
        <f t="shared" si="41"/>
        <v>24.8</v>
      </c>
      <c r="H997" s="20">
        <f t="shared" si="42"/>
        <v>99.2</v>
      </c>
      <c r="J997" s="43" t="s">
        <v>1166</v>
      </c>
    </row>
    <row r="998" spans="1:10" x14ac:dyDescent="0.25">
      <c r="A998" s="46" t="s">
        <v>1167</v>
      </c>
      <c r="B998" s="3" t="s">
        <v>1168</v>
      </c>
      <c r="C998" s="3" t="s">
        <v>46</v>
      </c>
      <c r="D998" s="3">
        <v>4</v>
      </c>
      <c r="E998" s="3" t="s">
        <v>1855</v>
      </c>
      <c r="F998" s="3">
        <v>25.2</v>
      </c>
      <c r="G998" s="20">
        <f t="shared" si="41"/>
        <v>15.623999999999999</v>
      </c>
      <c r="H998" s="20">
        <f t="shared" si="42"/>
        <v>62.495999999999995</v>
      </c>
      <c r="J998" s="43" t="s">
        <v>1168</v>
      </c>
    </row>
    <row r="999" spans="1:10" x14ac:dyDescent="0.25">
      <c r="A999" s="46" t="s">
        <v>1169</v>
      </c>
      <c r="B999" s="3" t="s">
        <v>1170</v>
      </c>
      <c r="C999" s="3" t="s">
        <v>46</v>
      </c>
      <c r="D999" s="3">
        <v>4</v>
      </c>
      <c r="E999" s="3" t="s">
        <v>1855</v>
      </c>
      <c r="F999" s="3">
        <v>218.5</v>
      </c>
      <c r="G999" s="20">
        <f t="shared" si="41"/>
        <v>135.47</v>
      </c>
      <c r="H999" s="20">
        <f t="shared" si="42"/>
        <v>541.88</v>
      </c>
      <c r="J999" s="43" t="s">
        <v>2233</v>
      </c>
    </row>
    <row r="1000" spans="1:10" x14ac:dyDescent="0.25">
      <c r="A1000" s="46" t="s">
        <v>1038</v>
      </c>
      <c r="B1000" s="3" t="s">
        <v>1039</v>
      </c>
      <c r="C1000" s="3" t="s">
        <v>46</v>
      </c>
      <c r="D1000" s="3">
        <v>4</v>
      </c>
      <c r="E1000" s="3" t="s">
        <v>1855</v>
      </c>
      <c r="F1000" s="3">
        <v>21.7</v>
      </c>
      <c r="G1000" s="20">
        <f t="shared" si="41"/>
        <v>13.453999999999999</v>
      </c>
      <c r="H1000" s="20">
        <f t="shared" si="42"/>
        <v>53.815999999999995</v>
      </c>
      <c r="J1000" s="43" t="s">
        <v>1039</v>
      </c>
    </row>
    <row r="1001" spans="1:10" x14ac:dyDescent="0.25">
      <c r="A1001" s="46" t="s">
        <v>1171</v>
      </c>
      <c r="B1001" s="3" t="s">
        <v>1172</v>
      </c>
      <c r="C1001" s="3" t="s">
        <v>47</v>
      </c>
      <c r="D1001" s="3">
        <v>4</v>
      </c>
      <c r="E1001" s="3" t="s">
        <v>1855</v>
      </c>
      <c r="F1001" s="3">
        <v>21.7</v>
      </c>
      <c r="G1001" s="20">
        <f t="shared" si="41"/>
        <v>13.453999999999999</v>
      </c>
      <c r="H1001" s="20">
        <f t="shared" si="42"/>
        <v>53.815999999999995</v>
      </c>
      <c r="J1001" s="43" t="s">
        <v>1172</v>
      </c>
    </row>
    <row r="1002" spans="1:10" x14ac:dyDescent="0.25">
      <c r="A1002" s="46" t="s">
        <v>1085</v>
      </c>
      <c r="B1002" s="3" t="s">
        <v>1086</v>
      </c>
      <c r="C1002" s="3" t="s">
        <v>46</v>
      </c>
      <c r="D1002" s="3">
        <v>4</v>
      </c>
      <c r="E1002" s="3" t="s">
        <v>1855</v>
      </c>
      <c r="F1002" s="3">
        <v>21.7</v>
      </c>
      <c r="G1002" s="20">
        <f t="shared" si="41"/>
        <v>13.453999999999999</v>
      </c>
      <c r="H1002" s="20">
        <f t="shared" si="42"/>
        <v>53.815999999999995</v>
      </c>
      <c r="J1002" s="43" t="s">
        <v>1086</v>
      </c>
    </row>
    <row r="1003" spans="1:10" x14ac:dyDescent="0.25">
      <c r="A1003" s="46" t="s">
        <v>1791</v>
      </c>
      <c r="B1003" s="3" t="s">
        <v>1792</v>
      </c>
      <c r="C1003" s="3" t="s">
        <v>46</v>
      </c>
      <c r="D1003" s="3">
        <v>4</v>
      </c>
      <c r="E1003" s="3" t="s">
        <v>1856</v>
      </c>
      <c r="F1003" s="3">
        <v>296.5</v>
      </c>
      <c r="G1003" s="20">
        <f t="shared" si="41"/>
        <v>183.82999999999998</v>
      </c>
      <c r="H1003" s="20">
        <f t="shared" si="42"/>
        <v>735.31999999999994</v>
      </c>
      <c r="J1003" s="43" t="s">
        <v>1880</v>
      </c>
    </row>
    <row r="1004" spans="1:10" x14ac:dyDescent="0.25">
      <c r="A1004" s="46" t="s">
        <v>1809</v>
      </c>
      <c r="B1004" s="3" t="s">
        <v>1810</v>
      </c>
      <c r="C1004" s="3" t="s">
        <v>46</v>
      </c>
      <c r="D1004" s="3">
        <v>4</v>
      </c>
      <c r="E1004" s="3" t="s">
        <v>1855</v>
      </c>
      <c r="F1004" s="3">
        <v>99.5</v>
      </c>
      <c r="G1004" s="20">
        <f t="shared" si="41"/>
        <v>61.69</v>
      </c>
      <c r="H1004" s="20">
        <f t="shared" si="42"/>
        <v>246.76</v>
      </c>
      <c r="J1004" s="43" t="s">
        <v>2234</v>
      </c>
    </row>
    <row r="1005" spans="1:10" s="5" customFormat="1" x14ac:dyDescent="0.25">
      <c r="A1005" s="51"/>
      <c r="B1005" s="6" t="s">
        <v>1173</v>
      </c>
      <c r="C1005" s="4"/>
      <c r="D1005" s="29"/>
      <c r="E1005" s="4"/>
      <c r="F1005" s="4"/>
      <c r="G1005" s="4"/>
      <c r="H1005" s="4"/>
      <c r="J1005" s="43"/>
    </row>
    <row r="1006" spans="1:10" x14ac:dyDescent="0.25">
      <c r="A1006" s="46" t="s">
        <v>1009</v>
      </c>
      <c r="B1006" s="3" t="s">
        <v>1010</v>
      </c>
      <c r="C1006" s="3" t="s">
        <v>47</v>
      </c>
      <c r="D1006" s="3">
        <v>1</v>
      </c>
      <c r="E1006" s="3" t="s">
        <v>1855</v>
      </c>
      <c r="F1006" s="3">
        <v>63.1</v>
      </c>
      <c r="G1006" s="20">
        <f t="shared" si="41"/>
        <v>39.122</v>
      </c>
      <c r="H1006" s="20">
        <f t="shared" ref="H1006:H1044" si="43">G1006*D1006</f>
        <v>39.122</v>
      </c>
      <c r="J1006" s="43" t="s">
        <v>2187</v>
      </c>
    </row>
    <row r="1007" spans="1:10" x14ac:dyDescent="0.25">
      <c r="A1007" s="46" t="s">
        <v>565</v>
      </c>
      <c r="B1007" s="3" t="s">
        <v>566</v>
      </c>
      <c r="C1007" s="3" t="s">
        <v>47</v>
      </c>
      <c r="D1007" s="3">
        <v>1</v>
      </c>
      <c r="E1007" s="3" t="s">
        <v>1855</v>
      </c>
      <c r="F1007" s="3">
        <v>63.3</v>
      </c>
      <c r="G1007" s="20">
        <f t="shared" si="41"/>
        <v>39.245999999999995</v>
      </c>
      <c r="H1007" s="20">
        <f t="shared" si="43"/>
        <v>39.245999999999995</v>
      </c>
      <c r="J1007" s="43" t="s">
        <v>2066</v>
      </c>
    </row>
    <row r="1008" spans="1:10" x14ac:dyDescent="0.25">
      <c r="A1008" s="46" t="s">
        <v>1174</v>
      </c>
      <c r="B1008" s="3" t="s">
        <v>1175</v>
      </c>
      <c r="C1008" s="3" t="s">
        <v>47</v>
      </c>
      <c r="D1008" s="3">
        <v>2</v>
      </c>
      <c r="E1008" s="3" t="s">
        <v>1855</v>
      </c>
      <c r="F1008" s="3">
        <v>18.8</v>
      </c>
      <c r="G1008" s="20">
        <f t="shared" si="41"/>
        <v>11.656000000000001</v>
      </c>
      <c r="H1008" s="20">
        <f t="shared" si="43"/>
        <v>23.312000000000001</v>
      </c>
      <c r="J1008" s="43" t="s">
        <v>2235</v>
      </c>
    </row>
    <row r="1009" spans="1:10" x14ac:dyDescent="0.25">
      <c r="A1009" s="46" t="s">
        <v>1176</v>
      </c>
      <c r="B1009" s="3" t="s">
        <v>1177</v>
      </c>
      <c r="C1009" s="3" t="s">
        <v>46</v>
      </c>
      <c r="D1009" s="3">
        <v>2</v>
      </c>
      <c r="E1009" s="3" t="s">
        <v>1855</v>
      </c>
      <c r="F1009" s="3">
        <v>71.8</v>
      </c>
      <c r="G1009" s="20">
        <f t="shared" si="41"/>
        <v>44.515999999999998</v>
      </c>
      <c r="H1009" s="20">
        <f t="shared" si="43"/>
        <v>89.031999999999996</v>
      </c>
      <c r="J1009" s="43" t="s">
        <v>2236</v>
      </c>
    </row>
    <row r="1010" spans="1:10" x14ac:dyDescent="0.25">
      <c r="A1010" s="46" t="s">
        <v>1053</v>
      </c>
      <c r="B1010" s="3" t="s">
        <v>1054</v>
      </c>
      <c r="C1010" s="3" t="s">
        <v>46</v>
      </c>
      <c r="D1010" s="3">
        <v>1</v>
      </c>
      <c r="E1010" s="3" t="s">
        <v>1855</v>
      </c>
      <c r="F1010" s="3">
        <v>68.5</v>
      </c>
      <c r="G1010" s="20">
        <f t="shared" si="41"/>
        <v>42.47</v>
      </c>
      <c r="H1010" s="20">
        <f t="shared" si="43"/>
        <v>42.47</v>
      </c>
      <c r="J1010" s="43" t="s">
        <v>2195</v>
      </c>
    </row>
    <row r="1011" spans="1:10" x14ac:dyDescent="0.25">
      <c r="A1011" s="46" t="s">
        <v>1178</v>
      </c>
      <c r="B1011" s="3" t="s">
        <v>1179</v>
      </c>
      <c r="C1011" s="3" t="s">
        <v>46</v>
      </c>
      <c r="D1011" s="3">
        <v>1</v>
      </c>
      <c r="E1011" s="3" t="s">
        <v>1855</v>
      </c>
      <c r="F1011" s="3">
        <v>71.900000000000006</v>
      </c>
      <c r="G1011" s="20">
        <f t="shared" si="41"/>
        <v>44.578000000000003</v>
      </c>
      <c r="H1011" s="20">
        <f t="shared" si="43"/>
        <v>44.578000000000003</v>
      </c>
      <c r="J1011" s="43" t="s">
        <v>2237</v>
      </c>
    </row>
    <row r="1012" spans="1:10" x14ac:dyDescent="0.25">
      <c r="A1012" s="46" t="s">
        <v>1180</v>
      </c>
      <c r="B1012" s="3" t="s">
        <v>1181</v>
      </c>
      <c r="C1012" s="3" t="s">
        <v>47</v>
      </c>
      <c r="D1012" s="3">
        <v>2</v>
      </c>
      <c r="E1012" s="3" t="s">
        <v>1855</v>
      </c>
      <c r="F1012" s="3">
        <v>42.2</v>
      </c>
      <c r="G1012" s="20">
        <f t="shared" si="41"/>
        <v>26.164000000000001</v>
      </c>
      <c r="H1012" s="20">
        <f t="shared" si="43"/>
        <v>52.328000000000003</v>
      </c>
      <c r="J1012" s="43" t="s">
        <v>1181</v>
      </c>
    </row>
    <row r="1013" spans="1:10" x14ac:dyDescent="0.25">
      <c r="A1013" s="46" t="s">
        <v>860</v>
      </c>
      <c r="B1013" s="3" t="s">
        <v>861</v>
      </c>
      <c r="C1013" s="3" t="s">
        <v>46</v>
      </c>
      <c r="D1013" s="3">
        <v>3</v>
      </c>
      <c r="E1013" s="3" t="s">
        <v>1855</v>
      </c>
      <c r="F1013" s="3">
        <v>26.9</v>
      </c>
      <c r="G1013" s="20">
        <f t="shared" si="41"/>
        <v>16.677999999999997</v>
      </c>
      <c r="H1013" s="20">
        <f t="shared" si="43"/>
        <v>50.033999999999992</v>
      </c>
      <c r="J1013" s="43" t="s">
        <v>2142</v>
      </c>
    </row>
    <row r="1014" spans="1:10" x14ac:dyDescent="0.25">
      <c r="A1014" s="46" t="s">
        <v>1182</v>
      </c>
      <c r="B1014" s="3" t="s">
        <v>1183</v>
      </c>
      <c r="C1014" s="3" t="s">
        <v>46</v>
      </c>
      <c r="D1014" s="3">
        <v>2</v>
      </c>
      <c r="E1014" s="3" t="s">
        <v>1855</v>
      </c>
      <c r="F1014" s="3">
        <v>61.9</v>
      </c>
      <c r="G1014" s="20">
        <f t="shared" si="41"/>
        <v>38.378</v>
      </c>
      <c r="H1014" s="20">
        <f t="shared" si="43"/>
        <v>76.756</v>
      </c>
      <c r="J1014" s="43" t="s">
        <v>2238</v>
      </c>
    </row>
    <row r="1015" spans="1:10" x14ac:dyDescent="0.25">
      <c r="A1015" s="46" t="s">
        <v>787</v>
      </c>
      <c r="B1015" s="3" t="s">
        <v>788</v>
      </c>
      <c r="C1015" s="3" t="s">
        <v>46</v>
      </c>
      <c r="D1015" s="3">
        <v>2</v>
      </c>
      <c r="E1015" s="3" t="s">
        <v>1855</v>
      </c>
      <c r="F1015" s="3">
        <v>26.7</v>
      </c>
      <c r="G1015" s="20">
        <f t="shared" si="41"/>
        <v>16.554000000000002</v>
      </c>
      <c r="H1015" s="20">
        <f t="shared" si="43"/>
        <v>33.108000000000004</v>
      </c>
      <c r="J1015" s="43" t="s">
        <v>2122</v>
      </c>
    </row>
    <row r="1016" spans="1:10" x14ac:dyDescent="0.25">
      <c r="A1016" s="46" t="s">
        <v>1184</v>
      </c>
      <c r="B1016" s="3" t="s">
        <v>1185</v>
      </c>
      <c r="C1016" s="3" t="s">
        <v>46</v>
      </c>
      <c r="D1016" s="3">
        <v>2</v>
      </c>
      <c r="E1016" s="3" t="s">
        <v>1855</v>
      </c>
      <c r="F1016" s="3">
        <v>55.3</v>
      </c>
      <c r="G1016" s="20">
        <f t="shared" si="41"/>
        <v>34.286000000000001</v>
      </c>
      <c r="H1016" s="20">
        <f t="shared" si="43"/>
        <v>68.572000000000003</v>
      </c>
      <c r="J1016" s="43" t="s">
        <v>2239</v>
      </c>
    </row>
    <row r="1017" spans="1:10" x14ac:dyDescent="0.25">
      <c r="A1017" s="46" t="s">
        <v>1186</v>
      </c>
      <c r="B1017" s="3" t="s">
        <v>1187</v>
      </c>
      <c r="C1017" s="3" t="s">
        <v>46</v>
      </c>
      <c r="D1017" s="3">
        <v>2</v>
      </c>
      <c r="E1017" s="3" t="s">
        <v>1855</v>
      </c>
      <c r="F1017" s="3">
        <v>63.7</v>
      </c>
      <c r="G1017" s="20">
        <f t="shared" si="41"/>
        <v>39.494</v>
      </c>
      <c r="H1017" s="20">
        <f t="shared" si="43"/>
        <v>78.988</v>
      </c>
      <c r="J1017" s="43" t="s">
        <v>1187</v>
      </c>
    </row>
    <row r="1018" spans="1:10" x14ac:dyDescent="0.25">
      <c r="A1018" s="46" t="s">
        <v>1188</v>
      </c>
      <c r="B1018" s="3" t="s">
        <v>1189</v>
      </c>
      <c r="C1018" s="3" t="s">
        <v>46</v>
      </c>
      <c r="D1018" s="3">
        <v>2</v>
      </c>
      <c r="E1018" s="3" t="s">
        <v>1855</v>
      </c>
      <c r="F1018" s="3">
        <v>63.7</v>
      </c>
      <c r="G1018" s="20">
        <f t="shared" si="41"/>
        <v>39.494</v>
      </c>
      <c r="H1018" s="20">
        <f t="shared" si="43"/>
        <v>78.988</v>
      </c>
      <c r="J1018" s="43" t="s">
        <v>1189</v>
      </c>
    </row>
    <row r="1019" spans="1:10" x14ac:dyDescent="0.25">
      <c r="A1019" s="46" t="s">
        <v>1190</v>
      </c>
      <c r="B1019" s="3" t="s">
        <v>1191</v>
      </c>
      <c r="C1019" s="3" t="s">
        <v>46</v>
      </c>
      <c r="D1019" s="3">
        <v>2</v>
      </c>
      <c r="E1019" s="3" t="s">
        <v>1855</v>
      </c>
      <c r="F1019" s="3">
        <v>63.7</v>
      </c>
      <c r="G1019" s="20">
        <f t="shared" si="41"/>
        <v>39.494</v>
      </c>
      <c r="H1019" s="20">
        <f t="shared" si="43"/>
        <v>78.988</v>
      </c>
      <c r="J1019" s="43" t="s">
        <v>1191</v>
      </c>
    </row>
    <row r="1020" spans="1:10" x14ac:dyDescent="0.25">
      <c r="A1020" s="46" t="s">
        <v>1192</v>
      </c>
      <c r="B1020" s="3" t="s">
        <v>1193</v>
      </c>
      <c r="C1020" s="3" t="s">
        <v>46</v>
      </c>
      <c r="D1020" s="3">
        <v>2</v>
      </c>
      <c r="E1020" s="3" t="s">
        <v>1855</v>
      </c>
      <c r="F1020" s="3">
        <v>63.7</v>
      </c>
      <c r="G1020" s="20">
        <f t="shared" si="41"/>
        <v>39.494</v>
      </c>
      <c r="H1020" s="20">
        <f t="shared" si="43"/>
        <v>78.988</v>
      </c>
      <c r="J1020" s="43" t="s">
        <v>1193</v>
      </c>
    </row>
    <row r="1021" spans="1:10" x14ac:dyDescent="0.25">
      <c r="A1021" s="46" t="s">
        <v>1194</v>
      </c>
      <c r="B1021" s="3" t="s">
        <v>1195</v>
      </c>
      <c r="C1021" s="3" t="s">
        <v>47</v>
      </c>
      <c r="D1021" s="3">
        <v>2</v>
      </c>
      <c r="E1021" s="3" t="s">
        <v>1855</v>
      </c>
      <c r="F1021" s="3">
        <v>67.099999999999994</v>
      </c>
      <c r="G1021" s="20">
        <f t="shared" si="41"/>
        <v>41.601999999999997</v>
      </c>
      <c r="H1021" s="20">
        <f t="shared" si="43"/>
        <v>83.203999999999994</v>
      </c>
      <c r="J1021" s="43" t="s">
        <v>2240</v>
      </c>
    </row>
    <row r="1022" spans="1:10" x14ac:dyDescent="0.25">
      <c r="A1022" s="46" t="s">
        <v>1196</v>
      </c>
      <c r="B1022" s="3" t="s">
        <v>1197</v>
      </c>
      <c r="C1022" s="3" t="s">
        <v>46</v>
      </c>
      <c r="D1022" s="3">
        <v>2</v>
      </c>
      <c r="E1022" s="3" t="s">
        <v>1855</v>
      </c>
      <c r="F1022" s="3">
        <v>28.9</v>
      </c>
      <c r="G1022" s="20">
        <f t="shared" si="41"/>
        <v>17.917999999999999</v>
      </c>
      <c r="H1022" s="20">
        <f t="shared" si="43"/>
        <v>35.835999999999999</v>
      </c>
      <c r="J1022" s="43" t="s">
        <v>1197</v>
      </c>
    </row>
    <row r="1023" spans="1:10" x14ac:dyDescent="0.25">
      <c r="A1023" s="46" t="s">
        <v>1198</v>
      </c>
      <c r="B1023" s="3" t="s">
        <v>1199</v>
      </c>
      <c r="C1023" s="3" t="s">
        <v>46</v>
      </c>
      <c r="D1023" s="3">
        <v>2</v>
      </c>
      <c r="E1023" s="3" t="s">
        <v>1856</v>
      </c>
      <c r="F1023" s="3">
        <v>100.5</v>
      </c>
      <c r="G1023" s="20">
        <f t="shared" si="41"/>
        <v>62.31</v>
      </c>
      <c r="H1023" s="20">
        <f t="shared" si="43"/>
        <v>124.62</v>
      </c>
      <c r="J1023" s="43" t="s">
        <v>2241</v>
      </c>
    </row>
    <row r="1024" spans="1:10" x14ac:dyDescent="0.25">
      <c r="A1024" s="46" t="s">
        <v>1200</v>
      </c>
      <c r="B1024" s="3" t="s">
        <v>1201</v>
      </c>
      <c r="C1024" s="3" t="s">
        <v>46</v>
      </c>
      <c r="D1024" s="3">
        <v>2</v>
      </c>
      <c r="E1024" s="3" t="s">
        <v>1855</v>
      </c>
      <c r="F1024" s="3">
        <v>89.2</v>
      </c>
      <c r="G1024" s="20">
        <f t="shared" si="41"/>
        <v>55.304000000000002</v>
      </c>
      <c r="H1024" s="20">
        <f t="shared" si="43"/>
        <v>110.608</v>
      </c>
      <c r="J1024" s="43" t="s">
        <v>2242</v>
      </c>
    </row>
    <row r="1025" spans="1:10" x14ac:dyDescent="0.25">
      <c r="A1025" s="46" t="s">
        <v>1202</v>
      </c>
      <c r="B1025" s="3" t="s">
        <v>1203</v>
      </c>
      <c r="C1025" s="3" t="s">
        <v>47</v>
      </c>
      <c r="D1025" s="3">
        <v>2</v>
      </c>
      <c r="E1025" s="3" t="s">
        <v>1855</v>
      </c>
      <c r="F1025" s="3">
        <v>314.5</v>
      </c>
      <c r="G1025" s="20">
        <f t="shared" si="41"/>
        <v>194.99</v>
      </c>
      <c r="H1025" s="20">
        <f t="shared" si="43"/>
        <v>389.98</v>
      </c>
      <c r="J1025" s="43" t="s">
        <v>2243</v>
      </c>
    </row>
    <row r="1026" spans="1:10" x14ac:dyDescent="0.25">
      <c r="A1026" s="46" t="s">
        <v>1204</v>
      </c>
      <c r="B1026" s="3" t="s">
        <v>1205</v>
      </c>
      <c r="C1026" s="3" t="s">
        <v>46</v>
      </c>
      <c r="D1026" s="3">
        <v>2</v>
      </c>
      <c r="E1026" s="3" t="s">
        <v>1855</v>
      </c>
      <c r="F1026" s="3">
        <v>101.5</v>
      </c>
      <c r="G1026" s="20">
        <f t="shared" si="41"/>
        <v>62.93</v>
      </c>
      <c r="H1026" s="20">
        <f t="shared" si="43"/>
        <v>125.86</v>
      </c>
      <c r="J1026" s="43" t="s">
        <v>2244</v>
      </c>
    </row>
    <row r="1027" spans="1:10" x14ac:dyDescent="0.25">
      <c r="A1027" s="46" t="s">
        <v>1206</v>
      </c>
      <c r="B1027" s="3" t="s">
        <v>1207</v>
      </c>
      <c r="C1027" s="3" t="s">
        <v>46</v>
      </c>
      <c r="D1027" s="3">
        <v>2</v>
      </c>
      <c r="E1027" s="3" t="s">
        <v>1855</v>
      </c>
      <c r="F1027" s="3">
        <v>102.5</v>
      </c>
      <c r="G1027" s="20">
        <f t="shared" si="41"/>
        <v>63.55</v>
      </c>
      <c r="H1027" s="20">
        <f t="shared" si="43"/>
        <v>127.1</v>
      </c>
      <c r="J1027" s="43" t="s">
        <v>2245</v>
      </c>
    </row>
    <row r="1028" spans="1:10" x14ac:dyDescent="0.25">
      <c r="A1028" s="46" t="s">
        <v>1208</v>
      </c>
      <c r="B1028" s="3" t="s">
        <v>1209</v>
      </c>
      <c r="C1028" s="3" t="s">
        <v>46</v>
      </c>
      <c r="D1028" s="3">
        <v>2</v>
      </c>
      <c r="E1028" s="3" t="s">
        <v>1855</v>
      </c>
      <c r="F1028" s="3">
        <v>23.5</v>
      </c>
      <c r="G1028" s="20">
        <f t="shared" si="41"/>
        <v>14.57</v>
      </c>
      <c r="H1028" s="20">
        <f t="shared" si="43"/>
        <v>29.14</v>
      </c>
      <c r="J1028" s="43" t="s">
        <v>1209</v>
      </c>
    </row>
    <row r="1029" spans="1:10" x14ac:dyDescent="0.25">
      <c r="A1029" s="46" t="s">
        <v>1210</v>
      </c>
      <c r="B1029" s="3" t="s">
        <v>1211</v>
      </c>
      <c r="C1029" s="3" t="s">
        <v>46</v>
      </c>
      <c r="D1029" s="3">
        <v>1</v>
      </c>
      <c r="E1029" s="3" t="s">
        <v>1855</v>
      </c>
      <c r="F1029" s="3">
        <v>80</v>
      </c>
      <c r="G1029" s="20">
        <f t="shared" si="41"/>
        <v>49.6</v>
      </c>
      <c r="H1029" s="20">
        <f t="shared" si="43"/>
        <v>49.6</v>
      </c>
      <c r="J1029" s="43" t="s">
        <v>2246</v>
      </c>
    </row>
    <row r="1030" spans="1:10" x14ac:dyDescent="0.25">
      <c r="A1030" s="46" t="s">
        <v>904</v>
      </c>
      <c r="B1030" s="3" t="s">
        <v>905</v>
      </c>
      <c r="C1030" s="3" t="s">
        <v>46</v>
      </c>
      <c r="D1030" s="3">
        <v>2</v>
      </c>
      <c r="E1030" s="3" t="s">
        <v>1855</v>
      </c>
      <c r="F1030" s="3">
        <v>927</v>
      </c>
      <c r="G1030" s="20">
        <f t="shared" si="41"/>
        <v>574.74</v>
      </c>
      <c r="H1030" s="20">
        <f t="shared" si="43"/>
        <v>1149.48</v>
      </c>
      <c r="J1030" s="43" t="s">
        <v>905</v>
      </c>
    </row>
    <row r="1031" spans="1:10" x14ac:dyDescent="0.25">
      <c r="A1031" s="46" t="s">
        <v>1212</v>
      </c>
      <c r="B1031" s="3" t="s">
        <v>1213</v>
      </c>
      <c r="C1031" s="3" t="s">
        <v>46</v>
      </c>
      <c r="D1031" s="3">
        <v>1</v>
      </c>
      <c r="E1031" s="3" t="s">
        <v>1855</v>
      </c>
      <c r="F1031" s="3">
        <v>67.099999999999994</v>
      </c>
      <c r="G1031" s="20">
        <f t="shared" si="41"/>
        <v>41.601999999999997</v>
      </c>
      <c r="H1031" s="20">
        <f t="shared" si="43"/>
        <v>41.601999999999997</v>
      </c>
      <c r="J1031" s="43" t="s">
        <v>2247</v>
      </c>
    </row>
    <row r="1032" spans="1:10" x14ac:dyDescent="0.25">
      <c r="A1032" s="46" t="s">
        <v>1186</v>
      </c>
      <c r="B1032" s="3" t="s">
        <v>1187</v>
      </c>
      <c r="C1032" s="3" t="s">
        <v>46</v>
      </c>
      <c r="D1032" s="3">
        <v>2</v>
      </c>
      <c r="E1032" s="3" t="s">
        <v>1855</v>
      </c>
      <c r="F1032" s="3">
        <v>63.7</v>
      </c>
      <c r="G1032" s="20">
        <f t="shared" si="41"/>
        <v>39.494</v>
      </c>
      <c r="H1032" s="20">
        <f t="shared" si="43"/>
        <v>78.988</v>
      </c>
      <c r="J1032" s="43" t="s">
        <v>1187</v>
      </c>
    </row>
    <row r="1033" spans="1:10" x14ac:dyDescent="0.25">
      <c r="A1033" s="46" t="s">
        <v>781</v>
      </c>
      <c r="B1033" s="3" t="s">
        <v>782</v>
      </c>
      <c r="C1033" s="3" t="s">
        <v>47</v>
      </c>
      <c r="D1033" s="3">
        <v>2</v>
      </c>
      <c r="E1033" s="3" t="s">
        <v>1855</v>
      </c>
      <c r="F1033" s="3">
        <v>55.3</v>
      </c>
      <c r="G1033" s="20">
        <f t="shared" si="41"/>
        <v>34.286000000000001</v>
      </c>
      <c r="H1033" s="20">
        <f t="shared" si="43"/>
        <v>68.572000000000003</v>
      </c>
      <c r="J1033" s="43" t="s">
        <v>2119</v>
      </c>
    </row>
    <row r="1034" spans="1:10" x14ac:dyDescent="0.25">
      <c r="A1034" s="46" t="s">
        <v>1214</v>
      </c>
      <c r="B1034" s="3" t="s">
        <v>1215</v>
      </c>
      <c r="C1034" s="3" t="s">
        <v>46</v>
      </c>
      <c r="D1034" s="3">
        <v>2</v>
      </c>
      <c r="E1034" s="3" t="s">
        <v>1855</v>
      </c>
      <c r="F1034" s="3">
        <v>18.8</v>
      </c>
      <c r="G1034" s="20">
        <f t="shared" si="41"/>
        <v>11.656000000000001</v>
      </c>
      <c r="H1034" s="20">
        <f t="shared" si="43"/>
        <v>23.312000000000001</v>
      </c>
      <c r="J1034" s="43" t="s">
        <v>1215</v>
      </c>
    </row>
    <row r="1035" spans="1:10" x14ac:dyDescent="0.25">
      <c r="A1035" s="46" t="s">
        <v>1216</v>
      </c>
      <c r="B1035" s="3" t="s">
        <v>1217</v>
      </c>
      <c r="C1035" s="3" t="s">
        <v>46</v>
      </c>
      <c r="D1035" s="3">
        <v>2</v>
      </c>
      <c r="E1035" s="3" t="s">
        <v>1855</v>
      </c>
      <c r="F1035" s="3">
        <v>93.7</v>
      </c>
      <c r="G1035" s="20">
        <f t="shared" si="41"/>
        <v>58.094000000000001</v>
      </c>
      <c r="H1035" s="20">
        <f t="shared" si="43"/>
        <v>116.188</v>
      </c>
      <c r="J1035" s="43" t="s">
        <v>1217</v>
      </c>
    </row>
    <row r="1036" spans="1:10" x14ac:dyDescent="0.25">
      <c r="A1036" s="46" t="s">
        <v>1218</v>
      </c>
      <c r="B1036" s="3" t="s">
        <v>1219</v>
      </c>
      <c r="C1036" s="3" t="s">
        <v>46</v>
      </c>
      <c r="D1036" s="3">
        <v>2</v>
      </c>
      <c r="E1036" s="3" t="s">
        <v>1855</v>
      </c>
      <c r="F1036" s="3">
        <v>565</v>
      </c>
      <c r="G1036" s="20">
        <f t="shared" si="41"/>
        <v>350.3</v>
      </c>
      <c r="H1036" s="20">
        <f t="shared" si="43"/>
        <v>700.6</v>
      </c>
      <c r="J1036" s="43" t="s">
        <v>2248</v>
      </c>
    </row>
    <row r="1037" spans="1:10" x14ac:dyDescent="0.25">
      <c r="A1037" s="46" t="s">
        <v>1038</v>
      </c>
      <c r="B1037" s="3" t="s">
        <v>1039</v>
      </c>
      <c r="C1037" s="3" t="s">
        <v>46</v>
      </c>
      <c r="D1037" s="3">
        <v>1</v>
      </c>
      <c r="E1037" s="3" t="s">
        <v>1855</v>
      </c>
      <c r="F1037" s="3">
        <v>21.7</v>
      </c>
      <c r="G1037" s="20">
        <f t="shared" ref="G1037:G1100" si="44">F1037-(F1037*38%)</f>
        <v>13.453999999999999</v>
      </c>
      <c r="H1037" s="20">
        <f t="shared" si="43"/>
        <v>13.453999999999999</v>
      </c>
      <c r="J1037" s="43" t="s">
        <v>1039</v>
      </c>
    </row>
    <row r="1038" spans="1:10" x14ac:dyDescent="0.25">
      <c r="A1038" s="46" t="s">
        <v>1171</v>
      </c>
      <c r="B1038" s="3" t="s">
        <v>1172</v>
      </c>
      <c r="C1038" s="3" t="s">
        <v>46</v>
      </c>
      <c r="D1038" s="3">
        <v>1</v>
      </c>
      <c r="E1038" s="3" t="s">
        <v>1855</v>
      </c>
      <c r="F1038" s="3">
        <v>21.7</v>
      </c>
      <c r="G1038" s="20">
        <f t="shared" si="44"/>
        <v>13.453999999999999</v>
      </c>
      <c r="H1038" s="20">
        <f t="shared" si="43"/>
        <v>13.453999999999999</v>
      </c>
      <c r="J1038" s="43" t="s">
        <v>1172</v>
      </c>
    </row>
    <row r="1039" spans="1:10" x14ac:dyDescent="0.25">
      <c r="A1039" s="46" t="s">
        <v>1085</v>
      </c>
      <c r="B1039" s="3" t="s">
        <v>1086</v>
      </c>
      <c r="C1039" s="3" t="s">
        <v>46</v>
      </c>
      <c r="D1039" s="3">
        <v>1</v>
      </c>
      <c r="E1039" s="3" t="s">
        <v>1855</v>
      </c>
      <c r="F1039" s="3">
        <v>21.7</v>
      </c>
      <c r="G1039" s="20">
        <f t="shared" si="44"/>
        <v>13.453999999999999</v>
      </c>
      <c r="H1039" s="20">
        <f t="shared" si="43"/>
        <v>13.453999999999999</v>
      </c>
      <c r="J1039" s="43" t="s">
        <v>1086</v>
      </c>
    </row>
    <row r="1040" spans="1:10" x14ac:dyDescent="0.25">
      <c r="A1040" s="46" t="s">
        <v>1220</v>
      </c>
      <c r="B1040" s="3" t="s">
        <v>1221</v>
      </c>
      <c r="C1040" s="3" t="s">
        <v>46</v>
      </c>
      <c r="D1040" s="3">
        <v>1</v>
      </c>
      <c r="E1040" s="3" t="s">
        <v>1855</v>
      </c>
      <c r="F1040" s="3">
        <v>41.9</v>
      </c>
      <c r="G1040" s="20">
        <f t="shared" si="44"/>
        <v>25.978000000000002</v>
      </c>
      <c r="H1040" s="20">
        <f t="shared" si="43"/>
        <v>25.978000000000002</v>
      </c>
      <c r="J1040" s="43" t="s">
        <v>2249</v>
      </c>
    </row>
    <row r="1041" spans="1:10" x14ac:dyDescent="0.25">
      <c r="A1041" s="46" t="s">
        <v>418</v>
      </c>
      <c r="B1041" s="3" t="s">
        <v>419</v>
      </c>
      <c r="C1041" s="3" t="s">
        <v>46</v>
      </c>
      <c r="D1041" s="3">
        <v>2</v>
      </c>
      <c r="E1041" s="3" t="s">
        <v>1855</v>
      </c>
      <c r="F1041" s="3">
        <v>16</v>
      </c>
      <c r="G1041" s="20">
        <f t="shared" si="44"/>
        <v>9.92</v>
      </c>
      <c r="H1041" s="20">
        <f t="shared" si="43"/>
        <v>19.84</v>
      </c>
      <c r="J1041" s="43" t="s">
        <v>2024</v>
      </c>
    </row>
    <row r="1042" spans="1:10" x14ac:dyDescent="0.25">
      <c r="A1042" s="46" t="s">
        <v>973</v>
      </c>
      <c r="B1042" s="3" t="s">
        <v>974</v>
      </c>
      <c r="C1042" s="3" t="s">
        <v>46</v>
      </c>
      <c r="D1042" s="3">
        <v>1</v>
      </c>
      <c r="E1042" s="3" t="s">
        <v>1855</v>
      </c>
      <c r="F1042" s="3">
        <v>68.5</v>
      </c>
      <c r="G1042" s="20">
        <f t="shared" si="44"/>
        <v>42.47</v>
      </c>
      <c r="H1042" s="20">
        <f t="shared" si="43"/>
        <v>42.47</v>
      </c>
      <c r="J1042" s="43" t="s">
        <v>2178</v>
      </c>
    </row>
    <row r="1043" spans="1:10" ht="15.75" x14ac:dyDescent="0.25">
      <c r="A1043" s="46" t="s">
        <v>1811</v>
      </c>
      <c r="B1043" s="28" t="s">
        <v>1813</v>
      </c>
      <c r="C1043" s="3" t="s">
        <v>46</v>
      </c>
      <c r="D1043" s="3">
        <v>1</v>
      </c>
      <c r="E1043" s="3" t="s">
        <v>1856</v>
      </c>
      <c r="F1043" s="3">
        <v>634</v>
      </c>
      <c r="G1043" s="20">
        <f t="shared" si="44"/>
        <v>393.08</v>
      </c>
      <c r="H1043" s="20">
        <f t="shared" si="43"/>
        <v>393.08</v>
      </c>
      <c r="J1043" s="43" t="s">
        <v>2250</v>
      </c>
    </row>
    <row r="1044" spans="1:10" ht="15.75" x14ac:dyDescent="0.25">
      <c r="A1044" s="46" t="s">
        <v>1812</v>
      </c>
      <c r="B1044" s="28" t="s">
        <v>1814</v>
      </c>
      <c r="C1044" s="3" t="s">
        <v>46</v>
      </c>
      <c r="D1044" s="3">
        <v>1</v>
      </c>
      <c r="E1044" s="3" t="s">
        <v>1855</v>
      </c>
      <c r="F1044" s="3">
        <v>118</v>
      </c>
      <c r="G1044" s="20">
        <f t="shared" si="44"/>
        <v>73.16</v>
      </c>
      <c r="H1044" s="20">
        <f t="shared" si="43"/>
        <v>73.16</v>
      </c>
      <c r="J1044" s="43" t="s">
        <v>2251</v>
      </c>
    </row>
    <row r="1045" spans="1:10" s="10" customFormat="1" x14ac:dyDescent="0.25">
      <c r="A1045" s="50"/>
      <c r="B1045" s="11" t="s">
        <v>1222</v>
      </c>
      <c r="C1045" s="9"/>
      <c r="D1045" s="9"/>
      <c r="E1045" s="9"/>
      <c r="F1045" s="9"/>
      <c r="G1045" s="9"/>
      <c r="H1045" s="9"/>
      <c r="J1045" s="43"/>
    </row>
    <row r="1046" spans="1:10" s="5" customFormat="1" x14ac:dyDescent="0.25">
      <c r="A1046" s="51"/>
      <c r="B1046" s="6" t="s">
        <v>1222</v>
      </c>
      <c r="C1046" s="4"/>
      <c r="D1046" s="29"/>
      <c r="E1046" s="4"/>
      <c r="F1046" s="4"/>
      <c r="G1046" s="4"/>
      <c r="H1046" s="19"/>
      <c r="J1046" s="43"/>
    </row>
    <row r="1047" spans="1:10" ht="15.75" x14ac:dyDescent="0.25">
      <c r="A1047" s="55"/>
      <c r="B1047" s="12" t="s">
        <v>1223</v>
      </c>
      <c r="C1047" s="3"/>
      <c r="D1047" s="3"/>
      <c r="E1047" s="20"/>
      <c r="F1047" s="3"/>
      <c r="G1047" s="3"/>
      <c r="H1047" s="20"/>
    </row>
    <row r="1048" spans="1:10" x14ac:dyDescent="0.25">
      <c r="A1048" s="61" t="s">
        <v>1224</v>
      </c>
      <c r="B1048" s="25" t="s">
        <v>1225</v>
      </c>
      <c r="C1048" s="3" t="s">
        <v>46</v>
      </c>
      <c r="D1048" s="3">
        <v>2</v>
      </c>
      <c r="E1048" s="3" t="s">
        <v>1855</v>
      </c>
      <c r="F1048" s="3">
        <v>791</v>
      </c>
      <c r="G1048" s="20">
        <f t="shared" si="44"/>
        <v>490.42</v>
      </c>
      <c r="H1048" s="20">
        <f t="shared" ref="H1048:H1056" si="45">G1048*D1048</f>
        <v>980.84</v>
      </c>
      <c r="J1048" s="43" t="s">
        <v>2252</v>
      </c>
    </row>
    <row r="1049" spans="1:10" x14ac:dyDescent="0.25">
      <c r="A1049" s="55" t="s">
        <v>1226</v>
      </c>
      <c r="B1049" s="25" t="s">
        <v>1227</v>
      </c>
      <c r="C1049" s="3" t="s">
        <v>46</v>
      </c>
      <c r="D1049" s="3">
        <v>2</v>
      </c>
      <c r="E1049" s="3" t="s">
        <v>1855</v>
      </c>
      <c r="F1049" s="3">
        <v>60.8</v>
      </c>
      <c r="G1049" s="20">
        <f t="shared" si="44"/>
        <v>37.695999999999998</v>
      </c>
      <c r="H1049" s="20">
        <f t="shared" si="45"/>
        <v>75.391999999999996</v>
      </c>
      <c r="J1049" s="43" t="e">
        <v>#N/A</v>
      </c>
    </row>
    <row r="1050" spans="1:10" x14ac:dyDescent="0.25">
      <c r="A1050" s="61" t="s">
        <v>1228</v>
      </c>
      <c r="B1050" s="25" t="s">
        <v>1229</v>
      </c>
      <c r="C1050" s="3" t="s">
        <v>46</v>
      </c>
      <c r="D1050" s="3">
        <v>2</v>
      </c>
      <c r="E1050" s="3" t="s">
        <v>1855</v>
      </c>
      <c r="F1050" s="3">
        <v>113.5</v>
      </c>
      <c r="G1050" s="20">
        <f t="shared" si="44"/>
        <v>70.37</v>
      </c>
      <c r="H1050" s="20">
        <f t="shared" si="45"/>
        <v>140.74</v>
      </c>
      <c r="J1050" s="43" t="s">
        <v>2253</v>
      </c>
    </row>
    <row r="1051" spans="1:10" x14ac:dyDescent="0.25">
      <c r="A1051" s="61" t="s">
        <v>1230</v>
      </c>
      <c r="B1051" s="25" t="s">
        <v>1231</v>
      </c>
      <c r="C1051" s="3" t="s">
        <v>46</v>
      </c>
      <c r="D1051" s="3">
        <v>2</v>
      </c>
      <c r="E1051" s="3" t="s">
        <v>1855</v>
      </c>
      <c r="F1051" s="3">
        <v>81</v>
      </c>
      <c r="G1051" s="20">
        <f t="shared" si="44"/>
        <v>50.22</v>
      </c>
      <c r="H1051" s="20">
        <f t="shared" si="45"/>
        <v>100.44</v>
      </c>
      <c r="J1051" s="43" t="s">
        <v>2254</v>
      </c>
    </row>
    <row r="1052" spans="1:10" x14ac:dyDescent="0.25">
      <c r="A1052" s="61" t="s">
        <v>1232</v>
      </c>
      <c r="B1052" s="25" t="s">
        <v>1233</v>
      </c>
      <c r="C1052" s="3" t="s">
        <v>46</v>
      </c>
      <c r="D1052" s="3">
        <v>2</v>
      </c>
      <c r="E1052" s="3" t="s">
        <v>1855</v>
      </c>
      <c r="F1052" s="3">
        <v>81.400000000000006</v>
      </c>
      <c r="G1052" s="20">
        <f t="shared" si="44"/>
        <v>50.468000000000004</v>
      </c>
      <c r="H1052" s="20">
        <f t="shared" si="45"/>
        <v>100.93600000000001</v>
      </c>
      <c r="J1052" s="43" t="s">
        <v>2255</v>
      </c>
    </row>
    <row r="1053" spans="1:10" x14ac:dyDescent="0.25">
      <c r="A1053" s="61" t="s">
        <v>1234</v>
      </c>
      <c r="B1053" s="25" t="s">
        <v>1235</v>
      </c>
      <c r="C1053" s="3" t="s">
        <v>46</v>
      </c>
      <c r="D1053" s="3">
        <v>2</v>
      </c>
      <c r="E1053" s="3" t="s">
        <v>1855</v>
      </c>
      <c r="F1053" s="3">
        <v>136</v>
      </c>
      <c r="G1053" s="20">
        <f t="shared" si="44"/>
        <v>84.32</v>
      </c>
      <c r="H1053" s="20">
        <f t="shared" si="45"/>
        <v>168.64</v>
      </c>
      <c r="J1053" s="43" t="s">
        <v>1235</v>
      </c>
    </row>
    <row r="1054" spans="1:10" x14ac:dyDescent="0.25">
      <c r="A1054" s="61" t="s">
        <v>1236</v>
      </c>
      <c r="B1054" s="25" t="s">
        <v>1237</v>
      </c>
      <c r="C1054" s="3" t="s">
        <v>46</v>
      </c>
      <c r="D1054" s="3">
        <v>20</v>
      </c>
      <c r="E1054" s="3" t="s">
        <v>1855</v>
      </c>
      <c r="F1054" s="3">
        <v>10.6</v>
      </c>
      <c r="G1054" s="20">
        <f t="shared" si="44"/>
        <v>6.5720000000000001</v>
      </c>
      <c r="H1054" s="20">
        <f t="shared" si="45"/>
        <v>131.44</v>
      </c>
      <c r="J1054" s="43" t="s">
        <v>1237</v>
      </c>
    </row>
    <row r="1055" spans="1:10" x14ac:dyDescent="0.25">
      <c r="A1055" s="61" t="s">
        <v>34</v>
      </c>
      <c r="B1055" s="25" t="s">
        <v>35</v>
      </c>
      <c r="C1055" s="3" t="s">
        <v>46</v>
      </c>
      <c r="D1055" s="3">
        <v>4</v>
      </c>
      <c r="E1055" s="3" t="s">
        <v>1855</v>
      </c>
      <c r="F1055" s="3">
        <v>57.2</v>
      </c>
      <c r="G1055" s="20">
        <f t="shared" si="44"/>
        <v>35.463999999999999</v>
      </c>
      <c r="H1055" s="20">
        <f t="shared" si="45"/>
        <v>141.85599999999999</v>
      </c>
      <c r="J1055" s="43" t="s">
        <v>1875</v>
      </c>
    </row>
    <row r="1056" spans="1:10" x14ac:dyDescent="0.25">
      <c r="A1056" s="61" t="s">
        <v>36</v>
      </c>
      <c r="B1056" s="25" t="s">
        <v>37</v>
      </c>
      <c r="C1056" s="3" t="s">
        <v>46</v>
      </c>
      <c r="D1056" s="3">
        <v>4</v>
      </c>
      <c r="E1056" s="3" t="s">
        <v>1855</v>
      </c>
      <c r="F1056" s="3">
        <v>37.6</v>
      </c>
      <c r="G1056" s="20">
        <f t="shared" si="44"/>
        <v>23.312000000000001</v>
      </c>
      <c r="H1056" s="20">
        <f t="shared" si="45"/>
        <v>93.248000000000005</v>
      </c>
      <c r="J1056" s="43" t="s">
        <v>37</v>
      </c>
    </row>
    <row r="1057" spans="1:10" ht="15.75" x14ac:dyDescent="0.25">
      <c r="A1057" s="55" t="s">
        <v>3</v>
      </c>
      <c r="B1057" s="12" t="s">
        <v>1238</v>
      </c>
      <c r="C1057" s="3"/>
      <c r="D1057" s="3"/>
      <c r="E1057" s="20"/>
      <c r="F1057" s="3"/>
      <c r="G1057" s="3"/>
      <c r="H1057" s="20"/>
    </row>
    <row r="1058" spans="1:10" x14ac:dyDescent="0.25">
      <c r="A1058" s="61" t="s">
        <v>316</v>
      </c>
      <c r="B1058" s="25" t="s">
        <v>317</v>
      </c>
      <c r="C1058" s="3" t="s">
        <v>46</v>
      </c>
      <c r="D1058" s="3">
        <v>2</v>
      </c>
      <c r="E1058" s="3" t="s">
        <v>1855</v>
      </c>
      <c r="F1058" s="3">
        <v>13.1</v>
      </c>
      <c r="G1058" s="20">
        <f t="shared" si="44"/>
        <v>8.1219999999999999</v>
      </c>
      <c r="H1058" s="20">
        <f t="shared" ref="H1058:H1087" si="46">G1058*D1058</f>
        <v>16.244</v>
      </c>
      <c r="J1058" s="43" t="s">
        <v>1995</v>
      </c>
    </row>
    <row r="1059" spans="1:10" x14ac:dyDescent="0.25">
      <c r="A1059" s="61" t="s">
        <v>1239</v>
      </c>
      <c r="B1059" s="25" t="s">
        <v>1240</v>
      </c>
      <c r="C1059" s="3" t="s">
        <v>46</v>
      </c>
      <c r="D1059" s="3">
        <v>2</v>
      </c>
      <c r="E1059" s="3" t="s">
        <v>1855</v>
      </c>
      <c r="F1059" s="3">
        <v>14.6</v>
      </c>
      <c r="G1059" s="20">
        <f t="shared" si="44"/>
        <v>9.0519999999999996</v>
      </c>
      <c r="H1059" s="20">
        <f t="shared" si="46"/>
        <v>18.103999999999999</v>
      </c>
      <c r="J1059" s="43" t="s">
        <v>2256</v>
      </c>
    </row>
    <row r="1060" spans="1:10" x14ac:dyDescent="0.25">
      <c r="A1060" s="61" t="s">
        <v>418</v>
      </c>
      <c r="B1060" s="25" t="s">
        <v>419</v>
      </c>
      <c r="C1060" s="3" t="s">
        <v>47</v>
      </c>
      <c r="D1060" s="3">
        <v>2</v>
      </c>
      <c r="E1060" s="3" t="s">
        <v>1855</v>
      </c>
      <c r="F1060" s="3">
        <v>16</v>
      </c>
      <c r="G1060" s="20">
        <f t="shared" si="44"/>
        <v>9.92</v>
      </c>
      <c r="H1060" s="20">
        <f t="shared" si="46"/>
        <v>19.84</v>
      </c>
      <c r="J1060" s="43" t="s">
        <v>2024</v>
      </c>
    </row>
    <row r="1061" spans="1:10" x14ac:dyDescent="0.25">
      <c r="A1061" s="61" t="s">
        <v>1241</v>
      </c>
      <c r="B1061" s="25" t="s">
        <v>1242</v>
      </c>
      <c r="C1061" s="3" t="s">
        <v>46</v>
      </c>
      <c r="D1061" s="3">
        <v>2</v>
      </c>
      <c r="E1061" s="3" t="s">
        <v>1855</v>
      </c>
      <c r="F1061" s="3">
        <v>19.399999999999999</v>
      </c>
      <c r="G1061" s="20">
        <f t="shared" si="44"/>
        <v>12.027999999999999</v>
      </c>
      <c r="H1061" s="20">
        <f t="shared" si="46"/>
        <v>24.055999999999997</v>
      </c>
      <c r="J1061" s="43" t="s">
        <v>2257</v>
      </c>
    </row>
    <row r="1062" spans="1:10" x14ac:dyDescent="0.25">
      <c r="A1062" s="61" t="s">
        <v>1020</v>
      </c>
      <c r="B1062" s="25" t="s">
        <v>1021</v>
      </c>
      <c r="C1062" s="3" t="s">
        <v>47</v>
      </c>
      <c r="D1062" s="3">
        <v>2</v>
      </c>
      <c r="E1062" s="3" t="s">
        <v>1855</v>
      </c>
      <c r="F1062" s="3">
        <v>20</v>
      </c>
      <c r="G1062" s="20">
        <f t="shared" si="44"/>
        <v>12.4</v>
      </c>
      <c r="H1062" s="20">
        <f t="shared" si="46"/>
        <v>24.8</v>
      </c>
      <c r="J1062" s="43" t="s">
        <v>1021</v>
      </c>
    </row>
    <row r="1063" spans="1:10" x14ac:dyDescent="0.25">
      <c r="A1063" s="61" t="s">
        <v>1243</v>
      </c>
      <c r="B1063" s="25" t="s">
        <v>1244</v>
      </c>
      <c r="C1063" s="3" t="s">
        <v>47</v>
      </c>
      <c r="D1063" s="3">
        <v>2</v>
      </c>
      <c r="E1063" s="3" t="s">
        <v>1855</v>
      </c>
      <c r="F1063" s="3">
        <v>30.6</v>
      </c>
      <c r="G1063" s="20">
        <f t="shared" si="44"/>
        <v>18.972000000000001</v>
      </c>
      <c r="H1063" s="20">
        <f t="shared" si="46"/>
        <v>37.944000000000003</v>
      </c>
      <c r="J1063" s="43" t="s">
        <v>2258</v>
      </c>
    </row>
    <row r="1064" spans="1:10" x14ac:dyDescent="0.25">
      <c r="A1064" s="61" t="s">
        <v>1245</v>
      </c>
      <c r="B1064" s="25" t="s">
        <v>1246</v>
      </c>
      <c r="C1064" s="3" t="s">
        <v>46</v>
      </c>
      <c r="D1064" s="3">
        <v>2</v>
      </c>
      <c r="E1064" s="3" t="s">
        <v>1855</v>
      </c>
      <c r="F1064" s="3">
        <v>10.1</v>
      </c>
      <c r="G1064" s="20">
        <f t="shared" si="44"/>
        <v>6.2619999999999996</v>
      </c>
      <c r="H1064" s="20">
        <f t="shared" si="46"/>
        <v>12.523999999999999</v>
      </c>
      <c r="J1064" s="43" t="s">
        <v>2259</v>
      </c>
    </row>
    <row r="1065" spans="1:10" x14ac:dyDescent="0.25">
      <c r="A1065" s="61" t="s">
        <v>1247</v>
      </c>
      <c r="B1065" s="25" t="s">
        <v>1248</v>
      </c>
      <c r="C1065" s="3" t="s">
        <v>46</v>
      </c>
      <c r="D1065" s="3">
        <v>2</v>
      </c>
      <c r="E1065" s="3" t="s">
        <v>1855</v>
      </c>
      <c r="F1065" s="3">
        <v>10.1</v>
      </c>
      <c r="G1065" s="20">
        <f t="shared" si="44"/>
        <v>6.2619999999999996</v>
      </c>
      <c r="H1065" s="20">
        <f t="shared" si="46"/>
        <v>12.523999999999999</v>
      </c>
      <c r="J1065" s="43" t="s">
        <v>2260</v>
      </c>
    </row>
    <row r="1066" spans="1:10" x14ac:dyDescent="0.25">
      <c r="A1066" s="61" t="s">
        <v>346</v>
      </c>
      <c r="B1066" s="25" t="s">
        <v>347</v>
      </c>
      <c r="C1066" s="3" t="s">
        <v>46</v>
      </c>
      <c r="D1066" s="3">
        <v>4</v>
      </c>
      <c r="E1066" s="3" t="s">
        <v>1855</v>
      </c>
      <c r="F1066" s="3">
        <v>21</v>
      </c>
      <c r="G1066" s="20">
        <f t="shared" si="44"/>
        <v>13.02</v>
      </c>
      <c r="H1066" s="20">
        <f t="shared" si="46"/>
        <v>52.08</v>
      </c>
      <c r="J1066" s="43" t="s">
        <v>2003</v>
      </c>
    </row>
    <row r="1067" spans="1:10" x14ac:dyDescent="0.25">
      <c r="A1067" s="61" t="s">
        <v>344</v>
      </c>
      <c r="B1067" s="25" t="s">
        <v>345</v>
      </c>
      <c r="C1067" s="3" t="s">
        <v>46</v>
      </c>
      <c r="D1067" s="3">
        <v>2</v>
      </c>
      <c r="E1067" s="3" t="s">
        <v>1855</v>
      </c>
      <c r="F1067" s="3">
        <v>19.899999999999999</v>
      </c>
      <c r="G1067" s="20">
        <f t="shared" si="44"/>
        <v>12.337999999999999</v>
      </c>
      <c r="H1067" s="20">
        <f t="shared" si="46"/>
        <v>24.675999999999998</v>
      </c>
      <c r="J1067" s="43" t="s">
        <v>2002</v>
      </c>
    </row>
    <row r="1068" spans="1:10" x14ac:dyDescent="0.25">
      <c r="A1068" s="61" t="s">
        <v>1249</v>
      </c>
      <c r="B1068" s="25" t="s">
        <v>1250</v>
      </c>
      <c r="C1068" s="3" t="s">
        <v>46</v>
      </c>
      <c r="D1068" s="3">
        <v>2</v>
      </c>
      <c r="E1068" s="3" t="s">
        <v>1855</v>
      </c>
      <c r="F1068" s="3">
        <v>27.3</v>
      </c>
      <c r="G1068" s="20">
        <f t="shared" si="44"/>
        <v>16.926000000000002</v>
      </c>
      <c r="H1068" s="20">
        <f t="shared" si="46"/>
        <v>33.852000000000004</v>
      </c>
      <c r="J1068" s="43" t="s">
        <v>2261</v>
      </c>
    </row>
    <row r="1069" spans="1:10" x14ac:dyDescent="0.25">
      <c r="A1069" s="61" t="s">
        <v>1251</v>
      </c>
      <c r="B1069" s="25" t="s">
        <v>1252</v>
      </c>
      <c r="C1069" s="3" t="s">
        <v>46</v>
      </c>
      <c r="D1069" s="3">
        <v>4</v>
      </c>
      <c r="E1069" s="3" t="s">
        <v>1855</v>
      </c>
      <c r="F1069" s="3">
        <v>25.7</v>
      </c>
      <c r="G1069" s="20">
        <f t="shared" si="44"/>
        <v>15.933999999999999</v>
      </c>
      <c r="H1069" s="20">
        <f t="shared" si="46"/>
        <v>63.735999999999997</v>
      </c>
      <c r="J1069" s="43" t="s">
        <v>1252</v>
      </c>
    </row>
    <row r="1070" spans="1:10" x14ac:dyDescent="0.25">
      <c r="A1070" s="61" t="s">
        <v>543</v>
      </c>
      <c r="B1070" s="25" t="s">
        <v>544</v>
      </c>
      <c r="C1070" s="3" t="s">
        <v>47</v>
      </c>
      <c r="D1070" s="3">
        <v>4</v>
      </c>
      <c r="E1070" s="3" t="s">
        <v>1855</v>
      </c>
      <c r="F1070" s="3">
        <v>39.799999999999997</v>
      </c>
      <c r="G1070" s="20">
        <f t="shared" si="44"/>
        <v>24.675999999999998</v>
      </c>
      <c r="H1070" s="20">
        <f t="shared" si="46"/>
        <v>98.703999999999994</v>
      </c>
      <c r="J1070" s="43" t="s">
        <v>2058</v>
      </c>
    </row>
    <row r="1071" spans="1:10" x14ac:dyDescent="0.25">
      <c r="A1071" s="61" t="s">
        <v>1253</v>
      </c>
      <c r="B1071" s="25" t="s">
        <v>1254</v>
      </c>
      <c r="C1071" s="3" t="s">
        <v>47</v>
      </c>
      <c r="D1071" s="3">
        <v>4</v>
      </c>
      <c r="E1071" s="3" t="s">
        <v>1855</v>
      </c>
      <c r="F1071" s="3">
        <v>46.4</v>
      </c>
      <c r="G1071" s="20">
        <f t="shared" si="44"/>
        <v>28.768000000000001</v>
      </c>
      <c r="H1071" s="20">
        <f t="shared" si="46"/>
        <v>115.072</v>
      </c>
      <c r="J1071" s="43" t="s">
        <v>2262</v>
      </c>
    </row>
    <row r="1072" spans="1:10" x14ac:dyDescent="0.25">
      <c r="A1072" s="61" t="s">
        <v>1255</v>
      </c>
      <c r="B1072" s="25" t="s">
        <v>1256</v>
      </c>
      <c r="C1072" s="3" t="s">
        <v>46</v>
      </c>
      <c r="D1072" s="3">
        <v>4</v>
      </c>
      <c r="E1072" s="3" t="s">
        <v>1855</v>
      </c>
      <c r="F1072" s="3">
        <v>109</v>
      </c>
      <c r="G1072" s="20">
        <f t="shared" si="44"/>
        <v>67.58</v>
      </c>
      <c r="H1072" s="20">
        <f t="shared" si="46"/>
        <v>270.32</v>
      </c>
      <c r="J1072" s="43" t="s">
        <v>1256</v>
      </c>
    </row>
    <row r="1073" spans="1:10" x14ac:dyDescent="0.25">
      <c r="A1073" s="61" t="s">
        <v>938</v>
      </c>
      <c r="B1073" s="25" t="s">
        <v>331</v>
      </c>
      <c r="C1073" s="3" t="s">
        <v>47</v>
      </c>
      <c r="D1073" s="3">
        <v>6</v>
      </c>
      <c r="E1073" s="3" t="s">
        <v>1855</v>
      </c>
      <c r="F1073" s="3">
        <v>86.7</v>
      </c>
      <c r="G1073" s="20">
        <f t="shared" si="44"/>
        <v>53.754000000000005</v>
      </c>
      <c r="H1073" s="20">
        <f t="shared" si="46"/>
        <v>322.524</v>
      </c>
      <c r="J1073" s="43" t="s">
        <v>331</v>
      </c>
    </row>
    <row r="1074" spans="1:10" x14ac:dyDescent="0.25">
      <c r="A1074" s="61" t="s">
        <v>1257</v>
      </c>
      <c r="B1074" s="25" t="s">
        <v>1258</v>
      </c>
      <c r="C1074" s="3" t="s">
        <v>47</v>
      </c>
      <c r="D1074" s="3">
        <v>4</v>
      </c>
      <c r="E1074" s="3" t="s">
        <v>1855</v>
      </c>
      <c r="F1074" s="3">
        <v>104.5</v>
      </c>
      <c r="G1074" s="20">
        <f t="shared" si="44"/>
        <v>64.789999999999992</v>
      </c>
      <c r="H1074" s="20">
        <f t="shared" si="46"/>
        <v>259.15999999999997</v>
      </c>
      <c r="J1074" s="43" t="s">
        <v>1258</v>
      </c>
    </row>
    <row r="1075" spans="1:10" x14ac:dyDescent="0.25">
      <c r="A1075" s="61" t="s">
        <v>1259</v>
      </c>
      <c r="B1075" s="25" t="s">
        <v>1260</v>
      </c>
      <c r="C1075" s="3" t="s">
        <v>46</v>
      </c>
      <c r="D1075" s="3">
        <v>2</v>
      </c>
      <c r="E1075" s="3" t="s">
        <v>1855</v>
      </c>
      <c r="F1075" s="3">
        <v>314</v>
      </c>
      <c r="G1075" s="20">
        <f t="shared" si="44"/>
        <v>194.68</v>
      </c>
      <c r="H1075" s="20">
        <f t="shared" si="46"/>
        <v>389.36</v>
      </c>
      <c r="J1075" s="43" t="s">
        <v>2263</v>
      </c>
    </row>
    <row r="1076" spans="1:10" x14ac:dyDescent="0.25">
      <c r="A1076" s="61" t="s">
        <v>268</v>
      </c>
      <c r="B1076" s="25" t="s">
        <v>269</v>
      </c>
      <c r="C1076" s="3" t="s">
        <v>47</v>
      </c>
      <c r="D1076" s="3">
        <v>20</v>
      </c>
      <c r="E1076" s="3" t="s">
        <v>1855</v>
      </c>
      <c r="F1076" s="3">
        <v>30.2</v>
      </c>
      <c r="G1076" s="20">
        <f t="shared" si="44"/>
        <v>18.724</v>
      </c>
      <c r="H1076" s="20">
        <f t="shared" si="46"/>
        <v>374.48</v>
      </c>
      <c r="J1076" s="43" t="s">
        <v>1973</v>
      </c>
    </row>
    <row r="1077" spans="1:10" x14ac:dyDescent="0.25">
      <c r="A1077" s="61" t="s">
        <v>272</v>
      </c>
      <c r="B1077" s="25" t="s">
        <v>273</v>
      </c>
      <c r="C1077" s="3" t="s">
        <v>46</v>
      </c>
      <c r="D1077" s="3">
        <v>20</v>
      </c>
      <c r="E1077" s="3" t="s">
        <v>1855</v>
      </c>
      <c r="F1077" s="3">
        <v>35.5</v>
      </c>
      <c r="G1077" s="20">
        <f t="shared" si="44"/>
        <v>22.009999999999998</v>
      </c>
      <c r="H1077" s="20">
        <f t="shared" si="46"/>
        <v>440.19999999999993</v>
      </c>
      <c r="J1077" s="43" t="s">
        <v>1975</v>
      </c>
    </row>
    <row r="1078" spans="1:10" x14ac:dyDescent="0.25">
      <c r="A1078" s="61" t="s">
        <v>920</v>
      </c>
      <c r="B1078" s="25" t="s">
        <v>921</v>
      </c>
      <c r="C1078" s="3" t="s">
        <v>46</v>
      </c>
      <c r="D1078" s="3">
        <v>10</v>
      </c>
      <c r="E1078" s="3" t="s">
        <v>1855</v>
      </c>
      <c r="F1078" s="3">
        <v>27</v>
      </c>
      <c r="G1078" s="20">
        <f t="shared" si="44"/>
        <v>16.740000000000002</v>
      </c>
      <c r="H1078" s="20">
        <f t="shared" si="46"/>
        <v>167.40000000000003</v>
      </c>
      <c r="J1078" s="43" t="s">
        <v>2159</v>
      </c>
    </row>
    <row r="1079" spans="1:10" x14ac:dyDescent="0.25">
      <c r="A1079" s="61" t="s">
        <v>132</v>
      </c>
      <c r="B1079" s="25" t="s">
        <v>133</v>
      </c>
      <c r="C1079" s="3" t="s">
        <v>47</v>
      </c>
      <c r="D1079" s="3">
        <v>10</v>
      </c>
      <c r="E1079" s="3" t="s">
        <v>1855</v>
      </c>
      <c r="F1079" s="3">
        <v>28.2</v>
      </c>
      <c r="G1079" s="20">
        <f t="shared" si="44"/>
        <v>17.484000000000002</v>
      </c>
      <c r="H1079" s="20">
        <f t="shared" si="46"/>
        <v>174.84000000000003</v>
      </c>
      <c r="J1079" s="43" t="s">
        <v>1916</v>
      </c>
    </row>
    <row r="1080" spans="1:10" x14ac:dyDescent="0.25">
      <c r="A1080" s="61" t="s">
        <v>1261</v>
      </c>
      <c r="B1080" s="25" t="s">
        <v>1262</v>
      </c>
      <c r="C1080" s="3" t="s">
        <v>46</v>
      </c>
      <c r="D1080" s="3">
        <v>10</v>
      </c>
      <c r="E1080" s="3" t="s">
        <v>1855</v>
      </c>
      <c r="F1080" s="3">
        <v>24.3</v>
      </c>
      <c r="G1080" s="20">
        <f t="shared" si="44"/>
        <v>15.066000000000001</v>
      </c>
      <c r="H1080" s="20">
        <f t="shared" si="46"/>
        <v>150.66</v>
      </c>
      <c r="J1080" s="43" t="s">
        <v>2264</v>
      </c>
    </row>
    <row r="1081" spans="1:10" x14ac:dyDescent="0.25">
      <c r="A1081" s="61" t="s">
        <v>30</v>
      </c>
      <c r="B1081" s="25" t="s">
        <v>31</v>
      </c>
      <c r="C1081" s="3" t="s">
        <v>46</v>
      </c>
      <c r="D1081" s="3">
        <v>10</v>
      </c>
      <c r="E1081" s="3" t="s">
        <v>1855</v>
      </c>
      <c r="F1081" s="3">
        <v>24.3</v>
      </c>
      <c r="G1081" s="20">
        <f t="shared" si="44"/>
        <v>15.066000000000001</v>
      </c>
      <c r="H1081" s="20">
        <f t="shared" si="46"/>
        <v>150.66</v>
      </c>
      <c r="J1081" s="43" t="s">
        <v>1874</v>
      </c>
    </row>
    <row r="1082" spans="1:10" x14ac:dyDescent="0.25">
      <c r="A1082" s="61" t="s">
        <v>1263</v>
      </c>
      <c r="B1082" s="25" t="s">
        <v>1264</v>
      </c>
      <c r="C1082" s="3" t="s">
        <v>46</v>
      </c>
      <c r="D1082" s="3">
        <v>2</v>
      </c>
      <c r="E1082" s="3" t="s">
        <v>1855</v>
      </c>
      <c r="F1082" s="3">
        <v>42</v>
      </c>
      <c r="G1082" s="20">
        <f t="shared" si="44"/>
        <v>26.04</v>
      </c>
      <c r="H1082" s="20">
        <f t="shared" si="46"/>
        <v>52.08</v>
      </c>
      <c r="J1082" s="43" t="s">
        <v>2265</v>
      </c>
    </row>
    <row r="1083" spans="1:10" x14ac:dyDescent="0.25">
      <c r="A1083" s="61" t="s">
        <v>1265</v>
      </c>
      <c r="B1083" s="25" t="s">
        <v>1266</v>
      </c>
      <c r="C1083" s="3" t="s">
        <v>47</v>
      </c>
      <c r="D1083" s="3">
        <v>2</v>
      </c>
      <c r="E1083" s="3" t="s">
        <v>1855</v>
      </c>
      <c r="F1083" s="3">
        <v>44.2</v>
      </c>
      <c r="G1083" s="20">
        <f t="shared" si="44"/>
        <v>27.404</v>
      </c>
      <c r="H1083" s="20">
        <f t="shared" si="46"/>
        <v>54.808</v>
      </c>
      <c r="J1083" s="43" t="s">
        <v>2266</v>
      </c>
    </row>
    <row r="1084" spans="1:10" x14ac:dyDescent="0.25">
      <c r="A1084" s="61" t="s">
        <v>531</v>
      </c>
      <c r="B1084" s="25" t="s">
        <v>532</v>
      </c>
      <c r="C1084" s="3" t="s">
        <v>46</v>
      </c>
      <c r="D1084" s="3">
        <v>2</v>
      </c>
      <c r="E1084" s="3" t="s">
        <v>1855</v>
      </c>
      <c r="F1084" s="3">
        <v>51.6</v>
      </c>
      <c r="G1084" s="20">
        <f t="shared" si="44"/>
        <v>31.992000000000001</v>
      </c>
      <c r="H1084" s="20">
        <f t="shared" si="46"/>
        <v>63.984000000000002</v>
      </c>
      <c r="J1084" s="43" t="s">
        <v>2057</v>
      </c>
    </row>
    <row r="1085" spans="1:10" x14ac:dyDescent="0.25">
      <c r="A1085" s="62" t="s">
        <v>1267</v>
      </c>
      <c r="B1085" s="26" t="s">
        <v>1268</v>
      </c>
      <c r="C1085" s="3" t="s">
        <v>47</v>
      </c>
      <c r="D1085" s="3">
        <v>2</v>
      </c>
      <c r="E1085" s="3" t="s">
        <v>1855</v>
      </c>
      <c r="F1085" s="3">
        <v>62.5</v>
      </c>
      <c r="G1085" s="20">
        <f t="shared" si="44"/>
        <v>38.75</v>
      </c>
      <c r="H1085" s="20">
        <f t="shared" si="46"/>
        <v>77.5</v>
      </c>
      <c r="J1085" s="43" t="s">
        <v>2267</v>
      </c>
    </row>
    <row r="1086" spans="1:10" x14ac:dyDescent="0.25">
      <c r="A1086" s="62" t="s">
        <v>1815</v>
      </c>
      <c r="B1086" s="26" t="s">
        <v>1816</v>
      </c>
      <c r="C1086" s="3" t="s">
        <v>46</v>
      </c>
      <c r="D1086" s="3">
        <v>2</v>
      </c>
      <c r="E1086" s="3" t="s">
        <v>1856</v>
      </c>
      <c r="F1086" s="3">
        <v>747</v>
      </c>
      <c r="G1086" s="20">
        <f t="shared" si="44"/>
        <v>463.14</v>
      </c>
      <c r="H1086" s="20">
        <f t="shared" si="46"/>
        <v>926.28</v>
      </c>
      <c r="J1086" s="43" t="s">
        <v>2268</v>
      </c>
    </row>
    <row r="1087" spans="1:10" x14ac:dyDescent="0.25">
      <c r="A1087" s="62" t="s">
        <v>1817</v>
      </c>
      <c r="B1087" s="26" t="s">
        <v>1818</v>
      </c>
      <c r="C1087" s="3" t="s">
        <v>46</v>
      </c>
      <c r="D1087" s="3">
        <v>2</v>
      </c>
      <c r="E1087" s="3" t="s">
        <v>1855</v>
      </c>
      <c r="F1087" s="3">
        <v>117.5</v>
      </c>
      <c r="G1087" s="20">
        <f t="shared" si="44"/>
        <v>72.849999999999994</v>
      </c>
      <c r="H1087" s="20">
        <f t="shared" si="46"/>
        <v>145.69999999999999</v>
      </c>
      <c r="J1087" s="43" t="s">
        <v>2269</v>
      </c>
    </row>
    <row r="1088" spans="1:10" s="5" customFormat="1" x14ac:dyDescent="0.25">
      <c r="A1088" s="51"/>
      <c r="B1088" s="6" t="s">
        <v>1859</v>
      </c>
      <c r="C1088" s="4"/>
      <c r="D1088" s="4"/>
      <c r="E1088" s="4"/>
      <c r="F1088" s="4"/>
      <c r="G1088" s="4"/>
      <c r="H1088" s="4"/>
      <c r="J1088" s="43"/>
    </row>
    <row r="1089" spans="1:10" ht="15.75" x14ac:dyDescent="0.25">
      <c r="A1089" s="55" t="s">
        <v>3</v>
      </c>
      <c r="B1089" s="12" t="s">
        <v>1269</v>
      </c>
      <c r="C1089" s="3"/>
      <c r="D1089" s="3"/>
      <c r="E1089" s="20"/>
      <c r="F1089" s="3"/>
      <c r="G1089" s="3"/>
      <c r="H1089" s="20"/>
    </row>
    <row r="1090" spans="1:10" x14ac:dyDescent="0.25">
      <c r="A1090" s="61" t="s">
        <v>26</v>
      </c>
      <c r="B1090" s="25" t="s">
        <v>27</v>
      </c>
      <c r="C1090" s="3" t="s">
        <v>46</v>
      </c>
      <c r="D1090" s="3">
        <v>4</v>
      </c>
      <c r="E1090" s="3" t="s">
        <v>1855</v>
      </c>
      <c r="F1090" s="3">
        <v>6.81</v>
      </c>
      <c r="G1090" s="20">
        <f t="shared" si="44"/>
        <v>4.2221999999999991</v>
      </c>
      <c r="H1090" s="20">
        <f>G1090*D1090</f>
        <v>16.888799999999996</v>
      </c>
      <c r="J1090" s="43" t="s">
        <v>1873</v>
      </c>
    </row>
    <row r="1091" spans="1:10" x14ac:dyDescent="0.25">
      <c r="A1091" s="61" t="s">
        <v>1239</v>
      </c>
      <c r="B1091" s="25" t="s">
        <v>1240</v>
      </c>
      <c r="C1091" s="3" t="s">
        <v>46</v>
      </c>
      <c r="D1091" s="3">
        <v>2</v>
      </c>
      <c r="E1091" s="3" t="s">
        <v>1855</v>
      </c>
      <c r="F1091" s="3">
        <v>14.6</v>
      </c>
      <c r="G1091" s="20">
        <f t="shared" si="44"/>
        <v>9.0519999999999996</v>
      </c>
      <c r="H1091" s="20">
        <f>G1091*D1091</f>
        <v>18.103999999999999</v>
      </c>
      <c r="J1091" s="43" t="s">
        <v>2256</v>
      </c>
    </row>
    <row r="1092" spans="1:10" x14ac:dyDescent="0.25">
      <c r="A1092" s="61" t="s">
        <v>418</v>
      </c>
      <c r="B1092" s="25" t="s">
        <v>419</v>
      </c>
      <c r="C1092" s="3" t="s">
        <v>47</v>
      </c>
      <c r="D1092" s="3">
        <v>2</v>
      </c>
      <c r="E1092" s="3" t="s">
        <v>1855</v>
      </c>
      <c r="F1092" s="3">
        <v>16</v>
      </c>
      <c r="G1092" s="20">
        <f t="shared" si="44"/>
        <v>9.92</v>
      </c>
      <c r="H1092" s="20">
        <f>G1092*D1092</f>
        <v>19.84</v>
      </c>
      <c r="J1092" s="43" t="s">
        <v>2024</v>
      </c>
    </row>
    <row r="1093" spans="1:10" x14ac:dyDescent="0.25">
      <c r="A1093" s="61" t="s">
        <v>1270</v>
      </c>
      <c r="B1093" s="25" t="s">
        <v>1271</v>
      </c>
      <c r="C1093" s="3" t="s">
        <v>46</v>
      </c>
      <c r="D1093" s="3">
        <v>2</v>
      </c>
      <c r="E1093" s="3" t="s">
        <v>1855</v>
      </c>
      <c r="F1093" s="3">
        <v>96</v>
      </c>
      <c r="G1093" s="20">
        <f t="shared" si="44"/>
        <v>59.519999999999996</v>
      </c>
      <c r="H1093" s="20">
        <f>G1093*D1093</f>
        <v>119.03999999999999</v>
      </c>
      <c r="J1093" s="43" t="s">
        <v>1271</v>
      </c>
    </row>
    <row r="1094" spans="1:10" ht="15.75" x14ac:dyDescent="0.25">
      <c r="A1094" s="55" t="s">
        <v>3</v>
      </c>
      <c r="B1094" s="12" t="s">
        <v>1272</v>
      </c>
      <c r="C1094" s="3"/>
      <c r="D1094" s="3"/>
      <c r="E1094" s="20"/>
      <c r="F1094" s="3"/>
      <c r="G1094" s="3"/>
      <c r="H1094" s="20"/>
    </row>
    <row r="1095" spans="1:10" x14ac:dyDescent="0.25">
      <c r="A1095" s="61" t="s">
        <v>1243</v>
      </c>
      <c r="B1095" s="25" t="s">
        <v>1244</v>
      </c>
      <c r="C1095" s="3" t="s">
        <v>47</v>
      </c>
      <c r="D1095" s="3">
        <v>4</v>
      </c>
      <c r="E1095" s="3" t="s">
        <v>1855</v>
      </c>
      <c r="F1095" s="3">
        <v>30.6</v>
      </c>
      <c r="G1095" s="20">
        <f t="shared" si="44"/>
        <v>18.972000000000001</v>
      </c>
      <c r="H1095" s="20">
        <f t="shared" ref="H1095:H1105" si="47">G1095*D1095</f>
        <v>75.888000000000005</v>
      </c>
      <c r="J1095" s="43" t="s">
        <v>2258</v>
      </c>
    </row>
    <row r="1096" spans="1:10" x14ac:dyDescent="0.25">
      <c r="A1096" s="61" t="s">
        <v>1236</v>
      </c>
      <c r="B1096" s="25" t="s">
        <v>1237</v>
      </c>
      <c r="C1096" s="3" t="s">
        <v>46</v>
      </c>
      <c r="D1096" s="3">
        <v>20</v>
      </c>
      <c r="E1096" s="3" t="s">
        <v>1855</v>
      </c>
      <c r="F1096" s="3">
        <v>10.6</v>
      </c>
      <c r="G1096" s="20">
        <f t="shared" si="44"/>
        <v>6.5720000000000001</v>
      </c>
      <c r="H1096" s="20">
        <f t="shared" si="47"/>
        <v>131.44</v>
      </c>
      <c r="J1096" s="43" t="s">
        <v>1237</v>
      </c>
    </row>
    <row r="1097" spans="1:10" x14ac:dyDescent="0.25">
      <c r="A1097" s="61" t="s">
        <v>34</v>
      </c>
      <c r="B1097" s="25" t="s">
        <v>35</v>
      </c>
      <c r="C1097" s="3" t="s">
        <v>46</v>
      </c>
      <c r="D1097" s="3">
        <v>4</v>
      </c>
      <c r="E1097" s="3" t="s">
        <v>1855</v>
      </c>
      <c r="F1097" s="3">
        <v>57.2</v>
      </c>
      <c r="G1097" s="20">
        <f t="shared" si="44"/>
        <v>35.463999999999999</v>
      </c>
      <c r="H1097" s="20">
        <f t="shared" si="47"/>
        <v>141.85599999999999</v>
      </c>
      <c r="J1097" s="43" t="s">
        <v>1875</v>
      </c>
    </row>
    <row r="1098" spans="1:10" x14ac:dyDescent="0.25">
      <c r="A1098" s="61" t="s">
        <v>1273</v>
      </c>
      <c r="B1098" s="25" t="s">
        <v>1274</v>
      </c>
      <c r="C1098" s="3" t="s">
        <v>47</v>
      </c>
      <c r="D1098" s="3">
        <v>2</v>
      </c>
      <c r="E1098" s="3" t="s">
        <v>1855</v>
      </c>
      <c r="F1098" s="3">
        <v>110</v>
      </c>
      <c r="G1098" s="20">
        <f t="shared" si="44"/>
        <v>68.2</v>
      </c>
      <c r="H1098" s="20">
        <f t="shared" si="47"/>
        <v>136.4</v>
      </c>
      <c r="J1098" s="43" t="s">
        <v>2270</v>
      </c>
    </row>
    <row r="1099" spans="1:10" x14ac:dyDescent="0.25">
      <c r="A1099" s="61" t="s">
        <v>1275</v>
      </c>
      <c r="B1099" s="25" t="s">
        <v>1276</v>
      </c>
      <c r="C1099" s="3" t="s">
        <v>46</v>
      </c>
      <c r="D1099" s="3">
        <v>4</v>
      </c>
      <c r="E1099" s="3" t="s">
        <v>1855</v>
      </c>
      <c r="F1099" s="3">
        <v>92.1</v>
      </c>
      <c r="G1099" s="20">
        <f t="shared" si="44"/>
        <v>57.101999999999997</v>
      </c>
      <c r="H1099" s="20">
        <f t="shared" si="47"/>
        <v>228.40799999999999</v>
      </c>
      <c r="J1099" s="43" t="s">
        <v>2271</v>
      </c>
    </row>
    <row r="1100" spans="1:10" x14ac:dyDescent="0.25">
      <c r="A1100" s="61" t="s">
        <v>1277</v>
      </c>
      <c r="B1100" s="25" t="s">
        <v>1278</v>
      </c>
      <c r="C1100" s="3" t="s">
        <v>46</v>
      </c>
      <c r="D1100" s="3">
        <v>4</v>
      </c>
      <c r="E1100" s="3" t="s">
        <v>1855</v>
      </c>
      <c r="F1100" s="3">
        <v>200</v>
      </c>
      <c r="G1100" s="20">
        <f t="shared" si="44"/>
        <v>124</v>
      </c>
      <c r="H1100" s="20">
        <f t="shared" si="47"/>
        <v>496</v>
      </c>
      <c r="J1100" s="43" t="s">
        <v>1278</v>
      </c>
    </row>
    <row r="1101" spans="1:10" x14ac:dyDescent="0.25">
      <c r="A1101" s="61" t="s">
        <v>1253</v>
      </c>
      <c r="B1101" s="25" t="s">
        <v>1254</v>
      </c>
      <c r="C1101" s="3" t="s">
        <v>47</v>
      </c>
      <c r="D1101" s="3">
        <v>4</v>
      </c>
      <c r="E1101" s="3" t="s">
        <v>1855</v>
      </c>
      <c r="F1101" s="3">
        <v>46.4</v>
      </c>
      <c r="G1101" s="20">
        <f t="shared" ref="G1101:G1164" si="48">F1101-(F1101*38%)</f>
        <v>28.768000000000001</v>
      </c>
      <c r="H1101" s="20">
        <f t="shared" si="47"/>
        <v>115.072</v>
      </c>
      <c r="J1101" s="43" t="s">
        <v>2262</v>
      </c>
    </row>
    <row r="1102" spans="1:10" x14ac:dyDescent="0.25">
      <c r="A1102" s="61" t="s">
        <v>543</v>
      </c>
      <c r="B1102" s="25" t="s">
        <v>544</v>
      </c>
      <c r="C1102" s="3" t="s">
        <v>47</v>
      </c>
      <c r="D1102" s="3">
        <v>2</v>
      </c>
      <c r="E1102" s="3" t="s">
        <v>1855</v>
      </c>
      <c r="F1102" s="3">
        <v>39.799999999999997</v>
      </c>
      <c r="G1102" s="20">
        <f t="shared" si="48"/>
        <v>24.675999999999998</v>
      </c>
      <c r="H1102" s="20">
        <f t="shared" si="47"/>
        <v>49.351999999999997</v>
      </c>
      <c r="J1102" s="43" t="s">
        <v>2058</v>
      </c>
    </row>
    <row r="1103" spans="1:10" x14ac:dyDescent="0.25">
      <c r="A1103" s="61" t="s">
        <v>1279</v>
      </c>
      <c r="B1103" s="25" t="s">
        <v>1280</v>
      </c>
      <c r="C1103" s="3" t="s">
        <v>46</v>
      </c>
      <c r="D1103" s="3">
        <v>2</v>
      </c>
      <c r="E1103" s="3" t="s">
        <v>1855</v>
      </c>
      <c r="F1103" s="3">
        <v>94</v>
      </c>
      <c r="G1103" s="20">
        <f t="shared" si="48"/>
        <v>58.28</v>
      </c>
      <c r="H1103" s="20">
        <f t="shared" si="47"/>
        <v>116.56</v>
      </c>
      <c r="J1103" s="43" t="s">
        <v>2272</v>
      </c>
    </row>
    <row r="1104" spans="1:10" x14ac:dyDescent="0.25">
      <c r="A1104" s="61" t="s">
        <v>1165</v>
      </c>
      <c r="B1104" s="25" t="s">
        <v>1166</v>
      </c>
      <c r="C1104" s="3" t="s">
        <v>46</v>
      </c>
      <c r="D1104" s="3">
        <v>4</v>
      </c>
      <c r="E1104" s="3" t="s">
        <v>1855</v>
      </c>
      <c r="F1104" s="3">
        <v>40</v>
      </c>
      <c r="G1104" s="20">
        <f t="shared" si="48"/>
        <v>24.8</v>
      </c>
      <c r="H1104" s="20">
        <f t="shared" si="47"/>
        <v>99.2</v>
      </c>
      <c r="J1104" s="43" t="s">
        <v>1166</v>
      </c>
    </row>
    <row r="1105" spans="1:10" x14ac:dyDescent="0.25">
      <c r="A1105" s="61" t="s">
        <v>73</v>
      </c>
      <c r="B1105" s="25" t="s">
        <v>74</v>
      </c>
      <c r="C1105" s="3" t="s">
        <v>46</v>
      </c>
      <c r="D1105" s="3">
        <v>4</v>
      </c>
      <c r="E1105" s="3" t="s">
        <v>1855</v>
      </c>
      <c r="F1105" s="3">
        <v>30</v>
      </c>
      <c r="G1105" s="20">
        <f t="shared" si="48"/>
        <v>18.600000000000001</v>
      </c>
      <c r="H1105" s="20">
        <f t="shared" si="47"/>
        <v>74.400000000000006</v>
      </c>
      <c r="J1105" s="43" t="s">
        <v>74</v>
      </c>
    </row>
    <row r="1106" spans="1:10" ht="15.75" x14ac:dyDescent="0.25">
      <c r="A1106" s="55" t="s">
        <v>3</v>
      </c>
      <c r="B1106" s="12" t="s">
        <v>1281</v>
      </c>
      <c r="C1106" s="3"/>
      <c r="D1106" s="3"/>
      <c r="E1106" s="20"/>
      <c r="F1106" s="3"/>
      <c r="G1106" s="3"/>
      <c r="H1106" s="20"/>
    </row>
    <row r="1107" spans="1:10" x14ac:dyDescent="0.25">
      <c r="A1107" s="61" t="s">
        <v>1282</v>
      </c>
      <c r="B1107" s="25" t="s">
        <v>1283</v>
      </c>
      <c r="C1107" s="3" t="s">
        <v>46</v>
      </c>
      <c r="D1107" s="3">
        <v>10</v>
      </c>
      <c r="E1107" s="3" t="s">
        <v>1855</v>
      </c>
      <c r="F1107" s="3">
        <v>23</v>
      </c>
      <c r="G1107" s="20">
        <f t="shared" si="48"/>
        <v>14.26</v>
      </c>
      <c r="H1107" s="20">
        <f>G1107*D1107</f>
        <v>142.6</v>
      </c>
      <c r="J1107" s="43" t="s">
        <v>2273</v>
      </c>
    </row>
    <row r="1108" spans="1:10" x14ac:dyDescent="0.25">
      <c r="A1108" s="61" t="s">
        <v>531</v>
      </c>
      <c r="B1108" s="25" t="s">
        <v>532</v>
      </c>
      <c r="C1108" s="3" t="s">
        <v>46</v>
      </c>
      <c r="D1108" s="3">
        <v>10</v>
      </c>
      <c r="E1108" s="3" t="s">
        <v>1855</v>
      </c>
      <c r="F1108" s="3">
        <v>51.6</v>
      </c>
      <c r="G1108" s="20">
        <f t="shared" si="48"/>
        <v>31.992000000000001</v>
      </c>
      <c r="H1108" s="20">
        <f>G1108*D1108</f>
        <v>319.92</v>
      </c>
      <c r="J1108" s="43" t="s">
        <v>2057</v>
      </c>
    </row>
    <row r="1109" spans="1:10" x14ac:dyDescent="0.25">
      <c r="A1109" s="62" t="s">
        <v>57</v>
      </c>
      <c r="B1109" s="26" t="s">
        <v>58</v>
      </c>
      <c r="C1109" s="3" t="s">
        <v>47</v>
      </c>
      <c r="D1109" s="3">
        <v>10</v>
      </c>
      <c r="E1109" s="3" t="s">
        <v>1855</v>
      </c>
      <c r="F1109" s="3">
        <v>22.4</v>
      </c>
      <c r="G1109" s="20">
        <f t="shared" si="48"/>
        <v>13.888</v>
      </c>
      <c r="H1109" s="20">
        <f>G1109*D1109</f>
        <v>138.88</v>
      </c>
      <c r="J1109" s="43" t="s">
        <v>1886</v>
      </c>
    </row>
    <row r="1110" spans="1:10" ht="15.75" x14ac:dyDescent="0.25">
      <c r="A1110" s="47" t="s">
        <v>1791</v>
      </c>
      <c r="B1110" s="28" t="s">
        <v>1792</v>
      </c>
      <c r="C1110" s="3" t="s">
        <v>46</v>
      </c>
      <c r="D1110" s="3">
        <v>2</v>
      </c>
      <c r="E1110" s="3" t="s">
        <v>1856</v>
      </c>
      <c r="F1110" s="3">
        <v>296.5</v>
      </c>
      <c r="G1110" s="20">
        <f t="shared" si="48"/>
        <v>183.82999999999998</v>
      </c>
      <c r="H1110" s="20">
        <f>G1110*D1110</f>
        <v>367.65999999999997</v>
      </c>
      <c r="J1110" s="43" t="s">
        <v>1880</v>
      </c>
    </row>
    <row r="1111" spans="1:10" ht="15.75" x14ac:dyDescent="0.25">
      <c r="A1111" s="47" t="s">
        <v>1793</v>
      </c>
      <c r="B1111" s="28" t="s">
        <v>1794</v>
      </c>
      <c r="C1111" s="3" t="s">
        <v>46</v>
      </c>
      <c r="D1111" s="3">
        <v>2</v>
      </c>
      <c r="E1111" s="3" t="s">
        <v>1855</v>
      </c>
      <c r="F1111" s="3">
        <v>96.6</v>
      </c>
      <c r="G1111" s="20">
        <f t="shared" si="48"/>
        <v>59.891999999999996</v>
      </c>
      <c r="H1111" s="20">
        <f>G1111*D1111</f>
        <v>119.78399999999999</v>
      </c>
      <c r="J1111" s="43" t="s">
        <v>1881</v>
      </c>
    </row>
    <row r="1112" spans="1:10" s="5" customFormat="1" ht="15.75" x14ac:dyDescent="0.25">
      <c r="A1112" s="51"/>
      <c r="B1112" s="41" t="s">
        <v>1860</v>
      </c>
      <c r="C1112" s="4"/>
      <c r="D1112" s="4"/>
      <c r="E1112" s="4"/>
      <c r="F1112" s="4"/>
      <c r="G1112" s="4"/>
      <c r="H1112" s="4"/>
      <c r="J1112" s="43"/>
    </row>
    <row r="1113" spans="1:10" ht="15.75" x14ac:dyDescent="0.25">
      <c r="A1113" s="55"/>
      <c r="B1113" s="12" t="s">
        <v>1269</v>
      </c>
      <c r="C1113" s="3"/>
      <c r="D1113" s="3"/>
      <c r="E1113" s="20"/>
      <c r="F1113" s="3"/>
      <c r="G1113" s="3"/>
      <c r="H1113" s="20"/>
    </row>
    <row r="1114" spans="1:10" x14ac:dyDescent="0.25">
      <c r="A1114" s="61" t="s">
        <v>316</v>
      </c>
      <c r="B1114" s="25" t="s">
        <v>317</v>
      </c>
      <c r="C1114" s="3" t="s">
        <v>46</v>
      </c>
      <c r="D1114" s="3">
        <v>1</v>
      </c>
      <c r="E1114" s="3" t="s">
        <v>1855</v>
      </c>
      <c r="F1114" s="3">
        <v>13.1</v>
      </c>
      <c r="G1114" s="20">
        <f t="shared" si="48"/>
        <v>8.1219999999999999</v>
      </c>
      <c r="H1114" s="20">
        <f>G1114*D1114</f>
        <v>8.1219999999999999</v>
      </c>
      <c r="J1114" s="43" t="s">
        <v>1995</v>
      </c>
    </row>
    <row r="1115" spans="1:10" x14ac:dyDescent="0.25">
      <c r="A1115" s="61" t="s">
        <v>1239</v>
      </c>
      <c r="B1115" s="25" t="s">
        <v>1240</v>
      </c>
      <c r="C1115" s="3" t="s">
        <v>46</v>
      </c>
      <c r="D1115" s="3">
        <v>1</v>
      </c>
      <c r="E1115" s="3" t="s">
        <v>1855</v>
      </c>
      <c r="F1115" s="3">
        <v>14.6</v>
      </c>
      <c r="G1115" s="20">
        <f t="shared" si="48"/>
        <v>9.0519999999999996</v>
      </c>
      <c r="H1115" s="20">
        <f>G1115*D1115</f>
        <v>9.0519999999999996</v>
      </c>
      <c r="J1115" s="43" t="s">
        <v>2256</v>
      </c>
    </row>
    <row r="1116" spans="1:10" x14ac:dyDescent="0.25">
      <c r="A1116" s="61" t="s">
        <v>418</v>
      </c>
      <c r="B1116" s="25" t="s">
        <v>419</v>
      </c>
      <c r="C1116" s="3" t="s">
        <v>47</v>
      </c>
      <c r="D1116" s="3">
        <v>1</v>
      </c>
      <c r="E1116" s="3" t="s">
        <v>1855</v>
      </c>
      <c r="F1116" s="3">
        <v>16</v>
      </c>
      <c r="G1116" s="20">
        <f t="shared" si="48"/>
        <v>9.92</v>
      </c>
      <c r="H1116" s="20">
        <f>G1116*D1116</f>
        <v>9.92</v>
      </c>
      <c r="J1116" s="43" t="s">
        <v>2024</v>
      </c>
    </row>
    <row r="1117" spans="1:10" x14ac:dyDescent="0.25">
      <c r="A1117" s="61" t="s">
        <v>1284</v>
      </c>
      <c r="B1117" s="25" t="s">
        <v>1285</v>
      </c>
      <c r="C1117" s="3" t="s">
        <v>46</v>
      </c>
      <c r="D1117" s="3">
        <v>1</v>
      </c>
      <c r="E1117" s="3" t="s">
        <v>1855</v>
      </c>
      <c r="F1117" s="3">
        <v>11.6</v>
      </c>
      <c r="G1117" s="20">
        <f t="shared" si="48"/>
        <v>7.1920000000000002</v>
      </c>
      <c r="H1117" s="20">
        <f>G1117*D1117</f>
        <v>7.1920000000000002</v>
      </c>
      <c r="J1117" s="43" t="s">
        <v>1285</v>
      </c>
    </row>
    <row r="1118" spans="1:10" ht="15.75" x14ac:dyDescent="0.25">
      <c r="A1118" s="55" t="s">
        <v>3</v>
      </c>
      <c r="B1118" s="12" t="s">
        <v>1286</v>
      </c>
      <c r="C1118" s="3"/>
      <c r="D1118" s="3"/>
      <c r="E1118" s="20"/>
      <c r="F1118" s="3"/>
      <c r="G1118" s="3"/>
      <c r="H1118" s="20"/>
    </row>
    <row r="1119" spans="1:10" x14ac:dyDescent="0.25">
      <c r="A1119" s="61" t="s">
        <v>1243</v>
      </c>
      <c r="B1119" s="25" t="s">
        <v>1244</v>
      </c>
      <c r="C1119" s="3" t="s">
        <v>47</v>
      </c>
      <c r="D1119" s="3">
        <v>1</v>
      </c>
      <c r="E1119" s="3" t="s">
        <v>1855</v>
      </c>
      <c r="F1119" s="3">
        <v>30.6</v>
      </c>
      <c r="G1119" s="20">
        <f t="shared" si="48"/>
        <v>18.972000000000001</v>
      </c>
      <c r="H1119" s="20">
        <f t="shared" ref="H1119:H1130" si="49">G1119*D1119</f>
        <v>18.972000000000001</v>
      </c>
      <c r="J1119" s="43" t="s">
        <v>2258</v>
      </c>
    </row>
    <row r="1120" spans="1:10" x14ac:dyDescent="0.25">
      <c r="A1120" s="61" t="s">
        <v>1236</v>
      </c>
      <c r="B1120" s="25" t="s">
        <v>1237</v>
      </c>
      <c r="C1120" s="3" t="s">
        <v>46</v>
      </c>
      <c r="D1120" s="3">
        <v>10</v>
      </c>
      <c r="E1120" s="3" t="s">
        <v>1855</v>
      </c>
      <c r="F1120" s="3">
        <v>10.6</v>
      </c>
      <c r="G1120" s="20">
        <f t="shared" si="48"/>
        <v>6.5720000000000001</v>
      </c>
      <c r="H1120" s="20">
        <f t="shared" si="49"/>
        <v>65.72</v>
      </c>
      <c r="J1120" s="43" t="s">
        <v>1237</v>
      </c>
    </row>
    <row r="1121" spans="1:10" x14ac:dyDescent="0.25">
      <c r="A1121" s="61" t="s">
        <v>34</v>
      </c>
      <c r="B1121" s="25" t="s">
        <v>35</v>
      </c>
      <c r="C1121" s="3" t="s">
        <v>46</v>
      </c>
      <c r="D1121" s="3">
        <v>2</v>
      </c>
      <c r="E1121" s="3" t="s">
        <v>1855</v>
      </c>
      <c r="F1121" s="3">
        <v>57.2</v>
      </c>
      <c r="G1121" s="20">
        <f t="shared" si="48"/>
        <v>35.463999999999999</v>
      </c>
      <c r="H1121" s="20">
        <f t="shared" si="49"/>
        <v>70.927999999999997</v>
      </c>
      <c r="J1121" s="43" t="s">
        <v>1875</v>
      </c>
    </row>
    <row r="1122" spans="1:10" x14ac:dyDescent="0.25">
      <c r="A1122" s="61" t="s">
        <v>1287</v>
      </c>
      <c r="B1122" s="25" t="s">
        <v>1288</v>
      </c>
      <c r="C1122" s="3" t="s">
        <v>46</v>
      </c>
      <c r="D1122" s="3">
        <v>2</v>
      </c>
      <c r="E1122" s="3" t="s">
        <v>1855</v>
      </c>
      <c r="F1122" s="3">
        <v>9.85</v>
      </c>
      <c r="G1122" s="20">
        <f t="shared" si="48"/>
        <v>6.1069999999999993</v>
      </c>
      <c r="H1122" s="20">
        <f t="shared" si="49"/>
        <v>12.213999999999999</v>
      </c>
      <c r="J1122" s="43" t="s">
        <v>2274</v>
      </c>
    </row>
    <row r="1123" spans="1:10" x14ac:dyDescent="0.25">
      <c r="A1123" s="61" t="s">
        <v>103</v>
      </c>
      <c r="B1123" s="25" t="s">
        <v>104</v>
      </c>
      <c r="C1123" s="3" t="s">
        <v>47</v>
      </c>
      <c r="D1123" s="3">
        <v>1</v>
      </c>
      <c r="E1123" s="3" t="s">
        <v>1855</v>
      </c>
      <c r="F1123" s="3">
        <v>65.599999999999994</v>
      </c>
      <c r="G1123" s="20">
        <f t="shared" si="48"/>
        <v>40.671999999999997</v>
      </c>
      <c r="H1123" s="20">
        <f t="shared" si="49"/>
        <v>40.671999999999997</v>
      </c>
      <c r="J1123" s="43" t="s">
        <v>1900</v>
      </c>
    </row>
    <row r="1124" spans="1:10" x14ac:dyDescent="0.25">
      <c r="A1124" s="61" t="s">
        <v>1289</v>
      </c>
      <c r="B1124" s="25" t="s">
        <v>1290</v>
      </c>
      <c r="C1124" s="3" t="s">
        <v>47</v>
      </c>
      <c r="D1124" s="3">
        <v>1</v>
      </c>
      <c r="E1124" s="3" t="s">
        <v>1855</v>
      </c>
      <c r="F1124" s="3">
        <v>79.7</v>
      </c>
      <c r="G1124" s="20">
        <f t="shared" si="48"/>
        <v>49.414000000000001</v>
      </c>
      <c r="H1124" s="20">
        <f t="shared" si="49"/>
        <v>49.414000000000001</v>
      </c>
      <c r="J1124" s="43" t="s">
        <v>1290</v>
      </c>
    </row>
    <row r="1125" spans="1:10" x14ac:dyDescent="0.25">
      <c r="A1125" s="61" t="s">
        <v>1291</v>
      </c>
      <c r="B1125" s="25" t="s">
        <v>1292</v>
      </c>
      <c r="C1125" s="3" t="s">
        <v>47</v>
      </c>
      <c r="D1125" s="3">
        <v>1</v>
      </c>
      <c r="E1125" s="3" t="s">
        <v>1855</v>
      </c>
      <c r="F1125" s="3">
        <v>45.1</v>
      </c>
      <c r="G1125" s="20">
        <f t="shared" si="48"/>
        <v>27.962</v>
      </c>
      <c r="H1125" s="20">
        <f t="shared" si="49"/>
        <v>27.962</v>
      </c>
      <c r="J1125" s="43" t="s">
        <v>1292</v>
      </c>
    </row>
    <row r="1126" spans="1:10" x14ac:dyDescent="0.25">
      <c r="A1126" s="61" t="s">
        <v>1293</v>
      </c>
      <c r="B1126" s="25" t="s">
        <v>1294</v>
      </c>
      <c r="C1126" s="3" t="s">
        <v>46</v>
      </c>
      <c r="D1126" s="3">
        <v>1</v>
      </c>
      <c r="E1126" s="3" t="s">
        <v>1855</v>
      </c>
      <c r="F1126" s="3">
        <v>92.7</v>
      </c>
      <c r="G1126" s="20">
        <f t="shared" si="48"/>
        <v>57.474000000000004</v>
      </c>
      <c r="H1126" s="20">
        <f t="shared" si="49"/>
        <v>57.474000000000004</v>
      </c>
      <c r="J1126" s="43" t="s">
        <v>1294</v>
      </c>
    </row>
    <row r="1127" spans="1:10" x14ac:dyDescent="0.25">
      <c r="A1127" s="61" t="s">
        <v>543</v>
      </c>
      <c r="B1127" s="25" t="s">
        <v>544</v>
      </c>
      <c r="C1127" s="3" t="s">
        <v>47</v>
      </c>
      <c r="D1127" s="3">
        <v>1</v>
      </c>
      <c r="E1127" s="3" t="s">
        <v>1855</v>
      </c>
      <c r="F1127" s="3">
        <v>39.799999999999997</v>
      </c>
      <c r="G1127" s="20">
        <f t="shared" si="48"/>
        <v>24.675999999999998</v>
      </c>
      <c r="H1127" s="20">
        <f t="shared" si="49"/>
        <v>24.675999999999998</v>
      </c>
      <c r="J1127" s="43" t="s">
        <v>2058</v>
      </c>
    </row>
    <row r="1128" spans="1:10" x14ac:dyDescent="0.25">
      <c r="A1128" s="61" t="s">
        <v>1200</v>
      </c>
      <c r="B1128" s="25" t="s">
        <v>1201</v>
      </c>
      <c r="C1128" s="3" t="s">
        <v>47</v>
      </c>
      <c r="D1128" s="3">
        <v>1</v>
      </c>
      <c r="E1128" s="3" t="s">
        <v>1855</v>
      </c>
      <c r="F1128" s="3">
        <v>89.2</v>
      </c>
      <c r="G1128" s="20">
        <f t="shared" si="48"/>
        <v>55.304000000000002</v>
      </c>
      <c r="H1128" s="20">
        <f t="shared" si="49"/>
        <v>55.304000000000002</v>
      </c>
      <c r="J1128" s="43" t="s">
        <v>2242</v>
      </c>
    </row>
    <row r="1129" spans="1:10" x14ac:dyDescent="0.25">
      <c r="A1129" s="61" t="s">
        <v>1165</v>
      </c>
      <c r="B1129" s="25" t="s">
        <v>1166</v>
      </c>
      <c r="C1129" s="3" t="s">
        <v>46</v>
      </c>
      <c r="D1129" s="3">
        <v>1</v>
      </c>
      <c r="E1129" s="3" t="s">
        <v>1855</v>
      </c>
      <c r="F1129" s="3">
        <v>40</v>
      </c>
      <c r="G1129" s="20">
        <f t="shared" si="48"/>
        <v>24.8</v>
      </c>
      <c r="H1129" s="20">
        <f t="shared" si="49"/>
        <v>24.8</v>
      </c>
      <c r="J1129" s="43" t="s">
        <v>1166</v>
      </c>
    </row>
    <row r="1130" spans="1:10" x14ac:dyDescent="0.25">
      <c r="A1130" s="61" t="s">
        <v>73</v>
      </c>
      <c r="B1130" s="25" t="s">
        <v>74</v>
      </c>
      <c r="C1130" s="3" t="s">
        <v>46</v>
      </c>
      <c r="D1130" s="3">
        <v>1</v>
      </c>
      <c r="E1130" s="3" t="s">
        <v>1855</v>
      </c>
      <c r="F1130" s="3">
        <v>30</v>
      </c>
      <c r="G1130" s="20">
        <f t="shared" si="48"/>
        <v>18.600000000000001</v>
      </c>
      <c r="H1130" s="20">
        <f t="shared" si="49"/>
        <v>18.600000000000001</v>
      </c>
      <c r="J1130" s="43" t="s">
        <v>74</v>
      </c>
    </row>
    <row r="1131" spans="1:10" ht="15.75" x14ac:dyDescent="0.25">
      <c r="A1131" s="55" t="s">
        <v>3</v>
      </c>
      <c r="B1131" s="12" t="s">
        <v>1295</v>
      </c>
      <c r="C1131" s="3"/>
      <c r="D1131" s="3"/>
      <c r="E1131" s="20"/>
      <c r="F1131" s="3"/>
      <c r="G1131" s="3"/>
      <c r="H1131" s="20"/>
    </row>
    <row r="1132" spans="1:10" x14ac:dyDescent="0.25">
      <c r="A1132" s="61" t="s">
        <v>1282</v>
      </c>
      <c r="B1132" s="25" t="s">
        <v>1283</v>
      </c>
      <c r="C1132" s="3" t="s">
        <v>46</v>
      </c>
      <c r="D1132" s="3">
        <v>3</v>
      </c>
      <c r="E1132" s="3" t="s">
        <v>1855</v>
      </c>
      <c r="F1132" s="3">
        <v>23</v>
      </c>
      <c r="G1132" s="20">
        <f t="shared" si="48"/>
        <v>14.26</v>
      </c>
      <c r="H1132" s="20">
        <f t="shared" ref="H1132:H1138" si="50">G1132*D1132</f>
        <v>42.78</v>
      </c>
      <c r="J1132" s="43" t="s">
        <v>2273</v>
      </c>
    </row>
    <row r="1133" spans="1:10" x14ac:dyDescent="0.25">
      <c r="A1133" s="61" t="s">
        <v>531</v>
      </c>
      <c r="B1133" s="25" t="s">
        <v>532</v>
      </c>
      <c r="C1133" s="3" t="s">
        <v>46</v>
      </c>
      <c r="D1133" s="3">
        <v>3</v>
      </c>
      <c r="E1133" s="3" t="s">
        <v>1855</v>
      </c>
      <c r="F1133" s="3">
        <v>51.6</v>
      </c>
      <c r="G1133" s="20">
        <f t="shared" si="48"/>
        <v>31.992000000000001</v>
      </c>
      <c r="H1133" s="20">
        <f t="shared" si="50"/>
        <v>95.975999999999999</v>
      </c>
      <c r="J1133" s="43" t="s">
        <v>2057</v>
      </c>
    </row>
    <row r="1134" spans="1:10" x14ac:dyDescent="0.25">
      <c r="A1134" s="61" t="s">
        <v>57</v>
      </c>
      <c r="B1134" s="25" t="s">
        <v>58</v>
      </c>
      <c r="C1134" s="3" t="s">
        <v>47</v>
      </c>
      <c r="D1134" s="3">
        <v>10</v>
      </c>
      <c r="E1134" s="3" t="s">
        <v>1855</v>
      </c>
      <c r="F1134" s="3">
        <v>22.4</v>
      </c>
      <c r="G1134" s="20">
        <f t="shared" si="48"/>
        <v>13.888</v>
      </c>
      <c r="H1134" s="20">
        <f t="shared" si="50"/>
        <v>138.88</v>
      </c>
      <c r="J1134" s="43" t="s">
        <v>1886</v>
      </c>
    </row>
    <row r="1135" spans="1:10" x14ac:dyDescent="0.25">
      <c r="A1135" s="61" t="s">
        <v>55</v>
      </c>
      <c r="B1135" s="25" t="s">
        <v>56</v>
      </c>
      <c r="C1135" s="3" t="s">
        <v>47</v>
      </c>
      <c r="D1135" s="3">
        <v>10</v>
      </c>
      <c r="E1135" s="3" t="s">
        <v>1855</v>
      </c>
      <c r="F1135" s="3">
        <v>23.9</v>
      </c>
      <c r="G1135" s="20">
        <f t="shared" si="48"/>
        <v>14.818</v>
      </c>
      <c r="H1135" s="20">
        <f t="shared" si="50"/>
        <v>148.18</v>
      </c>
      <c r="J1135" s="43" t="s">
        <v>1885</v>
      </c>
    </row>
    <row r="1136" spans="1:10" x14ac:dyDescent="0.25">
      <c r="A1136" s="62" t="s">
        <v>30</v>
      </c>
      <c r="B1136" s="26" t="s">
        <v>31</v>
      </c>
      <c r="C1136" s="3" t="s">
        <v>46</v>
      </c>
      <c r="D1136" s="3">
        <v>10</v>
      </c>
      <c r="E1136" s="3" t="s">
        <v>1855</v>
      </c>
      <c r="F1136" s="3">
        <v>24.3</v>
      </c>
      <c r="G1136" s="20">
        <f t="shared" si="48"/>
        <v>15.066000000000001</v>
      </c>
      <c r="H1136" s="20">
        <f t="shared" si="50"/>
        <v>150.66</v>
      </c>
      <c r="J1136" s="43" t="s">
        <v>1874</v>
      </c>
    </row>
    <row r="1137" spans="1:10" ht="15.75" x14ac:dyDescent="0.25">
      <c r="A1137" s="47" t="s">
        <v>1791</v>
      </c>
      <c r="B1137" s="28" t="s">
        <v>1792</v>
      </c>
      <c r="C1137" s="3" t="s">
        <v>46</v>
      </c>
      <c r="D1137" s="3">
        <v>1</v>
      </c>
      <c r="E1137" s="3" t="s">
        <v>1856</v>
      </c>
      <c r="F1137" s="3">
        <v>296.5</v>
      </c>
      <c r="G1137" s="20">
        <f t="shared" si="48"/>
        <v>183.82999999999998</v>
      </c>
      <c r="H1137" s="20">
        <f t="shared" si="50"/>
        <v>183.82999999999998</v>
      </c>
      <c r="J1137" s="43" t="s">
        <v>1880</v>
      </c>
    </row>
    <row r="1138" spans="1:10" ht="15.75" x14ac:dyDescent="0.25">
      <c r="A1138" s="47" t="s">
        <v>1793</v>
      </c>
      <c r="B1138" s="28" t="s">
        <v>1794</v>
      </c>
      <c r="C1138" s="3" t="s">
        <v>46</v>
      </c>
      <c r="D1138" s="3">
        <v>1</v>
      </c>
      <c r="E1138" s="3" t="s">
        <v>1855</v>
      </c>
      <c r="F1138" s="3">
        <v>96.6</v>
      </c>
      <c r="G1138" s="20">
        <f t="shared" si="48"/>
        <v>59.891999999999996</v>
      </c>
      <c r="H1138" s="20">
        <f t="shared" si="50"/>
        <v>59.891999999999996</v>
      </c>
      <c r="J1138" s="43" t="s">
        <v>1881</v>
      </c>
    </row>
    <row r="1139" spans="1:10" s="5" customFormat="1" ht="15.75" x14ac:dyDescent="0.25">
      <c r="A1139" s="51"/>
      <c r="B1139" s="41" t="s">
        <v>1861</v>
      </c>
      <c r="C1139" s="4"/>
      <c r="D1139" s="4"/>
      <c r="E1139" s="4"/>
      <c r="F1139" s="4"/>
      <c r="G1139" s="4"/>
      <c r="H1139" s="4"/>
      <c r="J1139" s="43"/>
    </row>
    <row r="1140" spans="1:10" ht="15.75" x14ac:dyDescent="0.25">
      <c r="A1140" s="55"/>
      <c r="B1140" s="12" t="s">
        <v>1296</v>
      </c>
      <c r="C1140" s="3"/>
      <c r="D1140" s="3"/>
      <c r="E1140" s="20"/>
      <c r="F1140" s="3"/>
      <c r="G1140" s="3"/>
      <c r="H1140" s="20"/>
    </row>
    <row r="1141" spans="1:10" x14ac:dyDescent="0.25">
      <c r="A1141" s="61" t="s">
        <v>1297</v>
      </c>
      <c r="B1141" s="25" t="s">
        <v>754</v>
      </c>
      <c r="C1141" s="3" t="s">
        <v>46</v>
      </c>
      <c r="D1141" s="3">
        <v>1</v>
      </c>
      <c r="E1141" s="3" t="s">
        <v>1855</v>
      </c>
      <c r="F1141" s="3">
        <v>248.5</v>
      </c>
      <c r="G1141" s="20">
        <f t="shared" si="48"/>
        <v>154.07</v>
      </c>
      <c r="H1141" s="20">
        <f t="shared" ref="H1141:H1146" si="51">G1141*D1141</f>
        <v>154.07</v>
      </c>
      <c r="J1141" s="43" t="s">
        <v>754</v>
      </c>
    </row>
    <row r="1142" spans="1:10" x14ac:dyDescent="0.25">
      <c r="A1142" s="61" t="s">
        <v>1298</v>
      </c>
      <c r="B1142" s="25" t="s">
        <v>750</v>
      </c>
      <c r="C1142" s="3" t="s">
        <v>46</v>
      </c>
      <c r="D1142" s="3">
        <v>1</v>
      </c>
      <c r="E1142" s="3" t="s">
        <v>1855</v>
      </c>
      <c r="F1142" s="3">
        <v>241</v>
      </c>
      <c r="G1142" s="20">
        <f t="shared" si="48"/>
        <v>149.42000000000002</v>
      </c>
      <c r="H1142" s="20">
        <f t="shared" si="51"/>
        <v>149.42000000000002</v>
      </c>
      <c r="J1142" s="43" t="s">
        <v>750</v>
      </c>
    </row>
    <row r="1143" spans="1:10" x14ac:dyDescent="0.25">
      <c r="A1143" s="61" t="s">
        <v>1299</v>
      </c>
      <c r="B1143" s="25" t="s">
        <v>1300</v>
      </c>
      <c r="C1143" s="3" t="s">
        <v>46</v>
      </c>
      <c r="D1143" s="3">
        <v>1</v>
      </c>
      <c r="E1143" s="3" t="s">
        <v>1855</v>
      </c>
      <c r="F1143" s="3">
        <v>57.2</v>
      </c>
      <c r="G1143" s="20">
        <f t="shared" si="48"/>
        <v>35.463999999999999</v>
      </c>
      <c r="H1143" s="20">
        <f t="shared" si="51"/>
        <v>35.463999999999999</v>
      </c>
      <c r="J1143" s="43" t="s">
        <v>2275</v>
      </c>
    </row>
    <row r="1144" spans="1:10" x14ac:dyDescent="0.25">
      <c r="A1144" s="61" t="s">
        <v>1301</v>
      </c>
      <c r="B1144" s="25" t="s">
        <v>1302</v>
      </c>
      <c r="C1144" s="3" t="s">
        <v>46</v>
      </c>
      <c r="D1144" s="3">
        <v>1</v>
      </c>
      <c r="E1144" s="3" t="s">
        <v>1855</v>
      </c>
      <c r="F1144" s="3">
        <v>337</v>
      </c>
      <c r="G1144" s="20">
        <f t="shared" si="48"/>
        <v>208.94</v>
      </c>
      <c r="H1144" s="20">
        <f t="shared" si="51"/>
        <v>208.94</v>
      </c>
      <c r="J1144" s="43" t="s">
        <v>1302</v>
      </c>
    </row>
    <row r="1145" spans="1:10" x14ac:dyDescent="0.25">
      <c r="A1145" s="61" t="s">
        <v>1303</v>
      </c>
      <c r="B1145" s="25" t="s">
        <v>1304</v>
      </c>
      <c r="C1145" s="3" t="s">
        <v>46</v>
      </c>
      <c r="D1145" s="3">
        <v>1</v>
      </c>
      <c r="E1145" s="3" t="s">
        <v>1855</v>
      </c>
      <c r="F1145" s="3">
        <v>354.5</v>
      </c>
      <c r="G1145" s="20">
        <f t="shared" si="48"/>
        <v>219.79</v>
      </c>
      <c r="H1145" s="20">
        <f t="shared" si="51"/>
        <v>219.79</v>
      </c>
      <c r="J1145" s="43" t="s">
        <v>1304</v>
      </c>
    </row>
    <row r="1146" spans="1:10" x14ac:dyDescent="0.25">
      <c r="A1146" s="61" t="s">
        <v>1305</v>
      </c>
      <c r="B1146" s="25" t="s">
        <v>1306</v>
      </c>
      <c r="C1146" s="3" t="s">
        <v>46</v>
      </c>
      <c r="D1146" s="3">
        <v>1</v>
      </c>
      <c r="E1146" s="3" t="s">
        <v>1855</v>
      </c>
      <c r="F1146" s="3">
        <v>349.5</v>
      </c>
      <c r="G1146" s="20">
        <f t="shared" si="48"/>
        <v>216.69</v>
      </c>
      <c r="H1146" s="20">
        <f t="shared" si="51"/>
        <v>216.69</v>
      </c>
      <c r="J1146" s="43" t="s">
        <v>1306</v>
      </c>
    </row>
    <row r="1147" spans="1:10" ht="15.75" x14ac:dyDescent="0.25">
      <c r="A1147" s="55"/>
      <c r="B1147" s="12" t="s">
        <v>1307</v>
      </c>
      <c r="C1147" s="3"/>
      <c r="D1147" s="3"/>
      <c r="E1147" s="20"/>
      <c r="F1147" s="3"/>
      <c r="G1147" s="3"/>
      <c r="H1147" s="20"/>
    </row>
    <row r="1148" spans="1:10" x14ac:dyDescent="0.25">
      <c r="A1148" s="62" t="s">
        <v>763</v>
      </c>
      <c r="B1148" s="26" t="s">
        <v>764</v>
      </c>
      <c r="C1148" s="3" t="s">
        <v>46</v>
      </c>
      <c r="D1148" s="3">
        <v>2</v>
      </c>
      <c r="E1148" s="3" t="s">
        <v>1855</v>
      </c>
      <c r="F1148" s="3">
        <v>47.4</v>
      </c>
      <c r="G1148" s="20">
        <f t="shared" si="48"/>
        <v>29.387999999999998</v>
      </c>
      <c r="H1148" s="20">
        <f>G1148*D1148</f>
        <v>58.775999999999996</v>
      </c>
      <c r="J1148" s="43" t="s">
        <v>2117</v>
      </c>
    </row>
    <row r="1149" spans="1:10" x14ac:dyDescent="0.25">
      <c r="A1149" s="62" t="s">
        <v>1791</v>
      </c>
      <c r="B1149" s="26" t="s">
        <v>1792</v>
      </c>
      <c r="C1149" s="3" t="s">
        <v>46</v>
      </c>
      <c r="D1149" s="3">
        <v>1</v>
      </c>
      <c r="E1149" s="3" t="s">
        <v>1856</v>
      </c>
      <c r="F1149" s="3">
        <v>296.5</v>
      </c>
      <c r="G1149" s="20">
        <f t="shared" si="48"/>
        <v>183.82999999999998</v>
      </c>
      <c r="H1149" s="20">
        <f>G1149*D1149</f>
        <v>183.82999999999998</v>
      </c>
      <c r="J1149" s="43" t="s">
        <v>1880</v>
      </c>
    </row>
    <row r="1150" spans="1:10" x14ac:dyDescent="0.25">
      <c r="A1150" s="62" t="s">
        <v>1793</v>
      </c>
      <c r="B1150" s="26" t="s">
        <v>1794</v>
      </c>
      <c r="C1150" s="3" t="s">
        <v>46</v>
      </c>
      <c r="D1150" s="3">
        <v>1</v>
      </c>
      <c r="E1150" s="3" t="s">
        <v>1855</v>
      </c>
      <c r="F1150" s="3">
        <v>96.6</v>
      </c>
      <c r="G1150" s="20">
        <f t="shared" si="48"/>
        <v>59.891999999999996</v>
      </c>
      <c r="H1150" s="20">
        <f>G1150*D1150</f>
        <v>59.891999999999996</v>
      </c>
      <c r="J1150" s="43" t="s">
        <v>1881</v>
      </c>
    </row>
    <row r="1151" spans="1:10" s="5" customFormat="1" ht="15.75" x14ac:dyDescent="0.25">
      <c r="A1151" s="51"/>
      <c r="B1151" s="41" t="s">
        <v>1862</v>
      </c>
      <c r="C1151" s="4"/>
      <c r="D1151" s="4"/>
      <c r="E1151" s="4"/>
      <c r="F1151" s="4"/>
      <c r="G1151" s="4"/>
      <c r="H1151" s="4"/>
      <c r="J1151" s="43"/>
    </row>
    <row r="1152" spans="1:10" x14ac:dyDescent="0.25">
      <c r="A1152" s="48"/>
      <c r="B1152" s="3" t="s">
        <v>1308</v>
      </c>
      <c r="C1152" s="3"/>
      <c r="D1152" s="3"/>
      <c r="E1152" s="20"/>
      <c r="F1152" s="3"/>
      <c r="G1152" s="3"/>
      <c r="H1152" s="20"/>
    </row>
    <row r="1153" spans="1:10" x14ac:dyDescent="0.25">
      <c r="A1153" s="46" t="s">
        <v>1309</v>
      </c>
      <c r="B1153" s="3" t="s">
        <v>1310</v>
      </c>
      <c r="C1153" s="3" t="s">
        <v>46</v>
      </c>
      <c r="D1153" s="3">
        <v>1</v>
      </c>
      <c r="E1153" s="3" t="s">
        <v>1855</v>
      </c>
      <c r="F1153" s="3">
        <v>175.5</v>
      </c>
      <c r="G1153" s="20">
        <f t="shared" si="48"/>
        <v>108.81</v>
      </c>
      <c r="H1153" s="20">
        <f t="shared" ref="H1153:H1164" si="52">G1153*D1153</f>
        <v>108.81</v>
      </c>
      <c r="J1153" s="43" t="s">
        <v>1310</v>
      </c>
    </row>
    <row r="1154" spans="1:10" x14ac:dyDescent="0.25">
      <c r="A1154" s="46" t="s">
        <v>1311</v>
      </c>
      <c r="B1154" s="3" t="s">
        <v>1312</v>
      </c>
      <c r="C1154" s="3" t="s">
        <v>46</v>
      </c>
      <c r="D1154" s="3">
        <v>1</v>
      </c>
      <c r="E1154" s="3" t="s">
        <v>1855</v>
      </c>
      <c r="F1154" s="3">
        <v>175.5</v>
      </c>
      <c r="G1154" s="20">
        <f t="shared" si="48"/>
        <v>108.81</v>
      </c>
      <c r="H1154" s="20">
        <f t="shared" si="52"/>
        <v>108.81</v>
      </c>
      <c r="J1154" s="43" t="s">
        <v>1312</v>
      </c>
    </row>
    <row r="1155" spans="1:10" x14ac:dyDescent="0.25">
      <c r="A1155" s="46" t="s">
        <v>1313</v>
      </c>
      <c r="B1155" s="3" t="s">
        <v>1314</v>
      </c>
      <c r="C1155" s="3" t="s">
        <v>46</v>
      </c>
      <c r="D1155" s="3">
        <v>1</v>
      </c>
      <c r="E1155" s="3" t="s">
        <v>1855</v>
      </c>
      <c r="F1155" s="3">
        <v>175.5</v>
      </c>
      <c r="G1155" s="20">
        <f t="shared" si="48"/>
        <v>108.81</v>
      </c>
      <c r="H1155" s="20">
        <f t="shared" si="52"/>
        <v>108.81</v>
      </c>
      <c r="J1155" s="43" t="s">
        <v>1314</v>
      </c>
    </row>
    <row r="1156" spans="1:10" x14ac:dyDescent="0.25">
      <c r="A1156" s="46" t="s">
        <v>1315</v>
      </c>
      <c r="B1156" s="3" t="s">
        <v>1316</v>
      </c>
      <c r="C1156" s="3" t="s">
        <v>46</v>
      </c>
      <c r="D1156" s="3">
        <v>1</v>
      </c>
      <c r="E1156" s="3" t="s">
        <v>1855</v>
      </c>
      <c r="F1156" s="3">
        <v>175.5</v>
      </c>
      <c r="G1156" s="20">
        <f t="shared" si="48"/>
        <v>108.81</v>
      </c>
      <c r="H1156" s="20">
        <f t="shared" si="52"/>
        <v>108.81</v>
      </c>
      <c r="J1156" s="43" t="s">
        <v>1316</v>
      </c>
    </row>
    <row r="1157" spans="1:10" x14ac:dyDescent="0.25">
      <c r="A1157" s="46" t="s">
        <v>1317</v>
      </c>
      <c r="B1157" s="3" t="s">
        <v>1318</v>
      </c>
      <c r="C1157" s="3" t="s">
        <v>46</v>
      </c>
      <c r="D1157" s="3">
        <v>1</v>
      </c>
      <c r="E1157" s="3" t="s">
        <v>1855</v>
      </c>
      <c r="F1157" s="3">
        <v>175.5</v>
      </c>
      <c r="G1157" s="20">
        <f t="shared" si="48"/>
        <v>108.81</v>
      </c>
      <c r="H1157" s="20">
        <f t="shared" si="52"/>
        <v>108.81</v>
      </c>
      <c r="J1157" s="43" t="s">
        <v>1318</v>
      </c>
    </row>
    <row r="1158" spans="1:10" x14ac:dyDescent="0.25">
      <c r="A1158" s="46" t="s">
        <v>1319</v>
      </c>
      <c r="B1158" s="3" t="s">
        <v>1320</v>
      </c>
      <c r="C1158" s="3" t="s">
        <v>46</v>
      </c>
      <c r="D1158" s="3">
        <v>1</v>
      </c>
      <c r="E1158" s="3" t="s">
        <v>1855</v>
      </c>
      <c r="F1158" s="3">
        <v>175.5</v>
      </c>
      <c r="G1158" s="20">
        <f t="shared" si="48"/>
        <v>108.81</v>
      </c>
      <c r="H1158" s="20">
        <f t="shared" si="52"/>
        <v>108.81</v>
      </c>
      <c r="J1158" s="43" t="s">
        <v>1320</v>
      </c>
    </row>
    <row r="1159" spans="1:10" x14ac:dyDescent="0.25">
      <c r="A1159" s="46" t="s">
        <v>1236</v>
      </c>
      <c r="B1159" s="3" t="s">
        <v>1237</v>
      </c>
      <c r="C1159" s="3" t="s">
        <v>46</v>
      </c>
      <c r="D1159" s="3">
        <v>10</v>
      </c>
      <c r="E1159" s="3" t="s">
        <v>1855</v>
      </c>
      <c r="F1159" s="3">
        <v>10.6</v>
      </c>
      <c r="G1159" s="20">
        <f t="shared" si="48"/>
        <v>6.5720000000000001</v>
      </c>
      <c r="H1159" s="20">
        <f t="shared" si="52"/>
        <v>65.72</v>
      </c>
      <c r="J1159" s="43" t="s">
        <v>1237</v>
      </c>
    </row>
    <row r="1160" spans="1:10" x14ac:dyDescent="0.25">
      <c r="A1160" s="46" t="s">
        <v>34</v>
      </c>
      <c r="B1160" s="3" t="s">
        <v>35</v>
      </c>
      <c r="C1160" s="3" t="s">
        <v>46</v>
      </c>
      <c r="D1160" s="3">
        <v>2</v>
      </c>
      <c r="E1160" s="3" t="s">
        <v>1855</v>
      </c>
      <c r="F1160" s="3">
        <v>57.2</v>
      </c>
      <c r="G1160" s="20">
        <f t="shared" si="48"/>
        <v>35.463999999999999</v>
      </c>
      <c r="H1160" s="20">
        <f t="shared" si="52"/>
        <v>70.927999999999997</v>
      </c>
      <c r="J1160" s="43" t="s">
        <v>1875</v>
      </c>
    </row>
    <row r="1161" spans="1:10" x14ac:dyDescent="0.25">
      <c r="A1161" s="46" t="s">
        <v>1321</v>
      </c>
      <c r="B1161" s="3" t="s">
        <v>1322</v>
      </c>
      <c r="C1161" s="3" t="s">
        <v>46</v>
      </c>
      <c r="D1161" s="3">
        <v>1</v>
      </c>
      <c r="E1161" s="3" t="s">
        <v>1855</v>
      </c>
      <c r="F1161" s="3">
        <v>175.5</v>
      </c>
      <c r="G1161" s="20">
        <f t="shared" si="48"/>
        <v>108.81</v>
      </c>
      <c r="H1161" s="20">
        <f t="shared" si="52"/>
        <v>108.81</v>
      </c>
      <c r="J1161" s="43" t="s">
        <v>1322</v>
      </c>
    </row>
    <row r="1162" spans="1:10" x14ac:dyDescent="0.25">
      <c r="A1162" s="46" t="s">
        <v>1323</v>
      </c>
      <c r="B1162" s="3" t="s">
        <v>1324</v>
      </c>
      <c r="C1162" s="3" t="s">
        <v>46</v>
      </c>
      <c r="D1162" s="3">
        <v>1</v>
      </c>
      <c r="E1162" s="3" t="s">
        <v>1855</v>
      </c>
      <c r="F1162" s="3">
        <v>175.5</v>
      </c>
      <c r="G1162" s="20">
        <f t="shared" si="48"/>
        <v>108.81</v>
      </c>
      <c r="H1162" s="20">
        <f t="shared" si="52"/>
        <v>108.81</v>
      </c>
      <c r="J1162" s="43" t="s">
        <v>1324</v>
      </c>
    </row>
    <row r="1163" spans="1:10" ht="15.75" x14ac:dyDescent="0.25">
      <c r="A1163" s="47" t="s">
        <v>1791</v>
      </c>
      <c r="B1163" s="28" t="s">
        <v>1792</v>
      </c>
      <c r="C1163" s="3" t="s">
        <v>46</v>
      </c>
      <c r="D1163" s="3">
        <v>1</v>
      </c>
      <c r="E1163" s="3" t="s">
        <v>1856</v>
      </c>
      <c r="F1163" s="3">
        <v>296.5</v>
      </c>
      <c r="G1163" s="20">
        <f t="shared" si="48"/>
        <v>183.82999999999998</v>
      </c>
      <c r="H1163" s="20">
        <f t="shared" si="52"/>
        <v>183.82999999999998</v>
      </c>
      <c r="J1163" s="43" t="s">
        <v>1880</v>
      </c>
    </row>
    <row r="1164" spans="1:10" ht="15.75" x14ac:dyDescent="0.25">
      <c r="A1164" s="47" t="s">
        <v>1791</v>
      </c>
      <c r="B1164" s="28" t="s">
        <v>1792</v>
      </c>
      <c r="C1164" s="3" t="s">
        <v>46</v>
      </c>
      <c r="D1164" s="3">
        <v>1</v>
      </c>
      <c r="E1164" s="3" t="s">
        <v>1856</v>
      </c>
      <c r="F1164" s="3">
        <v>296.5</v>
      </c>
      <c r="G1164" s="20">
        <f t="shared" si="48"/>
        <v>183.82999999999998</v>
      </c>
      <c r="H1164" s="20">
        <f t="shared" si="52"/>
        <v>183.82999999999998</v>
      </c>
      <c r="J1164" s="43" t="s">
        <v>1880</v>
      </c>
    </row>
    <row r="1165" spans="1:10" s="5" customFormat="1" x14ac:dyDescent="0.25">
      <c r="A1165" s="51"/>
      <c r="B1165" s="6" t="s">
        <v>1325</v>
      </c>
      <c r="C1165" s="4"/>
      <c r="D1165" s="29"/>
      <c r="E1165" s="4"/>
      <c r="F1165" s="4"/>
      <c r="G1165" s="4"/>
      <c r="H1165" s="4"/>
      <c r="J1165" s="43"/>
    </row>
    <row r="1166" spans="1:10" x14ac:dyDescent="0.25">
      <c r="A1166" s="46" t="s">
        <v>1326</v>
      </c>
      <c r="B1166" s="3" t="s">
        <v>1327</v>
      </c>
      <c r="C1166" s="3" t="s">
        <v>46</v>
      </c>
      <c r="D1166" s="3">
        <v>4</v>
      </c>
      <c r="E1166" s="3" t="s">
        <v>1855</v>
      </c>
      <c r="F1166" s="3">
        <v>82.3</v>
      </c>
      <c r="G1166" s="20">
        <f t="shared" ref="G1166:G1229" si="53">F1166-(F1166*38%)</f>
        <v>51.025999999999996</v>
      </c>
      <c r="H1166" s="20">
        <f t="shared" ref="H1166:H1218" si="54">G1166*D1166</f>
        <v>204.10399999999998</v>
      </c>
      <c r="J1166" s="43" t="s">
        <v>1327</v>
      </c>
    </row>
    <row r="1167" spans="1:10" x14ac:dyDescent="0.25">
      <c r="A1167" s="46" t="s">
        <v>26</v>
      </c>
      <c r="B1167" s="3" t="s">
        <v>27</v>
      </c>
      <c r="C1167" s="3" t="s">
        <v>46</v>
      </c>
      <c r="D1167" s="3">
        <v>4</v>
      </c>
      <c r="E1167" s="3" t="s">
        <v>1855</v>
      </c>
      <c r="F1167" s="3">
        <v>6.81</v>
      </c>
      <c r="G1167" s="20">
        <f t="shared" si="53"/>
        <v>4.2221999999999991</v>
      </c>
      <c r="H1167" s="20">
        <f t="shared" si="54"/>
        <v>16.888799999999996</v>
      </c>
      <c r="J1167" s="43" t="s">
        <v>1873</v>
      </c>
    </row>
    <row r="1168" spans="1:10" x14ac:dyDescent="0.25">
      <c r="A1168" s="46" t="s">
        <v>316</v>
      </c>
      <c r="B1168" s="3" t="s">
        <v>317</v>
      </c>
      <c r="C1168" s="3" t="s">
        <v>46</v>
      </c>
      <c r="D1168" s="3">
        <v>2</v>
      </c>
      <c r="E1168" s="3" t="s">
        <v>1855</v>
      </c>
      <c r="F1168" s="3">
        <v>13.1</v>
      </c>
      <c r="G1168" s="20">
        <f t="shared" si="53"/>
        <v>8.1219999999999999</v>
      </c>
      <c r="H1168" s="20">
        <f t="shared" si="54"/>
        <v>16.244</v>
      </c>
      <c r="J1168" s="43" t="s">
        <v>1995</v>
      </c>
    </row>
    <row r="1169" spans="1:10" x14ac:dyDescent="0.25">
      <c r="A1169" s="46" t="s">
        <v>1328</v>
      </c>
      <c r="B1169" s="3" t="s">
        <v>1329</v>
      </c>
      <c r="C1169" s="3" t="s">
        <v>46</v>
      </c>
      <c r="D1169" s="3">
        <v>2</v>
      </c>
      <c r="E1169" s="3" t="s">
        <v>1855</v>
      </c>
      <c r="F1169" s="3">
        <v>19</v>
      </c>
      <c r="G1169" s="20">
        <f t="shared" si="53"/>
        <v>11.780000000000001</v>
      </c>
      <c r="H1169" s="20">
        <f t="shared" si="54"/>
        <v>23.560000000000002</v>
      </c>
      <c r="J1169" s="43" t="s">
        <v>2276</v>
      </c>
    </row>
    <row r="1170" spans="1:10" x14ac:dyDescent="0.25">
      <c r="A1170" s="46" t="s">
        <v>1330</v>
      </c>
      <c r="B1170" s="3" t="s">
        <v>1331</v>
      </c>
      <c r="C1170" s="3" t="s">
        <v>47</v>
      </c>
      <c r="D1170" s="3">
        <v>2</v>
      </c>
      <c r="E1170" s="3" t="s">
        <v>1855</v>
      </c>
      <c r="F1170" s="3">
        <v>62.6</v>
      </c>
      <c r="G1170" s="20">
        <f t="shared" si="53"/>
        <v>38.811999999999998</v>
      </c>
      <c r="H1170" s="20">
        <f t="shared" si="54"/>
        <v>77.623999999999995</v>
      </c>
      <c r="J1170" s="43" t="s">
        <v>2277</v>
      </c>
    </row>
    <row r="1171" spans="1:10" x14ac:dyDescent="0.25">
      <c r="A1171" s="46" t="s">
        <v>1332</v>
      </c>
      <c r="B1171" s="3" t="s">
        <v>1333</v>
      </c>
      <c r="C1171" s="3" t="s">
        <v>46</v>
      </c>
      <c r="D1171" s="3">
        <v>2</v>
      </c>
      <c r="E1171" s="3" t="s">
        <v>1855</v>
      </c>
      <c r="F1171" s="3">
        <v>127</v>
      </c>
      <c r="G1171" s="20">
        <f t="shared" si="53"/>
        <v>78.740000000000009</v>
      </c>
      <c r="H1171" s="20">
        <f t="shared" si="54"/>
        <v>157.48000000000002</v>
      </c>
      <c r="J1171" s="43" t="s">
        <v>1333</v>
      </c>
    </row>
    <row r="1172" spans="1:10" x14ac:dyDescent="0.25">
      <c r="A1172" s="46" t="s">
        <v>195</v>
      </c>
      <c r="B1172" s="3" t="s">
        <v>196</v>
      </c>
      <c r="C1172" s="3" t="s">
        <v>46</v>
      </c>
      <c r="D1172" s="3">
        <v>2</v>
      </c>
      <c r="E1172" s="3" t="s">
        <v>1855</v>
      </c>
      <c r="F1172" s="3">
        <v>129</v>
      </c>
      <c r="G1172" s="20">
        <f t="shared" si="53"/>
        <v>79.97999999999999</v>
      </c>
      <c r="H1172" s="20">
        <f t="shared" si="54"/>
        <v>159.95999999999998</v>
      </c>
      <c r="J1172" s="43" t="s">
        <v>1945</v>
      </c>
    </row>
    <row r="1173" spans="1:10" x14ac:dyDescent="0.25">
      <c r="A1173" s="46" t="s">
        <v>1334</v>
      </c>
      <c r="B1173" s="3" t="s">
        <v>1335</v>
      </c>
      <c r="C1173" s="3" t="s">
        <v>46</v>
      </c>
      <c r="D1173" s="3">
        <v>2</v>
      </c>
      <c r="E1173" s="3" t="s">
        <v>1855</v>
      </c>
      <c r="F1173" s="3">
        <v>162.5</v>
      </c>
      <c r="G1173" s="20">
        <f t="shared" si="53"/>
        <v>100.75</v>
      </c>
      <c r="H1173" s="20">
        <f t="shared" si="54"/>
        <v>201.5</v>
      </c>
      <c r="J1173" s="43" t="s">
        <v>2278</v>
      </c>
    </row>
    <row r="1174" spans="1:10" x14ac:dyDescent="0.25">
      <c r="A1174" s="46" t="s">
        <v>1245</v>
      </c>
      <c r="B1174" s="3" t="s">
        <v>1246</v>
      </c>
      <c r="C1174" s="3" t="s">
        <v>46</v>
      </c>
      <c r="D1174" s="3">
        <v>2</v>
      </c>
      <c r="E1174" s="3" t="s">
        <v>1855</v>
      </c>
      <c r="F1174" s="3">
        <v>10.1</v>
      </c>
      <c r="G1174" s="20">
        <f t="shared" si="53"/>
        <v>6.2619999999999996</v>
      </c>
      <c r="H1174" s="20">
        <f t="shared" si="54"/>
        <v>12.523999999999999</v>
      </c>
      <c r="J1174" s="43" t="s">
        <v>2259</v>
      </c>
    </row>
    <row r="1175" spans="1:10" x14ac:dyDescent="0.25">
      <c r="A1175" s="46" t="s">
        <v>1287</v>
      </c>
      <c r="B1175" s="3" t="s">
        <v>1288</v>
      </c>
      <c r="C1175" s="3" t="s">
        <v>46</v>
      </c>
      <c r="D1175" s="3">
        <v>4</v>
      </c>
      <c r="E1175" s="3" t="s">
        <v>1855</v>
      </c>
      <c r="F1175" s="3">
        <v>9.85</v>
      </c>
      <c r="G1175" s="20">
        <f t="shared" si="53"/>
        <v>6.1069999999999993</v>
      </c>
      <c r="H1175" s="20">
        <f t="shared" si="54"/>
        <v>24.427999999999997</v>
      </c>
      <c r="J1175" s="43" t="s">
        <v>2274</v>
      </c>
    </row>
    <row r="1176" spans="1:10" x14ac:dyDescent="0.25">
      <c r="A1176" s="46" t="s">
        <v>1336</v>
      </c>
      <c r="B1176" s="3" t="s">
        <v>1337</v>
      </c>
      <c r="C1176" s="3" t="s">
        <v>47</v>
      </c>
      <c r="D1176" s="3">
        <v>4</v>
      </c>
      <c r="E1176" s="3" t="s">
        <v>1855</v>
      </c>
      <c r="F1176" s="3">
        <v>16.8</v>
      </c>
      <c r="G1176" s="20">
        <f t="shared" si="53"/>
        <v>10.416</v>
      </c>
      <c r="H1176" s="20">
        <f t="shared" si="54"/>
        <v>41.664000000000001</v>
      </c>
      <c r="J1176" s="43" t="s">
        <v>2279</v>
      </c>
    </row>
    <row r="1177" spans="1:10" x14ac:dyDescent="0.25">
      <c r="A1177" s="46" t="s">
        <v>1338</v>
      </c>
      <c r="B1177" s="3" t="s">
        <v>1339</v>
      </c>
      <c r="C1177" s="3" t="s">
        <v>46</v>
      </c>
      <c r="D1177" s="3">
        <v>2</v>
      </c>
      <c r="E1177" s="3" t="s">
        <v>1855</v>
      </c>
      <c r="F1177" s="3">
        <v>35.200000000000003</v>
      </c>
      <c r="G1177" s="20">
        <f t="shared" si="53"/>
        <v>21.824000000000002</v>
      </c>
      <c r="H1177" s="20">
        <f t="shared" si="54"/>
        <v>43.648000000000003</v>
      </c>
      <c r="J1177" s="43" t="s">
        <v>2280</v>
      </c>
    </row>
    <row r="1178" spans="1:10" x14ac:dyDescent="0.25">
      <c r="A1178" s="46" t="s">
        <v>1055</v>
      </c>
      <c r="B1178" s="3" t="s">
        <v>1056</v>
      </c>
      <c r="C1178" s="3" t="s">
        <v>46</v>
      </c>
      <c r="D1178" s="3">
        <v>4</v>
      </c>
      <c r="E1178" s="3" t="s">
        <v>1855</v>
      </c>
      <c r="F1178" s="3">
        <v>24</v>
      </c>
      <c r="G1178" s="20">
        <f t="shared" si="53"/>
        <v>14.879999999999999</v>
      </c>
      <c r="H1178" s="20">
        <f t="shared" si="54"/>
        <v>59.519999999999996</v>
      </c>
      <c r="J1178" s="43" t="s">
        <v>2196</v>
      </c>
    </row>
    <row r="1179" spans="1:10" x14ac:dyDescent="0.25">
      <c r="A1179" s="46" t="s">
        <v>443</v>
      </c>
      <c r="B1179" s="3" t="s">
        <v>444</v>
      </c>
      <c r="C1179" s="3" t="s">
        <v>47</v>
      </c>
      <c r="D1179" s="3">
        <v>4</v>
      </c>
      <c r="E1179" s="3" t="s">
        <v>1855</v>
      </c>
      <c r="F1179" s="3">
        <v>30.8</v>
      </c>
      <c r="G1179" s="20">
        <f t="shared" si="53"/>
        <v>19.096</v>
      </c>
      <c r="H1179" s="20">
        <f t="shared" si="54"/>
        <v>76.384</v>
      </c>
      <c r="J1179" s="43" t="s">
        <v>2032</v>
      </c>
    </row>
    <row r="1180" spans="1:10" x14ac:dyDescent="0.25">
      <c r="A1180" s="46" t="s">
        <v>55</v>
      </c>
      <c r="B1180" s="3" t="s">
        <v>56</v>
      </c>
      <c r="C1180" s="3" t="s">
        <v>47</v>
      </c>
      <c r="D1180" s="3">
        <v>12</v>
      </c>
      <c r="E1180" s="3" t="s">
        <v>1855</v>
      </c>
      <c r="F1180" s="3">
        <v>23.9</v>
      </c>
      <c r="G1180" s="20">
        <f t="shared" si="53"/>
        <v>14.818</v>
      </c>
      <c r="H1180" s="20">
        <f t="shared" si="54"/>
        <v>177.816</v>
      </c>
      <c r="J1180" s="43" t="s">
        <v>1885</v>
      </c>
    </row>
    <row r="1181" spans="1:10" x14ac:dyDescent="0.25">
      <c r="A1181" s="46" t="s">
        <v>531</v>
      </c>
      <c r="B1181" s="3" t="s">
        <v>532</v>
      </c>
      <c r="C1181" s="3" t="s">
        <v>46</v>
      </c>
      <c r="D1181" s="3">
        <v>32</v>
      </c>
      <c r="E1181" s="3" t="s">
        <v>1855</v>
      </c>
      <c r="F1181" s="3">
        <v>51.6</v>
      </c>
      <c r="G1181" s="20">
        <f t="shared" si="53"/>
        <v>31.992000000000001</v>
      </c>
      <c r="H1181" s="20">
        <f t="shared" si="54"/>
        <v>1023.744</v>
      </c>
      <c r="J1181" s="43" t="s">
        <v>2057</v>
      </c>
    </row>
    <row r="1182" spans="1:10" x14ac:dyDescent="0.25">
      <c r="A1182" s="46" t="s">
        <v>1340</v>
      </c>
      <c r="B1182" s="3" t="s">
        <v>1341</v>
      </c>
      <c r="C1182" s="3" t="s">
        <v>46</v>
      </c>
      <c r="D1182" s="3">
        <v>4</v>
      </c>
      <c r="E1182" s="3" t="s">
        <v>1855</v>
      </c>
      <c r="F1182" s="3">
        <v>24.6</v>
      </c>
      <c r="G1182" s="20">
        <f t="shared" si="53"/>
        <v>15.252000000000001</v>
      </c>
      <c r="H1182" s="20">
        <f t="shared" si="54"/>
        <v>61.008000000000003</v>
      </c>
      <c r="J1182" s="43" t="s">
        <v>2281</v>
      </c>
    </row>
    <row r="1183" spans="1:10" x14ac:dyDescent="0.25">
      <c r="A1183" s="46" t="s">
        <v>65</v>
      </c>
      <c r="B1183" s="3" t="s">
        <v>66</v>
      </c>
      <c r="C1183" s="3" t="s">
        <v>46</v>
      </c>
      <c r="D1183" s="3">
        <v>2</v>
      </c>
      <c r="E1183" s="3" t="s">
        <v>1855</v>
      </c>
      <c r="F1183" s="3">
        <v>70.8</v>
      </c>
      <c r="G1183" s="20">
        <f t="shared" si="53"/>
        <v>43.896000000000001</v>
      </c>
      <c r="H1183" s="20">
        <f t="shared" si="54"/>
        <v>87.792000000000002</v>
      </c>
      <c r="J1183" s="43" t="s">
        <v>1890</v>
      </c>
    </row>
    <row r="1184" spans="1:10" x14ac:dyDescent="0.25">
      <c r="A1184" s="46" t="s">
        <v>1261</v>
      </c>
      <c r="B1184" s="3" t="s">
        <v>1262</v>
      </c>
      <c r="C1184" s="3" t="s">
        <v>46</v>
      </c>
      <c r="D1184" s="3">
        <v>12</v>
      </c>
      <c r="E1184" s="3" t="s">
        <v>1855</v>
      </c>
      <c r="F1184" s="3">
        <v>24.3</v>
      </c>
      <c r="G1184" s="20">
        <f t="shared" si="53"/>
        <v>15.066000000000001</v>
      </c>
      <c r="H1184" s="20">
        <f t="shared" si="54"/>
        <v>180.792</v>
      </c>
      <c r="J1184" s="43" t="s">
        <v>2264</v>
      </c>
    </row>
    <row r="1185" spans="1:10" x14ac:dyDescent="0.25">
      <c r="A1185" s="46" t="s">
        <v>1342</v>
      </c>
      <c r="B1185" s="3" t="s">
        <v>1343</v>
      </c>
      <c r="C1185" s="3" t="s">
        <v>47</v>
      </c>
      <c r="D1185" s="3">
        <v>4</v>
      </c>
      <c r="E1185" s="3" t="s">
        <v>1855</v>
      </c>
      <c r="F1185" s="3">
        <v>32</v>
      </c>
      <c r="G1185" s="20">
        <f t="shared" si="53"/>
        <v>19.84</v>
      </c>
      <c r="H1185" s="20">
        <f t="shared" si="54"/>
        <v>79.36</v>
      </c>
      <c r="J1185" s="43" t="s">
        <v>2282</v>
      </c>
    </row>
    <row r="1186" spans="1:10" x14ac:dyDescent="0.25">
      <c r="A1186" s="46" t="s">
        <v>1344</v>
      </c>
      <c r="B1186" s="3" t="s">
        <v>1345</v>
      </c>
      <c r="C1186" s="3" t="s">
        <v>46</v>
      </c>
      <c r="D1186" s="3">
        <v>4</v>
      </c>
      <c r="E1186" s="3" t="s">
        <v>1855</v>
      </c>
      <c r="F1186" s="3">
        <v>34.9</v>
      </c>
      <c r="G1186" s="20">
        <f t="shared" si="53"/>
        <v>21.637999999999998</v>
      </c>
      <c r="H1186" s="20">
        <f t="shared" si="54"/>
        <v>86.551999999999992</v>
      </c>
      <c r="J1186" s="43" t="s">
        <v>2283</v>
      </c>
    </row>
    <row r="1187" spans="1:10" x14ac:dyDescent="0.25">
      <c r="A1187" s="46" t="s">
        <v>1346</v>
      </c>
      <c r="B1187" s="3" t="s">
        <v>1347</v>
      </c>
      <c r="C1187" s="3" t="s">
        <v>46</v>
      </c>
      <c r="D1187" s="3">
        <v>4</v>
      </c>
      <c r="E1187" s="3" t="s">
        <v>1855</v>
      </c>
      <c r="F1187" s="3">
        <v>42.2</v>
      </c>
      <c r="G1187" s="20">
        <f t="shared" si="53"/>
        <v>26.164000000000001</v>
      </c>
      <c r="H1187" s="20">
        <f t="shared" si="54"/>
        <v>104.65600000000001</v>
      </c>
      <c r="J1187" s="43" t="s">
        <v>2284</v>
      </c>
    </row>
    <row r="1188" spans="1:10" x14ac:dyDescent="0.25">
      <c r="A1188" s="46" t="s">
        <v>1348</v>
      </c>
      <c r="B1188" s="3" t="s">
        <v>1349</v>
      </c>
      <c r="C1188" s="3" t="s">
        <v>46</v>
      </c>
      <c r="D1188" s="3">
        <v>4</v>
      </c>
      <c r="E1188" s="3" t="s">
        <v>1855</v>
      </c>
      <c r="F1188" s="3">
        <v>42.2</v>
      </c>
      <c r="G1188" s="20">
        <f t="shared" si="53"/>
        <v>26.164000000000001</v>
      </c>
      <c r="H1188" s="20">
        <f t="shared" si="54"/>
        <v>104.65600000000001</v>
      </c>
      <c r="J1188" s="43" t="s">
        <v>2285</v>
      </c>
    </row>
    <row r="1189" spans="1:10" x14ac:dyDescent="0.25">
      <c r="A1189" s="46" t="s">
        <v>1350</v>
      </c>
      <c r="B1189" s="3" t="s">
        <v>1351</v>
      </c>
      <c r="C1189" s="3" t="s">
        <v>46</v>
      </c>
      <c r="D1189" s="3">
        <v>2</v>
      </c>
      <c r="E1189" s="3" t="s">
        <v>1855</v>
      </c>
      <c r="F1189" s="3">
        <v>47.4</v>
      </c>
      <c r="G1189" s="20">
        <f t="shared" si="53"/>
        <v>29.387999999999998</v>
      </c>
      <c r="H1189" s="20">
        <f t="shared" si="54"/>
        <v>58.775999999999996</v>
      </c>
      <c r="J1189" s="43" t="s">
        <v>2286</v>
      </c>
    </row>
    <row r="1190" spans="1:10" x14ac:dyDescent="0.25">
      <c r="A1190" s="46" t="s">
        <v>1352</v>
      </c>
      <c r="B1190" s="3" t="s">
        <v>1353</v>
      </c>
      <c r="C1190" s="3" t="s">
        <v>46</v>
      </c>
      <c r="D1190" s="3">
        <v>4</v>
      </c>
      <c r="E1190" s="3" t="s">
        <v>1855</v>
      </c>
      <c r="F1190" s="3">
        <v>40.1</v>
      </c>
      <c r="G1190" s="20">
        <f t="shared" si="53"/>
        <v>24.862000000000002</v>
      </c>
      <c r="H1190" s="20">
        <f t="shared" si="54"/>
        <v>99.448000000000008</v>
      </c>
      <c r="J1190" s="43" t="s">
        <v>2287</v>
      </c>
    </row>
    <row r="1191" spans="1:10" x14ac:dyDescent="0.25">
      <c r="A1191" s="46" t="s">
        <v>1354</v>
      </c>
      <c r="B1191" s="3" t="s">
        <v>1355</v>
      </c>
      <c r="C1191" s="3" t="s">
        <v>47</v>
      </c>
      <c r="D1191" s="3">
        <v>4</v>
      </c>
      <c r="E1191" s="3" t="s">
        <v>1855</v>
      </c>
      <c r="F1191" s="3">
        <v>45.3</v>
      </c>
      <c r="G1191" s="20">
        <f t="shared" si="53"/>
        <v>28.085999999999999</v>
      </c>
      <c r="H1191" s="20">
        <f t="shared" si="54"/>
        <v>112.34399999999999</v>
      </c>
      <c r="J1191" s="43" t="s">
        <v>2288</v>
      </c>
    </row>
    <row r="1192" spans="1:10" x14ac:dyDescent="0.25">
      <c r="A1192" s="46" t="s">
        <v>835</v>
      </c>
      <c r="B1192" s="3" t="s">
        <v>836</v>
      </c>
      <c r="C1192" s="3" t="s">
        <v>46</v>
      </c>
      <c r="D1192" s="3">
        <v>4</v>
      </c>
      <c r="E1192" s="3" t="s">
        <v>1855</v>
      </c>
      <c r="F1192" s="3">
        <v>39.6</v>
      </c>
      <c r="G1192" s="20">
        <f t="shared" si="53"/>
        <v>24.552</v>
      </c>
      <c r="H1192" s="20">
        <f t="shared" si="54"/>
        <v>98.207999999999998</v>
      </c>
      <c r="J1192" s="43" t="s">
        <v>836</v>
      </c>
    </row>
    <row r="1193" spans="1:10" x14ac:dyDescent="0.25">
      <c r="A1193" s="46" t="s">
        <v>841</v>
      </c>
      <c r="B1193" s="3" t="s">
        <v>842</v>
      </c>
      <c r="C1193" s="3" t="s">
        <v>47</v>
      </c>
      <c r="D1193" s="3">
        <v>2</v>
      </c>
      <c r="E1193" s="3" t="s">
        <v>1855</v>
      </c>
      <c r="F1193" s="3">
        <v>220.5</v>
      </c>
      <c r="G1193" s="20">
        <f t="shared" si="53"/>
        <v>136.70999999999998</v>
      </c>
      <c r="H1193" s="20">
        <f t="shared" si="54"/>
        <v>273.41999999999996</v>
      </c>
      <c r="J1193" s="43" t="s">
        <v>2136</v>
      </c>
    </row>
    <row r="1194" spans="1:10" x14ac:dyDescent="0.25">
      <c r="A1194" s="46" t="s">
        <v>1356</v>
      </c>
      <c r="B1194" s="3" t="s">
        <v>1357</v>
      </c>
      <c r="C1194" s="3" t="s">
        <v>47</v>
      </c>
      <c r="D1194" s="3">
        <v>2</v>
      </c>
      <c r="E1194" s="3" t="s">
        <v>1855</v>
      </c>
      <c r="F1194" s="3">
        <v>150</v>
      </c>
      <c r="G1194" s="20">
        <f t="shared" si="53"/>
        <v>93</v>
      </c>
      <c r="H1194" s="20">
        <f t="shared" si="54"/>
        <v>186</v>
      </c>
      <c r="J1194" s="43" t="s">
        <v>1357</v>
      </c>
    </row>
    <row r="1195" spans="1:10" x14ac:dyDescent="0.25">
      <c r="A1195" s="46" t="s">
        <v>1083</v>
      </c>
      <c r="B1195" s="3" t="s">
        <v>1084</v>
      </c>
      <c r="C1195" s="3" t="s">
        <v>47</v>
      </c>
      <c r="D1195" s="3">
        <v>2</v>
      </c>
      <c r="E1195" s="3" t="s">
        <v>1855</v>
      </c>
      <c r="F1195" s="3">
        <v>21.7</v>
      </c>
      <c r="G1195" s="20">
        <f t="shared" si="53"/>
        <v>13.453999999999999</v>
      </c>
      <c r="H1195" s="20">
        <f t="shared" si="54"/>
        <v>26.907999999999998</v>
      </c>
      <c r="J1195" s="43" t="s">
        <v>1084</v>
      </c>
    </row>
    <row r="1196" spans="1:10" x14ac:dyDescent="0.25">
      <c r="A1196" s="46" t="s">
        <v>807</v>
      </c>
      <c r="B1196" s="3" t="s">
        <v>808</v>
      </c>
      <c r="C1196" s="3" t="s">
        <v>47</v>
      </c>
      <c r="D1196" s="3">
        <v>2</v>
      </c>
      <c r="E1196" s="3" t="s">
        <v>1855</v>
      </c>
      <c r="F1196" s="3">
        <v>21.7</v>
      </c>
      <c r="G1196" s="20">
        <f t="shared" si="53"/>
        <v>13.453999999999999</v>
      </c>
      <c r="H1196" s="20">
        <f t="shared" si="54"/>
        <v>26.907999999999998</v>
      </c>
      <c r="J1196" s="43" t="s">
        <v>808</v>
      </c>
    </row>
    <row r="1197" spans="1:10" x14ac:dyDescent="0.25">
      <c r="A1197" s="46" t="s">
        <v>1085</v>
      </c>
      <c r="B1197" s="3" t="s">
        <v>1086</v>
      </c>
      <c r="C1197" s="3" t="s">
        <v>46</v>
      </c>
      <c r="D1197" s="3">
        <v>2</v>
      </c>
      <c r="E1197" s="3" t="s">
        <v>1855</v>
      </c>
      <c r="F1197" s="3">
        <v>21.7</v>
      </c>
      <c r="G1197" s="20">
        <f t="shared" si="53"/>
        <v>13.453999999999999</v>
      </c>
      <c r="H1197" s="20">
        <f t="shared" si="54"/>
        <v>26.907999999999998</v>
      </c>
      <c r="J1197" s="43" t="s">
        <v>1086</v>
      </c>
    </row>
    <row r="1198" spans="1:10" x14ac:dyDescent="0.25">
      <c r="A1198" s="46" t="s">
        <v>938</v>
      </c>
      <c r="B1198" s="3" t="s">
        <v>331</v>
      </c>
      <c r="C1198" s="3" t="s">
        <v>47</v>
      </c>
      <c r="D1198" s="3">
        <v>4</v>
      </c>
      <c r="E1198" s="3" t="s">
        <v>1855</v>
      </c>
      <c r="F1198" s="3">
        <v>86.7</v>
      </c>
      <c r="G1198" s="20">
        <f t="shared" si="53"/>
        <v>53.754000000000005</v>
      </c>
      <c r="H1198" s="20">
        <f t="shared" si="54"/>
        <v>215.01600000000002</v>
      </c>
      <c r="J1198" s="43" t="s">
        <v>331</v>
      </c>
    </row>
    <row r="1199" spans="1:10" x14ac:dyDescent="0.25">
      <c r="A1199" s="46" t="s">
        <v>326</v>
      </c>
      <c r="B1199" s="3" t="s">
        <v>327</v>
      </c>
      <c r="C1199" s="3" t="s">
        <v>46</v>
      </c>
      <c r="D1199" s="3">
        <v>4</v>
      </c>
      <c r="E1199" s="3" t="s">
        <v>1855</v>
      </c>
      <c r="F1199" s="3">
        <v>83.5</v>
      </c>
      <c r="G1199" s="20">
        <f t="shared" si="53"/>
        <v>51.769999999999996</v>
      </c>
      <c r="H1199" s="20">
        <f t="shared" si="54"/>
        <v>207.07999999999998</v>
      </c>
      <c r="J1199" s="43" t="s">
        <v>327</v>
      </c>
    </row>
    <row r="1200" spans="1:10" x14ac:dyDescent="0.25">
      <c r="A1200" s="46" t="s">
        <v>1358</v>
      </c>
      <c r="B1200" s="3" t="s">
        <v>1359</v>
      </c>
      <c r="C1200" s="3" t="s">
        <v>47</v>
      </c>
      <c r="D1200" s="3">
        <v>4</v>
      </c>
      <c r="E1200" s="3" t="s">
        <v>1855</v>
      </c>
      <c r="F1200" s="3">
        <v>89.1</v>
      </c>
      <c r="G1200" s="20">
        <f t="shared" si="53"/>
        <v>55.241999999999997</v>
      </c>
      <c r="H1200" s="20">
        <f t="shared" si="54"/>
        <v>220.96799999999999</v>
      </c>
      <c r="J1200" s="43" t="s">
        <v>1359</v>
      </c>
    </row>
    <row r="1201" spans="1:10" x14ac:dyDescent="0.25">
      <c r="A1201" s="46" t="s">
        <v>1360</v>
      </c>
      <c r="B1201" s="3" t="s">
        <v>1361</v>
      </c>
      <c r="C1201" s="3" t="s">
        <v>46</v>
      </c>
      <c r="D1201" s="3">
        <v>2</v>
      </c>
      <c r="E1201" s="3" t="s">
        <v>1855</v>
      </c>
      <c r="F1201" s="3">
        <v>48.7</v>
      </c>
      <c r="G1201" s="20">
        <f t="shared" si="53"/>
        <v>30.194000000000003</v>
      </c>
      <c r="H1201" s="20">
        <f t="shared" si="54"/>
        <v>60.388000000000005</v>
      </c>
      <c r="J1201" s="43" t="s">
        <v>1361</v>
      </c>
    </row>
    <row r="1202" spans="1:10" x14ac:dyDescent="0.25">
      <c r="A1202" s="46" t="s">
        <v>1362</v>
      </c>
      <c r="B1202" s="3" t="s">
        <v>1363</v>
      </c>
      <c r="C1202" s="3" t="s">
        <v>46</v>
      </c>
      <c r="D1202" s="3">
        <v>2</v>
      </c>
      <c r="E1202" s="3" t="s">
        <v>1855</v>
      </c>
      <c r="F1202" s="3">
        <v>40.5</v>
      </c>
      <c r="G1202" s="20">
        <f t="shared" si="53"/>
        <v>25.11</v>
      </c>
      <c r="H1202" s="20">
        <f t="shared" si="54"/>
        <v>50.22</v>
      </c>
      <c r="J1202" s="43" t="s">
        <v>1363</v>
      </c>
    </row>
    <row r="1203" spans="1:10" x14ac:dyDescent="0.25">
      <c r="A1203" s="46" t="s">
        <v>969</v>
      </c>
      <c r="B1203" s="3" t="s">
        <v>970</v>
      </c>
      <c r="C1203" s="3" t="s">
        <v>46</v>
      </c>
      <c r="D1203" s="3">
        <v>2</v>
      </c>
      <c r="E1203" s="3" t="s">
        <v>1855</v>
      </c>
      <c r="F1203" s="3">
        <v>34.1</v>
      </c>
      <c r="G1203" s="20">
        <f t="shared" si="53"/>
        <v>21.142000000000003</v>
      </c>
      <c r="H1203" s="20">
        <f t="shared" si="54"/>
        <v>42.284000000000006</v>
      </c>
      <c r="J1203" s="43" t="s">
        <v>2176</v>
      </c>
    </row>
    <row r="1204" spans="1:10" x14ac:dyDescent="0.25">
      <c r="A1204" s="46" t="s">
        <v>985</v>
      </c>
      <c r="B1204" s="3" t="s">
        <v>986</v>
      </c>
      <c r="C1204" s="3" t="s">
        <v>46</v>
      </c>
      <c r="D1204" s="3">
        <v>2</v>
      </c>
      <c r="E1204" s="3" t="s">
        <v>1855</v>
      </c>
      <c r="F1204" s="3">
        <v>336</v>
      </c>
      <c r="G1204" s="20">
        <f t="shared" si="53"/>
        <v>208.32</v>
      </c>
      <c r="H1204" s="20">
        <f t="shared" si="54"/>
        <v>416.64</v>
      </c>
      <c r="J1204" s="43" t="s">
        <v>2181</v>
      </c>
    </row>
    <row r="1205" spans="1:10" x14ac:dyDescent="0.25">
      <c r="A1205" s="46" t="s">
        <v>1364</v>
      </c>
      <c r="B1205" s="3" t="s">
        <v>1365</v>
      </c>
      <c r="C1205" s="3" t="s">
        <v>47</v>
      </c>
      <c r="D1205" s="3">
        <v>2</v>
      </c>
      <c r="E1205" s="3" t="s">
        <v>1855</v>
      </c>
      <c r="F1205" s="3">
        <v>308.5</v>
      </c>
      <c r="G1205" s="20">
        <f t="shared" si="53"/>
        <v>191.26999999999998</v>
      </c>
      <c r="H1205" s="20">
        <f t="shared" si="54"/>
        <v>382.53999999999996</v>
      </c>
      <c r="J1205" s="43" t="s">
        <v>2289</v>
      </c>
    </row>
    <row r="1206" spans="1:10" x14ac:dyDescent="0.25">
      <c r="A1206" s="46" t="s">
        <v>1141</v>
      </c>
      <c r="B1206" s="3" t="s">
        <v>1142</v>
      </c>
      <c r="C1206" s="3" t="s">
        <v>46</v>
      </c>
      <c r="D1206" s="3">
        <v>4</v>
      </c>
      <c r="E1206" s="3" t="s">
        <v>1855</v>
      </c>
      <c r="F1206" s="3">
        <v>60</v>
      </c>
      <c r="G1206" s="20">
        <f t="shared" si="53"/>
        <v>37.200000000000003</v>
      </c>
      <c r="H1206" s="20">
        <f t="shared" si="54"/>
        <v>148.80000000000001</v>
      </c>
      <c r="J1206" s="43" t="s">
        <v>2226</v>
      </c>
    </row>
    <row r="1207" spans="1:10" x14ac:dyDescent="0.25">
      <c r="A1207" s="46" t="s">
        <v>103</v>
      </c>
      <c r="B1207" s="3" t="s">
        <v>104</v>
      </c>
      <c r="C1207" s="3" t="s">
        <v>47</v>
      </c>
      <c r="D1207" s="3">
        <v>4</v>
      </c>
      <c r="E1207" s="3" t="s">
        <v>1855</v>
      </c>
      <c r="F1207" s="3">
        <v>65.599999999999994</v>
      </c>
      <c r="G1207" s="20">
        <f t="shared" si="53"/>
        <v>40.671999999999997</v>
      </c>
      <c r="H1207" s="20">
        <f t="shared" si="54"/>
        <v>162.68799999999999</v>
      </c>
      <c r="J1207" s="43" t="s">
        <v>1900</v>
      </c>
    </row>
    <row r="1208" spans="1:10" x14ac:dyDescent="0.25">
      <c r="A1208" s="46" t="s">
        <v>1366</v>
      </c>
      <c r="B1208" s="3" t="s">
        <v>1367</v>
      </c>
      <c r="C1208" s="3" t="s">
        <v>46</v>
      </c>
      <c r="D1208" s="3">
        <v>2</v>
      </c>
      <c r="E1208" s="3" t="s">
        <v>1855</v>
      </c>
      <c r="F1208" s="3">
        <v>4.2300000000000004</v>
      </c>
      <c r="G1208" s="20">
        <f t="shared" si="53"/>
        <v>2.6226000000000003</v>
      </c>
      <c r="H1208" s="20">
        <f t="shared" si="54"/>
        <v>5.2452000000000005</v>
      </c>
      <c r="J1208" s="43" t="s">
        <v>1367</v>
      </c>
    </row>
    <row r="1209" spans="1:10" x14ac:dyDescent="0.25">
      <c r="A1209" s="46" t="s">
        <v>1368</v>
      </c>
      <c r="B1209" s="3" t="s">
        <v>1369</v>
      </c>
      <c r="C1209" s="3" t="s">
        <v>46</v>
      </c>
      <c r="D1209" s="3">
        <v>4</v>
      </c>
      <c r="E1209" s="3" t="s">
        <v>1855</v>
      </c>
      <c r="F1209" s="3">
        <v>208.5</v>
      </c>
      <c r="G1209" s="20">
        <f t="shared" si="53"/>
        <v>129.26999999999998</v>
      </c>
      <c r="H1209" s="20">
        <f t="shared" si="54"/>
        <v>517.07999999999993</v>
      </c>
      <c r="J1209" s="43" t="s">
        <v>2290</v>
      </c>
    </row>
    <row r="1210" spans="1:10" x14ac:dyDescent="0.25">
      <c r="A1210" s="46" t="s">
        <v>1370</v>
      </c>
      <c r="B1210" s="3" t="s">
        <v>1371</v>
      </c>
      <c r="C1210" s="3" t="s">
        <v>46</v>
      </c>
      <c r="D1210" s="3">
        <v>4</v>
      </c>
      <c r="E1210" s="3" t="s">
        <v>1855</v>
      </c>
      <c r="F1210" s="3">
        <v>323</v>
      </c>
      <c r="G1210" s="20">
        <f t="shared" si="53"/>
        <v>200.26</v>
      </c>
      <c r="H1210" s="20">
        <f t="shared" si="54"/>
        <v>801.04</v>
      </c>
      <c r="J1210" s="43" t="s">
        <v>2291</v>
      </c>
    </row>
    <row r="1211" spans="1:10" x14ac:dyDescent="0.25">
      <c r="A1211" s="46" t="s">
        <v>997</v>
      </c>
      <c r="B1211" s="3" t="s">
        <v>998</v>
      </c>
      <c r="C1211" s="3" t="s">
        <v>46</v>
      </c>
      <c r="D1211" s="3">
        <v>2</v>
      </c>
      <c r="E1211" s="3" t="s">
        <v>1855</v>
      </c>
      <c r="F1211" s="3">
        <v>51.4</v>
      </c>
      <c r="G1211" s="20">
        <f t="shared" si="53"/>
        <v>31.867999999999999</v>
      </c>
      <c r="H1211" s="20">
        <f t="shared" si="54"/>
        <v>63.735999999999997</v>
      </c>
      <c r="J1211" s="43" t="s">
        <v>2184</v>
      </c>
    </row>
    <row r="1212" spans="1:10" x14ac:dyDescent="0.25">
      <c r="A1212" s="46" t="s">
        <v>860</v>
      </c>
      <c r="B1212" s="3" t="s">
        <v>861</v>
      </c>
      <c r="C1212" s="3" t="s">
        <v>46</v>
      </c>
      <c r="D1212" s="3">
        <v>4</v>
      </c>
      <c r="E1212" s="3" t="s">
        <v>1855</v>
      </c>
      <c r="F1212" s="3">
        <v>26.9</v>
      </c>
      <c r="G1212" s="20">
        <f t="shared" si="53"/>
        <v>16.677999999999997</v>
      </c>
      <c r="H1212" s="20">
        <f t="shared" si="54"/>
        <v>66.711999999999989</v>
      </c>
      <c r="J1212" s="43" t="s">
        <v>2142</v>
      </c>
    </row>
    <row r="1213" spans="1:10" x14ac:dyDescent="0.25">
      <c r="A1213" s="46" t="s">
        <v>1253</v>
      </c>
      <c r="B1213" s="3" t="s">
        <v>1254</v>
      </c>
      <c r="C1213" s="3" t="s">
        <v>47</v>
      </c>
      <c r="D1213" s="3">
        <v>4</v>
      </c>
      <c r="E1213" s="3" t="s">
        <v>1855</v>
      </c>
      <c r="F1213" s="3">
        <v>46.4</v>
      </c>
      <c r="G1213" s="20">
        <f t="shared" si="53"/>
        <v>28.768000000000001</v>
      </c>
      <c r="H1213" s="20">
        <f t="shared" si="54"/>
        <v>115.072</v>
      </c>
      <c r="J1213" s="43" t="s">
        <v>2262</v>
      </c>
    </row>
    <row r="1214" spans="1:10" x14ac:dyDescent="0.25">
      <c r="A1214" s="46" t="s">
        <v>298</v>
      </c>
      <c r="B1214" s="3" t="s">
        <v>299</v>
      </c>
      <c r="C1214" s="3" t="s">
        <v>46</v>
      </c>
      <c r="D1214" s="3">
        <v>2</v>
      </c>
      <c r="E1214" s="3" t="s">
        <v>1855</v>
      </c>
      <c r="F1214" s="3">
        <v>52.9</v>
      </c>
      <c r="G1214" s="20">
        <f t="shared" si="53"/>
        <v>32.798000000000002</v>
      </c>
      <c r="H1214" s="20">
        <f t="shared" si="54"/>
        <v>65.596000000000004</v>
      </c>
      <c r="J1214" s="43" t="s">
        <v>1986</v>
      </c>
    </row>
    <row r="1215" spans="1:10" x14ac:dyDescent="0.25">
      <c r="A1215" s="46" t="s">
        <v>354</v>
      </c>
      <c r="B1215" s="3" t="s">
        <v>355</v>
      </c>
      <c r="C1215" s="3" t="s">
        <v>46</v>
      </c>
      <c r="D1215" s="3">
        <v>2</v>
      </c>
      <c r="E1215" s="3" t="s">
        <v>1855</v>
      </c>
      <c r="F1215" s="3">
        <v>36.200000000000003</v>
      </c>
      <c r="G1215" s="20">
        <f t="shared" si="53"/>
        <v>22.444000000000003</v>
      </c>
      <c r="H1215" s="20">
        <f t="shared" si="54"/>
        <v>44.888000000000005</v>
      </c>
      <c r="J1215" s="43" t="s">
        <v>2006</v>
      </c>
    </row>
    <row r="1216" spans="1:10" x14ac:dyDescent="0.25">
      <c r="A1216" s="46" t="s">
        <v>1803</v>
      </c>
      <c r="B1216" s="3" t="s">
        <v>1805</v>
      </c>
      <c r="C1216" s="3" t="s">
        <v>46</v>
      </c>
      <c r="D1216" s="3">
        <v>4</v>
      </c>
      <c r="E1216" s="3" t="s">
        <v>1856</v>
      </c>
      <c r="F1216" s="3">
        <v>639</v>
      </c>
      <c r="G1216" s="20">
        <f t="shared" si="53"/>
        <v>396.18</v>
      </c>
      <c r="H1216" s="20">
        <f t="shared" si="54"/>
        <v>1584.72</v>
      </c>
      <c r="J1216" s="43" t="s">
        <v>1939</v>
      </c>
    </row>
    <row r="1217" spans="1:10" x14ac:dyDescent="0.25">
      <c r="A1217" s="46" t="s">
        <v>1819</v>
      </c>
      <c r="B1217" s="3" t="s">
        <v>1820</v>
      </c>
      <c r="C1217" s="3" t="s">
        <v>46</v>
      </c>
      <c r="D1217" s="3">
        <v>2</v>
      </c>
      <c r="E1217" s="3" t="s">
        <v>1855</v>
      </c>
      <c r="F1217" s="3">
        <v>111</v>
      </c>
      <c r="G1217" s="20">
        <f t="shared" si="53"/>
        <v>68.819999999999993</v>
      </c>
      <c r="H1217" s="20">
        <f t="shared" si="54"/>
        <v>137.63999999999999</v>
      </c>
      <c r="J1217" s="43" t="s">
        <v>2292</v>
      </c>
    </row>
    <row r="1218" spans="1:10" x14ac:dyDescent="0.25">
      <c r="A1218" s="46" t="s">
        <v>1804</v>
      </c>
      <c r="B1218" s="3" t="s">
        <v>1806</v>
      </c>
      <c r="C1218" s="3" t="s">
        <v>46</v>
      </c>
      <c r="D1218" s="3">
        <v>2</v>
      </c>
      <c r="E1218" s="3" t="s">
        <v>1855</v>
      </c>
      <c r="F1218" s="3">
        <v>123</v>
      </c>
      <c r="G1218" s="20">
        <f t="shared" si="53"/>
        <v>76.259999999999991</v>
      </c>
      <c r="H1218" s="20">
        <f t="shared" si="54"/>
        <v>152.51999999999998</v>
      </c>
      <c r="J1218" s="43" t="s">
        <v>1940</v>
      </c>
    </row>
    <row r="1219" spans="1:10" s="10" customFormat="1" x14ac:dyDescent="0.25">
      <c r="A1219" s="50"/>
      <c r="B1219" s="11" t="s">
        <v>1372</v>
      </c>
      <c r="C1219" s="9"/>
      <c r="D1219" s="9"/>
      <c r="E1219" s="9"/>
      <c r="F1219" s="9"/>
      <c r="G1219" s="9"/>
      <c r="H1219" s="9"/>
      <c r="J1219" s="43"/>
    </row>
    <row r="1220" spans="1:10" s="5" customFormat="1" x14ac:dyDescent="0.25">
      <c r="A1220" s="51"/>
      <c r="B1220" s="6" t="s">
        <v>1373</v>
      </c>
      <c r="C1220" s="4"/>
      <c r="D1220" s="29"/>
      <c r="E1220" s="4"/>
      <c r="F1220" s="4"/>
      <c r="G1220" s="4"/>
      <c r="H1220" s="19"/>
      <c r="J1220" s="43"/>
    </row>
    <row r="1221" spans="1:10" x14ac:dyDescent="0.25">
      <c r="A1221" s="48" t="s">
        <v>99</v>
      </c>
      <c r="B1221" s="3" t="s">
        <v>100</v>
      </c>
      <c r="C1221" s="3" t="s">
        <v>46</v>
      </c>
      <c r="D1221" s="3">
        <v>3</v>
      </c>
      <c r="E1221" s="3" t="s">
        <v>1855</v>
      </c>
      <c r="F1221" s="3">
        <v>11.9</v>
      </c>
      <c r="G1221" s="20">
        <f t="shared" si="53"/>
        <v>7.3780000000000001</v>
      </c>
      <c r="H1221" s="20">
        <f t="shared" ref="H1221:H1248" si="55">G1221*D1221</f>
        <v>22.134</v>
      </c>
      <c r="J1221" s="43" t="e">
        <v>#N/A</v>
      </c>
    </row>
    <row r="1222" spans="1:10" x14ac:dyDescent="0.25">
      <c r="A1222" s="46" t="s">
        <v>89</v>
      </c>
      <c r="B1222" s="3" t="s">
        <v>90</v>
      </c>
      <c r="C1222" s="3" t="s">
        <v>46</v>
      </c>
      <c r="D1222" s="3">
        <v>2</v>
      </c>
      <c r="E1222" s="3" t="s">
        <v>1855</v>
      </c>
      <c r="F1222" s="3">
        <v>39.4</v>
      </c>
      <c r="G1222" s="20">
        <f t="shared" si="53"/>
        <v>24.427999999999997</v>
      </c>
      <c r="H1222" s="20">
        <f t="shared" si="55"/>
        <v>48.855999999999995</v>
      </c>
      <c r="J1222" s="43" t="s">
        <v>90</v>
      </c>
    </row>
    <row r="1223" spans="1:10" x14ac:dyDescent="0.25">
      <c r="A1223" s="46" t="s">
        <v>22</v>
      </c>
      <c r="B1223" s="3" t="s">
        <v>23</v>
      </c>
      <c r="C1223" s="3" t="s">
        <v>46</v>
      </c>
      <c r="D1223" s="3">
        <v>2</v>
      </c>
      <c r="E1223" s="3" t="s">
        <v>1856</v>
      </c>
      <c r="F1223" s="3">
        <v>141.5</v>
      </c>
      <c r="G1223" s="20">
        <f t="shared" si="53"/>
        <v>87.72999999999999</v>
      </c>
      <c r="H1223" s="20">
        <f t="shared" si="55"/>
        <v>175.45999999999998</v>
      </c>
      <c r="J1223" s="43" t="s">
        <v>1871</v>
      </c>
    </row>
    <row r="1224" spans="1:10" x14ac:dyDescent="0.25">
      <c r="A1224" s="46" t="s">
        <v>1065</v>
      </c>
      <c r="B1224" s="3" t="s">
        <v>1066</v>
      </c>
      <c r="C1224" s="3" t="s">
        <v>46</v>
      </c>
      <c r="D1224" s="3">
        <v>2</v>
      </c>
      <c r="E1224" s="3" t="s">
        <v>1855</v>
      </c>
      <c r="F1224" s="3">
        <v>41.1</v>
      </c>
      <c r="G1224" s="20">
        <f t="shared" si="53"/>
        <v>25.481999999999999</v>
      </c>
      <c r="H1224" s="20">
        <f t="shared" si="55"/>
        <v>50.963999999999999</v>
      </c>
      <c r="J1224" s="43" t="s">
        <v>1066</v>
      </c>
    </row>
    <row r="1225" spans="1:10" x14ac:dyDescent="0.25">
      <c r="A1225" s="46" t="s">
        <v>1374</v>
      </c>
      <c r="B1225" s="3" t="s">
        <v>1375</v>
      </c>
      <c r="C1225" s="3" t="s">
        <v>46</v>
      </c>
      <c r="D1225" s="3">
        <v>1</v>
      </c>
      <c r="E1225" s="3" t="s">
        <v>1855</v>
      </c>
      <c r="F1225" s="3">
        <v>352.5</v>
      </c>
      <c r="G1225" s="20">
        <f t="shared" si="53"/>
        <v>218.55</v>
      </c>
      <c r="H1225" s="20">
        <f t="shared" si="55"/>
        <v>218.55</v>
      </c>
      <c r="J1225" s="43" t="s">
        <v>2293</v>
      </c>
    </row>
    <row r="1226" spans="1:10" x14ac:dyDescent="0.25">
      <c r="A1226" s="46" t="s">
        <v>316</v>
      </c>
      <c r="B1226" s="3" t="s">
        <v>317</v>
      </c>
      <c r="C1226" s="3" t="s">
        <v>46</v>
      </c>
      <c r="D1226" s="3">
        <v>1</v>
      </c>
      <c r="E1226" s="3" t="s">
        <v>1855</v>
      </c>
      <c r="F1226" s="3">
        <v>13.1</v>
      </c>
      <c r="G1226" s="20">
        <f t="shared" si="53"/>
        <v>8.1219999999999999</v>
      </c>
      <c r="H1226" s="20">
        <f t="shared" si="55"/>
        <v>8.1219999999999999</v>
      </c>
      <c r="J1226" s="43" t="s">
        <v>1995</v>
      </c>
    </row>
    <row r="1227" spans="1:10" x14ac:dyDescent="0.25">
      <c r="A1227" s="46" t="s">
        <v>26</v>
      </c>
      <c r="B1227" s="3" t="s">
        <v>27</v>
      </c>
      <c r="C1227" s="3" t="s">
        <v>46</v>
      </c>
      <c r="D1227" s="3">
        <v>1</v>
      </c>
      <c r="E1227" s="3" t="s">
        <v>1855</v>
      </c>
      <c r="F1227" s="3">
        <v>6.81</v>
      </c>
      <c r="G1227" s="20">
        <f t="shared" si="53"/>
        <v>4.2221999999999991</v>
      </c>
      <c r="H1227" s="20">
        <f t="shared" si="55"/>
        <v>4.2221999999999991</v>
      </c>
      <c r="J1227" s="43" t="s">
        <v>1873</v>
      </c>
    </row>
    <row r="1228" spans="1:10" x14ac:dyDescent="0.25">
      <c r="A1228" s="46" t="s">
        <v>1376</v>
      </c>
      <c r="B1228" s="3" t="s">
        <v>1377</v>
      </c>
      <c r="C1228" s="3" t="s">
        <v>47</v>
      </c>
      <c r="D1228" s="3">
        <v>8</v>
      </c>
      <c r="E1228" s="3" t="s">
        <v>1855</v>
      </c>
      <c r="F1228" s="3">
        <v>35.9</v>
      </c>
      <c r="G1228" s="20">
        <f t="shared" si="53"/>
        <v>22.257999999999999</v>
      </c>
      <c r="H1228" s="20">
        <f t="shared" si="55"/>
        <v>178.06399999999999</v>
      </c>
      <c r="J1228" s="43" t="s">
        <v>2294</v>
      </c>
    </row>
    <row r="1229" spans="1:10" x14ac:dyDescent="0.25">
      <c r="A1229" s="46" t="s">
        <v>55</v>
      </c>
      <c r="B1229" s="3" t="s">
        <v>56</v>
      </c>
      <c r="C1229" s="3" t="s">
        <v>47</v>
      </c>
      <c r="D1229" s="3">
        <v>4</v>
      </c>
      <c r="E1229" s="3" t="s">
        <v>1855</v>
      </c>
      <c r="F1229" s="3">
        <v>23.9</v>
      </c>
      <c r="G1229" s="20">
        <f t="shared" si="53"/>
        <v>14.818</v>
      </c>
      <c r="H1229" s="20">
        <f t="shared" si="55"/>
        <v>59.271999999999998</v>
      </c>
      <c r="J1229" s="43" t="s">
        <v>1885</v>
      </c>
    </row>
    <row r="1230" spans="1:10" x14ac:dyDescent="0.25">
      <c r="A1230" s="46" t="s">
        <v>1378</v>
      </c>
      <c r="B1230" s="3" t="s">
        <v>1379</v>
      </c>
      <c r="C1230" s="3" t="s">
        <v>47</v>
      </c>
      <c r="D1230" s="3">
        <v>1</v>
      </c>
      <c r="E1230" s="3" t="s">
        <v>1855</v>
      </c>
      <c r="F1230" s="3">
        <v>36</v>
      </c>
      <c r="G1230" s="20">
        <f t="shared" ref="G1230:G1293" si="56">F1230-(F1230*38%)</f>
        <v>22.32</v>
      </c>
      <c r="H1230" s="20">
        <f t="shared" si="55"/>
        <v>22.32</v>
      </c>
      <c r="J1230" s="43" t="s">
        <v>2295</v>
      </c>
    </row>
    <row r="1231" spans="1:10" x14ac:dyDescent="0.25">
      <c r="A1231" s="46" t="s">
        <v>1380</v>
      </c>
      <c r="B1231" s="3" t="s">
        <v>1381</v>
      </c>
      <c r="C1231" s="3" t="s">
        <v>46</v>
      </c>
      <c r="D1231" s="3">
        <v>3</v>
      </c>
      <c r="E1231" s="3" t="s">
        <v>1855</v>
      </c>
      <c r="F1231" s="3">
        <v>67.5</v>
      </c>
      <c r="G1231" s="20">
        <f t="shared" si="56"/>
        <v>41.85</v>
      </c>
      <c r="H1231" s="20">
        <f t="shared" si="55"/>
        <v>125.55000000000001</v>
      </c>
      <c r="J1231" s="43" t="s">
        <v>2296</v>
      </c>
    </row>
    <row r="1232" spans="1:10" x14ac:dyDescent="0.25">
      <c r="A1232" s="46" t="s">
        <v>73</v>
      </c>
      <c r="B1232" s="3" t="s">
        <v>74</v>
      </c>
      <c r="C1232" s="3" t="s">
        <v>46</v>
      </c>
      <c r="D1232" s="3">
        <v>4</v>
      </c>
      <c r="E1232" s="3" t="s">
        <v>1855</v>
      </c>
      <c r="F1232" s="3">
        <v>30</v>
      </c>
      <c r="G1232" s="20">
        <f t="shared" si="56"/>
        <v>18.600000000000001</v>
      </c>
      <c r="H1232" s="20">
        <f t="shared" si="55"/>
        <v>74.400000000000006</v>
      </c>
      <c r="J1232" s="43" t="s">
        <v>74</v>
      </c>
    </row>
    <row r="1233" spans="1:10" x14ac:dyDescent="0.25">
      <c r="A1233" s="46" t="s">
        <v>16</v>
      </c>
      <c r="B1233" s="3" t="s">
        <v>17</v>
      </c>
      <c r="C1233" s="3" t="s">
        <v>46</v>
      </c>
      <c r="D1233" s="3">
        <v>3</v>
      </c>
      <c r="E1233" s="3" t="s">
        <v>1855</v>
      </c>
      <c r="F1233" s="3">
        <v>24.1</v>
      </c>
      <c r="G1233" s="20">
        <f t="shared" si="56"/>
        <v>14.942</v>
      </c>
      <c r="H1233" s="20">
        <f t="shared" si="55"/>
        <v>44.826000000000001</v>
      </c>
      <c r="J1233" s="43" t="s">
        <v>1869</v>
      </c>
    </row>
    <row r="1234" spans="1:10" x14ac:dyDescent="0.25">
      <c r="A1234" s="46" t="s">
        <v>1382</v>
      </c>
      <c r="B1234" s="3" t="s">
        <v>1383</v>
      </c>
      <c r="C1234" s="3" t="s">
        <v>46</v>
      </c>
      <c r="D1234" s="3">
        <v>1</v>
      </c>
      <c r="E1234" s="3" t="s">
        <v>1855</v>
      </c>
      <c r="F1234" s="3">
        <v>43.9</v>
      </c>
      <c r="G1234" s="20">
        <f t="shared" si="56"/>
        <v>27.218</v>
      </c>
      <c r="H1234" s="20">
        <f t="shared" si="55"/>
        <v>27.218</v>
      </c>
      <c r="J1234" s="43" t="s">
        <v>2297</v>
      </c>
    </row>
    <row r="1235" spans="1:10" x14ac:dyDescent="0.25">
      <c r="A1235" s="46" t="s">
        <v>30</v>
      </c>
      <c r="B1235" s="3" t="s">
        <v>31</v>
      </c>
      <c r="C1235" s="3" t="s">
        <v>46</v>
      </c>
      <c r="D1235" s="3">
        <v>4</v>
      </c>
      <c r="E1235" s="3" t="s">
        <v>1855</v>
      </c>
      <c r="F1235" s="3">
        <v>24.3</v>
      </c>
      <c r="G1235" s="20">
        <f t="shared" si="56"/>
        <v>15.066000000000001</v>
      </c>
      <c r="H1235" s="20">
        <f t="shared" si="55"/>
        <v>60.264000000000003</v>
      </c>
      <c r="J1235" s="43" t="s">
        <v>1874</v>
      </c>
    </row>
    <row r="1236" spans="1:10" x14ac:dyDescent="0.25">
      <c r="A1236" s="46" t="s">
        <v>1384</v>
      </c>
      <c r="B1236" s="3" t="s">
        <v>1385</v>
      </c>
      <c r="C1236" s="3" t="s">
        <v>47</v>
      </c>
      <c r="D1236" s="3">
        <v>4</v>
      </c>
      <c r="E1236" s="3" t="s">
        <v>1855</v>
      </c>
      <c r="F1236" s="3">
        <v>137</v>
      </c>
      <c r="G1236" s="20">
        <f t="shared" si="56"/>
        <v>84.94</v>
      </c>
      <c r="H1236" s="20">
        <f t="shared" si="55"/>
        <v>339.76</v>
      </c>
      <c r="J1236" s="43" t="s">
        <v>1385</v>
      </c>
    </row>
    <row r="1237" spans="1:10" x14ac:dyDescent="0.25">
      <c r="A1237" s="46" t="s">
        <v>1386</v>
      </c>
      <c r="B1237" s="3" t="s">
        <v>1387</v>
      </c>
      <c r="C1237" s="3" t="s">
        <v>46</v>
      </c>
      <c r="D1237" s="3">
        <v>2</v>
      </c>
      <c r="E1237" s="3" t="s">
        <v>1855</v>
      </c>
      <c r="F1237" s="3">
        <v>142.5</v>
      </c>
      <c r="G1237" s="20">
        <f t="shared" si="56"/>
        <v>88.35</v>
      </c>
      <c r="H1237" s="20">
        <f t="shared" si="55"/>
        <v>176.7</v>
      </c>
      <c r="J1237" s="43" t="s">
        <v>2298</v>
      </c>
    </row>
    <row r="1238" spans="1:10" x14ac:dyDescent="0.25">
      <c r="A1238" s="46" t="s">
        <v>1388</v>
      </c>
      <c r="B1238" s="3" t="s">
        <v>1389</v>
      </c>
      <c r="C1238" s="3" t="s">
        <v>46</v>
      </c>
      <c r="D1238" s="3">
        <v>1</v>
      </c>
      <c r="E1238" s="3" t="s">
        <v>1855</v>
      </c>
      <c r="F1238" s="3">
        <v>152.5</v>
      </c>
      <c r="G1238" s="20">
        <f t="shared" si="56"/>
        <v>94.55</v>
      </c>
      <c r="H1238" s="20">
        <f t="shared" si="55"/>
        <v>94.55</v>
      </c>
      <c r="J1238" s="43" t="s">
        <v>2299</v>
      </c>
    </row>
    <row r="1239" spans="1:10" x14ac:dyDescent="0.25">
      <c r="A1239" s="46" t="s">
        <v>1390</v>
      </c>
      <c r="B1239" s="3" t="s">
        <v>1391</v>
      </c>
      <c r="C1239" s="3" t="s">
        <v>47</v>
      </c>
      <c r="D1239" s="3">
        <v>3</v>
      </c>
      <c r="E1239" s="3" t="s">
        <v>1855</v>
      </c>
      <c r="F1239" s="3">
        <v>96.9</v>
      </c>
      <c r="G1239" s="20">
        <f t="shared" si="56"/>
        <v>60.078000000000003</v>
      </c>
      <c r="H1239" s="20">
        <f t="shared" si="55"/>
        <v>180.23400000000001</v>
      </c>
      <c r="J1239" s="43" t="s">
        <v>2300</v>
      </c>
    </row>
    <row r="1240" spans="1:10" x14ac:dyDescent="0.25">
      <c r="A1240" s="46" t="s">
        <v>123</v>
      </c>
      <c r="B1240" s="3" t="s">
        <v>124</v>
      </c>
      <c r="C1240" s="3" t="s">
        <v>46</v>
      </c>
      <c r="D1240" s="3">
        <v>3</v>
      </c>
      <c r="E1240" s="3" t="s">
        <v>1855</v>
      </c>
      <c r="F1240" s="3">
        <v>90.2</v>
      </c>
      <c r="G1240" s="20">
        <f t="shared" si="56"/>
        <v>55.923999999999999</v>
      </c>
      <c r="H1240" s="20">
        <f t="shared" si="55"/>
        <v>167.77199999999999</v>
      </c>
      <c r="J1240" s="43" t="s">
        <v>1910</v>
      </c>
    </row>
    <row r="1241" spans="1:10" x14ac:dyDescent="0.25">
      <c r="A1241" s="46" t="s">
        <v>1392</v>
      </c>
      <c r="B1241" s="3" t="s">
        <v>1393</v>
      </c>
      <c r="C1241" s="3" t="s">
        <v>47</v>
      </c>
      <c r="D1241" s="3">
        <v>3</v>
      </c>
      <c r="E1241" s="3" t="s">
        <v>1855</v>
      </c>
      <c r="F1241" s="3">
        <v>79.599999999999994</v>
      </c>
      <c r="G1241" s="20">
        <f t="shared" si="56"/>
        <v>49.351999999999997</v>
      </c>
      <c r="H1241" s="20">
        <f t="shared" si="55"/>
        <v>148.05599999999998</v>
      </c>
      <c r="J1241" s="43" t="s">
        <v>2301</v>
      </c>
    </row>
    <row r="1242" spans="1:10" x14ac:dyDescent="0.25">
      <c r="A1242" s="46" t="s">
        <v>105</v>
      </c>
      <c r="B1242" s="3" t="s">
        <v>106</v>
      </c>
      <c r="C1242" s="3" t="s">
        <v>46</v>
      </c>
      <c r="D1242" s="3">
        <v>1</v>
      </c>
      <c r="E1242" s="3" t="s">
        <v>1855</v>
      </c>
      <c r="F1242" s="3">
        <v>43.1</v>
      </c>
      <c r="G1242" s="20">
        <f t="shared" si="56"/>
        <v>26.722000000000001</v>
      </c>
      <c r="H1242" s="20">
        <f t="shared" si="55"/>
        <v>26.722000000000001</v>
      </c>
      <c r="J1242" s="43" t="s">
        <v>1901</v>
      </c>
    </row>
    <row r="1243" spans="1:10" x14ac:dyDescent="0.25">
      <c r="A1243" s="46" t="s">
        <v>1394</v>
      </c>
      <c r="B1243" s="3" t="s">
        <v>1395</v>
      </c>
      <c r="C1243" s="3" t="s">
        <v>46</v>
      </c>
      <c r="D1243" s="3">
        <v>1</v>
      </c>
      <c r="E1243" s="3" t="s">
        <v>1855</v>
      </c>
      <c r="F1243" s="3">
        <v>39.1</v>
      </c>
      <c r="G1243" s="20">
        <f t="shared" si="56"/>
        <v>24.242000000000001</v>
      </c>
      <c r="H1243" s="20">
        <f t="shared" si="55"/>
        <v>24.242000000000001</v>
      </c>
      <c r="J1243" s="43" t="s">
        <v>2302</v>
      </c>
    </row>
    <row r="1244" spans="1:10" x14ac:dyDescent="0.25">
      <c r="A1244" s="46" t="s">
        <v>93</v>
      </c>
      <c r="B1244" s="3" t="s">
        <v>94</v>
      </c>
      <c r="C1244" s="3" t="s">
        <v>46</v>
      </c>
      <c r="D1244" s="3">
        <v>2</v>
      </c>
      <c r="E1244" s="3" t="s">
        <v>1855</v>
      </c>
      <c r="F1244" s="3">
        <v>128</v>
      </c>
      <c r="G1244" s="20">
        <f t="shared" si="56"/>
        <v>79.36</v>
      </c>
      <c r="H1244" s="20">
        <f t="shared" si="55"/>
        <v>158.72</v>
      </c>
      <c r="J1244" s="43" t="s">
        <v>94</v>
      </c>
    </row>
    <row r="1245" spans="1:10" x14ac:dyDescent="0.25">
      <c r="A1245" s="46" t="s">
        <v>109</v>
      </c>
      <c r="B1245" s="3" t="s">
        <v>110</v>
      </c>
      <c r="C1245" s="3" t="s">
        <v>47</v>
      </c>
      <c r="D1245" s="3">
        <v>5</v>
      </c>
      <c r="E1245" s="3" t="s">
        <v>1855</v>
      </c>
      <c r="F1245" s="3">
        <v>21.2</v>
      </c>
      <c r="G1245" s="20">
        <f t="shared" si="56"/>
        <v>13.144</v>
      </c>
      <c r="H1245" s="20">
        <f t="shared" si="55"/>
        <v>65.72</v>
      </c>
      <c r="J1245" s="43" t="s">
        <v>1903</v>
      </c>
    </row>
    <row r="1246" spans="1:10" x14ac:dyDescent="0.25">
      <c r="A1246" s="46" t="s">
        <v>113</v>
      </c>
      <c r="B1246" s="3" t="s">
        <v>114</v>
      </c>
      <c r="C1246" s="3" t="s">
        <v>46</v>
      </c>
      <c r="D1246" s="3">
        <v>3</v>
      </c>
      <c r="E1246" s="3" t="s">
        <v>1855</v>
      </c>
      <c r="F1246" s="3">
        <v>15.9</v>
      </c>
      <c r="G1246" s="20">
        <f t="shared" si="56"/>
        <v>9.8580000000000005</v>
      </c>
      <c r="H1246" s="20">
        <f t="shared" si="55"/>
        <v>29.574000000000002</v>
      </c>
      <c r="J1246" s="43" t="s">
        <v>1905</v>
      </c>
    </row>
    <row r="1247" spans="1:10" ht="15.75" x14ac:dyDescent="0.25">
      <c r="A1247" s="47" t="s">
        <v>1791</v>
      </c>
      <c r="B1247" s="28" t="s">
        <v>1792</v>
      </c>
      <c r="C1247" s="3" t="s">
        <v>46</v>
      </c>
      <c r="D1247" s="3">
        <v>1</v>
      </c>
      <c r="E1247" s="3" t="s">
        <v>1856</v>
      </c>
      <c r="F1247" s="3">
        <v>296.5</v>
      </c>
      <c r="G1247" s="20">
        <f t="shared" si="56"/>
        <v>183.82999999999998</v>
      </c>
      <c r="H1247" s="20">
        <f t="shared" si="55"/>
        <v>183.82999999999998</v>
      </c>
      <c r="J1247" s="43" t="s">
        <v>1880</v>
      </c>
    </row>
    <row r="1248" spans="1:10" ht="15.75" x14ac:dyDescent="0.25">
      <c r="A1248" s="47" t="s">
        <v>1793</v>
      </c>
      <c r="B1248" s="28" t="s">
        <v>1794</v>
      </c>
      <c r="C1248" s="3" t="s">
        <v>46</v>
      </c>
      <c r="D1248" s="3">
        <v>1</v>
      </c>
      <c r="E1248" s="3" t="s">
        <v>1855</v>
      </c>
      <c r="F1248" s="3">
        <v>96.6</v>
      </c>
      <c r="G1248" s="20">
        <f t="shared" si="56"/>
        <v>59.891999999999996</v>
      </c>
      <c r="H1248" s="20">
        <f t="shared" si="55"/>
        <v>59.891999999999996</v>
      </c>
      <c r="J1248" s="43" t="s">
        <v>1881</v>
      </c>
    </row>
    <row r="1249" spans="1:10" s="5" customFormat="1" x14ac:dyDescent="0.25">
      <c r="A1249" s="51"/>
      <c r="B1249" s="6" t="s">
        <v>1396</v>
      </c>
      <c r="C1249" s="4"/>
      <c r="D1249" s="29"/>
      <c r="E1249" s="4"/>
      <c r="F1249" s="4"/>
      <c r="G1249" s="4"/>
      <c r="H1249" s="4"/>
      <c r="J1249" s="43"/>
    </row>
    <row r="1250" spans="1:10" x14ac:dyDescent="0.25">
      <c r="A1250" s="48" t="s">
        <v>99</v>
      </c>
      <c r="B1250" s="3" t="s">
        <v>100</v>
      </c>
      <c r="C1250" s="3" t="s">
        <v>46</v>
      </c>
      <c r="D1250" s="3">
        <v>2</v>
      </c>
      <c r="E1250" s="3" t="s">
        <v>1855</v>
      </c>
      <c r="F1250" s="3">
        <v>11.9</v>
      </c>
      <c r="G1250" s="20">
        <f t="shared" si="56"/>
        <v>7.3780000000000001</v>
      </c>
      <c r="H1250" s="20">
        <f t="shared" ref="H1250:H1271" si="57">G1250*D1250</f>
        <v>14.756</v>
      </c>
      <c r="J1250" s="43" t="e">
        <v>#N/A</v>
      </c>
    </row>
    <row r="1251" spans="1:10" x14ac:dyDescent="0.25">
      <c r="A1251" s="46" t="s">
        <v>26</v>
      </c>
      <c r="B1251" s="3" t="s">
        <v>27</v>
      </c>
      <c r="C1251" s="3" t="s">
        <v>46</v>
      </c>
      <c r="D1251" s="3">
        <v>1</v>
      </c>
      <c r="E1251" s="3" t="s">
        <v>1855</v>
      </c>
      <c r="F1251" s="3">
        <v>6.81</v>
      </c>
      <c r="G1251" s="20">
        <f t="shared" si="56"/>
        <v>4.2221999999999991</v>
      </c>
      <c r="H1251" s="20">
        <f t="shared" si="57"/>
        <v>4.2221999999999991</v>
      </c>
      <c r="J1251" s="43" t="s">
        <v>1873</v>
      </c>
    </row>
    <row r="1252" spans="1:10" x14ac:dyDescent="0.25">
      <c r="A1252" s="46" t="s">
        <v>316</v>
      </c>
      <c r="B1252" s="3" t="s">
        <v>317</v>
      </c>
      <c r="C1252" s="3" t="s">
        <v>46</v>
      </c>
      <c r="D1252" s="3">
        <v>1</v>
      </c>
      <c r="E1252" s="3" t="s">
        <v>1855</v>
      </c>
      <c r="F1252" s="3">
        <v>13.1</v>
      </c>
      <c r="G1252" s="20">
        <f t="shared" si="56"/>
        <v>8.1219999999999999</v>
      </c>
      <c r="H1252" s="20">
        <f t="shared" si="57"/>
        <v>8.1219999999999999</v>
      </c>
      <c r="J1252" s="43" t="s">
        <v>1995</v>
      </c>
    </row>
    <row r="1253" spans="1:10" x14ac:dyDescent="0.25">
      <c r="A1253" s="46" t="s">
        <v>1065</v>
      </c>
      <c r="B1253" s="3" t="s">
        <v>1066</v>
      </c>
      <c r="C1253" s="3" t="s">
        <v>46</v>
      </c>
      <c r="D1253" s="3">
        <v>2</v>
      </c>
      <c r="E1253" s="3" t="s">
        <v>1855</v>
      </c>
      <c r="F1253" s="3">
        <v>41.1</v>
      </c>
      <c r="G1253" s="20">
        <f t="shared" si="56"/>
        <v>25.481999999999999</v>
      </c>
      <c r="H1253" s="20">
        <f t="shared" si="57"/>
        <v>50.963999999999999</v>
      </c>
      <c r="J1253" s="43" t="s">
        <v>1066</v>
      </c>
    </row>
    <row r="1254" spans="1:10" x14ac:dyDescent="0.25">
      <c r="A1254" s="46" t="s">
        <v>1374</v>
      </c>
      <c r="B1254" s="3" t="s">
        <v>1375</v>
      </c>
      <c r="C1254" s="3" t="s">
        <v>46</v>
      </c>
      <c r="D1254" s="3">
        <v>1</v>
      </c>
      <c r="E1254" s="3" t="s">
        <v>1855</v>
      </c>
      <c r="F1254" s="3">
        <v>352.5</v>
      </c>
      <c r="G1254" s="20">
        <f t="shared" si="56"/>
        <v>218.55</v>
      </c>
      <c r="H1254" s="20">
        <f t="shared" si="57"/>
        <v>218.55</v>
      </c>
      <c r="J1254" s="43" t="s">
        <v>2293</v>
      </c>
    </row>
    <row r="1255" spans="1:10" x14ac:dyDescent="0.25">
      <c r="A1255" s="46" t="s">
        <v>1397</v>
      </c>
      <c r="B1255" s="3" t="s">
        <v>1398</v>
      </c>
      <c r="C1255" s="3" t="s">
        <v>46</v>
      </c>
      <c r="D1255" s="3">
        <v>1</v>
      </c>
      <c r="E1255" s="3" t="s">
        <v>1855</v>
      </c>
      <c r="F1255" s="3">
        <v>257</v>
      </c>
      <c r="G1255" s="20">
        <f t="shared" si="56"/>
        <v>159.34</v>
      </c>
      <c r="H1255" s="20">
        <f t="shared" si="57"/>
        <v>159.34</v>
      </c>
      <c r="J1255" s="43" t="s">
        <v>1398</v>
      </c>
    </row>
    <row r="1256" spans="1:10" x14ac:dyDescent="0.25">
      <c r="A1256" s="46" t="s">
        <v>22</v>
      </c>
      <c r="B1256" s="3" t="s">
        <v>23</v>
      </c>
      <c r="C1256" s="3" t="s">
        <v>46</v>
      </c>
      <c r="D1256" s="3">
        <v>1</v>
      </c>
      <c r="E1256" s="3" t="s">
        <v>1856</v>
      </c>
      <c r="F1256" s="3">
        <v>141.5</v>
      </c>
      <c r="G1256" s="20">
        <f t="shared" si="56"/>
        <v>87.72999999999999</v>
      </c>
      <c r="H1256" s="20">
        <f t="shared" si="57"/>
        <v>87.72999999999999</v>
      </c>
      <c r="J1256" s="43" t="s">
        <v>1871</v>
      </c>
    </row>
    <row r="1257" spans="1:10" x14ac:dyDescent="0.25">
      <c r="A1257" s="46" t="s">
        <v>1376</v>
      </c>
      <c r="B1257" s="3" t="s">
        <v>1377</v>
      </c>
      <c r="C1257" s="3" t="s">
        <v>47</v>
      </c>
      <c r="D1257" s="3">
        <v>6</v>
      </c>
      <c r="E1257" s="3" t="s">
        <v>1855</v>
      </c>
      <c r="F1257" s="3">
        <v>35.9</v>
      </c>
      <c r="G1257" s="20">
        <f t="shared" si="56"/>
        <v>22.257999999999999</v>
      </c>
      <c r="H1257" s="20">
        <f t="shared" si="57"/>
        <v>133.548</v>
      </c>
      <c r="J1257" s="43" t="s">
        <v>2294</v>
      </c>
    </row>
    <row r="1258" spans="1:10" x14ac:dyDescent="0.25">
      <c r="A1258" s="46" t="s">
        <v>55</v>
      </c>
      <c r="B1258" s="3" t="s">
        <v>56</v>
      </c>
      <c r="C1258" s="3" t="s">
        <v>47</v>
      </c>
      <c r="D1258" s="3">
        <v>6</v>
      </c>
      <c r="E1258" s="3" t="s">
        <v>1855</v>
      </c>
      <c r="F1258" s="3">
        <v>23.9</v>
      </c>
      <c r="G1258" s="20">
        <f t="shared" si="56"/>
        <v>14.818</v>
      </c>
      <c r="H1258" s="20">
        <f t="shared" si="57"/>
        <v>88.908000000000001</v>
      </c>
      <c r="J1258" s="43" t="s">
        <v>1885</v>
      </c>
    </row>
    <row r="1259" spans="1:10" x14ac:dyDescent="0.25">
      <c r="A1259" s="46" t="s">
        <v>30</v>
      </c>
      <c r="B1259" s="3" t="s">
        <v>31</v>
      </c>
      <c r="C1259" s="3" t="s">
        <v>46</v>
      </c>
      <c r="D1259" s="3">
        <v>4</v>
      </c>
      <c r="E1259" s="3" t="s">
        <v>1855</v>
      </c>
      <c r="F1259" s="3">
        <v>24.3</v>
      </c>
      <c r="G1259" s="20">
        <f t="shared" si="56"/>
        <v>15.066000000000001</v>
      </c>
      <c r="H1259" s="20">
        <f t="shared" si="57"/>
        <v>60.264000000000003</v>
      </c>
      <c r="J1259" s="43" t="s">
        <v>1874</v>
      </c>
    </row>
    <row r="1260" spans="1:10" x14ac:dyDescent="0.25">
      <c r="A1260" s="46" t="s">
        <v>73</v>
      </c>
      <c r="B1260" s="3" t="s">
        <v>74</v>
      </c>
      <c r="C1260" s="3" t="s">
        <v>46</v>
      </c>
      <c r="D1260" s="3">
        <v>3</v>
      </c>
      <c r="E1260" s="3" t="s">
        <v>1855</v>
      </c>
      <c r="F1260" s="3">
        <v>30</v>
      </c>
      <c r="G1260" s="20">
        <f t="shared" si="56"/>
        <v>18.600000000000001</v>
      </c>
      <c r="H1260" s="20">
        <f t="shared" si="57"/>
        <v>55.800000000000004</v>
      </c>
      <c r="J1260" s="43" t="s">
        <v>74</v>
      </c>
    </row>
    <row r="1261" spans="1:10" x14ac:dyDescent="0.25">
      <c r="A1261" s="46" t="s">
        <v>1380</v>
      </c>
      <c r="B1261" s="3" t="s">
        <v>1381</v>
      </c>
      <c r="C1261" s="3" t="s">
        <v>46</v>
      </c>
      <c r="D1261" s="3">
        <v>3</v>
      </c>
      <c r="E1261" s="3" t="s">
        <v>1855</v>
      </c>
      <c r="F1261" s="3">
        <v>67.5</v>
      </c>
      <c r="G1261" s="20">
        <f t="shared" si="56"/>
        <v>41.85</v>
      </c>
      <c r="H1261" s="20">
        <f t="shared" si="57"/>
        <v>125.55000000000001</v>
      </c>
      <c r="J1261" s="43" t="s">
        <v>2296</v>
      </c>
    </row>
    <row r="1262" spans="1:10" x14ac:dyDescent="0.25">
      <c r="A1262" s="46" t="s">
        <v>1399</v>
      </c>
      <c r="B1262" s="3" t="s">
        <v>1400</v>
      </c>
      <c r="C1262" s="3" t="s">
        <v>46</v>
      </c>
      <c r="D1262" s="3">
        <v>3</v>
      </c>
      <c r="E1262" s="3" t="s">
        <v>1855</v>
      </c>
      <c r="F1262" s="3">
        <v>27.6</v>
      </c>
      <c r="G1262" s="20">
        <f t="shared" si="56"/>
        <v>17.112000000000002</v>
      </c>
      <c r="H1262" s="20">
        <f t="shared" si="57"/>
        <v>51.336000000000006</v>
      </c>
      <c r="J1262" s="43" t="s">
        <v>2303</v>
      </c>
    </row>
    <row r="1263" spans="1:10" x14ac:dyDescent="0.25">
      <c r="A1263" s="46" t="s">
        <v>1382</v>
      </c>
      <c r="B1263" s="3" t="s">
        <v>1383</v>
      </c>
      <c r="C1263" s="3" t="s">
        <v>46</v>
      </c>
      <c r="D1263" s="3">
        <v>1</v>
      </c>
      <c r="E1263" s="3" t="s">
        <v>1855</v>
      </c>
      <c r="F1263" s="3">
        <v>43.9</v>
      </c>
      <c r="G1263" s="20">
        <f t="shared" si="56"/>
        <v>27.218</v>
      </c>
      <c r="H1263" s="20">
        <f t="shared" si="57"/>
        <v>27.218</v>
      </c>
      <c r="J1263" s="43" t="s">
        <v>2297</v>
      </c>
    </row>
    <row r="1264" spans="1:10" x14ac:dyDescent="0.25">
      <c r="A1264" s="46" t="s">
        <v>107</v>
      </c>
      <c r="B1264" s="3" t="s">
        <v>108</v>
      </c>
      <c r="C1264" s="3" t="s">
        <v>46</v>
      </c>
      <c r="D1264" s="3">
        <v>3</v>
      </c>
      <c r="E1264" s="3" t="s">
        <v>1855</v>
      </c>
      <c r="F1264" s="3">
        <v>11.9</v>
      </c>
      <c r="G1264" s="20">
        <f t="shared" si="56"/>
        <v>7.3780000000000001</v>
      </c>
      <c r="H1264" s="20">
        <f t="shared" si="57"/>
        <v>22.134</v>
      </c>
      <c r="J1264" s="43" t="s">
        <v>1902</v>
      </c>
    </row>
    <row r="1265" spans="1:10" x14ac:dyDescent="0.25">
      <c r="A1265" s="46" t="s">
        <v>111</v>
      </c>
      <c r="B1265" s="3" t="s">
        <v>112</v>
      </c>
      <c r="C1265" s="3" t="s">
        <v>47</v>
      </c>
      <c r="D1265" s="3">
        <v>2</v>
      </c>
      <c r="E1265" s="3" t="s">
        <v>1855</v>
      </c>
      <c r="F1265" s="3">
        <v>13.7</v>
      </c>
      <c r="G1265" s="20">
        <f t="shared" si="56"/>
        <v>8.4939999999999998</v>
      </c>
      <c r="H1265" s="20">
        <f t="shared" si="57"/>
        <v>16.988</v>
      </c>
      <c r="J1265" s="43" t="s">
        <v>1904</v>
      </c>
    </row>
    <row r="1266" spans="1:10" x14ac:dyDescent="0.25">
      <c r="A1266" s="46" t="s">
        <v>1394</v>
      </c>
      <c r="B1266" s="3" t="s">
        <v>1395</v>
      </c>
      <c r="C1266" s="3" t="s">
        <v>46</v>
      </c>
      <c r="D1266" s="3">
        <v>1</v>
      </c>
      <c r="E1266" s="3" t="s">
        <v>1855</v>
      </c>
      <c r="F1266" s="3">
        <v>39.1</v>
      </c>
      <c r="G1266" s="20">
        <f t="shared" si="56"/>
        <v>24.242000000000001</v>
      </c>
      <c r="H1266" s="20">
        <f t="shared" si="57"/>
        <v>24.242000000000001</v>
      </c>
      <c r="J1266" s="43" t="s">
        <v>2302</v>
      </c>
    </row>
    <row r="1267" spans="1:10" x14ac:dyDescent="0.25">
      <c r="A1267" s="46" t="s">
        <v>119</v>
      </c>
      <c r="B1267" s="3" t="s">
        <v>120</v>
      </c>
      <c r="C1267" s="3" t="s">
        <v>46</v>
      </c>
      <c r="D1267" s="3">
        <v>2</v>
      </c>
      <c r="E1267" s="3" t="s">
        <v>1855</v>
      </c>
      <c r="F1267" s="3">
        <v>68.099999999999994</v>
      </c>
      <c r="G1267" s="20">
        <f t="shared" si="56"/>
        <v>42.221999999999994</v>
      </c>
      <c r="H1267" s="20">
        <f t="shared" si="57"/>
        <v>84.443999999999988</v>
      </c>
      <c r="J1267" s="43" t="s">
        <v>1908</v>
      </c>
    </row>
    <row r="1268" spans="1:10" x14ac:dyDescent="0.25">
      <c r="A1268" s="46" t="s">
        <v>1401</v>
      </c>
      <c r="B1268" s="3" t="s">
        <v>1402</v>
      </c>
      <c r="C1268" s="3" t="s">
        <v>46</v>
      </c>
      <c r="D1268" s="3">
        <v>2</v>
      </c>
      <c r="E1268" s="3" t="s">
        <v>1855</v>
      </c>
      <c r="F1268" s="3">
        <v>38.200000000000003</v>
      </c>
      <c r="G1268" s="20">
        <f t="shared" si="56"/>
        <v>23.684000000000001</v>
      </c>
      <c r="H1268" s="20">
        <f t="shared" si="57"/>
        <v>47.368000000000002</v>
      </c>
      <c r="J1268" s="43" t="s">
        <v>2304</v>
      </c>
    </row>
    <row r="1269" spans="1:10" x14ac:dyDescent="0.25">
      <c r="A1269" s="46" t="s">
        <v>123</v>
      </c>
      <c r="B1269" s="3" t="s">
        <v>124</v>
      </c>
      <c r="C1269" s="3" t="s">
        <v>46</v>
      </c>
      <c r="D1269" s="3">
        <v>2</v>
      </c>
      <c r="E1269" s="3" t="s">
        <v>1855</v>
      </c>
      <c r="F1269" s="3">
        <v>90.2</v>
      </c>
      <c r="G1269" s="20">
        <f t="shared" si="56"/>
        <v>55.923999999999999</v>
      </c>
      <c r="H1269" s="20">
        <f t="shared" si="57"/>
        <v>111.848</v>
      </c>
      <c r="J1269" s="43" t="s">
        <v>1910</v>
      </c>
    </row>
    <row r="1270" spans="1:10" x14ac:dyDescent="0.25">
      <c r="A1270" s="46" t="s">
        <v>1791</v>
      </c>
      <c r="B1270" s="3" t="s">
        <v>1792</v>
      </c>
      <c r="C1270" s="3" t="s">
        <v>46</v>
      </c>
      <c r="D1270" s="3">
        <v>1</v>
      </c>
      <c r="E1270" s="3" t="s">
        <v>1856</v>
      </c>
      <c r="F1270" s="3">
        <v>296.5</v>
      </c>
      <c r="G1270" s="20">
        <f t="shared" si="56"/>
        <v>183.82999999999998</v>
      </c>
      <c r="H1270" s="20">
        <f t="shared" si="57"/>
        <v>183.82999999999998</v>
      </c>
      <c r="J1270" s="43" t="s">
        <v>1880</v>
      </c>
    </row>
    <row r="1271" spans="1:10" x14ac:dyDescent="0.25">
      <c r="A1271" s="46" t="s">
        <v>1793</v>
      </c>
      <c r="B1271" s="3" t="s">
        <v>1794</v>
      </c>
      <c r="C1271" s="3" t="s">
        <v>46</v>
      </c>
      <c r="D1271" s="3">
        <v>1</v>
      </c>
      <c r="E1271" s="3" t="s">
        <v>1855</v>
      </c>
      <c r="F1271" s="3">
        <v>96.6</v>
      </c>
      <c r="G1271" s="20">
        <f t="shared" si="56"/>
        <v>59.891999999999996</v>
      </c>
      <c r="H1271" s="20">
        <f t="shared" si="57"/>
        <v>59.891999999999996</v>
      </c>
      <c r="J1271" s="43" t="s">
        <v>1881</v>
      </c>
    </row>
    <row r="1272" spans="1:10" s="5" customFormat="1" x14ac:dyDescent="0.25">
      <c r="A1272" s="51"/>
      <c r="B1272" s="6" t="s">
        <v>1403</v>
      </c>
      <c r="C1272" s="4"/>
      <c r="D1272" s="29"/>
      <c r="E1272" s="4"/>
      <c r="F1272" s="4"/>
      <c r="G1272" s="4"/>
      <c r="H1272" s="4"/>
      <c r="J1272" s="43"/>
    </row>
    <row r="1273" spans="1:10" x14ac:dyDescent="0.25">
      <c r="A1273" s="48" t="s">
        <v>99</v>
      </c>
      <c r="B1273" s="3" t="s">
        <v>100</v>
      </c>
      <c r="C1273" s="3" t="s">
        <v>46</v>
      </c>
      <c r="D1273" s="3">
        <v>3</v>
      </c>
      <c r="E1273" s="3" t="s">
        <v>1855</v>
      </c>
      <c r="F1273" s="3">
        <v>11.9</v>
      </c>
      <c r="G1273" s="20">
        <f t="shared" si="56"/>
        <v>7.3780000000000001</v>
      </c>
      <c r="H1273" s="20">
        <f t="shared" ref="H1273:H1315" si="58">G1273*D1273</f>
        <v>22.134</v>
      </c>
      <c r="J1273" s="43" t="e">
        <v>#N/A</v>
      </c>
    </row>
    <row r="1274" spans="1:10" x14ac:dyDescent="0.25">
      <c r="A1274" s="46" t="s">
        <v>1374</v>
      </c>
      <c r="B1274" s="3" t="s">
        <v>1375</v>
      </c>
      <c r="C1274" s="3" t="s">
        <v>46</v>
      </c>
      <c r="D1274" s="3">
        <v>1</v>
      </c>
      <c r="E1274" s="3" t="s">
        <v>1855</v>
      </c>
      <c r="F1274" s="3">
        <v>352.5</v>
      </c>
      <c r="G1274" s="20">
        <f t="shared" si="56"/>
        <v>218.55</v>
      </c>
      <c r="H1274" s="20">
        <f t="shared" si="58"/>
        <v>218.55</v>
      </c>
      <c r="J1274" s="43" t="s">
        <v>2293</v>
      </c>
    </row>
    <row r="1275" spans="1:10" x14ac:dyDescent="0.25">
      <c r="A1275" s="46" t="s">
        <v>26</v>
      </c>
      <c r="B1275" s="3" t="s">
        <v>27</v>
      </c>
      <c r="C1275" s="3" t="s">
        <v>46</v>
      </c>
      <c r="D1275" s="3">
        <v>1</v>
      </c>
      <c r="E1275" s="3" t="s">
        <v>1855</v>
      </c>
      <c r="F1275" s="3">
        <v>6.81</v>
      </c>
      <c r="G1275" s="20">
        <f t="shared" si="56"/>
        <v>4.2221999999999991</v>
      </c>
      <c r="H1275" s="20">
        <f t="shared" si="58"/>
        <v>4.2221999999999991</v>
      </c>
      <c r="J1275" s="43" t="s">
        <v>1873</v>
      </c>
    </row>
    <row r="1276" spans="1:10" x14ac:dyDescent="0.25">
      <c r="A1276" s="46" t="s">
        <v>316</v>
      </c>
      <c r="B1276" s="3" t="s">
        <v>317</v>
      </c>
      <c r="C1276" s="3" t="s">
        <v>46</v>
      </c>
      <c r="D1276" s="3">
        <v>1</v>
      </c>
      <c r="E1276" s="3" t="s">
        <v>1855</v>
      </c>
      <c r="F1276" s="3">
        <v>13.1</v>
      </c>
      <c r="G1276" s="20">
        <f t="shared" si="56"/>
        <v>8.1219999999999999</v>
      </c>
      <c r="H1276" s="20">
        <f t="shared" si="58"/>
        <v>8.1219999999999999</v>
      </c>
      <c r="J1276" s="43" t="s">
        <v>1995</v>
      </c>
    </row>
    <row r="1277" spans="1:10" x14ac:dyDescent="0.25">
      <c r="A1277" s="46" t="s">
        <v>89</v>
      </c>
      <c r="B1277" s="3" t="s">
        <v>90</v>
      </c>
      <c r="C1277" s="3" t="s">
        <v>46</v>
      </c>
      <c r="D1277" s="3">
        <v>2</v>
      </c>
      <c r="E1277" s="3" t="s">
        <v>1855</v>
      </c>
      <c r="F1277" s="3">
        <v>39.4</v>
      </c>
      <c r="G1277" s="20">
        <f t="shared" si="56"/>
        <v>24.427999999999997</v>
      </c>
      <c r="H1277" s="20">
        <f t="shared" si="58"/>
        <v>48.855999999999995</v>
      </c>
      <c r="J1277" s="43" t="s">
        <v>90</v>
      </c>
    </row>
    <row r="1278" spans="1:10" x14ac:dyDescent="0.25">
      <c r="A1278" s="46" t="s">
        <v>91</v>
      </c>
      <c r="B1278" s="3" t="s">
        <v>92</v>
      </c>
      <c r="C1278" s="3" t="s">
        <v>46</v>
      </c>
      <c r="D1278" s="3">
        <v>1</v>
      </c>
      <c r="E1278" s="3" t="s">
        <v>1855</v>
      </c>
      <c r="F1278" s="3">
        <v>57.1</v>
      </c>
      <c r="G1278" s="20">
        <f t="shared" si="56"/>
        <v>35.402000000000001</v>
      </c>
      <c r="H1278" s="20">
        <f t="shared" si="58"/>
        <v>35.402000000000001</v>
      </c>
      <c r="J1278" s="43" t="s">
        <v>92</v>
      </c>
    </row>
    <row r="1279" spans="1:10" x14ac:dyDescent="0.25">
      <c r="A1279" s="46" t="s">
        <v>87</v>
      </c>
      <c r="B1279" s="3" t="s">
        <v>88</v>
      </c>
      <c r="C1279" s="3" t="s">
        <v>46</v>
      </c>
      <c r="D1279" s="3">
        <v>1</v>
      </c>
      <c r="E1279" s="3" t="s">
        <v>1855</v>
      </c>
      <c r="F1279" s="3">
        <v>60</v>
      </c>
      <c r="G1279" s="20">
        <f t="shared" si="56"/>
        <v>37.200000000000003</v>
      </c>
      <c r="H1279" s="20">
        <f t="shared" si="58"/>
        <v>37.200000000000003</v>
      </c>
      <c r="J1279" s="43" t="s">
        <v>88</v>
      </c>
    </row>
    <row r="1280" spans="1:10" x14ac:dyDescent="0.25">
      <c r="A1280" s="46" t="s">
        <v>93</v>
      </c>
      <c r="B1280" s="3" t="s">
        <v>94</v>
      </c>
      <c r="C1280" s="3" t="s">
        <v>46</v>
      </c>
      <c r="D1280" s="3">
        <v>2</v>
      </c>
      <c r="E1280" s="3" t="s">
        <v>1855</v>
      </c>
      <c r="F1280" s="3">
        <v>128</v>
      </c>
      <c r="G1280" s="20">
        <f t="shared" si="56"/>
        <v>79.36</v>
      </c>
      <c r="H1280" s="20">
        <f t="shared" si="58"/>
        <v>158.72</v>
      </c>
      <c r="J1280" s="43" t="s">
        <v>94</v>
      </c>
    </row>
    <row r="1281" spans="1:10" x14ac:dyDescent="0.25">
      <c r="A1281" s="46" t="s">
        <v>22</v>
      </c>
      <c r="B1281" s="3" t="s">
        <v>23</v>
      </c>
      <c r="C1281" s="3" t="s">
        <v>46</v>
      </c>
      <c r="D1281" s="3">
        <v>2</v>
      </c>
      <c r="E1281" s="3" t="s">
        <v>1856</v>
      </c>
      <c r="F1281" s="3">
        <v>141.5</v>
      </c>
      <c r="G1281" s="20">
        <f t="shared" si="56"/>
        <v>87.72999999999999</v>
      </c>
      <c r="H1281" s="20">
        <f t="shared" si="58"/>
        <v>175.45999999999998</v>
      </c>
      <c r="J1281" s="43" t="s">
        <v>1871</v>
      </c>
    </row>
    <row r="1282" spans="1:10" x14ac:dyDescent="0.25">
      <c r="A1282" s="46" t="s">
        <v>1404</v>
      </c>
      <c r="B1282" s="3" t="s">
        <v>1405</v>
      </c>
      <c r="C1282" s="3" t="s">
        <v>46</v>
      </c>
      <c r="D1282" s="3">
        <v>2</v>
      </c>
      <c r="E1282" s="3" t="s">
        <v>1855</v>
      </c>
      <c r="F1282" s="3">
        <v>43.9</v>
      </c>
      <c r="G1282" s="20">
        <f t="shared" si="56"/>
        <v>27.218</v>
      </c>
      <c r="H1282" s="20">
        <f t="shared" si="58"/>
        <v>54.436</v>
      </c>
      <c r="J1282" s="43" t="s">
        <v>1405</v>
      </c>
    </row>
    <row r="1283" spans="1:10" x14ac:dyDescent="0.25">
      <c r="A1283" s="46" t="s">
        <v>1376</v>
      </c>
      <c r="B1283" s="3" t="s">
        <v>1377</v>
      </c>
      <c r="C1283" s="3" t="s">
        <v>47</v>
      </c>
      <c r="D1283" s="3">
        <v>8</v>
      </c>
      <c r="E1283" s="3" t="s">
        <v>1855</v>
      </c>
      <c r="F1283" s="3">
        <v>35.9</v>
      </c>
      <c r="G1283" s="20">
        <f t="shared" si="56"/>
        <v>22.257999999999999</v>
      </c>
      <c r="H1283" s="20">
        <f t="shared" si="58"/>
        <v>178.06399999999999</v>
      </c>
      <c r="J1283" s="43" t="s">
        <v>2294</v>
      </c>
    </row>
    <row r="1284" spans="1:10" x14ac:dyDescent="0.25">
      <c r="A1284" s="46" t="s">
        <v>55</v>
      </c>
      <c r="B1284" s="3" t="s">
        <v>56</v>
      </c>
      <c r="C1284" s="3" t="s">
        <v>47</v>
      </c>
      <c r="D1284" s="3">
        <v>10</v>
      </c>
      <c r="E1284" s="3" t="s">
        <v>1855</v>
      </c>
      <c r="F1284" s="3">
        <v>23.9</v>
      </c>
      <c r="G1284" s="20">
        <f t="shared" si="56"/>
        <v>14.818</v>
      </c>
      <c r="H1284" s="20">
        <f t="shared" si="58"/>
        <v>148.18</v>
      </c>
      <c r="J1284" s="43" t="s">
        <v>1885</v>
      </c>
    </row>
    <row r="1285" spans="1:10" x14ac:dyDescent="0.25">
      <c r="A1285" s="46" t="s">
        <v>16</v>
      </c>
      <c r="B1285" s="3" t="s">
        <v>17</v>
      </c>
      <c r="C1285" s="3" t="s">
        <v>46</v>
      </c>
      <c r="D1285" s="3">
        <v>1</v>
      </c>
      <c r="E1285" s="3" t="s">
        <v>1855</v>
      </c>
      <c r="F1285" s="3">
        <v>24.1</v>
      </c>
      <c r="G1285" s="20">
        <f t="shared" si="56"/>
        <v>14.942</v>
      </c>
      <c r="H1285" s="20">
        <f t="shared" si="58"/>
        <v>14.942</v>
      </c>
      <c r="J1285" s="43" t="s">
        <v>1869</v>
      </c>
    </row>
    <row r="1286" spans="1:10" x14ac:dyDescent="0.25">
      <c r="A1286" s="46" t="s">
        <v>1399</v>
      </c>
      <c r="B1286" s="3" t="s">
        <v>1400</v>
      </c>
      <c r="C1286" s="3" t="s">
        <v>46</v>
      </c>
      <c r="D1286" s="3">
        <v>1</v>
      </c>
      <c r="E1286" s="3" t="s">
        <v>1855</v>
      </c>
      <c r="F1286" s="3">
        <v>27.6</v>
      </c>
      <c r="G1286" s="20">
        <f t="shared" si="56"/>
        <v>17.112000000000002</v>
      </c>
      <c r="H1286" s="20">
        <f t="shared" si="58"/>
        <v>17.112000000000002</v>
      </c>
      <c r="J1286" s="43" t="s">
        <v>2303</v>
      </c>
    </row>
    <row r="1287" spans="1:10" x14ac:dyDescent="0.25">
      <c r="A1287" s="46" t="s">
        <v>1406</v>
      </c>
      <c r="B1287" s="3" t="s">
        <v>1407</v>
      </c>
      <c r="C1287" s="3" t="s">
        <v>46</v>
      </c>
      <c r="D1287" s="3">
        <v>1</v>
      </c>
      <c r="E1287" s="3" t="s">
        <v>1855</v>
      </c>
      <c r="F1287" s="3">
        <v>60.2</v>
      </c>
      <c r="G1287" s="20">
        <f t="shared" si="56"/>
        <v>37.323999999999998</v>
      </c>
      <c r="H1287" s="20">
        <f t="shared" si="58"/>
        <v>37.323999999999998</v>
      </c>
      <c r="J1287" s="43" t="s">
        <v>2305</v>
      </c>
    </row>
    <row r="1288" spans="1:10" x14ac:dyDescent="0.25">
      <c r="A1288" s="46" t="s">
        <v>1408</v>
      </c>
      <c r="B1288" s="3" t="s">
        <v>1409</v>
      </c>
      <c r="C1288" s="3" t="s">
        <v>46</v>
      </c>
      <c r="D1288" s="3">
        <v>1</v>
      </c>
      <c r="E1288" s="3" t="s">
        <v>1855</v>
      </c>
      <c r="F1288" s="3">
        <v>75.400000000000006</v>
      </c>
      <c r="G1288" s="20">
        <f t="shared" si="56"/>
        <v>46.748000000000005</v>
      </c>
      <c r="H1288" s="20">
        <f t="shared" si="58"/>
        <v>46.748000000000005</v>
      </c>
      <c r="J1288" s="43" t="s">
        <v>2306</v>
      </c>
    </row>
    <row r="1289" spans="1:10" x14ac:dyDescent="0.25">
      <c r="A1289" s="46" t="s">
        <v>1382</v>
      </c>
      <c r="B1289" s="3" t="s">
        <v>1383</v>
      </c>
      <c r="C1289" s="3" t="s">
        <v>46</v>
      </c>
      <c r="D1289" s="3">
        <v>1</v>
      </c>
      <c r="E1289" s="3" t="s">
        <v>1855</v>
      </c>
      <c r="F1289" s="3">
        <v>43.9</v>
      </c>
      <c r="G1289" s="20">
        <f t="shared" si="56"/>
        <v>27.218</v>
      </c>
      <c r="H1289" s="20">
        <f t="shared" si="58"/>
        <v>27.218</v>
      </c>
      <c r="J1289" s="43" t="s">
        <v>2297</v>
      </c>
    </row>
    <row r="1290" spans="1:10" x14ac:dyDescent="0.25">
      <c r="A1290" s="46" t="s">
        <v>1410</v>
      </c>
      <c r="B1290" s="3" t="s">
        <v>1411</v>
      </c>
      <c r="C1290" s="3" t="s">
        <v>46</v>
      </c>
      <c r="D1290" s="3">
        <v>2</v>
      </c>
      <c r="E1290" s="3" t="s">
        <v>1855</v>
      </c>
      <c r="F1290" s="3">
        <v>56.6</v>
      </c>
      <c r="G1290" s="20">
        <f t="shared" si="56"/>
        <v>35.091999999999999</v>
      </c>
      <c r="H1290" s="20">
        <f t="shared" si="58"/>
        <v>70.183999999999997</v>
      </c>
      <c r="J1290" s="43" t="s">
        <v>2307</v>
      </c>
    </row>
    <row r="1291" spans="1:10" x14ac:dyDescent="0.25">
      <c r="A1291" s="46" t="s">
        <v>1380</v>
      </c>
      <c r="B1291" s="3" t="s">
        <v>1381</v>
      </c>
      <c r="C1291" s="3" t="s">
        <v>46</v>
      </c>
      <c r="D1291" s="3">
        <v>2</v>
      </c>
      <c r="E1291" s="3" t="s">
        <v>1855</v>
      </c>
      <c r="F1291" s="3">
        <v>67.5</v>
      </c>
      <c r="G1291" s="20">
        <f t="shared" si="56"/>
        <v>41.85</v>
      </c>
      <c r="H1291" s="20">
        <f t="shared" si="58"/>
        <v>83.7</v>
      </c>
      <c r="J1291" s="43" t="s">
        <v>2296</v>
      </c>
    </row>
    <row r="1292" spans="1:10" x14ac:dyDescent="0.25">
      <c r="A1292" s="46" t="s">
        <v>18</v>
      </c>
      <c r="B1292" s="3" t="s">
        <v>19</v>
      </c>
      <c r="C1292" s="3" t="s">
        <v>47</v>
      </c>
      <c r="D1292" s="3">
        <v>2</v>
      </c>
      <c r="E1292" s="3" t="s">
        <v>1855</v>
      </c>
      <c r="F1292" s="3">
        <v>28</v>
      </c>
      <c r="G1292" s="20">
        <f t="shared" si="56"/>
        <v>17.36</v>
      </c>
      <c r="H1292" s="20">
        <f t="shared" si="58"/>
        <v>34.72</v>
      </c>
      <c r="J1292" s="43" t="s">
        <v>19</v>
      </c>
    </row>
    <row r="1293" spans="1:10" x14ac:dyDescent="0.25">
      <c r="A1293" s="46" t="s">
        <v>73</v>
      </c>
      <c r="B1293" s="3" t="s">
        <v>74</v>
      </c>
      <c r="C1293" s="3" t="s">
        <v>46</v>
      </c>
      <c r="D1293" s="3">
        <v>1</v>
      </c>
      <c r="E1293" s="3" t="s">
        <v>1855</v>
      </c>
      <c r="F1293" s="3">
        <v>30</v>
      </c>
      <c r="G1293" s="20">
        <f t="shared" si="56"/>
        <v>18.600000000000001</v>
      </c>
      <c r="H1293" s="20">
        <f t="shared" si="58"/>
        <v>18.600000000000001</v>
      </c>
      <c r="J1293" s="43" t="s">
        <v>74</v>
      </c>
    </row>
    <row r="1294" spans="1:10" x14ac:dyDescent="0.25">
      <c r="A1294" s="46" t="s">
        <v>1412</v>
      </c>
      <c r="B1294" s="3" t="s">
        <v>1413</v>
      </c>
      <c r="C1294" s="3" t="s">
        <v>46</v>
      </c>
      <c r="D1294" s="3">
        <v>1</v>
      </c>
      <c r="E1294" s="3" t="s">
        <v>1855</v>
      </c>
      <c r="F1294" s="3">
        <v>35.5</v>
      </c>
      <c r="G1294" s="20">
        <f t="shared" ref="G1294:G1357" si="59">F1294-(F1294*38%)</f>
        <v>22.009999999999998</v>
      </c>
      <c r="H1294" s="20">
        <f t="shared" si="58"/>
        <v>22.009999999999998</v>
      </c>
      <c r="J1294" s="43" t="s">
        <v>1413</v>
      </c>
    </row>
    <row r="1295" spans="1:10" x14ac:dyDescent="0.25">
      <c r="A1295" s="46" t="s">
        <v>30</v>
      </c>
      <c r="B1295" s="3" t="s">
        <v>31</v>
      </c>
      <c r="C1295" s="3" t="s">
        <v>46</v>
      </c>
      <c r="D1295" s="3">
        <v>5</v>
      </c>
      <c r="E1295" s="3" t="s">
        <v>1855</v>
      </c>
      <c r="F1295" s="3">
        <v>24.3</v>
      </c>
      <c r="G1295" s="20">
        <f t="shared" si="59"/>
        <v>15.066000000000001</v>
      </c>
      <c r="H1295" s="20">
        <f t="shared" si="58"/>
        <v>75.33</v>
      </c>
      <c r="J1295" s="43" t="s">
        <v>1874</v>
      </c>
    </row>
    <row r="1296" spans="1:10" x14ac:dyDescent="0.25">
      <c r="A1296" s="46" t="s">
        <v>105</v>
      </c>
      <c r="B1296" s="3" t="s">
        <v>106</v>
      </c>
      <c r="C1296" s="3" t="s">
        <v>46</v>
      </c>
      <c r="D1296" s="3">
        <v>1</v>
      </c>
      <c r="E1296" s="3" t="s">
        <v>1855</v>
      </c>
      <c r="F1296" s="3">
        <v>43.1</v>
      </c>
      <c r="G1296" s="20">
        <f t="shared" si="59"/>
        <v>26.722000000000001</v>
      </c>
      <c r="H1296" s="20">
        <f t="shared" si="58"/>
        <v>26.722000000000001</v>
      </c>
      <c r="J1296" s="43" t="s">
        <v>1901</v>
      </c>
    </row>
    <row r="1297" spans="1:10" x14ac:dyDescent="0.25">
      <c r="A1297" s="46" t="s">
        <v>1378</v>
      </c>
      <c r="B1297" s="3" t="s">
        <v>1379</v>
      </c>
      <c r="C1297" s="3" t="s">
        <v>47</v>
      </c>
      <c r="D1297" s="3">
        <v>1</v>
      </c>
      <c r="E1297" s="3" t="s">
        <v>1855</v>
      </c>
      <c r="F1297" s="3">
        <v>36</v>
      </c>
      <c r="G1297" s="20">
        <f t="shared" si="59"/>
        <v>22.32</v>
      </c>
      <c r="H1297" s="20">
        <f t="shared" si="58"/>
        <v>22.32</v>
      </c>
      <c r="J1297" s="43" t="s">
        <v>2295</v>
      </c>
    </row>
    <row r="1298" spans="1:10" x14ac:dyDescent="0.25">
      <c r="A1298" s="46" t="s">
        <v>1414</v>
      </c>
      <c r="B1298" s="3" t="s">
        <v>1415</v>
      </c>
      <c r="C1298" s="3" t="s">
        <v>46</v>
      </c>
      <c r="D1298" s="3">
        <v>6</v>
      </c>
      <c r="E1298" s="3" t="s">
        <v>1855</v>
      </c>
      <c r="F1298" s="3">
        <v>114.5</v>
      </c>
      <c r="G1298" s="20">
        <f t="shared" si="59"/>
        <v>70.990000000000009</v>
      </c>
      <c r="H1298" s="20">
        <f t="shared" si="58"/>
        <v>425.94000000000005</v>
      </c>
      <c r="J1298" s="43" t="s">
        <v>2308</v>
      </c>
    </row>
    <row r="1299" spans="1:10" x14ac:dyDescent="0.25">
      <c r="A1299" s="46" t="s">
        <v>1416</v>
      </c>
      <c r="B1299" s="3" t="s">
        <v>1417</v>
      </c>
      <c r="C1299" s="3" t="s">
        <v>46</v>
      </c>
      <c r="D1299" s="3">
        <v>1</v>
      </c>
      <c r="E1299" s="3" t="s">
        <v>1855</v>
      </c>
      <c r="F1299" s="3">
        <v>124</v>
      </c>
      <c r="G1299" s="20">
        <f t="shared" si="59"/>
        <v>76.88</v>
      </c>
      <c r="H1299" s="20">
        <f t="shared" si="58"/>
        <v>76.88</v>
      </c>
      <c r="J1299" s="43" t="s">
        <v>2309</v>
      </c>
    </row>
    <row r="1300" spans="1:10" x14ac:dyDescent="0.25">
      <c r="A1300" s="46" t="s">
        <v>1418</v>
      </c>
      <c r="B1300" s="3" t="s">
        <v>1419</v>
      </c>
      <c r="C1300" s="3" t="s">
        <v>47</v>
      </c>
      <c r="D1300" s="3">
        <v>1</v>
      </c>
      <c r="E1300" s="3" t="s">
        <v>1855</v>
      </c>
      <c r="F1300" s="3">
        <v>193.5</v>
      </c>
      <c r="G1300" s="20">
        <f t="shared" si="59"/>
        <v>119.97</v>
      </c>
      <c r="H1300" s="20">
        <f t="shared" si="58"/>
        <v>119.97</v>
      </c>
      <c r="J1300" s="43" t="s">
        <v>2310</v>
      </c>
    </row>
    <row r="1301" spans="1:10" x14ac:dyDescent="0.25">
      <c r="A1301" s="46" t="s">
        <v>1420</v>
      </c>
      <c r="B1301" s="3" t="s">
        <v>1421</v>
      </c>
      <c r="C1301" s="3" t="s">
        <v>47</v>
      </c>
      <c r="D1301" s="3">
        <v>1</v>
      </c>
      <c r="E1301" s="3" t="s">
        <v>1855</v>
      </c>
      <c r="F1301" s="3">
        <v>193.5</v>
      </c>
      <c r="G1301" s="20">
        <f t="shared" si="59"/>
        <v>119.97</v>
      </c>
      <c r="H1301" s="20">
        <f t="shared" si="58"/>
        <v>119.97</v>
      </c>
      <c r="J1301" s="43" t="s">
        <v>2311</v>
      </c>
    </row>
    <row r="1302" spans="1:10" x14ac:dyDescent="0.25">
      <c r="A1302" s="46" t="s">
        <v>1422</v>
      </c>
      <c r="B1302" s="3" t="s">
        <v>1423</v>
      </c>
      <c r="C1302" s="3" t="s">
        <v>47</v>
      </c>
      <c r="D1302" s="3">
        <v>2</v>
      </c>
      <c r="E1302" s="3" t="s">
        <v>1855</v>
      </c>
      <c r="F1302" s="3">
        <v>171</v>
      </c>
      <c r="G1302" s="20">
        <f t="shared" si="59"/>
        <v>106.02</v>
      </c>
      <c r="H1302" s="20">
        <f t="shared" si="58"/>
        <v>212.04</v>
      </c>
      <c r="J1302" s="43" t="s">
        <v>1423</v>
      </c>
    </row>
    <row r="1303" spans="1:10" x14ac:dyDescent="0.25">
      <c r="A1303" s="46" t="s">
        <v>1424</v>
      </c>
      <c r="B1303" s="3" t="s">
        <v>1425</v>
      </c>
      <c r="C1303" s="3" t="s">
        <v>46</v>
      </c>
      <c r="D1303" s="3">
        <v>2</v>
      </c>
      <c r="E1303" s="3" t="s">
        <v>1855</v>
      </c>
      <c r="F1303" s="3">
        <v>167</v>
      </c>
      <c r="G1303" s="20">
        <f t="shared" si="59"/>
        <v>103.53999999999999</v>
      </c>
      <c r="H1303" s="20">
        <f t="shared" si="58"/>
        <v>207.07999999999998</v>
      </c>
      <c r="J1303" s="43" t="s">
        <v>1425</v>
      </c>
    </row>
    <row r="1304" spans="1:10" x14ac:dyDescent="0.25">
      <c r="A1304" s="46" t="s">
        <v>1426</v>
      </c>
      <c r="B1304" s="3" t="s">
        <v>1427</v>
      </c>
      <c r="C1304" s="3" t="s">
        <v>47</v>
      </c>
      <c r="D1304" s="3">
        <v>1</v>
      </c>
      <c r="E1304" s="3" t="s">
        <v>1855</v>
      </c>
      <c r="F1304" s="3">
        <v>62.5</v>
      </c>
      <c r="G1304" s="20">
        <f t="shared" si="59"/>
        <v>38.75</v>
      </c>
      <c r="H1304" s="20">
        <f t="shared" si="58"/>
        <v>38.75</v>
      </c>
      <c r="J1304" s="43" t="s">
        <v>2312</v>
      </c>
    </row>
    <row r="1305" spans="1:10" x14ac:dyDescent="0.25">
      <c r="A1305" s="46" t="s">
        <v>1428</v>
      </c>
      <c r="B1305" s="3" t="s">
        <v>1429</v>
      </c>
      <c r="C1305" s="3" t="s">
        <v>46</v>
      </c>
      <c r="D1305" s="3">
        <v>1</v>
      </c>
      <c r="E1305" s="3" t="s">
        <v>1855</v>
      </c>
      <c r="F1305" s="3">
        <v>104</v>
      </c>
      <c r="G1305" s="20">
        <f t="shared" si="59"/>
        <v>64.47999999999999</v>
      </c>
      <c r="H1305" s="20">
        <f t="shared" si="58"/>
        <v>64.47999999999999</v>
      </c>
      <c r="J1305" s="43" t="s">
        <v>2313</v>
      </c>
    </row>
    <row r="1306" spans="1:10" x14ac:dyDescent="0.25">
      <c r="A1306" s="46" t="s">
        <v>1390</v>
      </c>
      <c r="B1306" s="3" t="s">
        <v>1391</v>
      </c>
      <c r="C1306" s="3" t="s">
        <v>47</v>
      </c>
      <c r="D1306" s="3">
        <v>3</v>
      </c>
      <c r="E1306" s="3" t="s">
        <v>1855</v>
      </c>
      <c r="F1306" s="3">
        <v>96.9</v>
      </c>
      <c r="G1306" s="20">
        <f t="shared" si="59"/>
        <v>60.078000000000003</v>
      </c>
      <c r="H1306" s="20">
        <f t="shared" si="58"/>
        <v>180.23400000000001</v>
      </c>
      <c r="J1306" s="43" t="s">
        <v>2300</v>
      </c>
    </row>
    <row r="1307" spans="1:10" x14ac:dyDescent="0.25">
      <c r="A1307" s="46" t="s">
        <v>1392</v>
      </c>
      <c r="B1307" s="3" t="s">
        <v>1393</v>
      </c>
      <c r="C1307" s="3" t="s">
        <v>47</v>
      </c>
      <c r="D1307" s="3">
        <v>3</v>
      </c>
      <c r="E1307" s="3" t="s">
        <v>1855</v>
      </c>
      <c r="F1307" s="3">
        <v>79.599999999999994</v>
      </c>
      <c r="G1307" s="20">
        <f t="shared" si="59"/>
        <v>49.351999999999997</v>
      </c>
      <c r="H1307" s="20">
        <f t="shared" si="58"/>
        <v>148.05599999999998</v>
      </c>
      <c r="J1307" s="43" t="s">
        <v>2301</v>
      </c>
    </row>
    <row r="1308" spans="1:10" x14ac:dyDescent="0.25">
      <c r="A1308" s="46" t="s">
        <v>123</v>
      </c>
      <c r="B1308" s="3" t="s">
        <v>124</v>
      </c>
      <c r="C1308" s="3" t="s">
        <v>46</v>
      </c>
      <c r="D1308" s="3">
        <v>3</v>
      </c>
      <c r="E1308" s="3" t="s">
        <v>1855</v>
      </c>
      <c r="F1308" s="3">
        <v>90.2</v>
      </c>
      <c r="G1308" s="20">
        <f t="shared" si="59"/>
        <v>55.923999999999999</v>
      </c>
      <c r="H1308" s="20">
        <f t="shared" si="58"/>
        <v>167.77199999999999</v>
      </c>
      <c r="J1308" s="43" t="s">
        <v>1910</v>
      </c>
    </row>
    <row r="1309" spans="1:10" x14ac:dyDescent="0.25">
      <c r="A1309" s="46" t="s">
        <v>1394</v>
      </c>
      <c r="B1309" s="3" t="s">
        <v>1395</v>
      </c>
      <c r="C1309" s="3" t="s">
        <v>46</v>
      </c>
      <c r="D1309" s="3">
        <v>1</v>
      </c>
      <c r="E1309" s="3" t="s">
        <v>1855</v>
      </c>
      <c r="F1309" s="3">
        <v>39.1</v>
      </c>
      <c r="G1309" s="20">
        <f t="shared" si="59"/>
        <v>24.242000000000001</v>
      </c>
      <c r="H1309" s="20">
        <f t="shared" si="58"/>
        <v>24.242000000000001</v>
      </c>
      <c r="J1309" s="43" t="s">
        <v>2302</v>
      </c>
    </row>
    <row r="1310" spans="1:10" x14ac:dyDescent="0.25">
      <c r="A1310" s="46" t="s">
        <v>107</v>
      </c>
      <c r="B1310" s="3" t="s">
        <v>108</v>
      </c>
      <c r="C1310" s="3" t="s">
        <v>46</v>
      </c>
      <c r="D1310" s="3">
        <v>3</v>
      </c>
      <c r="E1310" s="3" t="s">
        <v>1855</v>
      </c>
      <c r="F1310" s="3">
        <v>11.9</v>
      </c>
      <c r="G1310" s="20">
        <f t="shared" si="59"/>
        <v>7.3780000000000001</v>
      </c>
      <c r="H1310" s="20">
        <f t="shared" si="58"/>
        <v>22.134</v>
      </c>
      <c r="J1310" s="43" t="s">
        <v>1902</v>
      </c>
    </row>
    <row r="1311" spans="1:10" x14ac:dyDescent="0.25">
      <c r="A1311" s="46" t="s">
        <v>109</v>
      </c>
      <c r="B1311" s="3" t="s">
        <v>110</v>
      </c>
      <c r="C1311" s="3" t="s">
        <v>47</v>
      </c>
      <c r="D1311" s="3">
        <v>1</v>
      </c>
      <c r="E1311" s="3" t="s">
        <v>1855</v>
      </c>
      <c r="F1311" s="3">
        <v>21.2</v>
      </c>
      <c r="G1311" s="20">
        <f t="shared" si="59"/>
        <v>13.144</v>
      </c>
      <c r="H1311" s="20">
        <f t="shared" si="58"/>
        <v>13.144</v>
      </c>
      <c r="J1311" s="43" t="s">
        <v>1903</v>
      </c>
    </row>
    <row r="1312" spans="1:10" x14ac:dyDescent="0.25">
      <c r="A1312" s="46" t="s">
        <v>1430</v>
      </c>
      <c r="B1312" s="3" t="s">
        <v>1431</v>
      </c>
      <c r="C1312" s="3" t="s">
        <v>46</v>
      </c>
      <c r="D1312" s="3">
        <v>1</v>
      </c>
      <c r="E1312" s="3" t="s">
        <v>1855</v>
      </c>
      <c r="F1312" s="3">
        <v>19</v>
      </c>
      <c r="G1312" s="20">
        <f t="shared" si="59"/>
        <v>11.780000000000001</v>
      </c>
      <c r="H1312" s="20">
        <f t="shared" si="58"/>
        <v>11.780000000000001</v>
      </c>
      <c r="J1312" s="43" t="s">
        <v>2314</v>
      </c>
    </row>
    <row r="1313" spans="1:10" x14ac:dyDescent="0.25">
      <c r="A1313" s="46" t="s">
        <v>113</v>
      </c>
      <c r="B1313" s="3" t="s">
        <v>114</v>
      </c>
      <c r="C1313" s="3" t="s">
        <v>46</v>
      </c>
      <c r="D1313" s="3">
        <v>3</v>
      </c>
      <c r="E1313" s="3" t="s">
        <v>1855</v>
      </c>
      <c r="F1313" s="3">
        <v>15.9</v>
      </c>
      <c r="G1313" s="20">
        <f t="shared" si="59"/>
        <v>9.8580000000000005</v>
      </c>
      <c r="H1313" s="20">
        <f t="shared" si="58"/>
        <v>29.574000000000002</v>
      </c>
      <c r="J1313" s="43" t="s">
        <v>1905</v>
      </c>
    </row>
    <row r="1314" spans="1:10" x14ac:dyDescent="0.25">
      <c r="A1314" s="46" t="s">
        <v>1815</v>
      </c>
      <c r="B1314" s="3" t="s">
        <v>1816</v>
      </c>
      <c r="C1314" s="3" t="s">
        <v>46</v>
      </c>
      <c r="D1314" s="3">
        <v>1</v>
      </c>
      <c r="E1314" s="3" t="s">
        <v>1856</v>
      </c>
      <c r="F1314" s="3">
        <v>747</v>
      </c>
      <c r="G1314" s="20">
        <f t="shared" si="59"/>
        <v>463.14</v>
      </c>
      <c r="H1314" s="20">
        <f t="shared" si="58"/>
        <v>463.14</v>
      </c>
      <c r="J1314" s="43" t="s">
        <v>2268</v>
      </c>
    </row>
    <row r="1315" spans="1:10" x14ac:dyDescent="0.25">
      <c r="A1315" s="46" t="s">
        <v>1817</v>
      </c>
      <c r="B1315" s="3" t="s">
        <v>1818</v>
      </c>
      <c r="C1315" s="3" t="s">
        <v>46</v>
      </c>
      <c r="D1315" s="3">
        <v>1</v>
      </c>
      <c r="E1315" s="3" t="s">
        <v>1855</v>
      </c>
      <c r="F1315" s="3">
        <v>117.5</v>
      </c>
      <c r="G1315" s="20">
        <f t="shared" si="59"/>
        <v>72.849999999999994</v>
      </c>
      <c r="H1315" s="20">
        <f t="shared" si="58"/>
        <v>72.849999999999994</v>
      </c>
      <c r="J1315" s="43" t="s">
        <v>2269</v>
      </c>
    </row>
    <row r="1316" spans="1:10" s="5" customFormat="1" x14ac:dyDescent="0.25">
      <c r="A1316" s="51"/>
      <c r="B1316" s="6" t="s">
        <v>1432</v>
      </c>
      <c r="C1316" s="4"/>
      <c r="D1316" s="29"/>
      <c r="E1316" s="4"/>
      <c r="F1316" s="4"/>
      <c r="G1316" s="4"/>
      <c r="H1316" s="4"/>
      <c r="J1316" s="43"/>
    </row>
    <row r="1317" spans="1:10" x14ac:dyDescent="0.25">
      <c r="A1317" s="48" t="s">
        <v>99</v>
      </c>
      <c r="B1317" s="3" t="s">
        <v>100</v>
      </c>
      <c r="C1317" s="3" t="s">
        <v>46</v>
      </c>
      <c r="D1317" s="3">
        <v>4</v>
      </c>
      <c r="E1317" s="3" t="s">
        <v>1855</v>
      </c>
      <c r="F1317" s="3">
        <v>11.9</v>
      </c>
      <c r="G1317" s="20">
        <f t="shared" si="59"/>
        <v>7.3780000000000001</v>
      </c>
      <c r="H1317" s="20">
        <f t="shared" ref="H1317:H1335" si="60">G1317*D1317</f>
        <v>29.512</v>
      </c>
      <c r="J1317" s="43" t="e">
        <v>#N/A</v>
      </c>
    </row>
    <row r="1318" spans="1:10" x14ac:dyDescent="0.25">
      <c r="A1318" s="46" t="s">
        <v>316</v>
      </c>
      <c r="B1318" s="3" t="s">
        <v>317</v>
      </c>
      <c r="C1318" s="3" t="s">
        <v>46</v>
      </c>
      <c r="D1318" s="3">
        <v>2</v>
      </c>
      <c r="E1318" s="3" t="s">
        <v>1855</v>
      </c>
      <c r="F1318" s="3">
        <v>13.1</v>
      </c>
      <c r="G1318" s="20">
        <f t="shared" si="59"/>
        <v>8.1219999999999999</v>
      </c>
      <c r="H1318" s="20">
        <f t="shared" si="60"/>
        <v>16.244</v>
      </c>
      <c r="J1318" s="43" t="s">
        <v>1995</v>
      </c>
    </row>
    <row r="1319" spans="1:10" x14ac:dyDescent="0.25">
      <c r="A1319" s="46" t="s">
        <v>1155</v>
      </c>
      <c r="B1319" s="3" t="s">
        <v>1156</v>
      </c>
      <c r="C1319" s="3" t="s">
        <v>46</v>
      </c>
      <c r="D1319" s="3">
        <v>4</v>
      </c>
      <c r="E1319" s="3" t="s">
        <v>1855</v>
      </c>
      <c r="F1319" s="3">
        <v>36.9</v>
      </c>
      <c r="G1319" s="20">
        <f t="shared" si="59"/>
        <v>22.878</v>
      </c>
      <c r="H1319" s="20">
        <f t="shared" si="60"/>
        <v>91.512</v>
      </c>
      <c r="J1319" s="43" t="s">
        <v>2230</v>
      </c>
    </row>
    <row r="1320" spans="1:10" x14ac:dyDescent="0.25">
      <c r="A1320" s="46" t="s">
        <v>1433</v>
      </c>
      <c r="B1320" s="3" t="s">
        <v>1434</v>
      </c>
      <c r="C1320" s="3" t="s">
        <v>47</v>
      </c>
      <c r="D1320" s="3">
        <v>4</v>
      </c>
      <c r="E1320" s="3" t="s">
        <v>1855</v>
      </c>
      <c r="F1320" s="3">
        <v>29.7</v>
      </c>
      <c r="G1320" s="20">
        <f t="shared" si="59"/>
        <v>18.414000000000001</v>
      </c>
      <c r="H1320" s="20">
        <f t="shared" si="60"/>
        <v>73.656000000000006</v>
      </c>
      <c r="J1320" s="43" t="s">
        <v>2315</v>
      </c>
    </row>
    <row r="1321" spans="1:10" x14ac:dyDescent="0.25">
      <c r="A1321" s="46" t="s">
        <v>1435</v>
      </c>
      <c r="B1321" s="3" t="s">
        <v>1436</v>
      </c>
      <c r="C1321" s="3" t="s">
        <v>46</v>
      </c>
      <c r="D1321" s="3">
        <v>2</v>
      </c>
      <c r="E1321" s="3" t="s">
        <v>1855</v>
      </c>
      <c r="F1321" s="3">
        <v>40.9</v>
      </c>
      <c r="G1321" s="20">
        <f t="shared" si="59"/>
        <v>25.357999999999997</v>
      </c>
      <c r="H1321" s="20">
        <f t="shared" si="60"/>
        <v>50.715999999999994</v>
      </c>
      <c r="J1321" s="43" t="s">
        <v>2316</v>
      </c>
    </row>
    <row r="1322" spans="1:10" x14ac:dyDescent="0.25">
      <c r="A1322" s="46" t="s">
        <v>1382</v>
      </c>
      <c r="B1322" s="3" t="s">
        <v>1383</v>
      </c>
      <c r="C1322" s="3" t="s">
        <v>46</v>
      </c>
      <c r="D1322" s="3">
        <v>2</v>
      </c>
      <c r="E1322" s="3" t="s">
        <v>1855</v>
      </c>
      <c r="F1322" s="3">
        <v>43.9</v>
      </c>
      <c r="G1322" s="20">
        <f t="shared" si="59"/>
        <v>27.218</v>
      </c>
      <c r="H1322" s="20">
        <f t="shared" si="60"/>
        <v>54.436</v>
      </c>
      <c r="J1322" s="43" t="s">
        <v>2297</v>
      </c>
    </row>
    <row r="1323" spans="1:10" x14ac:dyDescent="0.25">
      <c r="A1323" s="46" t="s">
        <v>276</v>
      </c>
      <c r="B1323" s="3" t="s">
        <v>277</v>
      </c>
      <c r="C1323" s="3" t="s">
        <v>46</v>
      </c>
      <c r="D1323" s="3">
        <v>4</v>
      </c>
      <c r="E1323" s="3" t="s">
        <v>1855</v>
      </c>
      <c r="F1323" s="3">
        <v>72.900000000000006</v>
      </c>
      <c r="G1323" s="20">
        <f t="shared" si="59"/>
        <v>45.198000000000008</v>
      </c>
      <c r="H1323" s="20">
        <f t="shared" si="60"/>
        <v>180.79200000000003</v>
      </c>
      <c r="J1323" s="43" t="s">
        <v>277</v>
      </c>
    </row>
    <row r="1324" spans="1:10" x14ac:dyDescent="0.25">
      <c r="A1324" s="46" t="s">
        <v>144</v>
      </c>
      <c r="B1324" s="3" t="s">
        <v>145</v>
      </c>
      <c r="C1324" s="3" t="s">
        <v>46</v>
      </c>
      <c r="D1324" s="3">
        <v>4</v>
      </c>
      <c r="E1324" s="3" t="s">
        <v>1855</v>
      </c>
      <c r="F1324" s="3">
        <v>75.5</v>
      </c>
      <c r="G1324" s="20">
        <f t="shared" si="59"/>
        <v>46.81</v>
      </c>
      <c r="H1324" s="20">
        <f t="shared" si="60"/>
        <v>187.24</v>
      </c>
      <c r="J1324" s="43" t="s">
        <v>1920</v>
      </c>
    </row>
    <row r="1325" spans="1:10" x14ac:dyDescent="0.25">
      <c r="A1325" s="46" t="s">
        <v>1437</v>
      </c>
      <c r="B1325" s="3" t="s">
        <v>1438</v>
      </c>
      <c r="C1325" s="3" t="s">
        <v>46</v>
      </c>
      <c r="D1325" s="3">
        <v>4</v>
      </c>
      <c r="E1325" s="3" t="s">
        <v>1855</v>
      </c>
      <c r="F1325" s="3">
        <v>25.2</v>
      </c>
      <c r="G1325" s="20">
        <f t="shared" si="59"/>
        <v>15.623999999999999</v>
      </c>
      <c r="H1325" s="20">
        <f t="shared" si="60"/>
        <v>62.495999999999995</v>
      </c>
      <c r="J1325" s="43" t="s">
        <v>2317</v>
      </c>
    </row>
    <row r="1326" spans="1:10" x14ac:dyDescent="0.25">
      <c r="A1326" s="46" t="s">
        <v>1165</v>
      </c>
      <c r="B1326" s="3" t="s">
        <v>1166</v>
      </c>
      <c r="C1326" s="3" t="s">
        <v>46</v>
      </c>
      <c r="D1326" s="3">
        <v>4</v>
      </c>
      <c r="E1326" s="3" t="s">
        <v>1855</v>
      </c>
      <c r="F1326" s="3">
        <v>40</v>
      </c>
      <c r="G1326" s="20">
        <f t="shared" si="59"/>
        <v>24.8</v>
      </c>
      <c r="H1326" s="20">
        <f t="shared" si="60"/>
        <v>99.2</v>
      </c>
      <c r="J1326" s="43" t="s">
        <v>1166</v>
      </c>
    </row>
    <row r="1327" spans="1:10" x14ac:dyDescent="0.25">
      <c r="A1327" s="46" t="s">
        <v>1261</v>
      </c>
      <c r="B1327" s="3" t="s">
        <v>1262</v>
      </c>
      <c r="C1327" s="3" t="s">
        <v>46</v>
      </c>
      <c r="D1327" s="3">
        <v>8</v>
      </c>
      <c r="E1327" s="3" t="s">
        <v>1855</v>
      </c>
      <c r="F1327" s="3">
        <v>24.3</v>
      </c>
      <c r="G1327" s="20">
        <f t="shared" si="59"/>
        <v>15.066000000000001</v>
      </c>
      <c r="H1327" s="20">
        <f t="shared" si="60"/>
        <v>120.52800000000001</v>
      </c>
      <c r="J1327" s="43" t="s">
        <v>2264</v>
      </c>
    </row>
    <row r="1328" spans="1:10" x14ac:dyDescent="0.25">
      <c r="A1328" s="46" t="s">
        <v>1439</v>
      </c>
      <c r="B1328" s="3" t="s">
        <v>1440</v>
      </c>
      <c r="C1328" s="3" t="s">
        <v>46</v>
      </c>
      <c r="D1328" s="3">
        <v>2</v>
      </c>
      <c r="E1328" s="3" t="s">
        <v>1855</v>
      </c>
      <c r="F1328" s="3">
        <v>33.700000000000003</v>
      </c>
      <c r="G1328" s="20">
        <f t="shared" si="59"/>
        <v>20.894000000000002</v>
      </c>
      <c r="H1328" s="20">
        <f t="shared" si="60"/>
        <v>41.788000000000004</v>
      </c>
      <c r="J1328" s="43" t="s">
        <v>2318</v>
      </c>
    </row>
    <row r="1329" spans="1:10" x14ac:dyDescent="0.25">
      <c r="A1329" s="46" t="s">
        <v>1441</v>
      </c>
      <c r="B1329" s="3" t="s">
        <v>1442</v>
      </c>
      <c r="C1329" s="3" t="s">
        <v>46</v>
      </c>
      <c r="D1329" s="3">
        <v>4</v>
      </c>
      <c r="E1329" s="3" t="s">
        <v>1855</v>
      </c>
      <c r="F1329" s="3">
        <v>11.6</v>
      </c>
      <c r="G1329" s="20">
        <f t="shared" si="59"/>
        <v>7.1920000000000002</v>
      </c>
      <c r="H1329" s="20">
        <f t="shared" si="60"/>
        <v>28.768000000000001</v>
      </c>
      <c r="J1329" s="43" t="s">
        <v>2319</v>
      </c>
    </row>
    <row r="1330" spans="1:10" x14ac:dyDescent="0.25">
      <c r="A1330" s="46" t="s">
        <v>1443</v>
      </c>
      <c r="B1330" s="3" t="s">
        <v>1444</v>
      </c>
      <c r="C1330" s="3" t="s">
        <v>46</v>
      </c>
      <c r="D1330" s="3">
        <v>4</v>
      </c>
      <c r="E1330" s="3" t="s">
        <v>1855</v>
      </c>
      <c r="F1330" s="3">
        <v>10.1</v>
      </c>
      <c r="G1330" s="20">
        <f t="shared" si="59"/>
        <v>6.2619999999999996</v>
      </c>
      <c r="H1330" s="20">
        <f t="shared" si="60"/>
        <v>25.047999999999998</v>
      </c>
      <c r="J1330" s="43" t="s">
        <v>2320</v>
      </c>
    </row>
    <row r="1331" spans="1:10" x14ac:dyDescent="0.25">
      <c r="A1331" s="46" t="s">
        <v>187</v>
      </c>
      <c r="B1331" s="3" t="s">
        <v>188</v>
      </c>
      <c r="C1331" s="3" t="s">
        <v>46</v>
      </c>
      <c r="D1331" s="3">
        <v>2</v>
      </c>
      <c r="E1331" s="3" t="s">
        <v>1855</v>
      </c>
      <c r="F1331" s="3">
        <v>81.900000000000006</v>
      </c>
      <c r="G1331" s="20">
        <f t="shared" si="59"/>
        <v>50.778000000000006</v>
      </c>
      <c r="H1331" s="20">
        <f t="shared" si="60"/>
        <v>101.55600000000001</v>
      </c>
      <c r="J1331" s="43" t="s">
        <v>1942</v>
      </c>
    </row>
    <row r="1332" spans="1:10" x14ac:dyDescent="0.25">
      <c r="A1332" s="46" t="s">
        <v>55</v>
      </c>
      <c r="B1332" s="3" t="s">
        <v>56</v>
      </c>
      <c r="C1332" s="3" t="s">
        <v>47</v>
      </c>
      <c r="D1332" s="3">
        <v>16</v>
      </c>
      <c r="E1332" s="3" t="s">
        <v>1855</v>
      </c>
      <c r="F1332" s="3">
        <v>23.9</v>
      </c>
      <c r="G1332" s="20">
        <f t="shared" si="59"/>
        <v>14.818</v>
      </c>
      <c r="H1332" s="20">
        <f t="shared" si="60"/>
        <v>237.08799999999999</v>
      </c>
      <c r="J1332" s="43" t="s">
        <v>1885</v>
      </c>
    </row>
    <row r="1333" spans="1:10" x14ac:dyDescent="0.25">
      <c r="A1333" s="46" t="s">
        <v>1445</v>
      </c>
      <c r="B1333" s="3" t="s">
        <v>1446</v>
      </c>
      <c r="C1333" s="3" t="s">
        <v>46</v>
      </c>
      <c r="D1333" s="3">
        <v>4</v>
      </c>
      <c r="E1333" s="3" t="s">
        <v>1855</v>
      </c>
      <c r="F1333" s="3">
        <v>25.2</v>
      </c>
      <c r="G1333" s="20">
        <f t="shared" si="59"/>
        <v>15.623999999999999</v>
      </c>
      <c r="H1333" s="20">
        <f t="shared" si="60"/>
        <v>62.495999999999995</v>
      </c>
      <c r="J1333" s="43" t="s">
        <v>2321</v>
      </c>
    </row>
    <row r="1334" spans="1:10" ht="15.75" x14ac:dyDescent="0.25">
      <c r="A1334" s="47" t="s">
        <v>1791</v>
      </c>
      <c r="B1334" s="28" t="s">
        <v>1792</v>
      </c>
      <c r="C1334" s="3" t="s">
        <v>46</v>
      </c>
      <c r="D1334" s="3">
        <v>2</v>
      </c>
      <c r="E1334" s="3" t="s">
        <v>1856</v>
      </c>
      <c r="F1334" s="3">
        <v>296.5</v>
      </c>
      <c r="G1334" s="20">
        <f t="shared" si="59"/>
        <v>183.82999999999998</v>
      </c>
      <c r="H1334" s="20">
        <f t="shared" si="60"/>
        <v>367.65999999999997</v>
      </c>
      <c r="J1334" s="43" t="s">
        <v>1880</v>
      </c>
    </row>
    <row r="1335" spans="1:10" ht="15.75" x14ac:dyDescent="0.25">
      <c r="A1335" s="47" t="s">
        <v>1793</v>
      </c>
      <c r="B1335" s="28" t="s">
        <v>1794</v>
      </c>
      <c r="C1335" s="3" t="s">
        <v>46</v>
      </c>
      <c r="D1335" s="3">
        <v>2</v>
      </c>
      <c r="E1335" s="3" t="s">
        <v>1855</v>
      </c>
      <c r="F1335" s="3">
        <v>96.6</v>
      </c>
      <c r="G1335" s="20">
        <f t="shared" si="59"/>
        <v>59.891999999999996</v>
      </c>
      <c r="H1335" s="20">
        <f t="shared" si="60"/>
        <v>119.78399999999999</v>
      </c>
      <c r="J1335" s="43" t="s">
        <v>1881</v>
      </c>
    </row>
    <row r="1336" spans="1:10" s="5" customFormat="1" x14ac:dyDescent="0.25">
      <c r="A1336" s="51"/>
      <c r="B1336" s="6" t="s">
        <v>1447</v>
      </c>
      <c r="C1336" s="4"/>
      <c r="D1336" s="29"/>
      <c r="E1336" s="4"/>
      <c r="F1336" s="4"/>
      <c r="G1336" s="4"/>
      <c r="H1336" s="4"/>
      <c r="J1336" s="43"/>
    </row>
    <row r="1337" spans="1:10" x14ac:dyDescent="0.25">
      <c r="A1337" s="48" t="s">
        <v>99</v>
      </c>
      <c r="B1337" s="3" t="s">
        <v>100</v>
      </c>
      <c r="C1337" s="3" t="s">
        <v>46</v>
      </c>
      <c r="D1337" s="3">
        <v>3</v>
      </c>
      <c r="E1337" s="3" t="s">
        <v>1855</v>
      </c>
      <c r="F1337" s="3">
        <v>11.9</v>
      </c>
      <c r="G1337" s="20">
        <f t="shared" si="59"/>
        <v>7.3780000000000001</v>
      </c>
      <c r="H1337" s="20">
        <f t="shared" ref="H1337:H1386" si="61">G1337*D1337</f>
        <v>22.134</v>
      </c>
      <c r="J1337" s="43" t="e">
        <v>#N/A</v>
      </c>
    </row>
    <row r="1338" spans="1:10" x14ac:dyDescent="0.25">
      <c r="A1338" s="46" t="s">
        <v>1448</v>
      </c>
      <c r="B1338" s="3" t="s">
        <v>1449</v>
      </c>
      <c r="C1338" s="3" t="s">
        <v>46</v>
      </c>
      <c r="D1338" s="3">
        <v>1</v>
      </c>
      <c r="E1338" s="3" t="s">
        <v>1855</v>
      </c>
      <c r="F1338" s="3">
        <v>30.9</v>
      </c>
      <c r="G1338" s="20">
        <f t="shared" si="59"/>
        <v>19.158000000000001</v>
      </c>
      <c r="H1338" s="20">
        <f t="shared" si="61"/>
        <v>19.158000000000001</v>
      </c>
      <c r="J1338" s="43" t="s">
        <v>1449</v>
      </c>
    </row>
    <row r="1339" spans="1:10" x14ac:dyDescent="0.25">
      <c r="A1339" s="46" t="s">
        <v>1450</v>
      </c>
      <c r="B1339" s="3" t="s">
        <v>1451</v>
      </c>
      <c r="C1339" s="3" t="s">
        <v>46</v>
      </c>
      <c r="D1339" s="3">
        <v>3</v>
      </c>
      <c r="E1339" s="3" t="s">
        <v>1855</v>
      </c>
      <c r="F1339" s="3">
        <v>27</v>
      </c>
      <c r="G1339" s="20">
        <f t="shared" si="59"/>
        <v>16.740000000000002</v>
      </c>
      <c r="H1339" s="20">
        <f t="shared" si="61"/>
        <v>50.220000000000006</v>
      </c>
      <c r="J1339" s="43" t="s">
        <v>1451</v>
      </c>
    </row>
    <row r="1340" spans="1:10" x14ac:dyDescent="0.25">
      <c r="A1340" s="46" t="s">
        <v>1452</v>
      </c>
      <c r="B1340" s="3" t="s">
        <v>1453</v>
      </c>
      <c r="C1340" s="3" t="s">
        <v>46</v>
      </c>
      <c r="D1340" s="3">
        <v>1</v>
      </c>
      <c r="E1340" s="3" t="s">
        <v>1855</v>
      </c>
      <c r="F1340" s="3">
        <v>32.5</v>
      </c>
      <c r="G1340" s="20">
        <f t="shared" si="59"/>
        <v>20.149999999999999</v>
      </c>
      <c r="H1340" s="20">
        <f t="shared" si="61"/>
        <v>20.149999999999999</v>
      </c>
      <c r="J1340" s="43" t="s">
        <v>1453</v>
      </c>
    </row>
    <row r="1341" spans="1:10" x14ac:dyDescent="0.25">
      <c r="A1341" s="46" t="s">
        <v>1454</v>
      </c>
      <c r="B1341" s="3" t="s">
        <v>1455</v>
      </c>
      <c r="C1341" s="3" t="s">
        <v>46</v>
      </c>
      <c r="D1341" s="3">
        <v>1</v>
      </c>
      <c r="E1341" s="3" t="s">
        <v>1855</v>
      </c>
      <c r="F1341" s="3">
        <v>36.1</v>
      </c>
      <c r="G1341" s="20">
        <f t="shared" si="59"/>
        <v>22.382000000000001</v>
      </c>
      <c r="H1341" s="20">
        <f t="shared" si="61"/>
        <v>22.382000000000001</v>
      </c>
      <c r="J1341" s="43" t="s">
        <v>2322</v>
      </c>
    </row>
    <row r="1342" spans="1:10" x14ac:dyDescent="0.25">
      <c r="A1342" s="46" t="s">
        <v>22</v>
      </c>
      <c r="B1342" s="3" t="s">
        <v>23</v>
      </c>
      <c r="C1342" s="3" t="s">
        <v>46</v>
      </c>
      <c r="D1342" s="3">
        <v>2</v>
      </c>
      <c r="E1342" s="3" t="s">
        <v>1856</v>
      </c>
      <c r="F1342" s="3">
        <v>141.5</v>
      </c>
      <c r="G1342" s="20">
        <f t="shared" si="59"/>
        <v>87.72999999999999</v>
      </c>
      <c r="H1342" s="20">
        <f t="shared" si="61"/>
        <v>175.45999999999998</v>
      </c>
      <c r="J1342" s="43" t="s">
        <v>1871</v>
      </c>
    </row>
    <row r="1343" spans="1:10" x14ac:dyDescent="0.25">
      <c r="A1343" s="46" t="s">
        <v>1065</v>
      </c>
      <c r="B1343" s="3" t="s">
        <v>1066</v>
      </c>
      <c r="C1343" s="3" t="s">
        <v>46</v>
      </c>
      <c r="D1343" s="3">
        <v>2</v>
      </c>
      <c r="E1343" s="3" t="s">
        <v>1855</v>
      </c>
      <c r="F1343" s="3">
        <v>41.1</v>
      </c>
      <c r="G1343" s="20">
        <f t="shared" si="59"/>
        <v>25.481999999999999</v>
      </c>
      <c r="H1343" s="20">
        <f t="shared" si="61"/>
        <v>50.963999999999999</v>
      </c>
      <c r="J1343" s="43" t="s">
        <v>1066</v>
      </c>
    </row>
    <row r="1344" spans="1:10" x14ac:dyDescent="0.25">
      <c r="A1344" s="46" t="s">
        <v>1161</v>
      </c>
      <c r="B1344" s="3" t="s">
        <v>1162</v>
      </c>
      <c r="C1344" s="3" t="s">
        <v>46</v>
      </c>
      <c r="D1344" s="3">
        <v>2</v>
      </c>
      <c r="E1344" s="3" t="s">
        <v>1855</v>
      </c>
      <c r="F1344" s="3">
        <v>25.3</v>
      </c>
      <c r="G1344" s="20">
        <f t="shared" si="59"/>
        <v>15.686</v>
      </c>
      <c r="H1344" s="20">
        <f t="shared" si="61"/>
        <v>31.372</v>
      </c>
      <c r="J1344" s="43" t="s">
        <v>1162</v>
      </c>
    </row>
    <row r="1345" spans="1:10" x14ac:dyDescent="0.25">
      <c r="A1345" s="46" t="s">
        <v>1456</v>
      </c>
      <c r="B1345" s="3" t="s">
        <v>1457</v>
      </c>
      <c r="C1345" s="3" t="s">
        <v>46</v>
      </c>
      <c r="D1345" s="3">
        <v>1</v>
      </c>
      <c r="E1345" s="3" t="s">
        <v>1855</v>
      </c>
      <c r="F1345" s="3">
        <v>157.5</v>
      </c>
      <c r="G1345" s="20">
        <f t="shared" si="59"/>
        <v>97.65</v>
      </c>
      <c r="H1345" s="20">
        <f t="shared" si="61"/>
        <v>97.65</v>
      </c>
      <c r="J1345" s="43" t="s">
        <v>2323</v>
      </c>
    </row>
    <row r="1346" spans="1:10" x14ac:dyDescent="0.25">
      <c r="A1346" s="46" t="s">
        <v>1458</v>
      </c>
      <c r="B1346" s="3" t="s">
        <v>1459</v>
      </c>
      <c r="C1346" s="3" t="s">
        <v>46</v>
      </c>
      <c r="D1346" s="3">
        <v>1</v>
      </c>
      <c r="E1346" s="3" t="s">
        <v>1855</v>
      </c>
      <c r="F1346" s="3">
        <v>157.5</v>
      </c>
      <c r="G1346" s="20">
        <f t="shared" si="59"/>
        <v>97.65</v>
      </c>
      <c r="H1346" s="20">
        <f t="shared" si="61"/>
        <v>97.65</v>
      </c>
      <c r="J1346" s="43" t="s">
        <v>2324</v>
      </c>
    </row>
    <row r="1347" spans="1:10" x14ac:dyDescent="0.25">
      <c r="A1347" s="46" t="s">
        <v>26</v>
      </c>
      <c r="B1347" s="3" t="s">
        <v>27</v>
      </c>
      <c r="C1347" s="3" t="s">
        <v>46</v>
      </c>
      <c r="D1347" s="3">
        <v>1</v>
      </c>
      <c r="E1347" s="3" t="s">
        <v>1855</v>
      </c>
      <c r="F1347" s="3">
        <v>6.81</v>
      </c>
      <c r="G1347" s="20">
        <f t="shared" si="59"/>
        <v>4.2221999999999991</v>
      </c>
      <c r="H1347" s="20">
        <f t="shared" si="61"/>
        <v>4.2221999999999991</v>
      </c>
      <c r="J1347" s="43" t="s">
        <v>1873</v>
      </c>
    </row>
    <row r="1348" spans="1:10" x14ac:dyDescent="0.25">
      <c r="A1348" s="46" t="s">
        <v>316</v>
      </c>
      <c r="B1348" s="3" t="s">
        <v>317</v>
      </c>
      <c r="C1348" s="3" t="s">
        <v>46</v>
      </c>
      <c r="D1348" s="3">
        <v>1</v>
      </c>
      <c r="E1348" s="3" t="s">
        <v>1855</v>
      </c>
      <c r="F1348" s="3">
        <v>13.1</v>
      </c>
      <c r="G1348" s="20">
        <f t="shared" si="59"/>
        <v>8.1219999999999999</v>
      </c>
      <c r="H1348" s="20">
        <f t="shared" si="61"/>
        <v>8.1219999999999999</v>
      </c>
      <c r="J1348" s="43" t="s">
        <v>1995</v>
      </c>
    </row>
    <row r="1349" spans="1:10" x14ac:dyDescent="0.25">
      <c r="A1349" s="46" t="s">
        <v>1460</v>
      </c>
      <c r="B1349" s="3" t="s">
        <v>1375</v>
      </c>
      <c r="C1349" s="3" t="s">
        <v>46</v>
      </c>
      <c r="D1349" s="3">
        <v>1</v>
      </c>
      <c r="E1349" s="3" t="s">
        <v>1855</v>
      </c>
      <c r="F1349" s="3">
        <v>386</v>
      </c>
      <c r="G1349" s="20">
        <f t="shared" si="59"/>
        <v>239.32</v>
      </c>
      <c r="H1349" s="20">
        <f t="shared" si="61"/>
        <v>239.32</v>
      </c>
      <c r="J1349" s="43" t="s">
        <v>2293</v>
      </c>
    </row>
    <row r="1350" spans="1:10" x14ac:dyDescent="0.25">
      <c r="A1350" s="46" t="s">
        <v>1461</v>
      </c>
      <c r="B1350" s="3" t="s">
        <v>1462</v>
      </c>
      <c r="C1350" s="3" t="s">
        <v>46</v>
      </c>
      <c r="D1350" s="3">
        <v>1</v>
      </c>
      <c r="E1350" s="3" t="s">
        <v>1855</v>
      </c>
      <c r="F1350" s="3">
        <v>131.5</v>
      </c>
      <c r="G1350" s="20">
        <f t="shared" si="59"/>
        <v>81.53</v>
      </c>
      <c r="H1350" s="20">
        <f t="shared" si="61"/>
        <v>81.53</v>
      </c>
      <c r="J1350" s="43" t="s">
        <v>1462</v>
      </c>
    </row>
    <row r="1351" spans="1:10" x14ac:dyDescent="0.25">
      <c r="A1351" s="46" t="s">
        <v>463</v>
      </c>
      <c r="B1351" s="3" t="s">
        <v>464</v>
      </c>
      <c r="C1351" s="3" t="s">
        <v>46</v>
      </c>
      <c r="D1351" s="3">
        <v>1</v>
      </c>
      <c r="E1351" s="3" t="s">
        <v>1855</v>
      </c>
      <c r="F1351" s="3">
        <v>123</v>
      </c>
      <c r="G1351" s="20">
        <f t="shared" si="59"/>
        <v>76.259999999999991</v>
      </c>
      <c r="H1351" s="20">
        <f t="shared" si="61"/>
        <v>76.259999999999991</v>
      </c>
      <c r="J1351" s="43" t="s">
        <v>464</v>
      </c>
    </row>
    <row r="1352" spans="1:10" x14ac:dyDescent="0.25">
      <c r="A1352" s="46" t="s">
        <v>1463</v>
      </c>
      <c r="B1352" s="3" t="s">
        <v>1464</v>
      </c>
      <c r="C1352" s="3" t="s">
        <v>46</v>
      </c>
      <c r="D1352" s="3">
        <v>1</v>
      </c>
      <c r="E1352" s="3" t="s">
        <v>1855</v>
      </c>
      <c r="F1352" s="3">
        <v>121</v>
      </c>
      <c r="G1352" s="20">
        <f t="shared" si="59"/>
        <v>75.02</v>
      </c>
      <c r="H1352" s="20">
        <f t="shared" si="61"/>
        <v>75.02</v>
      </c>
      <c r="J1352" s="43" t="s">
        <v>1464</v>
      </c>
    </row>
    <row r="1353" spans="1:10" x14ac:dyDescent="0.25">
      <c r="A1353" s="46" t="s">
        <v>362</v>
      </c>
      <c r="B1353" s="3" t="s">
        <v>363</v>
      </c>
      <c r="C1353" s="3" t="s">
        <v>46</v>
      </c>
      <c r="D1353" s="3">
        <v>1</v>
      </c>
      <c r="E1353" s="3" t="s">
        <v>1855</v>
      </c>
      <c r="F1353" s="3">
        <v>113</v>
      </c>
      <c r="G1353" s="20">
        <f t="shared" si="59"/>
        <v>70.06</v>
      </c>
      <c r="H1353" s="20">
        <f t="shared" si="61"/>
        <v>70.06</v>
      </c>
      <c r="J1353" s="43" t="s">
        <v>363</v>
      </c>
    </row>
    <row r="1354" spans="1:10" x14ac:dyDescent="0.25">
      <c r="A1354" s="46" t="s">
        <v>148</v>
      </c>
      <c r="B1354" s="3" t="s">
        <v>149</v>
      </c>
      <c r="C1354" s="3" t="s">
        <v>46</v>
      </c>
      <c r="D1354" s="3">
        <v>2</v>
      </c>
      <c r="E1354" s="3" t="s">
        <v>1855</v>
      </c>
      <c r="F1354" s="3">
        <v>15.3</v>
      </c>
      <c r="G1354" s="20">
        <f t="shared" si="59"/>
        <v>9.4860000000000007</v>
      </c>
      <c r="H1354" s="20">
        <f t="shared" si="61"/>
        <v>18.972000000000001</v>
      </c>
      <c r="J1354" s="43" t="s">
        <v>1922</v>
      </c>
    </row>
    <row r="1355" spans="1:10" x14ac:dyDescent="0.25">
      <c r="A1355" s="46" t="s">
        <v>1441</v>
      </c>
      <c r="B1355" s="3" t="s">
        <v>1442</v>
      </c>
      <c r="C1355" s="3" t="s">
        <v>46</v>
      </c>
      <c r="D1355" s="3">
        <v>2</v>
      </c>
      <c r="E1355" s="3" t="s">
        <v>1855</v>
      </c>
      <c r="F1355" s="3">
        <v>11.6</v>
      </c>
      <c r="G1355" s="20">
        <f t="shared" si="59"/>
        <v>7.1920000000000002</v>
      </c>
      <c r="H1355" s="20">
        <f t="shared" si="61"/>
        <v>14.384</v>
      </c>
      <c r="J1355" s="43" t="s">
        <v>2319</v>
      </c>
    </row>
    <row r="1356" spans="1:10" x14ac:dyDescent="0.25">
      <c r="A1356" s="46" t="s">
        <v>154</v>
      </c>
      <c r="B1356" s="3" t="s">
        <v>155</v>
      </c>
      <c r="C1356" s="3" t="s">
        <v>46</v>
      </c>
      <c r="D1356" s="3">
        <v>2</v>
      </c>
      <c r="E1356" s="3" t="s">
        <v>1855</v>
      </c>
      <c r="F1356" s="3">
        <v>11.4</v>
      </c>
      <c r="G1356" s="20">
        <f t="shared" si="59"/>
        <v>7.0680000000000005</v>
      </c>
      <c r="H1356" s="20">
        <f t="shared" si="61"/>
        <v>14.136000000000001</v>
      </c>
      <c r="J1356" s="43" t="s">
        <v>1925</v>
      </c>
    </row>
    <row r="1357" spans="1:10" x14ac:dyDescent="0.25">
      <c r="A1357" s="46" t="s">
        <v>1443</v>
      </c>
      <c r="B1357" s="3" t="s">
        <v>1444</v>
      </c>
      <c r="C1357" s="3" t="s">
        <v>46</v>
      </c>
      <c r="D1357" s="3">
        <v>1</v>
      </c>
      <c r="E1357" s="3" t="s">
        <v>1855</v>
      </c>
      <c r="F1357" s="3">
        <v>10.1</v>
      </c>
      <c r="G1357" s="20">
        <f t="shared" si="59"/>
        <v>6.2619999999999996</v>
      </c>
      <c r="H1357" s="20">
        <f t="shared" si="61"/>
        <v>6.2619999999999996</v>
      </c>
      <c r="J1357" s="43" t="s">
        <v>2320</v>
      </c>
    </row>
    <row r="1358" spans="1:10" x14ac:dyDescent="0.25">
      <c r="A1358" s="46" t="s">
        <v>16</v>
      </c>
      <c r="B1358" s="3" t="s">
        <v>17</v>
      </c>
      <c r="C1358" s="3" t="s">
        <v>46</v>
      </c>
      <c r="D1358" s="3">
        <v>2</v>
      </c>
      <c r="E1358" s="3" t="s">
        <v>1855</v>
      </c>
      <c r="F1358" s="3">
        <v>24.1</v>
      </c>
      <c r="G1358" s="20">
        <f t="shared" ref="G1358:G1421" si="62">F1358-(F1358*38%)</f>
        <v>14.942</v>
      </c>
      <c r="H1358" s="20">
        <f t="shared" si="61"/>
        <v>29.884</v>
      </c>
      <c r="J1358" s="43" t="s">
        <v>1869</v>
      </c>
    </row>
    <row r="1359" spans="1:10" x14ac:dyDescent="0.25">
      <c r="A1359" s="46" t="s">
        <v>1465</v>
      </c>
      <c r="B1359" s="3" t="s">
        <v>1466</v>
      </c>
      <c r="C1359" s="3" t="s">
        <v>46</v>
      </c>
      <c r="D1359" s="3">
        <v>1</v>
      </c>
      <c r="E1359" s="3" t="s">
        <v>1855</v>
      </c>
      <c r="F1359" s="3">
        <v>38.700000000000003</v>
      </c>
      <c r="G1359" s="20">
        <f t="shared" si="62"/>
        <v>23.994</v>
      </c>
      <c r="H1359" s="20">
        <f t="shared" si="61"/>
        <v>23.994</v>
      </c>
      <c r="J1359" s="43" t="s">
        <v>2325</v>
      </c>
    </row>
    <row r="1360" spans="1:10" x14ac:dyDescent="0.25">
      <c r="A1360" s="46" t="s">
        <v>1433</v>
      </c>
      <c r="B1360" s="3" t="s">
        <v>1434</v>
      </c>
      <c r="C1360" s="3" t="s">
        <v>47</v>
      </c>
      <c r="D1360" s="3">
        <v>1</v>
      </c>
      <c r="E1360" s="3" t="s">
        <v>1855</v>
      </c>
      <c r="F1360" s="3">
        <v>29.7</v>
      </c>
      <c r="G1360" s="20">
        <f t="shared" si="62"/>
        <v>18.414000000000001</v>
      </c>
      <c r="H1360" s="20">
        <f t="shared" si="61"/>
        <v>18.414000000000001</v>
      </c>
      <c r="J1360" s="43" t="s">
        <v>2315</v>
      </c>
    </row>
    <row r="1361" spans="1:10" x14ac:dyDescent="0.25">
      <c r="A1361" s="46" t="s">
        <v>1382</v>
      </c>
      <c r="B1361" s="3" t="s">
        <v>1383</v>
      </c>
      <c r="C1361" s="3" t="s">
        <v>46</v>
      </c>
      <c r="D1361" s="3">
        <v>1</v>
      </c>
      <c r="E1361" s="3" t="s">
        <v>1855</v>
      </c>
      <c r="F1361" s="3">
        <v>43.9</v>
      </c>
      <c r="G1361" s="20">
        <f t="shared" si="62"/>
        <v>27.218</v>
      </c>
      <c r="H1361" s="20">
        <f t="shared" si="61"/>
        <v>27.218</v>
      </c>
      <c r="J1361" s="43" t="s">
        <v>2297</v>
      </c>
    </row>
    <row r="1362" spans="1:10" x14ac:dyDescent="0.25">
      <c r="A1362" s="46" t="s">
        <v>4</v>
      </c>
      <c r="B1362" s="3" t="s">
        <v>5</v>
      </c>
      <c r="C1362" s="3" t="s">
        <v>46</v>
      </c>
      <c r="D1362" s="3">
        <v>8</v>
      </c>
      <c r="E1362" s="3" t="s">
        <v>1855</v>
      </c>
      <c r="F1362" s="3">
        <v>27.1</v>
      </c>
      <c r="G1362" s="20">
        <f t="shared" si="62"/>
        <v>16.802</v>
      </c>
      <c r="H1362" s="20">
        <f t="shared" si="61"/>
        <v>134.416</v>
      </c>
      <c r="J1362" s="43" t="s">
        <v>1863</v>
      </c>
    </row>
    <row r="1363" spans="1:10" x14ac:dyDescent="0.25">
      <c r="A1363" s="46" t="s">
        <v>55</v>
      </c>
      <c r="B1363" s="3" t="s">
        <v>56</v>
      </c>
      <c r="C1363" s="3" t="s">
        <v>47</v>
      </c>
      <c r="D1363" s="3">
        <v>8</v>
      </c>
      <c r="E1363" s="3" t="s">
        <v>1855</v>
      </c>
      <c r="F1363" s="3">
        <v>23.9</v>
      </c>
      <c r="G1363" s="20">
        <f t="shared" si="62"/>
        <v>14.818</v>
      </c>
      <c r="H1363" s="20">
        <f t="shared" si="61"/>
        <v>118.544</v>
      </c>
      <c r="J1363" s="43" t="s">
        <v>1885</v>
      </c>
    </row>
    <row r="1364" spans="1:10" x14ac:dyDescent="0.25">
      <c r="A1364" s="46" t="s">
        <v>1165</v>
      </c>
      <c r="B1364" s="3" t="s">
        <v>1166</v>
      </c>
      <c r="C1364" s="3" t="s">
        <v>46</v>
      </c>
      <c r="D1364" s="3">
        <v>1</v>
      </c>
      <c r="E1364" s="3" t="s">
        <v>1855</v>
      </c>
      <c r="F1364" s="3">
        <v>40</v>
      </c>
      <c r="G1364" s="20">
        <f t="shared" si="62"/>
        <v>24.8</v>
      </c>
      <c r="H1364" s="20">
        <f t="shared" si="61"/>
        <v>24.8</v>
      </c>
      <c r="J1364" s="43" t="s">
        <v>1166</v>
      </c>
    </row>
    <row r="1365" spans="1:10" x14ac:dyDescent="0.25">
      <c r="A1365" s="46" t="s">
        <v>18</v>
      </c>
      <c r="B1365" s="3" t="s">
        <v>19</v>
      </c>
      <c r="C1365" s="3" t="s">
        <v>47</v>
      </c>
      <c r="D1365" s="3">
        <v>2</v>
      </c>
      <c r="E1365" s="3" t="s">
        <v>1855</v>
      </c>
      <c r="F1365" s="3">
        <v>28</v>
      </c>
      <c r="G1365" s="20">
        <f t="shared" si="62"/>
        <v>17.36</v>
      </c>
      <c r="H1365" s="20">
        <f t="shared" si="61"/>
        <v>34.72</v>
      </c>
      <c r="J1365" s="43" t="s">
        <v>19</v>
      </c>
    </row>
    <row r="1366" spans="1:10" x14ac:dyDescent="0.25">
      <c r="A1366" s="46" t="s">
        <v>1467</v>
      </c>
      <c r="B1366" s="3" t="s">
        <v>1468</v>
      </c>
      <c r="C1366" s="3" t="s">
        <v>46</v>
      </c>
      <c r="D1366" s="3">
        <v>1</v>
      </c>
      <c r="E1366" s="3" t="s">
        <v>1855</v>
      </c>
      <c r="F1366" s="3">
        <v>57.1</v>
      </c>
      <c r="G1366" s="20">
        <f t="shared" si="62"/>
        <v>35.402000000000001</v>
      </c>
      <c r="H1366" s="20">
        <f t="shared" si="61"/>
        <v>35.402000000000001</v>
      </c>
      <c r="J1366" s="43" t="s">
        <v>1468</v>
      </c>
    </row>
    <row r="1367" spans="1:10" x14ac:dyDescent="0.25">
      <c r="A1367" s="46" t="s">
        <v>121</v>
      </c>
      <c r="B1367" s="3" t="s">
        <v>122</v>
      </c>
      <c r="C1367" s="3" t="s">
        <v>46</v>
      </c>
      <c r="D1367" s="3">
        <v>3</v>
      </c>
      <c r="E1367" s="3" t="s">
        <v>1855</v>
      </c>
      <c r="F1367" s="3">
        <v>88</v>
      </c>
      <c r="G1367" s="20">
        <f t="shared" si="62"/>
        <v>54.56</v>
      </c>
      <c r="H1367" s="20">
        <f t="shared" si="61"/>
        <v>163.68</v>
      </c>
      <c r="J1367" s="43" t="s">
        <v>1909</v>
      </c>
    </row>
    <row r="1368" spans="1:10" x14ac:dyDescent="0.25">
      <c r="A1368" s="46" t="s">
        <v>1469</v>
      </c>
      <c r="B1368" s="3" t="s">
        <v>1470</v>
      </c>
      <c r="C1368" s="3" t="s">
        <v>46</v>
      </c>
      <c r="D1368" s="3">
        <v>3</v>
      </c>
      <c r="E1368" s="3" t="s">
        <v>1855</v>
      </c>
      <c r="F1368" s="3">
        <v>27.9</v>
      </c>
      <c r="G1368" s="20">
        <f t="shared" si="62"/>
        <v>17.297999999999998</v>
      </c>
      <c r="H1368" s="20">
        <f t="shared" si="61"/>
        <v>51.893999999999991</v>
      </c>
      <c r="J1368" s="43" t="s">
        <v>2326</v>
      </c>
    </row>
    <row r="1369" spans="1:10" x14ac:dyDescent="0.25">
      <c r="A1369" s="46" t="s">
        <v>119</v>
      </c>
      <c r="B1369" s="3" t="s">
        <v>120</v>
      </c>
      <c r="C1369" s="3" t="s">
        <v>46</v>
      </c>
      <c r="D1369" s="3">
        <v>3</v>
      </c>
      <c r="E1369" s="3" t="s">
        <v>1855</v>
      </c>
      <c r="F1369" s="3">
        <v>68.099999999999994</v>
      </c>
      <c r="G1369" s="20">
        <f t="shared" si="62"/>
        <v>42.221999999999994</v>
      </c>
      <c r="H1369" s="20">
        <f t="shared" si="61"/>
        <v>126.66599999999998</v>
      </c>
      <c r="J1369" s="43" t="s">
        <v>1908</v>
      </c>
    </row>
    <row r="1370" spans="1:10" x14ac:dyDescent="0.25">
      <c r="A1370" s="46" t="s">
        <v>1410</v>
      </c>
      <c r="B1370" s="3" t="s">
        <v>1411</v>
      </c>
      <c r="C1370" s="3" t="s">
        <v>46</v>
      </c>
      <c r="D1370" s="3">
        <v>3</v>
      </c>
      <c r="E1370" s="3" t="s">
        <v>1855</v>
      </c>
      <c r="F1370" s="3">
        <v>56.6</v>
      </c>
      <c r="G1370" s="20">
        <f t="shared" si="62"/>
        <v>35.091999999999999</v>
      </c>
      <c r="H1370" s="20">
        <f t="shared" si="61"/>
        <v>105.276</v>
      </c>
      <c r="J1370" s="43" t="s">
        <v>2307</v>
      </c>
    </row>
    <row r="1371" spans="1:10" x14ac:dyDescent="0.25">
      <c r="A1371" s="46" t="s">
        <v>390</v>
      </c>
      <c r="B1371" s="3" t="s">
        <v>391</v>
      </c>
      <c r="C1371" s="3" t="s">
        <v>46</v>
      </c>
      <c r="D1371" s="3">
        <v>1</v>
      </c>
      <c r="E1371" s="3" t="s">
        <v>1855</v>
      </c>
      <c r="F1371" s="3">
        <v>21.7</v>
      </c>
      <c r="G1371" s="20">
        <f t="shared" si="62"/>
        <v>13.453999999999999</v>
      </c>
      <c r="H1371" s="20">
        <f t="shared" si="61"/>
        <v>13.453999999999999</v>
      </c>
      <c r="J1371" s="43" t="s">
        <v>391</v>
      </c>
    </row>
    <row r="1372" spans="1:10" x14ac:dyDescent="0.25">
      <c r="A1372" s="46" t="s">
        <v>105</v>
      </c>
      <c r="B1372" s="3" t="s">
        <v>106</v>
      </c>
      <c r="C1372" s="3" t="s">
        <v>46</v>
      </c>
      <c r="D1372" s="3">
        <v>1</v>
      </c>
      <c r="E1372" s="3" t="s">
        <v>1855</v>
      </c>
      <c r="F1372" s="3">
        <v>43.1</v>
      </c>
      <c r="G1372" s="20">
        <f t="shared" si="62"/>
        <v>26.722000000000001</v>
      </c>
      <c r="H1372" s="20">
        <f t="shared" si="61"/>
        <v>26.722000000000001</v>
      </c>
      <c r="J1372" s="43" t="s">
        <v>1901</v>
      </c>
    </row>
    <row r="1373" spans="1:10" x14ac:dyDescent="0.25">
      <c r="A1373" s="46" t="s">
        <v>1394</v>
      </c>
      <c r="B1373" s="3" t="s">
        <v>1395</v>
      </c>
      <c r="C1373" s="3" t="s">
        <v>46</v>
      </c>
      <c r="D1373" s="3">
        <v>1</v>
      </c>
      <c r="E1373" s="3" t="s">
        <v>1855</v>
      </c>
      <c r="F1373" s="3">
        <v>39.1</v>
      </c>
      <c r="G1373" s="20">
        <f t="shared" si="62"/>
        <v>24.242000000000001</v>
      </c>
      <c r="H1373" s="20">
        <f t="shared" si="61"/>
        <v>24.242000000000001</v>
      </c>
      <c r="J1373" s="43" t="s">
        <v>2302</v>
      </c>
    </row>
    <row r="1374" spans="1:10" x14ac:dyDescent="0.25">
      <c r="A1374" s="46" t="s">
        <v>1471</v>
      </c>
      <c r="B1374" s="3" t="s">
        <v>1472</v>
      </c>
      <c r="C1374" s="3" t="s">
        <v>46</v>
      </c>
      <c r="D1374" s="3">
        <v>1</v>
      </c>
      <c r="E1374" s="3" t="s">
        <v>1855</v>
      </c>
      <c r="F1374" s="3">
        <v>30.3</v>
      </c>
      <c r="G1374" s="20">
        <f t="shared" si="62"/>
        <v>18.786000000000001</v>
      </c>
      <c r="H1374" s="20">
        <f t="shared" si="61"/>
        <v>18.786000000000001</v>
      </c>
      <c r="J1374" s="43" t="s">
        <v>2327</v>
      </c>
    </row>
    <row r="1375" spans="1:10" x14ac:dyDescent="0.25">
      <c r="A1375" s="46" t="s">
        <v>1473</v>
      </c>
      <c r="B1375" s="3" t="s">
        <v>1474</v>
      </c>
      <c r="C1375" s="3" t="s">
        <v>46</v>
      </c>
      <c r="D1375" s="3">
        <v>1</v>
      </c>
      <c r="E1375" s="3" t="s">
        <v>1855</v>
      </c>
      <c r="F1375" s="3">
        <v>32.6</v>
      </c>
      <c r="G1375" s="20">
        <f t="shared" si="62"/>
        <v>20.212000000000003</v>
      </c>
      <c r="H1375" s="20">
        <f t="shared" si="61"/>
        <v>20.212000000000003</v>
      </c>
      <c r="J1375" s="43" t="s">
        <v>2328</v>
      </c>
    </row>
    <row r="1376" spans="1:10" x14ac:dyDescent="0.25">
      <c r="A1376" s="46" t="s">
        <v>1475</v>
      </c>
      <c r="B1376" s="3" t="s">
        <v>1476</v>
      </c>
      <c r="C1376" s="3" t="s">
        <v>46</v>
      </c>
      <c r="D1376" s="3">
        <v>1</v>
      </c>
      <c r="E1376" s="3" t="s">
        <v>1855</v>
      </c>
      <c r="F1376" s="3">
        <v>30.3</v>
      </c>
      <c r="G1376" s="20">
        <f t="shared" si="62"/>
        <v>18.786000000000001</v>
      </c>
      <c r="H1376" s="20">
        <f t="shared" si="61"/>
        <v>18.786000000000001</v>
      </c>
      <c r="J1376" s="43" t="s">
        <v>2329</v>
      </c>
    </row>
    <row r="1377" spans="1:10" x14ac:dyDescent="0.25">
      <c r="A1377" s="46" t="s">
        <v>1477</v>
      </c>
      <c r="B1377" s="3" t="s">
        <v>1478</v>
      </c>
      <c r="C1377" s="3" t="s">
        <v>46</v>
      </c>
      <c r="D1377" s="3">
        <v>1</v>
      </c>
      <c r="E1377" s="3" t="s">
        <v>1855</v>
      </c>
      <c r="F1377" s="3">
        <v>32.6</v>
      </c>
      <c r="G1377" s="20">
        <f t="shared" si="62"/>
        <v>20.212000000000003</v>
      </c>
      <c r="H1377" s="20">
        <f t="shared" si="61"/>
        <v>20.212000000000003</v>
      </c>
      <c r="J1377" s="43" t="s">
        <v>2330</v>
      </c>
    </row>
    <row r="1378" spans="1:10" x14ac:dyDescent="0.25">
      <c r="A1378" s="46" t="s">
        <v>1479</v>
      </c>
      <c r="B1378" s="3" t="s">
        <v>1480</v>
      </c>
      <c r="C1378" s="3" t="s">
        <v>46</v>
      </c>
      <c r="D1378" s="3">
        <v>1</v>
      </c>
      <c r="E1378" s="3" t="s">
        <v>1855</v>
      </c>
      <c r="F1378" s="3">
        <v>32.6</v>
      </c>
      <c r="G1378" s="20">
        <f t="shared" si="62"/>
        <v>20.212000000000003</v>
      </c>
      <c r="H1378" s="20">
        <f t="shared" si="61"/>
        <v>20.212000000000003</v>
      </c>
      <c r="J1378" s="43" t="s">
        <v>2331</v>
      </c>
    </row>
    <row r="1379" spans="1:10" x14ac:dyDescent="0.25">
      <c r="A1379" s="46" t="s">
        <v>1481</v>
      </c>
      <c r="B1379" s="3" t="s">
        <v>1482</v>
      </c>
      <c r="C1379" s="3" t="s">
        <v>46</v>
      </c>
      <c r="D1379" s="3">
        <v>1</v>
      </c>
      <c r="E1379" s="3" t="s">
        <v>1855</v>
      </c>
      <c r="F1379" s="3">
        <v>44.9</v>
      </c>
      <c r="G1379" s="20">
        <f t="shared" si="62"/>
        <v>27.837999999999997</v>
      </c>
      <c r="H1379" s="20">
        <f t="shared" si="61"/>
        <v>27.837999999999997</v>
      </c>
      <c r="J1379" s="43" t="s">
        <v>2332</v>
      </c>
    </row>
    <row r="1380" spans="1:10" x14ac:dyDescent="0.25">
      <c r="A1380" s="46" t="s">
        <v>1483</v>
      </c>
      <c r="B1380" s="3" t="s">
        <v>1484</v>
      </c>
      <c r="C1380" s="3" t="s">
        <v>46</v>
      </c>
      <c r="D1380" s="3">
        <v>1</v>
      </c>
      <c r="E1380" s="3" t="s">
        <v>1855</v>
      </c>
      <c r="F1380" s="3">
        <v>33.5</v>
      </c>
      <c r="G1380" s="20">
        <f t="shared" si="62"/>
        <v>20.77</v>
      </c>
      <c r="H1380" s="20">
        <f t="shared" si="61"/>
        <v>20.77</v>
      </c>
      <c r="J1380" s="43" t="s">
        <v>2333</v>
      </c>
    </row>
    <row r="1381" spans="1:10" x14ac:dyDescent="0.25">
      <c r="A1381" s="46" t="s">
        <v>1485</v>
      </c>
      <c r="B1381" s="3" t="s">
        <v>1486</v>
      </c>
      <c r="C1381" s="3" t="s">
        <v>46</v>
      </c>
      <c r="D1381" s="3">
        <v>1</v>
      </c>
      <c r="E1381" s="3" t="s">
        <v>1855</v>
      </c>
      <c r="F1381" s="3">
        <v>34.1</v>
      </c>
      <c r="G1381" s="20">
        <f t="shared" si="62"/>
        <v>21.142000000000003</v>
      </c>
      <c r="H1381" s="20">
        <f t="shared" si="61"/>
        <v>21.142000000000003</v>
      </c>
      <c r="J1381" s="43" t="s">
        <v>2334</v>
      </c>
    </row>
    <row r="1382" spans="1:10" x14ac:dyDescent="0.25">
      <c r="A1382" s="46" t="s">
        <v>1487</v>
      </c>
      <c r="B1382" s="3" t="s">
        <v>1488</v>
      </c>
      <c r="C1382" s="3" t="s">
        <v>46</v>
      </c>
      <c r="D1382" s="3">
        <v>1</v>
      </c>
      <c r="E1382" s="3" t="s">
        <v>1855</v>
      </c>
      <c r="F1382" s="3">
        <v>34.1</v>
      </c>
      <c r="G1382" s="20">
        <f t="shared" si="62"/>
        <v>21.142000000000003</v>
      </c>
      <c r="H1382" s="20">
        <f t="shared" si="61"/>
        <v>21.142000000000003</v>
      </c>
      <c r="J1382" s="43" t="s">
        <v>2335</v>
      </c>
    </row>
    <row r="1383" spans="1:10" x14ac:dyDescent="0.25">
      <c r="A1383" s="46" t="s">
        <v>1489</v>
      </c>
      <c r="B1383" s="3" t="s">
        <v>1490</v>
      </c>
      <c r="C1383" s="3" t="s">
        <v>46</v>
      </c>
      <c r="D1383" s="3">
        <v>1</v>
      </c>
      <c r="E1383" s="3" t="s">
        <v>1855</v>
      </c>
      <c r="F1383" s="3">
        <v>33.6</v>
      </c>
      <c r="G1383" s="20">
        <f t="shared" si="62"/>
        <v>20.832000000000001</v>
      </c>
      <c r="H1383" s="20">
        <f t="shared" si="61"/>
        <v>20.832000000000001</v>
      </c>
      <c r="J1383" s="43" t="s">
        <v>2336</v>
      </c>
    </row>
    <row r="1384" spans="1:10" x14ac:dyDescent="0.25">
      <c r="A1384" s="46" t="s">
        <v>1491</v>
      </c>
      <c r="B1384" s="3" t="s">
        <v>1492</v>
      </c>
      <c r="C1384" s="3" t="s">
        <v>46</v>
      </c>
      <c r="D1384" s="3">
        <v>1</v>
      </c>
      <c r="E1384" s="3" t="s">
        <v>1855</v>
      </c>
      <c r="F1384" s="3">
        <v>35.1</v>
      </c>
      <c r="G1384" s="20">
        <f t="shared" si="62"/>
        <v>21.762</v>
      </c>
      <c r="H1384" s="20">
        <f t="shared" si="61"/>
        <v>21.762</v>
      </c>
      <c r="J1384" s="43" t="s">
        <v>2337</v>
      </c>
    </row>
    <row r="1385" spans="1:10" ht="15.75" x14ac:dyDescent="0.25">
      <c r="A1385" s="47" t="s">
        <v>1821</v>
      </c>
      <c r="B1385" s="28" t="s">
        <v>1822</v>
      </c>
      <c r="C1385" s="3" t="s">
        <v>46</v>
      </c>
      <c r="D1385" s="3">
        <v>1</v>
      </c>
      <c r="E1385" s="3" t="s">
        <v>1856</v>
      </c>
      <c r="F1385" s="3">
        <v>857</v>
      </c>
      <c r="G1385" s="20">
        <f t="shared" si="62"/>
        <v>531.33999999999992</v>
      </c>
      <c r="H1385" s="20">
        <f t="shared" si="61"/>
        <v>531.33999999999992</v>
      </c>
      <c r="J1385" s="43" t="s">
        <v>2338</v>
      </c>
    </row>
    <row r="1386" spans="1:10" ht="15.75" x14ac:dyDescent="0.25">
      <c r="A1386" s="47" t="s">
        <v>1796</v>
      </c>
      <c r="B1386" s="28" t="s">
        <v>1798</v>
      </c>
      <c r="C1386" s="3" t="s">
        <v>46</v>
      </c>
      <c r="D1386" s="3">
        <v>1</v>
      </c>
      <c r="E1386" s="3" t="s">
        <v>1855</v>
      </c>
      <c r="F1386" s="3">
        <v>147</v>
      </c>
      <c r="G1386" s="20">
        <f t="shared" si="62"/>
        <v>91.14</v>
      </c>
      <c r="H1386" s="20">
        <f t="shared" si="61"/>
        <v>91.14</v>
      </c>
      <c r="J1386" s="43" t="s">
        <v>1912</v>
      </c>
    </row>
    <row r="1387" spans="1:10" s="5" customFormat="1" x14ac:dyDescent="0.25">
      <c r="A1387" s="51"/>
      <c r="B1387" s="6" t="s">
        <v>1509</v>
      </c>
      <c r="C1387" s="4"/>
      <c r="D1387" s="29"/>
      <c r="E1387" s="4"/>
      <c r="F1387" s="4"/>
      <c r="G1387" s="4"/>
      <c r="H1387" s="4"/>
      <c r="J1387" s="43"/>
    </row>
    <row r="1388" spans="1:10" x14ac:dyDescent="0.25">
      <c r="A1388" s="48" t="s">
        <v>99</v>
      </c>
      <c r="B1388" s="3" t="s">
        <v>100</v>
      </c>
      <c r="C1388" s="3" t="s">
        <v>46</v>
      </c>
      <c r="D1388" s="3" t="s">
        <v>1506</v>
      </c>
      <c r="E1388" s="3" t="s">
        <v>1855</v>
      </c>
      <c r="F1388" s="3">
        <v>11.9</v>
      </c>
      <c r="G1388" s="20">
        <f t="shared" si="62"/>
        <v>7.3780000000000001</v>
      </c>
      <c r="H1388" s="20">
        <f t="shared" ref="H1388:H1434" si="63">G1388*D1388</f>
        <v>22.134</v>
      </c>
      <c r="J1388" s="43" t="e">
        <v>#N/A</v>
      </c>
    </row>
    <row r="1389" spans="1:10" x14ac:dyDescent="0.25">
      <c r="A1389" s="46" t="s">
        <v>91</v>
      </c>
      <c r="B1389" s="3" t="s">
        <v>92</v>
      </c>
      <c r="C1389" s="3" t="s">
        <v>46</v>
      </c>
      <c r="D1389" s="3">
        <v>4</v>
      </c>
      <c r="E1389" s="3" t="s">
        <v>1855</v>
      </c>
      <c r="F1389" s="3">
        <v>57.1</v>
      </c>
      <c r="G1389" s="20">
        <f t="shared" si="62"/>
        <v>35.402000000000001</v>
      </c>
      <c r="H1389" s="20">
        <f t="shared" si="63"/>
        <v>141.608</v>
      </c>
      <c r="J1389" s="43" t="s">
        <v>92</v>
      </c>
    </row>
    <row r="1390" spans="1:10" x14ac:dyDescent="0.25">
      <c r="A1390" s="46" t="s">
        <v>89</v>
      </c>
      <c r="B1390" s="3" t="s">
        <v>90</v>
      </c>
      <c r="C1390" s="3" t="s">
        <v>46</v>
      </c>
      <c r="D1390" s="3">
        <v>2</v>
      </c>
      <c r="E1390" s="3" t="s">
        <v>1855</v>
      </c>
      <c r="F1390" s="3">
        <v>39.4</v>
      </c>
      <c r="G1390" s="20">
        <f t="shared" si="62"/>
        <v>24.427999999999997</v>
      </c>
      <c r="H1390" s="20">
        <f t="shared" si="63"/>
        <v>48.855999999999995</v>
      </c>
      <c r="J1390" s="43" t="s">
        <v>90</v>
      </c>
    </row>
    <row r="1391" spans="1:10" x14ac:dyDescent="0.25">
      <c r="A1391" s="46" t="s">
        <v>93</v>
      </c>
      <c r="B1391" s="3" t="s">
        <v>94</v>
      </c>
      <c r="C1391" s="3" t="s">
        <v>46</v>
      </c>
      <c r="D1391" s="3" t="s">
        <v>913</v>
      </c>
      <c r="E1391" s="3" t="s">
        <v>1855</v>
      </c>
      <c r="F1391" s="3">
        <v>128</v>
      </c>
      <c r="G1391" s="20">
        <f t="shared" si="62"/>
        <v>79.36</v>
      </c>
      <c r="H1391" s="20">
        <f t="shared" si="63"/>
        <v>158.72</v>
      </c>
      <c r="J1391" s="43" t="s">
        <v>94</v>
      </c>
    </row>
    <row r="1392" spans="1:10" x14ac:dyDescent="0.25">
      <c r="A1392" s="46" t="s">
        <v>22</v>
      </c>
      <c r="B1392" s="3" t="s">
        <v>23</v>
      </c>
      <c r="C1392" s="3" t="s">
        <v>46</v>
      </c>
      <c r="D1392" s="3" t="s">
        <v>913</v>
      </c>
      <c r="E1392" s="3" t="s">
        <v>1856</v>
      </c>
      <c r="F1392" s="3">
        <v>141.5</v>
      </c>
      <c r="G1392" s="20">
        <f t="shared" si="62"/>
        <v>87.72999999999999</v>
      </c>
      <c r="H1392" s="20">
        <f t="shared" si="63"/>
        <v>175.45999999999998</v>
      </c>
      <c r="J1392" s="43" t="s">
        <v>1871</v>
      </c>
    </row>
    <row r="1393" spans="1:10" x14ac:dyDescent="0.25">
      <c r="A1393" s="46" t="s">
        <v>1065</v>
      </c>
      <c r="B1393" s="3" t="s">
        <v>1066</v>
      </c>
      <c r="C1393" s="3" t="s">
        <v>46</v>
      </c>
      <c r="D1393" s="3" t="s">
        <v>913</v>
      </c>
      <c r="E1393" s="3" t="s">
        <v>1855</v>
      </c>
      <c r="F1393" s="3">
        <v>41.1</v>
      </c>
      <c r="G1393" s="20">
        <f t="shared" si="62"/>
        <v>25.481999999999999</v>
      </c>
      <c r="H1393" s="20">
        <f t="shared" si="63"/>
        <v>50.963999999999999</v>
      </c>
      <c r="J1393" s="43" t="s">
        <v>1066</v>
      </c>
    </row>
    <row r="1394" spans="1:10" x14ac:dyDescent="0.25">
      <c r="A1394" s="46" t="s">
        <v>1493</v>
      </c>
      <c r="B1394" s="3" t="s">
        <v>1375</v>
      </c>
      <c r="C1394" s="3" t="s">
        <v>46</v>
      </c>
      <c r="D1394" s="3" t="s">
        <v>914</v>
      </c>
      <c r="E1394" s="3" t="s">
        <v>1855</v>
      </c>
      <c r="F1394" s="3">
        <v>388.5</v>
      </c>
      <c r="G1394" s="20">
        <f t="shared" si="62"/>
        <v>240.87</v>
      </c>
      <c r="H1394" s="20">
        <f t="shared" si="63"/>
        <v>240.87</v>
      </c>
      <c r="J1394" s="43" t="s">
        <v>2293</v>
      </c>
    </row>
    <row r="1395" spans="1:10" x14ac:dyDescent="0.25">
      <c r="A1395" s="46" t="s">
        <v>26</v>
      </c>
      <c r="B1395" s="3" t="s">
        <v>27</v>
      </c>
      <c r="C1395" s="3" t="s">
        <v>46</v>
      </c>
      <c r="D1395" s="3" t="s">
        <v>914</v>
      </c>
      <c r="E1395" s="3" t="s">
        <v>1855</v>
      </c>
      <c r="F1395" s="3">
        <v>6.81</v>
      </c>
      <c r="G1395" s="20">
        <f t="shared" si="62"/>
        <v>4.2221999999999991</v>
      </c>
      <c r="H1395" s="20">
        <f t="shared" si="63"/>
        <v>4.2221999999999991</v>
      </c>
      <c r="J1395" s="43" t="s">
        <v>1873</v>
      </c>
    </row>
    <row r="1396" spans="1:10" x14ac:dyDescent="0.25">
      <c r="A1396" s="46" t="s">
        <v>316</v>
      </c>
      <c r="B1396" s="3" t="s">
        <v>317</v>
      </c>
      <c r="C1396" s="3" t="s">
        <v>46</v>
      </c>
      <c r="D1396" s="3" t="s">
        <v>914</v>
      </c>
      <c r="E1396" s="3" t="s">
        <v>1855</v>
      </c>
      <c r="F1396" s="3">
        <v>13.1</v>
      </c>
      <c r="G1396" s="20">
        <f t="shared" si="62"/>
        <v>8.1219999999999999</v>
      </c>
      <c r="H1396" s="20">
        <f t="shared" si="63"/>
        <v>8.1219999999999999</v>
      </c>
      <c r="J1396" s="43" t="s">
        <v>1995</v>
      </c>
    </row>
    <row r="1397" spans="1:10" x14ac:dyDescent="0.25">
      <c r="A1397" s="46" t="s">
        <v>1376</v>
      </c>
      <c r="B1397" s="3" t="s">
        <v>1377</v>
      </c>
      <c r="C1397" s="3" t="s">
        <v>47</v>
      </c>
      <c r="D1397" s="3" t="s">
        <v>1507</v>
      </c>
      <c r="E1397" s="3" t="s">
        <v>1855</v>
      </c>
      <c r="F1397" s="3">
        <v>35.9</v>
      </c>
      <c r="G1397" s="20">
        <f t="shared" si="62"/>
        <v>22.257999999999999</v>
      </c>
      <c r="H1397" s="20">
        <f t="shared" si="63"/>
        <v>178.06399999999999</v>
      </c>
      <c r="J1397" s="43" t="s">
        <v>2294</v>
      </c>
    </row>
    <row r="1398" spans="1:10" x14ac:dyDescent="0.25">
      <c r="A1398" s="46" t="s">
        <v>55</v>
      </c>
      <c r="B1398" s="3" t="s">
        <v>56</v>
      </c>
      <c r="C1398" s="3" t="s">
        <v>47</v>
      </c>
      <c r="D1398" s="3" t="s">
        <v>1508</v>
      </c>
      <c r="E1398" s="3" t="s">
        <v>1855</v>
      </c>
      <c r="F1398" s="3">
        <v>23.9</v>
      </c>
      <c r="G1398" s="20">
        <f t="shared" si="62"/>
        <v>14.818</v>
      </c>
      <c r="H1398" s="20">
        <f t="shared" si="63"/>
        <v>59.271999999999998</v>
      </c>
      <c r="J1398" s="43" t="s">
        <v>1885</v>
      </c>
    </row>
    <row r="1399" spans="1:10" x14ac:dyDescent="0.25">
      <c r="A1399" s="46" t="s">
        <v>1410</v>
      </c>
      <c r="B1399" s="3" t="s">
        <v>1411</v>
      </c>
      <c r="C1399" s="3" t="s">
        <v>46</v>
      </c>
      <c r="D1399" s="3" t="s">
        <v>913</v>
      </c>
      <c r="E1399" s="3" t="s">
        <v>1855</v>
      </c>
      <c r="F1399" s="3">
        <v>56.6</v>
      </c>
      <c r="G1399" s="20">
        <f t="shared" si="62"/>
        <v>35.091999999999999</v>
      </c>
      <c r="H1399" s="20">
        <f t="shared" si="63"/>
        <v>70.183999999999997</v>
      </c>
      <c r="J1399" s="43" t="s">
        <v>2307</v>
      </c>
    </row>
    <row r="1400" spans="1:10" x14ac:dyDescent="0.25">
      <c r="A1400" s="46" t="s">
        <v>1380</v>
      </c>
      <c r="B1400" s="3" t="s">
        <v>1381</v>
      </c>
      <c r="C1400" s="3" t="s">
        <v>46</v>
      </c>
      <c r="D1400" s="3" t="s">
        <v>913</v>
      </c>
      <c r="E1400" s="3" t="s">
        <v>1855</v>
      </c>
      <c r="F1400" s="3">
        <v>67.5</v>
      </c>
      <c r="G1400" s="20">
        <f t="shared" si="62"/>
        <v>41.85</v>
      </c>
      <c r="H1400" s="20">
        <f t="shared" si="63"/>
        <v>83.7</v>
      </c>
      <c r="J1400" s="43" t="s">
        <v>2296</v>
      </c>
    </row>
    <row r="1401" spans="1:10" x14ac:dyDescent="0.25">
      <c r="A1401" s="46" t="s">
        <v>18</v>
      </c>
      <c r="B1401" s="3" t="s">
        <v>19</v>
      </c>
      <c r="C1401" s="3" t="s">
        <v>47</v>
      </c>
      <c r="D1401" s="3" t="s">
        <v>913</v>
      </c>
      <c r="E1401" s="3" t="s">
        <v>1855</v>
      </c>
      <c r="F1401" s="3">
        <v>28</v>
      </c>
      <c r="G1401" s="20">
        <f t="shared" si="62"/>
        <v>17.36</v>
      </c>
      <c r="H1401" s="20">
        <f t="shared" si="63"/>
        <v>34.72</v>
      </c>
      <c r="J1401" s="43" t="s">
        <v>19</v>
      </c>
    </row>
    <row r="1402" spans="1:10" x14ac:dyDescent="0.25">
      <c r="A1402" s="46" t="s">
        <v>73</v>
      </c>
      <c r="B1402" s="3" t="s">
        <v>74</v>
      </c>
      <c r="C1402" s="3" t="s">
        <v>46</v>
      </c>
      <c r="D1402" s="3" t="s">
        <v>914</v>
      </c>
      <c r="E1402" s="3" t="s">
        <v>1855</v>
      </c>
      <c r="F1402" s="3">
        <v>30</v>
      </c>
      <c r="G1402" s="20">
        <f t="shared" si="62"/>
        <v>18.600000000000001</v>
      </c>
      <c r="H1402" s="20">
        <f t="shared" si="63"/>
        <v>18.600000000000001</v>
      </c>
      <c r="J1402" s="43" t="s">
        <v>74</v>
      </c>
    </row>
    <row r="1403" spans="1:10" x14ac:dyDescent="0.25">
      <c r="A1403" s="46" t="s">
        <v>1412</v>
      </c>
      <c r="B1403" s="3" t="s">
        <v>1413</v>
      </c>
      <c r="C1403" s="3" t="s">
        <v>46</v>
      </c>
      <c r="D1403" s="3" t="s">
        <v>914</v>
      </c>
      <c r="E1403" s="3" t="s">
        <v>1855</v>
      </c>
      <c r="F1403" s="3">
        <v>35.5</v>
      </c>
      <c r="G1403" s="20">
        <f t="shared" si="62"/>
        <v>22.009999999999998</v>
      </c>
      <c r="H1403" s="20">
        <f t="shared" si="63"/>
        <v>22.009999999999998</v>
      </c>
      <c r="J1403" s="43" t="s">
        <v>1413</v>
      </c>
    </row>
    <row r="1404" spans="1:10" x14ac:dyDescent="0.25">
      <c r="A1404" s="46" t="s">
        <v>16</v>
      </c>
      <c r="B1404" s="3" t="s">
        <v>17</v>
      </c>
      <c r="C1404" s="3" t="s">
        <v>46</v>
      </c>
      <c r="D1404" s="3" t="s">
        <v>1508</v>
      </c>
      <c r="E1404" s="3" t="s">
        <v>1855</v>
      </c>
      <c r="F1404" s="3">
        <v>24.1</v>
      </c>
      <c r="G1404" s="20">
        <f t="shared" si="62"/>
        <v>14.942</v>
      </c>
      <c r="H1404" s="20">
        <f t="shared" si="63"/>
        <v>59.768000000000001</v>
      </c>
      <c r="J1404" s="43" t="s">
        <v>1869</v>
      </c>
    </row>
    <row r="1405" spans="1:10" x14ac:dyDescent="0.25">
      <c r="A1405" s="46" t="s">
        <v>1382</v>
      </c>
      <c r="B1405" s="3" t="s">
        <v>1383</v>
      </c>
      <c r="C1405" s="3" t="s">
        <v>46</v>
      </c>
      <c r="D1405" s="3" t="s">
        <v>914</v>
      </c>
      <c r="E1405" s="3" t="s">
        <v>1855</v>
      </c>
      <c r="F1405" s="3">
        <v>43.9</v>
      </c>
      <c r="G1405" s="20">
        <f t="shared" si="62"/>
        <v>27.218</v>
      </c>
      <c r="H1405" s="20">
        <f t="shared" si="63"/>
        <v>27.218</v>
      </c>
      <c r="J1405" s="43" t="s">
        <v>2297</v>
      </c>
    </row>
    <row r="1406" spans="1:10" x14ac:dyDescent="0.25">
      <c r="A1406" s="46" t="s">
        <v>1378</v>
      </c>
      <c r="B1406" s="3" t="s">
        <v>1379</v>
      </c>
      <c r="C1406" s="3" t="s">
        <v>47</v>
      </c>
      <c r="D1406" s="3" t="s">
        <v>914</v>
      </c>
      <c r="E1406" s="3" t="s">
        <v>1855</v>
      </c>
      <c r="F1406" s="3">
        <v>36</v>
      </c>
      <c r="G1406" s="20">
        <f t="shared" si="62"/>
        <v>22.32</v>
      </c>
      <c r="H1406" s="20">
        <f t="shared" si="63"/>
        <v>22.32</v>
      </c>
      <c r="J1406" s="43" t="s">
        <v>2295</v>
      </c>
    </row>
    <row r="1407" spans="1:10" x14ac:dyDescent="0.25">
      <c r="A1407" s="46" t="s">
        <v>1456</v>
      </c>
      <c r="B1407" s="3" t="s">
        <v>1457</v>
      </c>
      <c r="C1407" s="3" t="s">
        <v>46</v>
      </c>
      <c r="D1407" s="3" t="s">
        <v>914</v>
      </c>
      <c r="E1407" s="3" t="s">
        <v>1855</v>
      </c>
      <c r="F1407" s="3">
        <v>157.5</v>
      </c>
      <c r="G1407" s="20">
        <f t="shared" si="62"/>
        <v>97.65</v>
      </c>
      <c r="H1407" s="20">
        <f t="shared" si="63"/>
        <v>97.65</v>
      </c>
      <c r="J1407" s="43" t="s">
        <v>2323</v>
      </c>
    </row>
    <row r="1408" spans="1:10" x14ac:dyDescent="0.25">
      <c r="A1408" s="46" t="s">
        <v>1494</v>
      </c>
      <c r="B1408" s="3" t="s">
        <v>1495</v>
      </c>
      <c r="C1408" s="3" t="s">
        <v>46</v>
      </c>
      <c r="D1408" s="3" t="s">
        <v>914</v>
      </c>
      <c r="E1408" s="3" t="s">
        <v>1855</v>
      </c>
      <c r="F1408" s="3">
        <v>157.5</v>
      </c>
      <c r="G1408" s="20">
        <f t="shared" si="62"/>
        <v>97.65</v>
      </c>
      <c r="H1408" s="20">
        <f t="shared" si="63"/>
        <v>97.65</v>
      </c>
      <c r="J1408" s="43" t="s">
        <v>2339</v>
      </c>
    </row>
    <row r="1409" spans="1:10" x14ac:dyDescent="0.25">
      <c r="A1409" s="46" t="s">
        <v>1496</v>
      </c>
      <c r="B1409" s="3" t="s">
        <v>1497</v>
      </c>
      <c r="C1409" s="3" t="s">
        <v>46</v>
      </c>
      <c r="D1409" s="3" t="s">
        <v>914</v>
      </c>
      <c r="E1409" s="3" t="s">
        <v>1855</v>
      </c>
      <c r="F1409" s="3">
        <v>157.5</v>
      </c>
      <c r="G1409" s="20">
        <f t="shared" si="62"/>
        <v>97.65</v>
      </c>
      <c r="H1409" s="20">
        <f t="shared" si="63"/>
        <v>97.65</v>
      </c>
      <c r="J1409" s="43" t="s">
        <v>2340</v>
      </c>
    </row>
    <row r="1410" spans="1:10" x14ac:dyDescent="0.25">
      <c r="A1410" s="46" t="s">
        <v>1386</v>
      </c>
      <c r="B1410" s="3" t="s">
        <v>1387</v>
      </c>
      <c r="C1410" s="3" t="s">
        <v>46</v>
      </c>
      <c r="D1410" s="3">
        <v>2</v>
      </c>
      <c r="E1410" s="3" t="s">
        <v>1855</v>
      </c>
      <c r="F1410" s="3">
        <v>142.5</v>
      </c>
      <c r="G1410" s="20">
        <f t="shared" si="62"/>
        <v>88.35</v>
      </c>
      <c r="H1410" s="20">
        <f t="shared" si="63"/>
        <v>176.7</v>
      </c>
      <c r="J1410" s="43" t="s">
        <v>2298</v>
      </c>
    </row>
    <row r="1411" spans="1:10" x14ac:dyDescent="0.25">
      <c r="A1411" s="46" t="s">
        <v>1388</v>
      </c>
      <c r="B1411" s="3" t="s">
        <v>1389</v>
      </c>
      <c r="C1411" s="3" t="s">
        <v>46</v>
      </c>
      <c r="D1411" s="3" t="s">
        <v>913</v>
      </c>
      <c r="E1411" s="3" t="s">
        <v>1855</v>
      </c>
      <c r="F1411" s="3">
        <v>152.5</v>
      </c>
      <c r="G1411" s="20">
        <f t="shared" si="62"/>
        <v>94.55</v>
      </c>
      <c r="H1411" s="20">
        <f t="shared" si="63"/>
        <v>189.1</v>
      </c>
      <c r="J1411" s="43" t="s">
        <v>2299</v>
      </c>
    </row>
    <row r="1412" spans="1:10" x14ac:dyDescent="0.25">
      <c r="A1412" s="46" t="s">
        <v>1498</v>
      </c>
      <c r="B1412" s="3" t="s">
        <v>1499</v>
      </c>
      <c r="C1412" s="3" t="s">
        <v>46</v>
      </c>
      <c r="D1412" s="3">
        <v>2</v>
      </c>
      <c r="E1412" s="3" t="s">
        <v>1855</v>
      </c>
      <c r="F1412" s="3">
        <v>121</v>
      </c>
      <c r="G1412" s="20">
        <f t="shared" si="62"/>
        <v>75.02</v>
      </c>
      <c r="H1412" s="20">
        <f t="shared" si="63"/>
        <v>150.04</v>
      </c>
      <c r="J1412" s="43" t="s">
        <v>2341</v>
      </c>
    </row>
    <row r="1413" spans="1:10" x14ac:dyDescent="0.25">
      <c r="A1413" s="46" t="s">
        <v>354</v>
      </c>
      <c r="B1413" s="3" t="s">
        <v>355</v>
      </c>
      <c r="C1413" s="3" t="s">
        <v>46</v>
      </c>
      <c r="D1413" s="3" t="s">
        <v>914</v>
      </c>
      <c r="E1413" s="3" t="s">
        <v>1855</v>
      </c>
      <c r="F1413" s="3">
        <v>36.200000000000003</v>
      </c>
      <c r="G1413" s="20">
        <f t="shared" si="62"/>
        <v>22.444000000000003</v>
      </c>
      <c r="H1413" s="20">
        <f t="shared" si="63"/>
        <v>22.444000000000003</v>
      </c>
      <c r="J1413" s="43" t="s">
        <v>2006</v>
      </c>
    </row>
    <row r="1414" spans="1:10" x14ac:dyDescent="0.25">
      <c r="A1414" s="46" t="s">
        <v>1418</v>
      </c>
      <c r="B1414" s="3" t="s">
        <v>1419</v>
      </c>
      <c r="C1414" s="3" t="s">
        <v>47</v>
      </c>
      <c r="D1414" s="3" t="s">
        <v>914</v>
      </c>
      <c r="E1414" s="3" t="s">
        <v>1855</v>
      </c>
      <c r="F1414" s="3">
        <v>193.5</v>
      </c>
      <c r="G1414" s="20">
        <f t="shared" si="62"/>
        <v>119.97</v>
      </c>
      <c r="H1414" s="20">
        <f t="shared" si="63"/>
        <v>119.97</v>
      </c>
      <c r="J1414" s="43" t="s">
        <v>2310</v>
      </c>
    </row>
    <row r="1415" spans="1:10" x14ac:dyDescent="0.25">
      <c r="A1415" s="46" t="s">
        <v>1420</v>
      </c>
      <c r="B1415" s="3" t="s">
        <v>1421</v>
      </c>
      <c r="C1415" s="3" t="s">
        <v>47</v>
      </c>
      <c r="D1415" s="3" t="s">
        <v>914</v>
      </c>
      <c r="E1415" s="3" t="s">
        <v>1855</v>
      </c>
      <c r="F1415" s="3">
        <v>193.5</v>
      </c>
      <c r="G1415" s="20">
        <f t="shared" si="62"/>
        <v>119.97</v>
      </c>
      <c r="H1415" s="20">
        <f t="shared" si="63"/>
        <v>119.97</v>
      </c>
      <c r="J1415" s="43" t="s">
        <v>2311</v>
      </c>
    </row>
    <row r="1416" spans="1:10" x14ac:dyDescent="0.25">
      <c r="A1416" s="46" t="s">
        <v>1390</v>
      </c>
      <c r="B1416" s="3" t="s">
        <v>1391</v>
      </c>
      <c r="C1416" s="3" t="s">
        <v>47</v>
      </c>
      <c r="D1416" s="3" t="s">
        <v>1506</v>
      </c>
      <c r="E1416" s="3" t="s">
        <v>1855</v>
      </c>
      <c r="F1416" s="3">
        <v>96.9</v>
      </c>
      <c r="G1416" s="20">
        <f t="shared" si="62"/>
        <v>60.078000000000003</v>
      </c>
      <c r="H1416" s="20">
        <f t="shared" si="63"/>
        <v>180.23400000000001</v>
      </c>
      <c r="J1416" s="43" t="s">
        <v>2300</v>
      </c>
    </row>
    <row r="1417" spans="1:10" x14ac:dyDescent="0.25">
      <c r="A1417" s="46" t="s">
        <v>1392</v>
      </c>
      <c r="B1417" s="3" t="s">
        <v>1393</v>
      </c>
      <c r="C1417" s="3" t="s">
        <v>47</v>
      </c>
      <c r="D1417" s="3" t="s">
        <v>1506</v>
      </c>
      <c r="E1417" s="3" t="s">
        <v>1855</v>
      </c>
      <c r="F1417" s="3">
        <v>79.599999999999994</v>
      </c>
      <c r="G1417" s="20">
        <f t="shared" si="62"/>
        <v>49.351999999999997</v>
      </c>
      <c r="H1417" s="20">
        <f t="shared" si="63"/>
        <v>148.05599999999998</v>
      </c>
      <c r="J1417" s="43" t="s">
        <v>2301</v>
      </c>
    </row>
    <row r="1418" spans="1:10" x14ac:dyDescent="0.25">
      <c r="A1418" s="46" t="s">
        <v>123</v>
      </c>
      <c r="B1418" s="3" t="s">
        <v>124</v>
      </c>
      <c r="C1418" s="3" t="s">
        <v>46</v>
      </c>
      <c r="D1418" s="3" t="s">
        <v>1506</v>
      </c>
      <c r="E1418" s="3" t="s">
        <v>1855</v>
      </c>
      <c r="F1418" s="3">
        <v>90.2</v>
      </c>
      <c r="G1418" s="20">
        <f t="shared" si="62"/>
        <v>55.923999999999999</v>
      </c>
      <c r="H1418" s="20">
        <f t="shared" si="63"/>
        <v>167.77199999999999</v>
      </c>
      <c r="J1418" s="43" t="s">
        <v>1910</v>
      </c>
    </row>
    <row r="1419" spans="1:10" x14ac:dyDescent="0.25">
      <c r="A1419" s="46" t="s">
        <v>1426</v>
      </c>
      <c r="B1419" s="3" t="s">
        <v>1427</v>
      </c>
      <c r="C1419" s="3" t="s">
        <v>47</v>
      </c>
      <c r="D1419" s="3" t="s">
        <v>914</v>
      </c>
      <c r="E1419" s="3" t="s">
        <v>1855</v>
      </c>
      <c r="F1419" s="3">
        <v>62.5</v>
      </c>
      <c r="G1419" s="20">
        <f t="shared" si="62"/>
        <v>38.75</v>
      </c>
      <c r="H1419" s="20">
        <f t="shared" si="63"/>
        <v>38.75</v>
      </c>
      <c r="J1419" s="43" t="s">
        <v>2312</v>
      </c>
    </row>
    <row r="1420" spans="1:10" x14ac:dyDescent="0.25">
      <c r="A1420" s="46" t="s">
        <v>1428</v>
      </c>
      <c r="B1420" s="3" t="s">
        <v>1429</v>
      </c>
      <c r="C1420" s="3" t="s">
        <v>46</v>
      </c>
      <c r="D1420" s="3" t="s">
        <v>914</v>
      </c>
      <c r="E1420" s="3" t="s">
        <v>1855</v>
      </c>
      <c r="F1420" s="3">
        <v>104</v>
      </c>
      <c r="G1420" s="20">
        <f t="shared" si="62"/>
        <v>64.47999999999999</v>
      </c>
      <c r="H1420" s="20">
        <f t="shared" si="63"/>
        <v>64.47999999999999</v>
      </c>
      <c r="J1420" s="43" t="s">
        <v>2313</v>
      </c>
    </row>
    <row r="1421" spans="1:10" x14ac:dyDescent="0.25">
      <c r="A1421" s="46" t="s">
        <v>105</v>
      </c>
      <c r="B1421" s="3" t="s">
        <v>106</v>
      </c>
      <c r="C1421" s="3" t="s">
        <v>46</v>
      </c>
      <c r="D1421" s="3" t="s">
        <v>914</v>
      </c>
      <c r="E1421" s="3" t="s">
        <v>1855</v>
      </c>
      <c r="F1421" s="3">
        <v>43.1</v>
      </c>
      <c r="G1421" s="20">
        <f t="shared" si="62"/>
        <v>26.722000000000001</v>
      </c>
      <c r="H1421" s="20">
        <f t="shared" si="63"/>
        <v>26.722000000000001</v>
      </c>
      <c r="J1421" s="43" t="s">
        <v>1901</v>
      </c>
    </row>
    <row r="1422" spans="1:10" x14ac:dyDescent="0.25">
      <c r="A1422" s="46" t="s">
        <v>30</v>
      </c>
      <c r="B1422" s="3" t="s">
        <v>31</v>
      </c>
      <c r="C1422" s="3" t="s">
        <v>46</v>
      </c>
      <c r="D1422" s="3" t="s">
        <v>1508</v>
      </c>
      <c r="E1422" s="3" t="s">
        <v>1855</v>
      </c>
      <c r="F1422" s="3">
        <v>24.3</v>
      </c>
      <c r="G1422" s="20">
        <f t="shared" ref="G1422:G1485" si="64">F1422-(F1422*38%)</f>
        <v>15.066000000000001</v>
      </c>
      <c r="H1422" s="20">
        <f t="shared" si="63"/>
        <v>60.264000000000003</v>
      </c>
      <c r="J1422" s="43" t="s">
        <v>1874</v>
      </c>
    </row>
    <row r="1423" spans="1:10" x14ac:dyDescent="0.25">
      <c r="A1423" s="46" t="s">
        <v>1394</v>
      </c>
      <c r="B1423" s="3" t="s">
        <v>1395</v>
      </c>
      <c r="C1423" s="3" t="s">
        <v>46</v>
      </c>
      <c r="D1423" s="3" t="s">
        <v>914</v>
      </c>
      <c r="E1423" s="3" t="s">
        <v>1855</v>
      </c>
      <c r="F1423" s="3">
        <v>39.1</v>
      </c>
      <c r="G1423" s="20">
        <f t="shared" si="64"/>
        <v>24.242000000000001</v>
      </c>
      <c r="H1423" s="20">
        <f t="shared" si="63"/>
        <v>24.242000000000001</v>
      </c>
      <c r="J1423" s="43" t="s">
        <v>2302</v>
      </c>
    </row>
    <row r="1424" spans="1:10" x14ac:dyDescent="0.25">
      <c r="A1424" s="46" t="s">
        <v>1500</v>
      </c>
      <c r="B1424" s="3" t="s">
        <v>1501</v>
      </c>
      <c r="C1424" s="3" t="s">
        <v>46</v>
      </c>
      <c r="D1424" s="3" t="s">
        <v>914</v>
      </c>
      <c r="E1424" s="3" t="s">
        <v>1855</v>
      </c>
      <c r="F1424" s="3">
        <v>101</v>
      </c>
      <c r="G1424" s="20">
        <f t="shared" si="64"/>
        <v>62.62</v>
      </c>
      <c r="H1424" s="20">
        <f t="shared" si="63"/>
        <v>62.62</v>
      </c>
      <c r="J1424" s="43" t="s">
        <v>2342</v>
      </c>
    </row>
    <row r="1425" spans="1:10" x14ac:dyDescent="0.25">
      <c r="A1425" s="46" t="s">
        <v>1362</v>
      </c>
      <c r="B1425" s="3" t="s">
        <v>1363</v>
      </c>
      <c r="C1425" s="3" t="s">
        <v>46</v>
      </c>
      <c r="D1425" s="3" t="s">
        <v>914</v>
      </c>
      <c r="E1425" s="3" t="s">
        <v>1855</v>
      </c>
      <c r="F1425" s="3">
        <v>40.5</v>
      </c>
      <c r="G1425" s="20">
        <f t="shared" si="64"/>
        <v>25.11</v>
      </c>
      <c r="H1425" s="20">
        <f t="shared" si="63"/>
        <v>25.11</v>
      </c>
      <c r="J1425" s="43" t="s">
        <v>1363</v>
      </c>
    </row>
    <row r="1426" spans="1:10" x14ac:dyDescent="0.25">
      <c r="A1426" s="46" t="s">
        <v>701</v>
      </c>
      <c r="B1426" s="3" t="s">
        <v>1502</v>
      </c>
      <c r="C1426" s="3" t="s">
        <v>46</v>
      </c>
      <c r="D1426" s="3" t="s">
        <v>914</v>
      </c>
      <c r="E1426" s="3" t="s">
        <v>1855</v>
      </c>
      <c r="F1426" s="3">
        <v>64.400000000000006</v>
      </c>
      <c r="G1426" s="20">
        <f t="shared" si="64"/>
        <v>39.928000000000004</v>
      </c>
      <c r="H1426" s="20">
        <f t="shared" si="63"/>
        <v>39.928000000000004</v>
      </c>
      <c r="J1426" s="43" t="s">
        <v>1502</v>
      </c>
    </row>
    <row r="1427" spans="1:10" x14ac:dyDescent="0.25">
      <c r="A1427" s="46" t="s">
        <v>703</v>
      </c>
      <c r="B1427" s="3" t="s">
        <v>1503</v>
      </c>
      <c r="C1427" s="3" t="s">
        <v>46</v>
      </c>
      <c r="D1427" s="3" t="s">
        <v>914</v>
      </c>
      <c r="E1427" s="3" t="s">
        <v>1855</v>
      </c>
      <c r="F1427" s="3">
        <v>64.400000000000006</v>
      </c>
      <c r="G1427" s="20">
        <f t="shared" si="64"/>
        <v>39.928000000000004</v>
      </c>
      <c r="H1427" s="20">
        <f t="shared" si="63"/>
        <v>39.928000000000004</v>
      </c>
      <c r="J1427" s="43" t="s">
        <v>1503</v>
      </c>
    </row>
    <row r="1428" spans="1:10" x14ac:dyDescent="0.25">
      <c r="A1428" s="46" t="s">
        <v>1504</v>
      </c>
      <c r="B1428" s="3" t="s">
        <v>1505</v>
      </c>
      <c r="C1428" s="3" t="s">
        <v>46</v>
      </c>
      <c r="D1428" s="3" t="s">
        <v>914</v>
      </c>
      <c r="E1428" s="3" t="s">
        <v>1855</v>
      </c>
      <c r="F1428" s="3">
        <v>352.5</v>
      </c>
      <c r="G1428" s="20">
        <f t="shared" si="64"/>
        <v>218.55</v>
      </c>
      <c r="H1428" s="20">
        <f t="shared" si="63"/>
        <v>218.55</v>
      </c>
      <c r="J1428" s="43" t="s">
        <v>2343</v>
      </c>
    </row>
    <row r="1429" spans="1:10" x14ac:dyDescent="0.25">
      <c r="A1429" s="46" t="s">
        <v>107</v>
      </c>
      <c r="B1429" s="3" t="s">
        <v>108</v>
      </c>
      <c r="C1429" s="3" t="s">
        <v>46</v>
      </c>
      <c r="D1429" s="3" t="s">
        <v>1506</v>
      </c>
      <c r="E1429" s="3" t="s">
        <v>1855</v>
      </c>
      <c r="F1429" s="3">
        <v>11.9</v>
      </c>
      <c r="G1429" s="20">
        <f t="shared" si="64"/>
        <v>7.3780000000000001</v>
      </c>
      <c r="H1429" s="20">
        <f t="shared" si="63"/>
        <v>22.134</v>
      </c>
      <c r="J1429" s="43" t="s">
        <v>1902</v>
      </c>
    </row>
    <row r="1430" spans="1:10" x14ac:dyDescent="0.25">
      <c r="A1430" s="46" t="s">
        <v>109</v>
      </c>
      <c r="B1430" s="3" t="s">
        <v>110</v>
      </c>
      <c r="C1430" s="3" t="s">
        <v>47</v>
      </c>
      <c r="D1430" s="3" t="s">
        <v>914</v>
      </c>
      <c r="E1430" s="3" t="s">
        <v>1855</v>
      </c>
      <c r="F1430" s="3">
        <v>21.2</v>
      </c>
      <c r="G1430" s="20">
        <f t="shared" si="64"/>
        <v>13.144</v>
      </c>
      <c r="H1430" s="20">
        <f t="shared" si="63"/>
        <v>13.144</v>
      </c>
      <c r="J1430" s="43" t="s">
        <v>1903</v>
      </c>
    </row>
    <row r="1431" spans="1:10" x14ac:dyDescent="0.25">
      <c r="A1431" s="46" t="s">
        <v>1430</v>
      </c>
      <c r="B1431" s="3" t="s">
        <v>1431</v>
      </c>
      <c r="C1431" s="3" t="s">
        <v>46</v>
      </c>
      <c r="D1431" s="3" t="s">
        <v>914</v>
      </c>
      <c r="E1431" s="3" t="s">
        <v>1855</v>
      </c>
      <c r="F1431" s="3">
        <v>19</v>
      </c>
      <c r="G1431" s="20">
        <f t="shared" si="64"/>
        <v>11.780000000000001</v>
      </c>
      <c r="H1431" s="20">
        <f t="shared" si="63"/>
        <v>11.780000000000001</v>
      </c>
      <c r="J1431" s="43" t="s">
        <v>2314</v>
      </c>
    </row>
    <row r="1432" spans="1:10" x14ac:dyDescent="0.25">
      <c r="A1432" s="46" t="s">
        <v>113</v>
      </c>
      <c r="B1432" s="3" t="s">
        <v>114</v>
      </c>
      <c r="C1432" s="3" t="s">
        <v>46</v>
      </c>
      <c r="D1432" s="3" t="s">
        <v>1506</v>
      </c>
      <c r="E1432" s="3" t="s">
        <v>1855</v>
      </c>
      <c r="F1432" s="3">
        <v>15.9</v>
      </c>
      <c r="G1432" s="20">
        <f t="shared" si="64"/>
        <v>9.8580000000000005</v>
      </c>
      <c r="H1432" s="20">
        <f t="shared" si="63"/>
        <v>29.574000000000002</v>
      </c>
      <c r="J1432" s="43" t="s">
        <v>1905</v>
      </c>
    </row>
    <row r="1433" spans="1:10" x14ac:dyDescent="0.25">
      <c r="A1433" s="46" t="s">
        <v>1821</v>
      </c>
      <c r="B1433" s="3" t="s">
        <v>1822</v>
      </c>
      <c r="C1433" s="3" t="s">
        <v>46</v>
      </c>
      <c r="D1433" s="3">
        <v>1</v>
      </c>
      <c r="E1433" s="3" t="s">
        <v>1856</v>
      </c>
      <c r="F1433" s="3">
        <v>857</v>
      </c>
      <c r="G1433" s="20">
        <f t="shared" si="64"/>
        <v>531.33999999999992</v>
      </c>
      <c r="H1433" s="20">
        <f t="shared" si="63"/>
        <v>531.33999999999992</v>
      </c>
      <c r="J1433" s="43" t="s">
        <v>2338</v>
      </c>
    </row>
    <row r="1434" spans="1:10" x14ac:dyDescent="0.25">
      <c r="A1434" s="46" t="s">
        <v>1796</v>
      </c>
      <c r="B1434" s="3" t="s">
        <v>1798</v>
      </c>
      <c r="C1434" s="3" t="s">
        <v>46</v>
      </c>
      <c r="D1434" s="3">
        <v>1</v>
      </c>
      <c r="E1434" s="3" t="s">
        <v>1855</v>
      </c>
      <c r="F1434" s="3">
        <v>147</v>
      </c>
      <c r="G1434" s="20">
        <f t="shared" si="64"/>
        <v>91.14</v>
      </c>
      <c r="H1434" s="20">
        <f t="shared" si="63"/>
        <v>91.14</v>
      </c>
      <c r="J1434" s="43" t="s">
        <v>1912</v>
      </c>
    </row>
    <row r="1435" spans="1:10" s="10" customFormat="1" x14ac:dyDescent="0.25">
      <c r="A1435" s="50"/>
      <c r="B1435" s="11" t="s">
        <v>1510</v>
      </c>
      <c r="C1435" s="9"/>
      <c r="D1435" s="9"/>
      <c r="E1435" s="9"/>
      <c r="F1435" s="9"/>
      <c r="G1435" s="9"/>
      <c r="H1435" s="9"/>
      <c r="J1435" s="43"/>
    </row>
    <row r="1436" spans="1:10" s="5" customFormat="1" x14ac:dyDescent="0.25">
      <c r="A1436" s="51"/>
      <c r="B1436" s="6" t="s">
        <v>1511</v>
      </c>
      <c r="C1436" s="4"/>
      <c r="D1436" s="29"/>
      <c r="E1436" s="4"/>
      <c r="F1436" s="4"/>
      <c r="G1436" s="4"/>
      <c r="H1436" s="19"/>
      <c r="J1436" s="43"/>
    </row>
    <row r="1437" spans="1:10" x14ac:dyDescent="0.25">
      <c r="A1437" s="46" t="s">
        <v>127</v>
      </c>
      <c r="B1437" s="3" t="s">
        <v>128</v>
      </c>
      <c r="C1437" s="3" t="s">
        <v>46</v>
      </c>
      <c r="D1437" s="3">
        <v>4</v>
      </c>
      <c r="E1437" s="3" t="s">
        <v>1855</v>
      </c>
      <c r="F1437" s="3">
        <v>41.9</v>
      </c>
      <c r="G1437" s="20">
        <f t="shared" si="64"/>
        <v>25.978000000000002</v>
      </c>
      <c r="H1437" s="20">
        <f t="shared" ref="H1437:H1492" si="65">G1437*D1437</f>
        <v>103.91200000000001</v>
      </c>
      <c r="J1437" s="43" t="s">
        <v>1913</v>
      </c>
    </row>
    <row r="1438" spans="1:10" x14ac:dyDescent="0.25">
      <c r="A1438" s="46" t="s">
        <v>1512</v>
      </c>
      <c r="B1438" s="3" t="s">
        <v>1513</v>
      </c>
      <c r="C1438" s="3" t="s">
        <v>46</v>
      </c>
      <c r="D1438" s="3">
        <v>4</v>
      </c>
      <c r="E1438" s="3" t="s">
        <v>1855</v>
      </c>
      <c r="F1438" s="3">
        <v>121</v>
      </c>
      <c r="G1438" s="20">
        <f t="shared" si="64"/>
        <v>75.02</v>
      </c>
      <c r="H1438" s="20">
        <f t="shared" si="65"/>
        <v>300.08</v>
      </c>
      <c r="J1438" s="43" t="s">
        <v>2344</v>
      </c>
    </row>
    <row r="1439" spans="1:10" x14ac:dyDescent="0.25">
      <c r="A1439" s="46" t="s">
        <v>1514</v>
      </c>
      <c r="B1439" s="3" t="s">
        <v>1515</v>
      </c>
      <c r="C1439" s="3" t="s">
        <v>47</v>
      </c>
      <c r="D1439" s="3">
        <v>2</v>
      </c>
      <c r="E1439" s="3" t="s">
        <v>1855</v>
      </c>
      <c r="F1439" s="3">
        <v>17</v>
      </c>
      <c r="G1439" s="20">
        <f t="shared" si="64"/>
        <v>10.54</v>
      </c>
      <c r="H1439" s="20">
        <f t="shared" si="65"/>
        <v>21.08</v>
      </c>
      <c r="J1439" s="43" t="s">
        <v>2345</v>
      </c>
    </row>
    <row r="1440" spans="1:10" x14ac:dyDescent="0.25">
      <c r="A1440" s="46" t="s">
        <v>1516</v>
      </c>
      <c r="B1440" s="3" t="s">
        <v>1517</v>
      </c>
      <c r="C1440" s="3" t="s">
        <v>46</v>
      </c>
      <c r="D1440" s="3">
        <v>2</v>
      </c>
      <c r="E1440" s="3" t="s">
        <v>1855</v>
      </c>
      <c r="F1440" s="3">
        <v>42.3</v>
      </c>
      <c r="G1440" s="20">
        <f t="shared" si="64"/>
        <v>26.225999999999999</v>
      </c>
      <c r="H1440" s="20">
        <f t="shared" si="65"/>
        <v>52.451999999999998</v>
      </c>
      <c r="J1440" s="43" t="s">
        <v>2346</v>
      </c>
    </row>
    <row r="1441" spans="1:10" x14ac:dyDescent="0.25">
      <c r="A1441" s="46" t="s">
        <v>1461</v>
      </c>
      <c r="B1441" s="3" t="s">
        <v>1462</v>
      </c>
      <c r="C1441" s="3" t="s">
        <v>46</v>
      </c>
      <c r="D1441" s="3">
        <v>2</v>
      </c>
      <c r="E1441" s="3" t="s">
        <v>1855</v>
      </c>
      <c r="F1441" s="3">
        <v>131.5</v>
      </c>
      <c r="G1441" s="20">
        <f t="shared" si="64"/>
        <v>81.53</v>
      </c>
      <c r="H1441" s="20">
        <f t="shared" si="65"/>
        <v>163.06</v>
      </c>
      <c r="J1441" s="43" t="s">
        <v>1462</v>
      </c>
    </row>
    <row r="1442" spans="1:10" x14ac:dyDescent="0.25">
      <c r="A1442" s="46" t="s">
        <v>1518</v>
      </c>
      <c r="B1442" s="3" t="s">
        <v>1519</v>
      </c>
      <c r="C1442" s="3" t="s">
        <v>46</v>
      </c>
      <c r="D1442" s="3">
        <v>2</v>
      </c>
      <c r="E1442" s="3" t="s">
        <v>1855</v>
      </c>
      <c r="F1442" s="3">
        <v>32.700000000000003</v>
      </c>
      <c r="G1442" s="20">
        <f t="shared" si="64"/>
        <v>20.274000000000001</v>
      </c>
      <c r="H1442" s="20">
        <f t="shared" si="65"/>
        <v>40.548000000000002</v>
      </c>
      <c r="J1442" s="43" t="s">
        <v>2347</v>
      </c>
    </row>
    <row r="1443" spans="1:10" x14ac:dyDescent="0.25">
      <c r="A1443" s="46" t="s">
        <v>1520</v>
      </c>
      <c r="B1443" s="3" t="s">
        <v>1521</v>
      </c>
      <c r="C1443" s="3" t="s">
        <v>46</v>
      </c>
      <c r="D1443" s="3">
        <v>2</v>
      </c>
      <c r="E1443" s="3" t="s">
        <v>1855</v>
      </c>
      <c r="F1443" s="3">
        <v>32.700000000000003</v>
      </c>
      <c r="G1443" s="20">
        <f t="shared" si="64"/>
        <v>20.274000000000001</v>
      </c>
      <c r="H1443" s="20">
        <f t="shared" si="65"/>
        <v>40.548000000000002</v>
      </c>
      <c r="J1443" s="43" t="s">
        <v>2348</v>
      </c>
    </row>
    <row r="1444" spans="1:10" x14ac:dyDescent="0.25">
      <c r="A1444" s="46" t="s">
        <v>1522</v>
      </c>
      <c r="B1444" s="3" t="s">
        <v>1523</v>
      </c>
      <c r="C1444" s="3" t="s">
        <v>47</v>
      </c>
      <c r="D1444" s="3">
        <v>2</v>
      </c>
      <c r="E1444" s="3" t="s">
        <v>1855</v>
      </c>
      <c r="F1444" s="3">
        <v>32.700000000000003</v>
      </c>
      <c r="G1444" s="20">
        <f t="shared" si="64"/>
        <v>20.274000000000001</v>
      </c>
      <c r="H1444" s="20">
        <f t="shared" si="65"/>
        <v>40.548000000000002</v>
      </c>
      <c r="J1444" s="43" t="s">
        <v>2349</v>
      </c>
    </row>
    <row r="1445" spans="1:10" x14ac:dyDescent="0.25">
      <c r="A1445" s="46" t="s">
        <v>1524</v>
      </c>
      <c r="B1445" s="3" t="s">
        <v>1525</v>
      </c>
      <c r="C1445" s="3" t="s">
        <v>46</v>
      </c>
      <c r="D1445" s="3">
        <v>2</v>
      </c>
      <c r="E1445" s="3" t="s">
        <v>1855</v>
      </c>
      <c r="F1445" s="3">
        <v>138.5</v>
      </c>
      <c r="G1445" s="20">
        <f t="shared" si="64"/>
        <v>85.87</v>
      </c>
      <c r="H1445" s="20">
        <f t="shared" si="65"/>
        <v>171.74</v>
      </c>
      <c r="J1445" s="43" t="s">
        <v>2350</v>
      </c>
    </row>
    <row r="1446" spans="1:10" x14ac:dyDescent="0.25">
      <c r="A1446" s="46" t="s">
        <v>105</v>
      </c>
      <c r="B1446" s="3" t="s">
        <v>106</v>
      </c>
      <c r="C1446" s="3" t="s">
        <v>46</v>
      </c>
      <c r="D1446" s="3">
        <v>2</v>
      </c>
      <c r="E1446" s="3" t="s">
        <v>1855</v>
      </c>
      <c r="F1446" s="3">
        <v>43.1</v>
      </c>
      <c r="G1446" s="20">
        <f t="shared" si="64"/>
        <v>26.722000000000001</v>
      </c>
      <c r="H1446" s="20">
        <f t="shared" si="65"/>
        <v>53.444000000000003</v>
      </c>
      <c r="J1446" s="43" t="s">
        <v>1901</v>
      </c>
    </row>
    <row r="1447" spans="1:10" x14ac:dyDescent="0.25">
      <c r="A1447" s="46" t="s">
        <v>1028</v>
      </c>
      <c r="B1447" s="3" t="s">
        <v>1029</v>
      </c>
      <c r="C1447" s="3" t="s">
        <v>46</v>
      </c>
      <c r="D1447" s="3">
        <v>4</v>
      </c>
      <c r="E1447" s="3" t="s">
        <v>1855</v>
      </c>
      <c r="F1447" s="3">
        <v>20.3</v>
      </c>
      <c r="G1447" s="20">
        <f t="shared" si="64"/>
        <v>12.586</v>
      </c>
      <c r="H1447" s="20">
        <f t="shared" si="65"/>
        <v>50.344000000000001</v>
      </c>
      <c r="J1447" s="43" t="s">
        <v>1029</v>
      </c>
    </row>
    <row r="1448" spans="1:10" x14ac:dyDescent="0.25">
      <c r="A1448" s="46" t="s">
        <v>1161</v>
      </c>
      <c r="B1448" s="3" t="s">
        <v>1162</v>
      </c>
      <c r="C1448" s="3" t="s">
        <v>46</v>
      </c>
      <c r="D1448" s="3">
        <v>4</v>
      </c>
      <c r="E1448" s="3" t="s">
        <v>1855</v>
      </c>
      <c r="F1448" s="3">
        <v>25.3</v>
      </c>
      <c r="G1448" s="20">
        <f t="shared" si="64"/>
        <v>15.686</v>
      </c>
      <c r="H1448" s="20">
        <f t="shared" si="65"/>
        <v>62.744</v>
      </c>
      <c r="J1448" s="43" t="s">
        <v>1162</v>
      </c>
    </row>
    <row r="1449" spans="1:10" x14ac:dyDescent="0.25">
      <c r="A1449" s="46" t="s">
        <v>1526</v>
      </c>
      <c r="B1449" s="3" t="s">
        <v>1527</v>
      </c>
      <c r="C1449" s="3" t="s">
        <v>47</v>
      </c>
      <c r="D1449" s="3">
        <v>4</v>
      </c>
      <c r="E1449" s="3" t="s">
        <v>1855</v>
      </c>
      <c r="F1449" s="3">
        <v>45.3</v>
      </c>
      <c r="G1449" s="20">
        <f t="shared" si="64"/>
        <v>28.085999999999999</v>
      </c>
      <c r="H1449" s="20">
        <f t="shared" si="65"/>
        <v>112.34399999999999</v>
      </c>
      <c r="J1449" s="43" t="s">
        <v>1527</v>
      </c>
    </row>
    <row r="1450" spans="1:10" x14ac:dyDescent="0.25">
      <c r="A1450" s="46" t="s">
        <v>1528</v>
      </c>
      <c r="B1450" s="3" t="s">
        <v>1529</v>
      </c>
      <c r="C1450" s="3" t="s">
        <v>47</v>
      </c>
      <c r="D1450" s="3">
        <v>2</v>
      </c>
      <c r="E1450" s="3" t="s">
        <v>1855</v>
      </c>
      <c r="F1450" s="3">
        <v>50.4</v>
      </c>
      <c r="G1450" s="20">
        <f t="shared" si="64"/>
        <v>31.247999999999998</v>
      </c>
      <c r="H1450" s="20">
        <f t="shared" si="65"/>
        <v>62.495999999999995</v>
      </c>
      <c r="J1450" s="43" t="s">
        <v>1529</v>
      </c>
    </row>
    <row r="1451" spans="1:10" x14ac:dyDescent="0.25">
      <c r="A1451" s="46" t="s">
        <v>1530</v>
      </c>
      <c r="B1451" s="3" t="s">
        <v>1531</v>
      </c>
      <c r="C1451" s="3" t="s">
        <v>47</v>
      </c>
      <c r="D1451" s="3">
        <v>2</v>
      </c>
      <c r="E1451" s="3" t="s">
        <v>1855</v>
      </c>
      <c r="F1451" s="3">
        <v>53.5</v>
      </c>
      <c r="G1451" s="20">
        <f t="shared" si="64"/>
        <v>33.17</v>
      </c>
      <c r="H1451" s="20">
        <f t="shared" si="65"/>
        <v>66.34</v>
      </c>
      <c r="J1451" s="43" t="s">
        <v>1531</v>
      </c>
    </row>
    <row r="1452" spans="1:10" x14ac:dyDescent="0.25">
      <c r="A1452" s="46" t="s">
        <v>1532</v>
      </c>
      <c r="B1452" s="3" t="s">
        <v>1533</v>
      </c>
      <c r="C1452" s="3" t="s">
        <v>47</v>
      </c>
      <c r="D1452" s="3">
        <v>4</v>
      </c>
      <c r="E1452" s="3" t="s">
        <v>1855</v>
      </c>
      <c r="F1452" s="3">
        <v>45.3</v>
      </c>
      <c r="G1452" s="20">
        <f t="shared" si="64"/>
        <v>28.085999999999999</v>
      </c>
      <c r="H1452" s="20">
        <f t="shared" si="65"/>
        <v>112.34399999999999</v>
      </c>
      <c r="J1452" s="43" t="s">
        <v>1533</v>
      </c>
    </row>
    <row r="1453" spans="1:10" x14ac:dyDescent="0.25">
      <c r="A1453" s="46" t="s">
        <v>1534</v>
      </c>
      <c r="B1453" s="3" t="s">
        <v>1535</v>
      </c>
      <c r="C1453" s="3" t="s">
        <v>47</v>
      </c>
      <c r="D1453" s="3">
        <v>2</v>
      </c>
      <c r="E1453" s="3" t="s">
        <v>1855</v>
      </c>
      <c r="F1453" s="3">
        <v>50.4</v>
      </c>
      <c r="G1453" s="20">
        <f t="shared" si="64"/>
        <v>31.247999999999998</v>
      </c>
      <c r="H1453" s="20">
        <f t="shared" si="65"/>
        <v>62.495999999999995</v>
      </c>
      <c r="J1453" s="43" t="s">
        <v>1535</v>
      </c>
    </row>
    <row r="1454" spans="1:10" x14ac:dyDescent="0.25">
      <c r="A1454" s="46" t="s">
        <v>1536</v>
      </c>
      <c r="B1454" s="3" t="s">
        <v>1537</v>
      </c>
      <c r="C1454" s="3" t="s">
        <v>47</v>
      </c>
      <c r="D1454" s="3">
        <v>2</v>
      </c>
      <c r="E1454" s="3" t="s">
        <v>1855</v>
      </c>
      <c r="F1454" s="3">
        <v>53.5</v>
      </c>
      <c r="G1454" s="20">
        <f t="shared" si="64"/>
        <v>33.17</v>
      </c>
      <c r="H1454" s="20">
        <f t="shared" si="65"/>
        <v>66.34</v>
      </c>
      <c r="J1454" s="43" t="s">
        <v>1537</v>
      </c>
    </row>
    <row r="1455" spans="1:10" x14ac:dyDescent="0.25">
      <c r="A1455" s="46" t="s">
        <v>1538</v>
      </c>
      <c r="B1455" s="3" t="s">
        <v>1539</v>
      </c>
      <c r="C1455" s="3" t="s">
        <v>46</v>
      </c>
      <c r="D1455" s="3">
        <v>2</v>
      </c>
      <c r="E1455" s="3" t="s">
        <v>1856</v>
      </c>
      <c r="F1455" s="3">
        <v>59.7</v>
      </c>
      <c r="G1455" s="20">
        <f t="shared" si="64"/>
        <v>37.014000000000003</v>
      </c>
      <c r="H1455" s="20">
        <f t="shared" si="65"/>
        <v>74.028000000000006</v>
      </c>
      <c r="J1455" s="43" t="s">
        <v>2351</v>
      </c>
    </row>
    <row r="1456" spans="1:10" x14ac:dyDescent="0.25">
      <c r="A1456" s="46" t="s">
        <v>1159</v>
      </c>
      <c r="B1456" s="3" t="s">
        <v>1160</v>
      </c>
      <c r="C1456" s="3" t="s">
        <v>46</v>
      </c>
      <c r="D1456" s="3">
        <v>2</v>
      </c>
      <c r="E1456" s="3" t="s">
        <v>1855</v>
      </c>
      <c r="F1456" s="3">
        <v>39.6</v>
      </c>
      <c r="G1456" s="20">
        <f t="shared" si="64"/>
        <v>24.552</v>
      </c>
      <c r="H1456" s="20">
        <f t="shared" si="65"/>
        <v>49.103999999999999</v>
      </c>
      <c r="J1456" s="43" t="s">
        <v>1160</v>
      </c>
    </row>
    <row r="1457" spans="1:10" x14ac:dyDescent="0.25">
      <c r="A1457" s="46" t="s">
        <v>1540</v>
      </c>
      <c r="B1457" s="3" t="s">
        <v>1541</v>
      </c>
      <c r="C1457" s="3" t="s">
        <v>46</v>
      </c>
      <c r="D1457" s="3">
        <v>2</v>
      </c>
      <c r="E1457" s="3" t="s">
        <v>1855</v>
      </c>
      <c r="F1457" s="3">
        <v>77.900000000000006</v>
      </c>
      <c r="G1457" s="20">
        <f t="shared" si="64"/>
        <v>48.298000000000002</v>
      </c>
      <c r="H1457" s="20">
        <f t="shared" si="65"/>
        <v>96.596000000000004</v>
      </c>
      <c r="J1457" s="43" t="s">
        <v>2352</v>
      </c>
    </row>
    <row r="1458" spans="1:10" x14ac:dyDescent="0.25">
      <c r="A1458" s="46" t="s">
        <v>1542</v>
      </c>
      <c r="B1458" s="3" t="s">
        <v>1543</v>
      </c>
      <c r="C1458" s="3" t="s">
        <v>46</v>
      </c>
      <c r="D1458" s="3">
        <v>2</v>
      </c>
      <c r="E1458" s="3" t="s">
        <v>1855</v>
      </c>
      <c r="F1458" s="3">
        <v>13.7</v>
      </c>
      <c r="G1458" s="20">
        <f t="shared" si="64"/>
        <v>8.4939999999999998</v>
      </c>
      <c r="H1458" s="20">
        <f t="shared" si="65"/>
        <v>16.988</v>
      </c>
      <c r="J1458" s="43" t="s">
        <v>2353</v>
      </c>
    </row>
    <row r="1459" spans="1:10" x14ac:dyDescent="0.25">
      <c r="A1459" s="46" t="s">
        <v>1544</v>
      </c>
      <c r="B1459" s="3" t="s">
        <v>1545</v>
      </c>
      <c r="C1459" s="3" t="s">
        <v>46</v>
      </c>
      <c r="D1459" s="3">
        <v>2</v>
      </c>
      <c r="E1459" s="3" t="s">
        <v>1855</v>
      </c>
      <c r="F1459" s="3">
        <v>12.5</v>
      </c>
      <c r="G1459" s="20">
        <f t="shared" si="64"/>
        <v>7.75</v>
      </c>
      <c r="H1459" s="20">
        <f t="shared" si="65"/>
        <v>15.5</v>
      </c>
      <c r="J1459" s="43" t="s">
        <v>1545</v>
      </c>
    </row>
    <row r="1460" spans="1:10" x14ac:dyDescent="0.25">
      <c r="A1460" s="46" t="s">
        <v>1546</v>
      </c>
      <c r="B1460" s="3" t="s">
        <v>1547</v>
      </c>
      <c r="C1460" s="3" t="s">
        <v>46</v>
      </c>
      <c r="D1460" s="3">
        <v>2</v>
      </c>
      <c r="E1460" s="3" t="s">
        <v>1855</v>
      </c>
      <c r="F1460" s="3">
        <v>13</v>
      </c>
      <c r="G1460" s="20">
        <f t="shared" si="64"/>
        <v>8.0599999999999987</v>
      </c>
      <c r="H1460" s="20">
        <f t="shared" si="65"/>
        <v>16.119999999999997</v>
      </c>
      <c r="J1460" s="43" t="s">
        <v>2354</v>
      </c>
    </row>
    <row r="1461" spans="1:10" x14ac:dyDescent="0.25">
      <c r="A1461" s="46" t="s">
        <v>1548</v>
      </c>
      <c r="B1461" s="3" t="s">
        <v>1549</v>
      </c>
      <c r="C1461" s="3" t="s">
        <v>46</v>
      </c>
      <c r="D1461" s="3">
        <v>2</v>
      </c>
      <c r="E1461" s="3" t="s">
        <v>1855</v>
      </c>
      <c r="F1461" s="3">
        <v>17.5</v>
      </c>
      <c r="G1461" s="20">
        <f t="shared" si="64"/>
        <v>10.85</v>
      </c>
      <c r="H1461" s="20">
        <f t="shared" si="65"/>
        <v>21.7</v>
      </c>
      <c r="J1461" s="43" t="s">
        <v>2355</v>
      </c>
    </row>
    <row r="1462" spans="1:10" x14ac:dyDescent="0.25">
      <c r="A1462" s="46" t="s">
        <v>109</v>
      </c>
      <c r="B1462" s="3" t="s">
        <v>110</v>
      </c>
      <c r="C1462" s="3" t="s">
        <v>47</v>
      </c>
      <c r="D1462" s="3">
        <v>2</v>
      </c>
      <c r="E1462" s="3" t="s">
        <v>1855</v>
      </c>
      <c r="F1462" s="3">
        <v>21.2</v>
      </c>
      <c r="G1462" s="20">
        <f t="shared" si="64"/>
        <v>13.144</v>
      </c>
      <c r="H1462" s="20">
        <f t="shared" si="65"/>
        <v>26.288</v>
      </c>
      <c r="J1462" s="43" t="s">
        <v>1903</v>
      </c>
    </row>
    <row r="1463" spans="1:10" x14ac:dyDescent="0.25">
      <c r="A1463" s="46" t="s">
        <v>113</v>
      </c>
      <c r="B1463" s="3" t="s">
        <v>114</v>
      </c>
      <c r="C1463" s="3" t="s">
        <v>46</v>
      </c>
      <c r="D1463" s="3">
        <v>2</v>
      </c>
      <c r="E1463" s="3" t="s">
        <v>1855</v>
      </c>
      <c r="F1463" s="3">
        <v>15.9</v>
      </c>
      <c r="G1463" s="20">
        <f t="shared" si="64"/>
        <v>9.8580000000000005</v>
      </c>
      <c r="H1463" s="20">
        <f t="shared" si="65"/>
        <v>19.716000000000001</v>
      </c>
      <c r="J1463" s="43" t="s">
        <v>1905</v>
      </c>
    </row>
    <row r="1464" spans="1:10" x14ac:dyDescent="0.25">
      <c r="A1464" s="46" t="s">
        <v>310</v>
      </c>
      <c r="B1464" s="3" t="s">
        <v>311</v>
      </c>
      <c r="C1464" s="3" t="s">
        <v>46</v>
      </c>
      <c r="D1464" s="3">
        <v>2</v>
      </c>
      <c r="E1464" s="3" t="s">
        <v>1855</v>
      </c>
      <c r="F1464" s="3">
        <v>72.099999999999994</v>
      </c>
      <c r="G1464" s="20">
        <f t="shared" si="64"/>
        <v>44.701999999999998</v>
      </c>
      <c r="H1464" s="20">
        <f t="shared" si="65"/>
        <v>89.403999999999996</v>
      </c>
      <c r="J1464" s="43" t="s">
        <v>1992</v>
      </c>
    </row>
    <row r="1465" spans="1:10" x14ac:dyDescent="0.25">
      <c r="A1465" s="46" t="s">
        <v>316</v>
      </c>
      <c r="B1465" s="3" t="s">
        <v>317</v>
      </c>
      <c r="C1465" s="3" t="s">
        <v>46</v>
      </c>
      <c r="D1465" s="3">
        <v>2</v>
      </c>
      <c r="E1465" s="3" t="s">
        <v>1855</v>
      </c>
      <c r="F1465" s="3">
        <v>13.1</v>
      </c>
      <c r="G1465" s="20">
        <f t="shared" si="64"/>
        <v>8.1219999999999999</v>
      </c>
      <c r="H1465" s="20">
        <f t="shared" si="65"/>
        <v>16.244</v>
      </c>
      <c r="J1465" s="43" t="s">
        <v>1995</v>
      </c>
    </row>
    <row r="1466" spans="1:10" x14ac:dyDescent="0.25">
      <c r="A1466" s="46" t="s">
        <v>26</v>
      </c>
      <c r="B1466" s="3" t="s">
        <v>27</v>
      </c>
      <c r="C1466" s="3" t="s">
        <v>46</v>
      </c>
      <c r="D1466" s="3">
        <v>2</v>
      </c>
      <c r="E1466" s="3" t="s">
        <v>1855</v>
      </c>
      <c r="F1466" s="3">
        <v>6.81</v>
      </c>
      <c r="G1466" s="20">
        <f t="shared" si="64"/>
        <v>4.2221999999999991</v>
      </c>
      <c r="H1466" s="20">
        <f t="shared" si="65"/>
        <v>8.4443999999999981</v>
      </c>
      <c r="J1466" s="43" t="s">
        <v>1873</v>
      </c>
    </row>
    <row r="1467" spans="1:10" x14ac:dyDescent="0.25">
      <c r="A1467" s="46" t="s">
        <v>1550</v>
      </c>
      <c r="B1467" s="3" t="s">
        <v>1551</v>
      </c>
      <c r="C1467" s="3" t="s">
        <v>46</v>
      </c>
      <c r="D1467" s="3">
        <v>2</v>
      </c>
      <c r="E1467" s="3" t="s">
        <v>1855</v>
      </c>
      <c r="F1467" s="3">
        <v>13.2</v>
      </c>
      <c r="G1467" s="20">
        <f t="shared" si="64"/>
        <v>8.1839999999999993</v>
      </c>
      <c r="H1467" s="20">
        <f t="shared" si="65"/>
        <v>16.367999999999999</v>
      </c>
      <c r="J1467" s="43" t="s">
        <v>1551</v>
      </c>
    </row>
    <row r="1468" spans="1:10" x14ac:dyDescent="0.25">
      <c r="A1468" s="46" t="s">
        <v>1552</v>
      </c>
      <c r="B1468" s="3" t="s">
        <v>1553</v>
      </c>
      <c r="C1468" s="3" t="s">
        <v>46</v>
      </c>
      <c r="D1468" s="3">
        <v>2</v>
      </c>
      <c r="E1468" s="3" t="s">
        <v>1855</v>
      </c>
      <c r="F1468" s="3">
        <v>54.1</v>
      </c>
      <c r="G1468" s="20">
        <f t="shared" si="64"/>
        <v>33.542000000000002</v>
      </c>
      <c r="H1468" s="20">
        <f t="shared" si="65"/>
        <v>67.084000000000003</v>
      </c>
      <c r="J1468" s="43" t="s">
        <v>2356</v>
      </c>
    </row>
    <row r="1469" spans="1:10" x14ac:dyDescent="0.25">
      <c r="A1469" s="46" t="s">
        <v>1554</v>
      </c>
      <c r="B1469" s="3" t="s">
        <v>1553</v>
      </c>
      <c r="C1469" s="3" t="s">
        <v>46</v>
      </c>
      <c r="D1469" s="3">
        <v>2</v>
      </c>
      <c r="E1469" s="3" t="s">
        <v>1855</v>
      </c>
      <c r="F1469" s="3">
        <v>54.1</v>
      </c>
      <c r="G1469" s="20">
        <f t="shared" si="64"/>
        <v>33.542000000000002</v>
      </c>
      <c r="H1469" s="20">
        <f t="shared" si="65"/>
        <v>67.084000000000003</v>
      </c>
      <c r="J1469" s="43" t="s">
        <v>2356</v>
      </c>
    </row>
    <row r="1470" spans="1:10" x14ac:dyDescent="0.25">
      <c r="A1470" s="46" t="s">
        <v>1555</v>
      </c>
      <c r="B1470" s="3" t="s">
        <v>1556</v>
      </c>
      <c r="C1470" s="3" t="s">
        <v>46</v>
      </c>
      <c r="D1470" s="3">
        <v>2</v>
      </c>
      <c r="E1470" s="3" t="s">
        <v>1855</v>
      </c>
      <c r="F1470" s="3">
        <v>89.2</v>
      </c>
      <c r="G1470" s="20">
        <f t="shared" si="64"/>
        <v>55.304000000000002</v>
      </c>
      <c r="H1470" s="20">
        <f t="shared" si="65"/>
        <v>110.608</v>
      </c>
      <c r="J1470" s="43" t="s">
        <v>1556</v>
      </c>
    </row>
    <row r="1471" spans="1:10" x14ac:dyDescent="0.25">
      <c r="A1471" s="46" t="s">
        <v>938</v>
      </c>
      <c r="B1471" s="3" t="s">
        <v>331</v>
      </c>
      <c r="C1471" s="3" t="s">
        <v>47</v>
      </c>
      <c r="D1471" s="3">
        <v>2</v>
      </c>
      <c r="E1471" s="3" t="s">
        <v>1855</v>
      </c>
      <c r="F1471" s="3">
        <v>86.7</v>
      </c>
      <c r="G1471" s="20">
        <f t="shared" si="64"/>
        <v>53.754000000000005</v>
      </c>
      <c r="H1471" s="20">
        <f t="shared" si="65"/>
        <v>107.50800000000001</v>
      </c>
      <c r="J1471" s="43" t="s">
        <v>331</v>
      </c>
    </row>
    <row r="1472" spans="1:10" x14ac:dyDescent="0.25">
      <c r="A1472" s="46" t="s">
        <v>1257</v>
      </c>
      <c r="B1472" s="3" t="s">
        <v>1258</v>
      </c>
      <c r="C1472" s="3" t="s">
        <v>47</v>
      </c>
      <c r="D1472" s="3">
        <v>2</v>
      </c>
      <c r="E1472" s="3" t="s">
        <v>1855</v>
      </c>
      <c r="F1472" s="3">
        <v>104.5</v>
      </c>
      <c r="G1472" s="20">
        <f t="shared" si="64"/>
        <v>64.789999999999992</v>
      </c>
      <c r="H1472" s="20">
        <f t="shared" si="65"/>
        <v>129.57999999999998</v>
      </c>
      <c r="J1472" s="43" t="s">
        <v>1258</v>
      </c>
    </row>
    <row r="1473" spans="1:10" x14ac:dyDescent="0.25">
      <c r="A1473" s="46" t="s">
        <v>426</v>
      </c>
      <c r="B1473" s="3" t="s">
        <v>427</v>
      </c>
      <c r="C1473" s="3" t="s">
        <v>46</v>
      </c>
      <c r="D1473" s="3">
        <v>4</v>
      </c>
      <c r="E1473" s="3" t="s">
        <v>1855</v>
      </c>
      <c r="F1473" s="3">
        <v>20.7</v>
      </c>
      <c r="G1473" s="20">
        <f t="shared" si="64"/>
        <v>12.834</v>
      </c>
      <c r="H1473" s="20">
        <f t="shared" si="65"/>
        <v>51.335999999999999</v>
      </c>
      <c r="J1473" s="43" t="s">
        <v>2027</v>
      </c>
    </row>
    <row r="1474" spans="1:10" x14ac:dyDescent="0.25">
      <c r="A1474" s="46" t="s">
        <v>306</v>
      </c>
      <c r="B1474" s="3" t="s">
        <v>307</v>
      </c>
      <c r="C1474" s="3" t="s">
        <v>47</v>
      </c>
      <c r="D1474" s="3">
        <v>2</v>
      </c>
      <c r="E1474" s="3" t="s">
        <v>1855</v>
      </c>
      <c r="F1474" s="3">
        <v>10.3</v>
      </c>
      <c r="G1474" s="20">
        <f t="shared" si="64"/>
        <v>6.386000000000001</v>
      </c>
      <c r="H1474" s="20">
        <f t="shared" si="65"/>
        <v>12.772000000000002</v>
      </c>
      <c r="J1474" s="43" t="s">
        <v>1990</v>
      </c>
    </row>
    <row r="1475" spans="1:10" x14ac:dyDescent="0.25">
      <c r="A1475" s="46" t="s">
        <v>431</v>
      </c>
      <c r="B1475" s="3" t="s">
        <v>432</v>
      </c>
      <c r="C1475" s="3" t="s">
        <v>47</v>
      </c>
      <c r="D1475" s="3">
        <v>2</v>
      </c>
      <c r="E1475" s="3" t="s">
        <v>1855</v>
      </c>
      <c r="F1475" s="3">
        <v>22.7</v>
      </c>
      <c r="G1475" s="20">
        <f t="shared" si="64"/>
        <v>14.074</v>
      </c>
      <c r="H1475" s="20">
        <f t="shared" si="65"/>
        <v>28.148</v>
      </c>
      <c r="J1475" s="43" t="s">
        <v>2028</v>
      </c>
    </row>
    <row r="1476" spans="1:10" x14ac:dyDescent="0.25">
      <c r="A1476" s="46" t="s">
        <v>308</v>
      </c>
      <c r="B1476" s="3" t="s">
        <v>309</v>
      </c>
      <c r="C1476" s="3" t="s">
        <v>47</v>
      </c>
      <c r="D1476" s="3">
        <v>2</v>
      </c>
      <c r="E1476" s="3" t="s">
        <v>1855</v>
      </c>
      <c r="F1476" s="3">
        <v>13.1</v>
      </c>
      <c r="G1476" s="20">
        <f t="shared" si="64"/>
        <v>8.1219999999999999</v>
      </c>
      <c r="H1476" s="20">
        <f t="shared" si="65"/>
        <v>16.244</v>
      </c>
      <c r="J1476" s="43" t="s">
        <v>1991</v>
      </c>
    </row>
    <row r="1477" spans="1:10" x14ac:dyDescent="0.25">
      <c r="A1477" s="46" t="s">
        <v>924</v>
      </c>
      <c r="B1477" s="3" t="s">
        <v>925</v>
      </c>
      <c r="C1477" s="3" t="s">
        <v>47</v>
      </c>
      <c r="D1477" s="3">
        <v>4</v>
      </c>
      <c r="E1477" s="3" t="s">
        <v>1855</v>
      </c>
      <c r="F1477" s="3">
        <v>31.7</v>
      </c>
      <c r="G1477" s="20">
        <f t="shared" si="64"/>
        <v>19.654</v>
      </c>
      <c r="H1477" s="20">
        <f t="shared" si="65"/>
        <v>78.616</v>
      </c>
      <c r="J1477" s="43" t="s">
        <v>2161</v>
      </c>
    </row>
    <row r="1478" spans="1:10" x14ac:dyDescent="0.25">
      <c r="A1478" s="46" t="s">
        <v>55</v>
      </c>
      <c r="B1478" s="3" t="s">
        <v>56</v>
      </c>
      <c r="C1478" s="3" t="s">
        <v>47</v>
      </c>
      <c r="D1478" s="3">
        <v>12</v>
      </c>
      <c r="E1478" s="3" t="s">
        <v>1855</v>
      </c>
      <c r="F1478" s="3">
        <v>23.9</v>
      </c>
      <c r="G1478" s="20">
        <f t="shared" si="64"/>
        <v>14.818</v>
      </c>
      <c r="H1478" s="20">
        <f t="shared" si="65"/>
        <v>177.816</v>
      </c>
      <c r="J1478" s="43" t="s">
        <v>1885</v>
      </c>
    </row>
    <row r="1479" spans="1:10" x14ac:dyDescent="0.25">
      <c r="A1479" s="46" t="s">
        <v>1261</v>
      </c>
      <c r="B1479" s="3" t="s">
        <v>1262</v>
      </c>
      <c r="C1479" s="3" t="s">
        <v>46</v>
      </c>
      <c r="D1479" s="3">
        <v>12</v>
      </c>
      <c r="E1479" s="3" t="s">
        <v>1855</v>
      </c>
      <c r="F1479" s="3">
        <v>24.3</v>
      </c>
      <c r="G1479" s="20">
        <f t="shared" si="64"/>
        <v>15.066000000000001</v>
      </c>
      <c r="H1479" s="20">
        <f t="shared" si="65"/>
        <v>180.792</v>
      </c>
      <c r="J1479" s="43" t="s">
        <v>2264</v>
      </c>
    </row>
    <row r="1480" spans="1:10" x14ac:dyDescent="0.25">
      <c r="A1480" s="46" t="s">
        <v>1557</v>
      </c>
      <c r="B1480" s="3" t="s">
        <v>1558</v>
      </c>
      <c r="C1480" s="3" t="s">
        <v>47</v>
      </c>
      <c r="D1480" s="3">
        <v>12</v>
      </c>
      <c r="E1480" s="3" t="s">
        <v>1855</v>
      </c>
      <c r="F1480" s="3">
        <v>23.7</v>
      </c>
      <c r="G1480" s="20">
        <f t="shared" si="64"/>
        <v>14.693999999999999</v>
      </c>
      <c r="H1480" s="20">
        <f t="shared" si="65"/>
        <v>176.32799999999997</v>
      </c>
      <c r="J1480" s="43" t="s">
        <v>2357</v>
      </c>
    </row>
    <row r="1481" spans="1:10" x14ac:dyDescent="0.25">
      <c r="A1481" s="46" t="s">
        <v>1559</v>
      </c>
      <c r="B1481" s="3" t="s">
        <v>1560</v>
      </c>
      <c r="C1481" s="3" t="s">
        <v>46</v>
      </c>
      <c r="D1481" s="3">
        <v>4</v>
      </c>
      <c r="E1481" s="3" t="s">
        <v>1855</v>
      </c>
      <c r="F1481" s="3">
        <v>98.1</v>
      </c>
      <c r="G1481" s="20">
        <f t="shared" si="64"/>
        <v>60.821999999999996</v>
      </c>
      <c r="H1481" s="20">
        <f t="shared" si="65"/>
        <v>243.28799999999998</v>
      </c>
      <c r="J1481" s="43" t="s">
        <v>2358</v>
      </c>
    </row>
    <row r="1482" spans="1:10" x14ac:dyDescent="0.25">
      <c r="A1482" s="46" t="s">
        <v>876</v>
      </c>
      <c r="B1482" s="3" t="s">
        <v>877</v>
      </c>
      <c r="C1482" s="3" t="s">
        <v>46</v>
      </c>
      <c r="D1482" s="3">
        <v>2</v>
      </c>
      <c r="E1482" s="3" t="s">
        <v>1855</v>
      </c>
      <c r="F1482" s="3">
        <v>71.7</v>
      </c>
      <c r="G1482" s="20">
        <f t="shared" si="64"/>
        <v>44.454000000000001</v>
      </c>
      <c r="H1482" s="20">
        <f t="shared" si="65"/>
        <v>88.908000000000001</v>
      </c>
      <c r="J1482" s="43" t="s">
        <v>2146</v>
      </c>
    </row>
    <row r="1483" spans="1:10" x14ac:dyDescent="0.25">
      <c r="A1483" s="46" t="s">
        <v>12</v>
      </c>
      <c r="B1483" s="3" t="s">
        <v>13</v>
      </c>
      <c r="C1483" s="3" t="s">
        <v>47</v>
      </c>
      <c r="D1483" s="3">
        <v>4</v>
      </c>
      <c r="E1483" s="3" t="s">
        <v>1855</v>
      </c>
      <c r="F1483" s="3">
        <v>45.7</v>
      </c>
      <c r="G1483" s="20">
        <f t="shared" si="64"/>
        <v>28.334000000000003</v>
      </c>
      <c r="H1483" s="20">
        <f t="shared" si="65"/>
        <v>113.33600000000001</v>
      </c>
      <c r="J1483" s="43" t="s">
        <v>1867</v>
      </c>
    </row>
    <row r="1484" spans="1:10" x14ac:dyDescent="0.25">
      <c r="A1484" s="46" t="s">
        <v>1561</v>
      </c>
      <c r="B1484" s="3" t="s">
        <v>1562</v>
      </c>
      <c r="C1484" s="3" t="s">
        <v>46</v>
      </c>
      <c r="D1484" s="3">
        <v>4</v>
      </c>
      <c r="E1484" s="3" t="s">
        <v>1855</v>
      </c>
      <c r="F1484" s="3">
        <v>21.8</v>
      </c>
      <c r="G1484" s="20">
        <f t="shared" si="64"/>
        <v>13.516</v>
      </c>
      <c r="H1484" s="20">
        <f t="shared" si="65"/>
        <v>54.064</v>
      </c>
      <c r="J1484" s="43" t="s">
        <v>2359</v>
      </c>
    </row>
    <row r="1485" spans="1:10" x14ac:dyDescent="0.25">
      <c r="A1485" s="46" t="s">
        <v>16</v>
      </c>
      <c r="B1485" s="3" t="s">
        <v>17</v>
      </c>
      <c r="C1485" s="3" t="s">
        <v>46</v>
      </c>
      <c r="D1485" s="3">
        <v>4</v>
      </c>
      <c r="E1485" s="3" t="s">
        <v>1855</v>
      </c>
      <c r="F1485" s="3">
        <v>24.1</v>
      </c>
      <c r="G1485" s="20">
        <f t="shared" si="64"/>
        <v>14.942</v>
      </c>
      <c r="H1485" s="20">
        <f t="shared" si="65"/>
        <v>59.768000000000001</v>
      </c>
      <c r="J1485" s="43" t="s">
        <v>1869</v>
      </c>
    </row>
    <row r="1486" spans="1:10" x14ac:dyDescent="0.25">
      <c r="A1486" s="46" t="s">
        <v>476</v>
      </c>
      <c r="B1486" s="3" t="s">
        <v>477</v>
      </c>
      <c r="C1486" s="3" t="s">
        <v>46</v>
      </c>
      <c r="D1486" s="3">
        <v>2</v>
      </c>
      <c r="E1486" s="3" t="s">
        <v>1855</v>
      </c>
      <c r="F1486" s="3">
        <v>134.5</v>
      </c>
      <c r="G1486" s="20">
        <f t="shared" ref="G1486:G1549" si="66">F1486-(F1486*38%)</f>
        <v>83.39</v>
      </c>
      <c r="H1486" s="20">
        <f t="shared" si="65"/>
        <v>166.78</v>
      </c>
      <c r="J1486" s="43" t="s">
        <v>2039</v>
      </c>
    </row>
    <row r="1487" spans="1:10" x14ac:dyDescent="0.25">
      <c r="A1487" s="46" t="s">
        <v>1563</v>
      </c>
      <c r="B1487" s="3" t="s">
        <v>1564</v>
      </c>
      <c r="C1487" s="3" t="s">
        <v>46</v>
      </c>
      <c r="D1487" s="3">
        <v>2</v>
      </c>
      <c r="E1487" s="3" t="s">
        <v>1855</v>
      </c>
      <c r="F1487" s="3">
        <v>61.9</v>
      </c>
      <c r="G1487" s="20">
        <f t="shared" si="66"/>
        <v>38.378</v>
      </c>
      <c r="H1487" s="20">
        <f t="shared" si="65"/>
        <v>76.756</v>
      </c>
      <c r="J1487" s="43" t="s">
        <v>2360</v>
      </c>
    </row>
    <row r="1488" spans="1:10" x14ac:dyDescent="0.25">
      <c r="A1488" s="46" t="s">
        <v>1565</v>
      </c>
      <c r="B1488" s="3" t="s">
        <v>1566</v>
      </c>
      <c r="C1488" s="3" t="s">
        <v>46</v>
      </c>
      <c r="D1488" s="3">
        <v>2</v>
      </c>
      <c r="E1488" s="3" t="s">
        <v>1855</v>
      </c>
      <c r="F1488" s="3">
        <v>102</v>
      </c>
      <c r="G1488" s="20">
        <f t="shared" si="66"/>
        <v>63.24</v>
      </c>
      <c r="H1488" s="20">
        <f t="shared" si="65"/>
        <v>126.48</v>
      </c>
      <c r="J1488" s="43" t="s">
        <v>2361</v>
      </c>
    </row>
    <row r="1489" spans="1:10" x14ac:dyDescent="0.25">
      <c r="A1489" s="46" t="s">
        <v>1567</v>
      </c>
      <c r="B1489" s="3" t="s">
        <v>1568</v>
      </c>
      <c r="C1489" s="3" t="s">
        <v>46</v>
      </c>
      <c r="D1489" s="3">
        <v>2</v>
      </c>
      <c r="E1489" s="3" t="s">
        <v>1855</v>
      </c>
      <c r="F1489" s="3">
        <v>73.5</v>
      </c>
      <c r="G1489" s="20">
        <f t="shared" si="66"/>
        <v>45.57</v>
      </c>
      <c r="H1489" s="20">
        <f t="shared" si="65"/>
        <v>91.14</v>
      </c>
      <c r="J1489" s="43" t="s">
        <v>2362</v>
      </c>
    </row>
    <row r="1490" spans="1:10" x14ac:dyDescent="0.25">
      <c r="A1490" s="46" t="s">
        <v>1569</v>
      </c>
      <c r="B1490" s="3" t="s">
        <v>1570</v>
      </c>
      <c r="C1490" s="3" t="s">
        <v>46</v>
      </c>
      <c r="D1490" s="3">
        <v>2</v>
      </c>
      <c r="E1490" s="3" t="s">
        <v>1855</v>
      </c>
      <c r="F1490" s="3">
        <v>20.5</v>
      </c>
      <c r="G1490" s="20">
        <f t="shared" si="66"/>
        <v>12.71</v>
      </c>
      <c r="H1490" s="20">
        <f t="shared" si="65"/>
        <v>25.42</v>
      </c>
      <c r="J1490" s="43" t="s">
        <v>2363</v>
      </c>
    </row>
    <row r="1491" spans="1:10" x14ac:dyDescent="0.25">
      <c r="A1491" s="46" t="s">
        <v>1803</v>
      </c>
      <c r="B1491" s="3" t="s">
        <v>1805</v>
      </c>
      <c r="C1491" s="3" t="s">
        <v>46</v>
      </c>
      <c r="D1491" s="3">
        <v>2</v>
      </c>
      <c r="E1491" s="3" t="s">
        <v>1856</v>
      </c>
      <c r="F1491" s="3">
        <v>639</v>
      </c>
      <c r="G1491" s="20">
        <f t="shared" si="66"/>
        <v>396.18</v>
      </c>
      <c r="H1491" s="20">
        <f t="shared" si="65"/>
        <v>792.36</v>
      </c>
      <c r="J1491" s="43" t="s">
        <v>1939</v>
      </c>
    </row>
    <row r="1492" spans="1:10" x14ac:dyDescent="0.25">
      <c r="A1492" s="46" t="s">
        <v>1804</v>
      </c>
      <c r="B1492" s="3" t="s">
        <v>1806</v>
      </c>
      <c r="C1492" s="3" t="s">
        <v>46</v>
      </c>
      <c r="D1492" s="3">
        <v>2</v>
      </c>
      <c r="E1492" s="3" t="s">
        <v>1855</v>
      </c>
      <c r="F1492" s="3">
        <v>123</v>
      </c>
      <c r="G1492" s="20">
        <f t="shared" si="66"/>
        <v>76.259999999999991</v>
      </c>
      <c r="H1492" s="20">
        <f t="shared" si="65"/>
        <v>152.51999999999998</v>
      </c>
      <c r="J1492" s="43" t="s">
        <v>1940</v>
      </c>
    </row>
    <row r="1493" spans="1:10" s="5" customFormat="1" x14ac:dyDescent="0.25">
      <c r="A1493" s="51"/>
      <c r="B1493" s="6" t="s">
        <v>1571</v>
      </c>
      <c r="C1493" s="4"/>
      <c r="D1493" s="29"/>
      <c r="E1493" s="4"/>
      <c r="F1493" s="4"/>
      <c r="G1493" s="4"/>
      <c r="H1493" s="4"/>
      <c r="J1493" s="43"/>
    </row>
    <row r="1494" spans="1:10" x14ac:dyDescent="0.25">
      <c r="A1494" s="46" t="s">
        <v>418</v>
      </c>
      <c r="B1494" s="3" t="s">
        <v>419</v>
      </c>
      <c r="C1494" s="3" t="s">
        <v>47</v>
      </c>
      <c r="D1494" s="3">
        <v>2</v>
      </c>
      <c r="E1494" s="3" t="s">
        <v>1855</v>
      </c>
      <c r="F1494" s="3">
        <v>16</v>
      </c>
      <c r="G1494" s="20">
        <f t="shared" si="66"/>
        <v>9.92</v>
      </c>
      <c r="H1494" s="20">
        <f t="shared" ref="H1494:H1517" si="67">G1494*D1494</f>
        <v>19.84</v>
      </c>
      <c r="J1494" s="43" t="s">
        <v>2024</v>
      </c>
    </row>
    <row r="1495" spans="1:10" x14ac:dyDescent="0.25">
      <c r="A1495" s="46" t="s">
        <v>16</v>
      </c>
      <c r="B1495" s="3" t="s">
        <v>17</v>
      </c>
      <c r="C1495" s="3" t="s">
        <v>46</v>
      </c>
      <c r="D1495" s="3">
        <v>2</v>
      </c>
      <c r="E1495" s="3" t="s">
        <v>1855</v>
      </c>
      <c r="F1495" s="3">
        <v>24.1</v>
      </c>
      <c r="G1495" s="20">
        <f t="shared" si="66"/>
        <v>14.942</v>
      </c>
      <c r="H1495" s="20">
        <f t="shared" si="67"/>
        <v>29.884</v>
      </c>
      <c r="J1495" s="43" t="s">
        <v>1869</v>
      </c>
    </row>
    <row r="1496" spans="1:10" x14ac:dyDescent="0.25">
      <c r="A1496" s="46" t="s">
        <v>1572</v>
      </c>
      <c r="B1496" s="3" t="s">
        <v>1573</v>
      </c>
      <c r="C1496" s="3" t="s">
        <v>46</v>
      </c>
      <c r="D1496" s="3">
        <v>2</v>
      </c>
      <c r="E1496" s="3" t="s">
        <v>1855</v>
      </c>
      <c r="F1496" s="3">
        <v>44.2</v>
      </c>
      <c r="G1496" s="20">
        <f t="shared" si="66"/>
        <v>27.404</v>
      </c>
      <c r="H1496" s="20">
        <f t="shared" si="67"/>
        <v>54.808</v>
      </c>
      <c r="J1496" s="43" t="s">
        <v>2364</v>
      </c>
    </row>
    <row r="1497" spans="1:10" x14ac:dyDescent="0.25">
      <c r="A1497" s="46" t="s">
        <v>30</v>
      </c>
      <c r="B1497" s="3" t="s">
        <v>31</v>
      </c>
      <c r="C1497" s="3" t="s">
        <v>46</v>
      </c>
      <c r="D1497" s="3">
        <v>4</v>
      </c>
      <c r="E1497" s="3" t="s">
        <v>1855</v>
      </c>
      <c r="F1497" s="3">
        <v>24.3</v>
      </c>
      <c r="G1497" s="20">
        <f t="shared" si="66"/>
        <v>15.066000000000001</v>
      </c>
      <c r="H1497" s="20">
        <f t="shared" si="67"/>
        <v>60.264000000000003</v>
      </c>
      <c r="J1497" s="43" t="s">
        <v>1874</v>
      </c>
    </row>
    <row r="1498" spans="1:10" x14ac:dyDescent="0.25">
      <c r="A1498" s="46" t="s">
        <v>1574</v>
      </c>
      <c r="B1498" s="3" t="s">
        <v>1575</v>
      </c>
      <c r="C1498" s="3" t="s">
        <v>47</v>
      </c>
      <c r="D1498" s="3">
        <v>4</v>
      </c>
      <c r="E1498" s="3" t="s">
        <v>1855</v>
      </c>
      <c r="F1498" s="3">
        <v>33.700000000000003</v>
      </c>
      <c r="G1498" s="20">
        <f t="shared" si="66"/>
        <v>20.894000000000002</v>
      </c>
      <c r="H1498" s="20">
        <f t="shared" si="67"/>
        <v>83.576000000000008</v>
      </c>
      <c r="J1498" s="43" t="s">
        <v>2365</v>
      </c>
    </row>
    <row r="1499" spans="1:10" x14ac:dyDescent="0.25">
      <c r="A1499" s="46" t="s">
        <v>105</v>
      </c>
      <c r="B1499" s="3" t="s">
        <v>106</v>
      </c>
      <c r="C1499" s="3" t="s">
        <v>46</v>
      </c>
      <c r="D1499" s="3">
        <v>2</v>
      </c>
      <c r="E1499" s="3" t="s">
        <v>1855</v>
      </c>
      <c r="F1499" s="3">
        <v>43.1</v>
      </c>
      <c r="G1499" s="20">
        <f t="shared" si="66"/>
        <v>26.722000000000001</v>
      </c>
      <c r="H1499" s="20">
        <f t="shared" si="67"/>
        <v>53.444000000000003</v>
      </c>
      <c r="J1499" s="43" t="s">
        <v>1901</v>
      </c>
    </row>
    <row r="1500" spans="1:10" x14ac:dyDescent="0.25">
      <c r="A1500" s="46" t="s">
        <v>1257</v>
      </c>
      <c r="B1500" s="3" t="s">
        <v>1258</v>
      </c>
      <c r="C1500" s="3" t="s">
        <v>47</v>
      </c>
      <c r="D1500" s="3">
        <v>2</v>
      </c>
      <c r="E1500" s="3" t="s">
        <v>1855</v>
      </c>
      <c r="F1500" s="3">
        <v>104.5</v>
      </c>
      <c r="G1500" s="20">
        <f t="shared" si="66"/>
        <v>64.789999999999992</v>
      </c>
      <c r="H1500" s="20">
        <f t="shared" si="67"/>
        <v>129.57999999999998</v>
      </c>
      <c r="J1500" s="43" t="s">
        <v>1258</v>
      </c>
    </row>
    <row r="1501" spans="1:10" x14ac:dyDescent="0.25">
      <c r="A1501" s="46" t="s">
        <v>274</v>
      </c>
      <c r="B1501" s="3" t="s">
        <v>275</v>
      </c>
      <c r="C1501" s="3" t="s">
        <v>46</v>
      </c>
      <c r="D1501" s="3">
        <v>4</v>
      </c>
      <c r="E1501" s="3" t="s">
        <v>1855</v>
      </c>
      <c r="F1501" s="3">
        <v>44.5</v>
      </c>
      <c r="G1501" s="20">
        <f t="shared" si="66"/>
        <v>27.59</v>
      </c>
      <c r="H1501" s="20">
        <f t="shared" si="67"/>
        <v>110.36</v>
      </c>
      <c r="J1501" s="43" t="s">
        <v>1976</v>
      </c>
    </row>
    <row r="1502" spans="1:10" x14ac:dyDescent="0.25">
      <c r="A1502" s="46" t="s">
        <v>1576</v>
      </c>
      <c r="B1502" s="3" t="s">
        <v>1577</v>
      </c>
      <c r="C1502" s="3" t="s">
        <v>46</v>
      </c>
      <c r="D1502" s="3">
        <v>2</v>
      </c>
      <c r="E1502" s="3" t="s">
        <v>1855</v>
      </c>
      <c r="F1502" s="3">
        <v>115.5</v>
      </c>
      <c r="G1502" s="20">
        <f t="shared" si="66"/>
        <v>71.61</v>
      </c>
      <c r="H1502" s="20">
        <f t="shared" si="67"/>
        <v>143.22</v>
      </c>
      <c r="J1502" s="43" t="s">
        <v>2366</v>
      </c>
    </row>
    <row r="1503" spans="1:10" x14ac:dyDescent="0.25">
      <c r="A1503" s="46" t="s">
        <v>1578</v>
      </c>
      <c r="B1503" s="3" t="s">
        <v>1579</v>
      </c>
      <c r="C1503" s="3" t="s">
        <v>46</v>
      </c>
      <c r="D1503" s="3">
        <v>2</v>
      </c>
      <c r="E1503" s="3" t="s">
        <v>1855</v>
      </c>
      <c r="F1503" s="3">
        <v>115.5</v>
      </c>
      <c r="G1503" s="20">
        <f t="shared" si="66"/>
        <v>71.61</v>
      </c>
      <c r="H1503" s="20">
        <f t="shared" si="67"/>
        <v>143.22</v>
      </c>
      <c r="J1503" s="43" t="s">
        <v>2367</v>
      </c>
    </row>
    <row r="1504" spans="1:10" x14ac:dyDescent="0.25">
      <c r="A1504" s="46" t="s">
        <v>1580</v>
      </c>
      <c r="B1504" s="3" t="s">
        <v>1581</v>
      </c>
      <c r="C1504" s="3" t="s">
        <v>46</v>
      </c>
      <c r="D1504" s="3">
        <v>2</v>
      </c>
      <c r="E1504" s="3" t="s">
        <v>1855</v>
      </c>
      <c r="F1504" s="3">
        <v>115.5</v>
      </c>
      <c r="G1504" s="20">
        <f t="shared" si="66"/>
        <v>71.61</v>
      </c>
      <c r="H1504" s="20">
        <f t="shared" si="67"/>
        <v>143.22</v>
      </c>
      <c r="J1504" s="43" t="s">
        <v>2368</v>
      </c>
    </row>
    <row r="1505" spans="1:10" x14ac:dyDescent="0.25">
      <c r="A1505" s="46" t="s">
        <v>1582</v>
      </c>
      <c r="B1505" s="3" t="s">
        <v>1583</v>
      </c>
      <c r="C1505" s="3" t="s">
        <v>46</v>
      </c>
      <c r="D1505" s="3">
        <v>2</v>
      </c>
      <c r="E1505" s="3" t="s">
        <v>1855</v>
      </c>
      <c r="F1505" s="3">
        <v>115.5</v>
      </c>
      <c r="G1505" s="20">
        <f t="shared" si="66"/>
        <v>71.61</v>
      </c>
      <c r="H1505" s="20">
        <f t="shared" si="67"/>
        <v>143.22</v>
      </c>
      <c r="J1505" s="43" t="s">
        <v>2369</v>
      </c>
    </row>
    <row r="1506" spans="1:10" x14ac:dyDescent="0.25">
      <c r="A1506" s="46" t="s">
        <v>1584</v>
      </c>
      <c r="B1506" s="3" t="s">
        <v>1585</v>
      </c>
      <c r="C1506" s="3" t="s">
        <v>46</v>
      </c>
      <c r="D1506" s="3">
        <v>2</v>
      </c>
      <c r="E1506" s="3" t="s">
        <v>1855</v>
      </c>
      <c r="F1506" s="3">
        <v>115.5</v>
      </c>
      <c r="G1506" s="20">
        <f t="shared" si="66"/>
        <v>71.61</v>
      </c>
      <c r="H1506" s="20">
        <f t="shared" si="67"/>
        <v>143.22</v>
      </c>
      <c r="J1506" s="43" t="s">
        <v>2370</v>
      </c>
    </row>
    <row r="1507" spans="1:10" x14ac:dyDescent="0.25">
      <c r="A1507" s="46" t="s">
        <v>1586</v>
      </c>
      <c r="B1507" s="3" t="s">
        <v>1587</v>
      </c>
      <c r="C1507" s="3" t="s">
        <v>46</v>
      </c>
      <c r="D1507" s="3">
        <v>2</v>
      </c>
      <c r="E1507" s="3" t="s">
        <v>1855</v>
      </c>
      <c r="F1507" s="3">
        <v>115.5</v>
      </c>
      <c r="G1507" s="20">
        <f t="shared" si="66"/>
        <v>71.61</v>
      </c>
      <c r="H1507" s="20">
        <f t="shared" si="67"/>
        <v>143.22</v>
      </c>
      <c r="J1507" s="43" t="s">
        <v>2371</v>
      </c>
    </row>
    <row r="1508" spans="1:10" x14ac:dyDescent="0.25">
      <c r="A1508" s="46" t="s">
        <v>1588</v>
      </c>
      <c r="B1508" s="3" t="s">
        <v>1589</v>
      </c>
      <c r="C1508" s="3" t="s">
        <v>46</v>
      </c>
      <c r="D1508" s="3">
        <v>2</v>
      </c>
      <c r="E1508" s="3" t="s">
        <v>1855</v>
      </c>
      <c r="F1508" s="3">
        <v>406</v>
      </c>
      <c r="G1508" s="20">
        <f t="shared" si="66"/>
        <v>251.72</v>
      </c>
      <c r="H1508" s="20">
        <f t="shared" si="67"/>
        <v>503.44</v>
      </c>
      <c r="J1508" s="43" t="s">
        <v>2372</v>
      </c>
    </row>
    <row r="1509" spans="1:10" x14ac:dyDescent="0.25">
      <c r="A1509" s="46" t="s">
        <v>578</v>
      </c>
      <c r="B1509" s="3" t="s">
        <v>1590</v>
      </c>
      <c r="C1509" s="3" t="s">
        <v>46</v>
      </c>
      <c r="D1509" s="3">
        <v>2</v>
      </c>
      <c r="E1509" s="3" t="s">
        <v>1855</v>
      </c>
      <c r="F1509" s="3">
        <v>25.6</v>
      </c>
      <c r="G1509" s="20">
        <f t="shared" si="66"/>
        <v>15.872</v>
      </c>
      <c r="H1509" s="20">
        <f t="shared" si="67"/>
        <v>31.744</v>
      </c>
      <c r="J1509" s="43" t="s">
        <v>2069</v>
      </c>
    </row>
    <row r="1510" spans="1:10" x14ac:dyDescent="0.25">
      <c r="A1510" s="46" t="s">
        <v>576</v>
      </c>
      <c r="B1510" s="3" t="s">
        <v>1591</v>
      </c>
      <c r="C1510" s="3" t="s">
        <v>46</v>
      </c>
      <c r="D1510" s="3">
        <v>2</v>
      </c>
      <c r="E1510" s="3" t="s">
        <v>1855</v>
      </c>
      <c r="F1510" s="3">
        <v>25.6</v>
      </c>
      <c r="G1510" s="20">
        <f t="shared" si="66"/>
        <v>15.872</v>
      </c>
      <c r="H1510" s="20">
        <f t="shared" si="67"/>
        <v>31.744</v>
      </c>
      <c r="J1510" s="43" t="s">
        <v>2068</v>
      </c>
    </row>
    <row r="1511" spans="1:10" x14ac:dyDescent="0.25">
      <c r="A1511" s="46" t="s">
        <v>1592</v>
      </c>
      <c r="B1511" s="3" t="s">
        <v>1593</v>
      </c>
      <c r="C1511" s="3" t="s">
        <v>46</v>
      </c>
      <c r="D1511" s="3">
        <v>2</v>
      </c>
      <c r="E1511" s="3" t="s">
        <v>1855</v>
      </c>
      <c r="F1511" s="3">
        <v>49.6</v>
      </c>
      <c r="G1511" s="20">
        <f t="shared" si="66"/>
        <v>30.751999999999999</v>
      </c>
      <c r="H1511" s="20">
        <f t="shared" si="67"/>
        <v>61.503999999999998</v>
      </c>
      <c r="J1511" s="43" t="s">
        <v>1593</v>
      </c>
    </row>
    <row r="1512" spans="1:10" x14ac:dyDescent="0.25">
      <c r="A1512" s="46" t="s">
        <v>1594</v>
      </c>
      <c r="B1512" s="3" t="s">
        <v>1595</v>
      </c>
      <c r="C1512" s="3" t="s">
        <v>46</v>
      </c>
      <c r="D1512" s="3">
        <v>2</v>
      </c>
      <c r="E1512" s="3" t="s">
        <v>1855</v>
      </c>
      <c r="F1512" s="3">
        <v>54.2</v>
      </c>
      <c r="G1512" s="20">
        <f t="shared" si="66"/>
        <v>33.603999999999999</v>
      </c>
      <c r="H1512" s="20">
        <f t="shared" si="67"/>
        <v>67.207999999999998</v>
      </c>
      <c r="J1512" s="43" t="s">
        <v>2373</v>
      </c>
    </row>
    <row r="1513" spans="1:10" x14ac:dyDescent="0.25">
      <c r="A1513" s="46" t="s">
        <v>1596</v>
      </c>
      <c r="B1513" s="3" t="s">
        <v>1597</v>
      </c>
      <c r="C1513" s="3" t="s">
        <v>46</v>
      </c>
      <c r="D1513" s="3">
        <v>2</v>
      </c>
      <c r="E1513" s="3" t="s">
        <v>1855</v>
      </c>
      <c r="F1513" s="3">
        <v>97.7</v>
      </c>
      <c r="G1513" s="20">
        <f t="shared" si="66"/>
        <v>60.573999999999998</v>
      </c>
      <c r="H1513" s="20">
        <f t="shared" si="67"/>
        <v>121.148</v>
      </c>
      <c r="J1513" s="43" t="s">
        <v>2374</v>
      </c>
    </row>
    <row r="1514" spans="1:10" x14ac:dyDescent="0.25">
      <c r="A1514" s="46" t="s">
        <v>1598</v>
      </c>
      <c r="B1514" s="3" t="s">
        <v>1599</v>
      </c>
      <c r="C1514" s="3" t="s">
        <v>47</v>
      </c>
      <c r="D1514" s="3">
        <v>2</v>
      </c>
      <c r="E1514" s="3" t="s">
        <v>1855</v>
      </c>
      <c r="F1514" s="3">
        <v>68.3</v>
      </c>
      <c r="G1514" s="20">
        <f t="shared" si="66"/>
        <v>42.345999999999997</v>
      </c>
      <c r="H1514" s="20">
        <f t="shared" si="67"/>
        <v>84.691999999999993</v>
      </c>
      <c r="J1514" s="43" t="s">
        <v>2375</v>
      </c>
    </row>
    <row r="1515" spans="1:10" x14ac:dyDescent="0.25">
      <c r="A1515" s="46" t="s">
        <v>1600</v>
      </c>
      <c r="B1515" s="3" t="s">
        <v>1601</v>
      </c>
      <c r="C1515" s="3" t="s">
        <v>46</v>
      </c>
      <c r="D1515" s="3">
        <v>2</v>
      </c>
      <c r="E1515" s="3" t="s">
        <v>1855</v>
      </c>
      <c r="F1515" s="3">
        <v>166</v>
      </c>
      <c r="G1515" s="20">
        <f t="shared" si="66"/>
        <v>102.92</v>
      </c>
      <c r="H1515" s="20">
        <f t="shared" si="67"/>
        <v>205.84</v>
      </c>
      <c r="J1515" s="43" t="s">
        <v>2376</v>
      </c>
    </row>
    <row r="1516" spans="1:10" x14ac:dyDescent="0.25">
      <c r="A1516" s="46" t="s">
        <v>1791</v>
      </c>
      <c r="B1516" s="3" t="s">
        <v>1792</v>
      </c>
      <c r="C1516" s="3" t="s">
        <v>46</v>
      </c>
      <c r="D1516" s="3">
        <v>2</v>
      </c>
      <c r="E1516" s="3" t="s">
        <v>1856</v>
      </c>
      <c r="F1516" s="3">
        <v>296.5</v>
      </c>
      <c r="G1516" s="20">
        <f t="shared" si="66"/>
        <v>183.82999999999998</v>
      </c>
      <c r="H1516" s="20">
        <f t="shared" si="67"/>
        <v>367.65999999999997</v>
      </c>
      <c r="J1516" s="43" t="s">
        <v>1880</v>
      </c>
    </row>
    <row r="1517" spans="1:10" x14ac:dyDescent="0.25">
      <c r="A1517" s="46" t="s">
        <v>1793</v>
      </c>
      <c r="B1517" s="3" t="s">
        <v>1794</v>
      </c>
      <c r="C1517" s="3" t="s">
        <v>46</v>
      </c>
      <c r="D1517" s="3">
        <v>2</v>
      </c>
      <c r="E1517" s="3" t="s">
        <v>1855</v>
      </c>
      <c r="F1517" s="3">
        <v>96.6</v>
      </c>
      <c r="G1517" s="20">
        <f t="shared" si="66"/>
        <v>59.891999999999996</v>
      </c>
      <c r="H1517" s="20">
        <f t="shared" si="67"/>
        <v>119.78399999999999</v>
      </c>
      <c r="J1517" s="43" t="s">
        <v>1881</v>
      </c>
    </row>
    <row r="1518" spans="1:10" s="5" customFormat="1" x14ac:dyDescent="0.25">
      <c r="A1518" s="51"/>
      <c r="B1518" s="6" t="s">
        <v>1602</v>
      </c>
      <c r="C1518" s="4"/>
      <c r="D1518" s="29"/>
      <c r="E1518" s="4"/>
      <c r="F1518" s="4"/>
      <c r="G1518" s="4"/>
      <c r="H1518" s="19"/>
      <c r="J1518" s="43"/>
    </row>
    <row r="1519" spans="1:10" x14ac:dyDescent="0.25">
      <c r="A1519" s="46" t="s">
        <v>1603</v>
      </c>
      <c r="B1519" s="3" t="s">
        <v>1604</v>
      </c>
      <c r="C1519" s="3" t="s">
        <v>46</v>
      </c>
      <c r="D1519" s="3">
        <v>2</v>
      </c>
      <c r="E1519" s="3" t="s">
        <v>1856</v>
      </c>
      <c r="F1519" s="3">
        <v>57.2</v>
      </c>
      <c r="G1519" s="20">
        <f t="shared" si="66"/>
        <v>35.463999999999999</v>
      </c>
      <c r="H1519" s="20">
        <f t="shared" ref="H1519:H1555" si="68">G1519*D1519</f>
        <v>70.927999999999997</v>
      </c>
      <c r="J1519" s="43" t="s">
        <v>2377</v>
      </c>
    </row>
    <row r="1520" spans="1:10" x14ac:dyDescent="0.25">
      <c r="A1520" s="46" t="s">
        <v>1605</v>
      </c>
      <c r="B1520" s="3" t="s">
        <v>1606</v>
      </c>
      <c r="C1520" s="3" t="s">
        <v>46</v>
      </c>
      <c r="D1520" s="3">
        <v>2</v>
      </c>
      <c r="E1520" s="3" t="s">
        <v>1855</v>
      </c>
      <c r="F1520" s="3">
        <v>72.099999999999994</v>
      </c>
      <c r="G1520" s="20">
        <f t="shared" si="66"/>
        <v>44.701999999999998</v>
      </c>
      <c r="H1520" s="20">
        <f t="shared" si="68"/>
        <v>89.403999999999996</v>
      </c>
      <c r="J1520" s="43" t="s">
        <v>1606</v>
      </c>
    </row>
    <row r="1521" spans="1:10" x14ac:dyDescent="0.25">
      <c r="A1521" s="46" t="s">
        <v>1607</v>
      </c>
      <c r="B1521" s="3" t="s">
        <v>1608</v>
      </c>
      <c r="C1521" s="3" t="s">
        <v>46</v>
      </c>
      <c r="D1521" s="3">
        <v>2</v>
      </c>
      <c r="E1521" s="3" t="s">
        <v>1855</v>
      </c>
      <c r="F1521" s="3">
        <v>70.3</v>
      </c>
      <c r="G1521" s="20">
        <f t="shared" si="66"/>
        <v>43.585999999999999</v>
      </c>
      <c r="H1521" s="20">
        <f t="shared" si="68"/>
        <v>87.171999999999997</v>
      </c>
      <c r="J1521" s="43" t="s">
        <v>1608</v>
      </c>
    </row>
    <row r="1522" spans="1:10" x14ac:dyDescent="0.25">
      <c r="A1522" s="46" t="s">
        <v>1609</v>
      </c>
      <c r="B1522" s="3" t="s">
        <v>1610</v>
      </c>
      <c r="C1522" s="3" t="s">
        <v>46</v>
      </c>
      <c r="D1522" s="3">
        <v>2</v>
      </c>
      <c r="E1522" s="3" t="s">
        <v>1855</v>
      </c>
      <c r="F1522" s="3">
        <v>24.3</v>
      </c>
      <c r="G1522" s="20">
        <f t="shared" si="66"/>
        <v>15.066000000000001</v>
      </c>
      <c r="H1522" s="20">
        <f t="shared" si="68"/>
        <v>30.132000000000001</v>
      </c>
      <c r="J1522" s="43" t="s">
        <v>2378</v>
      </c>
    </row>
    <row r="1523" spans="1:10" x14ac:dyDescent="0.25">
      <c r="A1523" s="46" t="s">
        <v>1611</v>
      </c>
      <c r="B1523" s="3" t="s">
        <v>1612</v>
      </c>
      <c r="C1523" s="3" t="s">
        <v>46</v>
      </c>
      <c r="D1523" s="3">
        <v>2</v>
      </c>
      <c r="E1523" s="3" t="s">
        <v>1855</v>
      </c>
      <c r="F1523" s="3">
        <v>54.1</v>
      </c>
      <c r="G1523" s="20">
        <f t="shared" si="66"/>
        <v>33.542000000000002</v>
      </c>
      <c r="H1523" s="20">
        <f t="shared" si="68"/>
        <v>67.084000000000003</v>
      </c>
      <c r="J1523" s="43" t="s">
        <v>1612</v>
      </c>
    </row>
    <row r="1524" spans="1:10" x14ac:dyDescent="0.25">
      <c r="A1524" s="46" t="s">
        <v>1613</v>
      </c>
      <c r="B1524" s="3" t="s">
        <v>1614</v>
      </c>
      <c r="C1524" s="3" t="s">
        <v>46</v>
      </c>
      <c r="D1524" s="3">
        <v>2</v>
      </c>
      <c r="E1524" s="3" t="s">
        <v>1855</v>
      </c>
      <c r="F1524" s="3">
        <v>54.1</v>
      </c>
      <c r="G1524" s="20">
        <f t="shared" si="66"/>
        <v>33.542000000000002</v>
      </c>
      <c r="H1524" s="20">
        <f t="shared" si="68"/>
        <v>67.084000000000003</v>
      </c>
      <c r="J1524" s="43" t="s">
        <v>2379</v>
      </c>
    </row>
    <row r="1525" spans="1:10" x14ac:dyDescent="0.25">
      <c r="A1525" s="46" t="s">
        <v>1605</v>
      </c>
      <c r="B1525" s="3" t="s">
        <v>1606</v>
      </c>
      <c r="C1525" s="3" t="s">
        <v>46</v>
      </c>
      <c r="D1525" s="3">
        <v>2</v>
      </c>
      <c r="E1525" s="3" t="s">
        <v>1855</v>
      </c>
      <c r="F1525" s="3">
        <v>72.099999999999994</v>
      </c>
      <c r="G1525" s="20">
        <f t="shared" si="66"/>
        <v>44.701999999999998</v>
      </c>
      <c r="H1525" s="20">
        <f t="shared" si="68"/>
        <v>89.403999999999996</v>
      </c>
      <c r="J1525" s="43" t="s">
        <v>1606</v>
      </c>
    </row>
    <row r="1526" spans="1:10" x14ac:dyDescent="0.25">
      <c r="A1526" s="46" t="s">
        <v>1615</v>
      </c>
      <c r="B1526" s="3" t="s">
        <v>1616</v>
      </c>
      <c r="C1526" s="3" t="s">
        <v>46</v>
      </c>
      <c r="D1526" s="3">
        <v>2</v>
      </c>
      <c r="E1526" s="3" t="s">
        <v>1855</v>
      </c>
      <c r="F1526" s="3">
        <v>54.1</v>
      </c>
      <c r="G1526" s="20">
        <f t="shared" si="66"/>
        <v>33.542000000000002</v>
      </c>
      <c r="H1526" s="20">
        <f t="shared" si="68"/>
        <v>67.084000000000003</v>
      </c>
      <c r="J1526" s="43" t="s">
        <v>2380</v>
      </c>
    </row>
    <row r="1527" spans="1:10" x14ac:dyDescent="0.25">
      <c r="A1527" s="46" t="s">
        <v>1617</v>
      </c>
      <c r="B1527" s="3" t="s">
        <v>1618</v>
      </c>
      <c r="C1527" s="3" t="s">
        <v>46</v>
      </c>
      <c r="D1527" s="3">
        <v>2</v>
      </c>
      <c r="E1527" s="3" t="s">
        <v>1855</v>
      </c>
      <c r="F1527" s="3">
        <v>96.6</v>
      </c>
      <c r="G1527" s="20">
        <f t="shared" si="66"/>
        <v>59.891999999999996</v>
      </c>
      <c r="H1527" s="20">
        <f t="shared" si="68"/>
        <v>119.78399999999999</v>
      </c>
      <c r="J1527" s="43" t="s">
        <v>2381</v>
      </c>
    </row>
    <row r="1528" spans="1:10" x14ac:dyDescent="0.25">
      <c r="A1528" s="46" t="s">
        <v>1619</v>
      </c>
      <c r="B1528" s="3" t="s">
        <v>1618</v>
      </c>
      <c r="C1528" s="3" t="s">
        <v>46</v>
      </c>
      <c r="D1528" s="3">
        <v>2</v>
      </c>
      <c r="E1528" s="3" t="s">
        <v>1855</v>
      </c>
      <c r="F1528" s="3">
        <v>97.5</v>
      </c>
      <c r="G1528" s="20">
        <f t="shared" si="66"/>
        <v>60.45</v>
      </c>
      <c r="H1528" s="20">
        <f t="shared" si="68"/>
        <v>120.9</v>
      </c>
      <c r="J1528" s="43" t="s">
        <v>2381</v>
      </c>
    </row>
    <row r="1529" spans="1:10" x14ac:dyDescent="0.25">
      <c r="A1529" s="46" t="s">
        <v>1620</v>
      </c>
      <c r="B1529" s="3" t="s">
        <v>1621</v>
      </c>
      <c r="C1529" s="3" t="s">
        <v>47</v>
      </c>
      <c r="D1529" s="3">
        <v>2</v>
      </c>
      <c r="E1529" s="3" t="s">
        <v>1855</v>
      </c>
      <c r="F1529" s="3">
        <v>16.7</v>
      </c>
      <c r="G1529" s="20">
        <f t="shared" si="66"/>
        <v>10.353999999999999</v>
      </c>
      <c r="H1529" s="20">
        <f t="shared" si="68"/>
        <v>20.707999999999998</v>
      </c>
      <c r="J1529" s="43" t="s">
        <v>1621</v>
      </c>
    </row>
    <row r="1530" spans="1:10" x14ac:dyDescent="0.25">
      <c r="A1530" s="46" t="s">
        <v>1622</v>
      </c>
      <c r="B1530" s="3" t="s">
        <v>1623</v>
      </c>
      <c r="C1530" s="3" t="s">
        <v>46</v>
      </c>
      <c r="D1530" s="3">
        <v>2</v>
      </c>
      <c r="E1530" s="3" t="s">
        <v>1855</v>
      </c>
      <c r="F1530" s="3">
        <v>215</v>
      </c>
      <c r="G1530" s="20">
        <f t="shared" si="66"/>
        <v>133.30000000000001</v>
      </c>
      <c r="H1530" s="20">
        <f t="shared" si="68"/>
        <v>266.60000000000002</v>
      </c>
      <c r="J1530" s="43" t="s">
        <v>1623</v>
      </c>
    </row>
    <row r="1531" spans="1:10" x14ac:dyDescent="0.25">
      <c r="A1531" s="46" t="s">
        <v>1624</v>
      </c>
      <c r="B1531" s="3" t="s">
        <v>1625</v>
      </c>
      <c r="C1531" s="3" t="s">
        <v>46</v>
      </c>
      <c r="D1531" s="3">
        <v>2</v>
      </c>
      <c r="E1531" s="3" t="s">
        <v>1855</v>
      </c>
      <c r="F1531" s="3">
        <v>240</v>
      </c>
      <c r="G1531" s="20">
        <f t="shared" si="66"/>
        <v>148.80000000000001</v>
      </c>
      <c r="H1531" s="20">
        <f t="shared" si="68"/>
        <v>297.60000000000002</v>
      </c>
      <c r="J1531" s="43" t="s">
        <v>2382</v>
      </c>
    </row>
    <row r="1532" spans="1:10" x14ac:dyDescent="0.25">
      <c r="A1532" s="46" t="s">
        <v>1626</v>
      </c>
      <c r="B1532" s="3" t="s">
        <v>1627</v>
      </c>
      <c r="C1532" s="3" t="s">
        <v>46</v>
      </c>
      <c r="D1532" s="3">
        <v>2</v>
      </c>
      <c r="E1532" s="3" t="s">
        <v>1855</v>
      </c>
      <c r="F1532" s="3">
        <v>241.5</v>
      </c>
      <c r="G1532" s="20">
        <f t="shared" si="66"/>
        <v>149.73000000000002</v>
      </c>
      <c r="H1532" s="20">
        <f t="shared" si="68"/>
        <v>299.46000000000004</v>
      </c>
      <c r="J1532" s="43" t="s">
        <v>2383</v>
      </c>
    </row>
    <row r="1533" spans="1:10" x14ac:dyDescent="0.25">
      <c r="A1533" s="46" t="s">
        <v>1628</v>
      </c>
      <c r="B1533" s="3" t="s">
        <v>1629</v>
      </c>
      <c r="C1533" s="3" t="s">
        <v>47</v>
      </c>
      <c r="D1533" s="3">
        <v>2</v>
      </c>
      <c r="E1533" s="3" t="s">
        <v>1855</v>
      </c>
      <c r="F1533" s="3">
        <v>21.7</v>
      </c>
      <c r="G1533" s="20">
        <f t="shared" si="66"/>
        <v>13.453999999999999</v>
      </c>
      <c r="H1533" s="20">
        <f t="shared" si="68"/>
        <v>26.907999999999998</v>
      </c>
      <c r="J1533" s="43" t="s">
        <v>1629</v>
      </c>
    </row>
    <row r="1534" spans="1:10" x14ac:dyDescent="0.25">
      <c r="A1534" s="46" t="s">
        <v>390</v>
      </c>
      <c r="B1534" s="3" t="s">
        <v>391</v>
      </c>
      <c r="C1534" s="3" t="s">
        <v>46</v>
      </c>
      <c r="D1534" s="3">
        <v>2</v>
      </c>
      <c r="E1534" s="3" t="s">
        <v>1855</v>
      </c>
      <c r="F1534" s="3">
        <v>21.7</v>
      </c>
      <c r="G1534" s="20">
        <f t="shared" si="66"/>
        <v>13.453999999999999</v>
      </c>
      <c r="H1534" s="20">
        <f t="shared" si="68"/>
        <v>26.907999999999998</v>
      </c>
      <c r="J1534" s="43" t="s">
        <v>391</v>
      </c>
    </row>
    <row r="1535" spans="1:10" x14ac:dyDescent="0.25">
      <c r="A1535" s="46" t="s">
        <v>807</v>
      </c>
      <c r="B1535" s="3" t="s">
        <v>808</v>
      </c>
      <c r="C1535" s="3" t="s">
        <v>47</v>
      </c>
      <c r="D1535" s="3">
        <v>2</v>
      </c>
      <c r="E1535" s="3" t="s">
        <v>1855</v>
      </c>
      <c r="F1535" s="3">
        <v>21.7</v>
      </c>
      <c r="G1535" s="20">
        <f t="shared" si="66"/>
        <v>13.453999999999999</v>
      </c>
      <c r="H1535" s="20">
        <f t="shared" si="68"/>
        <v>26.907999999999998</v>
      </c>
      <c r="J1535" s="43" t="s">
        <v>808</v>
      </c>
    </row>
    <row r="1536" spans="1:10" x14ac:dyDescent="0.25">
      <c r="A1536" s="46" t="s">
        <v>1630</v>
      </c>
      <c r="B1536" s="3" t="s">
        <v>1631</v>
      </c>
      <c r="C1536" s="3" t="s">
        <v>47</v>
      </c>
      <c r="D1536" s="3">
        <v>2</v>
      </c>
      <c r="E1536" s="3" t="s">
        <v>1855</v>
      </c>
      <c r="F1536" s="3">
        <v>43.2</v>
      </c>
      <c r="G1536" s="20">
        <f t="shared" si="66"/>
        <v>26.784000000000002</v>
      </c>
      <c r="H1536" s="20">
        <f t="shared" si="68"/>
        <v>53.568000000000005</v>
      </c>
      <c r="J1536" s="43" t="s">
        <v>1631</v>
      </c>
    </row>
    <row r="1537" spans="1:10" x14ac:dyDescent="0.25">
      <c r="A1537" s="46" t="s">
        <v>1632</v>
      </c>
      <c r="B1537" s="3" t="s">
        <v>1633</v>
      </c>
      <c r="C1537" s="3" t="s">
        <v>46</v>
      </c>
      <c r="D1537" s="3">
        <v>2</v>
      </c>
      <c r="E1537" s="3" t="s">
        <v>1855</v>
      </c>
      <c r="F1537" s="3">
        <v>13.1</v>
      </c>
      <c r="G1537" s="20">
        <f t="shared" si="66"/>
        <v>8.1219999999999999</v>
      </c>
      <c r="H1537" s="20">
        <f t="shared" si="68"/>
        <v>16.244</v>
      </c>
      <c r="J1537" s="43" t="s">
        <v>2384</v>
      </c>
    </row>
    <row r="1538" spans="1:10" x14ac:dyDescent="0.25">
      <c r="A1538" s="46" t="s">
        <v>1634</v>
      </c>
      <c r="B1538" s="3" t="s">
        <v>1635</v>
      </c>
      <c r="C1538" s="3" t="s">
        <v>46</v>
      </c>
      <c r="D1538" s="3">
        <v>2</v>
      </c>
      <c r="E1538" s="3" t="s">
        <v>1855</v>
      </c>
      <c r="F1538" s="3">
        <v>13.1</v>
      </c>
      <c r="G1538" s="20">
        <f t="shared" si="66"/>
        <v>8.1219999999999999</v>
      </c>
      <c r="H1538" s="20">
        <f t="shared" si="68"/>
        <v>16.244</v>
      </c>
      <c r="J1538" s="43" t="s">
        <v>2385</v>
      </c>
    </row>
    <row r="1539" spans="1:10" x14ac:dyDescent="0.25">
      <c r="A1539" s="46" t="s">
        <v>1636</v>
      </c>
      <c r="B1539" s="3" t="s">
        <v>1637</v>
      </c>
      <c r="C1539" s="3" t="s">
        <v>46</v>
      </c>
      <c r="D1539" s="3">
        <v>2</v>
      </c>
      <c r="E1539" s="3" t="s">
        <v>1855</v>
      </c>
      <c r="F1539" s="3">
        <v>13.1</v>
      </c>
      <c r="G1539" s="20">
        <f t="shared" si="66"/>
        <v>8.1219999999999999</v>
      </c>
      <c r="H1539" s="20">
        <f t="shared" si="68"/>
        <v>16.244</v>
      </c>
      <c r="J1539" s="43" t="s">
        <v>2386</v>
      </c>
    </row>
    <row r="1540" spans="1:10" x14ac:dyDescent="0.25">
      <c r="A1540" s="46" t="s">
        <v>1638</v>
      </c>
      <c r="B1540" s="3" t="s">
        <v>1639</v>
      </c>
      <c r="C1540" s="3" t="s">
        <v>46</v>
      </c>
      <c r="D1540" s="3">
        <v>2</v>
      </c>
      <c r="E1540" s="3" t="s">
        <v>1855</v>
      </c>
      <c r="F1540" s="3">
        <v>36.200000000000003</v>
      </c>
      <c r="G1540" s="20">
        <f t="shared" si="66"/>
        <v>22.444000000000003</v>
      </c>
      <c r="H1540" s="20">
        <f t="shared" si="68"/>
        <v>44.888000000000005</v>
      </c>
      <c r="J1540" s="43" t="s">
        <v>1639</v>
      </c>
    </row>
    <row r="1541" spans="1:10" x14ac:dyDescent="0.25">
      <c r="A1541" s="46" t="s">
        <v>1640</v>
      </c>
      <c r="B1541" s="3" t="s">
        <v>1641</v>
      </c>
      <c r="C1541" s="3" t="s">
        <v>47</v>
      </c>
      <c r="D1541" s="3">
        <v>2</v>
      </c>
      <c r="E1541" s="3" t="s">
        <v>1855</v>
      </c>
      <c r="F1541" s="3">
        <v>138.5</v>
      </c>
      <c r="G1541" s="20">
        <f t="shared" si="66"/>
        <v>85.87</v>
      </c>
      <c r="H1541" s="20">
        <f t="shared" si="68"/>
        <v>171.74</v>
      </c>
      <c r="J1541" s="43" t="s">
        <v>2387</v>
      </c>
    </row>
    <row r="1542" spans="1:10" x14ac:dyDescent="0.25">
      <c r="A1542" s="46" t="s">
        <v>1642</v>
      </c>
      <c r="B1542" s="3" t="s">
        <v>1643</v>
      </c>
      <c r="C1542" s="3" t="s">
        <v>47</v>
      </c>
      <c r="D1542" s="3">
        <v>2</v>
      </c>
      <c r="E1542" s="3" t="s">
        <v>1855</v>
      </c>
      <c r="F1542" s="3">
        <v>154</v>
      </c>
      <c r="G1542" s="20">
        <f t="shared" si="66"/>
        <v>95.47999999999999</v>
      </c>
      <c r="H1542" s="20">
        <f t="shared" si="68"/>
        <v>190.95999999999998</v>
      </c>
      <c r="J1542" s="43" t="s">
        <v>2388</v>
      </c>
    </row>
    <row r="1543" spans="1:10" x14ac:dyDescent="0.25">
      <c r="A1543" s="46" t="s">
        <v>1644</v>
      </c>
      <c r="B1543" s="3" t="s">
        <v>1645</v>
      </c>
      <c r="C1543" s="3" t="s">
        <v>47</v>
      </c>
      <c r="D1543" s="3">
        <v>2</v>
      </c>
      <c r="E1543" s="3" t="s">
        <v>1855</v>
      </c>
      <c r="F1543" s="3">
        <v>154</v>
      </c>
      <c r="G1543" s="20">
        <f t="shared" si="66"/>
        <v>95.47999999999999</v>
      </c>
      <c r="H1543" s="20">
        <f t="shared" si="68"/>
        <v>190.95999999999998</v>
      </c>
      <c r="J1543" s="43" t="s">
        <v>2389</v>
      </c>
    </row>
    <row r="1544" spans="1:10" x14ac:dyDescent="0.25">
      <c r="A1544" s="46" t="s">
        <v>1646</v>
      </c>
      <c r="B1544" s="3" t="s">
        <v>1647</v>
      </c>
      <c r="C1544" s="3" t="s">
        <v>46</v>
      </c>
      <c r="D1544" s="3">
        <v>2</v>
      </c>
      <c r="E1544" s="3" t="s">
        <v>1855</v>
      </c>
      <c r="F1544" s="3">
        <v>72</v>
      </c>
      <c r="G1544" s="20">
        <f t="shared" si="66"/>
        <v>44.64</v>
      </c>
      <c r="H1544" s="20">
        <f t="shared" si="68"/>
        <v>89.28</v>
      </c>
      <c r="J1544" s="43" t="s">
        <v>1647</v>
      </c>
    </row>
    <row r="1545" spans="1:10" x14ac:dyDescent="0.25">
      <c r="A1545" s="46" t="s">
        <v>1648</v>
      </c>
      <c r="B1545" s="3" t="s">
        <v>1649</v>
      </c>
      <c r="C1545" s="3" t="s">
        <v>46</v>
      </c>
      <c r="D1545" s="3">
        <v>2</v>
      </c>
      <c r="E1545" s="3" t="s">
        <v>1855</v>
      </c>
      <c r="F1545" s="3">
        <v>54.1</v>
      </c>
      <c r="G1545" s="20">
        <f t="shared" si="66"/>
        <v>33.542000000000002</v>
      </c>
      <c r="H1545" s="20">
        <f t="shared" si="68"/>
        <v>67.084000000000003</v>
      </c>
      <c r="J1545" s="43" t="s">
        <v>2390</v>
      </c>
    </row>
    <row r="1546" spans="1:10" x14ac:dyDescent="0.25">
      <c r="A1546" s="46" t="s">
        <v>1650</v>
      </c>
      <c r="B1546" s="3" t="s">
        <v>1651</v>
      </c>
      <c r="C1546" s="3" t="s">
        <v>46</v>
      </c>
      <c r="D1546" s="3">
        <v>2</v>
      </c>
      <c r="E1546" s="3" t="s">
        <v>1855</v>
      </c>
      <c r="F1546" s="3">
        <v>20.6</v>
      </c>
      <c r="G1546" s="20">
        <f t="shared" si="66"/>
        <v>12.772000000000002</v>
      </c>
      <c r="H1546" s="20">
        <f t="shared" si="68"/>
        <v>25.544000000000004</v>
      </c>
      <c r="J1546" s="43" t="s">
        <v>2391</v>
      </c>
    </row>
    <row r="1547" spans="1:10" x14ac:dyDescent="0.25">
      <c r="A1547" s="46" t="s">
        <v>1652</v>
      </c>
      <c r="B1547" s="3" t="s">
        <v>1653</v>
      </c>
      <c r="C1547" s="3" t="s">
        <v>46</v>
      </c>
      <c r="D1547" s="3">
        <v>2</v>
      </c>
      <c r="E1547" s="3" t="s">
        <v>1855</v>
      </c>
      <c r="F1547" s="3">
        <v>290</v>
      </c>
      <c r="G1547" s="20">
        <f t="shared" si="66"/>
        <v>179.8</v>
      </c>
      <c r="H1547" s="20">
        <f t="shared" si="68"/>
        <v>359.6</v>
      </c>
      <c r="J1547" s="43" t="s">
        <v>2392</v>
      </c>
    </row>
    <row r="1548" spans="1:10" x14ac:dyDescent="0.25">
      <c r="A1548" s="46" t="s">
        <v>57</v>
      </c>
      <c r="B1548" s="3" t="s">
        <v>58</v>
      </c>
      <c r="C1548" s="3" t="s">
        <v>47</v>
      </c>
      <c r="D1548" s="3">
        <v>2</v>
      </c>
      <c r="E1548" s="3" t="s">
        <v>1855</v>
      </c>
      <c r="F1548" s="3">
        <v>22.4</v>
      </c>
      <c r="G1548" s="20">
        <f t="shared" si="66"/>
        <v>13.888</v>
      </c>
      <c r="H1548" s="20">
        <f t="shared" si="68"/>
        <v>27.776</v>
      </c>
      <c r="J1548" s="43" t="s">
        <v>1886</v>
      </c>
    </row>
    <row r="1549" spans="1:10" x14ac:dyDescent="0.25">
      <c r="A1549" s="46" t="s">
        <v>1083</v>
      </c>
      <c r="B1549" s="3" t="s">
        <v>1084</v>
      </c>
      <c r="C1549" s="3" t="s">
        <v>47</v>
      </c>
      <c r="D1549" s="3">
        <v>2</v>
      </c>
      <c r="E1549" s="3" t="s">
        <v>1855</v>
      </c>
      <c r="F1549" s="3">
        <v>21.7</v>
      </c>
      <c r="G1549" s="20">
        <f t="shared" si="66"/>
        <v>13.453999999999999</v>
      </c>
      <c r="H1549" s="20">
        <f t="shared" si="68"/>
        <v>26.907999999999998</v>
      </c>
      <c r="J1549" s="43" t="s">
        <v>1084</v>
      </c>
    </row>
    <row r="1550" spans="1:10" x14ac:dyDescent="0.25">
      <c r="A1550" s="46" t="s">
        <v>1654</v>
      </c>
      <c r="B1550" s="3" t="s">
        <v>1655</v>
      </c>
      <c r="C1550" s="3" t="s">
        <v>46</v>
      </c>
      <c r="D1550" s="3">
        <v>2</v>
      </c>
      <c r="E1550" s="3" t="s">
        <v>1855</v>
      </c>
      <c r="F1550" s="3">
        <v>72</v>
      </c>
      <c r="G1550" s="20">
        <f t="shared" ref="G1550:G1613" si="69">F1550-(F1550*38%)</f>
        <v>44.64</v>
      </c>
      <c r="H1550" s="20">
        <f t="shared" si="68"/>
        <v>89.28</v>
      </c>
      <c r="J1550" s="43" t="s">
        <v>1655</v>
      </c>
    </row>
    <row r="1551" spans="1:10" x14ac:dyDescent="0.25">
      <c r="A1551" s="46" t="s">
        <v>1656</v>
      </c>
      <c r="B1551" s="3" t="s">
        <v>1657</v>
      </c>
      <c r="C1551" s="3" t="s">
        <v>46</v>
      </c>
      <c r="D1551" s="3">
        <v>2</v>
      </c>
      <c r="E1551" s="3" t="s">
        <v>1855</v>
      </c>
      <c r="F1551" s="3">
        <v>72</v>
      </c>
      <c r="G1551" s="20">
        <f t="shared" si="69"/>
        <v>44.64</v>
      </c>
      <c r="H1551" s="20">
        <f t="shared" si="68"/>
        <v>89.28</v>
      </c>
      <c r="J1551" s="43" t="s">
        <v>1657</v>
      </c>
    </row>
    <row r="1552" spans="1:10" x14ac:dyDescent="0.25">
      <c r="A1552" s="46" t="s">
        <v>1658</v>
      </c>
      <c r="B1552" s="3" t="s">
        <v>1659</v>
      </c>
      <c r="C1552" s="3" t="s">
        <v>46</v>
      </c>
      <c r="D1552" s="3">
        <v>2</v>
      </c>
      <c r="E1552" s="3" t="s">
        <v>1855</v>
      </c>
      <c r="F1552" s="3">
        <v>54.1</v>
      </c>
      <c r="G1552" s="20">
        <f t="shared" si="69"/>
        <v>33.542000000000002</v>
      </c>
      <c r="H1552" s="20">
        <f t="shared" si="68"/>
        <v>67.084000000000003</v>
      </c>
      <c r="J1552" s="43" t="s">
        <v>1659</v>
      </c>
    </row>
    <row r="1553" spans="1:10" x14ac:dyDescent="0.25">
      <c r="A1553" s="46" t="s">
        <v>1660</v>
      </c>
      <c r="B1553" s="3" t="s">
        <v>1661</v>
      </c>
      <c r="C1553" s="3" t="s">
        <v>46</v>
      </c>
      <c r="D1553" s="3">
        <v>2</v>
      </c>
      <c r="E1553" s="3" t="s">
        <v>1855</v>
      </c>
      <c r="F1553" s="3">
        <v>54.1</v>
      </c>
      <c r="G1553" s="20">
        <f t="shared" si="69"/>
        <v>33.542000000000002</v>
      </c>
      <c r="H1553" s="20">
        <f t="shared" si="68"/>
        <v>67.084000000000003</v>
      </c>
      <c r="J1553" s="43" t="s">
        <v>1661</v>
      </c>
    </row>
    <row r="1554" spans="1:10" ht="15.75" x14ac:dyDescent="0.25">
      <c r="A1554" s="47" t="s">
        <v>1815</v>
      </c>
      <c r="B1554" s="28" t="s">
        <v>1816</v>
      </c>
      <c r="C1554" s="3" t="s">
        <v>46</v>
      </c>
      <c r="D1554" s="3">
        <v>2</v>
      </c>
      <c r="E1554" s="3" t="s">
        <v>1856</v>
      </c>
      <c r="F1554" s="3">
        <v>747</v>
      </c>
      <c r="G1554" s="20">
        <f t="shared" si="69"/>
        <v>463.14</v>
      </c>
      <c r="H1554" s="20">
        <f t="shared" si="68"/>
        <v>926.28</v>
      </c>
      <c r="J1554" s="43" t="s">
        <v>2268</v>
      </c>
    </row>
    <row r="1555" spans="1:10" ht="15.75" x14ac:dyDescent="0.25">
      <c r="A1555" s="47" t="s">
        <v>1817</v>
      </c>
      <c r="B1555" s="28" t="s">
        <v>1818</v>
      </c>
      <c r="C1555" s="3" t="s">
        <v>46</v>
      </c>
      <c r="D1555" s="3">
        <v>2</v>
      </c>
      <c r="E1555" s="3" t="s">
        <v>1855</v>
      </c>
      <c r="F1555" s="3">
        <v>117.5</v>
      </c>
      <c r="G1555" s="20">
        <f t="shared" si="69"/>
        <v>72.849999999999994</v>
      </c>
      <c r="H1555" s="20">
        <f t="shared" si="68"/>
        <v>145.69999999999999</v>
      </c>
      <c r="J1555" s="43" t="s">
        <v>2269</v>
      </c>
    </row>
    <row r="1556" spans="1:10" s="5" customFormat="1" x14ac:dyDescent="0.25">
      <c r="A1556" s="51"/>
      <c r="B1556" s="6" t="s">
        <v>1735</v>
      </c>
      <c r="C1556" s="4"/>
      <c r="D1556" s="29"/>
      <c r="E1556" s="4"/>
      <c r="F1556" s="4"/>
      <c r="G1556" s="4"/>
      <c r="H1556" s="19"/>
      <c r="J1556" s="43"/>
    </row>
    <row r="1557" spans="1:10" x14ac:dyDescent="0.25">
      <c r="A1557" s="46" t="s">
        <v>1135</v>
      </c>
      <c r="B1557" s="3" t="s">
        <v>1136</v>
      </c>
      <c r="C1557" s="3" t="s">
        <v>1145</v>
      </c>
      <c r="D1557" s="3">
        <v>1</v>
      </c>
      <c r="E1557" s="3" t="s">
        <v>1855</v>
      </c>
      <c r="F1557" s="3">
        <v>22.3</v>
      </c>
      <c r="G1557" s="20">
        <f t="shared" si="69"/>
        <v>13.826000000000001</v>
      </c>
      <c r="H1557" s="20">
        <f t="shared" ref="H1557:H1566" si="70">G1557*D1557</f>
        <v>13.826000000000001</v>
      </c>
      <c r="J1557" s="43" t="s">
        <v>2224</v>
      </c>
    </row>
    <row r="1558" spans="1:10" x14ac:dyDescent="0.25">
      <c r="A1558" s="46" t="s">
        <v>1662</v>
      </c>
      <c r="B1558" s="3" t="s">
        <v>1663</v>
      </c>
      <c r="C1558" s="3" t="s">
        <v>46</v>
      </c>
      <c r="D1558" s="3">
        <v>1</v>
      </c>
      <c r="E1558" s="3" t="s">
        <v>1855</v>
      </c>
      <c r="F1558" s="3">
        <v>38.5</v>
      </c>
      <c r="G1558" s="20">
        <f t="shared" si="69"/>
        <v>23.869999999999997</v>
      </c>
      <c r="H1558" s="20">
        <f t="shared" si="70"/>
        <v>23.869999999999997</v>
      </c>
      <c r="J1558" s="43" t="s">
        <v>1663</v>
      </c>
    </row>
    <row r="1559" spans="1:10" x14ac:dyDescent="0.25">
      <c r="A1559" s="46" t="s">
        <v>1664</v>
      </c>
      <c r="B1559" s="3" t="s">
        <v>1665</v>
      </c>
      <c r="C1559" s="3" t="s">
        <v>46</v>
      </c>
      <c r="D1559" s="3">
        <v>1</v>
      </c>
      <c r="E1559" s="3" t="s">
        <v>1855</v>
      </c>
      <c r="F1559" s="3">
        <v>38.5</v>
      </c>
      <c r="G1559" s="20">
        <f t="shared" si="69"/>
        <v>23.869999999999997</v>
      </c>
      <c r="H1559" s="20">
        <f t="shared" si="70"/>
        <v>23.869999999999997</v>
      </c>
      <c r="J1559" s="43" t="s">
        <v>1665</v>
      </c>
    </row>
    <row r="1560" spans="1:10" x14ac:dyDescent="0.25">
      <c r="A1560" s="46" t="s">
        <v>1666</v>
      </c>
      <c r="B1560" s="3" t="s">
        <v>1667</v>
      </c>
      <c r="C1560" s="3" t="s">
        <v>46</v>
      </c>
      <c r="D1560" s="3">
        <v>1</v>
      </c>
      <c r="E1560" s="3" t="s">
        <v>1855</v>
      </c>
      <c r="F1560" s="3">
        <v>38.5</v>
      </c>
      <c r="G1560" s="20">
        <f t="shared" si="69"/>
        <v>23.869999999999997</v>
      </c>
      <c r="H1560" s="20">
        <f t="shared" si="70"/>
        <v>23.869999999999997</v>
      </c>
      <c r="J1560" s="43" t="s">
        <v>1667</v>
      </c>
    </row>
    <row r="1561" spans="1:10" x14ac:dyDescent="0.25">
      <c r="A1561" s="46" t="s">
        <v>1668</v>
      </c>
      <c r="B1561" s="3" t="s">
        <v>1669</v>
      </c>
      <c r="C1561" s="3" t="s">
        <v>46</v>
      </c>
      <c r="D1561" s="3">
        <v>1</v>
      </c>
      <c r="E1561" s="3" t="s">
        <v>1855</v>
      </c>
      <c r="F1561" s="3">
        <v>47.3</v>
      </c>
      <c r="G1561" s="20">
        <f t="shared" si="69"/>
        <v>29.325999999999997</v>
      </c>
      <c r="H1561" s="20">
        <f t="shared" si="70"/>
        <v>29.325999999999997</v>
      </c>
      <c r="J1561" s="43" t="s">
        <v>2393</v>
      </c>
    </row>
    <row r="1562" spans="1:10" x14ac:dyDescent="0.25">
      <c r="A1562" s="46" t="s">
        <v>1670</v>
      </c>
      <c r="B1562" s="3" t="s">
        <v>1671</v>
      </c>
      <c r="C1562" s="3" t="s">
        <v>47</v>
      </c>
      <c r="D1562" s="3">
        <v>1</v>
      </c>
      <c r="E1562" s="3" t="s">
        <v>1855</v>
      </c>
      <c r="F1562" s="3">
        <v>20.7</v>
      </c>
      <c r="G1562" s="20">
        <f t="shared" si="69"/>
        <v>12.834</v>
      </c>
      <c r="H1562" s="20">
        <f t="shared" si="70"/>
        <v>12.834</v>
      </c>
      <c r="J1562" s="43" t="s">
        <v>2394</v>
      </c>
    </row>
    <row r="1563" spans="1:10" x14ac:dyDescent="0.25">
      <c r="A1563" s="46" t="s">
        <v>1672</v>
      </c>
      <c r="B1563" s="3" t="s">
        <v>1673</v>
      </c>
      <c r="C1563" s="3" t="s">
        <v>46</v>
      </c>
      <c r="D1563" s="3">
        <v>1</v>
      </c>
      <c r="E1563" s="3" t="s">
        <v>1855</v>
      </c>
      <c r="F1563" s="3">
        <v>21.4</v>
      </c>
      <c r="G1563" s="20">
        <f t="shared" si="69"/>
        <v>13.267999999999999</v>
      </c>
      <c r="H1563" s="20">
        <f t="shared" si="70"/>
        <v>13.267999999999999</v>
      </c>
      <c r="J1563" s="43" t="s">
        <v>2395</v>
      </c>
    </row>
    <row r="1564" spans="1:10" x14ac:dyDescent="0.25">
      <c r="A1564" s="46" t="s">
        <v>1650</v>
      </c>
      <c r="B1564" s="3" t="s">
        <v>1651</v>
      </c>
      <c r="C1564" s="3" t="s">
        <v>46</v>
      </c>
      <c r="D1564" s="3">
        <v>1</v>
      </c>
      <c r="E1564" s="3" t="s">
        <v>1855</v>
      </c>
      <c r="F1564" s="3">
        <v>20.6</v>
      </c>
      <c r="G1564" s="20">
        <f t="shared" si="69"/>
        <v>12.772000000000002</v>
      </c>
      <c r="H1564" s="20">
        <f t="shared" si="70"/>
        <v>12.772000000000002</v>
      </c>
      <c r="J1564" s="43" t="s">
        <v>2391</v>
      </c>
    </row>
    <row r="1565" spans="1:10" x14ac:dyDescent="0.25">
      <c r="A1565" s="46" t="s">
        <v>1674</v>
      </c>
      <c r="B1565" s="3" t="s">
        <v>1675</v>
      </c>
      <c r="C1565" s="3" t="s">
        <v>46</v>
      </c>
      <c r="D1565" s="3">
        <v>1</v>
      </c>
      <c r="E1565" s="3" t="s">
        <v>1855</v>
      </c>
      <c r="F1565" s="3">
        <v>10.6</v>
      </c>
      <c r="G1565" s="20">
        <f t="shared" si="69"/>
        <v>6.5720000000000001</v>
      </c>
      <c r="H1565" s="20">
        <f t="shared" si="70"/>
        <v>6.5720000000000001</v>
      </c>
      <c r="J1565" s="43" t="s">
        <v>1675</v>
      </c>
    </row>
    <row r="1566" spans="1:10" x14ac:dyDescent="0.25">
      <c r="A1566" s="46" t="s">
        <v>1676</v>
      </c>
      <c r="B1566" s="3" t="s">
        <v>1677</v>
      </c>
      <c r="C1566" s="3" t="s">
        <v>47</v>
      </c>
      <c r="D1566" s="3">
        <v>1</v>
      </c>
      <c r="E1566" s="3" t="s">
        <v>1855</v>
      </c>
      <c r="F1566" s="3">
        <v>7.86</v>
      </c>
      <c r="G1566" s="20">
        <f t="shared" si="69"/>
        <v>4.8732000000000006</v>
      </c>
      <c r="H1566" s="20">
        <f t="shared" si="70"/>
        <v>4.8732000000000006</v>
      </c>
      <c r="J1566" s="43" t="s">
        <v>2396</v>
      </c>
    </row>
    <row r="1567" spans="1:10" x14ac:dyDescent="0.25">
      <c r="A1567" s="48"/>
      <c r="B1567" s="44" t="s">
        <v>1678</v>
      </c>
      <c r="C1567" s="3"/>
      <c r="D1567" s="3"/>
      <c r="E1567" s="20"/>
      <c r="F1567" s="3"/>
      <c r="G1567" s="3"/>
      <c r="H1567" s="20"/>
    </row>
    <row r="1568" spans="1:10" x14ac:dyDescent="0.25">
      <c r="A1568" s="46" t="s">
        <v>1679</v>
      </c>
      <c r="B1568" s="3" t="s">
        <v>1680</v>
      </c>
      <c r="C1568" s="3" t="s">
        <v>46</v>
      </c>
      <c r="D1568" s="3">
        <v>1</v>
      </c>
      <c r="E1568" s="3" t="s">
        <v>1855</v>
      </c>
      <c r="F1568" s="3">
        <v>108</v>
      </c>
      <c r="G1568" s="20">
        <f t="shared" si="69"/>
        <v>66.960000000000008</v>
      </c>
      <c r="H1568" s="20">
        <f t="shared" ref="H1568:H1624" si="71">G1568*D1568</f>
        <v>66.960000000000008</v>
      </c>
      <c r="J1568" s="43" t="s">
        <v>1680</v>
      </c>
    </row>
    <row r="1569" spans="1:10" x14ac:dyDescent="0.25">
      <c r="A1569" s="46" t="s">
        <v>1681</v>
      </c>
      <c r="B1569" s="3" t="s">
        <v>1682</v>
      </c>
      <c r="C1569" s="3" t="s">
        <v>46</v>
      </c>
      <c r="D1569" s="3">
        <v>1</v>
      </c>
      <c r="E1569" s="3" t="s">
        <v>1855</v>
      </c>
      <c r="F1569" s="3">
        <v>46.5</v>
      </c>
      <c r="G1569" s="20">
        <f t="shared" si="69"/>
        <v>28.83</v>
      </c>
      <c r="H1569" s="20">
        <f t="shared" si="71"/>
        <v>28.83</v>
      </c>
      <c r="J1569" s="43" t="s">
        <v>2397</v>
      </c>
    </row>
    <row r="1570" spans="1:10" x14ac:dyDescent="0.25">
      <c r="A1570" s="46" t="s">
        <v>1683</v>
      </c>
      <c r="B1570" s="3" t="s">
        <v>1684</v>
      </c>
      <c r="C1570" s="3" t="s">
        <v>46</v>
      </c>
      <c r="D1570" s="3">
        <v>1</v>
      </c>
      <c r="E1570" s="3" t="s">
        <v>1856</v>
      </c>
      <c r="F1570" s="3">
        <v>71.5</v>
      </c>
      <c r="G1570" s="20">
        <f t="shared" si="69"/>
        <v>44.33</v>
      </c>
      <c r="H1570" s="20">
        <f t="shared" si="71"/>
        <v>44.33</v>
      </c>
      <c r="J1570" s="43" t="s">
        <v>2398</v>
      </c>
    </row>
    <row r="1571" spans="1:10" x14ac:dyDescent="0.25">
      <c r="A1571" s="46" t="s">
        <v>1441</v>
      </c>
      <c r="B1571" s="3" t="s">
        <v>1442</v>
      </c>
      <c r="C1571" s="3" t="s">
        <v>46</v>
      </c>
      <c r="D1571" s="3">
        <v>1</v>
      </c>
      <c r="E1571" s="3" t="s">
        <v>1855</v>
      </c>
      <c r="F1571" s="3">
        <v>11.6</v>
      </c>
      <c r="G1571" s="20">
        <f t="shared" si="69"/>
        <v>7.1920000000000002</v>
      </c>
      <c r="H1571" s="20">
        <f t="shared" si="71"/>
        <v>7.1920000000000002</v>
      </c>
      <c r="J1571" s="43" t="s">
        <v>2319</v>
      </c>
    </row>
    <row r="1572" spans="1:10" x14ac:dyDescent="0.25">
      <c r="A1572" s="46" t="s">
        <v>1542</v>
      </c>
      <c r="B1572" s="3" t="s">
        <v>1543</v>
      </c>
      <c r="C1572" s="3" t="s">
        <v>46</v>
      </c>
      <c r="D1572" s="3">
        <v>1</v>
      </c>
      <c r="E1572" s="3" t="s">
        <v>1855</v>
      </c>
      <c r="F1572" s="3">
        <v>13.7</v>
      </c>
      <c r="G1572" s="20">
        <f t="shared" si="69"/>
        <v>8.4939999999999998</v>
      </c>
      <c r="H1572" s="20">
        <f t="shared" si="71"/>
        <v>8.4939999999999998</v>
      </c>
      <c r="J1572" s="43" t="s">
        <v>2353</v>
      </c>
    </row>
    <row r="1573" spans="1:10" x14ac:dyDescent="0.25">
      <c r="A1573" s="46" t="s">
        <v>1685</v>
      </c>
      <c r="B1573" s="3" t="s">
        <v>1686</v>
      </c>
      <c r="C1573" s="3" t="s">
        <v>47</v>
      </c>
      <c r="D1573" s="3">
        <v>1</v>
      </c>
      <c r="E1573" s="3" t="s">
        <v>1855</v>
      </c>
      <c r="F1573" s="3">
        <v>18.8</v>
      </c>
      <c r="G1573" s="20">
        <f t="shared" si="69"/>
        <v>11.656000000000001</v>
      </c>
      <c r="H1573" s="20">
        <f t="shared" si="71"/>
        <v>11.656000000000001</v>
      </c>
      <c r="J1573" s="43" t="s">
        <v>2399</v>
      </c>
    </row>
    <row r="1574" spans="1:10" x14ac:dyDescent="0.25">
      <c r="A1574" s="46" t="s">
        <v>1640</v>
      </c>
      <c r="B1574" s="3" t="s">
        <v>1641</v>
      </c>
      <c r="C1574" s="3" t="s">
        <v>47</v>
      </c>
      <c r="D1574" s="3">
        <v>1</v>
      </c>
      <c r="E1574" s="3" t="s">
        <v>1855</v>
      </c>
      <c r="F1574" s="3">
        <v>138.5</v>
      </c>
      <c r="G1574" s="20">
        <f t="shared" si="69"/>
        <v>85.87</v>
      </c>
      <c r="H1574" s="20">
        <f t="shared" si="71"/>
        <v>85.87</v>
      </c>
      <c r="J1574" s="43" t="s">
        <v>2387</v>
      </c>
    </row>
    <row r="1575" spans="1:10" x14ac:dyDescent="0.25">
      <c r="A1575" s="46" t="s">
        <v>1642</v>
      </c>
      <c r="B1575" s="3" t="s">
        <v>1643</v>
      </c>
      <c r="C1575" s="3" t="s">
        <v>47</v>
      </c>
      <c r="D1575" s="3">
        <v>1</v>
      </c>
      <c r="E1575" s="3" t="s">
        <v>1855</v>
      </c>
      <c r="F1575" s="3">
        <v>154</v>
      </c>
      <c r="G1575" s="20">
        <f t="shared" si="69"/>
        <v>95.47999999999999</v>
      </c>
      <c r="H1575" s="20">
        <f t="shared" si="71"/>
        <v>95.47999999999999</v>
      </c>
      <c r="J1575" s="43" t="s">
        <v>2388</v>
      </c>
    </row>
    <row r="1576" spans="1:10" x14ac:dyDescent="0.25">
      <c r="A1576" s="46" t="s">
        <v>1644</v>
      </c>
      <c r="B1576" s="3" t="s">
        <v>1645</v>
      </c>
      <c r="C1576" s="3" t="s">
        <v>47</v>
      </c>
      <c r="D1576" s="3">
        <v>1</v>
      </c>
      <c r="E1576" s="3" t="s">
        <v>1855</v>
      </c>
      <c r="F1576" s="3">
        <v>154</v>
      </c>
      <c r="G1576" s="20">
        <f t="shared" si="69"/>
        <v>95.47999999999999</v>
      </c>
      <c r="H1576" s="20">
        <f t="shared" si="71"/>
        <v>95.47999999999999</v>
      </c>
      <c r="J1576" s="43" t="s">
        <v>2389</v>
      </c>
    </row>
    <row r="1577" spans="1:10" x14ac:dyDescent="0.25">
      <c r="A1577" s="46" t="s">
        <v>1687</v>
      </c>
      <c r="B1577" s="3" t="s">
        <v>1688</v>
      </c>
      <c r="C1577" s="3" t="s">
        <v>46</v>
      </c>
      <c r="D1577" s="3">
        <v>1</v>
      </c>
      <c r="E1577" s="3" t="s">
        <v>1855</v>
      </c>
      <c r="F1577" s="3">
        <v>29</v>
      </c>
      <c r="G1577" s="20">
        <f t="shared" si="69"/>
        <v>17.98</v>
      </c>
      <c r="H1577" s="20">
        <f t="shared" si="71"/>
        <v>17.98</v>
      </c>
      <c r="J1577" s="43" t="s">
        <v>2400</v>
      </c>
    </row>
    <row r="1578" spans="1:10" x14ac:dyDescent="0.25">
      <c r="A1578" s="46" t="s">
        <v>316</v>
      </c>
      <c r="B1578" s="3" t="s">
        <v>317</v>
      </c>
      <c r="C1578" s="3" t="s">
        <v>46</v>
      </c>
      <c r="D1578" s="3">
        <v>2</v>
      </c>
      <c r="E1578" s="3" t="s">
        <v>1855</v>
      </c>
      <c r="F1578" s="3">
        <v>13.1</v>
      </c>
      <c r="G1578" s="20">
        <f t="shared" si="69"/>
        <v>8.1219999999999999</v>
      </c>
      <c r="H1578" s="20">
        <f t="shared" si="71"/>
        <v>16.244</v>
      </c>
      <c r="J1578" s="43" t="s">
        <v>1995</v>
      </c>
    </row>
    <row r="1579" spans="1:10" x14ac:dyDescent="0.25">
      <c r="A1579" s="46" t="s">
        <v>1569</v>
      </c>
      <c r="B1579" s="3" t="s">
        <v>1570</v>
      </c>
      <c r="C1579" s="3" t="s">
        <v>46</v>
      </c>
      <c r="D1579" s="3">
        <v>1</v>
      </c>
      <c r="E1579" s="3" t="s">
        <v>1855</v>
      </c>
      <c r="F1579" s="3">
        <v>20.5</v>
      </c>
      <c r="G1579" s="20">
        <f t="shared" si="69"/>
        <v>12.71</v>
      </c>
      <c r="H1579" s="20">
        <f t="shared" si="71"/>
        <v>12.71</v>
      </c>
      <c r="J1579" s="43" t="s">
        <v>2363</v>
      </c>
    </row>
    <row r="1580" spans="1:10" x14ac:dyDescent="0.25">
      <c r="A1580" s="46" t="s">
        <v>1557</v>
      </c>
      <c r="B1580" s="3" t="s">
        <v>1558</v>
      </c>
      <c r="C1580" s="3" t="s">
        <v>47</v>
      </c>
      <c r="D1580" s="3">
        <v>1</v>
      </c>
      <c r="E1580" s="3" t="s">
        <v>1855</v>
      </c>
      <c r="F1580" s="3">
        <v>23.7</v>
      </c>
      <c r="G1580" s="20">
        <f t="shared" si="69"/>
        <v>14.693999999999999</v>
      </c>
      <c r="H1580" s="20">
        <f t="shared" si="71"/>
        <v>14.693999999999999</v>
      </c>
      <c r="J1580" s="43" t="s">
        <v>2357</v>
      </c>
    </row>
    <row r="1581" spans="1:10" x14ac:dyDescent="0.25">
      <c r="A1581" s="46" t="s">
        <v>1555</v>
      </c>
      <c r="B1581" s="3" t="s">
        <v>1556</v>
      </c>
      <c r="C1581" s="3" t="s">
        <v>46</v>
      </c>
      <c r="D1581" s="3">
        <v>1</v>
      </c>
      <c r="E1581" s="3" t="s">
        <v>1855</v>
      </c>
      <c r="F1581" s="3">
        <v>89.2</v>
      </c>
      <c r="G1581" s="20">
        <f t="shared" si="69"/>
        <v>55.304000000000002</v>
      </c>
      <c r="H1581" s="20">
        <f t="shared" si="71"/>
        <v>55.304000000000002</v>
      </c>
      <c r="J1581" s="43" t="s">
        <v>1556</v>
      </c>
    </row>
    <row r="1582" spans="1:10" x14ac:dyDescent="0.25">
      <c r="A1582" s="46" t="s">
        <v>57</v>
      </c>
      <c r="B1582" s="3" t="s">
        <v>58</v>
      </c>
      <c r="C1582" s="3" t="s">
        <v>47</v>
      </c>
      <c r="D1582" s="3">
        <v>1</v>
      </c>
      <c r="E1582" s="3" t="s">
        <v>1855</v>
      </c>
      <c r="F1582" s="3">
        <v>22.4</v>
      </c>
      <c r="G1582" s="20">
        <f t="shared" si="69"/>
        <v>13.888</v>
      </c>
      <c r="H1582" s="20">
        <f t="shared" si="71"/>
        <v>13.888</v>
      </c>
      <c r="J1582" s="43" t="s">
        <v>1886</v>
      </c>
    </row>
    <row r="1583" spans="1:10" x14ac:dyDescent="0.25">
      <c r="A1583" s="46" t="s">
        <v>55</v>
      </c>
      <c r="B1583" s="3" t="s">
        <v>56</v>
      </c>
      <c r="C1583" s="3" t="s">
        <v>47</v>
      </c>
      <c r="D1583" s="3">
        <v>1</v>
      </c>
      <c r="E1583" s="3" t="s">
        <v>1855</v>
      </c>
      <c r="F1583" s="3">
        <v>23.9</v>
      </c>
      <c r="G1583" s="20">
        <f t="shared" si="69"/>
        <v>14.818</v>
      </c>
      <c r="H1583" s="20">
        <f t="shared" si="71"/>
        <v>14.818</v>
      </c>
      <c r="J1583" s="43" t="s">
        <v>1885</v>
      </c>
    </row>
    <row r="1584" spans="1:10" x14ac:dyDescent="0.25">
      <c r="A1584" s="46" t="s">
        <v>1261</v>
      </c>
      <c r="B1584" s="3" t="s">
        <v>1262</v>
      </c>
      <c r="C1584" s="3" t="s">
        <v>46</v>
      </c>
      <c r="D1584" s="3">
        <v>6</v>
      </c>
      <c r="E1584" s="3" t="s">
        <v>1855</v>
      </c>
      <c r="F1584" s="3">
        <v>24.3</v>
      </c>
      <c r="G1584" s="20">
        <f t="shared" si="69"/>
        <v>15.066000000000001</v>
      </c>
      <c r="H1584" s="20">
        <f t="shared" si="71"/>
        <v>90.396000000000001</v>
      </c>
      <c r="J1584" s="43" t="s">
        <v>2264</v>
      </c>
    </row>
    <row r="1585" spans="1:10" x14ac:dyDescent="0.25">
      <c r="A1585" s="46" t="s">
        <v>400</v>
      </c>
      <c r="B1585" s="3" t="s">
        <v>401</v>
      </c>
      <c r="C1585" s="3" t="s">
        <v>46</v>
      </c>
      <c r="D1585" s="3">
        <v>1</v>
      </c>
      <c r="E1585" s="3" t="s">
        <v>1855</v>
      </c>
      <c r="F1585" s="3">
        <v>41.3</v>
      </c>
      <c r="G1585" s="20">
        <f t="shared" si="69"/>
        <v>25.605999999999998</v>
      </c>
      <c r="H1585" s="20">
        <f t="shared" si="71"/>
        <v>25.605999999999998</v>
      </c>
      <c r="J1585" s="43" t="s">
        <v>2018</v>
      </c>
    </row>
    <row r="1586" spans="1:10" x14ac:dyDescent="0.25">
      <c r="A1586" s="46" t="s">
        <v>1674</v>
      </c>
      <c r="B1586" s="3" t="s">
        <v>1675</v>
      </c>
      <c r="C1586" s="3" t="s">
        <v>46</v>
      </c>
      <c r="D1586" s="3">
        <v>1</v>
      </c>
      <c r="E1586" s="3" t="s">
        <v>1855</v>
      </c>
      <c r="F1586" s="3">
        <v>10.6</v>
      </c>
      <c r="G1586" s="20">
        <f t="shared" si="69"/>
        <v>6.5720000000000001</v>
      </c>
      <c r="H1586" s="20">
        <f t="shared" si="71"/>
        <v>6.5720000000000001</v>
      </c>
      <c r="J1586" s="43" t="s">
        <v>1675</v>
      </c>
    </row>
    <row r="1587" spans="1:10" x14ac:dyDescent="0.25">
      <c r="A1587" s="46" t="s">
        <v>1689</v>
      </c>
      <c r="B1587" s="3" t="s">
        <v>1690</v>
      </c>
      <c r="C1587" s="3" t="s">
        <v>46</v>
      </c>
      <c r="D1587" s="3">
        <v>1</v>
      </c>
      <c r="E1587" s="3" t="s">
        <v>1855</v>
      </c>
      <c r="F1587" s="3">
        <v>10.6</v>
      </c>
      <c r="G1587" s="20">
        <f t="shared" si="69"/>
        <v>6.5720000000000001</v>
      </c>
      <c r="H1587" s="20">
        <f t="shared" si="71"/>
        <v>6.5720000000000001</v>
      </c>
      <c r="J1587" s="43" t="s">
        <v>1690</v>
      </c>
    </row>
    <row r="1588" spans="1:10" x14ac:dyDescent="0.25">
      <c r="A1588" s="46" t="s">
        <v>1691</v>
      </c>
      <c r="B1588" s="3" t="s">
        <v>1692</v>
      </c>
      <c r="C1588" s="3" t="s">
        <v>46</v>
      </c>
      <c r="D1588" s="3">
        <v>1</v>
      </c>
      <c r="E1588" s="3" t="s">
        <v>1855</v>
      </c>
      <c r="F1588" s="3">
        <v>10.6</v>
      </c>
      <c r="G1588" s="20">
        <f t="shared" si="69"/>
        <v>6.5720000000000001</v>
      </c>
      <c r="H1588" s="20">
        <f t="shared" si="71"/>
        <v>6.5720000000000001</v>
      </c>
      <c r="J1588" s="43" t="s">
        <v>1692</v>
      </c>
    </row>
    <row r="1589" spans="1:10" x14ac:dyDescent="0.25">
      <c r="A1589" s="46" t="s">
        <v>1693</v>
      </c>
      <c r="B1589" s="3" t="s">
        <v>1694</v>
      </c>
      <c r="C1589" s="3" t="s">
        <v>46</v>
      </c>
      <c r="D1589" s="3">
        <v>1</v>
      </c>
      <c r="E1589" s="3" t="s">
        <v>1855</v>
      </c>
      <c r="F1589" s="3">
        <v>177</v>
      </c>
      <c r="G1589" s="20">
        <f t="shared" si="69"/>
        <v>109.74</v>
      </c>
      <c r="H1589" s="20">
        <f t="shared" si="71"/>
        <v>109.74</v>
      </c>
      <c r="J1589" s="43" t="s">
        <v>2401</v>
      </c>
    </row>
    <row r="1590" spans="1:10" x14ac:dyDescent="0.25">
      <c r="A1590" s="46" t="s">
        <v>1695</v>
      </c>
      <c r="B1590" s="3" t="s">
        <v>1696</v>
      </c>
      <c r="C1590" s="3" t="s">
        <v>46</v>
      </c>
      <c r="D1590" s="3">
        <v>1</v>
      </c>
      <c r="E1590" s="3" t="s">
        <v>1855</v>
      </c>
      <c r="F1590" s="3">
        <v>181.5</v>
      </c>
      <c r="G1590" s="20">
        <f t="shared" si="69"/>
        <v>112.53</v>
      </c>
      <c r="H1590" s="20">
        <f t="shared" si="71"/>
        <v>112.53</v>
      </c>
      <c r="J1590" s="43" t="s">
        <v>2402</v>
      </c>
    </row>
    <row r="1591" spans="1:10" x14ac:dyDescent="0.25">
      <c r="A1591" s="46" t="s">
        <v>1697</v>
      </c>
      <c r="B1591" s="3" t="s">
        <v>1698</v>
      </c>
      <c r="C1591" s="3" t="s">
        <v>46</v>
      </c>
      <c r="D1591" s="3">
        <v>1</v>
      </c>
      <c r="E1591" s="3" t="s">
        <v>1855</v>
      </c>
      <c r="F1591" s="3">
        <v>179.5</v>
      </c>
      <c r="G1591" s="20">
        <f t="shared" si="69"/>
        <v>111.29</v>
      </c>
      <c r="H1591" s="20">
        <f t="shared" si="71"/>
        <v>111.29</v>
      </c>
      <c r="J1591" s="43" t="s">
        <v>2403</v>
      </c>
    </row>
    <row r="1592" spans="1:10" x14ac:dyDescent="0.25">
      <c r="A1592" s="46" t="s">
        <v>1699</v>
      </c>
      <c r="B1592" s="3" t="s">
        <v>1700</v>
      </c>
      <c r="C1592" s="3" t="s">
        <v>46</v>
      </c>
      <c r="D1592" s="3">
        <v>1</v>
      </c>
      <c r="E1592" s="3" t="s">
        <v>1855</v>
      </c>
      <c r="F1592" s="3">
        <v>280.5</v>
      </c>
      <c r="G1592" s="20">
        <f t="shared" si="69"/>
        <v>173.91</v>
      </c>
      <c r="H1592" s="20">
        <f t="shared" si="71"/>
        <v>173.91</v>
      </c>
      <c r="J1592" s="43" t="s">
        <v>2404</v>
      </c>
    </row>
    <row r="1593" spans="1:10" x14ac:dyDescent="0.25">
      <c r="A1593" s="46" t="s">
        <v>1701</v>
      </c>
      <c r="B1593" s="3" t="s">
        <v>1702</v>
      </c>
      <c r="C1593" s="3" t="s">
        <v>46</v>
      </c>
      <c r="D1593" s="3">
        <v>1</v>
      </c>
      <c r="E1593" s="3" t="s">
        <v>1855</v>
      </c>
      <c r="F1593" s="3">
        <v>360</v>
      </c>
      <c r="G1593" s="20">
        <f t="shared" si="69"/>
        <v>223.2</v>
      </c>
      <c r="H1593" s="20">
        <f t="shared" si="71"/>
        <v>223.2</v>
      </c>
      <c r="J1593" s="43" t="s">
        <v>1702</v>
      </c>
    </row>
    <row r="1594" spans="1:10" x14ac:dyDescent="0.25">
      <c r="A1594" s="46" t="s">
        <v>1626</v>
      </c>
      <c r="B1594" s="3" t="s">
        <v>1627</v>
      </c>
      <c r="C1594" s="3" t="s">
        <v>46</v>
      </c>
      <c r="D1594" s="3">
        <v>1</v>
      </c>
      <c r="E1594" s="3" t="s">
        <v>1855</v>
      </c>
      <c r="F1594" s="3">
        <v>241.5</v>
      </c>
      <c r="G1594" s="20">
        <f t="shared" si="69"/>
        <v>149.73000000000002</v>
      </c>
      <c r="H1594" s="20">
        <f t="shared" si="71"/>
        <v>149.73000000000002</v>
      </c>
      <c r="J1594" s="43" t="s">
        <v>2383</v>
      </c>
    </row>
    <row r="1595" spans="1:10" x14ac:dyDescent="0.25">
      <c r="A1595" s="46" t="s">
        <v>1624</v>
      </c>
      <c r="B1595" s="3" t="s">
        <v>1625</v>
      </c>
      <c r="C1595" s="3" t="s">
        <v>46</v>
      </c>
      <c r="D1595" s="3">
        <v>1</v>
      </c>
      <c r="E1595" s="3" t="s">
        <v>1855</v>
      </c>
      <c r="F1595" s="3">
        <v>240</v>
      </c>
      <c r="G1595" s="20">
        <f t="shared" si="69"/>
        <v>148.80000000000001</v>
      </c>
      <c r="H1595" s="20">
        <f t="shared" si="71"/>
        <v>148.80000000000001</v>
      </c>
      <c r="J1595" s="43" t="s">
        <v>2382</v>
      </c>
    </row>
    <row r="1596" spans="1:10" x14ac:dyDescent="0.25">
      <c r="A1596" s="46" t="s">
        <v>1703</v>
      </c>
      <c r="B1596" s="3" t="s">
        <v>1704</v>
      </c>
      <c r="C1596" s="3" t="s">
        <v>46</v>
      </c>
      <c r="D1596" s="3">
        <v>1</v>
      </c>
      <c r="E1596" s="3" t="s">
        <v>1855</v>
      </c>
      <c r="F1596" s="3">
        <v>220.5</v>
      </c>
      <c r="G1596" s="20">
        <f t="shared" si="69"/>
        <v>136.70999999999998</v>
      </c>
      <c r="H1596" s="20">
        <f t="shared" si="71"/>
        <v>136.70999999999998</v>
      </c>
      <c r="J1596" s="43" t="s">
        <v>2405</v>
      </c>
    </row>
    <row r="1597" spans="1:10" x14ac:dyDescent="0.25">
      <c r="A1597" s="46" t="s">
        <v>1705</v>
      </c>
      <c r="B1597" s="3" t="s">
        <v>1706</v>
      </c>
      <c r="C1597" s="3" t="s">
        <v>47</v>
      </c>
      <c r="D1597" s="3">
        <v>4</v>
      </c>
      <c r="E1597" s="3" t="s">
        <v>1855</v>
      </c>
      <c r="F1597" s="3">
        <v>21</v>
      </c>
      <c r="G1597" s="20">
        <f t="shared" si="69"/>
        <v>13.02</v>
      </c>
      <c r="H1597" s="20">
        <f t="shared" si="71"/>
        <v>52.08</v>
      </c>
      <c r="J1597" s="43" t="s">
        <v>1706</v>
      </c>
    </row>
    <row r="1598" spans="1:10" x14ac:dyDescent="0.25">
      <c r="A1598" s="46" t="s">
        <v>1707</v>
      </c>
      <c r="B1598" s="3" t="s">
        <v>1708</v>
      </c>
      <c r="C1598" s="3" t="s">
        <v>47</v>
      </c>
      <c r="D1598" s="3">
        <v>4</v>
      </c>
      <c r="E1598" s="3" t="s">
        <v>1855</v>
      </c>
      <c r="F1598" s="3">
        <v>21</v>
      </c>
      <c r="G1598" s="20">
        <f t="shared" si="69"/>
        <v>13.02</v>
      </c>
      <c r="H1598" s="20">
        <f t="shared" si="71"/>
        <v>52.08</v>
      </c>
      <c r="J1598" s="43" t="s">
        <v>1708</v>
      </c>
    </row>
    <row r="1599" spans="1:10" x14ac:dyDescent="0.25">
      <c r="A1599" s="46" t="s">
        <v>1709</v>
      </c>
      <c r="B1599" s="3" t="s">
        <v>1710</v>
      </c>
      <c r="C1599" s="3" t="s">
        <v>47</v>
      </c>
      <c r="D1599" s="3">
        <v>4</v>
      </c>
      <c r="E1599" s="3" t="s">
        <v>1855</v>
      </c>
      <c r="F1599" s="3">
        <v>21</v>
      </c>
      <c r="G1599" s="20">
        <f t="shared" si="69"/>
        <v>13.02</v>
      </c>
      <c r="H1599" s="20">
        <f t="shared" si="71"/>
        <v>52.08</v>
      </c>
      <c r="J1599" s="43" t="s">
        <v>1710</v>
      </c>
    </row>
    <row r="1600" spans="1:10" x14ac:dyDescent="0.25">
      <c r="A1600" s="46" t="s">
        <v>1711</v>
      </c>
      <c r="B1600" s="3" t="s">
        <v>1712</v>
      </c>
      <c r="C1600" s="3" t="s">
        <v>47</v>
      </c>
      <c r="D1600" s="3">
        <v>4</v>
      </c>
      <c r="E1600" s="3" t="s">
        <v>1855</v>
      </c>
      <c r="F1600" s="3">
        <v>21</v>
      </c>
      <c r="G1600" s="20">
        <f t="shared" si="69"/>
        <v>13.02</v>
      </c>
      <c r="H1600" s="20">
        <f t="shared" si="71"/>
        <v>52.08</v>
      </c>
      <c r="J1600" s="43" t="s">
        <v>1712</v>
      </c>
    </row>
    <row r="1601" spans="1:10" x14ac:dyDescent="0.25">
      <c r="A1601" s="46" t="s">
        <v>1713</v>
      </c>
      <c r="B1601" s="3" t="s">
        <v>1714</v>
      </c>
      <c r="C1601" s="3" t="s">
        <v>46</v>
      </c>
      <c r="D1601" s="3">
        <v>1</v>
      </c>
      <c r="E1601" s="3" t="s">
        <v>1855</v>
      </c>
      <c r="F1601" s="3">
        <v>61</v>
      </c>
      <c r="G1601" s="20">
        <f t="shared" si="69"/>
        <v>37.82</v>
      </c>
      <c r="H1601" s="20">
        <f t="shared" si="71"/>
        <v>37.82</v>
      </c>
      <c r="J1601" s="43" t="s">
        <v>1714</v>
      </c>
    </row>
    <row r="1602" spans="1:10" x14ac:dyDescent="0.25">
      <c r="A1602" s="46" t="s">
        <v>1628</v>
      </c>
      <c r="B1602" s="3" t="s">
        <v>1629</v>
      </c>
      <c r="C1602" s="3" t="s">
        <v>47</v>
      </c>
      <c r="D1602" s="3">
        <v>1</v>
      </c>
      <c r="E1602" s="3" t="s">
        <v>1855</v>
      </c>
      <c r="F1602" s="3">
        <v>21.7</v>
      </c>
      <c r="G1602" s="20">
        <f t="shared" si="69"/>
        <v>13.453999999999999</v>
      </c>
      <c r="H1602" s="20">
        <f t="shared" si="71"/>
        <v>13.453999999999999</v>
      </c>
      <c r="J1602" s="43" t="s">
        <v>1629</v>
      </c>
    </row>
    <row r="1603" spans="1:10" x14ac:dyDescent="0.25">
      <c r="A1603" s="46" t="s">
        <v>1083</v>
      </c>
      <c r="B1603" s="3" t="s">
        <v>1084</v>
      </c>
      <c r="C1603" s="3" t="s">
        <v>47</v>
      </c>
      <c r="D1603" s="3">
        <v>1</v>
      </c>
      <c r="E1603" s="3" t="s">
        <v>1855</v>
      </c>
      <c r="F1603" s="3">
        <v>21.7</v>
      </c>
      <c r="G1603" s="20">
        <f t="shared" si="69"/>
        <v>13.453999999999999</v>
      </c>
      <c r="H1603" s="20">
        <f t="shared" si="71"/>
        <v>13.453999999999999</v>
      </c>
      <c r="J1603" s="43" t="s">
        <v>1084</v>
      </c>
    </row>
    <row r="1604" spans="1:10" x14ac:dyDescent="0.25">
      <c r="A1604" s="46" t="s">
        <v>807</v>
      </c>
      <c r="B1604" s="3" t="s">
        <v>808</v>
      </c>
      <c r="C1604" s="3" t="s">
        <v>47</v>
      </c>
      <c r="D1604" s="3">
        <v>1</v>
      </c>
      <c r="E1604" s="3" t="s">
        <v>1855</v>
      </c>
      <c r="F1604" s="3">
        <v>21.7</v>
      </c>
      <c r="G1604" s="20">
        <f t="shared" si="69"/>
        <v>13.453999999999999</v>
      </c>
      <c r="H1604" s="20">
        <f t="shared" si="71"/>
        <v>13.453999999999999</v>
      </c>
      <c r="J1604" s="43" t="s">
        <v>808</v>
      </c>
    </row>
    <row r="1605" spans="1:10" x14ac:dyDescent="0.25">
      <c r="A1605" s="46" t="s">
        <v>1715</v>
      </c>
      <c r="B1605" s="3" t="s">
        <v>1716</v>
      </c>
      <c r="C1605" s="3" t="s">
        <v>46</v>
      </c>
      <c r="D1605" s="3">
        <v>1</v>
      </c>
      <c r="E1605" s="3" t="s">
        <v>1855</v>
      </c>
      <c r="F1605" s="3">
        <v>20.7</v>
      </c>
      <c r="G1605" s="20">
        <f t="shared" si="69"/>
        <v>12.834</v>
      </c>
      <c r="H1605" s="20">
        <f t="shared" si="71"/>
        <v>12.834</v>
      </c>
      <c r="J1605" s="43" t="s">
        <v>2406</v>
      </c>
    </row>
    <row r="1606" spans="1:10" x14ac:dyDescent="0.25">
      <c r="A1606" s="46" t="s">
        <v>1717</v>
      </c>
      <c r="B1606" s="3" t="s">
        <v>1718</v>
      </c>
      <c r="C1606" s="3" t="s">
        <v>46</v>
      </c>
      <c r="D1606" s="3">
        <v>1</v>
      </c>
      <c r="E1606" s="3" t="s">
        <v>1855</v>
      </c>
      <c r="F1606" s="3">
        <v>21.4</v>
      </c>
      <c r="G1606" s="20">
        <f t="shared" si="69"/>
        <v>13.267999999999999</v>
      </c>
      <c r="H1606" s="20">
        <f t="shared" si="71"/>
        <v>13.267999999999999</v>
      </c>
      <c r="J1606" s="43" t="s">
        <v>2407</v>
      </c>
    </row>
    <row r="1607" spans="1:10" x14ac:dyDescent="0.25">
      <c r="A1607" s="46" t="s">
        <v>1672</v>
      </c>
      <c r="B1607" s="3" t="s">
        <v>1673</v>
      </c>
      <c r="C1607" s="3" t="s">
        <v>46</v>
      </c>
      <c r="D1607" s="3">
        <v>1</v>
      </c>
      <c r="E1607" s="3" t="s">
        <v>1855</v>
      </c>
      <c r="F1607" s="3">
        <v>21.4</v>
      </c>
      <c r="G1607" s="20">
        <f t="shared" si="69"/>
        <v>13.267999999999999</v>
      </c>
      <c r="H1607" s="20">
        <f t="shared" si="71"/>
        <v>13.267999999999999</v>
      </c>
      <c r="J1607" s="43" t="s">
        <v>2395</v>
      </c>
    </row>
    <row r="1608" spans="1:10" x14ac:dyDescent="0.25">
      <c r="A1608" s="46" t="s">
        <v>1719</v>
      </c>
      <c r="B1608" s="3" t="s">
        <v>1720</v>
      </c>
      <c r="C1608" s="3" t="s">
        <v>46</v>
      </c>
      <c r="D1608" s="3">
        <v>1</v>
      </c>
      <c r="E1608" s="3" t="s">
        <v>1855</v>
      </c>
      <c r="F1608" s="3">
        <v>54.1</v>
      </c>
      <c r="G1608" s="20">
        <f t="shared" si="69"/>
        <v>33.542000000000002</v>
      </c>
      <c r="H1608" s="20">
        <f t="shared" si="71"/>
        <v>33.542000000000002</v>
      </c>
      <c r="J1608" s="43" t="s">
        <v>2408</v>
      </c>
    </row>
    <row r="1609" spans="1:10" x14ac:dyDescent="0.25">
      <c r="A1609" s="46" t="s">
        <v>1617</v>
      </c>
      <c r="B1609" s="3" t="s">
        <v>1618</v>
      </c>
      <c r="C1609" s="3" t="s">
        <v>46</v>
      </c>
      <c r="D1609" s="3">
        <v>1</v>
      </c>
      <c r="E1609" s="3" t="s">
        <v>1855</v>
      </c>
      <c r="F1609" s="3">
        <v>96.6</v>
      </c>
      <c r="G1609" s="20">
        <f t="shared" si="69"/>
        <v>59.891999999999996</v>
      </c>
      <c r="H1609" s="20">
        <f t="shared" si="71"/>
        <v>59.891999999999996</v>
      </c>
      <c r="J1609" s="43" t="s">
        <v>2381</v>
      </c>
    </row>
    <row r="1610" spans="1:10" x14ac:dyDescent="0.25">
      <c r="A1610" s="46" t="s">
        <v>1721</v>
      </c>
      <c r="B1610" s="3" t="s">
        <v>1722</v>
      </c>
      <c r="C1610" s="3" t="s">
        <v>46</v>
      </c>
      <c r="D1610" s="3">
        <v>1</v>
      </c>
      <c r="E1610" s="3" t="s">
        <v>1855</v>
      </c>
      <c r="F1610" s="3">
        <v>61.9</v>
      </c>
      <c r="G1610" s="20">
        <f t="shared" si="69"/>
        <v>38.378</v>
      </c>
      <c r="H1610" s="20">
        <f t="shared" si="71"/>
        <v>38.378</v>
      </c>
      <c r="J1610" s="43" t="s">
        <v>1722</v>
      </c>
    </row>
    <row r="1611" spans="1:10" x14ac:dyDescent="0.25">
      <c r="A1611" s="46" t="s">
        <v>1723</v>
      </c>
      <c r="B1611" s="3" t="s">
        <v>1724</v>
      </c>
      <c r="C1611" s="3" t="s">
        <v>46</v>
      </c>
      <c r="D1611" s="3">
        <v>1</v>
      </c>
      <c r="E1611" s="3" t="s">
        <v>1855</v>
      </c>
      <c r="F1611" s="3">
        <v>54.2</v>
      </c>
      <c r="G1611" s="20">
        <f t="shared" si="69"/>
        <v>33.603999999999999</v>
      </c>
      <c r="H1611" s="20">
        <f t="shared" si="71"/>
        <v>33.603999999999999</v>
      </c>
      <c r="J1611" s="43" t="s">
        <v>2409</v>
      </c>
    </row>
    <row r="1612" spans="1:10" x14ac:dyDescent="0.25">
      <c r="A1612" s="46" t="s">
        <v>1605</v>
      </c>
      <c r="B1612" s="3" t="s">
        <v>1606</v>
      </c>
      <c r="C1612" s="3" t="s">
        <v>46</v>
      </c>
      <c r="D1612" s="3">
        <v>1</v>
      </c>
      <c r="E1612" s="3" t="s">
        <v>1855</v>
      </c>
      <c r="F1612" s="3">
        <v>72.099999999999994</v>
      </c>
      <c r="G1612" s="20">
        <f t="shared" si="69"/>
        <v>44.701999999999998</v>
      </c>
      <c r="H1612" s="20">
        <f t="shared" si="71"/>
        <v>44.701999999999998</v>
      </c>
      <c r="J1612" s="43" t="s">
        <v>1606</v>
      </c>
    </row>
    <row r="1613" spans="1:10" x14ac:dyDescent="0.25">
      <c r="A1613" s="46" t="s">
        <v>1725</v>
      </c>
      <c r="B1613" s="3" t="s">
        <v>1726</v>
      </c>
      <c r="C1613" s="3" t="s">
        <v>46</v>
      </c>
      <c r="D1613" s="3">
        <v>1</v>
      </c>
      <c r="E1613" s="3" t="s">
        <v>1855</v>
      </c>
      <c r="F1613" s="3">
        <v>54.1</v>
      </c>
      <c r="G1613" s="20">
        <f t="shared" si="69"/>
        <v>33.542000000000002</v>
      </c>
      <c r="H1613" s="20">
        <f t="shared" si="71"/>
        <v>33.542000000000002</v>
      </c>
      <c r="J1613" s="43" t="s">
        <v>2410</v>
      </c>
    </row>
    <row r="1614" spans="1:10" x14ac:dyDescent="0.25">
      <c r="A1614" s="46" t="s">
        <v>1727</v>
      </c>
      <c r="B1614" s="3" t="s">
        <v>1728</v>
      </c>
      <c r="C1614" s="3" t="s">
        <v>46</v>
      </c>
      <c r="D1614" s="3">
        <v>1</v>
      </c>
      <c r="E1614" s="3" t="s">
        <v>1855</v>
      </c>
      <c r="F1614" s="3">
        <v>54.2</v>
      </c>
      <c r="G1614" s="20">
        <f t="shared" ref="G1614:G1677" si="72">F1614-(F1614*38%)</f>
        <v>33.603999999999999</v>
      </c>
      <c r="H1614" s="20">
        <f t="shared" si="71"/>
        <v>33.603999999999999</v>
      </c>
      <c r="J1614" s="43" t="s">
        <v>2411</v>
      </c>
    </row>
    <row r="1615" spans="1:10" x14ac:dyDescent="0.25">
      <c r="A1615" s="46" t="s">
        <v>1729</v>
      </c>
      <c r="B1615" s="3" t="s">
        <v>1730</v>
      </c>
      <c r="C1615" s="3" t="s">
        <v>46</v>
      </c>
      <c r="D1615" s="3">
        <v>1</v>
      </c>
      <c r="E1615" s="3" t="s">
        <v>1855</v>
      </c>
      <c r="F1615" s="3">
        <v>54.1</v>
      </c>
      <c r="G1615" s="20">
        <f t="shared" si="72"/>
        <v>33.542000000000002</v>
      </c>
      <c r="H1615" s="20">
        <f t="shared" si="71"/>
        <v>33.542000000000002</v>
      </c>
      <c r="J1615" s="43" t="s">
        <v>2412</v>
      </c>
    </row>
    <row r="1616" spans="1:10" x14ac:dyDescent="0.25">
      <c r="A1616" s="46" t="s">
        <v>1607</v>
      </c>
      <c r="B1616" s="3" t="s">
        <v>1608</v>
      </c>
      <c r="C1616" s="3" t="s">
        <v>46</v>
      </c>
      <c r="D1616" s="3">
        <v>1</v>
      </c>
      <c r="E1616" s="3" t="s">
        <v>1855</v>
      </c>
      <c r="F1616" s="3">
        <v>70.3</v>
      </c>
      <c r="G1616" s="20">
        <f t="shared" si="72"/>
        <v>43.585999999999999</v>
      </c>
      <c r="H1616" s="20">
        <f t="shared" si="71"/>
        <v>43.585999999999999</v>
      </c>
      <c r="J1616" s="43" t="s">
        <v>1608</v>
      </c>
    </row>
    <row r="1617" spans="1:10" x14ac:dyDescent="0.25">
      <c r="A1617" s="46" t="s">
        <v>1646</v>
      </c>
      <c r="B1617" s="3" t="s">
        <v>1647</v>
      </c>
      <c r="C1617" s="3" t="s">
        <v>46</v>
      </c>
      <c r="D1617" s="3">
        <v>1</v>
      </c>
      <c r="E1617" s="3" t="s">
        <v>1855</v>
      </c>
      <c r="F1617" s="3">
        <v>72</v>
      </c>
      <c r="G1617" s="20">
        <f t="shared" si="72"/>
        <v>44.64</v>
      </c>
      <c r="H1617" s="20">
        <f t="shared" si="71"/>
        <v>44.64</v>
      </c>
      <c r="J1617" s="43" t="s">
        <v>1647</v>
      </c>
    </row>
    <row r="1618" spans="1:10" x14ac:dyDescent="0.25">
      <c r="A1618" s="46" t="s">
        <v>1605</v>
      </c>
      <c r="B1618" s="3" t="s">
        <v>1606</v>
      </c>
      <c r="C1618" s="3" t="s">
        <v>46</v>
      </c>
      <c r="D1618" s="3">
        <v>1</v>
      </c>
      <c r="E1618" s="3" t="s">
        <v>1855</v>
      </c>
      <c r="F1618" s="3">
        <v>72.099999999999994</v>
      </c>
      <c r="G1618" s="20">
        <f t="shared" si="72"/>
        <v>44.701999999999998</v>
      </c>
      <c r="H1618" s="20">
        <f t="shared" si="71"/>
        <v>44.701999999999998</v>
      </c>
      <c r="J1618" s="43" t="s">
        <v>1606</v>
      </c>
    </row>
    <row r="1619" spans="1:10" x14ac:dyDescent="0.25">
      <c r="A1619" s="46" t="s">
        <v>1613</v>
      </c>
      <c r="B1619" s="3" t="s">
        <v>1614</v>
      </c>
      <c r="C1619" s="3" t="s">
        <v>46</v>
      </c>
      <c r="D1619" s="3">
        <v>1</v>
      </c>
      <c r="E1619" s="3" t="s">
        <v>1855</v>
      </c>
      <c r="F1619" s="3">
        <v>54.1</v>
      </c>
      <c r="G1619" s="20">
        <f t="shared" si="72"/>
        <v>33.542000000000002</v>
      </c>
      <c r="H1619" s="20">
        <f t="shared" si="71"/>
        <v>33.542000000000002</v>
      </c>
      <c r="J1619" s="43" t="s">
        <v>2379</v>
      </c>
    </row>
    <row r="1620" spans="1:10" x14ac:dyDescent="0.25">
      <c r="A1620" s="46" t="s">
        <v>1731</v>
      </c>
      <c r="B1620" s="3" t="s">
        <v>1732</v>
      </c>
      <c r="C1620" s="3" t="s">
        <v>47</v>
      </c>
      <c r="D1620" s="3">
        <v>1</v>
      </c>
      <c r="E1620" s="3" t="s">
        <v>1855</v>
      </c>
      <c r="F1620" s="3">
        <v>54.2</v>
      </c>
      <c r="G1620" s="20">
        <f t="shared" si="72"/>
        <v>33.603999999999999</v>
      </c>
      <c r="H1620" s="20">
        <f t="shared" si="71"/>
        <v>33.603999999999999</v>
      </c>
      <c r="J1620" s="43" t="s">
        <v>2413</v>
      </c>
    </row>
    <row r="1621" spans="1:10" x14ac:dyDescent="0.25">
      <c r="A1621" s="46" t="s">
        <v>1733</v>
      </c>
      <c r="B1621" s="3" t="s">
        <v>1734</v>
      </c>
      <c r="C1621" s="3" t="s">
        <v>46</v>
      </c>
      <c r="D1621" s="3">
        <v>1</v>
      </c>
      <c r="E1621" s="3" t="s">
        <v>1855</v>
      </c>
      <c r="F1621" s="3">
        <v>54.1</v>
      </c>
      <c r="G1621" s="20">
        <f t="shared" si="72"/>
        <v>33.542000000000002</v>
      </c>
      <c r="H1621" s="20">
        <f t="shared" si="71"/>
        <v>33.542000000000002</v>
      </c>
      <c r="J1621" s="43" t="s">
        <v>2414</v>
      </c>
    </row>
    <row r="1622" spans="1:10" x14ac:dyDescent="0.25">
      <c r="A1622" s="46" t="s">
        <v>1615</v>
      </c>
      <c r="B1622" s="3" t="s">
        <v>1616</v>
      </c>
      <c r="C1622" s="3" t="s">
        <v>46</v>
      </c>
      <c r="D1622" s="3">
        <v>1</v>
      </c>
      <c r="E1622" s="3" t="s">
        <v>1855</v>
      </c>
      <c r="F1622" s="3">
        <v>54.1</v>
      </c>
      <c r="G1622" s="20">
        <f t="shared" si="72"/>
        <v>33.542000000000002</v>
      </c>
      <c r="H1622" s="20">
        <f t="shared" si="71"/>
        <v>33.542000000000002</v>
      </c>
      <c r="J1622" s="43" t="s">
        <v>2380</v>
      </c>
    </row>
    <row r="1623" spans="1:10" ht="15.75" x14ac:dyDescent="0.25">
      <c r="A1623" s="47" t="s">
        <v>1791</v>
      </c>
      <c r="B1623" s="28" t="s">
        <v>1792</v>
      </c>
      <c r="C1623" s="3" t="s">
        <v>46</v>
      </c>
      <c r="D1623" s="3">
        <v>1</v>
      </c>
      <c r="E1623" s="3" t="s">
        <v>1856</v>
      </c>
      <c r="F1623" s="3">
        <v>296.5</v>
      </c>
      <c r="G1623" s="20">
        <f t="shared" si="72"/>
        <v>183.82999999999998</v>
      </c>
      <c r="H1623" s="20">
        <f t="shared" si="71"/>
        <v>183.82999999999998</v>
      </c>
      <c r="J1623" s="43" t="s">
        <v>1880</v>
      </c>
    </row>
    <row r="1624" spans="1:10" ht="15.75" x14ac:dyDescent="0.25">
      <c r="A1624" s="47" t="s">
        <v>1793</v>
      </c>
      <c r="B1624" s="28" t="s">
        <v>1794</v>
      </c>
      <c r="C1624" s="3" t="s">
        <v>46</v>
      </c>
      <c r="D1624" s="3">
        <v>1</v>
      </c>
      <c r="E1624" s="3" t="s">
        <v>1855</v>
      </c>
      <c r="F1624" s="3">
        <v>96.6</v>
      </c>
      <c r="G1624" s="20">
        <f t="shared" si="72"/>
        <v>59.891999999999996</v>
      </c>
      <c r="H1624" s="20">
        <f t="shared" si="71"/>
        <v>59.891999999999996</v>
      </c>
      <c r="J1624" s="43" t="s">
        <v>1881</v>
      </c>
    </row>
    <row r="1625" spans="1:10" s="5" customFormat="1" x14ac:dyDescent="0.25">
      <c r="A1625" s="51"/>
      <c r="B1625" s="6" t="s">
        <v>1736</v>
      </c>
      <c r="C1625" s="4"/>
      <c r="D1625" s="29"/>
      <c r="E1625" s="4"/>
      <c r="F1625" s="4"/>
      <c r="G1625" s="4"/>
      <c r="H1625" s="19"/>
      <c r="J1625" s="43"/>
    </row>
    <row r="1626" spans="1:10" x14ac:dyDescent="0.25">
      <c r="A1626" s="46" t="s">
        <v>1737</v>
      </c>
      <c r="B1626" s="3" t="s">
        <v>1738</v>
      </c>
      <c r="C1626" s="3" t="s">
        <v>46</v>
      </c>
      <c r="D1626" s="3">
        <v>2</v>
      </c>
      <c r="E1626" s="3" t="s">
        <v>1855</v>
      </c>
      <c r="F1626" s="3">
        <v>50.8</v>
      </c>
      <c r="G1626" s="20">
        <f t="shared" si="72"/>
        <v>31.495999999999999</v>
      </c>
      <c r="H1626" s="20">
        <f t="shared" ref="H1626:H1639" si="73">G1626*D1626</f>
        <v>62.991999999999997</v>
      </c>
      <c r="J1626" s="43" t="s">
        <v>2415</v>
      </c>
    </row>
    <row r="1627" spans="1:10" x14ac:dyDescent="0.25">
      <c r="A1627" s="46" t="s">
        <v>1739</v>
      </c>
      <c r="B1627" s="3" t="s">
        <v>1740</v>
      </c>
      <c r="C1627" s="3" t="s">
        <v>46</v>
      </c>
      <c r="D1627" s="3">
        <v>2</v>
      </c>
      <c r="E1627" s="3" t="s">
        <v>1855</v>
      </c>
      <c r="F1627" s="3">
        <v>214.5</v>
      </c>
      <c r="G1627" s="20">
        <f t="shared" si="72"/>
        <v>132.99</v>
      </c>
      <c r="H1627" s="20">
        <f t="shared" si="73"/>
        <v>265.98</v>
      </c>
      <c r="J1627" s="43" t="s">
        <v>1740</v>
      </c>
    </row>
    <row r="1628" spans="1:10" x14ac:dyDescent="0.25">
      <c r="A1628" s="46" t="s">
        <v>1741</v>
      </c>
      <c r="B1628" s="3" t="s">
        <v>1742</v>
      </c>
      <c r="C1628" s="3" t="s">
        <v>46</v>
      </c>
      <c r="D1628" s="3">
        <v>2</v>
      </c>
      <c r="E1628" s="3" t="s">
        <v>1855</v>
      </c>
      <c r="F1628" s="3">
        <v>214.5</v>
      </c>
      <c r="G1628" s="20">
        <f t="shared" si="72"/>
        <v>132.99</v>
      </c>
      <c r="H1628" s="20">
        <f t="shared" si="73"/>
        <v>265.98</v>
      </c>
      <c r="J1628" s="43" t="s">
        <v>1742</v>
      </c>
    </row>
    <row r="1629" spans="1:10" x14ac:dyDescent="0.25">
      <c r="A1629" s="46" t="s">
        <v>1743</v>
      </c>
      <c r="B1629" s="3" t="s">
        <v>1744</v>
      </c>
      <c r="C1629" s="3" t="s">
        <v>46</v>
      </c>
      <c r="D1629" s="3">
        <v>2</v>
      </c>
      <c r="E1629" s="3" t="s">
        <v>1855</v>
      </c>
      <c r="F1629" s="3">
        <v>236.5</v>
      </c>
      <c r="G1629" s="20">
        <f t="shared" si="72"/>
        <v>146.63</v>
      </c>
      <c r="H1629" s="20">
        <f t="shared" si="73"/>
        <v>293.26</v>
      </c>
      <c r="J1629" s="43" t="s">
        <v>2416</v>
      </c>
    </row>
    <row r="1630" spans="1:10" x14ac:dyDescent="0.25">
      <c r="A1630" s="46" t="s">
        <v>1745</v>
      </c>
      <c r="B1630" s="3" t="s">
        <v>1746</v>
      </c>
      <c r="C1630" s="3" t="s">
        <v>46</v>
      </c>
      <c r="D1630" s="3">
        <v>2</v>
      </c>
      <c r="E1630" s="3" t="s">
        <v>1855</v>
      </c>
      <c r="F1630" s="3">
        <v>236.5</v>
      </c>
      <c r="G1630" s="20">
        <f t="shared" si="72"/>
        <v>146.63</v>
      </c>
      <c r="H1630" s="20">
        <f t="shared" si="73"/>
        <v>293.26</v>
      </c>
      <c r="J1630" s="43" t="s">
        <v>2417</v>
      </c>
    </row>
    <row r="1631" spans="1:10" x14ac:dyDescent="0.25">
      <c r="A1631" s="46" t="s">
        <v>1516</v>
      </c>
      <c r="B1631" s="3" t="s">
        <v>1517</v>
      </c>
      <c r="C1631" s="3" t="s">
        <v>46</v>
      </c>
      <c r="D1631" s="3">
        <v>2</v>
      </c>
      <c r="E1631" s="3" t="s">
        <v>1855</v>
      </c>
      <c r="F1631" s="3">
        <v>42.3</v>
      </c>
      <c r="G1631" s="20">
        <f t="shared" si="72"/>
        <v>26.225999999999999</v>
      </c>
      <c r="H1631" s="20">
        <f t="shared" si="73"/>
        <v>52.451999999999998</v>
      </c>
      <c r="J1631" s="43" t="s">
        <v>2346</v>
      </c>
    </row>
    <row r="1632" spans="1:10" x14ac:dyDescent="0.25">
      <c r="A1632" s="46" t="s">
        <v>1747</v>
      </c>
      <c r="B1632" s="3" t="s">
        <v>1748</v>
      </c>
      <c r="C1632" s="3" t="s">
        <v>46</v>
      </c>
      <c r="D1632" s="3">
        <v>2</v>
      </c>
      <c r="E1632" s="3" t="s">
        <v>1855</v>
      </c>
      <c r="F1632" s="3">
        <v>472</v>
      </c>
      <c r="G1632" s="20">
        <f t="shared" si="72"/>
        <v>292.64</v>
      </c>
      <c r="H1632" s="20">
        <f t="shared" si="73"/>
        <v>585.28</v>
      </c>
      <c r="J1632" s="43" t="s">
        <v>2418</v>
      </c>
    </row>
    <row r="1633" spans="1:10" x14ac:dyDescent="0.25">
      <c r="A1633" s="46" t="s">
        <v>1081</v>
      </c>
      <c r="B1633" s="3" t="s">
        <v>1082</v>
      </c>
      <c r="C1633" s="3" t="s">
        <v>46</v>
      </c>
      <c r="D1633" s="3">
        <v>2</v>
      </c>
      <c r="E1633" s="3" t="s">
        <v>1855</v>
      </c>
      <c r="F1633" s="3">
        <v>108</v>
      </c>
      <c r="G1633" s="20">
        <f t="shared" si="72"/>
        <v>66.960000000000008</v>
      </c>
      <c r="H1633" s="20">
        <f t="shared" si="73"/>
        <v>133.92000000000002</v>
      </c>
      <c r="J1633" s="43" t="s">
        <v>1082</v>
      </c>
    </row>
    <row r="1634" spans="1:10" x14ac:dyDescent="0.25">
      <c r="A1634" s="46" t="s">
        <v>1749</v>
      </c>
      <c r="B1634" s="3" t="s">
        <v>1750</v>
      </c>
      <c r="C1634" s="3" t="s">
        <v>46</v>
      </c>
      <c r="D1634" s="3">
        <v>2</v>
      </c>
      <c r="E1634" s="3" t="s">
        <v>1855</v>
      </c>
      <c r="F1634" s="3">
        <v>394.5</v>
      </c>
      <c r="G1634" s="20">
        <f t="shared" si="72"/>
        <v>244.59</v>
      </c>
      <c r="H1634" s="20">
        <f t="shared" si="73"/>
        <v>489.18</v>
      </c>
      <c r="J1634" s="43" t="s">
        <v>1750</v>
      </c>
    </row>
    <row r="1635" spans="1:10" x14ac:dyDescent="0.25">
      <c r="A1635" s="46" t="s">
        <v>1605</v>
      </c>
      <c r="B1635" s="3" t="s">
        <v>1606</v>
      </c>
      <c r="C1635" s="3" t="s">
        <v>46</v>
      </c>
      <c r="D1635" s="3">
        <v>2</v>
      </c>
      <c r="E1635" s="3" t="s">
        <v>1855</v>
      </c>
      <c r="F1635" s="3">
        <v>72.099999999999994</v>
      </c>
      <c r="G1635" s="20">
        <f t="shared" si="72"/>
        <v>44.701999999999998</v>
      </c>
      <c r="H1635" s="20">
        <f t="shared" si="73"/>
        <v>89.403999999999996</v>
      </c>
      <c r="J1635" s="43" t="s">
        <v>1606</v>
      </c>
    </row>
    <row r="1636" spans="1:10" x14ac:dyDescent="0.25">
      <c r="A1636" s="46" t="s">
        <v>1751</v>
      </c>
      <c r="B1636" s="3" t="s">
        <v>1752</v>
      </c>
      <c r="C1636" s="3" t="s">
        <v>46</v>
      </c>
      <c r="D1636" s="3">
        <v>2</v>
      </c>
      <c r="E1636" s="3" t="s">
        <v>1855</v>
      </c>
      <c r="F1636" s="3">
        <v>105</v>
      </c>
      <c r="G1636" s="20">
        <f t="shared" si="72"/>
        <v>65.099999999999994</v>
      </c>
      <c r="H1636" s="20">
        <f t="shared" si="73"/>
        <v>130.19999999999999</v>
      </c>
      <c r="J1636" s="43" t="s">
        <v>2419</v>
      </c>
    </row>
    <row r="1637" spans="1:10" x14ac:dyDescent="0.25">
      <c r="A1637" s="46" t="s">
        <v>1753</v>
      </c>
      <c r="B1637" s="3" t="s">
        <v>1754</v>
      </c>
      <c r="C1637" s="3" t="s">
        <v>46</v>
      </c>
      <c r="D1637" s="3">
        <v>2</v>
      </c>
      <c r="E1637" s="3" t="s">
        <v>1855</v>
      </c>
      <c r="F1637" s="3">
        <v>472</v>
      </c>
      <c r="G1637" s="20">
        <f t="shared" si="72"/>
        <v>292.64</v>
      </c>
      <c r="H1637" s="20">
        <f t="shared" si="73"/>
        <v>585.28</v>
      </c>
      <c r="J1637" s="43" t="s">
        <v>2420</v>
      </c>
    </row>
    <row r="1638" spans="1:10" ht="15.75" x14ac:dyDescent="0.25">
      <c r="A1638" s="47" t="s">
        <v>1791</v>
      </c>
      <c r="B1638" s="28" t="s">
        <v>1792</v>
      </c>
      <c r="C1638" s="3" t="s">
        <v>46</v>
      </c>
      <c r="D1638" s="3">
        <v>2</v>
      </c>
      <c r="E1638" s="3" t="s">
        <v>1856</v>
      </c>
      <c r="F1638" s="3">
        <v>296.5</v>
      </c>
      <c r="G1638" s="20">
        <f t="shared" si="72"/>
        <v>183.82999999999998</v>
      </c>
      <c r="H1638" s="20">
        <f t="shared" si="73"/>
        <v>367.65999999999997</v>
      </c>
      <c r="J1638" s="43" t="s">
        <v>1880</v>
      </c>
    </row>
    <row r="1639" spans="1:10" ht="15.75" x14ac:dyDescent="0.25">
      <c r="A1639" s="47" t="s">
        <v>1793</v>
      </c>
      <c r="B1639" s="28" t="s">
        <v>1794</v>
      </c>
      <c r="C1639" s="3" t="s">
        <v>46</v>
      </c>
      <c r="D1639" s="3">
        <v>2</v>
      </c>
      <c r="E1639" s="3" t="s">
        <v>1855</v>
      </c>
      <c r="F1639" s="3">
        <v>96.6</v>
      </c>
      <c r="G1639" s="20">
        <f t="shared" si="72"/>
        <v>59.891999999999996</v>
      </c>
      <c r="H1639" s="20">
        <f t="shared" si="73"/>
        <v>119.78399999999999</v>
      </c>
      <c r="J1639" s="43" t="s">
        <v>1881</v>
      </c>
    </row>
    <row r="1640" spans="1:10" s="5" customFormat="1" x14ac:dyDescent="0.25">
      <c r="A1640" s="51"/>
      <c r="B1640" s="6" t="s">
        <v>1755</v>
      </c>
      <c r="C1640" s="4"/>
      <c r="D1640" s="29"/>
      <c r="E1640" s="4"/>
      <c r="F1640" s="4"/>
      <c r="G1640" s="4"/>
      <c r="H1640" s="19"/>
      <c r="J1640" s="43"/>
    </row>
    <row r="1641" spans="1:10" x14ac:dyDescent="0.25">
      <c r="A1641" s="46" t="s">
        <v>1662</v>
      </c>
      <c r="B1641" s="3" t="s">
        <v>1663</v>
      </c>
      <c r="C1641" s="3" t="s">
        <v>46</v>
      </c>
      <c r="D1641" s="3">
        <v>1</v>
      </c>
      <c r="E1641" s="3" t="s">
        <v>1855</v>
      </c>
      <c r="F1641" s="3">
        <v>38.5</v>
      </c>
      <c r="G1641" s="20">
        <f t="shared" si="72"/>
        <v>23.869999999999997</v>
      </c>
      <c r="H1641" s="20">
        <f t="shared" ref="H1641:H1690" si="74">G1641*D1641</f>
        <v>23.869999999999997</v>
      </c>
      <c r="J1641" s="43" t="s">
        <v>1663</v>
      </c>
    </row>
    <row r="1642" spans="1:10" x14ac:dyDescent="0.25">
      <c r="A1642" s="46" t="s">
        <v>1664</v>
      </c>
      <c r="B1642" s="3" t="s">
        <v>1665</v>
      </c>
      <c r="C1642" s="3" t="s">
        <v>46</v>
      </c>
      <c r="D1642" s="3">
        <v>1</v>
      </c>
      <c r="E1642" s="3" t="s">
        <v>1855</v>
      </c>
      <c r="F1642" s="3">
        <v>38.5</v>
      </c>
      <c r="G1642" s="20">
        <f t="shared" si="72"/>
        <v>23.869999999999997</v>
      </c>
      <c r="H1642" s="20">
        <f t="shared" si="74"/>
        <v>23.869999999999997</v>
      </c>
      <c r="J1642" s="43" t="s">
        <v>1665</v>
      </c>
    </row>
    <row r="1643" spans="1:10" x14ac:dyDescent="0.25">
      <c r="A1643" s="46" t="s">
        <v>1666</v>
      </c>
      <c r="B1643" s="3" t="s">
        <v>1667</v>
      </c>
      <c r="C1643" s="3" t="s">
        <v>46</v>
      </c>
      <c r="D1643" s="3">
        <v>1</v>
      </c>
      <c r="E1643" s="3" t="s">
        <v>1855</v>
      </c>
      <c r="F1643" s="3">
        <v>38.5</v>
      </c>
      <c r="G1643" s="20">
        <f t="shared" si="72"/>
        <v>23.869999999999997</v>
      </c>
      <c r="H1643" s="20">
        <f t="shared" si="74"/>
        <v>23.869999999999997</v>
      </c>
      <c r="J1643" s="43" t="s">
        <v>1667</v>
      </c>
    </row>
    <row r="1644" spans="1:10" x14ac:dyDescent="0.25">
      <c r="A1644" s="46" t="s">
        <v>316</v>
      </c>
      <c r="B1644" s="3" t="s">
        <v>317</v>
      </c>
      <c r="C1644" s="3" t="s">
        <v>46</v>
      </c>
      <c r="D1644" s="3">
        <v>2</v>
      </c>
      <c r="E1644" s="3" t="s">
        <v>1855</v>
      </c>
      <c r="F1644" s="3">
        <v>13.1</v>
      </c>
      <c r="G1644" s="20">
        <f t="shared" si="72"/>
        <v>8.1219999999999999</v>
      </c>
      <c r="H1644" s="20">
        <f t="shared" si="74"/>
        <v>16.244</v>
      </c>
      <c r="J1644" s="43" t="s">
        <v>1995</v>
      </c>
    </row>
    <row r="1645" spans="1:10" x14ac:dyDescent="0.25">
      <c r="A1645" s="46" t="s">
        <v>930</v>
      </c>
      <c r="B1645" s="3" t="s">
        <v>931</v>
      </c>
      <c r="C1645" s="3" t="s">
        <v>46</v>
      </c>
      <c r="D1645" s="3">
        <v>1</v>
      </c>
      <c r="E1645" s="3" t="s">
        <v>1855</v>
      </c>
      <c r="F1645" s="3">
        <v>26.4</v>
      </c>
      <c r="G1645" s="20">
        <f t="shared" si="72"/>
        <v>16.367999999999999</v>
      </c>
      <c r="H1645" s="20">
        <f t="shared" si="74"/>
        <v>16.367999999999999</v>
      </c>
      <c r="J1645" s="43" t="s">
        <v>2164</v>
      </c>
    </row>
    <row r="1646" spans="1:10" x14ac:dyDescent="0.25">
      <c r="A1646" s="46" t="s">
        <v>1756</v>
      </c>
      <c r="B1646" s="3" t="s">
        <v>1757</v>
      </c>
      <c r="C1646" s="3" t="s">
        <v>1145</v>
      </c>
      <c r="D1646" s="3">
        <v>1</v>
      </c>
      <c r="E1646" s="3" t="s">
        <v>1855</v>
      </c>
      <c r="F1646" s="3">
        <v>84.3</v>
      </c>
      <c r="G1646" s="20">
        <f t="shared" si="72"/>
        <v>52.265999999999998</v>
      </c>
      <c r="H1646" s="20">
        <f t="shared" si="74"/>
        <v>52.265999999999998</v>
      </c>
      <c r="J1646" s="43" t="s">
        <v>1757</v>
      </c>
    </row>
    <row r="1647" spans="1:10" x14ac:dyDescent="0.25">
      <c r="A1647" s="46" t="s">
        <v>374</v>
      </c>
      <c r="B1647" s="3" t="s">
        <v>375</v>
      </c>
      <c r="C1647" s="3" t="s">
        <v>46</v>
      </c>
      <c r="D1647" s="3">
        <v>1</v>
      </c>
      <c r="E1647" s="3" t="s">
        <v>1855</v>
      </c>
      <c r="F1647" s="3">
        <v>85.9</v>
      </c>
      <c r="G1647" s="20">
        <f t="shared" si="72"/>
        <v>53.258000000000003</v>
      </c>
      <c r="H1647" s="20">
        <f t="shared" si="74"/>
        <v>53.258000000000003</v>
      </c>
      <c r="J1647" s="43" t="s">
        <v>375</v>
      </c>
    </row>
    <row r="1648" spans="1:10" x14ac:dyDescent="0.25">
      <c r="A1648" s="46" t="s">
        <v>400</v>
      </c>
      <c r="B1648" s="3" t="s">
        <v>401</v>
      </c>
      <c r="C1648" s="3" t="s">
        <v>46</v>
      </c>
      <c r="D1648" s="3">
        <v>1</v>
      </c>
      <c r="E1648" s="3" t="s">
        <v>1855</v>
      </c>
      <c r="F1648" s="3">
        <v>41.3</v>
      </c>
      <c r="G1648" s="20">
        <f t="shared" si="72"/>
        <v>25.605999999999998</v>
      </c>
      <c r="H1648" s="20">
        <f t="shared" si="74"/>
        <v>25.605999999999998</v>
      </c>
      <c r="J1648" s="43" t="s">
        <v>2018</v>
      </c>
    </row>
    <row r="1649" spans="1:10" x14ac:dyDescent="0.25">
      <c r="A1649" s="46" t="s">
        <v>195</v>
      </c>
      <c r="B1649" s="3" t="s">
        <v>196</v>
      </c>
      <c r="C1649" s="3" t="s">
        <v>46</v>
      </c>
      <c r="D1649" s="3">
        <v>1</v>
      </c>
      <c r="E1649" s="3" t="s">
        <v>1855</v>
      </c>
      <c r="F1649" s="3">
        <v>129</v>
      </c>
      <c r="G1649" s="20">
        <f t="shared" si="72"/>
        <v>79.97999999999999</v>
      </c>
      <c r="H1649" s="20">
        <f t="shared" si="74"/>
        <v>79.97999999999999</v>
      </c>
      <c r="J1649" s="43" t="s">
        <v>1945</v>
      </c>
    </row>
    <row r="1650" spans="1:10" x14ac:dyDescent="0.25">
      <c r="A1650" s="46" t="s">
        <v>1758</v>
      </c>
      <c r="B1650" s="3" t="s">
        <v>1759</v>
      </c>
      <c r="C1650" s="3" t="s">
        <v>47</v>
      </c>
      <c r="D1650" s="3">
        <v>1</v>
      </c>
      <c r="E1650" s="3" t="s">
        <v>1855</v>
      </c>
      <c r="F1650" s="3">
        <v>143</v>
      </c>
      <c r="G1650" s="20">
        <f t="shared" si="72"/>
        <v>88.66</v>
      </c>
      <c r="H1650" s="20">
        <f t="shared" si="74"/>
        <v>88.66</v>
      </c>
      <c r="J1650" s="43" t="s">
        <v>2421</v>
      </c>
    </row>
    <row r="1651" spans="1:10" x14ac:dyDescent="0.25">
      <c r="A1651" s="46" t="s">
        <v>308</v>
      </c>
      <c r="B1651" s="3" t="s">
        <v>309</v>
      </c>
      <c r="C1651" s="3" t="s">
        <v>47</v>
      </c>
      <c r="D1651" s="3">
        <v>1</v>
      </c>
      <c r="E1651" s="3" t="s">
        <v>1855</v>
      </c>
      <c r="F1651" s="3">
        <v>13.1</v>
      </c>
      <c r="G1651" s="20">
        <f t="shared" si="72"/>
        <v>8.1219999999999999</v>
      </c>
      <c r="H1651" s="20">
        <f t="shared" si="74"/>
        <v>8.1219999999999999</v>
      </c>
      <c r="J1651" s="43" t="s">
        <v>1991</v>
      </c>
    </row>
    <row r="1652" spans="1:10" x14ac:dyDescent="0.25">
      <c r="A1652" s="46" t="s">
        <v>57</v>
      </c>
      <c r="B1652" s="3" t="s">
        <v>58</v>
      </c>
      <c r="C1652" s="3" t="s">
        <v>47</v>
      </c>
      <c r="D1652" s="3">
        <v>6</v>
      </c>
      <c r="E1652" s="3" t="s">
        <v>1855</v>
      </c>
      <c r="F1652" s="3">
        <v>22.4</v>
      </c>
      <c r="G1652" s="20">
        <f t="shared" si="72"/>
        <v>13.888</v>
      </c>
      <c r="H1652" s="20">
        <f t="shared" si="74"/>
        <v>83.328000000000003</v>
      </c>
      <c r="J1652" s="43" t="s">
        <v>1886</v>
      </c>
    </row>
    <row r="1653" spans="1:10" x14ac:dyDescent="0.25">
      <c r="A1653" s="46" t="s">
        <v>1760</v>
      </c>
      <c r="B1653" s="3" t="s">
        <v>1761</v>
      </c>
      <c r="C1653" s="3" t="s">
        <v>46</v>
      </c>
      <c r="D1653" s="3">
        <v>2</v>
      </c>
      <c r="E1653" s="3" t="s">
        <v>1855</v>
      </c>
      <c r="F1653" s="3">
        <v>21.9</v>
      </c>
      <c r="G1653" s="20">
        <f t="shared" si="72"/>
        <v>13.577999999999999</v>
      </c>
      <c r="H1653" s="20">
        <f t="shared" si="74"/>
        <v>27.155999999999999</v>
      </c>
      <c r="J1653" s="43" t="s">
        <v>2422</v>
      </c>
    </row>
    <row r="1654" spans="1:10" x14ac:dyDescent="0.25">
      <c r="A1654" s="46" t="s">
        <v>1261</v>
      </c>
      <c r="B1654" s="3" t="s">
        <v>1262</v>
      </c>
      <c r="C1654" s="3" t="s">
        <v>46</v>
      </c>
      <c r="D1654" s="3">
        <v>8</v>
      </c>
      <c r="E1654" s="3" t="s">
        <v>1855</v>
      </c>
      <c r="F1654" s="3">
        <v>24.3</v>
      </c>
      <c r="G1654" s="20">
        <f t="shared" si="72"/>
        <v>15.066000000000001</v>
      </c>
      <c r="H1654" s="20">
        <f t="shared" si="74"/>
        <v>120.52800000000001</v>
      </c>
      <c r="J1654" s="43" t="s">
        <v>2264</v>
      </c>
    </row>
    <row r="1655" spans="1:10" x14ac:dyDescent="0.25">
      <c r="A1655" s="46" t="s">
        <v>340</v>
      </c>
      <c r="B1655" s="3" t="s">
        <v>341</v>
      </c>
      <c r="C1655" s="3" t="s">
        <v>46</v>
      </c>
      <c r="D1655" s="3">
        <v>1</v>
      </c>
      <c r="E1655" s="3" t="s">
        <v>1855</v>
      </c>
      <c r="F1655" s="3">
        <v>24.8</v>
      </c>
      <c r="G1655" s="20">
        <f t="shared" si="72"/>
        <v>15.375999999999999</v>
      </c>
      <c r="H1655" s="20">
        <f t="shared" si="74"/>
        <v>15.375999999999999</v>
      </c>
      <c r="J1655" s="43" t="s">
        <v>2000</v>
      </c>
    </row>
    <row r="1656" spans="1:10" x14ac:dyDescent="0.25">
      <c r="A1656" s="46" t="s">
        <v>1762</v>
      </c>
      <c r="B1656" s="3" t="s">
        <v>1763</v>
      </c>
      <c r="C1656" s="3" t="s">
        <v>46</v>
      </c>
      <c r="D1656" s="3">
        <v>1</v>
      </c>
      <c r="E1656" s="3" t="s">
        <v>1855</v>
      </c>
      <c r="F1656" s="3">
        <v>53.5</v>
      </c>
      <c r="G1656" s="20">
        <f t="shared" si="72"/>
        <v>33.17</v>
      </c>
      <c r="H1656" s="20">
        <f t="shared" si="74"/>
        <v>33.17</v>
      </c>
      <c r="J1656" s="43" t="s">
        <v>1763</v>
      </c>
    </row>
    <row r="1657" spans="1:10" x14ac:dyDescent="0.25">
      <c r="A1657" s="46" t="s">
        <v>1764</v>
      </c>
      <c r="B1657" s="3" t="s">
        <v>1765</v>
      </c>
      <c r="C1657" s="3" t="s">
        <v>46</v>
      </c>
      <c r="D1657" s="3">
        <v>1</v>
      </c>
      <c r="E1657" s="3" t="s">
        <v>1855</v>
      </c>
      <c r="F1657" s="3">
        <v>52.9</v>
      </c>
      <c r="G1657" s="20">
        <f t="shared" si="72"/>
        <v>32.798000000000002</v>
      </c>
      <c r="H1657" s="20">
        <f t="shared" si="74"/>
        <v>32.798000000000002</v>
      </c>
      <c r="J1657" s="43" t="s">
        <v>1765</v>
      </c>
    </row>
    <row r="1658" spans="1:10" x14ac:dyDescent="0.25">
      <c r="A1658" s="46" t="s">
        <v>1766</v>
      </c>
      <c r="B1658" s="3" t="s">
        <v>1767</v>
      </c>
      <c r="C1658" s="3" t="s">
        <v>46</v>
      </c>
      <c r="D1658" s="3">
        <v>1</v>
      </c>
      <c r="E1658" s="3" t="s">
        <v>1855</v>
      </c>
      <c r="F1658" s="3">
        <v>239.5</v>
      </c>
      <c r="G1658" s="20">
        <f t="shared" si="72"/>
        <v>148.49</v>
      </c>
      <c r="H1658" s="20">
        <f t="shared" si="74"/>
        <v>148.49</v>
      </c>
      <c r="J1658" s="43" t="s">
        <v>2423</v>
      </c>
    </row>
    <row r="1659" spans="1:10" x14ac:dyDescent="0.25">
      <c r="A1659" s="46" t="s">
        <v>390</v>
      </c>
      <c r="B1659" s="3" t="s">
        <v>391</v>
      </c>
      <c r="C1659" s="3" t="s">
        <v>46</v>
      </c>
      <c r="D1659" s="3">
        <v>1</v>
      </c>
      <c r="E1659" s="3" t="s">
        <v>1855</v>
      </c>
      <c r="F1659" s="3">
        <v>21.7</v>
      </c>
      <c r="G1659" s="20">
        <f t="shared" si="72"/>
        <v>13.453999999999999</v>
      </c>
      <c r="H1659" s="20">
        <f t="shared" si="74"/>
        <v>13.453999999999999</v>
      </c>
      <c r="J1659" s="43" t="s">
        <v>391</v>
      </c>
    </row>
    <row r="1660" spans="1:10" x14ac:dyDescent="0.25">
      <c r="A1660" s="46" t="s">
        <v>1038</v>
      </c>
      <c r="B1660" s="3" t="s">
        <v>1039</v>
      </c>
      <c r="C1660" s="3" t="s">
        <v>46</v>
      </c>
      <c r="D1660" s="3">
        <v>1</v>
      </c>
      <c r="E1660" s="3" t="s">
        <v>1855</v>
      </c>
      <c r="F1660" s="3">
        <v>21.7</v>
      </c>
      <c r="G1660" s="20">
        <f t="shared" si="72"/>
        <v>13.453999999999999</v>
      </c>
      <c r="H1660" s="20">
        <f t="shared" si="74"/>
        <v>13.453999999999999</v>
      </c>
      <c r="J1660" s="43" t="s">
        <v>1039</v>
      </c>
    </row>
    <row r="1661" spans="1:10" x14ac:dyDescent="0.25">
      <c r="A1661" s="46" t="s">
        <v>939</v>
      </c>
      <c r="B1661" s="3" t="s">
        <v>940</v>
      </c>
      <c r="C1661" s="3" t="s">
        <v>46</v>
      </c>
      <c r="D1661" s="3">
        <v>1</v>
      </c>
      <c r="E1661" s="3" t="s">
        <v>1855</v>
      </c>
      <c r="F1661" s="3">
        <v>77.099999999999994</v>
      </c>
      <c r="G1661" s="20">
        <f t="shared" si="72"/>
        <v>47.801999999999992</v>
      </c>
      <c r="H1661" s="20">
        <f t="shared" si="74"/>
        <v>47.801999999999992</v>
      </c>
      <c r="J1661" s="43" t="s">
        <v>2168</v>
      </c>
    </row>
    <row r="1662" spans="1:10" x14ac:dyDescent="0.25">
      <c r="A1662" s="46" t="s">
        <v>328</v>
      </c>
      <c r="B1662" s="3" t="s">
        <v>329</v>
      </c>
      <c r="C1662" s="3" t="s">
        <v>46</v>
      </c>
      <c r="D1662" s="3">
        <v>1</v>
      </c>
      <c r="E1662" s="3" t="s">
        <v>1855</v>
      </c>
      <c r="F1662" s="3">
        <v>143</v>
      </c>
      <c r="G1662" s="20">
        <f t="shared" si="72"/>
        <v>88.66</v>
      </c>
      <c r="H1662" s="20">
        <f t="shared" si="74"/>
        <v>88.66</v>
      </c>
      <c r="J1662" s="43" t="s">
        <v>1998</v>
      </c>
    </row>
    <row r="1663" spans="1:10" x14ac:dyDescent="0.25">
      <c r="A1663" s="46" t="s">
        <v>274</v>
      </c>
      <c r="B1663" s="3" t="s">
        <v>275</v>
      </c>
      <c r="C1663" s="3" t="s">
        <v>46</v>
      </c>
      <c r="D1663" s="3">
        <v>1</v>
      </c>
      <c r="E1663" s="3" t="s">
        <v>1855</v>
      </c>
      <c r="F1663" s="3">
        <v>44.5</v>
      </c>
      <c r="G1663" s="20">
        <f t="shared" si="72"/>
        <v>27.59</v>
      </c>
      <c r="H1663" s="20">
        <f t="shared" si="74"/>
        <v>27.59</v>
      </c>
      <c r="J1663" s="43" t="s">
        <v>1976</v>
      </c>
    </row>
    <row r="1664" spans="1:10" x14ac:dyDescent="0.25">
      <c r="A1664" s="46" t="s">
        <v>1652</v>
      </c>
      <c r="B1664" s="3" t="s">
        <v>1653</v>
      </c>
      <c r="C1664" s="3" t="s">
        <v>46</v>
      </c>
      <c r="D1664" s="3">
        <v>1</v>
      </c>
      <c r="E1664" s="3" t="s">
        <v>1855</v>
      </c>
      <c r="F1664" s="3">
        <v>290</v>
      </c>
      <c r="G1664" s="20">
        <f t="shared" si="72"/>
        <v>179.8</v>
      </c>
      <c r="H1664" s="20">
        <f t="shared" si="74"/>
        <v>179.8</v>
      </c>
      <c r="J1664" s="43" t="s">
        <v>2392</v>
      </c>
    </row>
    <row r="1665" spans="1:10" x14ac:dyDescent="0.25">
      <c r="A1665" s="46" t="s">
        <v>1768</v>
      </c>
      <c r="B1665" s="3" t="s">
        <v>1769</v>
      </c>
      <c r="C1665" s="3" t="s">
        <v>46</v>
      </c>
      <c r="D1665" s="3">
        <v>1</v>
      </c>
      <c r="E1665" s="3" t="s">
        <v>1855</v>
      </c>
      <c r="F1665" s="3">
        <v>308.5</v>
      </c>
      <c r="G1665" s="20">
        <f t="shared" si="72"/>
        <v>191.26999999999998</v>
      </c>
      <c r="H1665" s="20">
        <f t="shared" si="74"/>
        <v>191.26999999999998</v>
      </c>
      <c r="J1665" s="43" t="s">
        <v>2424</v>
      </c>
    </row>
    <row r="1666" spans="1:10" x14ac:dyDescent="0.25">
      <c r="A1666" s="46" t="s">
        <v>1770</v>
      </c>
      <c r="B1666" s="3" t="s">
        <v>1771</v>
      </c>
      <c r="C1666" s="3" t="s">
        <v>46</v>
      </c>
      <c r="D1666" s="3">
        <v>1</v>
      </c>
      <c r="E1666" s="3" t="s">
        <v>1855</v>
      </c>
      <c r="F1666" s="3">
        <v>250</v>
      </c>
      <c r="G1666" s="20">
        <f t="shared" si="72"/>
        <v>155</v>
      </c>
      <c r="H1666" s="20">
        <f t="shared" si="74"/>
        <v>155</v>
      </c>
      <c r="J1666" s="43" t="s">
        <v>2425</v>
      </c>
    </row>
    <row r="1667" spans="1:10" x14ac:dyDescent="0.25">
      <c r="A1667" s="46" t="s">
        <v>1772</v>
      </c>
      <c r="B1667" s="3" t="s">
        <v>1773</v>
      </c>
      <c r="C1667" s="3" t="s">
        <v>46</v>
      </c>
      <c r="D1667" s="3">
        <v>1</v>
      </c>
      <c r="E1667" s="3" t="s">
        <v>1855</v>
      </c>
      <c r="F1667" s="3">
        <v>272</v>
      </c>
      <c r="G1667" s="20">
        <f t="shared" si="72"/>
        <v>168.64</v>
      </c>
      <c r="H1667" s="20">
        <f t="shared" si="74"/>
        <v>168.64</v>
      </c>
      <c r="J1667" s="43" t="s">
        <v>2426</v>
      </c>
    </row>
    <row r="1668" spans="1:10" x14ac:dyDescent="0.25">
      <c r="A1668" s="46" t="s">
        <v>1774</v>
      </c>
      <c r="B1668" s="3" t="s">
        <v>1775</v>
      </c>
      <c r="C1668" s="3" t="s">
        <v>46</v>
      </c>
      <c r="D1668" s="3">
        <v>1</v>
      </c>
      <c r="E1668" s="3" t="s">
        <v>1855</v>
      </c>
      <c r="F1668" s="3">
        <v>272</v>
      </c>
      <c r="G1668" s="20">
        <f t="shared" si="72"/>
        <v>168.64</v>
      </c>
      <c r="H1668" s="20">
        <f t="shared" si="74"/>
        <v>168.64</v>
      </c>
      <c r="J1668" s="43" t="s">
        <v>2427</v>
      </c>
    </row>
    <row r="1669" spans="1:10" x14ac:dyDescent="0.25">
      <c r="A1669" s="46" t="s">
        <v>1626</v>
      </c>
      <c r="B1669" s="3" t="s">
        <v>1627</v>
      </c>
      <c r="C1669" s="3" t="s">
        <v>46</v>
      </c>
      <c r="D1669" s="3">
        <v>1</v>
      </c>
      <c r="E1669" s="3" t="s">
        <v>1855</v>
      </c>
      <c r="F1669" s="3">
        <v>241.5</v>
      </c>
      <c r="G1669" s="20">
        <f t="shared" si="72"/>
        <v>149.73000000000002</v>
      </c>
      <c r="H1669" s="20">
        <f t="shared" si="74"/>
        <v>149.73000000000002</v>
      </c>
      <c r="J1669" s="43" t="s">
        <v>2383</v>
      </c>
    </row>
    <row r="1670" spans="1:10" x14ac:dyDescent="0.25">
      <c r="A1670" s="46" t="s">
        <v>1624</v>
      </c>
      <c r="B1670" s="3" t="s">
        <v>1625</v>
      </c>
      <c r="C1670" s="3" t="s">
        <v>46</v>
      </c>
      <c r="D1670" s="3">
        <v>1</v>
      </c>
      <c r="E1670" s="3" t="s">
        <v>1855</v>
      </c>
      <c r="F1670" s="3">
        <v>240</v>
      </c>
      <c r="G1670" s="20">
        <f t="shared" si="72"/>
        <v>148.80000000000001</v>
      </c>
      <c r="H1670" s="20">
        <f t="shared" si="74"/>
        <v>148.80000000000001</v>
      </c>
      <c r="J1670" s="43" t="s">
        <v>2382</v>
      </c>
    </row>
    <row r="1671" spans="1:10" x14ac:dyDescent="0.25">
      <c r="A1671" s="46" t="s">
        <v>1605</v>
      </c>
      <c r="B1671" s="3" t="s">
        <v>1606</v>
      </c>
      <c r="C1671" s="3" t="s">
        <v>46</v>
      </c>
      <c r="D1671" s="3">
        <v>1</v>
      </c>
      <c r="E1671" s="3" t="s">
        <v>1855</v>
      </c>
      <c r="F1671" s="3">
        <v>72.099999999999994</v>
      </c>
      <c r="G1671" s="20">
        <f t="shared" si="72"/>
        <v>44.701999999999998</v>
      </c>
      <c r="H1671" s="20">
        <f t="shared" si="74"/>
        <v>44.701999999999998</v>
      </c>
      <c r="J1671" s="43" t="s">
        <v>1606</v>
      </c>
    </row>
    <row r="1672" spans="1:10" x14ac:dyDescent="0.25">
      <c r="A1672" s="46" t="s">
        <v>1646</v>
      </c>
      <c r="B1672" s="3" t="s">
        <v>1647</v>
      </c>
      <c r="C1672" s="3" t="s">
        <v>46</v>
      </c>
      <c r="D1672" s="3">
        <v>1</v>
      </c>
      <c r="E1672" s="3" t="s">
        <v>1855</v>
      </c>
      <c r="F1672" s="3">
        <v>72</v>
      </c>
      <c r="G1672" s="20">
        <f t="shared" si="72"/>
        <v>44.64</v>
      </c>
      <c r="H1672" s="20">
        <f t="shared" si="74"/>
        <v>44.64</v>
      </c>
      <c r="J1672" s="43" t="s">
        <v>1647</v>
      </c>
    </row>
    <row r="1673" spans="1:10" x14ac:dyDescent="0.25">
      <c r="A1673" s="46" t="s">
        <v>1613</v>
      </c>
      <c r="B1673" s="3" t="s">
        <v>1614</v>
      </c>
      <c r="C1673" s="3" t="s">
        <v>46</v>
      </c>
      <c r="D1673" s="3">
        <v>1</v>
      </c>
      <c r="E1673" s="3" t="s">
        <v>1855</v>
      </c>
      <c r="F1673" s="3">
        <v>54.1</v>
      </c>
      <c r="G1673" s="20">
        <f t="shared" si="72"/>
        <v>33.542000000000002</v>
      </c>
      <c r="H1673" s="20">
        <f t="shared" si="74"/>
        <v>33.542000000000002</v>
      </c>
      <c r="J1673" s="43" t="s">
        <v>2379</v>
      </c>
    </row>
    <row r="1674" spans="1:10" x14ac:dyDescent="0.25">
      <c r="A1674" s="46" t="s">
        <v>1776</v>
      </c>
      <c r="B1674" s="3" t="s">
        <v>1777</v>
      </c>
      <c r="C1674" s="3" t="s">
        <v>46</v>
      </c>
      <c r="D1674" s="3">
        <v>1</v>
      </c>
      <c r="E1674" s="3" t="s">
        <v>1855</v>
      </c>
      <c r="F1674" s="3">
        <v>54.1</v>
      </c>
      <c r="G1674" s="20">
        <f t="shared" si="72"/>
        <v>33.542000000000002</v>
      </c>
      <c r="H1674" s="20">
        <f t="shared" si="74"/>
        <v>33.542000000000002</v>
      </c>
      <c r="J1674" s="43" t="s">
        <v>1777</v>
      </c>
    </row>
    <row r="1675" spans="1:10" x14ac:dyDescent="0.25">
      <c r="A1675" s="46" t="s">
        <v>1617</v>
      </c>
      <c r="B1675" s="3" t="s">
        <v>1618</v>
      </c>
      <c r="C1675" s="3" t="s">
        <v>46</v>
      </c>
      <c r="D1675" s="3">
        <v>1</v>
      </c>
      <c r="E1675" s="3" t="s">
        <v>1855</v>
      </c>
      <c r="F1675" s="3">
        <v>96.6</v>
      </c>
      <c r="G1675" s="20">
        <f t="shared" si="72"/>
        <v>59.891999999999996</v>
      </c>
      <c r="H1675" s="20">
        <f t="shared" si="74"/>
        <v>59.891999999999996</v>
      </c>
      <c r="J1675" s="43" t="s">
        <v>2381</v>
      </c>
    </row>
    <row r="1676" spans="1:10" x14ac:dyDescent="0.25">
      <c r="A1676" s="46" t="s">
        <v>1619</v>
      </c>
      <c r="B1676" s="3" t="s">
        <v>1618</v>
      </c>
      <c r="C1676" s="3" t="s">
        <v>46</v>
      </c>
      <c r="D1676" s="3">
        <v>1</v>
      </c>
      <c r="E1676" s="3" t="s">
        <v>1855</v>
      </c>
      <c r="F1676" s="3">
        <v>97.5</v>
      </c>
      <c r="G1676" s="20">
        <f t="shared" si="72"/>
        <v>60.45</v>
      </c>
      <c r="H1676" s="20">
        <f t="shared" si="74"/>
        <v>60.45</v>
      </c>
      <c r="J1676" s="43" t="s">
        <v>2381</v>
      </c>
    </row>
    <row r="1677" spans="1:10" x14ac:dyDescent="0.25">
      <c r="A1677" s="46" t="s">
        <v>1617</v>
      </c>
      <c r="B1677" s="3" t="s">
        <v>1618</v>
      </c>
      <c r="C1677" s="3" t="s">
        <v>46</v>
      </c>
      <c r="D1677" s="3">
        <v>1</v>
      </c>
      <c r="E1677" s="3" t="s">
        <v>1855</v>
      </c>
      <c r="F1677" s="3">
        <v>96.6</v>
      </c>
      <c r="G1677" s="20">
        <f t="shared" si="72"/>
        <v>59.891999999999996</v>
      </c>
      <c r="H1677" s="20">
        <f t="shared" si="74"/>
        <v>59.891999999999996</v>
      </c>
      <c r="J1677" s="43" t="s">
        <v>2381</v>
      </c>
    </row>
    <row r="1678" spans="1:10" x14ac:dyDescent="0.25">
      <c r="A1678" s="46" t="s">
        <v>1619</v>
      </c>
      <c r="B1678" s="3" t="s">
        <v>1618</v>
      </c>
      <c r="C1678" s="3" t="s">
        <v>46</v>
      </c>
      <c r="D1678" s="3">
        <v>1</v>
      </c>
      <c r="E1678" s="3" t="s">
        <v>1855</v>
      </c>
      <c r="F1678" s="3">
        <v>97.5</v>
      </c>
      <c r="G1678" s="20">
        <f t="shared" ref="G1678:G1690" si="75">F1678-(F1678*38%)</f>
        <v>60.45</v>
      </c>
      <c r="H1678" s="20">
        <f t="shared" si="74"/>
        <v>60.45</v>
      </c>
      <c r="J1678" s="43" t="s">
        <v>2381</v>
      </c>
    </row>
    <row r="1679" spans="1:10" x14ac:dyDescent="0.25">
      <c r="A1679" s="46" t="s">
        <v>1778</v>
      </c>
      <c r="B1679" s="3" t="s">
        <v>1779</v>
      </c>
      <c r="C1679" s="3" t="s">
        <v>46</v>
      </c>
      <c r="D1679" s="3">
        <v>1</v>
      </c>
      <c r="E1679" s="3" t="s">
        <v>1855</v>
      </c>
      <c r="F1679" s="3">
        <v>26.3</v>
      </c>
      <c r="G1679" s="20">
        <f t="shared" si="75"/>
        <v>16.306000000000001</v>
      </c>
      <c r="H1679" s="20">
        <f t="shared" si="74"/>
        <v>16.306000000000001</v>
      </c>
      <c r="J1679" s="43" t="s">
        <v>2428</v>
      </c>
    </row>
    <row r="1680" spans="1:10" x14ac:dyDescent="0.25">
      <c r="A1680" s="46" t="s">
        <v>1780</v>
      </c>
      <c r="B1680" s="3" t="s">
        <v>1781</v>
      </c>
      <c r="C1680" s="3" t="s">
        <v>46</v>
      </c>
      <c r="D1680" s="3">
        <v>1</v>
      </c>
      <c r="E1680" s="3" t="s">
        <v>1855</v>
      </c>
      <c r="F1680" s="3">
        <v>26.3</v>
      </c>
      <c r="G1680" s="20">
        <f t="shared" si="75"/>
        <v>16.306000000000001</v>
      </c>
      <c r="H1680" s="20">
        <f t="shared" si="74"/>
        <v>16.306000000000001</v>
      </c>
      <c r="J1680" s="43" t="s">
        <v>2429</v>
      </c>
    </row>
    <row r="1681" spans="1:10" x14ac:dyDescent="0.25">
      <c r="A1681" s="46" t="s">
        <v>1782</v>
      </c>
      <c r="B1681" s="3" t="s">
        <v>1783</v>
      </c>
      <c r="C1681" s="3" t="s">
        <v>46</v>
      </c>
      <c r="D1681" s="3">
        <v>1</v>
      </c>
      <c r="E1681" s="3" t="s">
        <v>1855</v>
      </c>
      <c r="F1681" s="3">
        <v>26.3</v>
      </c>
      <c r="G1681" s="20">
        <f t="shared" si="75"/>
        <v>16.306000000000001</v>
      </c>
      <c r="H1681" s="20">
        <f t="shared" si="74"/>
        <v>16.306000000000001</v>
      </c>
      <c r="J1681" s="43" t="s">
        <v>2430</v>
      </c>
    </row>
    <row r="1682" spans="1:10" x14ac:dyDescent="0.25">
      <c r="A1682" s="46" t="s">
        <v>1784</v>
      </c>
      <c r="B1682" s="3" t="s">
        <v>1785</v>
      </c>
      <c r="C1682" s="3" t="s">
        <v>46</v>
      </c>
      <c r="D1682" s="3">
        <v>1</v>
      </c>
      <c r="E1682" s="3" t="s">
        <v>1855</v>
      </c>
      <c r="F1682" s="3">
        <v>26.3</v>
      </c>
      <c r="G1682" s="20">
        <f t="shared" si="75"/>
        <v>16.306000000000001</v>
      </c>
      <c r="H1682" s="20">
        <f t="shared" si="74"/>
        <v>16.306000000000001</v>
      </c>
      <c r="J1682" s="43" t="s">
        <v>2431</v>
      </c>
    </row>
    <row r="1683" spans="1:10" x14ac:dyDescent="0.25">
      <c r="A1683" s="46" t="s">
        <v>426</v>
      </c>
      <c r="B1683" s="3" t="s">
        <v>427</v>
      </c>
      <c r="C1683" s="3" t="s">
        <v>46</v>
      </c>
      <c r="D1683" s="3">
        <v>1</v>
      </c>
      <c r="E1683" s="3" t="s">
        <v>1855</v>
      </c>
      <c r="F1683" s="3">
        <v>20.7</v>
      </c>
      <c r="G1683" s="20">
        <f t="shared" si="75"/>
        <v>12.834</v>
      </c>
      <c r="H1683" s="20">
        <f t="shared" si="74"/>
        <v>12.834</v>
      </c>
      <c r="J1683" s="43" t="s">
        <v>2027</v>
      </c>
    </row>
    <row r="1684" spans="1:10" x14ac:dyDescent="0.25">
      <c r="A1684" s="46" t="s">
        <v>1672</v>
      </c>
      <c r="B1684" s="3" t="s">
        <v>1673</v>
      </c>
      <c r="C1684" s="3" t="s">
        <v>46</v>
      </c>
      <c r="D1684" s="3">
        <v>1</v>
      </c>
      <c r="E1684" s="3" t="s">
        <v>1855</v>
      </c>
      <c r="F1684" s="3">
        <v>21.4</v>
      </c>
      <c r="G1684" s="20">
        <f t="shared" si="75"/>
        <v>13.267999999999999</v>
      </c>
      <c r="H1684" s="20">
        <f t="shared" si="74"/>
        <v>13.267999999999999</v>
      </c>
      <c r="J1684" s="43" t="s">
        <v>2395</v>
      </c>
    </row>
    <row r="1685" spans="1:10" x14ac:dyDescent="0.25">
      <c r="A1685" s="46" t="s">
        <v>1786</v>
      </c>
      <c r="B1685" s="3" t="s">
        <v>1787</v>
      </c>
      <c r="C1685" s="3" t="s">
        <v>47</v>
      </c>
      <c r="D1685" s="3">
        <v>1</v>
      </c>
      <c r="E1685" s="3" t="s">
        <v>1855</v>
      </c>
      <c r="F1685" s="3">
        <v>22.4</v>
      </c>
      <c r="G1685" s="20">
        <f t="shared" si="75"/>
        <v>13.888</v>
      </c>
      <c r="H1685" s="20">
        <f t="shared" si="74"/>
        <v>13.888</v>
      </c>
      <c r="J1685" s="43" t="s">
        <v>2432</v>
      </c>
    </row>
    <row r="1686" spans="1:10" x14ac:dyDescent="0.25">
      <c r="A1686" s="46" t="s">
        <v>1516</v>
      </c>
      <c r="B1686" s="3" t="s">
        <v>1517</v>
      </c>
      <c r="C1686" s="3" t="s">
        <v>46</v>
      </c>
      <c r="D1686" s="3">
        <v>1</v>
      </c>
      <c r="E1686" s="3" t="s">
        <v>1855</v>
      </c>
      <c r="F1686" s="3">
        <v>42.3</v>
      </c>
      <c r="G1686" s="20">
        <f t="shared" si="75"/>
        <v>26.225999999999999</v>
      </c>
      <c r="H1686" s="20">
        <f t="shared" si="74"/>
        <v>26.225999999999999</v>
      </c>
      <c r="J1686" s="43" t="s">
        <v>2346</v>
      </c>
    </row>
    <row r="1687" spans="1:10" x14ac:dyDescent="0.25">
      <c r="A1687" s="46" t="s">
        <v>668</v>
      </c>
      <c r="B1687" s="3" t="s">
        <v>1788</v>
      </c>
      <c r="C1687" s="3" t="s">
        <v>46</v>
      </c>
      <c r="D1687" s="3">
        <v>2</v>
      </c>
      <c r="E1687" s="3" t="s">
        <v>1855</v>
      </c>
      <c r="F1687" s="3">
        <v>25.4</v>
      </c>
      <c r="G1687" s="20">
        <f t="shared" si="75"/>
        <v>15.747999999999999</v>
      </c>
      <c r="H1687" s="20">
        <f t="shared" si="74"/>
        <v>31.495999999999999</v>
      </c>
      <c r="J1687" s="43" t="s">
        <v>2099</v>
      </c>
    </row>
    <row r="1688" spans="1:10" x14ac:dyDescent="0.25">
      <c r="A1688" s="46" t="s">
        <v>991</v>
      </c>
      <c r="B1688" s="3" t="s">
        <v>992</v>
      </c>
      <c r="C1688" s="3" t="s">
        <v>46</v>
      </c>
      <c r="D1688" s="3">
        <v>1</v>
      </c>
      <c r="E1688" s="3" t="s">
        <v>1855</v>
      </c>
      <c r="F1688" s="3">
        <v>40.1</v>
      </c>
      <c r="G1688" s="20">
        <f t="shared" si="75"/>
        <v>24.862000000000002</v>
      </c>
      <c r="H1688" s="20">
        <f t="shared" si="74"/>
        <v>24.862000000000002</v>
      </c>
      <c r="J1688" s="43" t="s">
        <v>2182</v>
      </c>
    </row>
    <row r="1689" spans="1:10" ht="15.75" x14ac:dyDescent="0.25">
      <c r="A1689" s="47" t="s">
        <v>1821</v>
      </c>
      <c r="B1689" s="28" t="s">
        <v>1822</v>
      </c>
      <c r="C1689" s="3" t="s">
        <v>46</v>
      </c>
      <c r="D1689" s="3">
        <v>1</v>
      </c>
      <c r="E1689" s="3" t="s">
        <v>1856</v>
      </c>
      <c r="F1689" s="3">
        <v>857</v>
      </c>
      <c r="G1689" s="20">
        <f t="shared" si="75"/>
        <v>531.33999999999992</v>
      </c>
      <c r="H1689" s="20">
        <f t="shared" si="74"/>
        <v>531.33999999999992</v>
      </c>
      <c r="J1689" s="43" t="s">
        <v>2338</v>
      </c>
    </row>
    <row r="1690" spans="1:10" ht="15.75" x14ac:dyDescent="0.25">
      <c r="A1690" s="47" t="s">
        <v>1796</v>
      </c>
      <c r="B1690" s="28" t="s">
        <v>1798</v>
      </c>
      <c r="C1690" s="3" t="s">
        <v>46</v>
      </c>
      <c r="D1690" s="3">
        <v>1</v>
      </c>
      <c r="E1690" s="3" t="s">
        <v>1855</v>
      </c>
      <c r="F1690" s="3">
        <v>147</v>
      </c>
      <c r="G1690" s="20">
        <f t="shared" si="75"/>
        <v>91.14</v>
      </c>
      <c r="H1690" s="20">
        <f t="shared" si="74"/>
        <v>91.14</v>
      </c>
      <c r="J1690" s="43" t="s">
        <v>1912</v>
      </c>
    </row>
    <row r="1691" spans="1:10" s="5" customFormat="1" x14ac:dyDescent="0.25">
      <c r="A1691" s="51"/>
      <c r="B1691" s="4"/>
      <c r="C1691" s="4"/>
      <c r="D1691" s="4"/>
      <c r="E1691" s="4"/>
      <c r="F1691" s="19"/>
      <c r="G1691" s="19"/>
      <c r="H1691" s="19"/>
    </row>
    <row r="1692" spans="1:10" ht="25.5" customHeight="1" thickBot="1" x14ac:dyDescent="0.3">
      <c r="G1692" s="27" t="s">
        <v>1789</v>
      </c>
      <c r="H1692" s="27">
        <f>SUM(H10:H1691)</f>
        <v>261347.09960000005</v>
      </c>
    </row>
    <row r="1693" spans="1:10" x14ac:dyDescent="0.25">
      <c r="A1693" s="34" t="s">
        <v>1839</v>
      </c>
      <c r="B1693" s="35"/>
      <c r="C1693" s="42"/>
    </row>
    <row r="1694" spans="1:10" ht="15.75" thickBot="1" x14ac:dyDescent="0.3">
      <c r="A1694" s="36" t="s">
        <v>1851</v>
      </c>
      <c r="B1694" s="37"/>
      <c r="C1694" s="42"/>
    </row>
    <row r="1695" spans="1:10" x14ac:dyDescent="0.25">
      <c r="A1695" s="42"/>
      <c r="B1695" s="42"/>
      <c r="C1695" s="42"/>
    </row>
    <row r="1696" spans="1:10" x14ac:dyDescent="0.25">
      <c r="A1696" s="58" t="s">
        <v>1840</v>
      </c>
      <c r="B1696" s="58"/>
      <c r="C1696" s="44" t="s">
        <v>1853</v>
      </c>
    </row>
    <row r="1697" spans="1:8" x14ac:dyDescent="0.25">
      <c r="A1697" s="58" t="s">
        <v>1841</v>
      </c>
      <c r="B1697" s="58"/>
      <c r="C1697" s="39">
        <f>H1692* 62.0899</f>
        <v>16227015.279454043</v>
      </c>
    </row>
    <row r="1698" spans="1:8" x14ac:dyDescent="0.25">
      <c r="A1698" s="58" t="s">
        <v>1842</v>
      </c>
      <c r="B1698" s="58"/>
      <c r="C1698" s="38">
        <f>H1692</f>
        <v>261347.09960000005</v>
      </c>
    </row>
    <row r="1699" spans="1:8" x14ac:dyDescent="0.25">
      <c r="A1699" s="58" t="s">
        <v>1843</v>
      </c>
      <c r="B1699" s="58"/>
      <c r="C1699" s="40">
        <v>0.37</v>
      </c>
    </row>
    <row r="1700" spans="1:8" x14ac:dyDescent="0.25">
      <c r="A1700" s="58" t="s">
        <v>1844</v>
      </c>
      <c r="B1700" s="58"/>
      <c r="C1700" s="39">
        <v>75</v>
      </c>
    </row>
    <row r="1701" spans="1:8" x14ac:dyDescent="0.25">
      <c r="A1701" s="58" t="s">
        <v>1845</v>
      </c>
      <c r="B1701" s="58"/>
      <c r="C1701" s="39">
        <v>65</v>
      </c>
    </row>
    <row r="1703" spans="1:8" x14ac:dyDescent="0.25">
      <c r="A1703" s="42" t="s">
        <v>1846</v>
      </c>
      <c r="B1703" s="42" t="s">
        <v>1847</v>
      </c>
      <c r="C1703" s="56" t="s">
        <v>1850</v>
      </c>
      <c r="D1703" s="56"/>
      <c r="E1703" s="56" t="s">
        <v>1854</v>
      </c>
      <c r="F1703" s="56"/>
      <c r="G1703" s="56" t="s">
        <v>1848</v>
      </c>
      <c r="H1703" s="56"/>
    </row>
    <row r="1704" spans="1:8" x14ac:dyDescent="0.25">
      <c r="A1704" s="45" t="s">
        <v>1849</v>
      </c>
      <c r="B1704" s="42" t="s">
        <v>1852</v>
      </c>
      <c r="C1704" s="57" t="s">
        <v>1849</v>
      </c>
      <c r="D1704" s="57"/>
      <c r="E1704" s="57" t="s">
        <v>1849</v>
      </c>
      <c r="F1704" s="57"/>
      <c r="G1704" s="57" t="s">
        <v>1849</v>
      </c>
      <c r="H1704" s="57"/>
    </row>
  </sheetData>
  <mergeCells count="12">
    <mergeCell ref="A1701:B1701"/>
    <mergeCell ref="A1696:B1696"/>
    <mergeCell ref="A1697:B1697"/>
    <mergeCell ref="A1698:B1698"/>
    <mergeCell ref="A1699:B1699"/>
    <mergeCell ref="A1700:B1700"/>
    <mergeCell ref="C1703:D1703"/>
    <mergeCell ref="E1703:F1703"/>
    <mergeCell ref="G1703:H1703"/>
    <mergeCell ref="C1704:D1704"/>
    <mergeCell ref="E1704:F1704"/>
    <mergeCell ref="G1704:H1704"/>
  </mergeCells>
  <dataValidations count="1">
    <dataValidation allowBlank="1" showInputMessage="1" showErrorMessage="1" prompt="Enter Description in this column under this heading" sqref="B441"/>
  </dataValidations>
  <pageMargins left="0.70866141732283472" right="0.70866141732283472" top="0.74803149606299213" bottom="0.74803149606299213" header="0.31496062992125984" footer="0.31496062992125984"/>
  <pageSetup paperSize="9" scale="52" fitToHeight="0" orientation="portrait" r:id="rId1"/>
  <headerFooter>
    <oddFooter>&amp;C&amp;P of &amp;N</oddFooter>
  </headerFooter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 (2)</vt:lpstr>
      <vt:lpstr>'PO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Albear</dc:creator>
  <cp:lastModifiedBy>DELL</cp:lastModifiedBy>
  <cp:lastPrinted>2026-05-13T12:11:06Z</cp:lastPrinted>
  <dcterms:created xsi:type="dcterms:W3CDTF">2015-06-05T18:17:20Z</dcterms:created>
  <dcterms:modified xsi:type="dcterms:W3CDTF">2026-05-20T12:31:50Z</dcterms:modified>
</cp:coreProperties>
</file>